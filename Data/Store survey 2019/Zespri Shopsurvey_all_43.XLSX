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192.168.11.200\000_全国共有\2-Zespri\品質調査\2019\43週\"/>
    </mc:Choice>
  </mc:AlternateContent>
  <xr:revisionPtr revIDLastSave="0" documentId="13_ncr:1_{7EFC0514-0AE4-47C6-A92B-0548187A0E8A}"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2" r:id="rId5"/>
    <sheet name="fukuoka" sheetId="21" r:id="rId6"/>
    <sheet name="tokyo-east(ota)" sheetId="23" r:id="rId7"/>
    <sheet name="tokyo-west(kato)" sheetId="24" r:id="rId8"/>
  </sheets>
  <definedNames>
    <definedName name="_xlnm._FilterDatabase" localSheetId="5" hidden="1">fukuoka!$A$1:$BA$142</definedName>
    <definedName name="_xlnm._FilterDatabase" localSheetId="4" hidden="1">hiroshima!$A$1:$BA$1</definedName>
    <definedName name="_xlnm._FilterDatabase" localSheetId="1" hidden="1">miyagi!$A$1:$BA$375</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73" i="24" l="1"/>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88" i="22" l="1"/>
  <c r="V88" i="22" s="1"/>
  <c r="Q88" i="22"/>
  <c r="T87" i="22"/>
  <c r="V87" i="22" s="1"/>
  <c r="Q87" i="22"/>
  <c r="T86" i="22"/>
  <c r="V86" i="22" s="1"/>
  <c r="Q86"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V142" i="21" l="1"/>
  <c r="T142" i="21"/>
  <c r="Q142" i="21"/>
  <c r="V141" i="21"/>
  <c r="T141" i="21"/>
  <c r="Q141" i="21"/>
  <c r="V140" i="21"/>
  <c r="T140" i="21"/>
  <c r="Q140" i="21"/>
  <c r="V139" i="21"/>
  <c r="T139" i="21"/>
  <c r="Q139" i="21"/>
  <c r="V138" i="21"/>
  <c r="T138" i="21"/>
  <c r="Q138" i="21"/>
  <c r="V137" i="21"/>
  <c r="T137" i="21"/>
  <c r="Q137" i="21"/>
  <c r="V136" i="21"/>
  <c r="T136" i="21"/>
  <c r="Q136" i="21"/>
  <c r="V135" i="21"/>
  <c r="T135" i="21"/>
  <c r="Q135" i="21"/>
  <c r="V134" i="21"/>
  <c r="T134" i="21"/>
  <c r="Q134" i="21"/>
  <c r="V133" i="21"/>
  <c r="T133" i="21"/>
  <c r="Q133" i="21"/>
  <c r="V132" i="21"/>
  <c r="T132" i="21"/>
  <c r="Q132" i="21"/>
  <c r="V131" i="21"/>
  <c r="T131" i="21"/>
  <c r="Q131" i="21"/>
  <c r="V130" i="21"/>
  <c r="T130" i="21"/>
  <c r="Q130" i="21"/>
  <c r="V129" i="21"/>
  <c r="T129" i="21"/>
  <c r="Q129" i="21"/>
  <c r="V128" i="21"/>
  <c r="T128" i="21"/>
  <c r="Q128" i="21"/>
  <c r="V127" i="21"/>
  <c r="T127" i="21"/>
  <c r="Q127" i="21"/>
  <c r="V126" i="21"/>
  <c r="T126" i="21"/>
  <c r="Q126" i="21"/>
  <c r="V125" i="21"/>
  <c r="T125" i="21"/>
  <c r="Q125" i="21"/>
  <c r="V124" i="21"/>
  <c r="T124" i="21"/>
  <c r="Q124" i="21"/>
  <c r="V123" i="21"/>
  <c r="T123" i="21"/>
  <c r="Q123" i="21"/>
  <c r="V122" i="21"/>
  <c r="T122" i="21"/>
  <c r="Q122" i="21"/>
  <c r="V121" i="21"/>
  <c r="T121" i="21"/>
  <c r="Q121" i="21"/>
  <c r="V120" i="21"/>
  <c r="T120" i="21"/>
  <c r="Q120" i="21"/>
  <c r="V119" i="21"/>
  <c r="T119" i="21"/>
  <c r="Q119" i="21"/>
  <c r="V118" i="21"/>
  <c r="T118" i="21"/>
  <c r="Q118" i="21"/>
  <c r="V117" i="21"/>
  <c r="T117" i="21"/>
  <c r="Q117" i="21"/>
  <c r="V116" i="21"/>
  <c r="T116" i="21"/>
  <c r="Q116" i="21"/>
  <c r="V115" i="21"/>
  <c r="T115" i="21"/>
  <c r="Q115" i="21"/>
  <c r="V114" i="21"/>
  <c r="T114" i="21"/>
  <c r="Q114" i="21"/>
  <c r="V113" i="21"/>
  <c r="T113" i="21"/>
  <c r="Q113" i="21"/>
  <c r="V112" i="21"/>
  <c r="T112" i="21"/>
  <c r="Q112" i="21"/>
  <c r="V111" i="21"/>
  <c r="T111" i="21"/>
  <c r="Q111" i="21"/>
  <c r="V110" i="21"/>
  <c r="T110" i="21"/>
  <c r="Q110" i="21"/>
  <c r="V109" i="21"/>
  <c r="T109" i="21"/>
  <c r="Q109" i="21"/>
  <c r="V108" i="21"/>
  <c r="T108" i="21"/>
  <c r="Q108" i="21"/>
  <c r="V107" i="21"/>
  <c r="T107" i="21"/>
  <c r="Q107" i="21"/>
  <c r="V106" i="21"/>
  <c r="T106" i="21"/>
  <c r="Q106" i="21"/>
  <c r="V105" i="21"/>
  <c r="T105" i="21"/>
  <c r="Q105" i="21"/>
  <c r="V104" i="21"/>
  <c r="T104" i="21"/>
  <c r="Q104" i="21"/>
  <c r="V103" i="21"/>
  <c r="T103" i="21"/>
  <c r="Q103" i="21"/>
  <c r="V102" i="21"/>
  <c r="T102" i="21"/>
  <c r="Q102" i="21"/>
  <c r="V101" i="21"/>
  <c r="T101" i="21"/>
  <c r="Q101" i="21"/>
  <c r="V100" i="21"/>
  <c r="T100" i="21"/>
  <c r="Q100" i="21"/>
  <c r="V99" i="21"/>
  <c r="T99" i="21"/>
  <c r="Q99" i="21"/>
  <c r="V98" i="21"/>
  <c r="T98" i="21"/>
  <c r="Q98" i="21"/>
  <c r="V97" i="21"/>
  <c r="T97" i="21"/>
  <c r="Q97" i="21"/>
  <c r="V96" i="21"/>
  <c r="T96" i="21"/>
  <c r="Q96" i="21"/>
  <c r="V95" i="21"/>
  <c r="T95" i="21"/>
  <c r="Q95" i="21"/>
  <c r="V94" i="21"/>
  <c r="T94" i="21"/>
  <c r="Q94" i="21"/>
  <c r="V93" i="21"/>
  <c r="T93" i="21"/>
  <c r="Q93" i="21"/>
  <c r="V92" i="21"/>
  <c r="T92" i="21"/>
  <c r="Q92" i="21"/>
  <c r="V91" i="21"/>
  <c r="T91" i="21"/>
  <c r="Q91" i="21"/>
  <c r="V64" i="21"/>
  <c r="T64" i="21"/>
  <c r="Q64" i="21"/>
  <c r="V63" i="21"/>
  <c r="T63" i="21"/>
  <c r="Q63" i="21"/>
  <c r="V62" i="21"/>
  <c r="T62" i="21"/>
  <c r="Q62" i="21"/>
  <c r="V61" i="21"/>
  <c r="T61" i="21"/>
  <c r="Q61" i="21"/>
  <c r="V60" i="21"/>
  <c r="T60" i="21"/>
  <c r="Q60" i="21"/>
  <c r="V59" i="21"/>
  <c r="T59" i="21"/>
  <c r="Q59" i="21"/>
  <c r="V58" i="21"/>
  <c r="T58" i="21"/>
  <c r="Q58" i="21"/>
  <c r="V57" i="21"/>
  <c r="T57" i="21"/>
  <c r="Q57" i="21"/>
  <c r="V56" i="21"/>
  <c r="T56" i="21"/>
  <c r="Q56" i="21"/>
  <c r="V55" i="21"/>
  <c r="T55" i="21"/>
  <c r="Q55" i="21"/>
  <c r="V54" i="21"/>
  <c r="T54" i="21"/>
  <c r="Q54" i="21"/>
  <c r="V53" i="21"/>
  <c r="T53" i="21"/>
  <c r="Q53" i="21"/>
  <c r="V52" i="21"/>
  <c r="T52" i="21"/>
  <c r="Q52" i="21"/>
  <c r="V51" i="21"/>
  <c r="T51" i="21"/>
  <c r="Q51" i="21"/>
  <c r="V50" i="21"/>
  <c r="T50" i="21"/>
  <c r="Q50" i="21"/>
  <c r="V49" i="21"/>
  <c r="T49" i="21"/>
  <c r="Q49" i="21"/>
  <c r="V48" i="21"/>
  <c r="T48" i="21"/>
  <c r="Q48" i="21"/>
  <c r="V47" i="21"/>
  <c r="T47" i="21"/>
  <c r="Q47" i="21"/>
  <c r="V46" i="21"/>
  <c r="T46" i="21"/>
  <c r="Q46" i="21"/>
  <c r="V45" i="21"/>
  <c r="T45" i="21"/>
  <c r="Q45" i="21"/>
  <c r="V44" i="21"/>
  <c r="T44" i="21"/>
  <c r="Q44" i="21"/>
  <c r="V43" i="21"/>
  <c r="T43" i="21"/>
  <c r="Q43" i="21"/>
  <c r="V42" i="21"/>
  <c r="T42" i="21"/>
  <c r="Q42" i="21"/>
  <c r="V41" i="21"/>
  <c r="T41" i="21"/>
  <c r="Q41" i="21"/>
  <c r="V40" i="21"/>
  <c r="T40" i="21"/>
  <c r="Q40" i="21"/>
  <c r="V39" i="21"/>
  <c r="T39" i="21"/>
  <c r="Q39" i="21"/>
  <c r="V38" i="21"/>
  <c r="T38" i="21"/>
  <c r="Q38" i="21"/>
  <c r="V37" i="21"/>
  <c r="T37" i="21"/>
  <c r="Q37" i="21"/>
  <c r="V36" i="21"/>
  <c r="T36" i="21"/>
  <c r="Q36" i="21"/>
  <c r="V35" i="21"/>
  <c r="T35" i="21"/>
  <c r="Q35" i="21"/>
  <c r="V34" i="21"/>
  <c r="T34" i="21"/>
  <c r="Q34" i="21"/>
  <c r="V33" i="21"/>
  <c r="T33" i="21"/>
  <c r="Q33" i="21"/>
  <c r="V32" i="21"/>
  <c r="T32" i="21"/>
  <c r="Q32" i="21"/>
  <c r="V31" i="21"/>
  <c r="T31" i="21"/>
  <c r="Q31" i="21"/>
  <c r="V30" i="21"/>
  <c r="T30" i="21"/>
  <c r="Q30" i="21"/>
  <c r="V29" i="21"/>
  <c r="T29" i="21"/>
  <c r="Q29" i="21"/>
  <c r="V28" i="21"/>
  <c r="T28" i="21"/>
  <c r="Q28" i="21"/>
  <c r="V27" i="21"/>
  <c r="T27" i="21"/>
  <c r="Q27" i="21"/>
  <c r="V26" i="21"/>
  <c r="T26" i="21"/>
  <c r="Q26" i="21"/>
  <c r="V25" i="21"/>
  <c r="T25" i="21"/>
  <c r="Q25" i="21"/>
  <c r="V24" i="21"/>
  <c r="T24" i="21"/>
  <c r="Q24" i="21"/>
  <c r="V23" i="21"/>
  <c r="T23" i="21"/>
  <c r="Q23" i="21"/>
  <c r="V22" i="21"/>
  <c r="T22" i="21"/>
  <c r="Q22" i="21"/>
  <c r="V21" i="21"/>
  <c r="T21" i="21"/>
  <c r="Q21" i="21"/>
  <c r="V20" i="21"/>
  <c r="T20" i="21"/>
  <c r="Q20" i="21"/>
  <c r="V19" i="21"/>
  <c r="T19" i="21"/>
  <c r="Q19" i="21"/>
  <c r="V18" i="21"/>
  <c r="T18" i="21"/>
  <c r="Q18" i="21"/>
  <c r="V17" i="21"/>
  <c r="T17" i="21"/>
  <c r="Q17" i="21"/>
  <c r="V16" i="21"/>
  <c r="T16" i="21"/>
  <c r="Q16" i="21"/>
  <c r="V15" i="21"/>
  <c r="T15" i="21"/>
  <c r="Q15" i="21"/>
  <c r="V14" i="21"/>
  <c r="T14" i="21"/>
  <c r="Q14" i="21"/>
  <c r="V13" i="21"/>
  <c r="T13" i="21"/>
  <c r="Q13" i="21"/>
  <c r="V12" i="21"/>
  <c r="T12" i="21"/>
  <c r="Q12" i="21"/>
  <c r="V11" i="21"/>
  <c r="T11" i="21"/>
  <c r="Q11" i="21"/>
  <c r="V10" i="21"/>
  <c r="T10" i="21"/>
  <c r="Q10" i="21"/>
  <c r="V9" i="21"/>
  <c r="T9" i="21"/>
  <c r="Q9" i="21"/>
  <c r="V8" i="21"/>
  <c r="T8" i="21"/>
  <c r="Q8" i="21"/>
  <c r="V7" i="21"/>
  <c r="T7" i="21"/>
  <c r="Q7" i="21"/>
  <c r="V6" i="21"/>
  <c r="T6" i="21"/>
  <c r="Q6" i="21"/>
  <c r="V5" i="21"/>
  <c r="T5" i="21"/>
  <c r="Q5" i="21"/>
  <c r="V4" i="21"/>
  <c r="T4" i="21"/>
  <c r="Q4" i="21"/>
  <c r="V3" i="21"/>
  <c r="T3" i="21"/>
  <c r="Q3" i="21"/>
  <c r="V2" i="21"/>
  <c r="T2" i="2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5" i="18" l="1"/>
  <c r="T374" i="18"/>
  <c r="T373" i="18"/>
  <c r="T372" i="18"/>
  <c r="T371" i="18"/>
  <c r="T370" i="18"/>
  <c r="T369" i="18"/>
  <c r="T368" i="18"/>
  <c r="T367" i="18"/>
  <c r="T366" i="18"/>
  <c r="T365" i="18"/>
  <c r="T364" i="18"/>
  <c r="T363" i="18"/>
  <c r="T362" i="18"/>
  <c r="T361" i="18"/>
  <c r="T360" i="18"/>
  <c r="T359" i="18"/>
  <c r="T358" i="18"/>
  <c r="T357" i="18"/>
  <c r="T356" i="18"/>
  <c r="T355" i="18"/>
  <c r="V355" i="18" s="1"/>
  <c r="T354" i="18"/>
  <c r="V354" i="18" s="1"/>
  <c r="V353" i="18"/>
  <c r="T353" i="18"/>
  <c r="V352" i="18"/>
  <c r="T352" i="18"/>
  <c r="T351" i="18"/>
  <c r="V351" i="18" s="1"/>
  <c r="T350" i="18"/>
  <c r="V350" i="18" s="1"/>
  <c r="T349" i="18"/>
  <c r="V349" i="18" s="1"/>
  <c r="T348" i="18"/>
  <c r="V348" i="18" s="1"/>
  <c r="V347" i="18"/>
  <c r="T347" i="18"/>
  <c r="Q347" i="18"/>
  <c r="T346" i="18"/>
  <c r="V346" i="18" s="1"/>
  <c r="Q346" i="18"/>
  <c r="T345" i="18"/>
  <c r="V345" i="18" s="1"/>
  <c r="Q345" i="18"/>
  <c r="T344" i="18"/>
  <c r="V344" i="18" s="1"/>
  <c r="Q344" i="18"/>
  <c r="V343" i="18"/>
  <c r="T343" i="18"/>
  <c r="Q343" i="18"/>
  <c r="T342" i="18"/>
  <c r="V342" i="18" s="1"/>
  <c r="Q342" i="18"/>
  <c r="T341" i="18"/>
  <c r="V341" i="18" s="1"/>
  <c r="Q341" i="18"/>
  <c r="T340" i="18"/>
  <c r="V340" i="18" s="1"/>
  <c r="Q340" i="18"/>
  <c r="V339" i="18"/>
  <c r="T339" i="18"/>
  <c r="Q339" i="18"/>
  <c r="T338" i="18"/>
  <c r="V338" i="18" s="1"/>
  <c r="Q338" i="18"/>
  <c r="T337" i="18"/>
  <c r="V337" i="18" s="1"/>
  <c r="Q337" i="18"/>
  <c r="T336" i="18"/>
  <c r="V336" i="18" s="1"/>
  <c r="Q336" i="18"/>
  <c r="V335" i="18"/>
  <c r="T335" i="18"/>
  <c r="Q335" i="18"/>
  <c r="T334" i="18"/>
  <c r="V334" i="18" s="1"/>
  <c r="Q334" i="18"/>
  <c r="T333" i="18"/>
  <c r="V333" i="18" s="1"/>
  <c r="Q333" i="18"/>
  <c r="T332" i="18"/>
  <c r="V332" i="18" s="1"/>
  <c r="Q332" i="18"/>
  <c r="V331" i="18"/>
  <c r="T331" i="18"/>
  <c r="Q331" i="18"/>
  <c r="T330" i="18"/>
  <c r="V330" i="18" s="1"/>
  <c r="Q330" i="18"/>
  <c r="T329" i="18"/>
  <c r="V329" i="18" s="1"/>
  <c r="Q329" i="18"/>
  <c r="T328" i="18"/>
  <c r="V328" i="18" s="1"/>
  <c r="Q328" i="18"/>
  <c r="V327" i="18"/>
  <c r="T327" i="18"/>
  <c r="Q327" i="18"/>
  <c r="T326" i="18"/>
  <c r="V326" i="18" s="1"/>
  <c r="Q326" i="18"/>
  <c r="T325" i="18"/>
  <c r="V325" i="18" s="1"/>
  <c r="Q325" i="18"/>
  <c r="T324" i="18"/>
  <c r="V324" i="18" s="1"/>
  <c r="Q324" i="18"/>
  <c r="V323" i="18"/>
  <c r="T323" i="18"/>
  <c r="Q323" i="18"/>
  <c r="T322" i="18"/>
  <c r="V322" i="18" s="1"/>
  <c r="Q322" i="18"/>
  <c r="T321" i="18"/>
  <c r="V321" i="18" s="1"/>
  <c r="Q321" i="18"/>
  <c r="T320" i="18"/>
  <c r="V320" i="18" s="1"/>
  <c r="Q320" i="18"/>
  <c r="V319" i="18"/>
  <c r="T319" i="18"/>
  <c r="Q319" i="18"/>
  <c r="T318" i="18"/>
  <c r="V318" i="18" s="1"/>
  <c r="Q318" i="18"/>
  <c r="T317" i="18"/>
  <c r="V317" i="18" s="1"/>
  <c r="Q317" i="18"/>
  <c r="T316" i="18"/>
  <c r="V316" i="18" s="1"/>
  <c r="Q316" i="18"/>
  <c r="V315" i="18"/>
  <c r="T315" i="18"/>
  <c r="Q315" i="18"/>
  <c r="T314" i="18"/>
  <c r="V314" i="18" s="1"/>
  <c r="Q314" i="18"/>
  <c r="T313" i="18"/>
  <c r="V313" i="18" s="1"/>
  <c r="Q313" i="18"/>
  <c r="T312" i="18"/>
  <c r="V312" i="18" s="1"/>
  <c r="Q312" i="18"/>
  <c r="V311" i="18"/>
  <c r="T311" i="18"/>
  <c r="Q311" i="18"/>
  <c r="T310" i="18"/>
  <c r="V310" i="18" s="1"/>
  <c r="Q310" i="18"/>
  <c r="T309" i="18"/>
  <c r="V309" i="18" s="1"/>
  <c r="Q309" i="18"/>
  <c r="T308" i="18"/>
  <c r="V308" i="18" s="1"/>
  <c r="Q308" i="18"/>
  <c r="V307" i="18"/>
  <c r="T307" i="18"/>
  <c r="Q307" i="18"/>
  <c r="T306" i="18"/>
  <c r="V306" i="18" s="1"/>
  <c r="Q306" i="18"/>
  <c r="T305" i="18"/>
  <c r="V305" i="18" s="1"/>
  <c r="Q305" i="18"/>
  <c r="T304" i="18"/>
  <c r="V304" i="18" s="1"/>
  <c r="Q304" i="18"/>
  <c r="V303" i="18"/>
  <c r="T303" i="18"/>
  <c r="Q303" i="18"/>
  <c r="T302" i="18"/>
  <c r="V302" i="18" s="1"/>
  <c r="Q302" i="18"/>
  <c r="T301" i="18"/>
  <c r="V301" i="18" s="1"/>
  <c r="Q301" i="18"/>
  <c r="T300" i="18"/>
  <c r="V300" i="18" s="1"/>
  <c r="Q300" i="18"/>
  <c r="V299" i="18"/>
  <c r="T299" i="18"/>
  <c r="Q299" i="18"/>
  <c r="T298" i="18"/>
  <c r="V298" i="18" s="1"/>
  <c r="Q298" i="18"/>
  <c r="T297" i="18"/>
  <c r="V297" i="18" s="1"/>
  <c r="Q297" i="18"/>
  <c r="T296" i="18"/>
  <c r="V296" i="18" s="1"/>
  <c r="Q296" i="18"/>
  <c r="V295" i="18"/>
  <c r="T295" i="18"/>
  <c r="Q295" i="18"/>
  <c r="T294" i="18"/>
  <c r="V294" i="18" s="1"/>
  <c r="Q294" i="18"/>
  <c r="T293" i="18"/>
  <c r="V293" i="18" s="1"/>
  <c r="Q293" i="18"/>
  <c r="T292" i="18"/>
  <c r="V292" i="18" s="1"/>
  <c r="Q292" i="18"/>
  <c r="V291" i="18"/>
  <c r="T291" i="18"/>
  <c r="Q291" i="18"/>
  <c r="T290" i="18"/>
  <c r="V290" i="18" s="1"/>
  <c r="Q290" i="18"/>
  <c r="T289" i="18"/>
  <c r="V289" i="18" s="1"/>
  <c r="Q289" i="18"/>
  <c r="T288" i="18"/>
  <c r="V288" i="18" s="1"/>
  <c r="Q288" i="18"/>
  <c r="V287" i="18"/>
  <c r="T287" i="18"/>
  <c r="Q287" i="18"/>
  <c r="T286" i="18"/>
  <c r="V286" i="18" s="1"/>
  <c r="Q286" i="18"/>
  <c r="T285" i="18"/>
  <c r="V285" i="18" s="1"/>
  <c r="Q285" i="18"/>
  <c r="T284" i="18"/>
  <c r="V284" i="18" s="1"/>
  <c r="Q284" i="18"/>
  <c r="V283" i="18"/>
  <c r="T283" i="18"/>
  <c r="Q283" i="18"/>
  <c r="T282" i="18"/>
  <c r="V282" i="18" s="1"/>
  <c r="Q282" i="18"/>
  <c r="T281" i="18"/>
  <c r="V281" i="18" s="1"/>
  <c r="Q281" i="18"/>
  <c r="T280" i="18"/>
  <c r="V280" i="18" s="1"/>
  <c r="Q280" i="18"/>
  <c r="V279" i="18"/>
  <c r="T279" i="18"/>
  <c r="Q279" i="18"/>
  <c r="T278" i="18"/>
  <c r="V278" i="18" s="1"/>
  <c r="Q278" i="18"/>
  <c r="T277" i="18"/>
  <c r="V277" i="18" s="1"/>
  <c r="Q277" i="18"/>
  <c r="T276" i="18"/>
  <c r="V276" i="18" s="1"/>
  <c r="Q276" i="18"/>
  <c r="V275" i="18"/>
  <c r="T275" i="18"/>
  <c r="Q275" i="18"/>
  <c r="T274" i="18"/>
  <c r="V274" i="18" s="1"/>
  <c r="Q274" i="18"/>
  <c r="T273" i="18"/>
  <c r="V273" i="18" s="1"/>
  <c r="Q273" i="18"/>
  <c r="T272" i="18"/>
  <c r="V272" i="18" s="1"/>
  <c r="Q272" i="18"/>
  <c r="V271" i="18"/>
  <c r="T271" i="18"/>
  <c r="Q271" i="18"/>
  <c r="T270" i="18"/>
  <c r="V270" i="18" s="1"/>
  <c r="Q270" i="18"/>
  <c r="T269" i="18"/>
  <c r="V269" i="18" s="1"/>
  <c r="Q269" i="18"/>
  <c r="T268" i="18"/>
  <c r="V268" i="18" s="1"/>
  <c r="Q268" i="18"/>
  <c r="V267" i="18"/>
  <c r="T267" i="18"/>
  <c r="Q267" i="18"/>
  <c r="T266" i="18"/>
  <c r="V266" i="18" s="1"/>
  <c r="Q266" i="18"/>
  <c r="T265" i="18"/>
  <c r="V265" i="18" s="1"/>
  <c r="Q265" i="18"/>
  <c r="T264" i="18"/>
  <c r="V264" i="18" s="1"/>
  <c r="Q264" i="18"/>
  <c r="V263" i="18"/>
  <c r="T263" i="18"/>
  <c r="Q263" i="18"/>
  <c r="T262" i="18"/>
  <c r="V262" i="18" s="1"/>
  <c r="Q262" i="18"/>
  <c r="T261" i="18"/>
  <c r="V261" i="18" s="1"/>
  <c r="Q261" i="18"/>
  <c r="T260" i="18"/>
  <c r="V260" i="18" s="1"/>
  <c r="Q260" i="18"/>
  <c r="V259" i="18"/>
  <c r="T259" i="18"/>
  <c r="Q259" i="18"/>
  <c r="T258" i="18"/>
  <c r="V258" i="18" s="1"/>
  <c r="Q258" i="18"/>
  <c r="T257" i="18"/>
  <c r="V257" i="18" s="1"/>
  <c r="Q257" i="18"/>
  <c r="T256" i="18"/>
  <c r="V256" i="18" s="1"/>
  <c r="Q256" i="18"/>
  <c r="V255" i="18"/>
  <c r="T255" i="18"/>
  <c r="Q255" i="18"/>
  <c r="T254" i="18"/>
  <c r="V254" i="18" s="1"/>
  <c r="Q254" i="18"/>
  <c r="T253" i="18"/>
  <c r="V253" i="18" s="1"/>
  <c r="Q253" i="18"/>
  <c r="T252" i="18"/>
  <c r="V252" i="18" s="1"/>
  <c r="Q252" i="18"/>
  <c r="V251" i="18"/>
  <c r="T251" i="18"/>
  <c r="Q251" i="18"/>
  <c r="T250" i="18"/>
  <c r="V250" i="18" s="1"/>
  <c r="Q250" i="18"/>
  <c r="T249" i="18"/>
  <c r="V249" i="18" s="1"/>
  <c r="Q249" i="18"/>
  <c r="T248" i="18"/>
  <c r="V248" i="18" s="1"/>
  <c r="Q248" i="18"/>
  <c r="V247" i="18"/>
  <c r="T247" i="18"/>
  <c r="Q247" i="18"/>
  <c r="T246" i="18"/>
  <c r="V246" i="18" s="1"/>
  <c r="Q246" i="18"/>
  <c r="T245" i="18"/>
  <c r="V245" i="18" s="1"/>
  <c r="Q245" i="18"/>
  <c r="T244" i="18"/>
  <c r="V244" i="18" s="1"/>
  <c r="Q244" i="18"/>
  <c r="V243" i="18"/>
  <c r="T243" i="18"/>
  <c r="Q243" i="18"/>
  <c r="T242" i="18"/>
  <c r="V242" i="18" s="1"/>
  <c r="Q242" i="18"/>
  <c r="T241" i="18"/>
  <c r="V241" i="18" s="1"/>
  <c r="Q241" i="18"/>
  <c r="T240" i="18"/>
  <c r="V240" i="18" s="1"/>
  <c r="Q240" i="18"/>
  <c r="V239" i="18"/>
  <c r="T239" i="18"/>
  <c r="Q239" i="18"/>
  <c r="T238" i="18"/>
  <c r="V238" i="18" s="1"/>
  <c r="Q238" i="18"/>
  <c r="T237" i="18"/>
  <c r="V237" i="18" s="1"/>
  <c r="Q237" i="18"/>
  <c r="T236" i="18"/>
  <c r="V236" i="18" s="1"/>
  <c r="Q236" i="18"/>
  <c r="V235" i="18"/>
  <c r="T235" i="18"/>
  <c r="Q235" i="18"/>
  <c r="T234" i="18"/>
  <c r="V234" i="18" s="1"/>
  <c r="Q234" i="18"/>
  <c r="T233" i="18"/>
  <c r="V233" i="18" s="1"/>
  <c r="Q233" i="18"/>
  <c r="T232" i="18"/>
  <c r="V232" i="18" s="1"/>
  <c r="Q232" i="18"/>
  <c r="V231" i="18"/>
  <c r="T231" i="18"/>
  <c r="Q231" i="18"/>
  <c r="T230" i="18"/>
  <c r="V230" i="18" s="1"/>
  <c r="Q230" i="18"/>
  <c r="T229" i="18"/>
  <c r="V229" i="18" s="1"/>
  <c r="Q229" i="18"/>
  <c r="T228" i="18"/>
  <c r="V228" i="18" s="1"/>
  <c r="Q228" i="18"/>
  <c r="V227" i="18"/>
  <c r="T227" i="18"/>
  <c r="Q227" i="18"/>
  <c r="T226" i="18"/>
  <c r="V226" i="18" s="1"/>
  <c r="Q226" i="18"/>
  <c r="T225" i="18"/>
  <c r="V225" i="18" s="1"/>
  <c r="Q225" i="18"/>
  <c r="T224" i="18"/>
  <c r="V224" i="18" s="1"/>
  <c r="Q224" i="18"/>
  <c r="V223" i="18"/>
  <c r="T223" i="18"/>
  <c r="Q223" i="18"/>
  <c r="T222" i="18"/>
  <c r="V222" i="18" s="1"/>
  <c r="Q222" i="18"/>
  <c r="T221" i="18"/>
  <c r="V221" i="18" s="1"/>
  <c r="Q221" i="18"/>
  <c r="T220" i="18"/>
  <c r="V220" i="18" s="1"/>
  <c r="Q220" i="18"/>
  <c r="V219" i="18"/>
  <c r="T219" i="18"/>
  <c r="Q219" i="18"/>
  <c r="T218" i="18"/>
  <c r="V218" i="18" s="1"/>
  <c r="Q218" i="18"/>
  <c r="T217" i="18"/>
  <c r="V217" i="18" s="1"/>
  <c r="Q217" i="18"/>
  <c r="T216" i="18"/>
  <c r="V216" i="18" s="1"/>
  <c r="Q216" i="18"/>
  <c r="V215" i="18"/>
  <c r="T215" i="18"/>
  <c r="Q215" i="18"/>
  <c r="T214" i="18"/>
  <c r="V214" i="18" s="1"/>
  <c r="Q214" i="18"/>
  <c r="T213" i="18"/>
  <c r="V213" i="18" s="1"/>
  <c r="Q213" i="18"/>
  <c r="T212" i="18"/>
  <c r="V212" i="18" s="1"/>
  <c r="Q212" i="18"/>
  <c r="V211" i="18"/>
  <c r="T211" i="18"/>
  <c r="Q211" i="18"/>
  <c r="T210" i="18"/>
  <c r="V210" i="18" s="1"/>
  <c r="Q210" i="18"/>
  <c r="T209" i="18"/>
  <c r="V209" i="18" s="1"/>
  <c r="Q209" i="18"/>
  <c r="T208" i="18"/>
  <c r="V208" i="18" s="1"/>
  <c r="Q208" i="18"/>
  <c r="V207" i="18"/>
  <c r="T207" i="18"/>
  <c r="Q207" i="18"/>
  <c r="T206" i="18"/>
  <c r="V206" i="18" s="1"/>
  <c r="Q206" i="18"/>
  <c r="T205" i="18"/>
  <c r="V205" i="18" s="1"/>
  <c r="Q205" i="18"/>
  <c r="T204" i="18"/>
  <c r="V204" i="18" s="1"/>
  <c r="Q204" i="18"/>
  <c r="V203" i="18"/>
  <c r="T203" i="18"/>
  <c r="Q203" i="18"/>
  <c r="T202" i="18"/>
  <c r="V202" i="18" s="1"/>
  <c r="Q202" i="18"/>
  <c r="T201" i="18"/>
  <c r="V201" i="18" s="1"/>
  <c r="Q201" i="18"/>
  <c r="T200" i="18"/>
  <c r="V200" i="18" s="1"/>
  <c r="Q200" i="18"/>
  <c r="V199" i="18"/>
  <c r="T199" i="18"/>
  <c r="Q199" i="18"/>
  <c r="T198" i="18"/>
  <c r="V198" i="18" s="1"/>
  <c r="Q198" i="18"/>
  <c r="T197" i="18"/>
  <c r="V197" i="18" s="1"/>
  <c r="Q197" i="18"/>
  <c r="T196" i="18"/>
  <c r="V196" i="18" s="1"/>
  <c r="Q196" i="18"/>
  <c r="V195" i="18"/>
  <c r="T195" i="18"/>
  <c r="Q195" i="18"/>
  <c r="T194" i="18"/>
  <c r="V194" i="18" s="1"/>
  <c r="Q194" i="18"/>
  <c r="T193" i="18"/>
  <c r="V193" i="18" s="1"/>
  <c r="Q193" i="18"/>
  <c r="T192" i="18"/>
  <c r="V192" i="18" s="1"/>
  <c r="Q192" i="18"/>
  <c r="V191" i="18"/>
  <c r="T191" i="18"/>
  <c r="Q191" i="18"/>
  <c r="T190" i="18"/>
  <c r="V190" i="18" s="1"/>
  <c r="Q190" i="18"/>
  <c r="T189" i="18"/>
  <c r="V189" i="18" s="1"/>
  <c r="Q189" i="18"/>
  <c r="T188" i="18"/>
  <c r="V188" i="18" s="1"/>
  <c r="Q188" i="18"/>
  <c r="V187" i="18"/>
  <c r="T187" i="18"/>
  <c r="Q187" i="18"/>
  <c r="T186" i="18"/>
  <c r="V186" i="18" s="1"/>
  <c r="Q186" i="18"/>
  <c r="T185" i="18"/>
  <c r="V185" i="18" s="1"/>
  <c r="Q185" i="18"/>
  <c r="T184" i="18"/>
  <c r="V184" i="18" s="1"/>
  <c r="Q184" i="18"/>
  <c r="V183" i="18"/>
  <c r="T183" i="18"/>
  <c r="Q183" i="18"/>
  <c r="T182" i="18"/>
  <c r="V182" i="18" s="1"/>
  <c r="Q182" i="18"/>
  <c r="T181" i="18"/>
  <c r="V181" i="18" s="1"/>
  <c r="Q181" i="18"/>
  <c r="T180" i="18"/>
  <c r="V180" i="18" s="1"/>
  <c r="Q180" i="18"/>
  <c r="V179" i="18"/>
  <c r="T179" i="18"/>
  <c r="Q179" i="18"/>
  <c r="T178" i="18"/>
  <c r="V178" i="18" s="1"/>
  <c r="Q178" i="18"/>
  <c r="T177" i="18"/>
  <c r="V177" i="18" s="1"/>
  <c r="Q177" i="18"/>
  <c r="T176" i="18"/>
  <c r="V176" i="18" s="1"/>
  <c r="Q176" i="18"/>
  <c r="V175" i="18"/>
  <c r="T175" i="18"/>
  <c r="Q175" i="18"/>
  <c r="T174" i="18"/>
  <c r="V174" i="18" s="1"/>
  <c r="Q174" i="18"/>
  <c r="T173" i="18"/>
  <c r="V173" i="18" s="1"/>
  <c r="Q173" i="18"/>
  <c r="T172" i="18"/>
  <c r="V172" i="18" s="1"/>
  <c r="Q172" i="18"/>
  <c r="V171" i="18"/>
  <c r="T171" i="18"/>
  <c r="Q171" i="18"/>
  <c r="T170" i="18"/>
  <c r="V170" i="18" s="1"/>
  <c r="Q170" i="18"/>
  <c r="T169" i="18"/>
  <c r="V169" i="18" s="1"/>
  <c r="Q169" i="18"/>
  <c r="T168" i="18"/>
  <c r="V168" i="18" s="1"/>
  <c r="Q168" i="18"/>
  <c r="V167" i="18"/>
  <c r="T167" i="18"/>
  <c r="Q167" i="18"/>
  <c r="T166" i="18"/>
  <c r="V166" i="18" s="1"/>
  <c r="Q166" i="18"/>
  <c r="T165" i="18"/>
  <c r="V165" i="18" s="1"/>
  <c r="Q165" i="18"/>
  <c r="T164" i="18"/>
  <c r="V164" i="18" s="1"/>
  <c r="Q164" i="18"/>
  <c r="V163" i="18"/>
  <c r="T163" i="18"/>
  <c r="Q163" i="18"/>
  <c r="T162" i="18"/>
  <c r="V162" i="18" s="1"/>
  <c r="Q162" i="18"/>
  <c r="T161" i="18"/>
  <c r="V161" i="18" s="1"/>
  <c r="Q161" i="18"/>
  <c r="T160" i="18"/>
  <c r="V160" i="18" s="1"/>
  <c r="Q160" i="18"/>
  <c r="V159" i="18"/>
  <c r="T159" i="18"/>
  <c r="Q159" i="18"/>
  <c r="T158" i="18"/>
  <c r="V158" i="18" s="1"/>
  <c r="Q158" i="18"/>
  <c r="T157" i="18"/>
  <c r="V157" i="18" s="1"/>
  <c r="Q157" i="18"/>
  <c r="T156" i="18"/>
  <c r="V156" i="18" s="1"/>
  <c r="Q156" i="18"/>
  <c r="V155" i="18"/>
  <c r="T155" i="18"/>
  <c r="Q155" i="18"/>
  <c r="T154" i="18"/>
  <c r="V154" i="18" s="1"/>
  <c r="V153" i="18"/>
  <c r="T153" i="18"/>
  <c r="T152" i="18"/>
  <c r="V152" i="18" s="1"/>
  <c r="T151" i="18"/>
  <c r="V151" i="18" s="1"/>
  <c r="Q151" i="18"/>
  <c r="V150" i="18"/>
  <c r="T150" i="18"/>
  <c r="Q150" i="18"/>
  <c r="T149" i="18"/>
  <c r="V149" i="18" s="1"/>
  <c r="Q149" i="18"/>
  <c r="T148" i="18"/>
  <c r="V148" i="18" s="1"/>
  <c r="Q148" i="18"/>
  <c r="T147" i="18"/>
  <c r="V147" i="18" s="1"/>
  <c r="Q147" i="18"/>
  <c r="V146" i="18"/>
  <c r="T146" i="18"/>
  <c r="Q146" i="18"/>
  <c r="T145" i="18"/>
  <c r="V145" i="18" s="1"/>
  <c r="Q145" i="18"/>
  <c r="T144" i="18"/>
  <c r="V144" i="18" s="1"/>
  <c r="Q144" i="18"/>
  <c r="T143" i="18"/>
  <c r="V143" i="18" s="1"/>
  <c r="Q143" i="18"/>
  <c r="V142" i="18"/>
  <c r="T142" i="18"/>
  <c r="Q142" i="18"/>
  <c r="T141" i="18"/>
  <c r="V141" i="18" s="1"/>
  <c r="Q141" i="18"/>
  <c r="T140" i="18"/>
  <c r="V140" i="18" s="1"/>
  <c r="Q140" i="18"/>
  <c r="T139" i="18"/>
  <c r="V139" i="18" s="1"/>
  <c r="Q139" i="18"/>
  <c r="V138" i="18"/>
  <c r="T138" i="18"/>
  <c r="Q138" i="18"/>
  <c r="T137" i="18"/>
  <c r="V137" i="18" s="1"/>
  <c r="Q137" i="18"/>
  <c r="T136" i="18"/>
  <c r="V136" i="18" s="1"/>
  <c r="Q136" i="18"/>
  <c r="T135" i="18"/>
  <c r="V135" i="18" s="1"/>
  <c r="Q135" i="18"/>
  <c r="V134" i="18"/>
  <c r="T134" i="18"/>
  <c r="Q134" i="18"/>
  <c r="T133" i="18"/>
  <c r="V133" i="18" s="1"/>
  <c r="Q133" i="18"/>
  <c r="T132" i="18"/>
  <c r="V132" i="18" s="1"/>
  <c r="Q132" i="18"/>
  <c r="T131" i="18"/>
  <c r="V131" i="18" s="1"/>
  <c r="Q131" i="18"/>
  <c r="V130" i="18"/>
  <c r="T130" i="18"/>
  <c r="Q130" i="18"/>
  <c r="T129" i="18"/>
  <c r="V129" i="18" s="1"/>
  <c r="Q129" i="18"/>
  <c r="T128" i="18"/>
  <c r="V128" i="18" s="1"/>
  <c r="Q128" i="18"/>
  <c r="T127" i="18"/>
  <c r="V127" i="18" s="1"/>
  <c r="Q127" i="18"/>
  <c r="V126" i="18"/>
  <c r="T126" i="18"/>
  <c r="Q126" i="18"/>
  <c r="T125" i="18"/>
  <c r="V125" i="18" s="1"/>
  <c r="Q125" i="18"/>
  <c r="T124" i="18"/>
  <c r="V124" i="18" s="1"/>
  <c r="Q124" i="18"/>
  <c r="T123" i="18"/>
  <c r="V123" i="18" s="1"/>
  <c r="Q123" i="18"/>
  <c r="V122" i="18"/>
  <c r="T122" i="18"/>
  <c r="Q122" i="18"/>
  <c r="T121" i="18"/>
  <c r="V121" i="18" s="1"/>
  <c r="Q121" i="18"/>
  <c r="T120" i="18"/>
  <c r="V120" i="18" s="1"/>
  <c r="Q120" i="18"/>
  <c r="T119" i="18"/>
  <c r="V119" i="18" s="1"/>
  <c r="Q119" i="18"/>
  <c r="V118" i="18"/>
  <c r="T118" i="18"/>
  <c r="Q118" i="18"/>
  <c r="T117" i="18"/>
  <c r="V117" i="18" s="1"/>
  <c r="Q117" i="18"/>
  <c r="T116" i="18"/>
  <c r="V116" i="18" s="1"/>
  <c r="Q116" i="18"/>
  <c r="T115" i="18"/>
  <c r="V115" i="18" s="1"/>
  <c r="Q115" i="18"/>
  <c r="V114" i="18"/>
  <c r="T114" i="18"/>
  <c r="Q114" i="18"/>
  <c r="T113" i="18"/>
  <c r="V113" i="18" s="1"/>
  <c r="Q113" i="18"/>
  <c r="T112" i="18"/>
  <c r="V112" i="18" s="1"/>
  <c r="Q112" i="18"/>
  <c r="T111" i="18"/>
  <c r="V111" i="18" s="1"/>
  <c r="Q111" i="18"/>
  <c r="T110" i="18"/>
  <c r="V110" i="18" s="1"/>
  <c r="Q110" i="18"/>
  <c r="T109" i="18"/>
  <c r="Q109" i="18"/>
  <c r="T108" i="18"/>
  <c r="Q108" i="18"/>
  <c r="T107" i="18"/>
  <c r="Q107" i="18"/>
  <c r="T106" i="18"/>
  <c r="Q106" i="18"/>
  <c r="T105" i="18"/>
  <c r="Q105" i="18"/>
  <c r="T104" i="18"/>
  <c r="Q104" i="18"/>
  <c r="T103" i="18"/>
  <c r="V103" i="18" s="1"/>
  <c r="Q103" i="18"/>
  <c r="T102" i="18"/>
  <c r="V102" i="18" s="1"/>
  <c r="Q102" i="18"/>
  <c r="T101" i="18"/>
  <c r="V101" i="18" s="1"/>
  <c r="Q101" i="18"/>
  <c r="T100" i="18"/>
  <c r="Q100" i="18"/>
  <c r="T99" i="18"/>
  <c r="Q99" i="18"/>
  <c r="T98" i="18"/>
  <c r="Q98" i="18"/>
  <c r="T97" i="18"/>
  <c r="Q97" i="18"/>
  <c r="T96" i="18"/>
  <c r="Q96" i="18"/>
  <c r="T95" i="18"/>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V51" i="18"/>
  <c r="T51" i="18"/>
  <c r="T50" i="18"/>
  <c r="V50" i="18" s="1"/>
  <c r="T49" i="18"/>
  <c r="V49" i="18" s="1"/>
  <c r="V48" i="18"/>
  <c r="T48" i="18"/>
  <c r="T47" i="18"/>
  <c r="V47" i="18" s="1"/>
  <c r="T46" i="18"/>
  <c r="V46" i="18" s="1"/>
  <c r="V45" i="18"/>
  <c r="T45" i="18"/>
  <c r="T44" i="18"/>
  <c r="V44" i="18" s="1"/>
  <c r="T43" i="18"/>
  <c r="V43" i="18" s="1"/>
  <c r="V42" i="18"/>
  <c r="T42" i="18"/>
  <c r="T41" i="18"/>
  <c r="V41" i="18" s="1"/>
  <c r="T40" i="18"/>
  <c r="V40" i="18" s="1"/>
  <c r="V39" i="18"/>
  <c r="T39" i="18"/>
  <c r="T38" i="18"/>
  <c r="V38" i="18" s="1"/>
  <c r="T37" i="18"/>
  <c r="V37" i="18" s="1"/>
  <c r="V36" i="18"/>
  <c r="T36" i="18"/>
  <c r="T35" i="18"/>
  <c r="V35" i="18" s="1"/>
  <c r="T34" i="18"/>
  <c r="V34" i="18" s="1"/>
  <c r="V33" i="18"/>
  <c r="T33" i="18"/>
  <c r="T32" i="18"/>
  <c r="V32" i="18" s="1"/>
  <c r="T31" i="18"/>
  <c r="V31" i="18" s="1"/>
  <c r="V30" i="18"/>
  <c r="T30" i="18"/>
  <c r="T29" i="18"/>
  <c r="V29" i="18" s="1"/>
  <c r="T28" i="18"/>
  <c r="V28" i="18" s="1"/>
  <c r="V27" i="18"/>
  <c r="T27" i="18"/>
  <c r="T26" i="18"/>
  <c r="V26" i="18" s="1"/>
  <c r="T25" i="18"/>
  <c r="V25" i="18" s="1"/>
  <c r="V24" i="18"/>
  <c r="T24" i="18"/>
  <c r="T23" i="18"/>
  <c r="V23" i="18" s="1"/>
  <c r="T22" i="18"/>
  <c r="V22" i="18" s="1"/>
  <c r="V21" i="18"/>
  <c r="T21" i="18"/>
  <c r="T20" i="18"/>
  <c r="V20" i="18" s="1"/>
  <c r="T19" i="18"/>
  <c r="V19" i="18" s="1"/>
  <c r="V18" i="18"/>
  <c r="T18" i="18"/>
  <c r="T17" i="18"/>
  <c r="V17" i="18" s="1"/>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<sst xmlns="http://schemas.openxmlformats.org/spreadsheetml/2006/main" count="10329" uniqueCount="389">
  <si>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</si>
  <si>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</si>
  <si>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</si>
  <si>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</si>
  <si>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</si>
  <si>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</si>
  <si>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</si>
  <si>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</si>
  <si>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</si>
  <si>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</si>
  <si>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</si>
  <si>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</si>
  <si>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</si>
  <si>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</si>
  <si>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</si>
  <si>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</si>
  <si>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</si>
  <si>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</si>
  <si>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</si>
  <si>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</si>
  <si>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</si>
  <si>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</si>
  <si>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</si>
  <si>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</si>
  <si>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</si>
  <si>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</si>
  <si>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</si>
  <si>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</si>
  <si>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</si>
  <si>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</si>
  <si>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</si>
  <si>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</si>
  <si>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</si>
  <si>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</si>
  <si>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</si>
  <si>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</si>
  <si>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</si>
  <si>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</si>
  <si>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</si>
  <si>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</si>
  <si>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</si>
  <si>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</si>
  <si>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</si>
  <si>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</si>
  <si>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</si>
  <si>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</si>
  <si>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</si>
  <si>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</si>
  <si>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</si>
  <si>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</si>
  <si>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</si>
  <si>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</si>
  <si>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</si>
  <si>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</si>
  <si>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</si>
  <si>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</si>
  <si>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</si>
  <si>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</si>
  <si>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</si>
  <si>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</si>
  <si>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</si>
  <si>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</si>
  <si>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</si>
  <si>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</si>
  <si>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</si>
  <si>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</si>
  <si>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</si>
  <si>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</si>
  <si>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</si>
  <si>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</si>
  <si>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</si>
  <si>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</si>
  <si>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</si>
  <si>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</si>
  <si>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</si>
  <si>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</si>
  <si>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</si>
  <si>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</si>
  <si>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</si>
  <si>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</si>
  <si>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</si>
  <si>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</si>
  <si>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</si>
  <si>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</si>
  <si>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</si>
  <si>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</si>
  <si>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</si>
  <si>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</si>
  <si>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</si>
  <si>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</si>
  <si>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</si>
  <si>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</si>
  <si>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</si>
  <si>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</si>
  <si>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</si>
  <si>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</si>
  <si>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</si>
  <si>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</si>
  <si>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</si>
  <si>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</si>
  <si>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</si>
  <si>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</si>
  <si>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</si>
  <si>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</si>
  <si>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</si>
  <si>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</si>
  <si>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</si>
  <si>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</si>
  <si>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</si>
  <si>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</si>
  <si>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</si>
  <si>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</si>
  <si>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</si>
  <si>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</si>
  <si>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</si>
  <si>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</si>
  <si>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</si>
  <si>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</si>
  <si>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</si>
  <si>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</si>
  <si>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</si>
  <si>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</si>
  <si>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</si>
  <si>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</si>
  <si>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</si>
  <si>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</si>
  <si>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</si>
  <si>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</si>
  <si>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</si>
  <si>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</si>
  <si>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</si>
  <si>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</si>
  <si>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</si>
  <si>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</si>
  <si>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</si>
  <si>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</si>
  <si>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</si>
  <si>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</si>
  <si>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</si>
  <si>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</si>
  <si>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</si>
  <si>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</si>
  <si>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</si>
  <si>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</si>
  <si>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</si>
  <si>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</si>
  <si>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</si>
  <si>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</si>
  <si>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</si>
  <si>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</si>
  <si>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</si>
  <si>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</si>
  <si>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</si>
  <si>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</si>
  <si>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</si>
  <si>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</si>
  <si>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</si>
  <si>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</si>
  <si>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</si>
  <si>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</si>
  <si>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</si>
  <si>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</si>
  <si>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</si>
  <si>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</si>
  <si>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</si>
  <si>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23.10.2019</t>
  </si>
  <si>
    <t>23.10.2019</t>
    <phoneticPr fontId="3"/>
  </si>
  <si>
    <t>OB</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</si>
  <si>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</si>
  <si>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</si>
  <si>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</si>
  <si>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</si>
  <si>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</si>
  <si>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</si>
  <si>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</si>
  <si>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</si>
  <si>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</si>
  <si>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</si>
  <si>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</si>
  <si>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</si>
  <si>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</si>
  <si>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</si>
  <si>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</si>
  <si>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</si>
  <si>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21.10.2019</t>
    <phoneticPr fontId="16"/>
  </si>
  <si>
    <t>利府店</t>
  </si>
  <si>
    <t>その他グリーン</t>
  </si>
  <si>
    <t>みやぎ生協</t>
  </si>
  <si>
    <t>その他ゴールド</t>
  </si>
  <si>
    <t>21.10.2019</t>
  </si>
  <si>
    <t>杉の入店</t>
  </si>
  <si>
    <t>その他レッド</t>
  </si>
  <si>
    <t>減農薬栽培</t>
  </si>
  <si>
    <t>D'lish</t>
  </si>
  <si>
    <t>中国</t>
  </si>
  <si>
    <t>ウジエ</t>
  </si>
  <si>
    <t>Del Monte</t>
  </si>
  <si>
    <t>塩釜店</t>
  </si>
  <si>
    <t>GK</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</si>
  <si>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</si>
  <si>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</si>
  <si>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</si>
  <si>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</si>
  <si>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</si>
  <si>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</si>
  <si>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</si>
  <si>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</si>
  <si>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</si>
  <si>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</si>
  <si>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</si>
  <si>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</si>
  <si>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</si>
  <si>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</si>
  <si>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</si>
  <si>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</si>
  <si>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</si>
  <si>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</si>
  <si>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</si>
  <si>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</si>
  <si>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</si>
  <si>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</si>
  <si>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</si>
  <si>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</si>
  <si>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</si>
  <si>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</si>
  <si>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</si>
  <si>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</si>
  <si>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</si>
  <si>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</si>
  <si>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</si>
  <si>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</si>
  <si>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</si>
  <si>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</si>
  <si>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</si>
  <si>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24.10.2019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</si>
  <si>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</si>
  <si>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</si>
  <si>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</si>
  <si>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</si>
  <si>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</si>
  <si>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</si>
  <si>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</si>
  <si>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</si>
  <si>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</si>
  <si>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</si>
  <si>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</si>
  <si>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</si>
  <si>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</si>
  <si>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</si>
  <si>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</si>
  <si>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</si>
  <si>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</si>
  <si>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</si>
  <si>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</si>
  <si>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</si>
  <si>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</si>
  <si>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</si>
  <si>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</si>
  <si>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</si>
  <si>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</si>
  <si>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</si>
  <si>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</si>
  <si>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25.10.2019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</si>
  <si>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</si>
  <si>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</si>
  <si>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</si>
  <si>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</si>
  <si>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</si>
  <si>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</si>
  <si>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</si>
  <si>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</si>
  <si>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</si>
  <si>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</si>
  <si>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</si>
  <si>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</si>
  <si>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</si>
  <si>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</si>
  <si>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</si>
  <si>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</si>
  <si>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</si>
  <si>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</si>
  <si>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</si>
  <si>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</si>
  <si>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</si>
  <si>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</si>
  <si>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</si>
  <si>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</si>
  <si>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</si>
  <si>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</si>
  <si>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</si>
  <si>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</si>
  <si>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</si>
  <si>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</si>
  <si>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</si>
  <si>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</si>
  <si>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</si>
  <si>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</si>
  <si>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</si>
  <si>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</si>
  <si>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</si>
  <si>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</si>
  <si>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</si>
  <si>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</si>
  <si>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</si>
  <si>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</si>
  <si>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</si>
  <si>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</si>
  <si>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</si>
  <si>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</si>
  <si>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</si>
  <si>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</si>
  <si>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</si>
  <si>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</si>
  <si>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</si>
  <si>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</si>
  <si>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</si>
  <si>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</si>
  <si>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</si>
  <si>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</si>
  <si>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</si>
  <si>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</si>
  <si>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</si>
  <si>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</si>
  <si>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</si>
  <si>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</si>
  <si>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県名</t>
    <phoneticPr fontId="3"/>
  </si>
  <si>
    <t>チェーン名</t>
    <phoneticPr fontId="3"/>
  </si>
  <si>
    <t>品種</t>
    <phoneticPr fontId="3"/>
  </si>
  <si>
    <t>25.10.2019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</si>
  <si>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</si>
  <si>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</si>
  <si>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</si>
  <si>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</si>
  <si>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</si>
  <si>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</si>
  <si>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</si>
  <si>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</si>
  <si>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</si>
  <si>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</si>
  <si>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</si>
  <si>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</si>
  <si>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</si>
  <si>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</si>
  <si>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</si>
  <si>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</si>
  <si>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</si>
  <si>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</si>
  <si>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</si>
  <si>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</si>
  <si>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</si>
  <si>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</si>
  <si>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</si>
  <si>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</si>
  <si>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</si>
  <si>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</si>
  <si>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</si>
  <si>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店舗名</t>
    <phoneticPr fontId="3"/>
  </si>
  <si>
    <t>サミット</t>
  </si>
  <si>
    <t>久が原食品館</t>
  </si>
  <si>
    <t>24.10.2019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</si>
  <si>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</si>
  <si>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</si>
  <si>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</si>
  <si>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</si>
  <si>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</si>
  <si>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</si>
  <si>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</si>
  <si>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</si>
  <si>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</si>
  <si>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</si>
  <si>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</si>
  <si>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21.10.2019</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</si>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</sst>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topLeftCell="A7" zoomScale="85" zoomScaleNormal="85" workbookViewId="0">
      <selection activeCell="H16" sqref="H16"/>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0.55000000000000004</v>
      </c>
      <c r="P2" s="15">
        <v>0.55000000000000004</v>
      </c>
      <c r="Q2" s="51">
        <f t="shared" ref="Q2:Q65" si="0">IF(OR(O2="",P2=""),"",AVERAGE(O2,P2))</f>
        <v>0.55000000000000004</v>
      </c>
      <c r="R2" s="15">
        <v>13.4</v>
      </c>
      <c r="S2" s="15">
        <v>118</v>
      </c>
      <c r="T2" s="38">
        <f t="shared" ref="T2:T59" si="1">IF(H2="","",IF(OR(H2="GREEN",H2="GK"),IF(S2&gt;=$AX$2,VLOOKUP(S2,$AX$2:$AY$12,2,1),""),IF(S2&gt;=$AZ$2,VLOOKUP(S2,$AZ$2:$BA$12,2,1),"")))</f>
        <v>30</v>
      </c>
      <c r="U2" s="15">
        <v>98</v>
      </c>
      <c r="V2" s="38">
        <f t="shared" ref="V2:V65" si="2">IF(OR(N2="",U2="",T2=""),"",U2/N2*T2)</f>
        <v>2940</v>
      </c>
      <c r="W2" s="15">
        <v>5</v>
      </c>
      <c r="X2" s="15" t="s">
        <v>39</v>
      </c>
      <c r="Y2" s="15" t="s">
        <v>50</v>
      </c>
      <c r="Z2" s="15" t="s">
        <v>84</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15.7</v>
      </c>
      <c r="S3" s="7">
        <v>129</v>
      </c>
      <c r="T3" s="16">
        <f t="shared" si="1"/>
        <v>25</v>
      </c>
      <c r="U3" s="15">
        <v>98</v>
      </c>
      <c r="V3" s="16">
        <f t="shared" si="2"/>
        <v>2450</v>
      </c>
      <c r="W3" s="15">
        <v>5</v>
      </c>
      <c r="X3" s="15" t="s">
        <v>39</v>
      </c>
      <c r="Y3" s="15" t="s">
        <v>50</v>
      </c>
      <c r="Z3" s="15" t="s">
        <v>84</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0.5</v>
      </c>
      <c r="P4" s="7">
        <v>0.5</v>
      </c>
      <c r="Q4" s="52">
        <f t="shared" si="0"/>
        <v>0.5</v>
      </c>
      <c r="R4" s="7">
        <v>13.9</v>
      </c>
      <c r="S4" s="7">
        <v>125</v>
      </c>
      <c r="T4" s="16">
        <f t="shared" si="1"/>
        <v>27</v>
      </c>
      <c r="U4" s="15">
        <v>98</v>
      </c>
      <c r="V4" s="16">
        <f t="shared" si="2"/>
        <v>2646</v>
      </c>
      <c r="W4" s="15">
        <v>5</v>
      </c>
      <c r="X4" s="54" t="s">
        <v>39</v>
      </c>
      <c r="Y4" s="54" t="s">
        <v>50</v>
      </c>
      <c r="Z4" s="54" t="s">
        <v>84</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14.2</v>
      </c>
      <c r="S5" s="7">
        <v>125</v>
      </c>
      <c r="T5" s="16">
        <f t="shared" si="1"/>
        <v>27</v>
      </c>
      <c r="U5" s="15">
        <v>125</v>
      </c>
      <c r="V5" s="16">
        <f t="shared" si="2"/>
        <v>3375</v>
      </c>
      <c r="W5" s="15">
        <v>8</v>
      </c>
      <c r="X5" s="54" t="s">
        <v>39</v>
      </c>
      <c r="Y5" s="54" t="s">
        <v>50</v>
      </c>
      <c r="Z5" s="54" t="s">
        <v>84</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14.3</v>
      </c>
      <c r="S6" s="7">
        <v>139</v>
      </c>
      <c r="T6" s="16">
        <f t="shared" si="1"/>
        <v>22</v>
      </c>
      <c r="U6" s="15">
        <v>125</v>
      </c>
      <c r="V6" s="16">
        <f t="shared" si="2"/>
        <v>2750</v>
      </c>
      <c r="W6" s="15">
        <v>8</v>
      </c>
      <c r="X6" s="54" t="s">
        <v>39</v>
      </c>
      <c r="Y6" s="54" t="s">
        <v>50</v>
      </c>
      <c r="Z6" s="54" t="s">
        <v>84</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13.6</v>
      </c>
      <c r="S7" s="7">
        <v>127</v>
      </c>
      <c r="T7" s="16">
        <f t="shared" si="1"/>
        <v>27</v>
      </c>
      <c r="U7" s="15">
        <v>125</v>
      </c>
      <c r="V7" s="16">
        <f t="shared" si="2"/>
        <v>3375</v>
      </c>
      <c r="W7" s="15">
        <v>8</v>
      </c>
      <c r="X7" s="54" t="s">
        <v>39</v>
      </c>
      <c r="Y7" s="54" t="s">
        <v>50</v>
      </c>
      <c r="Z7" s="54" t="s">
        <v>84</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0.55000000000000004</v>
      </c>
      <c r="P8" s="7">
        <v>0.55000000000000004</v>
      </c>
      <c r="Q8" s="52">
        <f t="shared" si="0"/>
        <v>0.55000000000000004</v>
      </c>
      <c r="R8" s="34">
        <v>15.7</v>
      </c>
      <c r="S8" s="7">
        <v>118</v>
      </c>
      <c r="T8" s="16">
        <f t="shared" si="1"/>
        <v>30</v>
      </c>
      <c r="U8" s="15">
        <v>98</v>
      </c>
      <c r="V8" s="16">
        <f t="shared" si="2"/>
        <v>2940</v>
      </c>
      <c r="W8" s="15">
        <v>9</v>
      </c>
      <c r="X8" s="15" t="s">
        <v>46</v>
      </c>
      <c r="Y8" s="54" t="s">
        <v>90</v>
      </c>
      <c r="Z8" s="54" t="s">
        <v>50</v>
      </c>
      <c r="AA8" s="54" t="s">
        <v>84</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0.6</v>
      </c>
      <c r="P9" s="7">
        <v>0.65</v>
      </c>
      <c r="Q9" s="52">
        <f t="shared" si="0"/>
        <v>0.625</v>
      </c>
      <c r="R9" s="7">
        <v>12.7</v>
      </c>
      <c r="S9" s="7">
        <v>119</v>
      </c>
      <c r="T9" s="16">
        <f t="shared" si="1"/>
        <v>30</v>
      </c>
      <c r="U9" s="15">
        <v>98</v>
      </c>
      <c r="V9" s="16">
        <f t="shared" si="2"/>
        <v>2940</v>
      </c>
      <c r="W9" s="15">
        <v>9</v>
      </c>
      <c r="X9" s="15" t="s">
        <v>46</v>
      </c>
      <c r="Y9" s="54" t="s">
        <v>90</v>
      </c>
      <c r="Z9" s="54" t="s">
        <v>50</v>
      </c>
      <c r="AA9" s="54" t="s">
        <v>84</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0.6</v>
      </c>
      <c r="P10" s="7">
        <v>0.6</v>
      </c>
      <c r="Q10" s="52">
        <f t="shared" si="0"/>
        <v>0.6</v>
      </c>
      <c r="R10" s="7">
        <v>15.3</v>
      </c>
      <c r="S10" s="7">
        <v>124</v>
      </c>
      <c r="T10" s="16">
        <f t="shared" si="1"/>
        <v>27</v>
      </c>
      <c r="U10" s="15">
        <v>98</v>
      </c>
      <c r="V10" s="16">
        <f t="shared" si="2"/>
        <v>2646</v>
      </c>
      <c r="W10" s="15">
        <v>9</v>
      </c>
      <c r="X10" s="15" t="s">
        <v>46</v>
      </c>
      <c r="Y10" s="54" t="s">
        <v>90</v>
      </c>
      <c r="Z10" s="54" t="s">
        <v>50</v>
      </c>
      <c r="AA10" s="54" t="s">
        <v>84</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0.55000000000000004</v>
      </c>
      <c r="P11" s="7">
        <v>0.55000000000000004</v>
      </c>
      <c r="Q11" s="52">
        <f t="shared" si="0"/>
        <v>0.55000000000000004</v>
      </c>
      <c r="R11" s="7">
        <v>18.2</v>
      </c>
      <c r="S11" s="7">
        <v>135</v>
      </c>
      <c r="T11" s="16">
        <f t="shared" si="1"/>
        <v>25</v>
      </c>
      <c r="U11" s="7">
        <v>98</v>
      </c>
      <c r="V11" s="16">
        <f t="shared" si="2"/>
        <v>2450</v>
      </c>
      <c r="W11" s="7">
        <v>6</v>
      </c>
      <c r="X11" s="15" t="s">
        <v>46</v>
      </c>
      <c r="Y11" s="54" t="s">
        <v>90</v>
      </c>
      <c r="Z11" s="54" t="s">
        <v>50</v>
      </c>
      <c r="AA11" s="54" t="s">
        <v>84</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0.65</v>
      </c>
      <c r="P12" s="7">
        <v>0.6</v>
      </c>
      <c r="Q12" s="52">
        <f t="shared" si="0"/>
        <v>0.625</v>
      </c>
      <c r="R12" s="34">
        <v>13.9</v>
      </c>
      <c r="S12" s="7">
        <v>131</v>
      </c>
      <c r="T12" s="16">
        <f t="shared" si="1"/>
        <v>25</v>
      </c>
      <c r="U12" s="7">
        <v>98</v>
      </c>
      <c r="V12" s="16">
        <f t="shared" si="2"/>
        <v>2450</v>
      </c>
      <c r="W12" s="7">
        <v>6</v>
      </c>
      <c r="X12" s="15" t="s">
        <v>46</v>
      </c>
      <c r="Y12" s="54" t="s">
        <v>90</v>
      </c>
      <c r="Z12" s="54" t="s">
        <v>50</v>
      </c>
      <c r="AA12" s="54" t="s">
        <v>84</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0.55000000000000004</v>
      </c>
      <c r="P13" s="7">
        <v>0.6</v>
      </c>
      <c r="Q13" s="52">
        <f t="shared" si="0"/>
        <v>0.57499999999999996</v>
      </c>
      <c r="R13" s="7">
        <v>17.899999999999999</v>
      </c>
      <c r="S13" s="7">
        <v>130</v>
      </c>
      <c r="T13" s="16">
        <f t="shared" si="1"/>
        <v>25</v>
      </c>
      <c r="U13" s="7">
        <v>98</v>
      </c>
      <c r="V13" s="16">
        <f t="shared" si="2"/>
        <v>2450</v>
      </c>
      <c r="W13" s="7">
        <v>6</v>
      </c>
      <c r="X13" s="15" t="s">
        <v>46</v>
      </c>
      <c r="Y13" s="54" t="s">
        <v>90</v>
      </c>
      <c r="Z13" s="54" t="s">
        <v>50</v>
      </c>
      <c r="AA13" s="54" t="s">
        <v>84</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0.55000000000000004</v>
      </c>
      <c r="P14" s="7">
        <v>0.7</v>
      </c>
      <c r="Q14" s="52">
        <f t="shared" si="0"/>
        <v>0.625</v>
      </c>
      <c r="R14" s="7">
        <v>13.1</v>
      </c>
      <c r="S14" s="7">
        <v>126</v>
      </c>
      <c r="T14" s="16">
        <f t="shared" si="1"/>
        <v>27</v>
      </c>
      <c r="U14" s="7">
        <v>128</v>
      </c>
      <c r="V14" s="16">
        <f t="shared" si="2"/>
        <v>3456</v>
      </c>
      <c r="W14" s="7">
        <v>3</v>
      </c>
      <c r="X14" s="15" t="s">
        <v>46</v>
      </c>
      <c r="Y14" s="54" t="s">
        <v>50</v>
      </c>
      <c r="Z14" s="54" t="s">
        <v>102</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0.6</v>
      </c>
      <c r="P15" s="7">
        <v>0.55000000000000004</v>
      </c>
      <c r="Q15" s="52">
        <f t="shared" si="0"/>
        <v>0.57499999999999996</v>
      </c>
      <c r="R15" s="7">
        <v>15.6</v>
      </c>
      <c r="S15" s="7">
        <v>121</v>
      </c>
      <c r="T15" s="16">
        <f t="shared" si="1"/>
        <v>27</v>
      </c>
      <c r="U15" s="7">
        <v>128</v>
      </c>
      <c r="V15" s="16">
        <f t="shared" si="2"/>
        <v>3456</v>
      </c>
      <c r="W15" s="7">
        <v>3</v>
      </c>
      <c r="X15" s="15" t="s">
        <v>46</v>
      </c>
      <c r="Y15" s="54" t="s">
        <v>50</v>
      </c>
      <c r="Z15" s="54" t="s">
        <v>102</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0.8</v>
      </c>
      <c r="P16" s="7">
        <v>0.7</v>
      </c>
      <c r="Q16" s="52">
        <f t="shared" si="0"/>
        <v>0.75</v>
      </c>
      <c r="R16" s="7">
        <v>13</v>
      </c>
      <c r="S16" s="7">
        <v>125</v>
      </c>
      <c r="T16" s="16">
        <f t="shared" si="1"/>
        <v>27</v>
      </c>
      <c r="U16" s="7">
        <v>128</v>
      </c>
      <c r="V16" s="16">
        <f t="shared" si="2"/>
        <v>3456</v>
      </c>
      <c r="W16" s="7">
        <v>3</v>
      </c>
      <c r="X16" s="15" t="s">
        <v>46</v>
      </c>
      <c r="Y16" s="54" t="s">
        <v>50</v>
      </c>
      <c r="Z16" s="54" t="s">
        <v>102</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0.75</v>
      </c>
      <c r="P17" s="7">
        <v>0.7</v>
      </c>
      <c r="Q17" s="52">
        <f t="shared" si="0"/>
        <v>0.72499999999999998</v>
      </c>
      <c r="R17" s="7">
        <v>13.7</v>
      </c>
      <c r="S17" s="7">
        <v>117</v>
      </c>
      <c r="T17" s="16">
        <f t="shared" si="1"/>
        <v>30</v>
      </c>
      <c r="U17" s="7">
        <v>138</v>
      </c>
      <c r="V17" s="16">
        <f t="shared" si="2"/>
        <v>4140</v>
      </c>
      <c r="W17" s="7">
        <v>3</v>
      </c>
      <c r="X17" s="54" t="s">
        <v>46</v>
      </c>
      <c r="Y17" s="54" t="s">
        <v>50</v>
      </c>
      <c r="Z17" s="54" t="s">
        <v>102</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0.65</v>
      </c>
      <c r="P18" s="7">
        <v>0.75</v>
      </c>
      <c r="Q18" s="52">
        <f t="shared" si="0"/>
        <v>0.7</v>
      </c>
      <c r="R18" s="7">
        <v>13.6</v>
      </c>
      <c r="S18" s="7">
        <v>125</v>
      </c>
      <c r="T18" s="16">
        <f t="shared" si="1"/>
        <v>27</v>
      </c>
      <c r="U18" s="7">
        <v>138</v>
      </c>
      <c r="V18" s="16">
        <f t="shared" si="2"/>
        <v>3726</v>
      </c>
      <c r="W18" s="7">
        <v>3</v>
      </c>
      <c r="X18" s="54" t="s">
        <v>46</v>
      </c>
      <c r="Y18" s="54" t="s">
        <v>50</v>
      </c>
      <c r="Z18" s="54" t="s">
        <v>102</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0.6</v>
      </c>
      <c r="P19" s="7">
        <v>0.7</v>
      </c>
      <c r="Q19" s="52">
        <f t="shared" si="0"/>
        <v>0.64999999999999991</v>
      </c>
      <c r="R19" s="7">
        <v>13.7</v>
      </c>
      <c r="S19" s="7">
        <v>120</v>
      </c>
      <c r="T19" s="16">
        <f t="shared" si="1"/>
        <v>30</v>
      </c>
      <c r="U19" s="7">
        <v>138</v>
      </c>
      <c r="V19" s="16">
        <f t="shared" si="2"/>
        <v>4140</v>
      </c>
      <c r="W19" s="7">
        <v>3</v>
      </c>
      <c r="X19" s="54" t="s">
        <v>46</v>
      </c>
      <c r="Y19" s="54" t="s">
        <v>50</v>
      </c>
      <c r="Z19" s="54" t="s">
        <v>102</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0.75</v>
      </c>
      <c r="P20" s="34">
        <v>0.8</v>
      </c>
      <c r="Q20" s="52">
        <f t="shared" si="0"/>
        <v>0.77500000000000002</v>
      </c>
      <c r="R20" s="7">
        <v>13.5</v>
      </c>
      <c r="S20" s="7">
        <v>126</v>
      </c>
      <c r="T20" s="16">
        <f t="shared" si="1"/>
        <v>27</v>
      </c>
      <c r="U20" s="7">
        <v>98</v>
      </c>
      <c r="V20" s="16">
        <f t="shared" si="2"/>
        <v>2646</v>
      </c>
      <c r="W20" s="7">
        <v>2</v>
      </c>
      <c r="X20" s="15" t="s">
        <v>39</v>
      </c>
      <c r="Y20" s="54" t="s">
        <v>50</v>
      </c>
      <c r="Z20" s="54" t="s">
        <v>90</v>
      </c>
      <c r="AA20" s="54" t="s">
        <v>84</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0.75</v>
      </c>
      <c r="P21" s="7">
        <v>0.9</v>
      </c>
      <c r="Q21" s="52">
        <f t="shared" si="0"/>
        <v>0.82499999999999996</v>
      </c>
      <c r="R21" s="7">
        <v>13.2</v>
      </c>
      <c r="S21" s="7">
        <v>122</v>
      </c>
      <c r="T21" s="16">
        <f t="shared" si="1"/>
        <v>27</v>
      </c>
      <c r="U21" s="7">
        <v>98</v>
      </c>
      <c r="V21" s="16">
        <f t="shared" si="2"/>
        <v>2646</v>
      </c>
      <c r="W21" s="7">
        <v>2</v>
      </c>
      <c r="X21" s="54" t="s">
        <v>39</v>
      </c>
      <c r="Y21" s="54" t="s">
        <v>50</v>
      </c>
      <c r="Z21" s="54" t="s">
        <v>90</v>
      </c>
      <c r="AA21" s="54" t="s">
        <v>84</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0.75</v>
      </c>
      <c r="P22" s="7">
        <v>0.7</v>
      </c>
      <c r="Q22" s="52">
        <f t="shared" si="0"/>
        <v>0.72499999999999998</v>
      </c>
      <c r="R22" s="7">
        <v>13.8</v>
      </c>
      <c r="S22" s="7">
        <v>119</v>
      </c>
      <c r="T22" s="16">
        <f t="shared" si="1"/>
        <v>30</v>
      </c>
      <c r="U22" s="7">
        <v>98</v>
      </c>
      <c r="V22" s="16">
        <f t="shared" si="2"/>
        <v>2940</v>
      </c>
      <c r="W22" s="7">
        <v>2</v>
      </c>
      <c r="X22" s="54" t="s">
        <v>39</v>
      </c>
      <c r="Y22" s="54" t="s">
        <v>50</v>
      </c>
      <c r="Z22" s="54" t="s">
        <v>90</v>
      </c>
      <c r="AA22" s="54" t="s">
        <v>84</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15</v>
      </c>
      <c r="S23" s="7">
        <v>121</v>
      </c>
      <c r="T23" s="16">
        <f t="shared" si="1"/>
        <v>27</v>
      </c>
      <c r="U23" s="7">
        <v>128</v>
      </c>
      <c r="V23" s="16">
        <f t="shared" si="2"/>
        <v>3456</v>
      </c>
      <c r="W23" s="7">
        <v>2</v>
      </c>
      <c r="X23" s="54" t="s">
        <v>39</v>
      </c>
      <c r="Y23" s="54" t="s">
        <v>50</v>
      </c>
      <c r="Z23" s="54" t="s">
        <v>90</v>
      </c>
      <c r="AA23" s="54" t="s">
        <v>84</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18.5</v>
      </c>
      <c r="S24" s="7">
        <v>123</v>
      </c>
      <c r="T24" s="16">
        <f t="shared" si="1"/>
        <v>27</v>
      </c>
      <c r="U24" s="7">
        <v>128</v>
      </c>
      <c r="V24" s="16">
        <f t="shared" si="2"/>
        <v>3456</v>
      </c>
      <c r="W24" s="7">
        <v>2</v>
      </c>
      <c r="X24" s="54" t="s">
        <v>39</v>
      </c>
      <c r="Y24" s="54" t="s">
        <v>50</v>
      </c>
      <c r="Z24" s="54" t="s">
        <v>90</v>
      </c>
      <c r="AA24" s="54" t="s">
        <v>84</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14.9</v>
      </c>
      <c r="S25" s="7">
        <v>121</v>
      </c>
      <c r="T25" s="16">
        <f t="shared" si="1"/>
        <v>27</v>
      </c>
      <c r="U25" s="7">
        <v>128</v>
      </c>
      <c r="V25" s="16">
        <f t="shared" si="2"/>
        <v>3456</v>
      </c>
      <c r="W25" s="7">
        <v>2</v>
      </c>
      <c r="X25" s="54" t="s">
        <v>39</v>
      </c>
      <c r="Y25" s="54" t="s">
        <v>50</v>
      </c>
      <c r="Z25" s="54" t="s">
        <v>90</v>
      </c>
      <c r="AA25" s="54" t="s">
        <v>84</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0.5</v>
      </c>
      <c r="P26" s="7">
        <v>0.5</v>
      </c>
      <c r="Q26" s="52">
        <f t="shared" si="0"/>
        <v>0.5</v>
      </c>
      <c r="R26" s="7">
        <v>14.9</v>
      </c>
      <c r="S26" s="7">
        <v>129</v>
      </c>
      <c r="T26" s="16">
        <f t="shared" si="1"/>
        <v>25</v>
      </c>
      <c r="U26" s="7">
        <v>107</v>
      </c>
      <c r="V26" s="16">
        <f t="shared" si="2"/>
        <v>2675</v>
      </c>
      <c r="W26" s="7">
        <v>4</v>
      </c>
      <c r="X26" s="15" t="s">
        <v>46</v>
      </c>
      <c r="Y26" s="54" t="s">
        <v>50</v>
      </c>
      <c r="Z26" s="54" t="s">
        <v>84</v>
      </c>
      <c r="AA26" s="54" t="s">
        <v>78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0.5</v>
      </c>
      <c r="P27" s="7">
        <v>0.5</v>
      </c>
      <c r="Q27" s="52">
        <f t="shared" si="0"/>
        <v>0.5</v>
      </c>
      <c r="R27" s="7">
        <v>15.1</v>
      </c>
      <c r="S27" s="7">
        <v>125</v>
      </c>
      <c r="T27" s="16">
        <f t="shared" si="1"/>
        <v>27</v>
      </c>
      <c r="U27" s="7">
        <v>107</v>
      </c>
      <c r="V27" s="16">
        <f t="shared" si="2"/>
        <v>2889</v>
      </c>
      <c r="W27" s="7">
        <v>4</v>
      </c>
      <c r="X27" s="54" t="s">
        <v>46</v>
      </c>
      <c r="Y27" s="54" t="s">
        <v>50</v>
      </c>
      <c r="Z27" s="54" t="s">
        <v>84</v>
      </c>
      <c r="AA27" s="54" t="s">
        <v>78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v>
      </c>
      <c r="P28" s="7">
        <v>0.8</v>
      </c>
      <c r="Q28" s="52">
        <f t="shared" si="0"/>
        <v>0.75</v>
      </c>
      <c r="R28" s="7">
        <v>16</v>
      </c>
      <c r="S28" s="7">
        <v>125</v>
      </c>
      <c r="T28" s="16">
        <f t="shared" si="1"/>
        <v>27</v>
      </c>
      <c r="U28" s="7">
        <v>107</v>
      </c>
      <c r="V28" s="16">
        <f t="shared" si="2"/>
        <v>2889</v>
      </c>
      <c r="W28" s="7">
        <v>4</v>
      </c>
      <c r="X28" s="54" t="s">
        <v>46</v>
      </c>
      <c r="Y28" s="54" t="s">
        <v>50</v>
      </c>
      <c r="Z28" s="54" t="s">
        <v>84</v>
      </c>
      <c r="AA28" s="54" t="s">
        <v>78</v>
      </c>
      <c r="AB28" s="39" t="s">
        <v>158</v>
      </c>
      <c r="AP28" s="27"/>
      <c r="AR28" s="23"/>
    </row>
    <row r="29" spans="1:48" x14ac:dyDescent="0.15">
      <c r="A29" s="15" t="s">
        <v>156</v>
      </c>
      <c r="B29" s="15" t="s">
        <v>157</v>
      </c>
      <c r="C29" s="15">
        <v>2019</v>
      </c>
      <c r="D29" s="37" t="s">
        <v>165</v>
      </c>
      <c r="E29" s="7" t="s">
        <v>131</v>
      </c>
      <c r="F29" s="7" t="s">
        <v>144</v>
      </c>
      <c r="G29" s="7" t="s">
        <v>36</v>
      </c>
      <c r="H29" s="54" t="s">
        <v>164</v>
      </c>
      <c r="I29" s="7" t="s">
        <v>167</v>
      </c>
      <c r="J29" s="15" t="s">
        <v>38</v>
      </c>
      <c r="K29" s="7" t="s">
        <v>161</v>
      </c>
      <c r="L29" s="7">
        <v>1</v>
      </c>
      <c r="N29" s="53">
        <v>4</v>
      </c>
      <c r="O29" s="7">
        <v>0.5</v>
      </c>
      <c r="P29" s="7">
        <v>0.5</v>
      </c>
      <c r="Q29" s="52">
        <f t="shared" si="0"/>
        <v>0.5</v>
      </c>
      <c r="R29" s="7">
        <v>13.6</v>
      </c>
      <c r="S29" s="7">
        <v>97</v>
      </c>
      <c r="T29" s="16">
        <f t="shared" si="1"/>
        <v>36</v>
      </c>
      <c r="U29" s="7">
        <v>430</v>
      </c>
      <c r="V29" s="16">
        <f t="shared" si="2"/>
        <v>3870</v>
      </c>
      <c r="W29" s="7">
        <v>1</v>
      </c>
      <c r="X29" s="54" t="s">
        <v>46</v>
      </c>
      <c r="Y29" s="54" t="s">
        <v>50</v>
      </c>
      <c r="Z29" s="54" t="s">
        <v>84</v>
      </c>
      <c r="AA29" s="54" t="s">
        <v>78</v>
      </c>
      <c r="AB29" s="39" t="s">
        <v>158</v>
      </c>
      <c r="AP29" s="27"/>
      <c r="AR29" s="27"/>
      <c r="AV29" s="28"/>
    </row>
    <row r="30" spans="1:48" x14ac:dyDescent="0.15">
      <c r="A30" s="15" t="s">
        <v>156</v>
      </c>
      <c r="B30" s="15" t="s">
        <v>157</v>
      </c>
      <c r="C30" s="15">
        <v>2019</v>
      </c>
      <c r="D30" s="37" t="s">
        <v>165</v>
      </c>
      <c r="E30" s="7" t="s">
        <v>131</v>
      </c>
      <c r="F30" s="7" t="s">
        <v>144</v>
      </c>
      <c r="G30" s="7" t="s">
        <v>36</v>
      </c>
      <c r="H30" s="54" t="s">
        <v>164</v>
      </c>
      <c r="I30" s="53" t="s">
        <v>167</v>
      </c>
      <c r="J30" s="15" t="s">
        <v>38</v>
      </c>
      <c r="K30" s="7" t="s">
        <v>161</v>
      </c>
      <c r="L30" s="7">
        <v>2</v>
      </c>
      <c r="N30" s="7">
        <v>4</v>
      </c>
      <c r="O30" s="7">
        <v>0.5</v>
      </c>
      <c r="P30" s="7">
        <v>0.5</v>
      </c>
      <c r="Q30" s="52">
        <f t="shared" si="0"/>
        <v>0.5</v>
      </c>
      <c r="R30" s="7">
        <v>13.6</v>
      </c>
      <c r="S30" s="7">
        <v>98</v>
      </c>
      <c r="T30" s="16">
        <f t="shared" si="1"/>
        <v>36</v>
      </c>
      <c r="U30" s="7">
        <v>430</v>
      </c>
      <c r="V30" s="16">
        <f t="shared" si="2"/>
        <v>3870</v>
      </c>
      <c r="W30" s="7">
        <v>1</v>
      </c>
      <c r="X30" s="54" t="s">
        <v>46</v>
      </c>
      <c r="Y30" s="54" t="s">
        <v>50</v>
      </c>
      <c r="Z30" s="54" t="s">
        <v>84</v>
      </c>
      <c r="AA30" s="54" t="s">
        <v>78</v>
      </c>
      <c r="AB30" s="39" t="s">
        <v>158</v>
      </c>
      <c r="AP30" s="27"/>
      <c r="AR30" s="27"/>
    </row>
    <row r="31" spans="1:48" x14ac:dyDescent="0.15">
      <c r="A31" s="15" t="s">
        <v>156</v>
      </c>
      <c r="B31" s="15" t="s">
        <v>157</v>
      </c>
      <c r="C31" s="15">
        <v>2019</v>
      </c>
      <c r="D31" s="37" t="s">
        <v>165</v>
      </c>
      <c r="E31" s="7" t="s">
        <v>131</v>
      </c>
      <c r="F31" s="7" t="s">
        <v>144</v>
      </c>
      <c r="G31" s="7" t="s">
        <v>36</v>
      </c>
      <c r="H31" s="54" t="s">
        <v>164</v>
      </c>
      <c r="I31" s="53" t="s">
        <v>167</v>
      </c>
      <c r="J31" s="15" t="s">
        <v>38</v>
      </c>
      <c r="K31" s="7" t="s">
        <v>161</v>
      </c>
      <c r="L31" s="7">
        <v>3</v>
      </c>
      <c r="N31" s="7">
        <v>4</v>
      </c>
      <c r="O31" s="7">
        <v>0.6</v>
      </c>
      <c r="P31" s="7">
        <v>0.55000000000000004</v>
      </c>
      <c r="Q31" s="52">
        <f t="shared" si="0"/>
        <v>0.57499999999999996</v>
      </c>
      <c r="R31" s="7">
        <v>12.8</v>
      </c>
      <c r="S31" s="7">
        <v>102</v>
      </c>
      <c r="T31" s="16">
        <f t="shared" si="1"/>
        <v>33</v>
      </c>
      <c r="U31" s="7">
        <v>430</v>
      </c>
      <c r="V31" s="16">
        <f t="shared" si="2"/>
        <v>3547.5</v>
      </c>
      <c r="W31" s="7">
        <v>1</v>
      </c>
      <c r="X31" s="54" t="s">
        <v>46</v>
      </c>
      <c r="Y31" s="54" t="s">
        <v>50</v>
      </c>
      <c r="Z31" s="54" t="s">
        <v>84</v>
      </c>
      <c r="AA31" s="54" t="s">
        <v>78</v>
      </c>
      <c r="AB31" s="39" t="s">
        <v>158</v>
      </c>
      <c r="AP31" s="27"/>
      <c r="AR31" s="27"/>
    </row>
    <row r="32" spans="1:48" x14ac:dyDescent="0.15">
      <c r="A32" s="15" t="s">
        <v>156</v>
      </c>
      <c r="B32" s="15" t="s">
        <v>157</v>
      </c>
      <c r="C32" s="15">
        <v>2019</v>
      </c>
      <c r="D32" s="37" t="s">
        <v>165</v>
      </c>
      <c r="E32" s="7" t="s">
        <v>131</v>
      </c>
      <c r="F32" s="7" t="s">
        <v>144</v>
      </c>
      <c r="G32" s="7" t="s">
        <v>36</v>
      </c>
      <c r="H32" s="15" t="s">
        <v>160</v>
      </c>
      <c r="I32" s="7" t="s">
        <v>159</v>
      </c>
      <c r="J32" s="15" t="s">
        <v>38</v>
      </c>
      <c r="K32" s="7" t="s">
        <v>161</v>
      </c>
      <c r="L32" s="7">
        <v>1</v>
      </c>
      <c r="N32" s="7">
        <v>1</v>
      </c>
      <c r="O32" s="7">
        <v>0.5</v>
      </c>
      <c r="P32" s="7">
        <v>0.55000000000000004</v>
      </c>
      <c r="Q32" s="52">
        <f t="shared" si="0"/>
        <v>0.52500000000000002</v>
      </c>
      <c r="R32" s="7">
        <v>14.3</v>
      </c>
      <c r="S32" s="7">
        <v>126</v>
      </c>
      <c r="T32" s="16">
        <f t="shared" si="1"/>
        <v>27</v>
      </c>
      <c r="U32" s="7">
        <v>138</v>
      </c>
      <c r="V32" s="16">
        <f t="shared" si="2"/>
        <v>3726</v>
      </c>
      <c r="W32" s="7">
        <v>4</v>
      </c>
      <c r="X32" s="54" t="s">
        <v>46</v>
      </c>
      <c r="Y32" s="54" t="s">
        <v>50</v>
      </c>
      <c r="Z32" s="54" t="s">
        <v>84</v>
      </c>
      <c r="AA32" s="54" t="s">
        <v>78</v>
      </c>
      <c r="AB32" s="39" t="s">
        <v>158</v>
      </c>
      <c r="AP32" s="28"/>
      <c r="AR32" s="28"/>
    </row>
    <row r="33" spans="1:44" x14ac:dyDescent="0.15">
      <c r="A33" s="15" t="s">
        <v>156</v>
      </c>
      <c r="B33" s="15" t="s">
        <v>157</v>
      </c>
      <c r="C33" s="15">
        <v>2019</v>
      </c>
      <c r="D33" s="37" t="s">
        <v>165</v>
      </c>
      <c r="E33" s="7" t="s">
        <v>131</v>
      </c>
      <c r="F33" s="7" t="s">
        <v>144</v>
      </c>
      <c r="G33" s="7" t="s">
        <v>36</v>
      </c>
      <c r="H33" s="15" t="s">
        <v>160</v>
      </c>
      <c r="I33" s="53" t="s">
        <v>159</v>
      </c>
      <c r="J33" s="15" t="s">
        <v>38</v>
      </c>
      <c r="K33" s="7" t="s">
        <v>161</v>
      </c>
      <c r="L33" s="7">
        <v>2</v>
      </c>
      <c r="N33" s="7">
        <v>1</v>
      </c>
      <c r="O33" s="7">
        <v>0.5</v>
      </c>
      <c r="P33" s="7">
        <v>0.5</v>
      </c>
      <c r="Q33" s="52">
        <f t="shared" si="0"/>
        <v>0.5</v>
      </c>
      <c r="R33" s="7">
        <v>18</v>
      </c>
      <c r="S33" s="7">
        <v>136</v>
      </c>
      <c r="T33" s="16">
        <f t="shared" si="1"/>
        <v>25</v>
      </c>
      <c r="U33" s="7">
        <v>138</v>
      </c>
      <c r="V33" s="16">
        <f t="shared" si="2"/>
        <v>3450</v>
      </c>
      <c r="W33" s="7">
        <v>4</v>
      </c>
      <c r="X33" s="15" t="s">
        <v>46</v>
      </c>
      <c r="Y33" s="54" t="s">
        <v>50</v>
      </c>
      <c r="Z33" s="54" t="s">
        <v>84</v>
      </c>
      <c r="AA33" s="54" t="s">
        <v>78</v>
      </c>
      <c r="AB33" s="39" t="s">
        <v>158</v>
      </c>
    </row>
    <row r="34" spans="1:44" x14ac:dyDescent="0.15">
      <c r="A34" s="15" t="s">
        <v>156</v>
      </c>
      <c r="B34" s="15" t="s">
        <v>157</v>
      </c>
      <c r="C34" s="15">
        <v>2019</v>
      </c>
      <c r="D34" s="37" t="s">
        <v>165</v>
      </c>
      <c r="E34" s="7" t="s">
        <v>131</v>
      </c>
      <c r="F34" s="7" t="s">
        <v>144</v>
      </c>
      <c r="G34" s="7" t="s">
        <v>36</v>
      </c>
      <c r="H34" s="15" t="s">
        <v>160</v>
      </c>
      <c r="I34" s="53" t="s">
        <v>159</v>
      </c>
      <c r="J34" s="15" t="s">
        <v>38</v>
      </c>
      <c r="K34" s="7" t="s">
        <v>161</v>
      </c>
      <c r="L34" s="7">
        <v>3</v>
      </c>
      <c r="N34" s="7">
        <v>1</v>
      </c>
      <c r="O34" s="7">
        <v>0.5</v>
      </c>
      <c r="P34" s="7">
        <v>0.5</v>
      </c>
      <c r="Q34" s="52">
        <f t="shared" si="0"/>
        <v>0.5</v>
      </c>
      <c r="R34" s="7">
        <v>17.8</v>
      </c>
      <c r="S34" s="7">
        <v>136</v>
      </c>
      <c r="T34" s="16">
        <f t="shared" si="1"/>
        <v>25</v>
      </c>
      <c r="U34" s="7">
        <v>138</v>
      </c>
      <c r="V34" s="16">
        <f t="shared" si="2"/>
        <v>3450</v>
      </c>
      <c r="W34" s="7">
        <v>4</v>
      </c>
      <c r="X34" s="15" t="s">
        <v>46</v>
      </c>
      <c r="Y34" s="54" t="s">
        <v>50</v>
      </c>
      <c r="Z34" s="54" t="s">
        <v>84</v>
      </c>
      <c r="AA34" s="54" t="s">
        <v>78</v>
      </c>
      <c r="AB34" s="39" t="s">
        <v>158</v>
      </c>
    </row>
    <row r="35" spans="1:44" x14ac:dyDescent="0.15">
      <c r="A35" s="15" t="s">
        <v>156</v>
      </c>
      <c r="B35" s="15" t="s">
        <v>157</v>
      </c>
      <c r="C35" s="15">
        <v>2019</v>
      </c>
      <c r="D35" s="37" t="s">
        <v>165</v>
      </c>
      <c r="E35" s="7" t="s">
        <v>139</v>
      </c>
      <c r="F35" s="7" t="s">
        <v>145</v>
      </c>
      <c r="G35" s="7" t="s">
        <v>36</v>
      </c>
      <c r="H35" s="15" t="s">
        <v>164</v>
      </c>
      <c r="I35" s="7" t="s">
        <v>159</v>
      </c>
      <c r="J35" s="15" t="s">
        <v>38</v>
      </c>
      <c r="K35" s="7" t="s">
        <v>161</v>
      </c>
      <c r="L35" s="7">
        <v>1</v>
      </c>
      <c r="N35" s="7">
        <v>1</v>
      </c>
      <c r="O35" s="7">
        <v>0.65</v>
      </c>
      <c r="P35" s="7">
        <v>0.6</v>
      </c>
      <c r="Q35" s="52">
        <f t="shared" si="0"/>
        <v>0.625</v>
      </c>
      <c r="R35" s="7">
        <v>12.8</v>
      </c>
      <c r="S35" s="7">
        <v>106</v>
      </c>
      <c r="T35" s="16">
        <f t="shared" si="1"/>
        <v>33</v>
      </c>
      <c r="U35" s="7">
        <v>108</v>
      </c>
      <c r="V35" s="16">
        <f t="shared" si="2"/>
        <v>3564</v>
      </c>
      <c r="W35" s="7">
        <v>6</v>
      </c>
      <c r="X35" s="15" t="s">
        <v>46</v>
      </c>
      <c r="Y35" s="54" t="s">
        <v>50</v>
      </c>
      <c r="Z35" s="54" t="s">
        <v>84</v>
      </c>
      <c r="AA35" s="54" t="s">
        <v>78</v>
      </c>
      <c r="AB35" s="39" t="s">
        <v>158</v>
      </c>
      <c r="AP35" s="28"/>
      <c r="AR35" s="28"/>
    </row>
    <row r="36" spans="1:44" x14ac:dyDescent="0.15">
      <c r="A36" s="15" t="s">
        <v>156</v>
      </c>
      <c r="B36" s="15" t="s">
        <v>157</v>
      </c>
      <c r="C36" s="15">
        <v>2019</v>
      </c>
      <c r="D36" s="37" t="s">
        <v>165</v>
      </c>
      <c r="E36" s="7" t="s">
        <v>139</v>
      </c>
      <c r="F36" s="7" t="s">
        <v>145</v>
      </c>
      <c r="G36" s="7" t="s">
        <v>36</v>
      </c>
      <c r="H36" s="54" t="s">
        <v>164</v>
      </c>
      <c r="I36" s="7" t="s">
        <v>159</v>
      </c>
      <c r="J36" s="15" t="s">
        <v>38</v>
      </c>
      <c r="K36" s="7" t="s">
        <v>161</v>
      </c>
      <c r="L36" s="7">
        <v>2</v>
      </c>
      <c r="N36" s="7">
        <v>1</v>
      </c>
      <c r="O36" s="7">
        <v>0.65</v>
      </c>
      <c r="P36" s="7">
        <v>0.65</v>
      </c>
      <c r="Q36" s="52">
        <f t="shared" si="0"/>
        <v>0.65</v>
      </c>
      <c r="R36" s="7">
        <v>13.2</v>
      </c>
      <c r="S36" s="7">
        <v>112</v>
      </c>
      <c r="T36" s="16">
        <f t="shared" si="1"/>
        <v>33</v>
      </c>
      <c r="U36" s="7">
        <v>108</v>
      </c>
      <c r="V36" s="16">
        <f t="shared" si="2"/>
        <v>3564</v>
      </c>
      <c r="W36" s="7">
        <v>6</v>
      </c>
      <c r="X36" s="15" t="s">
        <v>46</v>
      </c>
      <c r="Y36" s="54" t="s">
        <v>50</v>
      </c>
      <c r="Z36" s="54" t="s">
        <v>84</v>
      </c>
      <c r="AA36" s="54" t="s">
        <v>78</v>
      </c>
      <c r="AB36" s="39" t="s">
        <v>158</v>
      </c>
    </row>
    <row r="37" spans="1:44" x14ac:dyDescent="0.15">
      <c r="A37" s="15" t="s">
        <v>156</v>
      </c>
      <c r="B37" s="15" t="s">
        <v>157</v>
      </c>
      <c r="C37" s="15">
        <v>2019</v>
      </c>
      <c r="D37" s="37" t="s">
        <v>165</v>
      </c>
      <c r="E37" s="7" t="s">
        <v>139</v>
      </c>
      <c r="F37" s="7" t="s">
        <v>145</v>
      </c>
      <c r="G37" s="7" t="s">
        <v>36</v>
      </c>
      <c r="H37" s="54" t="s">
        <v>164</v>
      </c>
      <c r="I37" s="7" t="s">
        <v>159</v>
      </c>
      <c r="J37" s="15" t="s">
        <v>38</v>
      </c>
      <c r="K37" s="7" t="s">
        <v>161</v>
      </c>
      <c r="L37" s="7">
        <v>3</v>
      </c>
      <c r="N37" s="7">
        <v>1</v>
      </c>
      <c r="O37" s="34">
        <v>0.85</v>
      </c>
      <c r="P37" s="34">
        <v>0.75</v>
      </c>
      <c r="Q37" s="52">
        <f t="shared" si="0"/>
        <v>0.8</v>
      </c>
      <c r="R37" s="7">
        <v>13.1</v>
      </c>
      <c r="S37" s="7">
        <v>111</v>
      </c>
      <c r="T37" s="16">
        <f t="shared" si="1"/>
        <v>33</v>
      </c>
      <c r="U37" s="7">
        <v>108</v>
      </c>
      <c r="V37" s="16">
        <f t="shared" si="2"/>
        <v>3564</v>
      </c>
      <c r="W37" s="7">
        <v>6</v>
      </c>
      <c r="X37" s="15" t="s">
        <v>46</v>
      </c>
      <c r="Y37" s="54" t="s">
        <v>50</v>
      </c>
      <c r="Z37" s="54" t="s">
        <v>84</v>
      </c>
      <c r="AA37" s="54" t="s">
        <v>78</v>
      </c>
      <c r="AB37" s="39" t="s">
        <v>158</v>
      </c>
    </row>
    <row r="38" spans="1:44" x14ac:dyDescent="0.15">
      <c r="A38" s="15" t="s">
        <v>156</v>
      </c>
      <c r="B38" s="15" t="s">
        <v>157</v>
      </c>
      <c r="C38" s="15">
        <v>2019</v>
      </c>
      <c r="D38" s="37" t="s">
        <v>165</v>
      </c>
      <c r="E38" s="7" t="s">
        <v>139</v>
      </c>
      <c r="F38" s="7" t="s">
        <v>145</v>
      </c>
      <c r="G38" s="7" t="s">
        <v>36</v>
      </c>
      <c r="H38" s="15" t="s">
        <v>160</v>
      </c>
      <c r="I38" s="7" t="s">
        <v>159</v>
      </c>
      <c r="J38" s="15" t="s">
        <v>38</v>
      </c>
      <c r="K38" s="7" t="s">
        <v>161</v>
      </c>
      <c r="L38" s="7">
        <v>1</v>
      </c>
      <c r="N38" s="53">
        <v>1</v>
      </c>
      <c r="O38" s="34">
        <v>0.7</v>
      </c>
      <c r="P38" s="34">
        <v>0.75</v>
      </c>
      <c r="Q38" s="52">
        <f t="shared" si="0"/>
        <v>0.72499999999999998</v>
      </c>
      <c r="R38" s="7">
        <v>14.5</v>
      </c>
      <c r="S38" s="7">
        <v>136</v>
      </c>
      <c r="T38" s="16">
        <f t="shared" si="1"/>
        <v>25</v>
      </c>
      <c r="U38" s="7">
        <v>108</v>
      </c>
      <c r="V38" s="16">
        <f t="shared" si="2"/>
        <v>2700</v>
      </c>
      <c r="W38" s="7">
        <v>6</v>
      </c>
      <c r="X38" s="54" t="s">
        <v>46</v>
      </c>
      <c r="Y38" s="54" t="s">
        <v>50</v>
      </c>
      <c r="Z38" s="54" t="s">
        <v>84</v>
      </c>
      <c r="AA38" s="54" t="s">
        <v>78</v>
      </c>
      <c r="AB38" s="39" t="s">
        <v>158</v>
      </c>
    </row>
    <row r="39" spans="1:44" x14ac:dyDescent="0.15">
      <c r="A39" s="15" t="s">
        <v>156</v>
      </c>
      <c r="B39" s="15" t="s">
        <v>157</v>
      </c>
      <c r="C39" s="15">
        <v>2019</v>
      </c>
      <c r="D39" s="37" t="s">
        <v>165</v>
      </c>
      <c r="E39" s="7" t="s">
        <v>139</v>
      </c>
      <c r="F39" s="7" t="s">
        <v>145</v>
      </c>
      <c r="G39" s="7" t="s">
        <v>36</v>
      </c>
      <c r="H39" s="54" t="s">
        <v>160</v>
      </c>
      <c r="I39" s="7" t="s">
        <v>159</v>
      </c>
      <c r="J39" s="15" t="s">
        <v>38</v>
      </c>
      <c r="K39" s="7" t="s">
        <v>161</v>
      </c>
      <c r="L39" s="7">
        <v>2</v>
      </c>
      <c r="N39" s="53">
        <v>1</v>
      </c>
      <c r="O39" s="7">
        <v>0.8</v>
      </c>
      <c r="P39" s="7">
        <v>0.9</v>
      </c>
      <c r="Q39" s="52">
        <f t="shared" si="0"/>
        <v>0.85000000000000009</v>
      </c>
      <c r="R39" s="34">
        <v>16.600000000000001</v>
      </c>
      <c r="S39" s="7">
        <v>133</v>
      </c>
      <c r="T39" s="16">
        <f t="shared" si="1"/>
        <v>25</v>
      </c>
      <c r="U39" s="7">
        <v>108</v>
      </c>
      <c r="V39" s="16">
        <f t="shared" si="2"/>
        <v>2700</v>
      </c>
      <c r="W39" s="7">
        <v>6</v>
      </c>
      <c r="X39" s="54" t="s">
        <v>46</v>
      </c>
      <c r="Y39" s="54" t="s">
        <v>50</v>
      </c>
      <c r="Z39" s="54" t="s">
        <v>84</v>
      </c>
      <c r="AA39" s="54" t="s">
        <v>78</v>
      </c>
      <c r="AB39" s="39" t="s">
        <v>158</v>
      </c>
    </row>
    <row r="40" spans="1:44" x14ac:dyDescent="0.15">
      <c r="A40" s="15" t="s">
        <v>156</v>
      </c>
      <c r="B40" s="15" t="s">
        <v>157</v>
      </c>
      <c r="C40" s="15">
        <v>2019</v>
      </c>
      <c r="D40" s="37" t="s">
        <v>165</v>
      </c>
      <c r="E40" s="7" t="s">
        <v>139</v>
      </c>
      <c r="F40" s="7" t="s">
        <v>145</v>
      </c>
      <c r="G40" s="7" t="s">
        <v>36</v>
      </c>
      <c r="H40" s="54" t="s">
        <v>160</v>
      </c>
      <c r="I40" s="7" t="s">
        <v>159</v>
      </c>
      <c r="J40" s="15" t="s">
        <v>38</v>
      </c>
      <c r="K40" s="7" t="s">
        <v>161</v>
      </c>
      <c r="L40" s="7">
        <v>3</v>
      </c>
      <c r="N40" s="53">
        <v>1</v>
      </c>
      <c r="O40" s="7">
        <v>0.65</v>
      </c>
      <c r="P40" s="7">
        <v>0.65</v>
      </c>
      <c r="Q40" s="52">
        <f t="shared" si="0"/>
        <v>0.65</v>
      </c>
      <c r="R40" s="7">
        <v>14.4</v>
      </c>
      <c r="S40" s="7">
        <v>134</v>
      </c>
      <c r="T40" s="16">
        <f t="shared" si="1"/>
        <v>25</v>
      </c>
      <c r="U40" s="7">
        <v>108</v>
      </c>
      <c r="V40" s="16">
        <f t="shared" si="2"/>
        <v>2700</v>
      </c>
      <c r="W40" s="7">
        <v>6</v>
      </c>
      <c r="X40" s="54" t="s">
        <v>46</v>
      </c>
      <c r="Y40" s="54" t="s">
        <v>50</v>
      </c>
      <c r="Z40" s="54" t="s">
        <v>84</v>
      </c>
      <c r="AA40" s="54" t="s">
        <v>78</v>
      </c>
      <c r="AB40" s="39" t="s">
        <v>158</v>
      </c>
    </row>
    <row r="41" spans="1:44" ht="12.75" customHeight="1" x14ac:dyDescent="0.15">
      <c r="A41" s="15" t="s">
        <v>156</v>
      </c>
      <c r="B41" s="15" t="s">
        <v>157</v>
      </c>
      <c r="C41" s="15">
        <v>2019</v>
      </c>
      <c r="D41" s="37" t="s">
        <v>165</v>
      </c>
      <c r="E41" s="7" t="s">
        <v>162</v>
      </c>
      <c r="F41" s="7" t="s">
        <v>163</v>
      </c>
      <c r="G41" s="7" t="s">
        <v>36</v>
      </c>
      <c r="H41" s="15" t="s">
        <v>164</v>
      </c>
      <c r="I41" s="7" t="s">
        <v>159</v>
      </c>
      <c r="J41" s="15" t="s">
        <v>38</v>
      </c>
      <c r="K41" s="7" t="s">
        <v>161</v>
      </c>
      <c r="L41" s="7">
        <v>1</v>
      </c>
      <c r="N41" s="7">
        <v>1</v>
      </c>
      <c r="O41" s="7">
        <v>0.85</v>
      </c>
      <c r="P41" s="7">
        <v>0.85</v>
      </c>
      <c r="Q41" s="52">
        <f t="shared" si="0"/>
        <v>0.85</v>
      </c>
      <c r="R41" s="7">
        <v>13.1</v>
      </c>
      <c r="S41" s="7">
        <v>129</v>
      </c>
      <c r="T41" s="16">
        <f t="shared" si="1"/>
        <v>25</v>
      </c>
      <c r="U41" s="7">
        <v>98</v>
      </c>
      <c r="V41" s="16">
        <f t="shared" si="2"/>
        <v>2450</v>
      </c>
      <c r="W41" s="7">
        <v>3</v>
      </c>
      <c r="X41" s="54" t="s">
        <v>39</v>
      </c>
      <c r="Y41" s="54" t="s">
        <v>84</v>
      </c>
      <c r="Z41" s="54" t="s">
        <v>50</v>
      </c>
      <c r="AA41" s="54" t="s">
        <v>90</v>
      </c>
      <c r="AB41" s="39" t="s">
        <v>158</v>
      </c>
    </row>
    <row r="42" spans="1:44" x14ac:dyDescent="0.15">
      <c r="A42" s="15" t="s">
        <v>156</v>
      </c>
      <c r="B42" s="15" t="s">
        <v>157</v>
      </c>
      <c r="C42" s="15">
        <v>2019</v>
      </c>
      <c r="D42" s="37" t="s">
        <v>165</v>
      </c>
      <c r="E42" s="7" t="s">
        <v>162</v>
      </c>
      <c r="F42" s="7" t="s">
        <v>163</v>
      </c>
      <c r="G42" s="7" t="s">
        <v>36</v>
      </c>
      <c r="H42" s="54" t="s">
        <v>164</v>
      </c>
      <c r="I42" s="7" t="s">
        <v>159</v>
      </c>
      <c r="J42" s="15" t="s">
        <v>38</v>
      </c>
      <c r="K42" s="7" t="s">
        <v>161</v>
      </c>
      <c r="L42" s="7">
        <v>2</v>
      </c>
      <c r="N42" s="7">
        <v>1</v>
      </c>
      <c r="O42" s="7">
        <v>0.65</v>
      </c>
      <c r="P42" s="7">
        <v>0.6</v>
      </c>
      <c r="Q42" s="52">
        <f t="shared" si="0"/>
        <v>0.625</v>
      </c>
      <c r="R42" s="7">
        <v>14.7</v>
      </c>
      <c r="S42" s="7">
        <v>126</v>
      </c>
      <c r="T42" s="16">
        <f t="shared" si="1"/>
        <v>27</v>
      </c>
      <c r="U42" s="7">
        <v>98</v>
      </c>
      <c r="V42" s="16">
        <f t="shared" si="2"/>
        <v>2646</v>
      </c>
      <c r="W42" s="7">
        <v>3</v>
      </c>
      <c r="X42" s="54" t="s">
        <v>39</v>
      </c>
      <c r="Y42" s="54" t="s">
        <v>84</v>
      </c>
      <c r="Z42" s="54" t="s">
        <v>50</v>
      </c>
      <c r="AA42" s="54" t="s">
        <v>90</v>
      </c>
      <c r="AB42" s="39" t="s">
        <v>158</v>
      </c>
    </row>
    <row r="43" spans="1:44" x14ac:dyDescent="0.15">
      <c r="A43" s="15" t="s">
        <v>156</v>
      </c>
      <c r="B43" s="15" t="s">
        <v>157</v>
      </c>
      <c r="C43" s="15">
        <v>2019</v>
      </c>
      <c r="D43" s="37" t="s">
        <v>165</v>
      </c>
      <c r="E43" s="7" t="s">
        <v>162</v>
      </c>
      <c r="F43" s="7" t="s">
        <v>163</v>
      </c>
      <c r="G43" s="7" t="s">
        <v>36</v>
      </c>
      <c r="H43" s="54" t="s">
        <v>164</v>
      </c>
      <c r="I43" s="7" t="s">
        <v>159</v>
      </c>
      <c r="J43" s="15" t="s">
        <v>38</v>
      </c>
      <c r="K43" s="7" t="s">
        <v>161</v>
      </c>
      <c r="L43" s="7">
        <v>3</v>
      </c>
      <c r="N43" s="7">
        <v>1</v>
      </c>
      <c r="O43" s="7">
        <v>0.75</v>
      </c>
      <c r="P43" s="7">
        <v>0.75</v>
      </c>
      <c r="Q43" s="52">
        <f t="shared" si="0"/>
        <v>0.75</v>
      </c>
      <c r="R43" s="7">
        <v>12.8</v>
      </c>
      <c r="S43" s="7">
        <v>122</v>
      </c>
      <c r="T43" s="16">
        <f t="shared" si="1"/>
        <v>27</v>
      </c>
      <c r="U43" s="7">
        <v>98</v>
      </c>
      <c r="V43" s="16">
        <f t="shared" si="2"/>
        <v>2646</v>
      </c>
      <c r="W43" s="7">
        <v>3</v>
      </c>
      <c r="X43" s="54" t="s">
        <v>39</v>
      </c>
      <c r="Y43" s="54" t="s">
        <v>84</v>
      </c>
      <c r="Z43" s="54" t="s">
        <v>50</v>
      </c>
      <c r="AA43" s="54" t="s">
        <v>90</v>
      </c>
      <c r="AB43" s="39" t="s">
        <v>158</v>
      </c>
    </row>
    <row r="44" spans="1:44" x14ac:dyDescent="0.15">
      <c r="A44" s="15" t="s">
        <v>156</v>
      </c>
      <c r="B44" s="15" t="s">
        <v>157</v>
      </c>
      <c r="C44" s="15">
        <v>2019</v>
      </c>
      <c r="D44" s="37" t="s">
        <v>165</v>
      </c>
      <c r="E44" s="7" t="s">
        <v>162</v>
      </c>
      <c r="F44" s="7" t="s">
        <v>163</v>
      </c>
      <c r="G44" s="7" t="s">
        <v>36</v>
      </c>
      <c r="H44" s="15" t="s">
        <v>160</v>
      </c>
      <c r="I44" s="7" t="s">
        <v>159</v>
      </c>
      <c r="J44" s="15" t="s">
        <v>38</v>
      </c>
      <c r="K44" s="7" t="s">
        <v>161</v>
      </c>
      <c r="L44" s="7">
        <v>1</v>
      </c>
      <c r="N44" s="7">
        <v>1</v>
      </c>
      <c r="O44" s="7">
        <v>0.5</v>
      </c>
      <c r="P44" s="7">
        <v>0.55000000000000004</v>
      </c>
      <c r="Q44" s="52">
        <f t="shared" si="0"/>
        <v>0.52500000000000002</v>
      </c>
      <c r="R44" s="7">
        <v>16</v>
      </c>
      <c r="S44" s="7">
        <v>127</v>
      </c>
      <c r="T44" s="16">
        <f t="shared" si="1"/>
        <v>27</v>
      </c>
      <c r="U44" s="7">
        <v>128</v>
      </c>
      <c r="V44" s="16">
        <f t="shared" si="2"/>
        <v>3456</v>
      </c>
      <c r="W44" s="7">
        <v>3</v>
      </c>
      <c r="X44" s="54" t="s">
        <v>39</v>
      </c>
      <c r="Y44" s="54" t="s">
        <v>84</v>
      </c>
      <c r="Z44" s="54" t="s">
        <v>50</v>
      </c>
      <c r="AA44" s="54" t="s">
        <v>90</v>
      </c>
      <c r="AB44" s="39" t="s">
        <v>158</v>
      </c>
    </row>
    <row r="45" spans="1:44" x14ac:dyDescent="0.15">
      <c r="A45" s="15" t="s">
        <v>156</v>
      </c>
      <c r="B45" s="15" t="s">
        <v>157</v>
      </c>
      <c r="C45" s="15">
        <v>2019</v>
      </c>
      <c r="D45" s="37" t="s">
        <v>165</v>
      </c>
      <c r="E45" s="7" t="s">
        <v>162</v>
      </c>
      <c r="F45" s="7" t="s">
        <v>163</v>
      </c>
      <c r="G45" s="7" t="s">
        <v>36</v>
      </c>
      <c r="H45" s="15" t="s">
        <v>160</v>
      </c>
      <c r="I45" s="7" t="s">
        <v>159</v>
      </c>
      <c r="J45" s="15" t="s">
        <v>38</v>
      </c>
      <c r="K45" s="7" t="s">
        <v>161</v>
      </c>
      <c r="L45" s="7">
        <v>2</v>
      </c>
      <c r="N45" s="7">
        <v>1</v>
      </c>
      <c r="O45" s="7">
        <v>0.85</v>
      </c>
      <c r="P45" s="7">
        <v>0.9</v>
      </c>
      <c r="Q45" s="52">
        <f t="shared" si="0"/>
        <v>0.875</v>
      </c>
      <c r="R45" s="7">
        <v>14.8</v>
      </c>
      <c r="S45" s="7">
        <v>128</v>
      </c>
      <c r="T45" s="16">
        <f t="shared" si="1"/>
        <v>27</v>
      </c>
      <c r="U45" s="7">
        <v>128</v>
      </c>
      <c r="V45" s="16">
        <f t="shared" si="2"/>
        <v>3456</v>
      </c>
      <c r="W45" s="7">
        <v>3</v>
      </c>
      <c r="X45" s="54" t="s">
        <v>39</v>
      </c>
      <c r="Y45" s="54" t="s">
        <v>84</v>
      </c>
      <c r="Z45" s="54" t="s">
        <v>50</v>
      </c>
      <c r="AA45" s="54" t="s">
        <v>90</v>
      </c>
      <c r="AB45" s="39" t="s">
        <v>158</v>
      </c>
    </row>
    <row r="46" spans="1:44" x14ac:dyDescent="0.15">
      <c r="A46" s="15" t="s">
        <v>156</v>
      </c>
      <c r="B46" s="15" t="s">
        <v>157</v>
      </c>
      <c r="C46" s="15">
        <v>2019</v>
      </c>
      <c r="D46" s="37" t="s">
        <v>165</v>
      </c>
      <c r="E46" s="7" t="s">
        <v>162</v>
      </c>
      <c r="F46" s="7" t="s">
        <v>163</v>
      </c>
      <c r="G46" s="7" t="s">
        <v>36</v>
      </c>
      <c r="H46" s="15" t="s">
        <v>160</v>
      </c>
      <c r="I46" s="7" t="s">
        <v>159</v>
      </c>
      <c r="J46" s="15" t="s">
        <v>38</v>
      </c>
      <c r="K46" s="7" t="s">
        <v>161</v>
      </c>
      <c r="L46" s="7">
        <v>3</v>
      </c>
      <c r="N46" s="7">
        <v>1</v>
      </c>
      <c r="O46" s="7">
        <v>0.65</v>
      </c>
      <c r="P46" s="34">
        <v>0.75</v>
      </c>
      <c r="Q46" s="52">
        <f t="shared" si="0"/>
        <v>0.7</v>
      </c>
      <c r="R46" s="7">
        <v>14.5</v>
      </c>
      <c r="S46" s="7">
        <v>134</v>
      </c>
      <c r="T46" s="16">
        <f t="shared" si="1"/>
        <v>25</v>
      </c>
      <c r="U46" s="7">
        <v>128</v>
      </c>
      <c r="V46" s="16">
        <f t="shared" si="2"/>
        <v>3200</v>
      </c>
      <c r="W46" s="7">
        <v>3</v>
      </c>
      <c r="X46" s="54" t="s">
        <v>39</v>
      </c>
      <c r="Y46" s="54" t="s">
        <v>84</v>
      </c>
      <c r="Z46" s="54" t="s">
        <v>50</v>
      </c>
      <c r="AA46" s="54" t="s">
        <v>90</v>
      </c>
      <c r="AB46" s="39" t="s">
        <v>158</v>
      </c>
    </row>
    <row r="47" spans="1:44" x14ac:dyDescent="0.15">
      <c r="A47" s="15" t="s">
        <v>156</v>
      </c>
      <c r="B47" s="15" t="s">
        <v>157</v>
      </c>
      <c r="C47" s="15">
        <v>2019</v>
      </c>
      <c r="D47" s="37" t="s">
        <v>165</v>
      </c>
      <c r="E47" s="7" t="s">
        <v>130</v>
      </c>
      <c r="F47" s="7" t="s">
        <v>146</v>
      </c>
      <c r="G47" s="7" t="s">
        <v>36</v>
      </c>
      <c r="H47" s="15" t="s">
        <v>164</v>
      </c>
      <c r="I47" s="7" t="s">
        <v>159</v>
      </c>
      <c r="J47" s="15" t="s">
        <v>38</v>
      </c>
      <c r="K47" s="7" t="s">
        <v>161</v>
      </c>
      <c r="L47" s="7">
        <v>1</v>
      </c>
      <c r="N47" s="7">
        <v>1</v>
      </c>
      <c r="O47" s="7">
        <v>0.6</v>
      </c>
      <c r="P47" s="7">
        <v>0.5</v>
      </c>
      <c r="Q47" s="52">
        <f t="shared" si="0"/>
        <v>0.55000000000000004</v>
      </c>
      <c r="R47" s="7">
        <v>15.2</v>
      </c>
      <c r="S47" s="7">
        <v>115</v>
      </c>
      <c r="T47" s="16">
        <f t="shared" si="1"/>
        <v>30</v>
      </c>
      <c r="U47" s="7">
        <v>98</v>
      </c>
      <c r="V47" s="16">
        <f t="shared" si="2"/>
        <v>2940</v>
      </c>
      <c r="W47" s="7">
        <v>4</v>
      </c>
      <c r="X47" s="15" t="s">
        <v>46</v>
      </c>
      <c r="Y47" s="54" t="s">
        <v>50</v>
      </c>
      <c r="Z47" s="54" t="s">
        <v>78</v>
      </c>
      <c r="AA47" s="54" t="s">
        <v>90</v>
      </c>
      <c r="AB47" s="39" t="s">
        <v>158</v>
      </c>
    </row>
    <row r="48" spans="1:44" x14ac:dyDescent="0.15">
      <c r="A48" s="15" t="s">
        <v>156</v>
      </c>
      <c r="B48" s="15" t="s">
        <v>157</v>
      </c>
      <c r="C48" s="15">
        <v>2019</v>
      </c>
      <c r="D48" s="37" t="s">
        <v>165</v>
      </c>
      <c r="E48" s="7" t="s">
        <v>130</v>
      </c>
      <c r="F48" s="7" t="s">
        <v>146</v>
      </c>
      <c r="G48" s="7" t="s">
        <v>36</v>
      </c>
      <c r="H48" s="15" t="s">
        <v>164</v>
      </c>
      <c r="I48" s="7" t="s">
        <v>159</v>
      </c>
      <c r="J48" s="15" t="s">
        <v>38</v>
      </c>
      <c r="K48" s="7" t="s">
        <v>161</v>
      </c>
      <c r="L48" s="7">
        <v>2</v>
      </c>
      <c r="N48" s="7">
        <v>1</v>
      </c>
      <c r="O48" s="7">
        <v>0.55000000000000004</v>
      </c>
      <c r="P48" s="7">
        <v>0.5</v>
      </c>
      <c r="Q48" s="52">
        <f t="shared" si="0"/>
        <v>0.52500000000000002</v>
      </c>
      <c r="R48" s="7">
        <v>13.1</v>
      </c>
      <c r="S48" s="7">
        <v>123</v>
      </c>
      <c r="T48" s="16">
        <f t="shared" si="1"/>
        <v>27</v>
      </c>
      <c r="U48" s="7">
        <v>98</v>
      </c>
      <c r="V48" s="16">
        <f t="shared" si="2"/>
        <v>2646</v>
      </c>
      <c r="W48" s="7">
        <v>4</v>
      </c>
      <c r="X48" s="15" t="s">
        <v>46</v>
      </c>
      <c r="Y48" s="54" t="s">
        <v>50</v>
      </c>
      <c r="Z48" s="54" t="s">
        <v>78</v>
      </c>
      <c r="AA48" s="54" t="s">
        <v>90</v>
      </c>
      <c r="AB48" s="39" t="s">
        <v>158</v>
      </c>
    </row>
    <row r="49" spans="1:29" x14ac:dyDescent="0.15">
      <c r="A49" s="15" t="s">
        <v>156</v>
      </c>
      <c r="B49" s="15" t="s">
        <v>157</v>
      </c>
      <c r="C49" s="15">
        <v>2019</v>
      </c>
      <c r="D49" s="37" t="s">
        <v>165</v>
      </c>
      <c r="E49" s="7" t="s">
        <v>130</v>
      </c>
      <c r="F49" s="7" t="s">
        <v>146</v>
      </c>
      <c r="G49" s="7" t="s">
        <v>36</v>
      </c>
      <c r="H49" s="15" t="s">
        <v>164</v>
      </c>
      <c r="I49" s="7" t="s">
        <v>159</v>
      </c>
      <c r="J49" s="15" t="s">
        <v>38</v>
      </c>
      <c r="K49" s="7" t="s">
        <v>161</v>
      </c>
      <c r="L49" s="7">
        <v>3</v>
      </c>
      <c r="N49" s="7">
        <v>1</v>
      </c>
      <c r="O49" s="7">
        <v>0.55000000000000004</v>
      </c>
      <c r="P49" s="34">
        <v>0.55000000000000004</v>
      </c>
      <c r="Q49" s="52">
        <f t="shared" si="0"/>
        <v>0.55000000000000004</v>
      </c>
      <c r="R49" s="7">
        <v>13.7</v>
      </c>
      <c r="S49" s="7">
        <v>118</v>
      </c>
      <c r="T49" s="16">
        <f t="shared" si="1"/>
        <v>30</v>
      </c>
      <c r="U49" s="7">
        <v>98</v>
      </c>
      <c r="V49" s="16">
        <f t="shared" si="2"/>
        <v>2940</v>
      </c>
      <c r="W49" s="7">
        <v>4</v>
      </c>
      <c r="X49" s="15" t="s">
        <v>46</v>
      </c>
      <c r="Y49" s="54" t="s">
        <v>50</v>
      </c>
      <c r="Z49" s="54" t="s">
        <v>78</v>
      </c>
      <c r="AA49" s="54" t="s">
        <v>90</v>
      </c>
      <c r="AB49" s="39" t="s">
        <v>158</v>
      </c>
    </row>
    <row r="50" spans="1:29" x14ac:dyDescent="0.15">
      <c r="A50" s="15" t="s">
        <v>156</v>
      </c>
      <c r="B50" s="15" t="s">
        <v>157</v>
      </c>
      <c r="C50" s="15">
        <v>2019</v>
      </c>
      <c r="D50" s="37" t="s">
        <v>165</v>
      </c>
      <c r="E50" s="7" t="s">
        <v>130</v>
      </c>
      <c r="F50" s="7" t="s">
        <v>146</v>
      </c>
      <c r="G50" s="7" t="s">
        <v>36</v>
      </c>
      <c r="H50" s="15" t="s">
        <v>160</v>
      </c>
      <c r="I50" s="7" t="s">
        <v>159</v>
      </c>
      <c r="J50" s="15" t="s">
        <v>38</v>
      </c>
      <c r="K50" s="7" t="s">
        <v>161</v>
      </c>
      <c r="L50" s="7">
        <v>1</v>
      </c>
      <c r="N50" s="7">
        <v>1</v>
      </c>
      <c r="O50" s="7">
        <v>0.5</v>
      </c>
      <c r="P50" s="7">
        <v>0.5</v>
      </c>
      <c r="Q50" s="52">
        <f t="shared" si="0"/>
        <v>0.5</v>
      </c>
      <c r="R50" s="7">
        <v>13.6</v>
      </c>
      <c r="S50" s="7">
        <v>129</v>
      </c>
      <c r="T50" s="16">
        <f t="shared" si="1"/>
        <v>25</v>
      </c>
      <c r="U50" s="7">
        <v>125</v>
      </c>
      <c r="V50" s="16">
        <f t="shared" si="2"/>
        <v>3125</v>
      </c>
      <c r="W50" s="7">
        <v>10</v>
      </c>
      <c r="X50" s="15" t="s">
        <v>46</v>
      </c>
      <c r="Y50" s="54" t="s">
        <v>50</v>
      </c>
      <c r="Z50" s="54" t="s">
        <v>78</v>
      </c>
      <c r="AA50" s="54" t="s">
        <v>90</v>
      </c>
      <c r="AB50" s="39" t="s">
        <v>158</v>
      </c>
    </row>
    <row r="51" spans="1:29" x14ac:dyDescent="0.15">
      <c r="A51" s="15" t="s">
        <v>156</v>
      </c>
      <c r="B51" s="15" t="s">
        <v>157</v>
      </c>
      <c r="C51" s="15">
        <v>2019</v>
      </c>
      <c r="D51" s="37" t="s">
        <v>165</v>
      </c>
      <c r="E51" s="7" t="s">
        <v>130</v>
      </c>
      <c r="F51" s="7" t="s">
        <v>146</v>
      </c>
      <c r="G51" s="7" t="s">
        <v>36</v>
      </c>
      <c r="H51" s="15" t="s">
        <v>160</v>
      </c>
      <c r="I51" s="7" t="s">
        <v>159</v>
      </c>
      <c r="J51" s="15" t="s">
        <v>38</v>
      </c>
      <c r="K51" s="7" t="s">
        <v>161</v>
      </c>
      <c r="L51" s="7">
        <v>2</v>
      </c>
      <c r="N51" s="7">
        <v>1</v>
      </c>
      <c r="O51" s="7">
        <v>0.5</v>
      </c>
      <c r="P51" s="7">
        <v>0.5</v>
      </c>
      <c r="Q51" s="52">
        <f t="shared" si="0"/>
        <v>0.5</v>
      </c>
      <c r="R51" s="7">
        <v>18.2</v>
      </c>
      <c r="S51" s="7">
        <v>133</v>
      </c>
      <c r="T51" s="16">
        <f t="shared" si="1"/>
        <v>25</v>
      </c>
      <c r="U51" s="7">
        <v>125</v>
      </c>
      <c r="V51" s="16">
        <f t="shared" si="2"/>
        <v>3125</v>
      </c>
      <c r="W51" s="7">
        <v>10</v>
      </c>
      <c r="X51" s="15" t="s">
        <v>46</v>
      </c>
      <c r="Y51" s="54" t="s">
        <v>50</v>
      </c>
      <c r="Z51" s="54" t="s">
        <v>78</v>
      </c>
      <c r="AA51" s="54" t="s">
        <v>90</v>
      </c>
      <c r="AB51" s="39" t="s">
        <v>158</v>
      </c>
    </row>
    <row r="52" spans="1:29" x14ac:dyDescent="0.15">
      <c r="A52" s="15" t="s">
        <v>156</v>
      </c>
      <c r="B52" s="15" t="s">
        <v>157</v>
      </c>
      <c r="C52" s="15">
        <v>2019</v>
      </c>
      <c r="D52" s="37" t="s">
        <v>165</v>
      </c>
      <c r="E52" s="7" t="s">
        <v>130</v>
      </c>
      <c r="F52" s="7" t="s">
        <v>146</v>
      </c>
      <c r="G52" s="7" t="s">
        <v>36</v>
      </c>
      <c r="H52" s="15" t="s">
        <v>160</v>
      </c>
      <c r="I52" s="7" t="s">
        <v>159</v>
      </c>
      <c r="J52" s="15" t="s">
        <v>38</v>
      </c>
      <c r="K52" s="7" t="s">
        <v>161</v>
      </c>
      <c r="L52" s="7">
        <v>3</v>
      </c>
      <c r="N52" s="7">
        <v>1</v>
      </c>
      <c r="O52" s="7">
        <v>0.5</v>
      </c>
      <c r="P52" s="7">
        <v>0.5</v>
      </c>
      <c r="Q52" s="52">
        <f t="shared" si="0"/>
        <v>0.5</v>
      </c>
      <c r="R52" s="7">
        <v>13.7</v>
      </c>
      <c r="S52" s="7">
        <v>125</v>
      </c>
      <c r="T52" s="16">
        <f t="shared" si="1"/>
        <v>27</v>
      </c>
      <c r="U52" s="7">
        <v>125</v>
      </c>
      <c r="V52" s="16">
        <f t="shared" si="2"/>
        <v>3375</v>
      </c>
      <c r="W52" s="7">
        <v>10</v>
      </c>
      <c r="X52" s="15" t="s">
        <v>46</v>
      </c>
      <c r="Y52" s="54" t="s">
        <v>50</v>
      </c>
      <c r="Z52" s="54" t="s">
        <v>78</v>
      </c>
      <c r="AA52" s="54" t="s">
        <v>90</v>
      </c>
      <c r="AB52" s="39" t="s">
        <v>158</v>
      </c>
    </row>
    <row r="53" spans="1:29" x14ac:dyDescent="0.15">
      <c r="A53" s="15" t="s">
        <v>156</v>
      </c>
      <c r="B53" s="15" t="s">
        <v>157</v>
      </c>
      <c r="C53" s="15">
        <v>2019</v>
      </c>
      <c r="D53" s="37" t="s">
        <v>165</v>
      </c>
      <c r="E53" s="7" t="s">
        <v>132</v>
      </c>
      <c r="F53" s="7" t="s">
        <v>147</v>
      </c>
      <c r="G53" s="7" t="s">
        <v>36</v>
      </c>
      <c r="H53" s="15" t="s">
        <v>164</v>
      </c>
      <c r="I53" s="7" t="s">
        <v>159</v>
      </c>
      <c r="J53" s="15" t="s">
        <v>38</v>
      </c>
      <c r="K53" s="7" t="s">
        <v>161</v>
      </c>
      <c r="L53" s="7">
        <v>1</v>
      </c>
      <c r="N53" s="7">
        <v>1</v>
      </c>
      <c r="O53" s="7">
        <v>0.9</v>
      </c>
      <c r="P53" s="7">
        <v>0.85</v>
      </c>
      <c r="Q53" s="52">
        <f t="shared" si="0"/>
        <v>0.875</v>
      </c>
      <c r="R53" s="7">
        <v>13.6</v>
      </c>
      <c r="S53" s="7">
        <v>120</v>
      </c>
      <c r="T53" s="16">
        <f t="shared" si="1"/>
        <v>30</v>
      </c>
      <c r="U53" s="7">
        <v>138</v>
      </c>
      <c r="V53" s="16">
        <f t="shared" si="2"/>
        <v>4140</v>
      </c>
      <c r="W53" s="7">
        <v>3</v>
      </c>
      <c r="X53" s="15" t="s">
        <v>46</v>
      </c>
      <c r="Y53" s="54" t="s">
        <v>50</v>
      </c>
      <c r="Z53" s="54" t="s">
        <v>84</v>
      </c>
      <c r="AA53" s="54" t="s">
        <v>90</v>
      </c>
      <c r="AB53" s="39" t="s">
        <v>158</v>
      </c>
      <c r="AC53" s="36"/>
    </row>
    <row r="54" spans="1:29" x14ac:dyDescent="0.15">
      <c r="A54" s="15" t="s">
        <v>156</v>
      </c>
      <c r="B54" s="15" t="s">
        <v>157</v>
      </c>
      <c r="C54" s="15">
        <v>2019</v>
      </c>
      <c r="D54" s="37" t="s">
        <v>165</v>
      </c>
      <c r="E54" s="7" t="s">
        <v>132</v>
      </c>
      <c r="F54" s="7" t="s">
        <v>147</v>
      </c>
      <c r="G54" s="7" t="s">
        <v>36</v>
      </c>
      <c r="H54" s="15" t="s">
        <v>164</v>
      </c>
      <c r="I54" s="7" t="s">
        <v>159</v>
      </c>
      <c r="J54" s="15" t="s">
        <v>38</v>
      </c>
      <c r="K54" s="7" t="s">
        <v>161</v>
      </c>
      <c r="L54" s="7">
        <v>2</v>
      </c>
      <c r="N54" s="7">
        <v>1</v>
      </c>
      <c r="O54" s="7">
        <v>0.8</v>
      </c>
      <c r="P54" s="7">
        <v>0.75</v>
      </c>
      <c r="Q54" s="52">
        <f t="shared" si="0"/>
        <v>0.77500000000000002</v>
      </c>
      <c r="R54" s="7">
        <v>13.7</v>
      </c>
      <c r="S54" s="7">
        <v>125</v>
      </c>
      <c r="T54" s="16">
        <f t="shared" si="1"/>
        <v>27</v>
      </c>
      <c r="U54" s="7">
        <v>138</v>
      </c>
      <c r="V54" s="16">
        <f t="shared" si="2"/>
        <v>3726</v>
      </c>
      <c r="W54" s="7">
        <v>3</v>
      </c>
      <c r="X54" s="15" t="s">
        <v>46</v>
      </c>
      <c r="Y54" s="54" t="s">
        <v>50</v>
      </c>
      <c r="Z54" s="54" t="s">
        <v>84</v>
      </c>
      <c r="AA54" s="54" t="s">
        <v>90</v>
      </c>
      <c r="AB54" s="39" t="s">
        <v>158</v>
      </c>
      <c r="AC54" s="36"/>
    </row>
    <row r="55" spans="1:29" x14ac:dyDescent="0.15">
      <c r="A55" s="15" t="s">
        <v>156</v>
      </c>
      <c r="B55" s="15" t="s">
        <v>157</v>
      </c>
      <c r="C55" s="15">
        <v>2019</v>
      </c>
      <c r="D55" s="37" t="s">
        <v>165</v>
      </c>
      <c r="E55" s="7" t="s">
        <v>132</v>
      </c>
      <c r="F55" s="7" t="s">
        <v>147</v>
      </c>
      <c r="G55" s="7" t="s">
        <v>36</v>
      </c>
      <c r="H55" s="15" t="s">
        <v>164</v>
      </c>
      <c r="I55" s="7" t="s">
        <v>159</v>
      </c>
      <c r="J55" s="15" t="s">
        <v>38</v>
      </c>
      <c r="K55" s="7" t="s">
        <v>161</v>
      </c>
      <c r="L55" s="7">
        <v>3</v>
      </c>
      <c r="N55" s="7">
        <v>1</v>
      </c>
      <c r="O55" s="7">
        <v>0.75</v>
      </c>
      <c r="P55" s="7">
        <v>0.85</v>
      </c>
      <c r="Q55" s="52">
        <f t="shared" si="0"/>
        <v>0.8</v>
      </c>
      <c r="R55" s="7">
        <v>13.2</v>
      </c>
      <c r="S55" s="7">
        <v>134</v>
      </c>
      <c r="T55" s="16">
        <f t="shared" si="1"/>
        <v>25</v>
      </c>
      <c r="U55" s="7">
        <v>138</v>
      </c>
      <c r="V55" s="16">
        <f t="shared" si="2"/>
        <v>3450</v>
      </c>
      <c r="W55" s="7">
        <v>3</v>
      </c>
      <c r="X55" s="15" t="s">
        <v>46</v>
      </c>
      <c r="Y55" s="54" t="s">
        <v>50</v>
      </c>
      <c r="Z55" s="54" t="s">
        <v>84</v>
      </c>
      <c r="AA55" s="54" t="s">
        <v>90</v>
      </c>
      <c r="AB55" s="39" t="s">
        <v>158</v>
      </c>
      <c r="AC55" s="36"/>
    </row>
    <row r="56" spans="1:29" x14ac:dyDescent="0.15">
      <c r="A56" s="15" t="s">
        <v>156</v>
      </c>
      <c r="B56" s="15" t="s">
        <v>157</v>
      </c>
      <c r="C56" s="15">
        <v>2019</v>
      </c>
      <c r="D56" s="37" t="s">
        <v>165</v>
      </c>
      <c r="E56" s="7" t="s">
        <v>132</v>
      </c>
      <c r="F56" s="7" t="s">
        <v>147</v>
      </c>
      <c r="G56" s="7" t="s">
        <v>36</v>
      </c>
      <c r="H56" s="15" t="s">
        <v>160</v>
      </c>
      <c r="I56" s="7" t="s">
        <v>159</v>
      </c>
      <c r="J56" s="15" t="s">
        <v>38</v>
      </c>
      <c r="K56" s="7" t="s">
        <v>161</v>
      </c>
      <c r="L56" s="7">
        <v>1</v>
      </c>
      <c r="N56" s="7">
        <v>1</v>
      </c>
      <c r="O56" s="7">
        <v>0.8</v>
      </c>
      <c r="P56" s="7">
        <v>0.8</v>
      </c>
      <c r="Q56" s="52">
        <f t="shared" si="0"/>
        <v>0.8</v>
      </c>
      <c r="R56" s="7">
        <v>15.6</v>
      </c>
      <c r="S56" s="7">
        <v>124</v>
      </c>
      <c r="T56" s="16">
        <f t="shared" si="1"/>
        <v>27</v>
      </c>
      <c r="U56" s="7">
        <v>138</v>
      </c>
      <c r="V56" s="16">
        <f t="shared" si="2"/>
        <v>3726</v>
      </c>
      <c r="W56" s="7">
        <v>3</v>
      </c>
      <c r="X56" s="15" t="s">
        <v>46</v>
      </c>
      <c r="Y56" s="54" t="s">
        <v>50</v>
      </c>
      <c r="Z56" s="54" t="s">
        <v>84</v>
      </c>
      <c r="AA56" s="54" t="s">
        <v>90</v>
      </c>
      <c r="AB56" s="39" t="s">
        <v>158</v>
      </c>
    </row>
    <row r="57" spans="1:29" x14ac:dyDescent="0.15">
      <c r="A57" s="15" t="s">
        <v>156</v>
      </c>
      <c r="B57" s="15" t="s">
        <v>157</v>
      </c>
      <c r="C57" s="15">
        <v>2019</v>
      </c>
      <c r="D57" s="37" t="s">
        <v>165</v>
      </c>
      <c r="E57" s="7" t="s">
        <v>132</v>
      </c>
      <c r="F57" s="7" t="s">
        <v>147</v>
      </c>
      <c r="G57" s="7" t="s">
        <v>36</v>
      </c>
      <c r="H57" s="54" t="s">
        <v>160</v>
      </c>
      <c r="I57" s="7" t="s">
        <v>159</v>
      </c>
      <c r="J57" s="15" t="s">
        <v>38</v>
      </c>
      <c r="K57" s="7" t="s">
        <v>161</v>
      </c>
      <c r="L57" s="7">
        <v>2</v>
      </c>
      <c r="N57" s="7">
        <v>1</v>
      </c>
      <c r="O57" s="7">
        <v>0.8</v>
      </c>
      <c r="P57" s="7">
        <v>0.8</v>
      </c>
      <c r="Q57" s="52">
        <f t="shared" si="0"/>
        <v>0.8</v>
      </c>
      <c r="R57" s="7">
        <v>16</v>
      </c>
      <c r="S57" s="7">
        <v>125</v>
      </c>
      <c r="T57" s="16">
        <f t="shared" si="1"/>
        <v>27</v>
      </c>
      <c r="U57" s="7">
        <v>138</v>
      </c>
      <c r="V57" s="16">
        <f t="shared" si="2"/>
        <v>3726</v>
      </c>
      <c r="W57" s="7">
        <v>3</v>
      </c>
      <c r="X57" s="15" t="s">
        <v>46</v>
      </c>
      <c r="Y57" s="54" t="s">
        <v>50</v>
      </c>
      <c r="Z57" s="54" t="s">
        <v>84</v>
      </c>
      <c r="AA57" s="54" t="s">
        <v>90</v>
      </c>
      <c r="AB57" s="39" t="s">
        <v>158</v>
      </c>
    </row>
    <row r="58" spans="1:29" x14ac:dyDescent="0.15">
      <c r="A58" s="15" t="s">
        <v>156</v>
      </c>
      <c r="B58" s="15" t="s">
        <v>157</v>
      </c>
      <c r="C58" s="15">
        <v>2019</v>
      </c>
      <c r="D58" s="37" t="s">
        <v>165</v>
      </c>
      <c r="E58" s="7" t="s">
        <v>132</v>
      </c>
      <c r="F58" s="7" t="s">
        <v>147</v>
      </c>
      <c r="G58" s="7" t="s">
        <v>36</v>
      </c>
      <c r="H58" s="54" t="s">
        <v>160</v>
      </c>
      <c r="I58" s="7" t="s">
        <v>159</v>
      </c>
      <c r="J58" s="15" t="s">
        <v>38</v>
      </c>
      <c r="K58" s="7" t="s">
        <v>161</v>
      </c>
      <c r="L58" s="7">
        <v>3</v>
      </c>
      <c r="N58" s="7">
        <v>1</v>
      </c>
      <c r="O58" s="7">
        <v>0.85</v>
      </c>
      <c r="P58" s="7">
        <v>0.75</v>
      </c>
      <c r="Q58" s="52">
        <f t="shared" si="0"/>
        <v>0.8</v>
      </c>
      <c r="R58" s="7">
        <v>18.3</v>
      </c>
      <c r="S58" s="7">
        <v>126</v>
      </c>
      <c r="T58" s="16">
        <f t="shared" si="1"/>
        <v>27</v>
      </c>
      <c r="U58" s="7">
        <v>138</v>
      </c>
      <c r="V58" s="16">
        <f t="shared" si="2"/>
        <v>3726</v>
      </c>
      <c r="W58" s="7">
        <v>3</v>
      </c>
      <c r="X58" s="15" t="s">
        <v>46</v>
      </c>
      <c r="Y58" s="54" t="s">
        <v>50</v>
      </c>
      <c r="Z58" s="54" t="s">
        <v>84</v>
      </c>
      <c r="AA58" s="54" t="s">
        <v>90</v>
      </c>
      <c r="AB58" s="39" t="s">
        <v>158</v>
      </c>
    </row>
    <row r="59" spans="1:29" x14ac:dyDescent="0.15">
      <c r="A59" s="15" t="s">
        <v>156</v>
      </c>
      <c r="B59" s="15" t="s">
        <v>157</v>
      </c>
      <c r="C59" s="15">
        <v>2019</v>
      </c>
      <c r="D59" s="37" t="s">
        <v>165</v>
      </c>
      <c r="E59" s="7" t="s">
        <v>140</v>
      </c>
      <c r="F59" s="7" t="s">
        <v>148</v>
      </c>
      <c r="G59" s="7" t="s">
        <v>36</v>
      </c>
      <c r="H59" s="15" t="s">
        <v>164</v>
      </c>
      <c r="I59" s="7" t="s">
        <v>159</v>
      </c>
      <c r="J59" s="15" t="s">
        <v>38</v>
      </c>
      <c r="K59" s="7" t="s">
        <v>161</v>
      </c>
      <c r="L59" s="7">
        <v>1</v>
      </c>
      <c r="N59" s="7">
        <v>1</v>
      </c>
      <c r="O59" s="7">
        <v>0.5</v>
      </c>
      <c r="P59" s="7">
        <v>0.5</v>
      </c>
      <c r="Q59" s="52">
        <f t="shared" si="0"/>
        <v>0.5</v>
      </c>
      <c r="R59" s="7">
        <v>13.6</v>
      </c>
      <c r="S59" s="7">
        <v>106</v>
      </c>
      <c r="T59" s="16">
        <f t="shared" si="1"/>
        <v>33</v>
      </c>
      <c r="U59" s="7">
        <v>73</v>
      </c>
      <c r="V59" s="16">
        <f t="shared" si="2"/>
        <v>2409</v>
      </c>
      <c r="W59" s="7">
        <v>3</v>
      </c>
      <c r="X59" s="54" t="s">
        <v>46</v>
      </c>
      <c r="Y59" s="54" t="s">
        <v>90</v>
      </c>
      <c r="Z59" s="54" t="s">
        <v>84</v>
      </c>
      <c r="AA59" s="54" t="s">
        <v>78</v>
      </c>
      <c r="AB59" s="39" t="s">
        <v>158</v>
      </c>
    </row>
    <row r="60" spans="1:29" x14ac:dyDescent="0.15">
      <c r="A60" s="15" t="s">
        <v>156</v>
      </c>
      <c r="B60" s="15" t="s">
        <v>157</v>
      </c>
      <c r="C60" s="15">
        <v>2019</v>
      </c>
      <c r="D60" s="37" t="s">
        <v>165</v>
      </c>
      <c r="E60" s="7" t="s">
        <v>140</v>
      </c>
      <c r="F60" s="7" t="s">
        <v>148</v>
      </c>
      <c r="G60" s="7" t="s">
        <v>36</v>
      </c>
      <c r="H60" s="15" t="s">
        <v>164</v>
      </c>
      <c r="I60" s="7" t="s">
        <v>159</v>
      </c>
      <c r="J60" s="15" t="s">
        <v>38</v>
      </c>
      <c r="K60" s="7" t="s">
        <v>161</v>
      </c>
      <c r="L60" s="7">
        <v>2</v>
      </c>
      <c r="N60" s="7">
        <v>1</v>
      </c>
      <c r="O60" s="7">
        <v>0.55000000000000004</v>
      </c>
      <c r="P60" s="7">
        <v>0.5</v>
      </c>
      <c r="Q60" s="52">
        <f t="shared" si="0"/>
        <v>0.52500000000000002</v>
      </c>
      <c r="R60" s="7">
        <v>13.9</v>
      </c>
      <c r="S60" s="7">
        <v>93</v>
      </c>
      <c r="T60" s="16">
        <f>IF(H60="","",IF(OR(H60="GREEN",H60="GK"),IF(S60&gt;=$AX$2,VLOOKUP(S60,$AX$2:$AY$12,2,1),""),IF(S60&gt;=$AZ$2,VLOOKUP(S60,$AZ$2:$BA$12,2,1),"")))</f>
        <v>36</v>
      </c>
      <c r="U60" s="7">
        <v>73</v>
      </c>
      <c r="V60" s="16">
        <f t="shared" si="2"/>
        <v>2628</v>
      </c>
      <c r="W60" s="7">
        <v>3</v>
      </c>
      <c r="X60" s="54" t="s">
        <v>46</v>
      </c>
      <c r="Y60" s="54" t="s">
        <v>90</v>
      </c>
      <c r="Z60" s="54" t="s">
        <v>84</v>
      </c>
      <c r="AA60" s="54" t="s">
        <v>78</v>
      </c>
      <c r="AB60" s="39" t="s">
        <v>158</v>
      </c>
    </row>
    <row r="61" spans="1:29" x14ac:dyDescent="0.15">
      <c r="A61" s="15" t="s">
        <v>156</v>
      </c>
      <c r="B61" s="15" t="s">
        <v>157</v>
      </c>
      <c r="C61" s="15">
        <v>2019</v>
      </c>
      <c r="D61" s="37" t="s">
        <v>165</v>
      </c>
      <c r="E61" s="7" t="s">
        <v>140</v>
      </c>
      <c r="F61" s="7" t="s">
        <v>148</v>
      </c>
      <c r="G61" s="7" t="s">
        <v>36</v>
      </c>
      <c r="H61" s="15" t="s">
        <v>164</v>
      </c>
      <c r="I61" s="7" t="s">
        <v>159</v>
      </c>
      <c r="J61" s="15" t="s">
        <v>38</v>
      </c>
      <c r="K61" s="7" t="s">
        <v>161</v>
      </c>
      <c r="L61" s="7">
        <v>3</v>
      </c>
      <c r="N61" s="53">
        <v>1</v>
      </c>
      <c r="O61" s="7">
        <v>0.5</v>
      </c>
      <c r="P61" s="7">
        <v>0.5</v>
      </c>
      <c r="Q61" s="52">
        <f t="shared" si="0"/>
        <v>0.5</v>
      </c>
      <c r="R61" s="7">
        <v>12.8</v>
      </c>
      <c r="S61" s="7">
        <v>105</v>
      </c>
      <c r="T61" s="16">
        <f>IF(H61="","",IF(OR(H61="GREEN",H61="GK"),IF(S61&gt;=$AX$2,VLOOKUP(S61,$AX$2:$AY$12,2,1),""),IF(S61&gt;=$AZ$2,VLOOKUP(S61,$AZ$2:$BA$12,2,1),"")))</f>
        <v>33</v>
      </c>
      <c r="U61" s="7">
        <v>73</v>
      </c>
      <c r="V61" s="16">
        <f t="shared" si="2"/>
        <v>2409</v>
      </c>
      <c r="W61" s="7">
        <v>3</v>
      </c>
      <c r="X61" s="54" t="s">
        <v>46</v>
      </c>
      <c r="Y61" s="54" t="s">
        <v>90</v>
      </c>
      <c r="Z61" s="54" t="s">
        <v>84</v>
      </c>
      <c r="AA61" s="54" t="s">
        <v>78</v>
      </c>
      <c r="AB61" s="39" t="s">
        <v>158</v>
      </c>
    </row>
    <row r="62" spans="1:29" x14ac:dyDescent="0.15">
      <c r="A62" s="15" t="s">
        <v>156</v>
      </c>
      <c r="B62" s="15" t="s">
        <v>157</v>
      </c>
      <c r="C62" s="15">
        <v>2019</v>
      </c>
      <c r="D62" s="37" t="s">
        <v>165</v>
      </c>
      <c r="E62" s="7" t="s">
        <v>140</v>
      </c>
      <c r="F62" s="7" t="s">
        <v>148</v>
      </c>
      <c r="G62" s="7" t="s">
        <v>36</v>
      </c>
      <c r="H62" s="15" t="s">
        <v>160</v>
      </c>
      <c r="I62" s="7" t="s">
        <v>159</v>
      </c>
      <c r="J62" s="15" t="s">
        <v>38</v>
      </c>
      <c r="K62" s="7" t="s">
        <v>161</v>
      </c>
      <c r="L62" s="7">
        <v>1</v>
      </c>
      <c r="N62" s="53">
        <v>1</v>
      </c>
      <c r="O62" s="7">
        <v>0.75</v>
      </c>
      <c r="P62" s="7">
        <v>0.75</v>
      </c>
      <c r="Q62" s="52">
        <f t="shared" si="0"/>
        <v>0.75</v>
      </c>
      <c r="R62" s="7">
        <v>18.399999999999999</v>
      </c>
      <c r="S62" s="7">
        <v>152</v>
      </c>
      <c r="T62" s="16">
        <f t="shared" ref="T62:T120" si="3">IF(H62="","",IF(OR(H62="GREEN",H62="GK"),IF(S62&gt;=$AX$2,VLOOKUP(S62,$AX$2:$AY$12,2,1),""),IF(S62&gt;=$AZ$2,VLOOKUP(S62,$AZ$2:$BA$12,2,1),"")))</f>
        <v>18</v>
      </c>
      <c r="U62" s="7">
        <v>192</v>
      </c>
      <c r="V62" s="16">
        <f t="shared" si="2"/>
        <v>3456</v>
      </c>
      <c r="W62" s="7">
        <v>6</v>
      </c>
      <c r="X62" s="54" t="s">
        <v>46</v>
      </c>
      <c r="Y62" s="54" t="s">
        <v>90</v>
      </c>
      <c r="Z62" s="54" t="s">
        <v>84</v>
      </c>
      <c r="AA62" s="54" t="s">
        <v>78</v>
      </c>
      <c r="AB62" s="39" t="s">
        <v>158</v>
      </c>
    </row>
    <row r="63" spans="1:29" x14ac:dyDescent="0.15">
      <c r="A63" s="15" t="s">
        <v>156</v>
      </c>
      <c r="B63" s="15" t="s">
        <v>157</v>
      </c>
      <c r="C63" s="15">
        <v>2019</v>
      </c>
      <c r="D63" s="37" t="s">
        <v>165</v>
      </c>
      <c r="E63" s="7" t="s">
        <v>140</v>
      </c>
      <c r="F63" s="7" t="s">
        <v>148</v>
      </c>
      <c r="G63" s="7" t="s">
        <v>36</v>
      </c>
      <c r="H63" s="15" t="s">
        <v>160</v>
      </c>
      <c r="I63" s="7" t="s">
        <v>159</v>
      </c>
      <c r="J63" s="15" t="s">
        <v>38</v>
      </c>
      <c r="K63" s="7" t="s">
        <v>161</v>
      </c>
      <c r="L63" s="7">
        <v>2</v>
      </c>
      <c r="N63" s="53">
        <v>1</v>
      </c>
      <c r="O63" s="7">
        <v>0.75</v>
      </c>
      <c r="P63" s="7">
        <v>0.8</v>
      </c>
      <c r="Q63" s="52">
        <f t="shared" si="0"/>
        <v>0.77500000000000002</v>
      </c>
      <c r="R63" s="7">
        <v>13.7</v>
      </c>
      <c r="S63" s="7">
        <v>162</v>
      </c>
      <c r="T63" s="16">
        <f t="shared" si="3"/>
        <v>18</v>
      </c>
      <c r="U63" s="7">
        <v>192</v>
      </c>
      <c r="V63" s="16">
        <f t="shared" si="2"/>
        <v>3456</v>
      </c>
      <c r="W63" s="7">
        <v>6</v>
      </c>
      <c r="X63" s="54" t="s">
        <v>46</v>
      </c>
      <c r="Y63" s="54" t="s">
        <v>90</v>
      </c>
      <c r="Z63" s="54" t="s">
        <v>84</v>
      </c>
      <c r="AA63" s="54" t="s">
        <v>78</v>
      </c>
      <c r="AB63" s="39" t="s">
        <v>158</v>
      </c>
    </row>
    <row r="64" spans="1:29" x14ac:dyDescent="0.15">
      <c r="A64" s="15" t="s">
        <v>156</v>
      </c>
      <c r="B64" s="15" t="s">
        <v>157</v>
      </c>
      <c r="C64" s="15">
        <v>2019</v>
      </c>
      <c r="D64" s="37" t="s">
        <v>165</v>
      </c>
      <c r="E64" s="7" t="s">
        <v>140</v>
      </c>
      <c r="F64" s="7" t="s">
        <v>148</v>
      </c>
      <c r="G64" s="7" t="s">
        <v>36</v>
      </c>
      <c r="H64" s="15" t="s">
        <v>160</v>
      </c>
      <c r="I64" s="7" t="s">
        <v>159</v>
      </c>
      <c r="J64" s="15" t="s">
        <v>38</v>
      </c>
      <c r="K64" s="7" t="s">
        <v>161</v>
      </c>
      <c r="L64" s="7">
        <v>3</v>
      </c>
      <c r="N64" s="53">
        <v>1</v>
      </c>
      <c r="O64" s="7">
        <v>0.75</v>
      </c>
      <c r="P64" s="7">
        <v>0.6</v>
      </c>
      <c r="Q64" s="52">
        <f t="shared" si="0"/>
        <v>0.67500000000000004</v>
      </c>
      <c r="R64" s="7">
        <v>18</v>
      </c>
      <c r="S64" s="7">
        <v>163</v>
      </c>
      <c r="T64" s="16">
        <f t="shared" si="3"/>
        <v>18</v>
      </c>
      <c r="U64" s="7">
        <v>192</v>
      </c>
      <c r="V64" s="16">
        <f t="shared" si="2"/>
        <v>3456</v>
      </c>
      <c r="W64" s="7">
        <v>6</v>
      </c>
      <c r="X64" s="54" t="s">
        <v>46</v>
      </c>
      <c r="Y64" s="54" t="s">
        <v>90</v>
      </c>
      <c r="Z64" s="54" t="s">
        <v>84</v>
      </c>
      <c r="AA64" s="54" t="s">
        <v>78</v>
      </c>
      <c r="AB64" s="39" t="s">
        <v>158</v>
      </c>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2B1A7-CDCF-4267-A532-C9E11A6F3C94}">
  <dimension ref="A1:BA375"/>
  <sheetViews>
    <sheetView zoomScale="70" zoomScaleNormal="70" workbookViewId="0">
      <selection activeCell="J26" sqref="J26"/>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1</v>
      </c>
      <c r="P2" s="53">
        <v>1.2</v>
      </c>
      <c r="Q2" s="16">
        <f t="shared" ref="Q2:Q16" si="0">IF(OR(O2="",P2=""),"",AVERAGE(O2,P2))</f>
        <v>1.1000000000000001</v>
      </c>
      <c r="R2" s="53">
        <v>12.3</v>
      </c>
      <c r="S2" s="53">
        <v>129</v>
      </c>
      <c r="T2" s="16">
        <f t="shared" ref="T2:T65" si="1">IF(H2="","",IF(OR(H2="GREEN",H2="GK"),IF(S2&gt;=$AX$2,VLOOKUP(S2,$AX$2:$AY$10,2,1),""),IF(S2&gt;=$AZ$2,VLOOKUP(S2,$AZ$2:$BA$10,2,1),"")))</f>
        <v>25</v>
      </c>
      <c r="U2" s="53">
        <v>105</v>
      </c>
      <c r="V2" s="16">
        <f t="shared" ref="V2:V65" si="2">IF(OR(N2="",U2="",T2=""),"",U2/N2*T2)</f>
        <v>2625</v>
      </c>
      <c r="W2" s="53">
        <v>3</v>
      </c>
      <c r="X2" s="53" t="s">
        <v>46</v>
      </c>
      <c r="Y2" s="53" t="s">
        <v>78</v>
      </c>
      <c r="Z2" s="53" t="s">
        <v>69</v>
      </c>
      <c r="AA2" s="53" t="s">
        <v>55</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1.1499999999999999</v>
      </c>
      <c r="P3" s="53">
        <v>1</v>
      </c>
      <c r="Q3" s="16">
        <f t="shared" si="0"/>
        <v>1.075</v>
      </c>
      <c r="R3" s="53">
        <v>13.2</v>
      </c>
      <c r="S3" s="53">
        <v>128</v>
      </c>
      <c r="T3" s="16">
        <f t="shared" si="1"/>
        <v>27</v>
      </c>
      <c r="U3" s="53">
        <v>105</v>
      </c>
      <c r="V3" s="16">
        <f t="shared" si="2"/>
        <v>2835</v>
      </c>
      <c r="W3" s="53">
        <v>3</v>
      </c>
      <c r="X3" s="53" t="s">
        <v>46</v>
      </c>
      <c r="Y3" s="53" t="s">
        <v>78</v>
      </c>
      <c r="Z3" s="53" t="s">
        <v>69</v>
      </c>
      <c r="AA3" s="53" t="s">
        <v>55</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189</v>
      </c>
      <c r="E4" s="53" t="s">
        <v>133</v>
      </c>
      <c r="F4" s="53" t="s">
        <v>185</v>
      </c>
      <c r="G4" s="53" t="s">
        <v>42</v>
      </c>
      <c r="H4" s="53" t="s">
        <v>164</v>
      </c>
      <c r="I4" s="53" t="s">
        <v>159</v>
      </c>
      <c r="J4" s="53" t="s">
        <v>38</v>
      </c>
      <c r="K4" s="53" t="s">
        <v>161</v>
      </c>
      <c r="L4" s="53">
        <v>3</v>
      </c>
      <c r="N4" s="53">
        <v>1</v>
      </c>
      <c r="O4" s="53">
        <v>0.95</v>
      </c>
      <c r="P4" s="53">
        <v>1.05</v>
      </c>
      <c r="Q4" s="16">
        <f t="shared" si="0"/>
        <v>1</v>
      </c>
      <c r="R4" s="53">
        <v>14.1</v>
      </c>
      <c r="S4" s="53">
        <v>130</v>
      </c>
      <c r="T4" s="16">
        <f t="shared" si="1"/>
        <v>25</v>
      </c>
      <c r="U4" s="53">
        <v>105</v>
      </c>
      <c r="V4" s="16">
        <f t="shared" si="2"/>
        <v>2625</v>
      </c>
      <c r="W4" s="53">
        <v>3</v>
      </c>
      <c r="X4" s="53" t="s">
        <v>46</v>
      </c>
      <c r="Y4" s="53" t="s">
        <v>78</v>
      </c>
      <c r="Z4" s="53" t="s">
        <v>69</v>
      </c>
      <c r="AA4" s="53" t="s">
        <v>55</v>
      </c>
      <c r="AB4" s="53" t="s">
        <v>158</v>
      </c>
      <c r="AE4" s="22" t="s">
        <v>34</v>
      </c>
      <c r="AG4" s="71" t="s">
        <v>187</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189</v>
      </c>
      <c r="E5" s="53" t="s">
        <v>133</v>
      </c>
      <c r="F5" s="53" t="s">
        <v>185</v>
      </c>
      <c r="G5" s="53" t="s">
        <v>42</v>
      </c>
      <c r="H5" s="53" t="s">
        <v>164</v>
      </c>
      <c r="I5" s="53" t="s">
        <v>159</v>
      </c>
      <c r="J5" s="53" t="s">
        <v>38</v>
      </c>
      <c r="K5" s="53" t="s">
        <v>161</v>
      </c>
      <c r="L5" s="53">
        <v>1</v>
      </c>
      <c r="N5" s="53">
        <v>6</v>
      </c>
      <c r="O5" s="53">
        <v>0.65</v>
      </c>
      <c r="P5" s="53">
        <v>0.6</v>
      </c>
      <c r="Q5" s="72">
        <f t="shared" si="0"/>
        <v>0.625</v>
      </c>
      <c r="R5" s="53">
        <v>12.5</v>
      </c>
      <c r="S5" s="53">
        <v>124</v>
      </c>
      <c r="T5" s="16">
        <f t="shared" si="1"/>
        <v>27</v>
      </c>
      <c r="U5" s="53">
        <v>646</v>
      </c>
      <c r="V5" s="16">
        <f t="shared" si="2"/>
        <v>2907</v>
      </c>
      <c r="W5" s="53">
        <v>2</v>
      </c>
      <c r="X5" s="53" t="s">
        <v>46</v>
      </c>
      <c r="Y5" s="53" t="s">
        <v>78</v>
      </c>
      <c r="Z5" s="53" t="s">
        <v>69</v>
      </c>
      <c r="AA5" s="53" t="s">
        <v>55</v>
      </c>
      <c r="AB5" s="53" t="s">
        <v>158</v>
      </c>
      <c r="AE5" s="22" t="s">
        <v>51</v>
      </c>
      <c r="AG5" s="71" t="s">
        <v>195</v>
      </c>
      <c r="AH5" s="71"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189</v>
      </c>
      <c r="E6" s="53" t="s">
        <v>133</v>
      </c>
      <c r="F6" s="53" t="s">
        <v>185</v>
      </c>
      <c r="G6" s="53" t="s">
        <v>42</v>
      </c>
      <c r="H6" s="53" t="s">
        <v>164</v>
      </c>
      <c r="I6" s="53" t="s">
        <v>159</v>
      </c>
      <c r="J6" s="53" t="s">
        <v>38</v>
      </c>
      <c r="K6" s="53" t="s">
        <v>161</v>
      </c>
      <c r="L6" s="53">
        <v>2</v>
      </c>
      <c r="N6" s="53">
        <v>6</v>
      </c>
      <c r="O6" s="53">
        <v>0.65</v>
      </c>
      <c r="P6" s="53">
        <v>0.65</v>
      </c>
      <c r="Q6" s="72">
        <f t="shared" si="0"/>
        <v>0.65</v>
      </c>
      <c r="R6" s="53">
        <v>15.1</v>
      </c>
      <c r="S6" s="53">
        <v>122</v>
      </c>
      <c r="T6" s="16">
        <f t="shared" si="1"/>
        <v>27</v>
      </c>
      <c r="U6" s="53">
        <v>646</v>
      </c>
      <c r="V6" s="16">
        <f t="shared" si="2"/>
        <v>2907</v>
      </c>
      <c r="W6" s="53">
        <v>2</v>
      </c>
      <c r="X6" s="53" t="s">
        <v>46</v>
      </c>
      <c r="Y6" s="53" t="s">
        <v>78</v>
      </c>
      <c r="Z6" s="53" t="s">
        <v>69</v>
      </c>
      <c r="AA6" s="53" t="s">
        <v>55</v>
      </c>
      <c r="AB6" s="53" t="s">
        <v>158</v>
      </c>
      <c r="AE6" s="22" t="s">
        <v>56</v>
      </c>
      <c r="AG6" s="71" t="s">
        <v>195</v>
      </c>
      <c r="AH6" s="71" t="s">
        <v>197</v>
      </c>
      <c r="AL6" s="73" t="s">
        <v>198</v>
      </c>
      <c r="AN6" s="73" t="s">
        <v>167</v>
      </c>
      <c r="AP6" s="23" t="s">
        <v>53</v>
      </c>
      <c r="AR6" s="23" t="s">
        <v>59</v>
      </c>
      <c r="AV6" s="23" t="s">
        <v>60</v>
      </c>
      <c r="AX6" s="24">
        <v>97</v>
      </c>
      <c r="AY6" s="25">
        <v>36</v>
      </c>
      <c r="AZ6" s="25">
        <v>99</v>
      </c>
      <c r="BA6" s="26">
        <v>33</v>
      </c>
    </row>
    <row r="7" spans="1:53" x14ac:dyDescent="0.15">
      <c r="A7" s="53" t="s">
        <v>41</v>
      </c>
      <c r="B7" s="53" t="s">
        <v>157</v>
      </c>
      <c r="C7" s="62">
        <v>2019</v>
      </c>
      <c r="D7" s="63" t="s">
        <v>189</v>
      </c>
      <c r="E7" s="53" t="s">
        <v>133</v>
      </c>
      <c r="F7" s="53" t="s">
        <v>185</v>
      </c>
      <c r="G7" s="53" t="s">
        <v>42</v>
      </c>
      <c r="H7" s="53" t="s">
        <v>164</v>
      </c>
      <c r="I7" s="53" t="s">
        <v>159</v>
      </c>
      <c r="J7" s="53" t="s">
        <v>38</v>
      </c>
      <c r="K7" s="53" t="s">
        <v>161</v>
      </c>
      <c r="L7" s="53">
        <v>3</v>
      </c>
      <c r="N7" s="53">
        <v>6</v>
      </c>
      <c r="O7" s="53">
        <v>0.45</v>
      </c>
      <c r="P7" s="53">
        <v>0.45</v>
      </c>
      <c r="Q7" s="72">
        <f t="shared" si="0"/>
        <v>0.45</v>
      </c>
      <c r="R7" s="53">
        <v>14</v>
      </c>
      <c r="S7" s="53">
        <v>122</v>
      </c>
      <c r="T7" s="16">
        <f t="shared" si="1"/>
        <v>27</v>
      </c>
      <c r="U7" s="53">
        <v>646</v>
      </c>
      <c r="V7" s="16">
        <f t="shared" si="2"/>
        <v>2907</v>
      </c>
      <c r="W7" s="53">
        <v>2</v>
      </c>
      <c r="X7" s="53" t="s">
        <v>46</v>
      </c>
      <c r="Y7" s="53" t="s">
        <v>78</v>
      </c>
      <c r="Z7" s="53" t="s">
        <v>69</v>
      </c>
      <c r="AA7" s="53" t="s">
        <v>55</v>
      </c>
      <c r="AB7" s="53" t="s">
        <v>158</v>
      </c>
      <c r="AE7" s="22" t="s">
        <v>61</v>
      </c>
      <c r="AG7" s="71" t="s">
        <v>199</v>
      </c>
      <c r="AH7" s="71" t="s">
        <v>197</v>
      </c>
      <c r="AL7" s="74" t="s">
        <v>200</v>
      </c>
      <c r="AP7" s="23" t="s">
        <v>58</v>
      </c>
      <c r="AR7" s="23" t="s">
        <v>201</v>
      </c>
      <c r="AV7" s="23" t="s">
        <v>64</v>
      </c>
      <c r="AX7" s="24">
        <v>109</v>
      </c>
      <c r="AY7" s="25">
        <v>33</v>
      </c>
      <c r="AZ7" s="25">
        <v>113</v>
      </c>
      <c r="BA7" s="26">
        <v>30</v>
      </c>
    </row>
    <row r="8" spans="1:53" x14ac:dyDescent="0.15">
      <c r="A8" s="53" t="s">
        <v>41</v>
      </c>
      <c r="B8" s="53" t="s">
        <v>157</v>
      </c>
      <c r="C8" s="62">
        <v>2019</v>
      </c>
      <c r="D8" s="63" t="s">
        <v>189</v>
      </c>
      <c r="E8" s="53" t="s">
        <v>133</v>
      </c>
      <c r="F8" s="53" t="s">
        <v>185</v>
      </c>
      <c r="G8" s="53" t="s">
        <v>42</v>
      </c>
      <c r="H8" s="53" t="s">
        <v>164</v>
      </c>
      <c r="I8" s="53" t="s">
        <v>159</v>
      </c>
      <c r="J8" s="53" t="s">
        <v>38</v>
      </c>
      <c r="K8" s="53" t="s">
        <v>161</v>
      </c>
      <c r="L8" s="53">
        <v>1</v>
      </c>
      <c r="N8" s="53">
        <v>8</v>
      </c>
      <c r="O8" s="53">
        <v>0.5</v>
      </c>
      <c r="P8" s="53">
        <v>0.4</v>
      </c>
      <c r="Q8" s="75">
        <f t="shared" si="0"/>
        <v>0.45</v>
      </c>
      <c r="R8" s="53">
        <v>13.2</v>
      </c>
      <c r="S8" s="53">
        <v>117</v>
      </c>
      <c r="T8" s="16">
        <f t="shared" si="1"/>
        <v>30</v>
      </c>
      <c r="U8" s="53">
        <v>754</v>
      </c>
      <c r="V8" s="16">
        <f t="shared" si="2"/>
        <v>2827.5</v>
      </c>
      <c r="W8" s="53">
        <v>1</v>
      </c>
      <c r="X8" s="53" t="s">
        <v>46</v>
      </c>
      <c r="Y8" s="53" t="s">
        <v>78</v>
      </c>
      <c r="Z8" s="53" t="s">
        <v>69</v>
      </c>
      <c r="AA8" s="53" t="s">
        <v>55</v>
      </c>
      <c r="AB8" s="53" t="s">
        <v>158</v>
      </c>
      <c r="AE8" s="22" t="s">
        <v>59</v>
      </c>
      <c r="AG8" s="71" t="s">
        <v>202</v>
      </c>
      <c r="AH8" s="71" t="s">
        <v>203</v>
      </c>
      <c r="AL8" s="74" t="s">
        <v>160</v>
      </c>
      <c r="AP8" s="23" t="s">
        <v>62</v>
      </c>
      <c r="AR8" s="23" t="s">
        <v>81</v>
      </c>
      <c r="AV8" s="23" t="s">
        <v>97</v>
      </c>
      <c r="AX8" s="24">
        <v>119</v>
      </c>
      <c r="AY8" s="25">
        <v>30</v>
      </c>
      <c r="AZ8" s="25">
        <v>121</v>
      </c>
      <c r="BA8" s="26">
        <v>27</v>
      </c>
    </row>
    <row r="9" spans="1:53" x14ac:dyDescent="0.15">
      <c r="A9" s="53" t="s">
        <v>41</v>
      </c>
      <c r="B9" s="53" t="s">
        <v>157</v>
      </c>
      <c r="C9" s="62">
        <v>2019</v>
      </c>
      <c r="D9" s="63" t="s">
        <v>189</v>
      </c>
      <c r="E9" s="53" t="s">
        <v>133</v>
      </c>
      <c r="F9" s="53" t="s">
        <v>185</v>
      </c>
      <c r="G9" s="53" t="s">
        <v>42</v>
      </c>
      <c r="H9" s="53" t="s">
        <v>164</v>
      </c>
      <c r="I9" s="53" t="s">
        <v>159</v>
      </c>
      <c r="J9" s="53" t="s">
        <v>38</v>
      </c>
      <c r="K9" s="53" t="s">
        <v>161</v>
      </c>
      <c r="L9" s="53">
        <v>2</v>
      </c>
      <c r="M9" s="76"/>
      <c r="N9" s="53">
        <v>8</v>
      </c>
      <c r="O9" s="53">
        <v>0.45</v>
      </c>
      <c r="P9" s="53">
        <v>0.55000000000000004</v>
      </c>
      <c r="Q9" s="75">
        <f t="shared" si="0"/>
        <v>0.5</v>
      </c>
      <c r="R9" s="53">
        <v>11.5</v>
      </c>
      <c r="S9" s="53">
        <v>120</v>
      </c>
      <c r="T9" s="16">
        <f t="shared" si="1"/>
        <v>30</v>
      </c>
      <c r="U9" s="53">
        <v>754</v>
      </c>
      <c r="V9" s="16">
        <f t="shared" si="2"/>
        <v>2827.5</v>
      </c>
      <c r="W9" s="53">
        <v>1</v>
      </c>
      <c r="X9" s="53" t="s">
        <v>46</v>
      </c>
      <c r="Y9" s="53" t="s">
        <v>78</v>
      </c>
      <c r="Z9" s="53" t="s">
        <v>69</v>
      </c>
      <c r="AA9" s="53" t="s">
        <v>55</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189</v>
      </c>
      <c r="E10" s="53" t="s">
        <v>133</v>
      </c>
      <c r="F10" s="53" t="s">
        <v>185</v>
      </c>
      <c r="G10" s="53" t="s">
        <v>42</v>
      </c>
      <c r="H10" s="53" t="s">
        <v>164</v>
      </c>
      <c r="I10" s="53" t="s">
        <v>159</v>
      </c>
      <c r="J10" s="53" t="s">
        <v>38</v>
      </c>
      <c r="K10" s="53" t="s">
        <v>161</v>
      </c>
      <c r="L10" s="53">
        <v>3</v>
      </c>
      <c r="M10" s="76"/>
      <c r="N10" s="53">
        <v>8</v>
      </c>
      <c r="O10" s="53">
        <v>0.6</v>
      </c>
      <c r="P10" s="53">
        <v>0.5</v>
      </c>
      <c r="Q10" s="75">
        <f t="shared" si="0"/>
        <v>0.55000000000000004</v>
      </c>
      <c r="R10" s="53">
        <v>12.4</v>
      </c>
      <c r="S10" s="53">
        <v>115</v>
      </c>
      <c r="T10" s="16">
        <f t="shared" si="1"/>
        <v>30</v>
      </c>
      <c r="U10" s="53">
        <v>754</v>
      </c>
      <c r="V10" s="16">
        <f t="shared" si="2"/>
        <v>2827.5</v>
      </c>
      <c r="W10" s="53">
        <v>1</v>
      </c>
      <c r="X10" s="53" t="s">
        <v>46</v>
      </c>
      <c r="Y10" s="53" t="s">
        <v>78</v>
      </c>
      <c r="Z10" s="53" t="s">
        <v>69</v>
      </c>
      <c r="AA10" s="53" t="s">
        <v>55</v>
      </c>
      <c r="AB10" s="53" t="s">
        <v>158</v>
      </c>
      <c r="AE10" s="22" t="s">
        <v>208</v>
      </c>
      <c r="AG10" s="71" t="s">
        <v>202</v>
      </c>
      <c r="AH10" s="71" t="s">
        <v>209</v>
      </c>
      <c r="AL10" s="74"/>
      <c r="AP10" s="23" t="s">
        <v>100</v>
      </c>
      <c r="AR10" s="23" t="s">
        <v>210</v>
      </c>
      <c r="AV10" s="23" t="s">
        <v>106</v>
      </c>
      <c r="AX10" s="24">
        <v>138</v>
      </c>
      <c r="AY10" s="25">
        <v>25</v>
      </c>
      <c r="AZ10" s="25">
        <v>138</v>
      </c>
      <c r="BA10" s="26">
        <v>22</v>
      </c>
    </row>
    <row r="11" spans="1:53" x14ac:dyDescent="0.15">
      <c r="A11" s="53" t="s">
        <v>41</v>
      </c>
      <c r="B11" s="53" t="s">
        <v>157</v>
      </c>
      <c r="C11" s="62">
        <v>2019</v>
      </c>
      <c r="D11" s="63" t="s">
        <v>189</v>
      </c>
      <c r="E11" s="53" t="s">
        <v>133</v>
      </c>
      <c r="F11" s="53" t="s">
        <v>185</v>
      </c>
      <c r="G11" s="53" t="s">
        <v>42</v>
      </c>
      <c r="H11" s="53" t="s">
        <v>191</v>
      </c>
      <c r="I11" s="53" t="s">
        <v>159</v>
      </c>
      <c r="J11" s="53" t="s">
        <v>80</v>
      </c>
      <c r="K11" s="53" t="s">
        <v>59</v>
      </c>
      <c r="L11" s="53">
        <v>1</v>
      </c>
      <c r="N11" s="53">
        <v>5</v>
      </c>
      <c r="O11" s="53">
        <v>0.45</v>
      </c>
      <c r="P11" s="53">
        <v>0.3</v>
      </c>
      <c r="Q11" s="72">
        <f t="shared" si="0"/>
        <v>0.375</v>
      </c>
      <c r="R11" s="53">
        <v>13.5</v>
      </c>
      <c r="S11" s="53">
        <v>65</v>
      </c>
      <c r="T11" s="16">
        <f t="shared" si="1"/>
        <v>50</v>
      </c>
      <c r="U11" s="53">
        <v>538</v>
      </c>
      <c r="V11" s="16">
        <f t="shared" si="2"/>
        <v>5380</v>
      </c>
      <c r="W11" s="53">
        <v>1</v>
      </c>
      <c r="X11" s="53" t="s">
        <v>46</v>
      </c>
      <c r="Y11" s="53" t="s">
        <v>78</v>
      </c>
      <c r="Z11" s="53" t="s">
        <v>69</v>
      </c>
      <c r="AA11" s="53" t="s">
        <v>55</v>
      </c>
      <c r="AB11" s="53" t="s">
        <v>158</v>
      </c>
      <c r="AE11" s="22" t="s">
        <v>68</v>
      </c>
      <c r="AG11" s="71" t="s">
        <v>211</v>
      </c>
      <c r="AH11" s="71" t="s">
        <v>212</v>
      </c>
      <c r="AL11" s="74"/>
      <c r="AP11" s="23" t="s">
        <v>104</v>
      </c>
      <c r="AR11" s="23" t="s">
        <v>213</v>
      </c>
      <c r="AV11" s="23" t="s">
        <v>69</v>
      </c>
      <c r="AX11" s="24">
        <v>151</v>
      </c>
      <c r="AY11" s="25">
        <v>22</v>
      </c>
      <c r="AZ11" s="25">
        <v>152</v>
      </c>
      <c r="BA11" s="26">
        <v>18</v>
      </c>
    </row>
    <row r="12" spans="1:53" x14ac:dyDescent="0.15">
      <c r="A12" s="53" t="s">
        <v>41</v>
      </c>
      <c r="B12" s="53" t="s">
        <v>157</v>
      </c>
      <c r="C12" s="62">
        <v>2019</v>
      </c>
      <c r="D12" s="63" t="s">
        <v>189</v>
      </c>
      <c r="E12" s="53" t="s">
        <v>133</v>
      </c>
      <c r="F12" s="53" t="s">
        <v>185</v>
      </c>
      <c r="G12" s="53" t="s">
        <v>42</v>
      </c>
      <c r="H12" s="53" t="s">
        <v>191</v>
      </c>
      <c r="I12" s="53" t="s">
        <v>159</v>
      </c>
      <c r="J12" s="53" t="s">
        <v>80</v>
      </c>
      <c r="K12" s="53" t="s">
        <v>59</v>
      </c>
      <c r="L12" s="53">
        <v>2</v>
      </c>
      <c r="M12" s="76"/>
      <c r="N12" s="53">
        <v>5</v>
      </c>
      <c r="O12" s="53">
        <v>0.3</v>
      </c>
      <c r="P12" s="53">
        <v>0.25</v>
      </c>
      <c r="Q12" s="72">
        <f t="shared" si="0"/>
        <v>0.27500000000000002</v>
      </c>
      <c r="R12" s="53">
        <v>11.1</v>
      </c>
      <c r="S12" s="53">
        <v>70</v>
      </c>
      <c r="T12" s="16">
        <f t="shared" si="1"/>
        <v>50</v>
      </c>
      <c r="U12" s="53">
        <v>538</v>
      </c>
      <c r="V12" s="16">
        <f t="shared" si="2"/>
        <v>5380</v>
      </c>
      <c r="W12" s="53">
        <v>1</v>
      </c>
      <c r="X12" s="53" t="s">
        <v>46</v>
      </c>
      <c r="Y12" s="53" t="s">
        <v>78</v>
      </c>
      <c r="Z12" s="53" t="s">
        <v>69</v>
      </c>
      <c r="AA12" s="53" t="s">
        <v>55</v>
      </c>
      <c r="AB12" s="53" t="s">
        <v>158</v>
      </c>
      <c r="AE12" s="22" t="s">
        <v>214</v>
      </c>
      <c r="AG12" s="22"/>
      <c r="AH12" s="22"/>
      <c r="AL12" s="74"/>
      <c r="AP12" s="23" t="s">
        <v>67</v>
      </c>
      <c r="AR12" s="23" t="s">
        <v>215</v>
      </c>
      <c r="AV12" s="23" t="s">
        <v>72</v>
      </c>
      <c r="AX12" s="31">
        <v>180</v>
      </c>
      <c r="AY12" s="32">
        <v>18</v>
      </c>
      <c r="AZ12" s="32">
        <v>181</v>
      </c>
      <c r="BA12" s="33">
        <v>16</v>
      </c>
    </row>
    <row r="13" spans="1:53" x14ac:dyDescent="0.15">
      <c r="A13" s="53" t="s">
        <v>41</v>
      </c>
      <c r="B13" s="53" t="s">
        <v>157</v>
      </c>
      <c r="C13" s="62">
        <v>2019</v>
      </c>
      <c r="D13" s="63" t="s">
        <v>189</v>
      </c>
      <c r="E13" s="53" t="s">
        <v>133</v>
      </c>
      <c r="F13" s="53" t="s">
        <v>185</v>
      </c>
      <c r="G13" s="53" t="s">
        <v>42</v>
      </c>
      <c r="H13" s="53" t="s">
        <v>191</v>
      </c>
      <c r="I13" s="53" t="s">
        <v>159</v>
      </c>
      <c r="J13" s="53" t="s">
        <v>80</v>
      </c>
      <c r="K13" s="53" t="s">
        <v>59</v>
      </c>
      <c r="L13" s="53">
        <v>3</v>
      </c>
      <c r="M13" s="76"/>
      <c r="N13" s="53">
        <v>5</v>
      </c>
      <c r="O13" s="53">
        <v>0.25</v>
      </c>
      <c r="P13" s="53">
        <v>0.25</v>
      </c>
      <c r="Q13" s="72">
        <f t="shared" si="0"/>
        <v>0.25</v>
      </c>
      <c r="R13" s="53">
        <v>15</v>
      </c>
      <c r="S13" s="53">
        <v>62</v>
      </c>
      <c r="T13" s="16">
        <f t="shared" si="1"/>
        <v>50</v>
      </c>
      <c r="U13" s="53">
        <v>538</v>
      </c>
      <c r="V13" s="16">
        <f t="shared" si="2"/>
        <v>5380</v>
      </c>
      <c r="W13" s="53">
        <v>1</v>
      </c>
      <c r="X13" s="53" t="s">
        <v>46</v>
      </c>
      <c r="Y13" s="53" t="s">
        <v>78</v>
      </c>
      <c r="Z13" s="53" t="s">
        <v>69</v>
      </c>
      <c r="AA13" s="53" t="s">
        <v>55</v>
      </c>
      <c r="AB13" s="53" t="s">
        <v>158</v>
      </c>
      <c r="AE13" s="22" t="s">
        <v>216</v>
      </c>
      <c r="AG13" s="23"/>
      <c r="AH13" s="23"/>
      <c r="AP13" s="23" t="s">
        <v>71</v>
      </c>
      <c r="AR13" s="23" t="s">
        <v>208</v>
      </c>
      <c r="AV13" s="23" t="s">
        <v>75</v>
      </c>
    </row>
    <row r="14" spans="1:53" x14ac:dyDescent="0.15">
      <c r="A14" s="53" t="s">
        <v>41</v>
      </c>
      <c r="B14" s="53" t="s">
        <v>157</v>
      </c>
      <c r="C14" s="62">
        <v>2019</v>
      </c>
      <c r="D14" s="63" t="s">
        <v>189</v>
      </c>
      <c r="E14" s="53" t="s">
        <v>133</v>
      </c>
      <c r="F14" s="53" t="s">
        <v>185</v>
      </c>
      <c r="G14" s="53" t="s">
        <v>42</v>
      </c>
      <c r="H14" s="53" t="s">
        <v>188</v>
      </c>
      <c r="I14" s="53" t="s">
        <v>159</v>
      </c>
      <c r="J14" s="53" t="s">
        <v>80</v>
      </c>
      <c r="K14" s="53" t="s">
        <v>45</v>
      </c>
      <c r="L14" s="53">
        <v>1</v>
      </c>
      <c r="M14" s="76"/>
      <c r="N14" s="53">
        <v>6</v>
      </c>
      <c r="O14" s="53">
        <v>0.25</v>
      </c>
      <c r="P14" s="53">
        <v>0.25</v>
      </c>
      <c r="Q14" s="72">
        <f t="shared" si="0"/>
        <v>0.25</v>
      </c>
      <c r="R14" s="53">
        <v>15.2</v>
      </c>
      <c r="S14" s="53">
        <v>124</v>
      </c>
      <c r="T14" s="16">
        <f t="shared" si="1"/>
        <v>27</v>
      </c>
      <c r="U14" s="53">
        <v>754</v>
      </c>
      <c r="V14" s="16">
        <f t="shared" si="2"/>
        <v>3393</v>
      </c>
      <c r="W14" s="53">
        <v>3</v>
      </c>
      <c r="X14" s="53" t="s">
        <v>46</v>
      </c>
      <c r="Y14" s="53" t="s">
        <v>78</v>
      </c>
      <c r="Z14" s="53" t="s">
        <v>69</v>
      </c>
      <c r="AA14" s="53" t="s">
        <v>55</v>
      </c>
      <c r="AB14" s="53" t="s">
        <v>158</v>
      </c>
      <c r="AE14" s="22" t="s">
        <v>96</v>
      </c>
      <c r="AG14" s="23"/>
      <c r="AH14" s="23"/>
      <c r="AP14" s="23" t="s">
        <v>74</v>
      </c>
      <c r="AR14" s="23" t="s">
        <v>217</v>
      </c>
      <c r="AV14" s="23" t="s">
        <v>78</v>
      </c>
    </row>
    <row r="15" spans="1:53" x14ac:dyDescent="0.15">
      <c r="A15" s="53" t="s">
        <v>41</v>
      </c>
      <c r="B15" s="53" t="s">
        <v>157</v>
      </c>
      <c r="C15" s="62">
        <v>2019</v>
      </c>
      <c r="D15" s="63" t="s">
        <v>189</v>
      </c>
      <c r="E15" s="53" t="s">
        <v>133</v>
      </c>
      <c r="F15" s="53" t="s">
        <v>185</v>
      </c>
      <c r="G15" s="53" t="s">
        <v>42</v>
      </c>
      <c r="H15" s="53" t="s">
        <v>188</v>
      </c>
      <c r="I15" s="53" t="s">
        <v>159</v>
      </c>
      <c r="J15" s="53" t="s">
        <v>80</v>
      </c>
      <c r="K15" s="53" t="s">
        <v>45</v>
      </c>
      <c r="L15" s="53">
        <v>2</v>
      </c>
      <c r="M15" s="76"/>
      <c r="N15" s="53">
        <v>6</v>
      </c>
      <c r="O15" s="53">
        <v>0.25</v>
      </c>
      <c r="P15" s="53">
        <v>0.25</v>
      </c>
      <c r="Q15" s="72">
        <f t="shared" si="0"/>
        <v>0.25</v>
      </c>
      <c r="R15" s="53">
        <v>12</v>
      </c>
      <c r="S15" s="53">
        <v>125</v>
      </c>
      <c r="T15" s="16">
        <f t="shared" si="1"/>
        <v>27</v>
      </c>
      <c r="U15" s="53">
        <v>754</v>
      </c>
      <c r="V15" s="16">
        <f t="shared" si="2"/>
        <v>3393</v>
      </c>
      <c r="W15" s="53">
        <v>3</v>
      </c>
      <c r="X15" s="53" t="s">
        <v>46</v>
      </c>
      <c r="Y15" s="53" t="s">
        <v>78</v>
      </c>
      <c r="Z15" s="53" t="s">
        <v>69</v>
      </c>
      <c r="AA15" s="53" t="s">
        <v>55</v>
      </c>
      <c r="AB15" s="53" t="s">
        <v>158</v>
      </c>
      <c r="AE15" s="22" t="s">
        <v>218</v>
      </c>
      <c r="AG15" s="23"/>
      <c r="AH15" s="23"/>
      <c r="AP15" s="23" t="s">
        <v>77</v>
      </c>
      <c r="AR15" s="23" t="s">
        <v>80</v>
      </c>
      <c r="AV15" s="23" t="s">
        <v>107</v>
      </c>
    </row>
    <row r="16" spans="1:53" x14ac:dyDescent="0.15">
      <c r="A16" s="53" t="s">
        <v>41</v>
      </c>
      <c r="B16" s="53" t="s">
        <v>157</v>
      </c>
      <c r="C16" s="62">
        <v>2019</v>
      </c>
      <c r="D16" s="63" t="s">
        <v>189</v>
      </c>
      <c r="E16" s="53" t="s">
        <v>133</v>
      </c>
      <c r="F16" s="53" t="s">
        <v>185</v>
      </c>
      <c r="G16" s="53" t="s">
        <v>42</v>
      </c>
      <c r="H16" s="53" t="s">
        <v>188</v>
      </c>
      <c r="I16" s="53" t="s">
        <v>159</v>
      </c>
      <c r="J16" s="53" t="s">
        <v>80</v>
      </c>
      <c r="K16" s="53" t="s">
        <v>45</v>
      </c>
      <c r="L16" s="53">
        <v>3</v>
      </c>
      <c r="M16" s="76"/>
      <c r="N16" s="53">
        <v>6</v>
      </c>
      <c r="O16" s="53">
        <v>0.25</v>
      </c>
      <c r="P16" s="53">
        <v>0.25</v>
      </c>
      <c r="Q16" s="72">
        <f t="shared" si="0"/>
        <v>0.25</v>
      </c>
      <c r="R16" s="53">
        <v>11.2</v>
      </c>
      <c r="S16" s="53">
        <v>122</v>
      </c>
      <c r="T16" s="16">
        <f t="shared" si="1"/>
        <v>27</v>
      </c>
      <c r="U16" s="53">
        <v>754</v>
      </c>
      <c r="V16" s="16">
        <f t="shared" si="2"/>
        <v>3393</v>
      </c>
      <c r="W16" s="53">
        <v>3</v>
      </c>
      <c r="X16" s="53" t="s">
        <v>46</v>
      </c>
      <c r="Y16" s="53" t="s">
        <v>78</v>
      </c>
      <c r="Z16" s="53" t="s">
        <v>69</v>
      </c>
      <c r="AA16" s="53" t="s">
        <v>55</v>
      </c>
      <c r="AB16" s="53" t="s">
        <v>158</v>
      </c>
      <c r="AE16" s="22" t="s">
        <v>219</v>
      </c>
      <c r="AG16" s="28"/>
      <c r="AH16" s="28"/>
      <c r="AP16" s="23" t="s">
        <v>80</v>
      </c>
      <c r="AR16" s="23" t="s">
        <v>63</v>
      </c>
      <c r="AV16" s="23" t="s">
        <v>84</v>
      </c>
    </row>
    <row r="17" spans="1:48" x14ac:dyDescent="0.15">
      <c r="A17" s="53" t="s">
        <v>41</v>
      </c>
      <c r="B17" s="53" t="s">
        <v>157</v>
      </c>
      <c r="C17" s="62">
        <v>2019</v>
      </c>
      <c r="D17" s="63" t="s">
        <v>189</v>
      </c>
      <c r="E17" s="53" t="s">
        <v>133</v>
      </c>
      <c r="F17" s="53" t="s">
        <v>185</v>
      </c>
      <c r="G17" s="53" t="s">
        <v>42</v>
      </c>
      <c r="H17" s="53" t="s">
        <v>160</v>
      </c>
      <c r="I17" s="53" t="s">
        <v>159</v>
      </c>
      <c r="J17" s="53" t="s">
        <v>38</v>
      </c>
      <c r="K17" s="53" t="s">
        <v>161</v>
      </c>
      <c r="L17" s="53">
        <v>1</v>
      </c>
      <c r="M17" s="76"/>
      <c r="N17" s="53">
        <v>6</v>
      </c>
      <c r="O17" s="53">
        <v>0.85</v>
      </c>
      <c r="P17" s="53">
        <v>0.8</v>
      </c>
      <c r="Q17" s="75">
        <v>1.05</v>
      </c>
      <c r="R17" s="53">
        <v>13.4</v>
      </c>
      <c r="S17" s="53">
        <v>120</v>
      </c>
      <c r="T17" s="16">
        <f t="shared" si="1"/>
        <v>30</v>
      </c>
      <c r="U17" s="53">
        <v>754</v>
      </c>
      <c r="V17" s="16">
        <f t="shared" si="2"/>
        <v>3770</v>
      </c>
      <c r="W17" s="53">
        <v>2</v>
      </c>
      <c r="X17" s="53" t="s">
        <v>46</v>
      </c>
      <c r="Y17" s="53" t="s">
        <v>78</v>
      </c>
      <c r="Z17" s="53" t="s">
        <v>69</v>
      </c>
      <c r="AA17" s="53" t="s">
        <v>55</v>
      </c>
      <c r="AB17" s="53" t="s">
        <v>158</v>
      </c>
      <c r="AE17" s="22" t="s">
        <v>220</v>
      </c>
      <c r="AP17" s="27" t="s">
        <v>221</v>
      </c>
      <c r="AR17" s="23" t="s">
        <v>96</v>
      </c>
      <c r="AV17" s="23" t="s">
        <v>86</v>
      </c>
    </row>
    <row r="18" spans="1:48" x14ac:dyDescent="0.15">
      <c r="A18" s="53" t="s">
        <v>41</v>
      </c>
      <c r="B18" s="53" t="s">
        <v>157</v>
      </c>
      <c r="C18" s="62">
        <v>2019</v>
      </c>
      <c r="D18" s="63" t="s">
        <v>189</v>
      </c>
      <c r="E18" s="53" t="s">
        <v>133</v>
      </c>
      <c r="F18" s="53" t="s">
        <v>185</v>
      </c>
      <c r="G18" s="53" t="s">
        <v>42</v>
      </c>
      <c r="H18" s="53" t="s">
        <v>160</v>
      </c>
      <c r="I18" s="53" t="s">
        <v>159</v>
      </c>
      <c r="J18" s="53" t="s">
        <v>38</v>
      </c>
      <c r="K18" s="53" t="s">
        <v>161</v>
      </c>
      <c r="L18" s="53">
        <v>2</v>
      </c>
      <c r="M18" s="76"/>
      <c r="N18" s="53">
        <v>6</v>
      </c>
      <c r="O18" s="53">
        <v>0.8</v>
      </c>
      <c r="P18" s="53">
        <v>0.7</v>
      </c>
      <c r="Q18" s="75">
        <v>1.25</v>
      </c>
      <c r="R18" s="53">
        <v>16</v>
      </c>
      <c r="S18" s="53">
        <v>118</v>
      </c>
      <c r="T18" s="16">
        <f t="shared" si="1"/>
        <v>30</v>
      </c>
      <c r="U18" s="53">
        <v>754</v>
      </c>
      <c r="V18" s="16">
        <f t="shared" si="2"/>
        <v>3770</v>
      </c>
      <c r="W18" s="53">
        <v>2</v>
      </c>
      <c r="X18" s="53" t="s">
        <v>46</v>
      </c>
      <c r="Y18" s="53" t="s">
        <v>78</v>
      </c>
      <c r="Z18" s="53" t="s">
        <v>69</v>
      </c>
      <c r="AA18" s="53" t="s">
        <v>55</v>
      </c>
      <c r="AB18" s="53" t="s">
        <v>158</v>
      </c>
      <c r="AE18" s="22" t="s">
        <v>213</v>
      </c>
      <c r="AP18" s="27" t="s">
        <v>222</v>
      </c>
      <c r="AR18" s="23" t="s">
        <v>101</v>
      </c>
      <c r="AV18" s="23" t="s">
        <v>88</v>
      </c>
    </row>
    <row r="19" spans="1:48" x14ac:dyDescent="0.15">
      <c r="A19" s="53" t="s">
        <v>41</v>
      </c>
      <c r="B19" s="53" t="s">
        <v>157</v>
      </c>
      <c r="C19" s="62">
        <v>2019</v>
      </c>
      <c r="D19" s="63" t="s">
        <v>189</v>
      </c>
      <c r="E19" s="53" t="s">
        <v>133</v>
      </c>
      <c r="F19" s="53" t="s">
        <v>185</v>
      </c>
      <c r="G19" s="53" t="s">
        <v>42</v>
      </c>
      <c r="H19" s="53" t="s">
        <v>160</v>
      </c>
      <c r="I19" s="53" t="s">
        <v>159</v>
      </c>
      <c r="J19" s="53" t="s">
        <v>38</v>
      </c>
      <c r="K19" s="53" t="s">
        <v>161</v>
      </c>
      <c r="L19" s="53">
        <v>3</v>
      </c>
      <c r="M19" s="76"/>
      <c r="N19" s="53">
        <v>6</v>
      </c>
      <c r="O19" s="53">
        <v>0.75</v>
      </c>
      <c r="P19" s="53">
        <v>0.65</v>
      </c>
      <c r="Q19" s="75">
        <v>0.83</v>
      </c>
      <c r="R19" s="53">
        <v>15.4</v>
      </c>
      <c r="S19" s="53">
        <v>120</v>
      </c>
      <c r="T19" s="16">
        <f t="shared" si="1"/>
        <v>30</v>
      </c>
      <c r="U19" s="53">
        <v>754</v>
      </c>
      <c r="V19" s="16">
        <f t="shared" si="2"/>
        <v>3770</v>
      </c>
      <c r="W19" s="53">
        <v>2</v>
      </c>
      <c r="X19" s="53" t="s">
        <v>46</v>
      </c>
      <c r="Y19" s="53" t="s">
        <v>78</v>
      </c>
      <c r="Z19" s="53" t="s">
        <v>69</v>
      </c>
      <c r="AA19" s="53" t="s">
        <v>55</v>
      </c>
      <c r="AB19" s="53" t="s">
        <v>158</v>
      </c>
      <c r="AE19" s="35" t="s">
        <v>207</v>
      </c>
      <c r="AP19" s="27" t="s">
        <v>223</v>
      </c>
      <c r="AR19" s="23" t="s">
        <v>224</v>
      </c>
      <c r="AV19" s="23" t="s">
        <v>90</v>
      </c>
    </row>
    <row r="20" spans="1:48" x14ac:dyDescent="0.15">
      <c r="A20" s="53" t="s">
        <v>41</v>
      </c>
      <c r="B20" s="53" t="s">
        <v>157</v>
      </c>
      <c r="C20" s="62">
        <v>2019</v>
      </c>
      <c r="D20" s="63" t="s">
        <v>189</v>
      </c>
      <c r="E20" s="53" t="s">
        <v>133</v>
      </c>
      <c r="F20" s="53" t="s">
        <v>185</v>
      </c>
      <c r="G20" s="53" t="s">
        <v>42</v>
      </c>
      <c r="H20" s="53" t="s">
        <v>160</v>
      </c>
      <c r="I20" s="53" t="s">
        <v>159</v>
      </c>
      <c r="J20" s="53" t="s">
        <v>38</v>
      </c>
      <c r="K20" s="53" t="s">
        <v>161</v>
      </c>
      <c r="L20" s="53">
        <v>1</v>
      </c>
      <c r="M20" s="76"/>
      <c r="N20" s="53">
        <v>1</v>
      </c>
      <c r="O20" s="53">
        <v>0.8</v>
      </c>
      <c r="P20" s="53">
        <v>0.75</v>
      </c>
      <c r="Q20" s="75">
        <v>1.05</v>
      </c>
      <c r="R20" s="53">
        <v>12.7</v>
      </c>
      <c r="S20" s="53">
        <v>130</v>
      </c>
      <c r="T20" s="16">
        <f t="shared" si="1"/>
        <v>25</v>
      </c>
      <c r="U20" s="53">
        <v>149</v>
      </c>
      <c r="V20" s="16">
        <f t="shared" si="2"/>
        <v>3725</v>
      </c>
      <c r="W20" s="53">
        <v>1</v>
      </c>
      <c r="X20" s="53" t="s">
        <v>46</v>
      </c>
      <c r="Y20" s="53" t="s">
        <v>78</v>
      </c>
      <c r="Z20" s="53" t="s">
        <v>69</v>
      </c>
      <c r="AA20" s="53" t="s">
        <v>55</v>
      </c>
      <c r="AB20" s="53" t="s">
        <v>158</v>
      </c>
      <c r="AE20" s="35"/>
      <c r="AP20" s="27" t="s">
        <v>225</v>
      </c>
      <c r="AR20" s="23" t="s">
        <v>105</v>
      </c>
      <c r="AV20" s="27" t="s">
        <v>226</v>
      </c>
    </row>
    <row r="21" spans="1:48" x14ac:dyDescent="0.15">
      <c r="A21" s="53" t="s">
        <v>41</v>
      </c>
      <c r="B21" s="53" t="s">
        <v>157</v>
      </c>
      <c r="C21" s="62">
        <v>2019</v>
      </c>
      <c r="D21" s="63" t="s">
        <v>189</v>
      </c>
      <c r="E21" s="53" t="s">
        <v>133</v>
      </c>
      <c r="F21" s="53" t="s">
        <v>185</v>
      </c>
      <c r="G21" s="53" t="s">
        <v>42</v>
      </c>
      <c r="H21" s="53" t="s">
        <v>160</v>
      </c>
      <c r="I21" s="53" t="s">
        <v>159</v>
      </c>
      <c r="J21" s="53" t="s">
        <v>38</v>
      </c>
      <c r="K21" s="53" t="s">
        <v>161</v>
      </c>
      <c r="L21" s="53">
        <v>2</v>
      </c>
      <c r="M21" s="76"/>
      <c r="N21" s="53">
        <v>1</v>
      </c>
      <c r="O21" s="53">
        <v>0.65</v>
      </c>
      <c r="P21" s="53">
        <v>0.5</v>
      </c>
      <c r="Q21" s="75">
        <v>1.25</v>
      </c>
      <c r="R21" s="53">
        <v>14.4</v>
      </c>
      <c r="S21" s="53">
        <v>131</v>
      </c>
      <c r="T21" s="16">
        <f t="shared" si="1"/>
        <v>25</v>
      </c>
      <c r="U21" s="53">
        <v>149</v>
      </c>
      <c r="V21" s="16">
        <f t="shared" si="2"/>
        <v>3725</v>
      </c>
      <c r="W21" s="53">
        <v>1</v>
      </c>
      <c r="X21" s="53" t="s">
        <v>46</v>
      </c>
      <c r="Y21" s="53" t="s">
        <v>78</v>
      </c>
      <c r="Z21" s="53" t="s">
        <v>69</v>
      </c>
      <c r="AA21" s="53" t="s">
        <v>55</v>
      </c>
      <c r="AB21" s="53" t="s">
        <v>158</v>
      </c>
      <c r="AE21" s="28"/>
      <c r="AP21" s="27" t="s">
        <v>227</v>
      </c>
      <c r="AR21" s="23" t="s">
        <v>68</v>
      </c>
      <c r="AV21" s="27" t="s">
        <v>228</v>
      </c>
    </row>
    <row r="22" spans="1:48" x14ac:dyDescent="0.15">
      <c r="A22" s="53" t="s">
        <v>41</v>
      </c>
      <c r="B22" s="53" t="s">
        <v>157</v>
      </c>
      <c r="C22" s="62">
        <v>2019</v>
      </c>
      <c r="D22" s="63" t="s">
        <v>189</v>
      </c>
      <c r="E22" s="53" t="s">
        <v>133</v>
      </c>
      <c r="F22" s="53" t="s">
        <v>185</v>
      </c>
      <c r="G22" s="53" t="s">
        <v>42</v>
      </c>
      <c r="H22" s="53" t="s">
        <v>160</v>
      </c>
      <c r="I22" s="53" t="s">
        <v>159</v>
      </c>
      <c r="J22" s="53" t="s">
        <v>38</v>
      </c>
      <c r="K22" s="53" t="s">
        <v>161</v>
      </c>
      <c r="L22" s="53">
        <v>3</v>
      </c>
      <c r="M22" s="76"/>
      <c r="N22" s="53">
        <v>1</v>
      </c>
      <c r="O22" s="53">
        <v>0.8</v>
      </c>
      <c r="P22" s="53">
        <v>0.55000000000000004</v>
      </c>
      <c r="Q22" s="75">
        <v>0.83</v>
      </c>
      <c r="R22" s="53">
        <v>14</v>
      </c>
      <c r="S22" s="53">
        <v>131</v>
      </c>
      <c r="T22" s="16">
        <f t="shared" si="1"/>
        <v>25</v>
      </c>
      <c r="U22" s="53">
        <v>149</v>
      </c>
      <c r="V22" s="16">
        <f t="shared" si="2"/>
        <v>3725</v>
      </c>
      <c r="W22" s="53">
        <v>1</v>
      </c>
      <c r="X22" s="53" t="s">
        <v>46</v>
      </c>
      <c r="Y22" s="53" t="s">
        <v>78</v>
      </c>
      <c r="Z22" s="53" t="s">
        <v>69</v>
      </c>
      <c r="AA22" s="53" t="s">
        <v>55</v>
      </c>
      <c r="AB22" s="53" t="s">
        <v>158</v>
      </c>
      <c r="AP22" s="27" t="s">
        <v>229</v>
      </c>
      <c r="AR22" s="23" t="s">
        <v>83</v>
      </c>
      <c r="AV22" s="27"/>
    </row>
    <row r="23" spans="1:48" x14ac:dyDescent="0.15">
      <c r="A23" s="53" t="s">
        <v>41</v>
      </c>
      <c r="B23" s="53" t="s">
        <v>157</v>
      </c>
      <c r="C23" s="62">
        <v>2019</v>
      </c>
      <c r="D23" s="63" t="s">
        <v>189</v>
      </c>
      <c r="E23" s="53" t="s">
        <v>187</v>
      </c>
      <c r="F23" s="53" t="s">
        <v>185</v>
      </c>
      <c r="G23" s="53" t="s">
        <v>42</v>
      </c>
      <c r="H23" s="53" t="s">
        <v>160</v>
      </c>
      <c r="I23" s="53" t="s">
        <v>159</v>
      </c>
      <c r="J23" s="53" t="s">
        <v>38</v>
      </c>
      <c r="K23" s="53" t="s">
        <v>161</v>
      </c>
      <c r="L23" s="53">
        <v>1</v>
      </c>
      <c r="M23" s="76"/>
      <c r="N23" s="53">
        <v>1</v>
      </c>
      <c r="O23" s="53">
        <v>0.8</v>
      </c>
      <c r="P23" s="53">
        <v>0.85</v>
      </c>
      <c r="Q23" s="75">
        <v>1.05</v>
      </c>
      <c r="R23" s="53">
        <v>15.2</v>
      </c>
      <c r="S23" s="53">
        <v>125</v>
      </c>
      <c r="T23" s="16">
        <f t="shared" si="1"/>
        <v>27</v>
      </c>
      <c r="U23" s="53">
        <v>117</v>
      </c>
      <c r="V23" s="16">
        <f t="shared" si="2"/>
        <v>3159</v>
      </c>
      <c r="W23" s="53">
        <v>2</v>
      </c>
      <c r="X23" s="53" t="s">
        <v>46</v>
      </c>
      <c r="Y23" s="53" t="s">
        <v>69</v>
      </c>
      <c r="Z23" s="53" t="s">
        <v>50</v>
      </c>
      <c r="AA23" s="53" t="s">
        <v>84</v>
      </c>
      <c r="AB23" s="53" t="s">
        <v>158</v>
      </c>
      <c r="AP23" s="27" t="s">
        <v>230</v>
      </c>
      <c r="AR23" s="28" t="s">
        <v>231</v>
      </c>
      <c r="AV23" s="28"/>
    </row>
    <row r="24" spans="1:48" x14ac:dyDescent="0.15">
      <c r="A24" s="53" t="s">
        <v>41</v>
      </c>
      <c r="B24" s="53" t="s">
        <v>157</v>
      </c>
      <c r="C24" s="62">
        <v>2019</v>
      </c>
      <c r="D24" s="63" t="s">
        <v>189</v>
      </c>
      <c r="E24" s="53" t="s">
        <v>187</v>
      </c>
      <c r="F24" s="53" t="s">
        <v>185</v>
      </c>
      <c r="G24" s="53" t="s">
        <v>42</v>
      </c>
      <c r="H24" s="53" t="s">
        <v>160</v>
      </c>
      <c r="I24" s="53" t="s">
        <v>159</v>
      </c>
      <c r="J24" s="53" t="s">
        <v>38</v>
      </c>
      <c r="K24" s="53" t="s">
        <v>161</v>
      </c>
      <c r="L24" s="53">
        <v>2</v>
      </c>
      <c r="M24" s="76"/>
      <c r="N24" s="53">
        <v>1</v>
      </c>
      <c r="O24" s="53">
        <v>0.95</v>
      </c>
      <c r="P24" s="53">
        <v>0.9</v>
      </c>
      <c r="Q24" s="75">
        <v>1.25</v>
      </c>
      <c r="R24" s="53">
        <v>14.1</v>
      </c>
      <c r="S24" s="53">
        <v>127</v>
      </c>
      <c r="T24" s="16">
        <f t="shared" si="1"/>
        <v>27</v>
      </c>
      <c r="U24" s="53">
        <v>117</v>
      </c>
      <c r="V24" s="16">
        <f t="shared" si="2"/>
        <v>3159</v>
      </c>
      <c r="W24" s="53">
        <v>2</v>
      </c>
      <c r="X24" s="53" t="s">
        <v>46</v>
      </c>
      <c r="Y24" s="53" t="s">
        <v>69</v>
      </c>
      <c r="Z24" s="53" t="s">
        <v>50</v>
      </c>
      <c r="AA24" s="53" t="s">
        <v>84</v>
      </c>
      <c r="AB24" s="53" t="s">
        <v>158</v>
      </c>
      <c r="AP24" s="27" t="s">
        <v>232</v>
      </c>
    </row>
    <row r="25" spans="1:48" x14ac:dyDescent="0.15">
      <c r="A25" s="53" t="s">
        <v>41</v>
      </c>
      <c r="B25" s="53" t="s">
        <v>157</v>
      </c>
      <c r="C25" s="62">
        <v>2019</v>
      </c>
      <c r="D25" s="63" t="s">
        <v>189</v>
      </c>
      <c r="E25" s="53" t="s">
        <v>187</v>
      </c>
      <c r="F25" s="53" t="s">
        <v>185</v>
      </c>
      <c r="G25" s="53" t="s">
        <v>42</v>
      </c>
      <c r="H25" s="53" t="s">
        <v>160</v>
      </c>
      <c r="I25" s="53" t="s">
        <v>159</v>
      </c>
      <c r="J25" s="53" t="s">
        <v>38</v>
      </c>
      <c r="K25" s="53" t="s">
        <v>161</v>
      </c>
      <c r="L25" s="53">
        <v>3</v>
      </c>
      <c r="M25" s="76"/>
      <c r="N25" s="53">
        <v>1</v>
      </c>
      <c r="O25" s="53">
        <v>1</v>
      </c>
      <c r="P25" s="53">
        <v>0.9</v>
      </c>
      <c r="Q25" s="75">
        <v>0.83</v>
      </c>
      <c r="R25" s="53">
        <v>13.8</v>
      </c>
      <c r="S25" s="53">
        <v>125</v>
      </c>
      <c r="T25" s="16">
        <f t="shared" si="1"/>
        <v>27</v>
      </c>
      <c r="U25" s="53">
        <v>117</v>
      </c>
      <c r="V25" s="16">
        <f t="shared" si="2"/>
        <v>3159</v>
      </c>
      <c r="W25" s="53">
        <v>2</v>
      </c>
      <c r="X25" s="53" t="s">
        <v>46</v>
      </c>
      <c r="Y25" s="53" t="s">
        <v>69</v>
      </c>
      <c r="Z25" s="53" t="s">
        <v>50</v>
      </c>
      <c r="AA25" s="53" t="s">
        <v>84</v>
      </c>
      <c r="AB25" s="53" t="s">
        <v>158</v>
      </c>
    </row>
    <row r="26" spans="1:48" x14ac:dyDescent="0.15">
      <c r="A26" s="53" t="s">
        <v>41</v>
      </c>
      <c r="B26" s="53" t="s">
        <v>157</v>
      </c>
      <c r="C26" s="62">
        <v>2019</v>
      </c>
      <c r="D26" s="63" t="s">
        <v>189</v>
      </c>
      <c r="E26" s="53" t="s">
        <v>187</v>
      </c>
      <c r="F26" s="53" t="s">
        <v>185</v>
      </c>
      <c r="G26" s="53" t="s">
        <v>42</v>
      </c>
      <c r="H26" s="53" t="s">
        <v>160</v>
      </c>
      <c r="I26" s="53" t="s">
        <v>159</v>
      </c>
      <c r="J26" s="53" t="s">
        <v>38</v>
      </c>
      <c r="K26" s="53" t="s">
        <v>161</v>
      </c>
      <c r="L26" s="53">
        <v>1</v>
      </c>
      <c r="M26" s="76"/>
      <c r="N26" s="53">
        <v>4</v>
      </c>
      <c r="O26" s="53">
        <v>0.45</v>
      </c>
      <c r="P26" s="53">
        <v>0.5</v>
      </c>
      <c r="Q26" s="75">
        <v>0.6</v>
      </c>
      <c r="R26" s="53">
        <v>15.4</v>
      </c>
      <c r="S26" s="53">
        <v>117</v>
      </c>
      <c r="T26" s="16">
        <f t="shared" si="1"/>
        <v>30</v>
      </c>
      <c r="U26" s="53">
        <v>429</v>
      </c>
      <c r="V26" s="16">
        <f t="shared" si="2"/>
        <v>3217.5</v>
      </c>
      <c r="W26" s="53">
        <v>1</v>
      </c>
      <c r="X26" s="53" t="s">
        <v>46</v>
      </c>
      <c r="Y26" s="53" t="s">
        <v>69</v>
      </c>
      <c r="Z26" s="53" t="s">
        <v>50</v>
      </c>
      <c r="AA26" s="53" t="s">
        <v>84</v>
      </c>
      <c r="AB26" s="53" t="s">
        <v>158</v>
      </c>
    </row>
    <row r="27" spans="1:48" x14ac:dyDescent="0.15">
      <c r="A27" s="53" t="s">
        <v>41</v>
      </c>
      <c r="B27" s="53" t="s">
        <v>157</v>
      </c>
      <c r="C27" s="62">
        <v>2019</v>
      </c>
      <c r="D27" s="63" t="s">
        <v>189</v>
      </c>
      <c r="E27" s="53" t="s">
        <v>187</v>
      </c>
      <c r="F27" s="53" t="s">
        <v>185</v>
      </c>
      <c r="G27" s="53" t="s">
        <v>42</v>
      </c>
      <c r="H27" s="53" t="s">
        <v>160</v>
      </c>
      <c r="I27" s="53" t="s">
        <v>159</v>
      </c>
      <c r="J27" s="53" t="s">
        <v>38</v>
      </c>
      <c r="K27" s="53" t="s">
        <v>161</v>
      </c>
      <c r="L27" s="53">
        <v>2</v>
      </c>
      <c r="M27" s="76"/>
      <c r="N27" s="53">
        <v>4</v>
      </c>
      <c r="O27" s="53">
        <v>0.6</v>
      </c>
      <c r="P27" s="53">
        <v>0.65</v>
      </c>
      <c r="Q27" s="75">
        <v>0.7</v>
      </c>
      <c r="R27" s="53">
        <v>15.3</v>
      </c>
      <c r="S27" s="53">
        <v>118</v>
      </c>
      <c r="T27" s="16">
        <f t="shared" si="1"/>
        <v>30</v>
      </c>
      <c r="U27" s="53">
        <v>429</v>
      </c>
      <c r="V27" s="16">
        <f t="shared" si="2"/>
        <v>3217.5</v>
      </c>
      <c r="W27" s="53">
        <v>1</v>
      </c>
      <c r="X27" s="53" t="s">
        <v>46</v>
      </c>
      <c r="Y27" s="53" t="s">
        <v>69</v>
      </c>
      <c r="Z27" s="53" t="s">
        <v>50</v>
      </c>
      <c r="AA27" s="53" t="s">
        <v>84</v>
      </c>
      <c r="AB27" s="53" t="s">
        <v>158</v>
      </c>
    </row>
    <row r="28" spans="1:48" x14ac:dyDescent="0.15">
      <c r="A28" s="53" t="s">
        <v>41</v>
      </c>
      <c r="B28" s="53" t="s">
        <v>157</v>
      </c>
      <c r="C28" s="62">
        <v>2019</v>
      </c>
      <c r="D28" s="63" t="s">
        <v>189</v>
      </c>
      <c r="E28" s="53" t="s">
        <v>187</v>
      </c>
      <c r="F28" s="53" t="s">
        <v>185</v>
      </c>
      <c r="G28" s="53" t="s">
        <v>42</v>
      </c>
      <c r="H28" s="53" t="s">
        <v>160</v>
      </c>
      <c r="I28" s="53" t="s">
        <v>159</v>
      </c>
      <c r="J28" s="53" t="s">
        <v>38</v>
      </c>
      <c r="K28" s="53" t="s">
        <v>161</v>
      </c>
      <c r="L28" s="53">
        <v>3</v>
      </c>
      <c r="M28" s="76"/>
      <c r="N28" s="53">
        <v>4</v>
      </c>
      <c r="O28" s="53">
        <v>0.8</v>
      </c>
      <c r="P28" s="53">
        <v>0.75</v>
      </c>
      <c r="Q28" s="75">
        <v>0.48</v>
      </c>
      <c r="R28" s="53">
        <v>12.1</v>
      </c>
      <c r="S28" s="53">
        <v>115</v>
      </c>
      <c r="T28" s="16">
        <f t="shared" si="1"/>
        <v>30</v>
      </c>
      <c r="U28" s="53">
        <v>429</v>
      </c>
      <c r="V28" s="16">
        <f t="shared" si="2"/>
        <v>3217.5</v>
      </c>
      <c r="W28" s="53">
        <v>1</v>
      </c>
      <c r="X28" s="53" t="s">
        <v>46</v>
      </c>
      <c r="Y28" s="53" t="s">
        <v>69</v>
      </c>
      <c r="Z28" s="53" t="s">
        <v>50</v>
      </c>
      <c r="AA28" s="53" t="s">
        <v>84</v>
      </c>
      <c r="AB28" s="53" t="s">
        <v>158</v>
      </c>
    </row>
    <row r="29" spans="1:48" x14ac:dyDescent="0.15">
      <c r="A29" s="53" t="s">
        <v>41</v>
      </c>
      <c r="B29" s="53" t="s">
        <v>157</v>
      </c>
      <c r="C29" s="62">
        <v>2019</v>
      </c>
      <c r="D29" s="63" t="s">
        <v>189</v>
      </c>
      <c r="E29" s="53" t="s">
        <v>187</v>
      </c>
      <c r="F29" s="53" t="s">
        <v>185</v>
      </c>
      <c r="G29" s="53" t="s">
        <v>42</v>
      </c>
      <c r="H29" s="53" t="s">
        <v>188</v>
      </c>
      <c r="I29" s="53" t="s">
        <v>159</v>
      </c>
      <c r="J29" s="53" t="s">
        <v>80</v>
      </c>
      <c r="K29" s="53" t="s">
        <v>45</v>
      </c>
      <c r="L29" s="53">
        <v>1</v>
      </c>
      <c r="M29" s="76"/>
      <c r="N29" s="53">
        <v>6</v>
      </c>
      <c r="O29" s="53">
        <v>0.65</v>
      </c>
      <c r="P29" s="53">
        <v>0.7</v>
      </c>
      <c r="Q29" s="75">
        <v>0.55000000000000004</v>
      </c>
      <c r="R29" s="53">
        <v>14.8</v>
      </c>
      <c r="S29" s="53">
        <v>120</v>
      </c>
      <c r="T29" s="16">
        <f t="shared" si="1"/>
        <v>30</v>
      </c>
      <c r="U29" s="53">
        <v>429</v>
      </c>
      <c r="V29" s="16">
        <f t="shared" si="2"/>
        <v>2145</v>
      </c>
      <c r="W29" s="53">
        <v>2</v>
      </c>
      <c r="X29" s="53" t="s">
        <v>46</v>
      </c>
      <c r="Y29" s="53" t="s">
        <v>69</v>
      </c>
      <c r="Z29" s="53" t="s">
        <v>50</v>
      </c>
      <c r="AA29" s="53" t="s">
        <v>84</v>
      </c>
      <c r="AB29" s="53" t="s">
        <v>158</v>
      </c>
    </row>
    <row r="30" spans="1:48" x14ac:dyDescent="0.15">
      <c r="A30" s="53" t="s">
        <v>41</v>
      </c>
      <c r="B30" s="53" t="s">
        <v>157</v>
      </c>
      <c r="C30" s="62">
        <v>2019</v>
      </c>
      <c r="D30" s="63" t="s">
        <v>189</v>
      </c>
      <c r="E30" s="53" t="s">
        <v>187</v>
      </c>
      <c r="F30" s="53" t="s">
        <v>185</v>
      </c>
      <c r="G30" s="53" t="s">
        <v>42</v>
      </c>
      <c r="H30" s="53" t="s">
        <v>188</v>
      </c>
      <c r="I30" s="53" t="s">
        <v>159</v>
      </c>
      <c r="J30" s="53" t="s">
        <v>80</v>
      </c>
      <c r="K30" s="53" t="s">
        <v>45</v>
      </c>
      <c r="L30" s="53">
        <v>2</v>
      </c>
      <c r="M30" s="76"/>
      <c r="N30" s="53">
        <v>6</v>
      </c>
      <c r="O30" s="53">
        <v>0.5</v>
      </c>
      <c r="P30" s="53">
        <v>0.6</v>
      </c>
      <c r="Q30" s="75">
        <v>0.65</v>
      </c>
      <c r="R30" s="53">
        <v>16</v>
      </c>
      <c r="S30" s="53">
        <v>124</v>
      </c>
      <c r="T30" s="16">
        <f t="shared" si="1"/>
        <v>27</v>
      </c>
      <c r="U30" s="53">
        <v>429</v>
      </c>
      <c r="V30" s="16">
        <f t="shared" si="2"/>
        <v>1930.5</v>
      </c>
      <c r="W30" s="53">
        <v>2</v>
      </c>
      <c r="X30" s="53" t="s">
        <v>46</v>
      </c>
      <c r="Y30" s="53" t="s">
        <v>69</v>
      </c>
      <c r="Z30" s="53" t="s">
        <v>50</v>
      </c>
      <c r="AA30" s="53" t="s">
        <v>84</v>
      </c>
      <c r="AB30" s="53" t="s">
        <v>158</v>
      </c>
    </row>
    <row r="31" spans="1:48" x14ac:dyDescent="0.15">
      <c r="A31" s="53" t="s">
        <v>41</v>
      </c>
      <c r="B31" s="53" t="s">
        <v>157</v>
      </c>
      <c r="C31" s="62">
        <v>2019</v>
      </c>
      <c r="D31" s="63" t="s">
        <v>189</v>
      </c>
      <c r="E31" s="53" t="s">
        <v>187</v>
      </c>
      <c r="F31" s="53" t="s">
        <v>185</v>
      </c>
      <c r="G31" s="53" t="s">
        <v>42</v>
      </c>
      <c r="H31" s="53" t="s">
        <v>188</v>
      </c>
      <c r="I31" s="53" t="s">
        <v>159</v>
      </c>
      <c r="J31" s="53" t="s">
        <v>80</v>
      </c>
      <c r="K31" s="53" t="s">
        <v>45</v>
      </c>
      <c r="L31" s="53">
        <v>3</v>
      </c>
      <c r="M31" s="76"/>
      <c r="N31" s="53">
        <v>6</v>
      </c>
      <c r="O31" s="53">
        <v>0.8</v>
      </c>
      <c r="P31" s="53">
        <v>0.65</v>
      </c>
      <c r="Q31" s="75">
        <v>0.57999999999999996</v>
      </c>
      <c r="R31" s="53">
        <v>12.7</v>
      </c>
      <c r="S31" s="53">
        <v>123</v>
      </c>
      <c r="T31" s="16">
        <f t="shared" si="1"/>
        <v>27</v>
      </c>
      <c r="U31" s="53">
        <v>429</v>
      </c>
      <c r="V31" s="16">
        <f t="shared" si="2"/>
        <v>1930.5</v>
      </c>
      <c r="W31" s="53">
        <v>2</v>
      </c>
      <c r="X31" s="53" t="s">
        <v>46</v>
      </c>
      <c r="Y31" s="53" t="s">
        <v>69</v>
      </c>
      <c r="Z31" s="53" t="s">
        <v>50</v>
      </c>
      <c r="AA31" s="53" t="s">
        <v>84</v>
      </c>
      <c r="AB31" s="53" t="s">
        <v>158</v>
      </c>
    </row>
    <row r="32" spans="1:48" x14ac:dyDescent="0.15">
      <c r="A32" s="53" t="s">
        <v>41</v>
      </c>
      <c r="B32" s="53" t="s">
        <v>157</v>
      </c>
      <c r="C32" s="62">
        <v>2019</v>
      </c>
      <c r="D32" s="63" t="s">
        <v>189</v>
      </c>
      <c r="E32" s="53" t="s">
        <v>187</v>
      </c>
      <c r="F32" s="53" t="s">
        <v>185</v>
      </c>
      <c r="G32" s="53" t="s">
        <v>42</v>
      </c>
      <c r="H32" s="53" t="s">
        <v>164</v>
      </c>
      <c r="I32" s="53" t="s">
        <v>159</v>
      </c>
      <c r="J32" s="53" t="s">
        <v>38</v>
      </c>
      <c r="K32" s="53" t="s">
        <v>161</v>
      </c>
      <c r="L32" s="53">
        <v>1</v>
      </c>
      <c r="M32" s="76"/>
      <c r="N32" s="53">
        <v>1</v>
      </c>
      <c r="O32" s="53">
        <v>0.25</v>
      </c>
      <c r="P32" s="53">
        <v>0.25</v>
      </c>
      <c r="Q32" s="75">
        <v>0.63</v>
      </c>
      <c r="R32" s="53">
        <v>14.7</v>
      </c>
      <c r="S32" s="53">
        <v>131</v>
      </c>
      <c r="T32" s="16">
        <f t="shared" si="1"/>
        <v>25</v>
      </c>
      <c r="U32" s="53">
        <v>117</v>
      </c>
      <c r="V32" s="16">
        <f t="shared" si="2"/>
        <v>2925</v>
      </c>
      <c r="W32" s="53">
        <v>2</v>
      </c>
      <c r="X32" s="53" t="s">
        <v>46</v>
      </c>
      <c r="Y32" s="53" t="s">
        <v>69</v>
      </c>
      <c r="Z32" s="53" t="s">
        <v>50</v>
      </c>
      <c r="AA32" s="53" t="s">
        <v>84</v>
      </c>
      <c r="AB32" s="53" t="s">
        <v>158</v>
      </c>
    </row>
    <row r="33" spans="1:28" x14ac:dyDescent="0.15">
      <c r="A33" s="53" t="s">
        <v>41</v>
      </c>
      <c r="B33" s="53" t="s">
        <v>157</v>
      </c>
      <c r="C33" s="62">
        <v>2019</v>
      </c>
      <c r="D33" s="63" t="s">
        <v>189</v>
      </c>
      <c r="E33" s="53" t="s">
        <v>187</v>
      </c>
      <c r="F33" s="53" t="s">
        <v>185</v>
      </c>
      <c r="G33" s="53" t="s">
        <v>42</v>
      </c>
      <c r="H33" s="53" t="s">
        <v>164</v>
      </c>
      <c r="I33" s="53" t="s">
        <v>159</v>
      </c>
      <c r="J33" s="53" t="s">
        <v>38</v>
      </c>
      <c r="K33" s="53" t="s">
        <v>161</v>
      </c>
      <c r="L33" s="53">
        <v>2</v>
      </c>
      <c r="M33" s="76"/>
      <c r="N33" s="53">
        <v>1</v>
      </c>
      <c r="O33" s="53">
        <v>0.25</v>
      </c>
      <c r="P33" s="53">
        <v>0.25</v>
      </c>
      <c r="Q33" s="75">
        <v>0.78</v>
      </c>
      <c r="R33" s="53">
        <v>10.3</v>
      </c>
      <c r="S33" s="53">
        <v>130</v>
      </c>
      <c r="T33" s="16">
        <f t="shared" si="1"/>
        <v>25</v>
      </c>
      <c r="U33" s="53">
        <v>117</v>
      </c>
      <c r="V33" s="16">
        <f t="shared" si="2"/>
        <v>2925</v>
      </c>
      <c r="W33" s="53">
        <v>2</v>
      </c>
      <c r="X33" s="53" t="s">
        <v>46</v>
      </c>
      <c r="Y33" s="53" t="s">
        <v>69</v>
      </c>
      <c r="Z33" s="53" t="s">
        <v>50</v>
      </c>
      <c r="AA33" s="53" t="s">
        <v>84</v>
      </c>
      <c r="AB33" s="53" t="s">
        <v>158</v>
      </c>
    </row>
    <row r="34" spans="1:28" x14ac:dyDescent="0.15">
      <c r="A34" s="53" t="s">
        <v>41</v>
      </c>
      <c r="B34" s="53" t="s">
        <v>157</v>
      </c>
      <c r="C34" s="62">
        <v>2019</v>
      </c>
      <c r="D34" s="63" t="s">
        <v>189</v>
      </c>
      <c r="E34" s="53" t="s">
        <v>187</v>
      </c>
      <c r="F34" s="53" t="s">
        <v>185</v>
      </c>
      <c r="G34" s="53" t="s">
        <v>42</v>
      </c>
      <c r="H34" s="53" t="s">
        <v>164</v>
      </c>
      <c r="I34" s="53" t="s">
        <v>159</v>
      </c>
      <c r="J34" s="53" t="s">
        <v>38</v>
      </c>
      <c r="K34" s="53" t="s">
        <v>161</v>
      </c>
      <c r="L34" s="53">
        <v>3</v>
      </c>
      <c r="M34" s="76"/>
      <c r="N34" s="53">
        <v>1</v>
      </c>
      <c r="O34" s="53">
        <v>0.25</v>
      </c>
      <c r="P34" s="53">
        <v>0.3</v>
      </c>
      <c r="Q34" s="75">
        <v>0.65</v>
      </c>
      <c r="R34" s="53">
        <v>9.9</v>
      </c>
      <c r="S34" s="53">
        <v>128</v>
      </c>
      <c r="T34" s="16">
        <f t="shared" si="1"/>
        <v>27</v>
      </c>
      <c r="U34" s="53">
        <v>117</v>
      </c>
      <c r="V34" s="16">
        <f t="shared" si="2"/>
        <v>3159</v>
      </c>
      <c r="W34" s="53">
        <v>2</v>
      </c>
      <c r="X34" s="53" t="s">
        <v>46</v>
      </c>
      <c r="Y34" s="53" t="s">
        <v>69</v>
      </c>
      <c r="Z34" s="53" t="s">
        <v>50</v>
      </c>
      <c r="AA34" s="53" t="s">
        <v>84</v>
      </c>
      <c r="AB34" s="53" t="s">
        <v>158</v>
      </c>
    </row>
    <row r="35" spans="1:28" x14ac:dyDescent="0.15">
      <c r="A35" s="53" t="s">
        <v>41</v>
      </c>
      <c r="B35" s="53" t="s">
        <v>157</v>
      </c>
      <c r="C35" s="62">
        <v>2019</v>
      </c>
      <c r="D35" s="63" t="s">
        <v>189</v>
      </c>
      <c r="E35" s="53" t="s">
        <v>187</v>
      </c>
      <c r="F35" s="53" t="s">
        <v>185</v>
      </c>
      <c r="G35" s="53" t="s">
        <v>42</v>
      </c>
      <c r="H35" s="53" t="s">
        <v>164</v>
      </c>
      <c r="I35" s="53" t="s">
        <v>159</v>
      </c>
      <c r="J35" s="53" t="s">
        <v>38</v>
      </c>
      <c r="K35" s="53" t="s">
        <v>161</v>
      </c>
      <c r="L35" s="53">
        <v>1</v>
      </c>
      <c r="M35" s="76"/>
      <c r="N35" s="53">
        <v>5</v>
      </c>
      <c r="O35" s="53">
        <v>0.4</v>
      </c>
      <c r="P35" s="53">
        <v>0.3</v>
      </c>
      <c r="Q35" s="16">
        <v>0.38</v>
      </c>
      <c r="R35" s="53">
        <v>11.4</v>
      </c>
      <c r="S35" s="53">
        <v>122</v>
      </c>
      <c r="T35" s="16">
        <f t="shared" si="1"/>
        <v>27</v>
      </c>
      <c r="U35" s="53">
        <v>429</v>
      </c>
      <c r="V35" s="16">
        <f t="shared" si="2"/>
        <v>2316.6</v>
      </c>
      <c r="W35" s="53">
        <v>1</v>
      </c>
      <c r="X35" s="53" t="s">
        <v>39</v>
      </c>
      <c r="Y35" s="53" t="s">
        <v>69</v>
      </c>
      <c r="Z35" s="53" t="s">
        <v>50</v>
      </c>
      <c r="AA35" s="53" t="s">
        <v>84</v>
      </c>
      <c r="AB35" s="53" t="s">
        <v>158</v>
      </c>
    </row>
    <row r="36" spans="1:28" x14ac:dyDescent="0.15">
      <c r="A36" s="53" t="s">
        <v>41</v>
      </c>
      <c r="B36" s="53" t="s">
        <v>157</v>
      </c>
      <c r="C36" s="62">
        <v>2019</v>
      </c>
      <c r="D36" s="63" t="s">
        <v>189</v>
      </c>
      <c r="E36" s="53" t="s">
        <v>187</v>
      </c>
      <c r="F36" s="53" t="s">
        <v>185</v>
      </c>
      <c r="G36" s="53" t="s">
        <v>42</v>
      </c>
      <c r="H36" s="53" t="s">
        <v>164</v>
      </c>
      <c r="I36" s="53" t="s">
        <v>159</v>
      </c>
      <c r="J36" s="53" t="s">
        <v>38</v>
      </c>
      <c r="K36" s="53" t="s">
        <v>161</v>
      </c>
      <c r="L36" s="53">
        <v>2</v>
      </c>
      <c r="M36" s="76"/>
      <c r="N36" s="53">
        <v>5</v>
      </c>
      <c r="O36" s="53">
        <v>0.4</v>
      </c>
      <c r="P36" s="53">
        <v>0.6</v>
      </c>
      <c r="Q36" s="16">
        <v>0.83</v>
      </c>
      <c r="R36" s="53">
        <v>12.5</v>
      </c>
      <c r="S36" s="53">
        <v>121</v>
      </c>
      <c r="T36" s="16">
        <f t="shared" si="1"/>
        <v>27</v>
      </c>
      <c r="U36" s="53">
        <v>429</v>
      </c>
      <c r="V36" s="16">
        <f t="shared" si="2"/>
        <v>2316.6</v>
      </c>
      <c r="W36" s="53">
        <v>1</v>
      </c>
      <c r="X36" s="53" t="s">
        <v>39</v>
      </c>
      <c r="Y36" s="53" t="s">
        <v>69</v>
      </c>
      <c r="Z36" s="53" t="s">
        <v>50</v>
      </c>
      <c r="AA36" s="53" t="s">
        <v>84</v>
      </c>
      <c r="AB36" s="53" t="s">
        <v>158</v>
      </c>
    </row>
    <row r="37" spans="1:28" x14ac:dyDescent="0.15">
      <c r="A37" s="53" t="s">
        <v>41</v>
      </c>
      <c r="B37" s="53" t="s">
        <v>157</v>
      </c>
      <c r="C37" s="62">
        <v>2019</v>
      </c>
      <c r="D37" s="63" t="s">
        <v>189</v>
      </c>
      <c r="E37" s="53" t="s">
        <v>187</v>
      </c>
      <c r="F37" s="53" t="s">
        <v>185</v>
      </c>
      <c r="G37" s="53" t="s">
        <v>42</v>
      </c>
      <c r="H37" s="53" t="s">
        <v>164</v>
      </c>
      <c r="I37" s="53" t="s">
        <v>159</v>
      </c>
      <c r="J37" s="53" t="s">
        <v>38</v>
      </c>
      <c r="K37" s="53" t="s">
        <v>161</v>
      </c>
      <c r="L37" s="53">
        <v>3</v>
      </c>
      <c r="M37" s="76"/>
      <c r="N37" s="53">
        <v>5</v>
      </c>
      <c r="O37" s="53">
        <v>0.6</v>
      </c>
      <c r="P37" s="53">
        <v>0.5</v>
      </c>
      <c r="Q37" s="16">
        <v>0.5</v>
      </c>
      <c r="R37" s="53">
        <v>15.2</v>
      </c>
      <c r="S37" s="53">
        <v>122</v>
      </c>
      <c r="T37" s="16">
        <f t="shared" si="1"/>
        <v>27</v>
      </c>
      <c r="U37" s="53">
        <v>429</v>
      </c>
      <c r="V37" s="16">
        <f t="shared" si="2"/>
        <v>2316.6</v>
      </c>
      <c r="W37" s="53">
        <v>1</v>
      </c>
      <c r="X37" s="53" t="s">
        <v>39</v>
      </c>
      <c r="Y37" s="53" t="s">
        <v>69</v>
      </c>
      <c r="Z37" s="53" t="s">
        <v>50</v>
      </c>
      <c r="AA37" s="53" t="s">
        <v>84</v>
      </c>
      <c r="AB37" s="53" t="s">
        <v>158</v>
      </c>
    </row>
    <row r="38" spans="1:28" x14ac:dyDescent="0.15">
      <c r="A38" s="53" t="s">
        <v>41</v>
      </c>
      <c r="B38" s="53" t="s">
        <v>157</v>
      </c>
      <c r="C38" s="62">
        <v>2019</v>
      </c>
      <c r="D38" s="63" t="s">
        <v>189</v>
      </c>
      <c r="E38" s="53" t="s">
        <v>187</v>
      </c>
      <c r="F38" s="53" t="s">
        <v>185</v>
      </c>
      <c r="G38" s="53" t="s">
        <v>42</v>
      </c>
      <c r="H38" s="53" t="s">
        <v>164</v>
      </c>
      <c r="I38" s="53" t="s">
        <v>159</v>
      </c>
      <c r="J38" s="53" t="s">
        <v>38</v>
      </c>
      <c r="K38" s="53" t="s">
        <v>161</v>
      </c>
      <c r="L38" s="53">
        <v>1</v>
      </c>
      <c r="M38" s="76"/>
      <c r="N38" s="53">
        <v>7</v>
      </c>
      <c r="O38" s="53">
        <v>0.5</v>
      </c>
      <c r="P38" s="53">
        <v>0.45</v>
      </c>
      <c r="Q38" s="16">
        <v>0.8</v>
      </c>
      <c r="R38" s="53">
        <v>13.4</v>
      </c>
      <c r="S38" s="53">
        <v>118</v>
      </c>
      <c r="T38" s="16">
        <f t="shared" si="1"/>
        <v>30</v>
      </c>
      <c r="U38" s="53">
        <v>538</v>
      </c>
      <c r="V38" s="16">
        <f t="shared" si="2"/>
        <v>2305.7142857142858</v>
      </c>
      <c r="W38" s="53">
        <v>2</v>
      </c>
      <c r="X38" s="53" t="s">
        <v>39</v>
      </c>
      <c r="Y38" s="53" t="s">
        <v>69</v>
      </c>
      <c r="Z38" s="53" t="s">
        <v>50</v>
      </c>
      <c r="AA38" s="53" t="s">
        <v>84</v>
      </c>
      <c r="AB38" s="53" t="s">
        <v>158</v>
      </c>
    </row>
    <row r="39" spans="1:28" x14ac:dyDescent="0.15">
      <c r="A39" s="53" t="s">
        <v>41</v>
      </c>
      <c r="B39" s="53" t="s">
        <v>157</v>
      </c>
      <c r="C39" s="62">
        <v>2019</v>
      </c>
      <c r="D39" s="63" t="s">
        <v>189</v>
      </c>
      <c r="E39" s="53" t="s">
        <v>187</v>
      </c>
      <c r="F39" s="53" t="s">
        <v>185</v>
      </c>
      <c r="G39" s="53" t="s">
        <v>42</v>
      </c>
      <c r="H39" s="53" t="s">
        <v>164</v>
      </c>
      <c r="I39" s="53" t="s">
        <v>159</v>
      </c>
      <c r="J39" s="53" t="s">
        <v>38</v>
      </c>
      <c r="K39" s="53" t="s">
        <v>161</v>
      </c>
      <c r="L39" s="53">
        <v>2</v>
      </c>
      <c r="M39" s="76"/>
      <c r="N39" s="53">
        <v>7</v>
      </c>
      <c r="O39" s="53">
        <v>0.8</v>
      </c>
      <c r="P39" s="53">
        <v>0.8</v>
      </c>
      <c r="Q39" s="16">
        <v>0.2</v>
      </c>
      <c r="R39" s="53">
        <v>13.2</v>
      </c>
      <c r="S39" s="53">
        <v>117</v>
      </c>
      <c r="T39" s="16">
        <f t="shared" si="1"/>
        <v>30</v>
      </c>
      <c r="U39" s="53">
        <v>538</v>
      </c>
      <c r="V39" s="16">
        <f t="shared" si="2"/>
        <v>2305.7142857142858</v>
      </c>
      <c r="W39" s="53">
        <v>2</v>
      </c>
      <c r="X39" s="53" t="s">
        <v>39</v>
      </c>
      <c r="Y39" s="53" t="s">
        <v>69</v>
      </c>
      <c r="Z39" s="53" t="s">
        <v>50</v>
      </c>
      <c r="AA39" s="53" t="s">
        <v>84</v>
      </c>
      <c r="AB39" s="53" t="s">
        <v>158</v>
      </c>
    </row>
    <row r="40" spans="1:28" x14ac:dyDescent="0.15">
      <c r="A40" s="53" t="s">
        <v>41</v>
      </c>
      <c r="B40" s="53" t="s">
        <v>157</v>
      </c>
      <c r="C40" s="62">
        <v>2019</v>
      </c>
      <c r="D40" s="63" t="s">
        <v>189</v>
      </c>
      <c r="E40" s="53" t="s">
        <v>187</v>
      </c>
      <c r="F40" s="53" t="s">
        <v>185</v>
      </c>
      <c r="G40" s="53" t="s">
        <v>42</v>
      </c>
      <c r="H40" s="53" t="s">
        <v>164</v>
      </c>
      <c r="I40" s="53" t="s">
        <v>159</v>
      </c>
      <c r="J40" s="53" t="s">
        <v>38</v>
      </c>
      <c r="K40" s="53" t="s">
        <v>161</v>
      </c>
      <c r="L40" s="53">
        <v>3</v>
      </c>
      <c r="M40" s="76"/>
      <c r="N40" s="53">
        <v>7</v>
      </c>
      <c r="O40" s="53">
        <v>0.65</v>
      </c>
      <c r="P40" s="53">
        <v>0.6</v>
      </c>
      <c r="Q40" s="16">
        <v>0.6</v>
      </c>
      <c r="R40" s="53">
        <v>13.8</v>
      </c>
      <c r="S40" s="53">
        <v>118</v>
      </c>
      <c r="T40" s="16">
        <f t="shared" si="1"/>
        <v>30</v>
      </c>
      <c r="U40" s="53">
        <v>538</v>
      </c>
      <c r="V40" s="16">
        <f t="shared" si="2"/>
        <v>2305.7142857142858</v>
      </c>
      <c r="W40" s="53">
        <v>2</v>
      </c>
      <c r="X40" s="53" t="s">
        <v>39</v>
      </c>
      <c r="Y40" s="53" t="s">
        <v>69</v>
      </c>
      <c r="Z40" s="53" t="s">
        <v>50</v>
      </c>
      <c r="AA40" s="53" t="s">
        <v>84</v>
      </c>
      <c r="AB40" s="53" t="s">
        <v>158</v>
      </c>
    </row>
    <row r="41" spans="1:28" x14ac:dyDescent="0.15">
      <c r="A41" s="53" t="s">
        <v>41</v>
      </c>
      <c r="B41" s="53" t="s">
        <v>157</v>
      </c>
      <c r="C41" s="62">
        <v>2019</v>
      </c>
      <c r="D41" s="63" t="s">
        <v>189</v>
      </c>
      <c r="E41" s="53" t="s">
        <v>187</v>
      </c>
      <c r="F41" s="53" t="s">
        <v>190</v>
      </c>
      <c r="G41" s="53" t="s">
        <v>42</v>
      </c>
      <c r="H41" s="53" t="s">
        <v>160</v>
      </c>
      <c r="I41" s="53" t="s">
        <v>159</v>
      </c>
      <c r="J41" s="53" t="s">
        <v>38</v>
      </c>
      <c r="K41" s="53" t="s">
        <v>161</v>
      </c>
      <c r="L41" s="53">
        <v>1</v>
      </c>
      <c r="M41" s="76"/>
      <c r="N41" s="53">
        <v>1</v>
      </c>
      <c r="O41" s="53">
        <v>0.75</v>
      </c>
      <c r="P41" s="53">
        <v>0.7</v>
      </c>
      <c r="Q41" s="16">
        <v>0.38</v>
      </c>
      <c r="R41" s="53">
        <v>12.6</v>
      </c>
      <c r="S41" s="53">
        <v>124</v>
      </c>
      <c r="T41" s="16">
        <f t="shared" si="1"/>
        <v>27</v>
      </c>
      <c r="U41" s="53">
        <v>117</v>
      </c>
      <c r="V41" s="16">
        <f t="shared" si="2"/>
        <v>3159</v>
      </c>
      <c r="W41" s="53">
        <v>1</v>
      </c>
      <c r="X41" s="53" t="s">
        <v>39</v>
      </c>
      <c r="Y41" s="53" t="s">
        <v>50</v>
      </c>
      <c r="Z41" s="53" t="s">
        <v>69</v>
      </c>
      <c r="AA41" s="53" t="s">
        <v>84</v>
      </c>
      <c r="AB41" s="53" t="s">
        <v>158</v>
      </c>
    </row>
    <row r="42" spans="1:28" x14ac:dyDescent="0.15">
      <c r="A42" s="53" t="s">
        <v>41</v>
      </c>
      <c r="B42" s="53" t="s">
        <v>157</v>
      </c>
      <c r="C42" s="62">
        <v>2019</v>
      </c>
      <c r="D42" s="63" t="s">
        <v>189</v>
      </c>
      <c r="E42" s="53" t="s">
        <v>187</v>
      </c>
      <c r="F42" s="53" t="s">
        <v>190</v>
      </c>
      <c r="G42" s="53" t="s">
        <v>42</v>
      </c>
      <c r="H42" s="53" t="s">
        <v>160</v>
      </c>
      <c r="I42" s="53" t="s">
        <v>159</v>
      </c>
      <c r="J42" s="53" t="s">
        <v>38</v>
      </c>
      <c r="K42" s="53" t="s">
        <v>161</v>
      </c>
      <c r="L42" s="53">
        <v>2</v>
      </c>
      <c r="M42" s="76"/>
      <c r="N42" s="53">
        <v>1</v>
      </c>
      <c r="O42" s="53">
        <v>0.65</v>
      </c>
      <c r="P42" s="53">
        <v>0.75</v>
      </c>
      <c r="Q42" s="16">
        <v>0.83</v>
      </c>
      <c r="R42" s="53">
        <v>13.4</v>
      </c>
      <c r="S42" s="53">
        <v>121</v>
      </c>
      <c r="T42" s="16">
        <f t="shared" si="1"/>
        <v>27</v>
      </c>
      <c r="U42" s="53">
        <v>117</v>
      </c>
      <c r="V42" s="16">
        <f t="shared" si="2"/>
        <v>3159</v>
      </c>
      <c r="W42" s="53">
        <v>1</v>
      </c>
      <c r="X42" s="53" t="s">
        <v>39</v>
      </c>
      <c r="Y42" s="53" t="s">
        <v>50</v>
      </c>
      <c r="Z42" s="53" t="s">
        <v>69</v>
      </c>
      <c r="AA42" s="53" t="s">
        <v>84</v>
      </c>
      <c r="AB42" s="53" t="s">
        <v>158</v>
      </c>
    </row>
    <row r="43" spans="1:28" x14ac:dyDescent="0.15">
      <c r="A43" s="53" t="s">
        <v>41</v>
      </c>
      <c r="B43" s="53" t="s">
        <v>157</v>
      </c>
      <c r="C43" s="62">
        <v>2019</v>
      </c>
      <c r="D43" s="63" t="s">
        <v>189</v>
      </c>
      <c r="E43" s="53" t="s">
        <v>187</v>
      </c>
      <c r="F43" s="53" t="s">
        <v>190</v>
      </c>
      <c r="G43" s="53" t="s">
        <v>42</v>
      </c>
      <c r="H43" s="53" t="s">
        <v>160</v>
      </c>
      <c r="I43" s="53" t="s">
        <v>159</v>
      </c>
      <c r="J43" s="53" t="s">
        <v>38</v>
      </c>
      <c r="K43" s="53" t="s">
        <v>161</v>
      </c>
      <c r="L43" s="53">
        <v>3</v>
      </c>
      <c r="M43" s="76"/>
      <c r="N43" s="53">
        <v>1</v>
      </c>
      <c r="O43" s="53">
        <v>0.5</v>
      </c>
      <c r="P43" s="53">
        <v>0.65</v>
      </c>
      <c r="Q43" s="16">
        <v>0.5</v>
      </c>
      <c r="R43" s="53">
        <v>15</v>
      </c>
      <c r="S43" s="53">
        <v>123</v>
      </c>
      <c r="T43" s="16">
        <f t="shared" si="1"/>
        <v>27</v>
      </c>
      <c r="U43" s="53">
        <v>117</v>
      </c>
      <c r="V43" s="16">
        <f t="shared" si="2"/>
        <v>3159</v>
      </c>
      <c r="W43" s="53">
        <v>1</v>
      </c>
      <c r="X43" s="53" t="s">
        <v>39</v>
      </c>
      <c r="Y43" s="53" t="s">
        <v>50</v>
      </c>
      <c r="Z43" s="53" t="s">
        <v>69</v>
      </c>
      <c r="AA43" s="53" t="s">
        <v>84</v>
      </c>
      <c r="AB43" s="53" t="s">
        <v>158</v>
      </c>
    </row>
    <row r="44" spans="1:28" x14ac:dyDescent="0.15">
      <c r="A44" s="53" t="s">
        <v>41</v>
      </c>
      <c r="B44" s="53" t="s">
        <v>157</v>
      </c>
      <c r="C44" s="62">
        <v>2019</v>
      </c>
      <c r="D44" s="63" t="s">
        <v>189</v>
      </c>
      <c r="E44" s="53" t="s">
        <v>187</v>
      </c>
      <c r="F44" s="53" t="s">
        <v>190</v>
      </c>
      <c r="G44" s="53" t="s">
        <v>42</v>
      </c>
      <c r="H44" s="53" t="s">
        <v>160</v>
      </c>
      <c r="I44" s="53" t="s">
        <v>159</v>
      </c>
      <c r="J44" s="53" t="s">
        <v>38</v>
      </c>
      <c r="K44" s="53" t="s">
        <v>161</v>
      </c>
      <c r="L44" s="53">
        <v>1</v>
      </c>
      <c r="M44" s="76"/>
      <c r="N44" s="53">
        <v>4</v>
      </c>
      <c r="O44" s="53">
        <v>0.55000000000000004</v>
      </c>
      <c r="P44" s="53">
        <v>0.6</v>
      </c>
      <c r="Q44" s="16">
        <v>0.8</v>
      </c>
      <c r="R44" s="53">
        <v>12.5</v>
      </c>
      <c r="S44" s="53">
        <v>120</v>
      </c>
      <c r="T44" s="16">
        <f t="shared" si="1"/>
        <v>30</v>
      </c>
      <c r="U44" s="53">
        <v>429</v>
      </c>
      <c r="V44" s="16">
        <f t="shared" si="2"/>
        <v>3217.5</v>
      </c>
      <c r="W44" s="53">
        <v>2</v>
      </c>
      <c r="X44" s="53" t="s">
        <v>39</v>
      </c>
      <c r="Y44" s="53" t="s">
        <v>50</v>
      </c>
      <c r="Z44" s="53" t="s">
        <v>69</v>
      </c>
      <c r="AA44" s="53" t="s">
        <v>84</v>
      </c>
      <c r="AB44" s="53" t="s">
        <v>158</v>
      </c>
    </row>
    <row r="45" spans="1:28" x14ac:dyDescent="0.15">
      <c r="A45" s="53" t="s">
        <v>41</v>
      </c>
      <c r="B45" s="53" t="s">
        <v>157</v>
      </c>
      <c r="C45" s="62">
        <v>2019</v>
      </c>
      <c r="D45" s="63" t="s">
        <v>189</v>
      </c>
      <c r="E45" s="53" t="s">
        <v>187</v>
      </c>
      <c r="F45" s="53" t="s">
        <v>190</v>
      </c>
      <c r="G45" s="53" t="s">
        <v>42</v>
      </c>
      <c r="H45" s="53" t="s">
        <v>160</v>
      </c>
      <c r="I45" s="53" t="s">
        <v>159</v>
      </c>
      <c r="J45" s="53" t="s">
        <v>38</v>
      </c>
      <c r="K45" s="53" t="s">
        <v>161</v>
      </c>
      <c r="L45" s="53">
        <v>2</v>
      </c>
      <c r="M45" s="76"/>
      <c r="N45" s="53">
        <v>4</v>
      </c>
      <c r="O45" s="53">
        <v>0.85</v>
      </c>
      <c r="P45" s="53">
        <v>0.8</v>
      </c>
      <c r="Q45" s="16">
        <v>0.2</v>
      </c>
      <c r="R45" s="53">
        <v>14.7</v>
      </c>
      <c r="S45" s="53">
        <v>120</v>
      </c>
      <c r="T45" s="16">
        <f t="shared" si="1"/>
        <v>30</v>
      </c>
      <c r="U45" s="53">
        <v>429</v>
      </c>
      <c r="V45" s="16">
        <f t="shared" si="2"/>
        <v>3217.5</v>
      </c>
      <c r="W45" s="53">
        <v>2</v>
      </c>
      <c r="X45" s="53" t="s">
        <v>39</v>
      </c>
      <c r="Y45" s="53" t="s">
        <v>50</v>
      </c>
      <c r="Z45" s="53" t="s">
        <v>69</v>
      </c>
      <c r="AA45" s="53" t="s">
        <v>84</v>
      </c>
      <c r="AB45" s="53" t="s">
        <v>158</v>
      </c>
    </row>
    <row r="46" spans="1:28" x14ac:dyDescent="0.15">
      <c r="A46" s="53" t="s">
        <v>41</v>
      </c>
      <c r="B46" s="53" t="s">
        <v>157</v>
      </c>
      <c r="C46" s="62">
        <v>2019</v>
      </c>
      <c r="D46" s="63" t="s">
        <v>189</v>
      </c>
      <c r="E46" s="53" t="s">
        <v>187</v>
      </c>
      <c r="F46" s="53" t="s">
        <v>190</v>
      </c>
      <c r="G46" s="53" t="s">
        <v>42</v>
      </c>
      <c r="H46" s="53" t="s">
        <v>160</v>
      </c>
      <c r="I46" s="53" t="s">
        <v>159</v>
      </c>
      <c r="J46" s="53" t="s">
        <v>38</v>
      </c>
      <c r="K46" s="53" t="s">
        <v>161</v>
      </c>
      <c r="L46" s="53">
        <v>3</v>
      </c>
      <c r="M46" s="76"/>
      <c r="N46" s="53">
        <v>4</v>
      </c>
      <c r="O46" s="53">
        <v>0.75</v>
      </c>
      <c r="P46" s="53">
        <v>0.85</v>
      </c>
      <c r="Q46" s="16">
        <v>0.6</v>
      </c>
      <c r="R46" s="53">
        <v>14.8</v>
      </c>
      <c r="S46" s="53">
        <v>120</v>
      </c>
      <c r="T46" s="16">
        <f t="shared" si="1"/>
        <v>30</v>
      </c>
      <c r="U46" s="53">
        <v>429</v>
      </c>
      <c r="V46" s="16">
        <f t="shared" si="2"/>
        <v>3217.5</v>
      </c>
      <c r="W46" s="53">
        <v>2</v>
      </c>
      <c r="X46" s="53" t="s">
        <v>39</v>
      </c>
      <c r="Y46" s="53" t="s">
        <v>50</v>
      </c>
      <c r="Z46" s="53" t="s">
        <v>69</v>
      </c>
      <c r="AA46" s="53" t="s">
        <v>84</v>
      </c>
      <c r="AB46" s="53" t="s">
        <v>158</v>
      </c>
    </row>
    <row r="47" spans="1:28" x14ac:dyDescent="0.15">
      <c r="A47" s="53" t="s">
        <v>41</v>
      </c>
      <c r="B47" s="53" t="s">
        <v>157</v>
      </c>
      <c r="C47" s="62">
        <v>2019</v>
      </c>
      <c r="D47" s="63" t="s">
        <v>189</v>
      </c>
      <c r="E47" s="53" t="s">
        <v>187</v>
      </c>
      <c r="F47" s="53" t="s">
        <v>190</v>
      </c>
      <c r="G47" s="53" t="s">
        <v>42</v>
      </c>
      <c r="H47" s="53" t="s">
        <v>164</v>
      </c>
      <c r="I47" s="53" t="s">
        <v>159</v>
      </c>
      <c r="J47" s="53" t="s">
        <v>38</v>
      </c>
      <c r="K47" s="53" t="s">
        <v>161</v>
      </c>
      <c r="L47" s="53">
        <v>1</v>
      </c>
      <c r="M47" s="76"/>
      <c r="N47" s="53">
        <v>1</v>
      </c>
      <c r="O47" s="53">
        <v>0.35</v>
      </c>
      <c r="P47" s="53">
        <v>0.4</v>
      </c>
      <c r="Q47" s="16">
        <v>2.4</v>
      </c>
      <c r="R47" s="53">
        <v>14.3</v>
      </c>
      <c r="S47" s="53">
        <v>124</v>
      </c>
      <c r="T47" s="16">
        <f t="shared" si="1"/>
        <v>27</v>
      </c>
      <c r="U47" s="53">
        <v>105</v>
      </c>
      <c r="V47" s="16">
        <f t="shared" si="2"/>
        <v>2835</v>
      </c>
      <c r="W47" s="53">
        <v>1</v>
      </c>
      <c r="X47" s="53" t="s">
        <v>39</v>
      </c>
      <c r="Y47" s="53" t="s">
        <v>50</v>
      </c>
      <c r="Z47" s="53" t="s">
        <v>69</v>
      </c>
      <c r="AA47" s="53" t="s">
        <v>84</v>
      </c>
      <c r="AB47" s="53" t="s">
        <v>158</v>
      </c>
    </row>
    <row r="48" spans="1:28" x14ac:dyDescent="0.15">
      <c r="A48" s="53" t="s">
        <v>41</v>
      </c>
      <c r="B48" s="53" t="s">
        <v>157</v>
      </c>
      <c r="C48" s="62">
        <v>2019</v>
      </c>
      <c r="D48" s="63" t="s">
        <v>189</v>
      </c>
      <c r="E48" s="53" t="s">
        <v>187</v>
      </c>
      <c r="F48" s="53" t="s">
        <v>190</v>
      </c>
      <c r="G48" s="53" t="s">
        <v>42</v>
      </c>
      <c r="H48" s="53" t="s">
        <v>164</v>
      </c>
      <c r="I48" s="53" t="s">
        <v>159</v>
      </c>
      <c r="J48" s="53" t="s">
        <v>38</v>
      </c>
      <c r="K48" s="53" t="s">
        <v>161</v>
      </c>
      <c r="L48" s="53">
        <v>2</v>
      </c>
      <c r="M48" s="76"/>
      <c r="N48" s="53">
        <v>1</v>
      </c>
      <c r="O48" s="53">
        <v>0.4</v>
      </c>
      <c r="P48" s="53">
        <v>0.3</v>
      </c>
      <c r="Q48" s="16">
        <v>1.73</v>
      </c>
      <c r="R48" s="53">
        <v>16.5</v>
      </c>
      <c r="S48" s="53">
        <v>126</v>
      </c>
      <c r="T48" s="16">
        <f t="shared" si="1"/>
        <v>27</v>
      </c>
      <c r="U48" s="53">
        <v>105</v>
      </c>
      <c r="V48" s="16">
        <f t="shared" si="2"/>
        <v>2835</v>
      </c>
      <c r="W48" s="53">
        <v>1</v>
      </c>
      <c r="X48" s="53" t="s">
        <v>39</v>
      </c>
      <c r="Y48" s="53" t="s">
        <v>50</v>
      </c>
      <c r="Z48" s="53" t="s">
        <v>69</v>
      </c>
      <c r="AA48" s="53" t="s">
        <v>84</v>
      </c>
      <c r="AB48" s="53" t="s">
        <v>158</v>
      </c>
    </row>
    <row r="49" spans="1:28" x14ac:dyDescent="0.15">
      <c r="A49" s="53" t="s">
        <v>41</v>
      </c>
      <c r="B49" s="53" t="s">
        <v>157</v>
      </c>
      <c r="C49" s="62">
        <v>2019</v>
      </c>
      <c r="D49" s="63" t="s">
        <v>189</v>
      </c>
      <c r="E49" s="53" t="s">
        <v>187</v>
      </c>
      <c r="F49" s="53" t="s">
        <v>190</v>
      </c>
      <c r="G49" s="53" t="s">
        <v>42</v>
      </c>
      <c r="H49" s="53" t="s">
        <v>164</v>
      </c>
      <c r="I49" s="53" t="s">
        <v>159</v>
      </c>
      <c r="J49" s="53" t="s">
        <v>38</v>
      </c>
      <c r="K49" s="53" t="s">
        <v>161</v>
      </c>
      <c r="L49" s="53">
        <v>3</v>
      </c>
      <c r="M49" s="76"/>
      <c r="N49" s="53">
        <v>1</v>
      </c>
      <c r="O49" s="53">
        <v>0.45</v>
      </c>
      <c r="P49" s="53">
        <v>0.5</v>
      </c>
      <c r="Q49" s="16">
        <v>1.88</v>
      </c>
      <c r="R49" s="53">
        <v>12.8</v>
      </c>
      <c r="S49" s="53">
        <v>128</v>
      </c>
      <c r="T49" s="16">
        <f t="shared" si="1"/>
        <v>27</v>
      </c>
      <c r="U49" s="53">
        <v>105</v>
      </c>
      <c r="V49" s="16">
        <f t="shared" si="2"/>
        <v>2835</v>
      </c>
      <c r="W49" s="53">
        <v>1</v>
      </c>
      <c r="X49" s="53" t="s">
        <v>39</v>
      </c>
      <c r="Y49" s="53" t="s">
        <v>50</v>
      </c>
      <c r="Z49" s="53" t="s">
        <v>69</v>
      </c>
      <c r="AA49" s="53" t="s">
        <v>84</v>
      </c>
      <c r="AB49" s="53" t="s">
        <v>158</v>
      </c>
    </row>
    <row r="50" spans="1:28" x14ac:dyDescent="0.15">
      <c r="A50" s="53" t="s">
        <v>41</v>
      </c>
      <c r="B50" s="53" t="s">
        <v>157</v>
      </c>
      <c r="C50" s="62">
        <v>2019</v>
      </c>
      <c r="D50" s="63" t="s">
        <v>189</v>
      </c>
      <c r="E50" s="53" t="s">
        <v>187</v>
      </c>
      <c r="F50" s="53" t="s">
        <v>190</v>
      </c>
      <c r="G50" s="53" t="s">
        <v>42</v>
      </c>
      <c r="H50" s="53" t="s">
        <v>164</v>
      </c>
      <c r="I50" s="53" t="s">
        <v>159</v>
      </c>
      <c r="J50" s="53" t="s">
        <v>38</v>
      </c>
      <c r="K50" s="53" t="s">
        <v>161</v>
      </c>
      <c r="L50" s="53">
        <v>1</v>
      </c>
      <c r="M50" s="76"/>
      <c r="N50" s="53">
        <v>5</v>
      </c>
      <c r="O50" s="53">
        <v>1.2</v>
      </c>
      <c r="P50" s="53">
        <v>1</v>
      </c>
      <c r="Q50" s="16">
        <v>1.1299999999999999</v>
      </c>
      <c r="R50" s="53">
        <v>12.1</v>
      </c>
      <c r="S50" s="53">
        <v>120</v>
      </c>
      <c r="T50" s="16">
        <f t="shared" si="1"/>
        <v>30</v>
      </c>
      <c r="U50" s="53">
        <v>429</v>
      </c>
      <c r="V50" s="16">
        <f t="shared" si="2"/>
        <v>2574</v>
      </c>
      <c r="W50" s="53">
        <v>2</v>
      </c>
      <c r="X50" s="53" t="s">
        <v>39</v>
      </c>
      <c r="Y50" s="53" t="s">
        <v>50</v>
      </c>
      <c r="Z50" s="53" t="s">
        <v>69</v>
      </c>
      <c r="AA50" s="53" t="s">
        <v>84</v>
      </c>
      <c r="AB50" s="53" t="s">
        <v>158</v>
      </c>
    </row>
    <row r="51" spans="1:28" x14ac:dyDescent="0.15">
      <c r="A51" s="53" t="s">
        <v>41</v>
      </c>
      <c r="B51" s="53" t="s">
        <v>157</v>
      </c>
      <c r="C51" s="62">
        <v>2019</v>
      </c>
      <c r="D51" s="63" t="s">
        <v>189</v>
      </c>
      <c r="E51" s="53" t="s">
        <v>187</v>
      </c>
      <c r="F51" s="53" t="s">
        <v>190</v>
      </c>
      <c r="G51" s="53" t="s">
        <v>42</v>
      </c>
      <c r="H51" s="53" t="s">
        <v>164</v>
      </c>
      <c r="I51" s="53" t="s">
        <v>159</v>
      </c>
      <c r="J51" s="53" t="s">
        <v>38</v>
      </c>
      <c r="K51" s="53" t="s">
        <v>161</v>
      </c>
      <c r="L51" s="53">
        <v>2</v>
      </c>
      <c r="M51" s="76"/>
      <c r="N51" s="53">
        <v>5</v>
      </c>
      <c r="O51" s="53">
        <v>0.9</v>
      </c>
      <c r="P51" s="53">
        <v>1.05</v>
      </c>
      <c r="Q51" s="16">
        <v>1.2</v>
      </c>
      <c r="R51" s="53">
        <v>13</v>
      </c>
      <c r="S51" s="53">
        <v>115</v>
      </c>
      <c r="T51" s="16">
        <f t="shared" si="1"/>
        <v>30</v>
      </c>
      <c r="U51" s="53">
        <v>429</v>
      </c>
      <c r="V51" s="16">
        <f t="shared" si="2"/>
        <v>2574</v>
      </c>
      <c r="W51" s="53">
        <v>2</v>
      </c>
      <c r="X51" s="53" t="s">
        <v>39</v>
      </c>
      <c r="Y51" s="53" t="s">
        <v>50</v>
      </c>
      <c r="Z51" s="53" t="s">
        <v>69</v>
      </c>
      <c r="AA51" s="53" t="s">
        <v>84</v>
      </c>
      <c r="AB51" s="53" t="s">
        <v>158</v>
      </c>
    </row>
    <row r="52" spans="1:28" x14ac:dyDescent="0.15">
      <c r="A52" s="53" t="s">
        <v>41</v>
      </c>
      <c r="B52" s="53" t="s">
        <v>157</v>
      </c>
      <c r="C52" s="62">
        <v>2019</v>
      </c>
      <c r="D52" s="63" t="s">
        <v>189</v>
      </c>
      <c r="E52" s="53" t="s">
        <v>187</v>
      </c>
      <c r="F52" s="53" t="s">
        <v>190</v>
      </c>
      <c r="G52" s="53" t="s">
        <v>42</v>
      </c>
      <c r="H52" s="53" t="s">
        <v>164</v>
      </c>
      <c r="I52" s="53" t="s">
        <v>159</v>
      </c>
      <c r="J52" s="53" t="s">
        <v>38</v>
      </c>
      <c r="K52" s="53" t="s">
        <v>161</v>
      </c>
      <c r="L52" s="53">
        <v>3</v>
      </c>
      <c r="M52" s="76"/>
      <c r="N52" s="53">
        <v>5</v>
      </c>
      <c r="O52" s="53">
        <v>0.85</v>
      </c>
      <c r="P52" s="53">
        <v>0.85</v>
      </c>
      <c r="Q52" s="16">
        <v>1.1299999999999999</v>
      </c>
      <c r="R52" s="53">
        <v>13.4</v>
      </c>
      <c r="S52" s="53">
        <v>115</v>
      </c>
      <c r="T52" s="16">
        <f t="shared" si="1"/>
        <v>30</v>
      </c>
      <c r="U52" s="53">
        <v>429</v>
      </c>
      <c r="V52" s="16">
        <f t="shared" si="2"/>
        <v>2574</v>
      </c>
      <c r="W52" s="53">
        <v>2</v>
      </c>
      <c r="X52" s="53" t="s">
        <v>39</v>
      </c>
      <c r="Y52" s="53" t="s">
        <v>50</v>
      </c>
      <c r="Z52" s="53" t="s">
        <v>69</v>
      </c>
      <c r="AA52" s="53" t="s">
        <v>84</v>
      </c>
      <c r="AB52" s="53" t="s">
        <v>158</v>
      </c>
    </row>
    <row r="53" spans="1:28" x14ac:dyDescent="0.15">
      <c r="A53" s="53" t="s">
        <v>41</v>
      </c>
      <c r="B53" s="53" t="s">
        <v>157</v>
      </c>
      <c r="C53" s="62">
        <v>2019</v>
      </c>
      <c r="D53" s="63" t="s">
        <v>189</v>
      </c>
      <c r="E53" s="53" t="s">
        <v>195</v>
      </c>
      <c r="F53" s="53" t="s">
        <v>185</v>
      </c>
      <c r="G53" s="53" t="s">
        <v>42</v>
      </c>
      <c r="H53" s="53" t="s">
        <v>164</v>
      </c>
      <c r="I53" s="53" t="s">
        <v>159</v>
      </c>
      <c r="J53" s="53" t="s">
        <v>38</v>
      </c>
      <c r="K53" s="53" t="s">
        <v>161</v>
      </c>
      <c r="L53" s="53">
        <v>1</v>
      </c>
      <c r="N53" s="53">
        <v>1</v>
      </c>
      <c r="O53" s="53">
        <v>1</v>
      </c>
      <c r="P53" s="53">
        <v>1.1499999999999999</v>
      </c>
      <c r="Q53" s="75">
        <f t="shared" ref="Q53:Q116" si="3">IF(OR(O53="",P53=""),"",AVERAGE(O53,P53))</f>
        <v>1.075</v>
      </c>
      <c r="R53" s="53">
        <v>10.5</v>
      </c>
      <c r="S53" s="53">
        <v>127</v>
      </c>
      <c r="T53" s="16">
        <f t="shared" si="1"/>
        <v>27</v>
      </c>
      <c r="U53" s="53">
        <v>108</v>
      </c>
      <c r="V53" s="16">
        <f t="shared" si="2"/>
        <v>2916</v>
      </c>
      <c r="W53" s="53">
        <v>2</v>
      </c>
      <c r="X53" s="53" t="s">
        <v>46</v>
      </c>
      <c r="Y53" s="53" t="s">
        <v>102</v>
      </c>
      <c r="Z53" s="53" t="s">
        <v>84</v>
      </c>
      <c r="AA53" s="53" t="s">
        <v>69</v>
      </c>
      <c r="AB53" s="53" t="s">
        <v>158</v>
      </c>
    </row>
    <row r="54" spans="1:28" x14ac:dyDescent="0.15">
      <c r="A54" s="53" t="s">
        <v>41</v>
      </c>
      <c r="B54" s="53" t="s">
        <v>157</v>
      </c>
      <c r="C54" s="62">
        <v>2019</v>
      </c>
      <c r="D54" s="63" t="s">
        <v>189</v>
      </c>
      <c r="E54" s="53" t="s">
        <v>195</v>
      </c>
      <c r="F54" s="53" t="s">
        <v>185</v>
      </c>
      <c r="G54" s="53" t="s">
        <v>42</v>
      </c>
      <c r="H54" s="53" t="s">
        <v>164</v>
      </c>
      <c r="I54" s="53" t="s">
        <v>159</v>
      </c>
      <c r="J54" s="53" t="s">
        <v>38</v>
      </c>
      <c r="K54" s="53" t="s">
        <v>161</v>
      </c>
      <c r="L54" s="53">
        <v>2</v>
      </c>
      <c r="M54" s="76"/>
      <c r="N54" s="53">
        <v>1</v>
      </c>
      <c r="O54" s="53">
        <v>0.95</v>
      </c>
      <c r="P54" s="53">
        <v>1</v>
      </c>
      <c r="Q54" s="75">
        <f t="shared" si="3"/>
        <v>0.97499999999999998</v>
      </c>
      <c r="R54" s="53">
        <v>12.8</v>
      </c>
      <c r="S54" s="53">
        <v>125</v>
      </c>
      <c r="T54" s="16">
        <f t="shared" si="1"/>
        <v>27</v>
      </c>
      <c r="U54" s="53">
        <v>108</v>
      </c>
      <c r="V54" s="16">
        <f t="shared" si="2"/>
        <v>2916</v>
      </c>
      <c r="W54" s="53">
        <v>2</v>
      </c>
      <c r="X54" s="53" t="s">
        <v>46</v>
      </c>
      <c r="Y54" s="53" t="s">
        <v>102</v>
      </c>
      <c r="Z54" s="53" t="s">
        <v>84</v>
      </c>
      <c r="AA54" s="53" t="s">
        <v>69</v>
      </c>
      <c r="AB54" s="53" t="s">
        <v>158</v>
      </c>
    </row>
    <row r="55" spans="1:28" x14ac:dyDescent="0.15">
      <c r="A55" s="53" t="s">
        <v>41</v>
      </c>
      <c r="B55" s="53" t="s">
        <v>157</v>
      </c>
      <c r="C55" s="62">
        <v>2019</v>
      </c>
      <c r="D55" s="63" t="s">
        <v>189</v>
      </c>
      <c r="E55" s="53" t="s">
        <v>195</v>
      </c>
      <c r="F55" s="53" t="s">
        <v>185</v>
      </c>
      <c r="G55" s="53" t="s">
        <v>42</v>
      </c>
      <c r="H55" s="53" t="s">
        <v>164</v>
      </c>
      <c r="I55" s="53" t="s">
        <v>159</v>
      </c>
      <c r="J55" s="53" t="s">
        <v>38</v>
      </c>
      <c r="K55" s="53" t="s">
        <v>161</v>
      </c>
      <c r="L55" s="53">
        <v>3</v>
      </c>
      <c r="M55" s="76"/>
      <c r="N55" s="53">
        <v>1</v>
      </c>
      <c r="O55" s="53">
        <v>1</v>
      </c>
      <c r="P55" s="53">
        <v>0.95</v>
      </c>
      <c r="Q55" s="75">
        <f t="shared" si="3"/>
        <v>0.97499999999999998</v>
      </c>
      <c r="R55" s="53">
        <v>11.3</v>
      </c>
      <c r="S55" s="53">
        <v>126</v>
      </c>
      <c r="T55" s="16">
        <f t="shared" si="1"/>
        <v>27</v>
      </c>
      <c r="U55" s="53">
        <v>108</v>
      </c>
      <c r="V55" s="16">
        <f t="shared" si="2"/>
        <v>2916</v>
      </c>
      <c r="W55" s="53">
        <v>2</v>
      </c>
      <c r="X55" s="53" t="s">
        <v>46</v>
      </c>
      <c r="Y55" s="53" t="s">
        <v>102</v>
      </c>
      <c r="Z55" s="53" t="s">
        <v>84</v>
      </c>
      <c r="AA55" s="53" t="s">
        <v>69</v>
      </c>
      <c r="AB55" s="53" t="s">
        <v>158</v>
      </c>
    </row>
    <row r="56" spans="1:28" x14ac:dyDescent="0.15">
      <c r="A56" s="53" t="s">
        <v>41</v>
      </c>
      <c r="B56" s="53" t="s">
        <v>157</v>
      </c>
      <c r="C56" s="62">
        <v>2019</v>
      </c>
      <c r="D56" s="63" t="s">
        <v>189</v>
      </c>
      <c r="E56" s="53" t="s">
        <v>195</v>
      </c>
      <c r="F56" s="53" t="s">
        <v>185</v>
      </c>
      <c r="G56" s="53" t="s">
        <v>42</v>
      </c>
      <c r="H56" s="53" t="s">
        <v>164</v>
      </c>
      <c r="I56" s="53" t="s">
        <v>159</v>
      </c>
      <c r="J56" s="53" t="s">
        <v>38</v>
      </c>
      <c r="K56" s="53" t="s">
        <v>161</v>
      </c>
      <c r="L56" s="53">
        <v>1</v>
      </c>
      <c r="N56" s="53">
        <v>10</v>
      </c>
      <c r="O56" s="53">
        <v>0.85</v>
      </c>
      <c r="P56" s="53">
        <v>0.9</v>
      </c>
      <c r="Q56" s="75">
        <f t="shared" si="3"/>
        <v>0.875</v>
      </c>
      <c r="R56" s="53">
        <v>13.5</v>
      </c>
      <c r="S56" s="53">
        <v>120</v>
      </c>
      <c r="T56" s="16">
        <f t="shared" si="1"/>
        <v>30</v>
      </c>
      <c r="U56" s="53">
        <v>1490</v>
      </c>
      <c r="V56" s="16">
        <f t="shared" si="2"/>
        <v>4470</v>
      </c>
      <c r="W56" s="53">
        <v>2</v>
      </c>
      <c r="X56" s="53" t="s">
        <v>46</v>
      </c>
      <c r="Y56" s="53" t="s">
        <v>102</v>
      </c>
      <c r="Z56" s="53" t="s">
        <v>84</v>
      </c>
      <c r="AA56" s="53" t="s">
        <v>69</v>
      </c>
      <c r="AB56" s="53" t="s">
        <v>158</v>
      </c>
    </row>
    <row r="57" spans="1:28" x14ac:dyDescent="0.15">
      <c r="A57" s="53" t="s">
        <v>41</v>
      </c>
      <c r="B57" s="53" t="s">
        <v>157</v>
      </c>
      <c r="C57" s="62">
        <v>2019</v>
      </c>
      <c r="D57" s="63" t="s">
        <v>189</v>
      </c>
      <c r="E57" s="53" t="s">
        <v>195</v>
      </c>
      <c r="F57" s="53" t="s">
        <v>185</v>
      </c>
      <c r="G57" s="53" t="s">
        <v>42</v>
      </c>
      <c r="H57" s="53" t="s">
        <v>164</v>
      </c>
      <c r="I57" s="53" t="s">
        <v>159</v>
      </c>
      <c r="J57" s="53" t="s">
        <v>38</v>
      </c>
      <c r="K57" s="53" t="s">
        <v>161</v>
      </c>
      <c r="L57" s="53">
        <v>2</v>
      </c>
      <c r="M57" s="76"/>
      <c r="N57" s="53">
        <v>10</v>
      </c>
      <c r="O57" s="53">
        <v>0.7</v>
      </c>
      <c r="P57" s="53">
        <v>0.85</v>
      </c>
      <c r="Q57" s="75">
        <f t="shared" si="3"/>
        <v>0.77499999999999991</v>
      </c>
      <c r="R57" s="53">
        <v>16</v>
      </c>
      <c r="S57" s="53">
        <v>121</v>
      </c>
      <c r="T57" s="16">
        <f t="shared" si="1"/>
        <v>27</v>
      </c>
      <c r="U57" s="53">
        <v>1490</v>
      </c>
      <c r="V57" s="16">
        <f t="shared" si="2"/>
        <v>4023</v>
      </c>
      <c r="W57" s="53">
        <v>2</v>
      </c>
      <c r="X57" s="53" t="s">
        <v>46</v>
      </c>
      <c r="Y57" s="53" t="s">
        <v>102</v>
      </c>
      <c r="Z57" s="53" t="s">
        <v>84</v>
      </c>
      <c r="AA57" s="53" t="s">
        <v>69</v>
      </c>
      <c r="AB57" s="53" t="s">
        <v>158</v>
      </c>
    </row>
    <row r="58" spans="1:28" x14ac:dyDescent="0.15">
      <c r="A58" s="53" t="s">
        <v>41</v>
      </c>
      <c r="B58" s="53" t="s">
        <v>157</v>
      </c>
      <c r="C58" s="62">
        <v>2019</v>
      </c>
      <c r="D58" s="63" t="s">
        <v>189</v>
      </c>
      <c r="E58" s="53" t="s">
        <v>195</v>
      </c>
      <c r="F58" s="53" t="s">
        <v>185</v>
      </c>
      <c r="G58" s="53" t="s">
        <v>42</v>
      </c>
      <c r="H58" s="53" t="s">
        <v>164</v>
      </c>
      <c r="I58" s="53" t="s">
        <v>159</v>
      </c>
      <c r="J58" s="53" t="s">
        <v>38</v>
      </c>
      <c r="K58" s="53" t="s">
        <v>161</v>
      </c>
      <c r="L58" s="53">
        <v>3</v>
      </c>
      <c r="M58" s="76"/>
      <c r="N58" s="53">
        <v>10</v>
      </c>
      <c r="O58" s="53">
        <v>0.5</v>
      </c>
      <c r="P58" s="53">
        <v>0.65</v>
      </c>
      <c r="Q58" s="75">
        <f t="shared" si="3"/>
        <v>0.57499999999999996</v>
      </c>
      <c r="R58" s="53">
        <v>12.4</v>
      </c>
      <c r="S58" s="53">
        <v>123</v>
      </c>
      <c r="T58" s="16">
        <f t="shared" si="1"/>
        <v>27</v>
      </c>
      <c r="U58" s="53">
        <v>1490</v>
      </c>
      <c r="V58" s="16">
        <f t="shared" si="2"/>
        <v>4023</v>
      </c>
      <c r="W58" s="53">
        <v>2</v>
      </c>
      <c r="X58" s="53" t="s">
        <v>46</v>
      </c>
      <c r="Y58" s="53" t="s">
        <v>102</v>
      </c>
      <c r="Z58" s="53" t="s">
        <v>84</v>
      </c>
      <c r="AA58" s="53" t="s">
        <v>69</v>
      </c>
      <c r="AB58" s="53" t="s">
        <v>158</v>
      </c>
    </row>
    <row r="59" spans="1:28" x14ac:dyDescent="0.15">
      <c r="A59" s="53" t="s">
        <v>41</v>
      </c>
      <c r="B59" s="53" t="s">
        <v>157</v>
      </c>
      <c r="C59" s="62">
        <v>2019</v>
      </c>
      <c r="D59" s="63" t="s">
        <v>189</v>
      </c>
      <c r="E59" s="53" t="s">
        <v>195</v>
      </c>
      <c r="F59" s="53" t="s">
        <v>185</v>
      </c>
      <c r="G59" s="53" t="s">
        <v>42</v>
      </c>
      <c r="H59" s="53" t="s">
        <v>160</v>
      </c>
      <c r="I59" s="53" t="s">
        <v>159</v>
      </c>
      <c r="J59" s="53" t="s">
        <v>38</v>
      </c>
      <c r="K59" s="53" t="s">
        <v>161</v>
      </c>
      <c r="L59" s="53">
        <v>1</v>
      </c>
      <c r="N59" s="53">
        <v>1</v>
      </c>
      <c r="O59" s="53">
        <v>0.3</v>
      </c>
      <c r="P59" s="53">
        <v>0.35</v>
      </c>
      <c r="Q59" s="75">
        <f t="shared" si="3"/>
        <v>0.32499999999999996</v>
      </c>
      <c r="R59" s="53">
        <v>15.8</v>
      </c>
      <c r="S59" s="53">
        <v>127</v>
      </c>
      <c r="T59" s="16">
        <f t="shared" si="1"/>
        <v>27</v>
      </c>
      <c r="U59" s="53">
        <v>160</v>
      </c>
      <c r="V59" s="16">
        <f t="shared" si="2"/>
        <v>4320</v>
      </c>
      <c r="W59" s="53">
        <v>2</v>
      </c>
      <c r="X59" s="53" t="s">
        <v>46</v>
      </c>
      <c r="Y59" s="53" t="s">
        <v>102</v>
      </c>
      <c r="Z59" s="53" t="s">
        <v>84</v>
      </c>
      <c r="AA59" s="53" t="s">
        <v>69</v>
      </c>
      <c r="AB59" s="53" t="s">
        <v>158</v>
      </c>
    </row>
    <row r="60" spans="1:28" x14ac:dyDescent="0.15">
      <c r="A60" s="53" t="s">
        <v>41</v>
      </c>
      <c r="B60" s="53" t="s">
        <v>157</v>
      </c>
      <c r="C60" s="62">
        <v>2019</v>
      </c>
      <c r="D60" s="63" t="s">
        <v>189</v>
      </c>
      <c r="E60" s="53" t="s">
        <v>195</v>
      </c>
      <c r="F60" s="53" t="s">
        <v>185</v>
      </c>
      <c r="G60" s="53" t="s">
        <v>42</v>
      </c>
      <c r="H60" s="53" t="s">
        <v>160</v>
      </c>
      <c r="I60" s="53" t="s">
        <v>159</v>
      </c>
      <c r="J60" s="53" t="s">
        <v>38</v>
      </c>
      <c r="K60" s="53" t="s">
        <v>161</v>
      </c>
      <c r="L60" s="53">
        <v>2</v>
      </c>
      <c r="M60" s="76"/>
      <c r="N60" s="53">
        <v>1</v>
      </c>
      <c r="O60" s="53">
        <v>0.35</v>
      </c>
      <c r="P60" s="53">
        <v>0.35</v>
      </c>
      <c r="Q60" s="75">
        <f t="shared" si="3"/>
        <v>0.35</v>
      </c>
      <c r="R60" s="53">
        <v>16</v>
      </c>
      <c r="S60" s="53">
        <v>125</v>
      </c>
      <c r="T60" s="16">
        <f t="shared" si="1"/>
        <v>27</v>
      </c>
      <c r="U60" s="53">
        <v>160</v>
      </c>
      <c r="V60" s="16">
        <f t="shared" si="2"/>
        <v>4320</v>
      </c>
      <c r="W60" s="53">
        <v>2</v>
      </c>
      <c r="X60" s="53" t="s">
        <v>46</v>
      </c>
      <c r="Y60" s="53" t="s">
        <v>102</v>
      </c>
      <c r="Z60" s="53" t="s">
        <v>84</v>
      </c>
      <c r="AA60" s="53" t="s">
        <v>69</v>
      </c>
      <c r="AB60" s="53" t="s">
        <v>158</v>
      </c>
    </row>
    <row r="61" spans="1:28" x14ac:dyDescent="0.15">
      <c r="A61" s="53" t="s">
        <v>41</v>
      </c>
      <c r="B61" s="53" t="s">
        <v>157</v>
      </c>
      <c r="C61" s="62">
        <v>2019</v>
      </c>
      <c r="D61" s="63" t="s">
        <v>189</v>
      </c>
      <c r="E61" s="53" t="s">
        <v>195</v>
      </c>
      <c r="F61" s="53" t="s">
        <v>185</v>
      </c>
      <c r="G61" s="53" t="s">
        <v>42</v>
      </c>
      <c r="H61" s="53" t="s">
        <v>160</v>
      </c>
      <c r="I61" s="53" t="s">
        <v>159</v>
      </c>
      <c r="J61" s="53" t="s">
        <v>38</v>
      </c>
      <c r="K61" s="53" t="s">
        <v>161</v>
      </c>
      <c r="L61" s="53">
        <v>3</v>
      </c>
      <c r="M61" s="76"/>
      <c r="N61" s="53">
        <v>1</v>
      </c>
      <c r="O61" s="53">
        <v>0.3</v>
      </c>
      <c r="P61" s="53">
        <v>0.3</v>
      </c>
      <c r="Q61" s="75">
        <f t="shared" si="3"/>
        <v>0.3</v>
      </c>
      <c r="R61" s="53">
        <v>12.5</v>
      </c>
      <c r="S61" s="53">
        <v>125</v>
      </c>
      <c r="T61" s="16">
        <f t="shared" si="1"/>
        <v>27</v>
      </c>
      <c r="U61" s="53">
        <v>160</v>
      </c>
      <c r="V61" s="16">
        <f t="shared" si="2"/>
        <v>4320</v>
      </c>
      <c r="W61" s="53">
        <v>2</v>
      </c>
      <c r="X61" s="53" t="s">
        <v>46</v>
      </c>
      <c r="Y61" s="53" t="s">
        <v>102</v>
      </c>
      <c r="Z61" s="53" t="s">
        <v>84</v>
      </c>
      <c r="AA61" s="53" t="s">
        <v>69</v>
      </c>
      <c r="AB61" s="53" t="s">
        <v>158</v>
      </c>
    </row>
    <row r="62" spans="1:28" x14ac:dyDescent="0.15">
      <c r="A62" s="53" t="s">
        <v>41</v>
      </c>
      <c r="B62" s="53" t="s">
        <v>157</v>
      </c>
      <c r="C62" s="62">
        <v>2019</v>
      </c>
      <c r="D62" s="63" t="s">
        <v>189</v>
      </c>
      <c r="E62" s="53" t="s">
        <v>195</v>
      </c>
      <c r="F62" s="53" t="s">
        <v>185</v>
      </c>
      <c r="G62" s="53" t="s">
        <v>42</v>
      </c>
      <c r="H62" s="53" t="s">
        <v>160</v>
      </c>
      <c r="I62" s="53" t="s">
        <v>159</v>
      </c>
      <c r="J62" s="53" t="s">
        <v>38</v>
      </c>
      <c r="K62" s="53" t="s">
        <v>161</v>
      </c>
      <c r="L62" s="53">
        <v>1</v>
      </c>
      <c r="N62" s="53">
        <v>10</v>
      </c>
      <c r="O62" s="53">
        <v>0.25</v>
      </c>
      <c r="P62" s="53">
        <v>0.25</v>
      </c>
      <c r="Q62" s="75">
        <f t="shared" si="3"/>
        <v>0.25</v>
      </c>
      <c r="R62" s="53">
        <v>13.2</v>
      </c>
      <c r="S62" s="53">
        <v>120</v>
      </c>
      <c r="T62" s="16">
        <f t="shared" si="1"/>
        <v>30</v>
      </c>
      <c r="U62" s="53">
        <v>821</v>
      </c>
      <c r="V62" s="16">
        <f t="shared" si="2"/>
        <v>2463</v>
      </c>
      <c r="W62" s="53">
        <v>2</v>
      </c>
      <c r="X62" s="53" t="s">
        <v>46</v>
      </c>
      <c r="Y62" s="53" t="s">
        <v>102</v>
      </c>
      <c r="Z62" s="53" t="s">
        <v>84</v>
      </c>
      <c r="AA62" s="53" t="s">
        <v>69</v>
      </c>
      <c r="AB62" s="53" t="s">
        <v>158</v>
      </c>
    </row>
    <row r="63" spans="1:28" x14ac:dyDescent="0.15">
      <c r="A63" s="53" t="s">
        <v>41</v>
      </c>
      <c r="B63" s="53" t="s">
        <v>157</v>
      </c>
      <c r="C63" s="62">
        <v>2019</v>
      </c>
      <c r="D63" s="63" t="s">
        <v>189</v>
      </c>
      <c r="E63" s="53" t="s">
        <v>195</v>
      </c>
      <c r="F63" s="53" t="s">
        <v>185</v>
      </c>
      <c r="G63" s="53" t="s">
        <v>42</v>
      </c>
      <c r="H63" s="53" t="s">
        <v>160</v>
      </c>
      <c r="I63" s="53" t="s">
        <v>159</v>
      </c>
      <c r="J63" s="53" t="s">
        <v>38</v>
      </c>
      <c r="K63" s="53" t="s">
        <v>161</v>
      </c>
      <c r="L63" s="53">
        <v>2</v>
      </c>
      <c r="M63" s="76"/>
      <c r="N63" s="53">
        <v>10</v>
      </c>
      <c r="O63" s="53">
        <v>0.3</v>
      </c>
      <c r="P63" s="53">
        <v>0.3</v>
      </c>
      <c r="Q63" s="75">
        <f t="shared" si="3"/>
        <v>0.3</v>
      </c>
      <c r="R63" s="53">
        <v>12.4</v>
      </c>
      <c r="S63" s="53">
        <v>119</v>
      </c>
      <c r="T63" s="16">
        <f t="shared" si="1"/>
        <v>30</v>
      </c>
      <c r="U63" s="53">
        <v>821</v>
      </c>
      <c r="V63" s="16">
        <f t="shared" si="2"/>
        <v>2463</v>
      </c>
      <c r="W63" s="53">
        <v>2</v>
      </c>
      <c r="X63" s="53" t="s">
        <v>46</v>
      </c>
      <c r="Y63" s="53" t="s">
        <v>102</v>
      </c>
      <c r="Z63" s="53" t="s">
        <v>84</v>
      </c>
      <c r="AA63" s="53" t="s">
        <v>69</v>
      </c>
      <c r="AB63" s="53" t="s">
        <v>158</v>
      </c>
    </row>
    <row r="64" spans="1:28" x14ac:dyDescent="0.15">
      <c r="A64" s="53" t="s">
        <v>41</v>
      </c>
      <c r="B64" s="53" t="s">
        <v>157</v>
      </c>
      <c r="C64" s="62">
        <v>2019</v>
      </c>
      <c r="D64" s="63" t="s">
        <v>189</v>
      </c>
      <c r="E64" s="53" t="s">
        <v>195</v>
      </c>
      <c r="F64" s="53" t="s">
        <v>185</v>
      </c>
      <c r="G64" s="53" t="s">
        <v>42</v>
      </c>
      <c r="H64" s="53" t="s">
        <v>160</v>
      </c>
      <c r="I64" s="53" t="s">
        <v>159</v>
      </c>
      <c r="J64" s="53" t="s">
        <v>38</v>
      </c>
      <c r="K64" s="53" t="s">
        <v>161</v>
      </c>
      <c r="L64" s="53">
        <v>3</v>
      </c>
      <c r="M64" s="76"/>
      <c r="N64" s="53">
        <v>10</v>
      </c>
      <c r="O64" s="53">
        <v>0.3</v>
      </c>
      <c r="P64" s="53">
        <v>0.3</v>
      </c>
      <c r="Q64" s="75">
        <f t="shared" si="3"/>
        <v>0.3</v>
      </c>
      <c r="R64" s="53">
        <v>12.3</v>
      </c>
      <c r="S64" s="53">
        <v>120</v>
      </c>
      <c r="T64" s="16">
        <f t="shared" si="1"/>
        <v>30</v>
      </c>
      <c r="U64" s="53">
        <v>821</v>
      </c>
      <c r="V64" s="16">
        <f t="shared" si="2"/>
        <v>2463</v>
      </c>
      <c r="W64" s="53">
        <v>2</v>
      </c>
      <c r="X64" s="53" t="s">
        <v>46</v>
      </c>
      <c r="Y64" s="53" t="s">
        <v>102</v>
      </c>
      <c r="Z64" s="53" t="s">
        <v>84</v>
      </c>
      <c r="AA64" s="53" t="s">
        <v>69</v>
      </c>
      <c r="AB64" s="53" t="s">
        <v>158</v>
      </c>
    </row>
    <row r="65" spans="1:34" x14ac:dyDescent="0.15">
      <c r="A65" s="53" t="s">
        <v>41</v>
      </c>
      <c r="B65" s="53" t="s">
        <v>157</v>
      </c>
      <c r="C65" s="62">
        <v>2019</v>
      </c>
      <c r="D65" s="63" t="s">
        <v>189</v>
      </c>
      <c r="E65" s="53" t="s">
        <v>195</v>
      </c>
      <c r="F65" s="53" t="s">
        <v>197</v>
      </c>
      <c r="G65" s="53" t="s">
        <v>42</v>
      </c>
      <c r="H65" s="53" t="s">
        <v>164</v>
      </c>
      <c r="I65" s="53" t="s">
        <v>159</v>
      </c>
      <c r="J65" s="53" t="s">
        <v>38</v>
      </c>
      <c r="K65" s="53" t="s">
        <v>161</v>
      </c>
      <c r="L65" s="53">
        <v>1</v>
      </c>
      <c r="N65" s="53">
        <v>1</v>
      </c>
      <c r="O65" s="53">
        <v>0.6</v>
      </c>
      <c r="P65" s="53">
        <v>0.5</v>
      </c>
      <c r="Q65" s="75">
        <f t="shared" si="3"/>
        <v>0.55000000000000004</v>
      </c>
      <c r="R65" s="53">
        <v>11.5</v>
      </c>
      <c r="S65" s="53">
        <v>123</v>
      </c>
      <c r="T65" s="16">
        <f t="shared" si="1"/>
        <v>27</v>
      </c>
      <c r="U65" s="53">
        <v>108</v>
      </c>
      <c r="V65" s="16">
        <f t="shared" si="2"/>
        <v>2916</v>
      </c>
      <c r="W65" s="53">
        <v>1</v>
      </c>
      <c r="X65" s="53" t="s">
        <v>46</v>
      </c>
      <c r="Y65" s="53" t="s">
        <v>102</v>
      </c>
      <c r="Z65" s="53" t="s">
        <v>69</v>
      </c>
      <c r="AA65" s="53" t="s">
        <v>78</v>
      </c>
      <c r="AB65" s="53" t="s">
        <v>158</v>
      </c>
      <c r="AC65" s="76"/>
      <c r="AD65" s="76"/>
      <c r="AE65" s="76"/>
      <c r="AF65" s="76"/>
      <c r="AG65" s="76"/>
      <c r="AH65" s="76"/>
    </row>
    <row r="66" spans="1:34" x14ac:dyDescent="0.15">
      <c r="A66" s="53" t="s">
        <v>41</v>
      </c>
      <c r="B66" s="53" t="s">
        <v>157</v>
      </c>
      <c r="C66" s="62">
        <v>2019</v>
      </c>
      <c r="D66" s="63" t="s">
        <v>189</v>
      </c>
      <c r="E66" s="53" t="s">
        <v>195</v>
      </c>
      <c r="F66" s="53" t="s">
        <v>197</v>
      </c>
      <c r="G66" s="53" t="s">
        <v>42</v>
      </c>
      <c r="H66" s="53" t="s">
        <v>164</v>
      </c>
      <c r="I66" s="53" t="s">
        <v>159</v>
      </c>
      <c r="J66" s="53" t="s">
        <v>38</v>
      </c>
      <c r="K66" s="53" t="s">
        <v>161</v>
      </c>
      <c r="L66" s="53">
        <v>2</v>
      </c>
      <c r="M66" s="76"/>
      <c r="N66" s="53">
        <v>1</v>
      </c>
      <c r="O66" s="53">
        <v>0.65</v>
      </c>
      <c r="P66" s="53">
        <v>0.5</v>
      </c>
      <c r="Q66" s="75">
        <f t="shared" si="3"/>
        <v>0.57499999999999996</v>
      </c>
      <c r="R66" s="53">
        <v>10.199999999999999</v>
      </c>
      <c r="S66" s="53">
        <v>125</v>
      </c>
      <c r="T66" s="16">
        <f t="shared" ref="T66:T129" si="4">IF(H66="","",IF(OR(H66="GREEN",H66="GK"),IF(S66&gt;=$AX$2,VLOOKUP(S66,$AX$2:$AY$10,2,1),""),IF(S66&gt;=$AZ$2,VLOOKUP(S66,$AZ$2:$BA$10,2,1),"")))</f>
        <v>27</v>
      </c>
      <c r="U66" s="53">
        <v>108</v>
      </c>
      <c r="V66" s="16">
        <f t="shared" ref="V66:V94" si="5">IF(OR(N66="",U66="",T66=""),"",U66/N66*T66)</f>
        <v>2916</v>
      </c>
      <c r="W66" s="53">
        <v>1</v>
      </c>
      <c r="X66" s="53" t="s">
        <v>46</v>
      </c>
      <c r="Y66" s="53" t="s">
        <v>102</v>
      </c>
      <c r="Z66" s="53" t="s">
        <v>69</v>
      </c>
      <c r="AA66" s="53" t="s">
        <v>78</v>
      </c>
      <c r="AB66" s="53" t="s">
        <v>158</v>
      </c>
      <c r="AC66" s="76"/>
      <c r="AD66" s="76"/>
      <c r="AE66" s="76"/>
      <c r="AF66" s="76"/>
      <c r="AG66" s="76"/>
      <c r="AH66" s="76"/>
    </row>
    <row r="67" spans="1:34" x14ac:dyDescent="0.15">
      <c r="A67" s="53" t="s">
        <v>41</v>
      </c>
      <c r="B67" s="53" t="s">
        <v>157</v>
      </c>
      <c r="C67" s="62">
        <v>2019</v>
      </c>
      <c r="D67" s="63" t="s">
        <v>189</v>
      </c>
      <c r="E67" s="53" t="s">
        <v>195</v>
      </c>
      <c r="F67" s="53" t="s">
        <v>197</v>
      </c>
      <c r="G67" s="53" t="s">
        <v>42</v>
      </c>
      <c r="H67" s="53" t="s">
        <v>164</v>
      </c>
      <c r="I67" s="53" t="s">
        <v>159</v>
      </c>
      <c r="J67" s="53" t="s">
        <v>38</v>
      </c>
      <c r="K67" s="53" t="s">
        <v>161</v>
      </c>
      <c r="L67" s="53">
        <v>3</v>
      </c>
      <c r="M67" s="76"/>
      <c r="N67" s="53">
        <v>1</v>
      </c>
      <c r="O67" s="53">
        <v>0.5</v>
      </c>
      <c r="P67" s="53">
        <v>0.45</v>
      </c>
      <c r="Q67" s="75">
        <f t="shared" si="3"/>
        <v>0.47499999999999998</v>
      </c>
      <c r="R67" s="53">
        <v>13.2</v>
      </c>
      <c r="S67" s="53">
        <v>122</v>
      </c>
      <c r="T67" s="16">
        <f t="shared" si="4"/>
        <v>27</v>
      </c>
      <c r="U67" s="53">
        <v>108</v>
      </c>
      <c r="V67" s="16">
        <f t="shared" si="5"/>
        <v>2916</v>
      </c>
      <c r="W67" s="53">
        <v>1</v>
      </c>
      <c r="X67" s="53" t="s">
        <v>46</v>
      </c>
      <c r="Y67" s="53" t="s">
        <v>102</v>
      </c>
      <c r="Z67" s="53" t="s">
        <v>69</v>
      </c>
      <c r="AA67" s="53" t="s">
        <v>78</v>
      </c>
      <c r="AB67" s="53" t="s">
        <v>158</v>
      </c>
      <c r="AC67" s="76"/>
      <c r="AD67" s="76"/>
      <c r="AE67" s="76"/>
      <c r="AF67" s="76"/>
      <c r="AG67" s="76"/>
      <c r="AH67" s="76"/>
    </row>
    <row r="68" spans="1:34" x14ac:dyDescent="0.15">
      <c r="A68" s="53" t="s">
        <v>41</v>
      </c>
      <c r="B68" s="53" t="s">
        <v>157</v>
      </c>
      <c r="C68" s="62">
        <v>2019</v>
      </c>
      <c r="D68" s="63" t="s">
        <v>189</v>
      </c>
      <c r="E68" s="53" t="s">
        <v>195</v>
      </c>
      <c r="F68" s="53" t="s">
        <v>197</v>
      </c>
      <c r="G68" s="53" t="s">
        <v>42</v>
      </c>
      <c r="H68" s="53" t="s">
        <v>164</v>
      </c>
      <c r="I68" s="53" t="s">
        <v>159</v>
      </c>
      <c r="J68" s="53" t="s">
        <v>38</v>
      </c>
      <c r="K68" s="53" t="s">
        <v>161</v>
      </c>
      <c r="L68" s="53">
        <v>1</v>
      </c>
      <c r="N68" s="53">
        <v>5</v>
      </c>
      <c r="O68" s="53">
        <v>0.55000000000000004</v>
      </c>
      <c r="P68" s="53">
        <v>0.5</v>
      </c>
      <c r="Q68" s="75">
        <f t="shared" si="3"/>
        <v>0.52500000000000002</v>
      </c>
      <c r="R68" s="53">
        <v>13.3</v>
      </c>
      <c r="S68" s="53">
        <v>120</v>
      </c>
      <c r="T68" s="16">
        <f t="shared" si="4"/>
        <v>30</v>
      </c>
      <c r="U68" s="53">
        <v>429</v>
      </c>
      <c r="V68" s="16">
        <f t="shared" si="5"/>
        <v>2574</v>
      </c>
      <c r="W68" s="53">
        <v>2</v>
      </c>
      <c r="X68" s="53" t="s">
        <v>46</v>
      </c>
      <c r="Y68" s="53" t="s">
        <v>102</v>
      </c>
      <c r="Z68" s="53" t="s">
        <v>69</v>
      </c>
      <c r="AA68" s="53" t="s">
        <v>78</v>
      </c>
      <c r="AB68" s="53" t="s">
        <v>158</v>
      </c>
      <c r="AC68" s="76"/>
      <c r="AD68" s="76"/>
      <c r="AE68" s="76"/>
      <c r="AF68" s="76"/>
      <c r="AG68" s="76"/>
      <c r="AH68" s="76"/>
    </row>
    <row r="69" spans="1:34" x14ac:dyDescent="0.15">
      <c r="A69" s="53" t="s">
        <v>41</v>
      </c>
      <c r="B69" s="53" t="s">
        <v>157</v>
      </c>
      <c r="C69" s="62">
        <v>2019</v>
      </c>
      <c r="D69" s="63" t="s">
        <v>189</v>
      </c>
      <c r="E69" s="53" t="s">
        <v>195</v>
      </c>
      <c r="F69" s="53" t="s">
        <v>197</v>
      </c>
      <c r="G69" s="53" t="s">
        <v>42</v>
      </c>
      <c r="H69" s="53" t="s">
        <v>164</v>
      </c>
      <c r="I69" s="53" t="s">
        <v>159</v>
      </c>
      <c r="J69" s="53" t="s">
        <v>38</v>
      </c>
      <c r="K69" s="53" t="s">
        <v>161</v>
      </c>
      <c r="L69" s="53">
        <v>2</v>
      </c>
      <c r="M69" s="76"/>
      <c r="N69" s="53">
        <v>5</v>
      </c>
      <c r="O69" s="53">
        <v>0.35</v>
      </c>
      <c r="P69" s="53">
        <v>0.4</v>
      </c>
      <c r="Q69" s="75">
        <f t="shared" si="3"/>
        <v>0.375</v>
      </c>
      <c r="R69" s="53">
        <v>12.5</v>
      </c>
      <c r="S69" s="53">
        <v>117</v>
      </c>
      <c r="T69" s="16">
        <f t="shared" si="4"/>
        <v>30</v>
      </c>
      <c r="U69" s="53">
        <v>429</v>
      </c>
      <c r="V69" s="16">
        <f t="shared" si="5"/>
        <v>2574</v>
      </c>
      <c r="W69" s="53">
        <v>2</v>
      </c>
      <c r="X69" s="53" t="s">
        <v>46</v>
      </c>
      <c r="Y69" s="53" t="s">
        <v>102</v>
      </c>
      <c r="Z69" s="53" t="s">
        <v>69</v>
      </c>
      <c r="AA69" s="53" t="s">
        <v>78</v>
      </c>
      <c r="AB69" s="53" t="s">
        <v>158</v>
      </c>
      <c r="AC69" s="76"/>
      <c r="AD69" s="76"/>
      <c r="AE69" s="76"/>
      <c r="AF69" s="76"/>
      <c r="AG69" s="76"/>
      <c r="AH69" s="76"/>
    </row>
    <row r="70" spans="1:34" x14ac:dyDescent="0.15">
      <c r="A70" s="53" t="s">
        <v>41</v>
      </c>
      <c r="B70" s="53" t="s">
        <v>157</v>
      </c>
      <c r="C70" s="62">
        <v>2019</v>
      </c>
      <c r="D70" s="63" t="s">
        <v>189</v>
      </c>
      <c r="E70" s="53" t="s">
        <v>195</v>
      </c>
      <c r="F70" s="53" t="s">
        <v>197</v>
      </c>
      <c r="G70" s="53" t="s">
        <v>42</v>
      </c>
      <c r="H70" s="53" t="s">
        <v>164</v>
      </c>
      <c r="I70" s="53" t="s">
        <v>159</v>
      </c>
      <c r="J70" s="53" t="s">
        <v>38</v>
      </c>
      <c r="K70" s="53" t="s">
        <v>161</v>
      </c>
      <c r="L70" s="53">
        <v>3</v>
      </c>
      <c r="M70" s="76"/>
      <c r="N70" s="53">
        <v>5</v>
      </c>
      <c r="O70" s="53">
        <v>0.6</v>
      </c>
      <c r="P70" s="53">
        <v>0.55000000000000004</v>
      </c>
      <c r="Q70" s="75">
        <f t="shared" si="3"/>
        <v>0.57499999999999996</v>
      </c>
      <c r="R70" s="53">
        <v>14.1</v>
      </c>
      <c r="S70" s="53">
        <v>115</v>
      </c>
      <c r="T70" s="16">
        <f t="shared" si="4"/>
        <v>30</v>
      </c>
      <c r="U70" s="53">
        <v>429</v>
      </c>
      <c r="V70" s="16">
        <f t="shared" si="5"/>
        <v>2574</v>
      </c>
      <c r="W70" s="53">
        <v>2</v>
      </c>
      <c r="X70" s="53" t="s">
        <v>46</v>
      </c>
      <c r="Y70" s="53" t="s">
        <v>102</v>
      </c>
      <c r="Z70" s="53" t="s">
        <v>69</v>
      </c>
      <c r="AA70" s="53" t="s">
        <v>78</v>
      </c>
      <c r="AB70" s="53" t="s">
        <v>158</v>
      </c>
      <c r="AC70" s="76"/>
      <c r="AD70" s="76"/>
      <c r="AE70" s="76"/>
      <c r="AF70" s="76"/>
      <c r="AG70" s="76"/>
      <c r="AH70" s="76"/>
    </row>
    <row r="71" spans="1:34" x14ac:dyDescent="0.15">
      <c r="A71" s="53" t="s">
        <v>41</v>
      </c>
      <c r="B71" s="53" t="s">
        <v>157</v>
      </c>
      <c r="C71" s="62">
        <v>2019</v>
      </c>
      <c r="D71" s="63" t="s">
        <v>189</v>
      </c>
      <c r="E71" s="53" t="s">
        <v>195</v>
      </c>
      <c r="F71" s="53" t="s">
        <v>197</v>
      </c>
      <c r="G71" s="53" t="s">
        <v>42</v>
      </c>
      <c r="H71" s="53" t="s">
        <v>164</v>
      </c>
      <c r="I71" s="53" t="s">
        <v>159</v>
      </c>
      <c r="J71" s="53" t="s">
        <v>38</v>
      </c>
      <c r="K71" s="53" t="s">
        <v>161</v>
      </c>
      <c r="L71" s="53">
        <v>1</v>
      </c>
      <c r="N71" s="53">
        <v>8</v>
      </c>
      <c r="O71" s="53">
        <v>0.8</v>
      </c>
      <c r="P71" s="53">
        <v>0.8</v>
      </c>
      <c r="Q71" s="75">
        <f t="shared" si="3"/>
        <v>0.8</v>
      </c>
      <c r="R71" s="53">
        <v>14.2</v>
      </c>
      <c r="S71" s="53">
        <v>115</v>
      </c>
      <c r="T71" s="16">
        <f t="shared" si="4"/>
        <v>30</v>
      </c>
      <c r="U71" s="53">
        <v>1058</v>
      </c>
      <c r="V71" s="16">
        <f t="shared" si="5"/>
        <v>3967.5</v>
      </c>
      <c r="W71" s="53">
        <v>2</v>
      </c>
      <c r="X71" s="53" t="s">
        <v>46</v>
      </c>
      <c r="Y71" s="53" t="s">
        <v>102</v>
      </c>
      <c r="Z71" s="53" t="s">
        <v>69</v>
      </c>
      <c r="AA71" s="53" t="s">
        <v>78</v>
      </c>
      <c r="AB71" s="53" t="s">
        <v>158</v>
      </c>
      <c r="AC71" s="76"/>
      <c r="AD71" s="76"/>
      <c r="AE71" s="76"/>
      <c r="AF71" s="76"/>
      <c r="AG71" s="76"/>
      <c r="AH71" s="76"/>
    </row>
    <row r="72" spans="1:34" x14ac:dyDescent="0.15">
      <c r="A72" s="53" t="s">
        <v>41</v>
      </c>
      <c r="B72" s="53" t="s">
        <v>157</v>
      </c>
      <c r="C72" s="62">
        <v>2019</v>
      </c>
      <c r="D72" s="63" t="s">
        <v>189</v>
      </c>
      <c r="E72" s="53" t="s">
        <v>195</v>
      </c>
      <c r="F72" s="53" t="s">
        <v>197</v>
      </c>
      <c r="G72" s="53" t="s">
        <v>42</v>
      </c>
      <c r="H72" s="53" t="s">
        <v>164</v>
      </c>
      <c r="I72" s="53" t="s">
        <v>159</v>
      </c>
      <c r="J72" s="53" t="s">
        <v>38</v>
      </c>
      <c r="K72" s="53" t="s">
        <v>161</v>
      </c>
      <c r="L72" s="53">
        <v>2</v>
      </c>
      <c r="M72" s="76"/>
      <c r="N72" s="53">
        <v>8</v>
      </c>
      <c r="O72" s="53">
        <v>0.65</v>
      </c>
      <c r="P72" s="53">
        <v>0.75</v>
      </c>
      <c r="Q72" s="75">
        <f t="shared" si="3"/>
        <v>0.7</v>
      </c>
      <c r="R72" s="53">
        <v>13.5</v>
      </c>
      <c r="S72" s="53">
        <v>115</v>
      </c>
      <c r="T72" s="16">
        <f t="shared" si="4"/>
        <v>30</v>
      </c>
      <c r="U72" s="53">
        <v>1058</v>
      </c>
      <c r="V72" s="16">
        <f t="shared" si="5"/>
        <v>3967.5</v>
      </c>
      <c r="W72" s="53">
        <v>2</v>
      </c>
      <c r="X72" s="53" t="s">
        <v>46</v>
      </c>
      <c r="Y72" s="53" t="s">
        <v>102</v>
      </c>
      <c r="Z72" s="53" t="s">
        <v>69</v>
      </c>
      <c r="AA72" s="53" t="s">
        <v>78</v>
      </c>
      <c r="AB72" s="53" t="s">
        <v>158</v>
      </c>
      <c r="AC72" s="76"/>
      <c r="AD72" s="76"/>
      <c r="AE72" s="76"/>
      <c r="AF72" s="76"/>
      <c r="AG72" s="76"/>
      <c r="AH72" s="76"/>
    </row>
    <row r="73" spans="1:34" x14ac:dyDescent="0.15">
      <c r="A73" s="53" t="s">
        <v>41</v>
      </c>
      <c r="B73" s="53" t="s">
        <v>157</v>
      </c>
      <c r="C73" s="62">
        <v>2019</v>
      </c>
      <c r="D73" s="63" t="s">
        <v>189</v>
      </c>
      <c r="E73" s="53" t="s">
        <v>195</v>
      </c>
      <c r="F73" s="53" t="s">
        <v>197</v>
      </c>
      <c r="G73" s="53" t="s">
        <v>42</v>
      </c>
      <c r="H73" s="53" t="s">
        <v>164</v>
      </c>
      <c r="I73" s="53" t="s">
        <v>159</v>
      </c>
      <c r="J73" s="53" t="s">
        <v>38</v>
      </c>
      <c r="K73" s="53" t="s">
        <v>161</v>
      </c>
      <c r="L73" s="53">
        <v>3</v>
      </c>
      <c r="M73" s="76"/>
      <c r="N73" s="53">
        <v>8</v>
      </c>
      <c r="O73" s="53">
        <v>0.95</v>
      </c>
      <c r="P73" s="53">
        <v>0.8</v>
      </c>
      <c r="Q73" s="75">
        <f t="shared" si="3"/>
        <v>0.875</v>
      </c>
      <c r="R73" s="53">
        <v>16.5</v>
      </c>
      <c r="S73" s="53">
        <v>120</v>
      </c>
      <c r="T73" s="16">
        <f t="shared" si="4"/>
        <v>30</v>
      </c>
      <c r="U73" s="53">
        <v>1058</v>
      </c>
      <c r="V73" s="16">
        <f t="shared" si="5"/>
        <v>3967.5</v>
      </c>
      <c r="W73" s="53">
        <v>2</v>
      </c>
      <c r="X73" s="53" t="s">
        <v>46</v>
      </c>
      <c r="Y73" s="53" t="s">
        <v>102</v>
      </c>
      <c r="Z73" s="53" t="s">
        <v>69</v>
      </c>
      <c r="AA73" s="53" t="s">
        <v>78</v>
      </c>
      <c r="AB73" s="53" t="s">
        <v>158</v>
      </c>
      <c r="AC73" s="76"/>
      <c r="AD73" s="76"/>
      <c r="AE73" s="76"/>
      <c r="AF73" s="76"/>
      <c r="AG73" s="76"/>
      <c r="AH73" s="76"/>
    </row>
    <row r="74" spans="1:34" x14ac:dyDescent="0.15">
      <c r="A74" s="53" t="s">
        <v>41</v>
      </c>
      <c r="B74" s="53" t="s">
        <v>157</v>
      </c>
      <c r="C74" s="62">
        <v>2019</v>
      </c>
      <c r="D74" s="63" t="s">
        <v>189</v>
      </c>
      <c r="E74" s="53" t="s">
        <v>195</v>
      </c>
      <c r="F74" s="53" t="s">
        <v>197</v>
      </c>
      <c r="G74" s="53" t="s">
        <v>42</v>
      </c>
      <c r="H74" s="53" t="s">
        <v>160</v>
      </c>
      <c r="I74" s="53" t="s">
        <v>159</v>
      </c>
      <c r="J74" s="53" t="s">
        <v>38</v>
      </c>
      <c r="K74" s="53" t="s">
        <v>161</v>
      </c>
      <c r="L74" s="53">
        <v>1</v>
      </c>
      <c r="N74" s="53">
        <v>1</v>
      </c>
      <c r="O74" s="53">
        <v>1</v>
      </c>
      <c r="P74" s="53">
        <v>0.85</v>
      </c>
      <c r="Q74" s="75">
        <f t="shared" si="3"/>
        <v>0.92500000000000004</v>
      </c>
      <c r="R74" s="53">
        <v>15</v>
      </c>
      <c r="S74" s="53">
        <v>124</v>
      </c>
      <c r="T74" s="16">
        <f t="shared" si="4"/>
        <v>27</v>
      </c>
      <c r="U74" s="53">
        <v>170</v>
      </c>
      <c r="V74" s="16">
        <f t="shared" si="5"/>
        <v>4590</v>
      </c>
      <c r="W74" s="53">
        <v>1</v>
      </c>
      <c r="X74" s="53" t="s">
        <v>46</v>
      </c>
      <c r="Y74" s="53" t="s">
        <v>102</v>
      </c>
      <c r="Z74" s="53" t="s">
        <v>69</v>
      </c>
      <c r="AA74" s="53" t="s">
        <v>78</v>
      </c>
      <c r="AB74" s="53" t="s">
        <v>158</v>
      </c>
      <c r="AC74" s="76"/>
      <c r="AD74" s="76"/>
      <c r="AE74" s="76"/>
      <c r="AF74" s="76"/>
      <c r="AG74" s="76"/>
      <c r="AH74" s="76"/>
    </row>
    <row r="75" spans="1:34" x14ac:dyDescent="0.15">
      <c r="A75" s="53" t="s">
        <v>41</v>
      </c>
      <c r="B75" s="53" t="s">
        <v>157</v>
      </c>
      <c r="C75" s="62">
        <v>2019</v>
      </c>
      <c r="D75" s="63" t="s">
        <v>189</v>
      </c>
      <c r="E75" s="53" t="s">
        <v>195</v>
      </c>
      <c r="F75" s="53" t="s">
        <v>197</v>
      </c>
      <c r="G75" s="53" t="s">
        <v>42</v>
      </c>
      <c r="H75" s="53" t="s">
        <v>160</v>
      </c>
      <c r="I75" s="53" t="s">
        <v>159</v>
      </c>
      <c r="J75" s="53" t="s">
        <v>38</v>
      </c>
      <c r="K75" s="53" t="s">
        <v>161</v>
      </c>
      <c r="L75" s="53">
        <v>2</v>
      </c>
      <c r="M75" s="76"/>
      <c r="N75" s="53">
        <v>1</v>
      </c>
      <c r="O75" s="53">
        <v>0.85</v>
      </c>
      <c r="P75" s="53">
        <v>0.9</v>
      </c>
      <c r="Q75" s="75">
        <f t="shared" si="3"/>
        <v>0.875</v>
      </c>
      <c r="R75" s="53">
        <v>12.4</v>
      </c>
      <c r="S75" s="53">
        <v>123</v>
      </c>
      <c r="T75" s="16">
        <f t="shared" si="4"/>
        <v>27</v>
      </c>
      <c r="U75" s="53">
        <v>170</v>
      </c>
      <c r="V75" s="16">
        <f t="shared" si="5"/>
        <v>4590</v>
      </c>
      <c r="W75" s="53">
        <v>1</v>
      </c>
      <c r="X75" s="53" t="s">
        <v>46</v>
      </c>
      <c r="Y75" s="53" t="s">
        <v>102</v>
      </c>
      <c r="Z75" s="53" t="s">
        <v>69</v>
      </c>
      <c r="AA75" s="53" t="s">
        <v>78</v>
      </c>
      <c r="AB75" s="53" t="s">
        <v>158</v>
      </c>
      <c r="AC75" s="76"/>
      <c r="AD75" s="76"/>
      <c r="AE75" s="76"/>
      <c r="AF75" s="76"/>
      <c r="AG75" s="76"/>
      <c r="AH75" s="76"/>
    </row>
    <row r="76" spans="1:34" x14ac:dyDescent="0.15">
      <c r="A76" s="53" t="s">
        <v>41</v>
      </c>
      <c r="B76" s="53" t="s">
        <v>157</v>
      </c>
      <c r="C76" s="62">
        <v>2019</v>
      </c>
      <c r="D76" s="63" t="s">
        <v>189</v>
      </c>
      <c r="E76" s="53" t="s">
        <v>195</v>
      </c>
      <c r="F76" s="53" t="s">
        <v>197</v>
      </c>
      <c r="G76" s="53" t="s">
        <v>42</v>
      </c>
      <c r="H76" s="53" t="s">
        <v>160</v>
      </c>
      <c r="I76" s="53" t="s">
        <v>159</v>
      </c>
      <c r="J76" s="53" t="s">
        <v>38</v>
      </c>
      <c r="K76" s="53" t="s">
        <v>161</v>
      </c>
      <c r="L76" s="53">
        <v>3</v>
      </c>
      <c r="M76" s="76"/>
      <c r="N76" s="53">
        <v>1</v>
      </c>
      <c r="O76" s="53">
        <v>0.65</v>
      </c>
      <c r="P76" s="53">
        <v>0.75</v>
      </c>
      <c r="Q76" s="75">
        <f t="shared" si="3"/>
        <v>0.7</v>
      </c>
      <c r="R76" s="53">
        <v>16.2</v>
      </c>
      <c r="S76" s="53">
        <v>125</v>
      </c>
      <c r="T76" s="16">
        <f t="shared" si="4"/>
        <v>27</v>
      </c>
      <c r="U76" s="53">
        <v>170</v>
      </c>
      <c r="V76" s="16">
        <f t="shared" si="5"/>
        <v>4590</v>
      </c>
      <c r="W76" s="53">
        <v>1</v>
      </c>
      <c r="X76" s="53" t="s">
        <v>46</v>
      </c>
      <c r="Y76" s="53" t="s">
        <v>102</v>
      </c>
      <c r="Z76" s="53" t="s">
        <v>69</v>
      </c>
      <c r="AA76" s="53" t="s">
        <v>78</v>
      </c>
      <c r="AB76" s="53" t="s">
        <v>158</v>
      </c>
      <c r="AC76" s="76"/>
      <c r="AD76" s="76"/>
      <c r="AE76" s="76"/>
      <c r="AF76" s="76"/>
      <c r="AG76" s="76"/>
      <c r="AH76" s="76"/>
    </row>
    <row r="77" spans="1:34" x14ac:dyDescent="0.15">
      <c r="A77" s="53" t="s">
        <v>41</v>
      </c>
      <c r="B77" s="53" t="s">
        <v>157</v>
      </c>
      <c r="C77" s="62">
        <v>2019</v>
      </c>
      <c r="D77" s="63" t="s">
        <v>189</v>
      </c>
      <c r="E77" s="53" t="s">
        <v>195</v>
      </c>
      <c r="F77" s="53" t="s">
        <v>197</v>
      </c>
      <c r="G77" s="53" t="s">
        <v>42</v>
      </c>
      <c r="H77" s="53" t="s">
        <v>160</v>
      </c>
      <c r="I77" s="53" t="s">
        <v>159</v>
      </c>
      <c r="J77" s="53" t="s">
        <v>38</v>
      </c>
      <c r="K77" s="53" t="s">
        <v>161</v>
      </c>
      <c r="L77" s="53">
        <v>1</v>
      </c>
      <c r="N77" s="53">
        <v>5</v>
      </c>
      <c r="O77" s="53">
        <v>0.55000000000000004</v>
      </c>
      <c r="P77" s="53">
        <v>0.65</v>
      </c>
      <c r="Q77" s="75">
        <f t="shared" si="3"/>
        <v>0.60000000000000009</v>
      </c>
      <c r="R77" s="53">
        <v>15.2</v>
      </c>
      <c r="S77" s="53">
        <v>101</v>
      </c>
      <c r="T77" s="16">
        <f t="shared" si="4"/>
        <v>33</v>
      </c>
      <c r="U77" s="53">
        <v>538</v>
      </c>
      <c r="V77" s="16">
        <f t="shared" si="5"/>
        <v>3550.7999999999997</v>
      </c>
      <c r="W77" s="53">
        <v>2</v>
      </c>
      <c r="X77" s="53" t="s">
        <v>46</v>
      </c>
      <c r="Y77" s="53" t="s">
        <v>102</v>
      </c>
      <c r="Z77" s="53" t="s">
        <v>69</v>
      </c>
      <c r="AA77" s="53" t="s">
        <v>78</v>
      </c>
      <c r="AB77" s="53" t="s">
        <v>158</v>
      </c>
      <c r="AC77" s="76"/>
      <c r="AD77" s="76"/>
      <c r="AE77" s="76"/>
      <c r="AF77" s="76"/>
      <c r="AG77" s="76"/>
      <c r="AH77" s="76"/>
    </row>
    <row r="78" spans="1:34" x14ac:dyDescent="0.15">
      <c r="A78" s="53" t="s">
        <v>41</v>
      </c>
      <c r="B78" s="53" t="s">
        <v>157</v>
      </c>
      <c r="C78" s="62">
        <v>2019</v>
      </c>
      <c r="D78" s="63" t="s">
        <v>189</v>
      </c>
      <c r="E78" s="53" t="s">
        <v>195</v>
      </c>
      <c r="F78" s="53" t="s">
        <v>197</v>
      </c>
      <c r="G78" s="53" t="s">
        <v>42</v>
      </c>
      <c r="H78" s="53" t="s">
        <v>160</v>
      </c>
      <c r="I78" s="53" t="s">
        <v>159</v>
      </c>
      <c r="J78" s="53" t="s">
        <v>38</v>
      </c>
      <c r="K78" s="53" t="s">
        <v>161</v>
      </c>
      <c r="L78" s="53">
        <v>2</v>
      </c>
      <c r="M78" s="76"/>
      <c r="N78" s="53">
        <v>5</v>
      </c>
      <c r="O78" s="53">
        <v>0.65</v>
      </c>
      <c r="P78" s="53">
        <v>0.5</v>
      </c>
      <c r="Q78" s="75">
        <f t="shared" si="3"/>
        <v>0.57499999999999996</v>
      </c>
      <c r="R78" s="53">
        <v>15.8</v>
      </c>
      <c r="S78" s="53">
        <v>102</v>
      </c>
      <c r="T78" s="16">
        <f t="shared" si="4"/>
        <v>33</v>
      </c>
      <c r="U78" s="53">
        <v>538</v>
      </c>
      <c r="V78" s="16">
        <f t="shared" si="5"/>
        <v>3550.7999999999997</v>
      </c>
      <c r="W78" s="53">
        <v>2</v>
      </c>
      <c r="X78" s="53" t="s">
        <v>46</v>
      </c>
      <c r="Y78" s="53" t="s">
        <v>102</v>
      </c>
      <c r="Z78" s="53" t="s">
        <v>69</v>
      </c>
      <c r="AA78" s="53" t="s">
        <v>78</v>
      </c>
      <c r="AB78" s="53" t="s">
        <v>158</v>
      </c>
      <c r="AC78" s="76"/>
      <c r="AD78" s="76"/>
      <c r="AE78" s="76"/>
      <c r="AF78" s="76"/>
      <c r="AG78" s="76"/>
      <c r="AH78" s="76"/>
    </row>
    <row r="79" spans="1:34" x14ac:dyDescent="0.15">
      <c r="A79" s="53" t="s">
        <v>41</v>
      </c>
      <c r="B79" s="53" t="s">
        <v>157</v>
      </c>
      <c r="C79" s="62">
        <v>2019</v>
      </c>
      <c r="D79" s="63" t="s">
        <v>189</v>
      </c>
      <c r="E79" s="53" t="s">
        <v>195</v>
      </c>
      <c r="F79" s="53" t="s">
        <v>197</v>
      </c>
      <c r="G79" s="53" t="s">
        <v>42</v>
      </c>
      <c r="H79" s="53" t="s">
        <v>160</v>
      </c>
      <c r="I79" s="53" t="s">
        <v>159</v>
      </c>
      <c r="J79" s="53" t="s">
        <v>38</v>
      </c>
      <c r="K79" s="53" t="s">
        <v>161</v>
      </c>
      <c r="L79" s="53">
        <v>3</v>
      </c>
      <c r="M79" s="76"/>
      <c r="N79" s="53">
        <v>5</v>
      </c>
      <c r="O79" s="53">
        <v>0.35</v>
      </c>
      <c r="P79" s="53">
        <v>0.4</v>
      </c>
      <c r="Q79" s="75">
        <f t="shared" si="3"/>
        <v>0.375</v>
      </c>
      <c r="R79" s="53">
        <v>13.5</v>
      </c>
      <c r="S79" s="53">
        <v>100</v>
      </c>
      <c r="T79" s="16">
        <f t="shared" si="4"/>
        <v>33</v>
      </c>
      <c r="U79" s="53">
        <v>538</v>
      </c>
      <c r="V79" s="16">
        <f t="shared" si="5"/>
        <v>3550.7999999999997</v>
      </c>
      <c r="W79" s="53">
        <v>2</v>
      </c>
      <c r="X79" s="53" t="s">
        <v>46</v>
      </c>
      <c r="Y79" s="53" t="s">
        <v>102</v>
      </c>
      <c r="Z79" s="53" t="s">
        <v>69</v>
      </c>
      <c r="AA79" s="53" t="s">
        <v>78</v>
      </c>
      <c r="AB79" s="53" t="s">
        <v>158</v>
      </c>
      <c r="AC79" s="76"/>
      <c r="AD79" s="76"/>
      <c r="AE79" s="76"/>
      <c r="AF79" s="76"/>
      <c r="AG79" s="76"/>
      <c r="AH79" s="76"/>
    </row>
    <row r="80" spans="1:34" x14ac:dyDescent="0.15">
      <c r="A80" s="53" t="s">
        <v>41</v>
      </c>
      <c r="B80" s="53" t="s">
        <v>157</v>
      </c>
      <c r="C80" s="62">
        <v>2019</v>
      </c>
      <c r="D80" s="63" t="s">
        <v>189</v>
      </c>
      <c r="E80" s="53" t="s">
        <v>195</v>
      </c>
      <c r="F80" s="53" t="s">
        <v>197</v>
      </c>
      <c r="G80" s="53" t="s">
        <v>42</v>
      </c>
      <c r="H80" s="53" t="s">
        <v>160</v>
      </c>
      <c r="I80" s="53" t="s">
        <v>159</v>
      </c>
      <c r="J80" s="53" t="s">
        <v>38</v>
      </c>
      <c r="K80" s="53" t="s">
        <v>161</v>
      </c>
      <c r="L80" s="53">
        <v>1</v>
      </c>
      <c r="N80" s="53">
        <v>7</v>
      </c>
      <c r="O80" s="53">
        <v>1</v>
      </c>
      <c r="P80" s="53">
        <v>0.95</v>
      </c>
      <c r="Q80" s="75">
        <f t="shared" si="3"/>
        <v>0.97499999999999998</v>
      </c>
      <c r="R80" s="53">
        <v>13</v>
      </c>
      <c r="S80" s="53">
        <v>100</v>
      </c>
      <c r="T80" s="16">
        <f t="shared" si="4"/>
        <v>33</v>
      </c>
      <c r="U80" s="53">
        <v>1058</v>
      </c>
      <c r="V80" s="16">
        <f t="shared" si="5"/>
        <v>4987.7142857142853</v>
      </c>
      <c r="W80" s="53">
        <v>2</v>
      </c>
      <c r="X80" s="53" t="s">
        <v>46</v>
      </c>
      <c r="Y80" s="53" t="s">
        <v>102</v>
      </c>
      <c r="Z80" s="53" t="s">
        <v>69</v>
      </c>
      <c r="AA80" s="53" t="s">
        <v>78</v>
      </c>
      <c r="AB80" s="53" t="s">
        <v>158</v>
      </c>
      <c r="AC80" s="76"/>
      <c r="AD80" s="76"/>
      <c r="AE80" s="76"/>
      <c r="AF80" s="76"/>
      <c r="AG80" s="76"/>
      <c r="AH80" s="76"/>
    </row>
    <row r="81" spans="1:34" x14ac:dyDescent="0.15">
      <c r="A81" s="53" t="s">
        <v>41</v>
      </c>
      <c r="B81" s="53" t="s">
        <v>157</v>
      </c>
      <c r="C81" s="62">
        <v>2019</v>
      </c>
      <c r="D81" s="63" t="s">
        <v>189</v>
      </c>
      <c r="E81" s="53" t="s">
        <v>195</v>
      </c>
      <c r="F81" s="53" t="s">
        <v>197</v>
      </c>
      <c r="G81" s="53" t="s">
        <v>42</v>
      </c>
      <c r="H81" s="53" t="s">
        <v>160</v>
      </c>
      <c r="I81" s="53" t="s">
        <v>159</v>
      </c>
      <c r="J81" s="53" t="s">
        <v>38</v>
      </c>
      <c r="K81" s="53" t="s">
        <v>161</v>
      </c>
      <c r="L81" s="53">
        <v>2</v>
      </c>
      <c r="M81" s="76"/>
      <c r="N81" s="53">
        <v>7</v>
      </c>
      <c r="O81" s="53">
        <v>1.2</v>
      </c>
      <c r="P81" s="53">
        <v>1</v>
      </c>
      <c r="Q81" s="75">
        <f t="shared" si="3"/>
        <v>1.1000000000000001</v>
      </c>
      <c r="R81" s="53">
        <v>12.8</v>
      </c>
      <c r="S81" s="53">
        <v>95</v>
      </c>
      <c r="T81" s="16">
        <f t="shared" si="4"/>
        <v>36</v>
      </c>
      <c r="U81" s="53">
        <v>1058</v>
      </c>
      <c r="V81" s="16">
        <f t="shared" si="5"/>
        <v>5441.1428571428569</v>
      </c>
      <c r="W81" s="53">
        <v>2</v>
      </c>
      <c r="X81" s="53" t="s">
        <v>46</v>
      </c>
      <c r="Y81" s="53" t="s">
        <v>102</v>
      </c>
      <c r="Z81" s="53" t="s">
        <v>69</v>
      </c>
      <c r="AA81" s="53" t="s">
        <v>78</v>
      </c>
      <c r="AB81" s="53" t="s">
        <v>158</v>
      </c>
      <c r="AC81" s="76"/>
      <c r="AD81" s="76"/>
      <c r="AE81" s="76"/>
      <c r="AF81" s="76"/>
      <c r="AG81" s="76"/>
      <c r="AH81" s="76"/>
    </row>
    <row r="82" spans="1:34" x14ac:dyDescent="0.15">
      <c r="A82" s="53" t="s">
        <v>41</v>
      </c>
      <c r="B82" s="53" t="s">
        <v>157</v>
      </c>
      <c r="C82" s="62">
        <v>2019</v>
      </c>
      <c r="D82" s="63" t="s">
        <v>189</v>
      </c>
      <c r="E82" s="53" t="s">
        <v>195</v>
      </c>
      <c r="F82" s="53" t="s">
        <v>197</v>
      </c>
      <c r="G82" s="53" t="s">
        <v>42</v>
      </c>
      <c r="H82" s="53" t="s">
        <v>160</v>
      </c>
      <c r="I82" s="53" t="s">
        <v>159</v>
      </c>
      <c r="J82" s="53" t="s">
        <v>38</v>
      </c>
      <c r="K82" s="53" t="s">
        <v>161</v>
      </c>
      <c r="L82" s="53">
        <v>3</v>
      </c>
      <c r="M82" s="76"/>
      <c r="N82" s="53">
        <v>7</v>
      </c>
      <c r="O82" s="53">
        <v>1.05</v>
      </c>
      <c r="P82" s="53">
        <v>1.1499999999999999</v>
      </c>
      <c r="Q82" s="75">
        <f t="shared" si="3"/>
        <v>1.1000000000000001</v>
      </c>
      <c r="R82" s="53">
        <v>14.7</v>
      </c>
      <c r="S82" s="53">
        <v>102</v>
      </c>
      <c r="T82" s="16">
        <f t="shared" si="4"/>
        <v>33</v>
      </c>
      <c r="U82" s="53">
        <v>1058</v>
      </c>
      <c r="V82" s="16">
        <f t="shared" si="5"/>
        <v>4987.7142857142853</v>
      </c>
      <c r="W82" s="53">
        <v>2</v>
      </c>
      <c r="X82" s="53" t="s">
        <v>46</v>
      </c>
      <c r="Y82" s="53" t="s">
        <v>102</v>
      </c>
      <c r="Z82" s="53" t="s">
        <v>69</v>
      </c>
      <c r="AA82" s="53" t="s">
        <v>78</v>
      </c>
      <c r="AB82" s="53" t="s">
        <v>158</v>
      </c>
      <c r="AC82" s="76"/>
      <c r="AD82" s="76"/>
      <c r="AE82" s="76"/>
      <c r="AF82" s="76"/>
      <c r="AG82" s="76"/>
      <c r="AH82" s="76"/>
    </row>
    <row r="83" spans="1:34" x14ac:dyDescent="0.15">
      <c r="A83" s="53" t="s">
        <v>41</v>
      </c>
      <c r="B83" s="53" t="s">
        <v>157</v>
      </c>
      <c r="C83" s="62">
        <v>2019</v>
      </c>
      <c r="D83" s="63" t="s">
        <v>189</v>
      </c>
      <c r="E83" s="53" t="s">
        <v>199</v>
      </c>
      <c r="F83" s="53" t="s">
        <v>197</v>
      </c>
      <c r="G83" s="53" t="s">
        <v>42</v>
      </c>
      <c r="H83" s="53" t="s">
        <v>160</v>
      </c>
      <c r="I83" s="53" t="s">
        <v>159</v>
      </c>
      <c r="J83" s="53" t="s">
        <v>38</v>
      </c>
      <c r="K83" s="53" t="s">
        <v>161</v>
      </c>
      <c r="L83" s="53">
        <v>1</v>
      </c>
      <c r="N83" s="53">
        <v>1</v>
      </c>
      <c r="O83" s="53">
        <v>0.25</v>
      </c>
      <c r="P83" s="53">
        <v>0.25</v>
      </c>
      <c r="Q83" s="72">
        <f t="shared" si="3"/>
        <v>0.25</v>
      </c>
      <c r="R83" s="53">
        <v>16.100000000000001</v>
      </c>
      <c r="S83" s="53">
        <v>120</v>
      </c>
      <c r="T83" s="16">
        <f t="shared" si="4"/>
        <v>30</v>
      </c>
      <c r="U83" s="53">
        <v>105</v>
      </c>
      <c r="V83" s="16">
        <f t="shared" si="5"/>
        <v>3150</v>
      </c>
      <c r="W83" s="53">
        <v>2</v>
      </c>
      <c r="X83" s="53" t="s">
        <v>46</v>
      </c>
      <c r="Y83" s="53" t="s">
        <v>69</v>
      </c>
      <c r="Z83" s="53" t="s">
        <v>84</v>
      </c>
      <c r="AA83" s="53" t="s">
        <v>90</v>
      </c>
      <c r="AB83" s="53" t="s">
        <v>158</v>
      </c>
      <c r="AC83" s="76"/>
      <c r="AD83" s="76"/>
      <c r="AE83" s="76"/>
      <c r="AF83" s="76"/>
      <c r="AG83" s="76"/>
      <c r="AH83" s="76"/>
    </row>
    <row r="84" spans="1:34" x14ac:dyDescent="0.15">
      <c r="A84" s="53" t="s">
        <v>41</v>
      </c>
      <c r="B84" s="53" t="s">
        <v>157</v>
      </c>
      <c r="C84" s="62">
        <v>2019</v>
      </c>
      <c r="D84" s="63" t="s">
        <v>189</v>
      </c>
      <c r="E84" s="53" t="s">
        <v>199</v>
      </c>
      <c r="F84" s="53" t="s">
        <v>197</v>
      </c>
      <c r="G84" s="53" t="s">
        <v>42</v>
      </c>
      <c r="H84" s="53" t="s">
        <v>160</v>
      </c>
      <c r="I84" s="53" t="s">
        <v>159</v>
      </c>
      <c r="J84" s="53" t="s">
        <v>38</v>
      </c>
      <c r="K84" s="53" t="s">
        <v>161</v>
      </c>
      <c r="L84" s="53">
        <v>2</v>
      </c>
      <c r="M84" s="76"/>
      <c r="N84" s="53">
        <v>1</v>
      </c>
      <c r="O84" s="53">
        <v>0.3</v>
      </c>
      <c r="P84" s="53">
        <v>0.4</v>
      </c>
      <c r="Q84" s="72">
        <f t="shared" si="3"/>
        <v>0.35</v>
      </c>
      <c r="R84" s="53">
        <v>14.7</v>
      </c>
      <c r="S84" s="53">
        <v>118</v>
      </c>
      <c r="T84" s="16">
        <f t="shared" si="4"/>
        <v>30</v>
      </c>
      <c r="U84" s="53">
        <v>105</v>
      </c>
      <c r="V84" s="16">
        <f t="shared" si="5"/>
        <v>3150</v>
      </c>
      <c r="W84" s="53">
        <v>2</v>
      </c>
      <c r="X84" s="53" t="s">
        <v>46</v>
      </c>
      <c r="Y84" s="53" t="s">
        <v>69</v>
      </c>
      <c r="Z84" s="53" t="s">
        <v>84</v>
      </c>
      <c r="AA84" s="53" t="s">
        <v>90</v>
      </c>
      <c r="AB84" s="53" t="s">
        <v>158</v>
      </c>
      <c r="AC84" s="76"/>
      <c r="AD84" s="76"/>
      <c r="AE84" s="76"/>
      <c r="AF84" s="76"/>
      <c r="AG84" s="76"/>
      <c r="AH84" s="76"/>
    </row>
    <row r="85" spans="1:34" x14ac:dyDescent="0.15">
      <c r="A85" s="53" t="s">
        <v>41</v>
      </c>
      <c r="B85" s="53" t="s">
        <v>157</v>
      </c>
      <c r="C85" s="62">
        <v>2019</v>
      </c>
      <c r="D85" s="63" t="s">
        <v>189</v>
      </c>
      <c r="E85" s="53" t="s">
        <v>199</v>
      </c>
      <c r="F85" s="53" t="s">
        <v>197</v>
      </c>
      <c r="G85" s="53" t="s">
        <v>42</v>
      </c>
      <c r="H85" s="53" t="s">
        <v>160</v>
      </c>
      <c r="I85" s="53" t="s">
        <v>159</v>
      </c>
      <c r="J85" s="53" t="s">
        <v>38</v>
      </c>
      <c r="K85" s="53" t="s">
        <v>161</v>
      </c>
      <c r="L85" s="53">
        <v>3</v>
      </c>
      <c r="M85" s="76"/>
      <c r="N85" s="53">
        <v>1</v>
      </c>
      <c r="O85" s="53">
        <v>0.3</v>
      </c>
      <c r="P85" s="53">
        <v>0.25</v>
      </c>
      <c r="Q85" s="72">
        <f t="shared" si="3"/>
        <v>0.27500000000000002</v>
      </c>
      <c r="R85" s="53">
        <v>15.4</v>
      </c>
      <c r="S85" s="53">
        <v>115</v>
      </c>
      <c r="T85" s="16">
        <f t="shared" si="4"/>
        <v>30</v>
      </c>
      <c r="U85" s="53">
        <v>105</v>
      </c>
      <c r="V85" s="38">
        <f t="shared" si="5"/>
        <v>3150</v>
      </c>
      <c r="W85" s="53">
        <v>2</v>
      </c>
      <c r="X85" s="53" t="s">
        <v>46</v>
      </c>
      <c r="Y85" s="53" t="s">
        <v>69</v>
      </c>
      <c r="Z85" s="53" t="s">
        <v>84</v>
      </c>
      <c r="AA85" s="53" t="s">
        <v>90</v>
      </c>
      <c r="AB85" s="53" t="s">
        <v>158</v>
      </c>
      <c r="AC85" s="76"/>
      <c r="AD85" s="76"/>
      <c r="AE85" s="76"/>
      <c r="AF85" s="76"/>
      <c r="AG85" s="76"/>
      <c r="AH85" s="76"/>
    </row>
    <row r="86" spans="1:34" x14ac:dyDescent="0.15">
      <c r="A86" s="53" t="s">
        <v>41</v>
      </c>
      <c r="B86" s="53" t="s">
        <v>157</v>
      </c>
      <c r="C86" s="62">
        <v>2019</v>
      </c>
      <c r="D86" s="63" t="s">
        <v>189</v>
      </c>
      <c r="E86" s="53" t="s">
        <v>199</v>
      </c>
      <c r="F86" s="53" t="s">
        <v>197</v>
      </c>
      <c r="G86" s="53" t="s">
        <v>42</v>
      </c>
      <c r="H86" s="53" t="s">
        <v>160</v>
      </c>
      <c r="I86" s="53" t="s">
        <v>159</v>
      </c>
      <c r="J86" s="53" t="s">
        <v>38</v>
      </c>
      <c r="K86" s="53" t="s">
        <v>161</v>
      </c>
      <c r="L86" s="53">
        <v>1</v>
      </c>
      <c r="N86" s="53">
        <v>5</v>
      </c>
      <c r="O86" s="53">
        <v>1</v>
      </c>
      <c r="P86" s="53">
        <v>1</v>
      </c>
      <c r="Q86" s="72">
        <f t="shared" si="3"/>
        <v>1</v>
      </c>
      <c r="R86" s="53">
        <v>12.7</v>
      </c>
      <c r="S86" s="53">
        <v>100</v>
      </c>
      <c r="T86" s="16">
        <f t="shared" si="4"/>
        <v>33</v>
      </c>
      <c r="U86" s="53">
        <v>537</v>
      </c>
      <c r="V86" s="16">
        <f t="shared" si="5"/>
        <v>3544.2000000000003</v>
      </c>
      <c r="W86" s="53">
        <v>2</v>
      </c>
      <c r="X86" s="53" t="s">
        <v>46</v>
      </c>
      <c r="Y86" s="53" t="s">
        <v>69</v>
      </c>
      <c r="Z86" s="53" t="s">
        <v>84</v>
      </c>
      <c r="AA86" s="53" t="s">
        <v>90</v>
      </c>
      <c r="AB86" s="53" t="s">
        <v>158</v>
      </c>
      <c r="AC86" s="76"/>
      <c r="AD86" s="76"/>
      <c r="AE86" s="76"/>
      <c r="AF86" s="76"/>
      <c r="AG86" s="76"/>
      <c r="AH86" s="76"/>
    </row>
    <row r="87" spans="1:34" x14ac:dyDescent="0.15">
      <c r="A87" s="53" t="s">
        <v>41</v>
      </c>
      <c r="B87" s="53" t="s">
        <v>157</v>
      </c>
      <c r="C87" s="62">
        <v>2019</v>
      </c>
      <c r="D87" s="63" t="s">
        <v>189</v>
      </c>
      <c r="E87" s="53" t="s">
        <v>199</v>
      </c>
      <c r="F87" s="53" t="s">
        <v>197</v>
      </c>
      <c r="G87" s="53" t="s">
        <v>42</v>
      </c>
      <c r="H87" s="53" t="s">
        <v>160</v>
      </c>
      <c r="I87" s="53" t="s">
        <v>159</v>
      </c>
      <c r="J87" s="53" t="s">
        <v>38</v>
      </c>
      <c r="K87" s="53" t="s">
        <v>161</v>
      </c>
      <c r="L87" s="53">
        <v>2</v>
      </c>
      <c r="M87" s="76"/>
      <c r="N87" s="53">
        <v>5</v>
      </c>
      <c r="O87" s="53">
        <v>0.95</v>
      </c>
      <c r="P87" s="53">
        <v>0.9</v>
      </c>
      <c r="Q87" s="72">
        <f t="shared" si="3"/>
        <v>0.92500000000000004</v>
      </c>
      <c r="R87" s="53">
        <v>15.8</v>
      </c>
      <c r="S87" s="53">
        <v>101</v>
      </c>
      <c r="T87" s="16">
        <f t="shared" si="4"/>
        <v>33</v>
      </c>
      <c r="U87" s="53">
        <v>537</v>
      </c>
      <c r="V87" s="16">
        <f t="shared" si="5"/>
        <v>3544.2000000000003</v>
      </c>
      <c r="W87" s="53">
        <v>2</v>
      </c>
      <c r="X87" s="53" t="s">
        <v>46</v>
      </c>
      <c r="Y87" s="53" t="s">
        <v>69</v>
      </c>
      <c r="Z87" s="53" t="s">
        <v>84</v>
      </c>
      <c r="AA87" s="53" t="s">
        <v>90</v>
      </c>
      <c r="AB87" s="53" t="s">
        <v>158</v>
      </c>
      <c r="AC87" s="76"/>
      <c r="AD87" s="76"/>
      <c r="AE87" s="76"/>
      <c r="AF87" s="76"/>
      <c r="AG87" s="76"/>
      <c r="AH87" s="76"/>
    </row>
    <row r="88" spans="1:34" x14ac:dyDescent="0.15">
      <c r="A88" s="53" t="s">
        <v>41</v>
      </c>
      <c r="B88" s="53" t="s">
        <v>157</v>
      </c>
      <c r="C88" s="62">
        <v>2019</v>
      </c>
      <c r="D88" s="63" t="s">
        <v>189</v>
      </c>
      <c r="E88" s="53" t="s">
        <v>199</v>
      </c>
      <c r="F88" s="53" t="s">
        <v>197</v>
      </c>
      <c r="G88" s="53" t="s">
        <v>42</v>
      </c>
      <c r="H88" s="53" t="s">
        <v>160</v>
      </c>
      <c r="I88" s="53" t="s">
        <v>159</v>
      </c>
      <c r="J88" s="53" t="s">
        <v>38</v>
      </c>
      <c r="K88" s="53" t="s">
        <v>161</v>
      </c>
      <c r="L88" s="53">
        <v>3</v>
      </c>
      <c r="M88" s="76"/>
      <c r="N88" s="53">
        <v>5</v>
      </c>
      <c r="O88" s="53">
        <v>0.9</v>
      </c>
      <c r="P88" s="53">
        <v>1.1000000000000001</v>
      </c>
      <c r="Q88" s="72">
        <f t="shared" si="3"/>
        <v>1</v>
      </c>
      <c r="R88" s="53">
        <v>14.8</v>
      </c>
      <c r="S88" s="53">
        <v>102</v>
      </c>
      <c r="T88" s="16">
        <f t="shared" si="4"/>
        <v>33</v>
      </c>
      <c r="U88" s="53">
        <v>537</v>
      </c>
      <c r="V88" s="38">
        <f t="shared" si="5"/>
        <v>3544.2000000000003</v>
      </c>
      <c r="W88" s="53">
        <v>2</v>
      </c>
      <c r="X88" s="53" t="s">
        <v>46</v>
      </c>
      <c r="Y88" s="53" t="s">
        <v>69</v>
      </c>
      <c r="Z88" s="53" t="s">
        <v>84</v>
      </c>
      <c r="AA88" s="53" t="s">
        <v>90</v>
      </c>
      <c r="AB88" s="53" t="s">
        <v>158</v>
      </c>
      <c r="AC88" s="76"/>
      <c r="AD88" s="76"/>
      <c r="AE88" s="76"/>
      <c r="AF88" s="76"/>
      <c r="AG88" s="76"/>
      <c r="AH88" s="76"/>
    </row>
    <row r="89" spans="1:34" x14ac:dyDescent="0.15">
      <c r="A89" s="53" t="s">
        <v>41</v>
      </c>
      <c r="B89" s="53" t="s">
        <v>157</v>
      </c>
      <c r="C89" s="62">
        <v>2019</v>
      </c>
      <c r="D89" s="63" t="s">
        <v>189</v>
      </c>
      <c r="E89" s="53" t="s">
        <v>199</v>
      </c>
      <c r="F89" s="53" t="s">
        <v>197</v>
      </c>
      <c r="G89" s="53" t="s">
        <v>42</v>
      </c>
      <c r="H89" s="53" t="s">
        <v>164</v>
      </c>
      <c r="I89" s="53" t="s">
        <v>159</v>
      </c>
      <c r="J89" s="53" t="s">
        <v>38</v>
      </c>
      <c r="K89" s="53" t="s">
        <v>161</v>
      </c>
      <c r="L89" s="53">
        <v>1</v>
      </c>
      <c r="N89" s="53">
        <v>1</v>
      </c>
      <c r="O89" s="53">
        <v>0.65</v>
      </c>
      <c r="P89" s="53">
        <v>0.75</v>
      </c>
      <c r="Q89" s="72">
        <f t="shared" si="3"/>
        <v>0.7</v>
      </c>
      <c r="R89" s="53">
        <v>14.1</v>
      </c>
      <c r="S89" s="53">
        <v>123</v>
      </c>
      <c r="T89" s="16">
        <f t="shared" si="4"/>
        <v>27</v>
      </c>
      <c r="U89" s="53">
        <v>105</v>
      </c>
      <c r="V89" s="16">
        <f t="shared" si="5"/>
        <v>2835</v>
      </c>
      <c r="W89" s="53">
        <v>2</v>
      </c>
      <c r="X89" s="53" t="s">
        <v>46</v>
      </c>
      <c r="Y89" s="53" t="s">
        <v>69</v>
      </c>
      <c r="Z89" s="53" t="s">
        <v>84</v>
      </c>
      <c r="AA89" s="53" t="s">
        <v>90</v>
      </c>
      <c r="AB89" s="53" t="s">
        <v>158</v>
      </c>
      <c r="AC89" s="76"/>
      <c r="AD89" s="76"/>
      <c r="AE89" s="76"/>
      <c r="AF89" s="76"/>
      <c r="AG89" s="76"/>
      <c r="AH89" s="76"/>
    </row>
    <row r="90" spans="1:34" x14ac:dyDescent="0.15">
      <c r="A90" s="53" t="s">
        <v>41</v>
      </c>
      <c r="B90" s="53" t="s">
        <v>157</v>
      </c>
      <c r="C90" s="62">
        <v>2019</v>
      </c>
      <c r="D90" s="63" t="s">
        <v>189</v>
      </c>
      <c r="E90" s="53" t="s">
        <v>199</v>
      </c>
      <c r="F90" s="53" t="s">
        <v>197</v>
      </c>
      <c r="G90" s="53" t="s">
        <v>42</v>
      </c>
      <c r="H90" s="53" t="s">
        <v>164</v>
      </c>
      <c r="I90" s="53" t="s">
        <v>159</v>
      </c>
      <c r="J90" s="53" t="s">
        <v>38</v>
      </c>
      <c r="K90" s="53" t="s">
        <v>161</v>
      </c>
      <c r="L90" s="53">
        <v>2</v>
      </c>
      <c r="M90" s="76"/>
      <c r="N90" s="53">
        <v>1</v>
      </c>
      <c r="O90" s="53">
        <v>0.8</v>
      </c>
      <c r="P90" s="53">
        <v>0.85</v>
      </c>
      <c r="Q90" s="72">
        <f t="shared" si="3"/>
        <v>0.82499999999999996</v>
      </c>
      <c r="R90" s="53">
        <v>12.9</v>
      </c>
      <c r="S90" s="53">
        <v>124</v>
      </c>
      <c r="T90" s="16">
        <f t="shared" si="4"/>
        <v>27</v>
      </c>
      <c r="U90" s="53">
        <v>105</v>
      </c>
      <c r="V90" s="16">
        <f t="shared" si="5"/>
        <v>2835</v>
      </c>
      <c r="W90" s="53">
        <v>2</v>
      </c>
      <c r="X90" s="53" t="s">
        <v>46</v>
      </c>
      <c r="Y90" s="53" t="s">
        <v>69</v>
      </c>
      <c r="Z90" s="53" t="s">
        <v>84</v>
      </c>
      <c r="AA90" s="53" t="s">
        <v>90</v>
      </c>
      <c r="AB90" s="53" t="s">
        <v>158</v>
      </c>
      <c r="AC90" s="76"/>
      <c r="AD90" s="76"/>
      <c r="AE90" s="76"/>
      <c r="AF90" s="76"/>
      <c r="AG90" s="76"/>
      <c r="AH90" s="76"/>
    </row>
    <row r="91" spans="1:34" x14ac:dyDescent="0.15">
      <c r="A91" s="53" t="s">
        <v>41</v>
      </c>
      <c r="B91" s="53" t="s">
        <v>157</v>
      </c>
      <c r="C91" s="62">
        <v>2019</v>
      </c>
      <c r="D91" s="63" t="s">
        <v>189</v>
      </c>
      <c r="E91" s="53" t="s">
        <v>199</v>
      </c>
      <c r="F91" s="53" t="s">
        <v>197</v>
      </c>
      <c r="G91" s="53" t="s">
        <v>42</v>
      </c>
      <c r="H91" s="53" t="s">
        <v>164</v>
      </c>
      <c r="I91" s="53" t="s">
        <v>159</v>
      </c>
      <c r="J91" s="53" t="s">
        <v>38</v>
      </c>
      <c r="K91" s="53" t="s">
        <v>161</v>
      </c>
      <c r="L91" s="53">
        <v>3</v>
      </c>
      <c r="M91" s="76"/>
      <c r="N91" s="53">
        <v>1</v>
      </c>
      <c r="O91" s="53">
        <v>0.8</v>
      </c>
      <c r="P91" s="53">
        <v>0.95</v>
      </c>
      <c r="Q91" s="72">
        <f t="shared" si="3"/>
        <v>0.875</v>
      </c>
      <c r="R91" s="53">
        <v>13.2</v>
      </c>
      <c r="S91" s="53">
        <v>121</v>
      </c>
      <c r="T91" s="16">
        <f t="shared" si="4"/>
        <v>27</v>
      </c>
      <c r="U91" s="53">
        <v>105</v>
      </c>
      <c r="V91" s="16">
        <f t="shared" si="5"/>
        <v>2835</v>
      </c>
      <c r="W91" s="53">
        <v>2</v>
      </c>
      <c r="X91" s="53" t="s">
        <v>46</v>
      </c>
      <c r="Y91" s="53" t="s">
        <v>69</v>
      </c>
      <c r="Z91" s="53" t="s">
        <v>84</v>
      </c>
      <c r="AA91" s="53" t="s">
        <v>90</v>
      </c>
      <c r="AB91" s="53" t="s">
        <v>158</v>
      </c>
      <c r="AC91" s="76"/>
      <c r="AD91" s="76"/>
      <c r="AE91" s="76"/>
      <c r="AF91" s="76"/>
      <c r="AG91" s="76"/>
      <c r="AH91" s="76"/>
    </row>
    <row r="92" spans="1:34" x14ac:dyDescent="0.15">
      <c r="A92" s="53" t="s">
        <v>41</v>
      </c>
      <c r="B92" s="53" t="s">
        <v>157</v>
      </c>
      <c r="C92" s="62">
        <v>2019</v>
      </c>
      <c r="D92" s="63" t="s">
        <v>189</v>
      </c>
      <c r="E92" s="53" t="s">
        <v>199</v>
      </c>
      <c r="F92" s="53" t="s">
        <v>197</v>
      </c>
      <c r="G92" s="53" t="s">
        <v>42</v>
      </c>
      <c r="H92" s="53" t="s">
        <v>164</v>
      </c>
      <c r="I92" s="53" t="s">
        <v>159</v>
      </c>
      <c r="J92" s="53" t="s">
        <v>38</v>
      </c>
      <c r="K92" s="53" t="s">
        <v>161</v>
      </c>
      <c r="L92" s="53">
        <v>1</v>
      </c>
      <c r="N92" s="53">
        <v>6</v>
      </c>
      <c r="O92" s="53">
        <v>1</v>
      </c>
      <c r="P92" s="53">
        <v>0.95</v>
      </c>
      <c r="Q92" s="72">
        <f t="shared" si="3"/>
        <v>0.97499999999999998</v>
      </c>
      <c r="R92" s="53">
        <v>10.199999999999999</v>
      </c>
      <c r="S92" s="53">
        <v>100</v>
      </c>
      <c r="T92" s="16">
        <f t="shared" si="4"/>
        <v>33</v>
      </c>
      <c r="U92" s="53">
        <v>429</v>
      </c>
      <c r="V92" s="16">
        <f t="shared" si="5"/>
        <v>2359.5</v>
      </c>
      <c r="W92" s="53">
        <v>2</v>
      </c>
      <c r="X92" s="53" t="s">
        <v>46</v>
      </c>
      <c r="Y92" s="53" t="s">
        <v>69</v>
      </c>
      <c r="Z92" s="53" t="s">
        <v>84</v>
      </c>
      <c r="AA92" s="53" t="s">
        <v>90</v>
      </c>
      <c r="AB92" s="53" t="s">
        <v>158</v>
      </c>
      <c r="AC92" s="76"/>
      <c r="AD92" s="76"/>
      <c r="AE92" s="76"/>
      <c r="AF92" s="76"/>
      <c r="AG92" s="76"/>
      <c r="AH92" s="76"/>
    </row>
    <row r="93" spans="1:34" x14ac:dyDescent="0.15">
      <c r="A93" s="53" t="s">
        <v>41</v>
      </c>
      <c r="B93" s="53" t="s">
        <v>157</v>
      </c>
      <c r="C93" s="62">
        <v>2019</v>
      </c>
      <c r="D93" s="63" t="s">
        <v>189</v>
      </c>
      <c r="E93" s="53" t="s">
        <v>199</v>
      </c>
      <c r="F93" s="53" t="s">
        <v>197</v>
      </c>
      <c r="G93" s="53" t="s">
        <v>42</v>
      </c>
      <c r="H93" s="53" t="s">
        <v>164</v>
      </c>
      <c r="I93" s="53" t="s">
        <v>159</v>
      </c>
      <c r="J93" s="53" t="s">
        <v>38</v>
      </c>
      <c r="K93" s="53" t="s">
        <v>161</v>
      </c>
      <c r="L93" s="53">
        <v>2</v>
      </c>
      <c r="M93" s="76"/>
      <c r="N93" s="53">
        <v>6</v>
      </c>
      <c r="O93" s="53">
        <v>1.2</v>
      </c>
      <c r="P93" s="53">
        <v>1</v>
      </c>
      <c r="Q93" s="72">
        <f t="shared" si="3"/>
        <v>1.1000000000000001</v>
      </c>
      <c r="R93" s="53">
        <v>11.4</v>
      </c>
      <c r="S93" s="53">
        <v>105</v>
      </c>
      <c r="T93" s="16">
        <f t="shared" si="4"/>
        <v>33</v>
      </c>
      <c r="U93" s="53">
        <v>429</v>
      </c>
      <c r="V93" s="16">
        <f t="shared" si="5"/>
        <v>2359.5</v>
      </c>
      <c r="W93" s="53">
        <v>2</v>
      </c>
      <c r="X93" s="53" t="s">
        <v>46</v>
      </c>
      <c r="Y93" s="53" t="s">
        <v>69</v>
      </c>
      <c r="Z93" s="53" t="s">
        <v>84</v>
      </c>
      <c r="AA93" s="53" t="s">
        <v>90</v>
      </c>
      <c r="AB93" s="53" t="s">
        <v>158</v>
      </c>
      <c r="AC93" s="76"/>
      <c r="AD93" s="76"/>
      <c r="AE93" s="76"/>
      <c r="AF93" s="76"/>
      <c r="AG93" s="76"/>
      <c r="AH93" s="76"/>
    </row>
    <row r="94" spans="1:34" x14ac:dyDescent="0.15">
      <c r="A94" s="53" t="s">
        <v>41</v>
      </c>
      <c r="B94" s="53" t="s">
        <v>157</v>
      </c>
      <c r="C94" s="62">
        <v>2019</v>
      </c>
      <c r="D94" s="63" t="s">
        <v>189</v>
      </c>
      <c r="E94" s="53" t="s">
        <v>199</v>
      </c>
      <c r="F94" s="53" t="s">
        <v>197</v>
      </c>
      <c r="G94" s="53" t="s">
        <v>42</v>
      </c>
      <c r="H94" s="53" t="s">
        <v>164</v>
      </c>
      <c r="I94" s="53" t="s">
        <v>159</v>
      </c>
      <c r="J94" s="53" t="s">
        <v>38</v>
      </c>
      <c r="K94" s="53" t="s">
        <v>161</v>
      </c>
      <c r="L94" s="53">
        <v>3</v>
      </c>
      <c r="M94" s="76"/>
      <c r="N94" s="53">
        <v>6</v>
      </c>
      <c r="O94" s="53">
        <v>1.1000000000000001</v>
      </c>
      <c r="P94" s="53">
        <v>1.1499999999999999</v>
      </c>
      <c r="Q94" s="72">
        <f t="shared" si="3"/>
        <v>1.125</v>
      </c>
      <c r="R94" s="53">
        <v>13.7</v>
      </c>
      <c r="S94" s="53">
        <v>110</v>
      </c>
      <c r="T94" s="16">
        <f t="shared" si="4"/>
        <v>33</v>
      </c>
      <c r="U94" s="53">
        <v>429</v>
      </c>
      <c r="V94" s="16">
        <f t="shared" si="5"/>
        <v>2359.5</v>
      </c>
      <c r="W94" s="53">
        <v>2</v>
      </c>
      <c r="X94" s="53" t="s">
        <v>46</v>
      </c>
      <c r="Y94" s="53" t="s">
        <v>69</v>
      </c>
      <c r="Z94" s="53" t="s">
        <v>84</v>
      </c>
      <c r="AA94" s="53" t="s">
        <v>90</v>
      </c>
      <c r="AB94" s="53" t="s">
        <v>158</v>
      </c>
      <c r="AC94" s="76"/>
      <c r="AD94" s="76"/>
      <c r="AE94" s="76"/>
      <c r="AF94" s="76"/>
      <c r="AG94" s="76"/>
      <c r="AH94" s="76"/>
    </row>
    <row r="95" spans="1:34" x14ac:dyDescent="0.15">
      <c r="A95" s="53" t="s">
        <v>41</v>
      </c>
      <c r="B95" s="53" t="s">
        <v>157</v>
      </c>
      <c r="C95" s="62">
        <v>2019</v>
      </c>
      <c r="D95" s="63" t="s">
        <v>189</v>
      </c>
      <c r="E95" s="53" t="s">
        <v>202</v>
      </c>
      <c r="F95" s="53" t="s">
        <v>203</v>
      </c>
      <c r="G95" s="53" t="s">
        <v>42</v>
      </c>
      <c r="H95" s="53" t="s">
        <v>160</v>
      </c>
      <c r="I95" s="53" t="s">
        <v>159</v>
      </c>
      <c r="J95" s="53" t="s">
        <v>38</v>
      </c>
      <c r="K95" s="53" t="s">
        <v>161</v>
      </c>
      <c r="L95" s="53">
        <v>1</v>
      </c>
      <c r="N95" s="53">
        <v>1</v>
      </c>
      <c r="O95" s="53">
        <v>0.75</v>
      </c>
      <c r="P95" s="53">
        <v>0.7</v>
      </c>
      <c r="Q95" s="75">
        <f t="shared" si="3"/>
        <v>0.72499999999999998</v>
      </c>
      <c r="R95" s="53">
        <v>12.5</v>
      </c>
      <c r="S95" s="53">
        <v>124</v>
      </c>
      <c r="T95" s="16">
        <f t="shared" si="4"/>
        <v>27</v>
      </c>
      <c r="U95" s="53">
        <v>138</v>
      </c>
      <c r="V95" s="16">
        <v>3726</v>
      </c>
      <c r="W95" s="53">
        <v>2</v>
      </c>
      <c r="X95" s="53" t="s">
        <v>46</v>
      </c>
      <c r="Y95" s="53" t="s">
        <v>69</v>
      </c>
      <c r="Z95" s="53" t="s">
        <v>84</v>
      </c>
      <c r="AA95" s="53" t="s">
        <v>50</v>
      </c>
      <c r="AB95" s="53" t="s">
        <v>158</v>
      </c>
      <c r="AC95" s="76"/>
      <c r="AD95" s="76"/>
      <c r="AE95" s="76"/>
      <c r="AF95" s="76"/>
      <c r="AG95" s="76"/>
      <c r="AH95" s="76"/>
    </row>
    <row r="96" spans="1:34" x14ac:dyDescent="0.15">
      <c r="A96" s="53" t="s">
        <v>41</v>
      </c>
      <c r="B96" s="53" t="s">
        <v>157</v>
      </c>
      <c r="C96" s="62">
        <v>2019</v>
      </c>
      <c r="D96" s="63" t="s">
        <v>189</v>
      </c>
      <c r="E96" s="53" t="s">
        <v>202</v>
      </c>
      <c r="F96" s="53" t="s">
        <v>203</v>
      </c>
      <c r="G96" s="53" t="s">
        <v>42</v>
      </c>
      <c r="H96" s="53" t="s">
        <v>160</v>
      </c>
      <c r="I96" s="53" t="s">
        <v>159</v>
      </c>
      <c r="J96" s="53" t="s">
        <v>38</v>
      </c>
      <c r="K96" s="53" t="s">
        <v>161</v>
      </c>
      <c r="L96" s="53">
        <v>2</v>
      </c>
      <c r="N96" s="53">
        <v>1</v>
      </c>
      <c r="O96" s="53">
        <v>0.6</v>
      </c>
      <c r="P96" s="53">
        <v>0.65</v>
      </c>
      <c r="Q96" s="75">
        <f t="shared" si="3"/>
        <v>0.625</v>
      </c>
      <c r="R96" s="53">
        <v>15.1</v>
      </c>
      <c r="S96" s="53">
        <v>126</v>
      </c>
      <c r="T96" s="16">
        <f t="shared" si="4"/>
        <v>27</v>
      </c>
      <c r="U96" s="53">
        <v>138</v>
      </c>
      <c r="V96" s="16">
        <v>3726</v>
      </c>
      <c r="W96" s="53">
        <v>2</v>
      </c>
      <c r="X96" s="53" t="s">
        <v>46</v>
      </c>
      <c r="Y96" s="53" t="s">
        <v>69</v>
      </c>
      <c r="Z96" s="53" t="s">
        <v>84</v>
      </c>
      <c r="AA96" s="53" t="s">
        <v>50</v>
      </c>
      <c r="AB96" s="53" t="s">
        <v>158</v>
      </c>
      <c r="AC96" s="76"/>
      <c r="AD96" s="76"/>
      <c r="AE96" s="76"/>
      <c r="AF96" s="76"/>
      <c r="AG96" s="76"/>
      <c r="AH96" s="76"/>
    </row>
    <row r="97" spans="1:34" x14ac:dyDescent="0.15">
      <c r="A97" s="53" t="s">
        <v>41</v>
      </c>
      <c r="B97" s="53" t="s">
        <v>157</v>
      </c>
      <c r="C97" s="62">
        <v>2019</v>
      </c>
      <c r="D97" s="63" t="s">
        <v>189</v>
      </c>
      <c r="E97" s="53" t="s">
        <v>202</v>
      </c>
      <c r="F97" s="53" t="s">
        <v>203</v>
      </c>
      <c r="G97" s="53" t="s">
        <v>42</v>
      </c>
      <c r="H97" s="53" t="s">
        <v>160</v>
      </c>
      <c r="I97" s="53" t="s">
        <v>159</v>
      </c>
      <c r="J97" s="53" t="s">
        <v>38</v>
      </c>
      <c r="K97" s="53" t="s">
        <v>161</v>
      </c>
      <c r="L97" s="53">
        <v>3</v>
      </c>
      <c r="N97" s="53">
        <v>1</v>
      </c>
      <c r="O97" s="53">
        <v>1</v>
      </c>
      <c r="P97" s="53">
        <v>0.9</v>
      </c>
      <c r="Q97" s="75">
        <f t="shared" si="3"/>
        <v>0.95</v>
      </c>
      <c r="R97" s="53">
        <v>16.5</v>
      </c>
      <c r="S97" s="53">
        <v>125</v>
      </c>
      <c r="T97" s="16">
        <f t="shared" si="4"/>
        <v>27</v>
      </c>
      <c r="U97" s="53">
        <v>138</v>
      </c>
      <c r="V97" s="16">
        <v>3726</v>
      </c>
      <c r="W97" s="53">
        <v>2</v>
      </c>
      <c r="X97" s="53" t="s">
        <v>46</v>
      </c>
      <c r="Y97" s="53" t="s">
        <v>69</v>
      </c>
      <c r="Z97" s="53" t="s">
        <v>84</v>
      </c>
      <c r="AA97" s="53" t="s">
        <v>50</v>
      </c>
      <c r="AB97" s="53" t="s">
        <v>158</v>
      </c>
      <c r="AC97" s="76"/>
      <c r="AD97" s="76"/>
      <c r="AE97" s="76"/>
      <c r="AF97" s="76"/>
      <c r="AG97" s="76"/>
      <c r="AH97" s="76"/>
    </row>
    <row r="98" spans="1:34" x14ac:dyDescent="0.15">
      <c r="A98" s="53" t="s">
        <v>41</v>
      </c>
      <c r="B98" s="53" t="s">
        <v>157</v>
      </c>
      <c r="C98" s="62">
        <v>2019</v>
      </c>
      <c r="D98" s="63" t="s">
        <v>189</v>
      </c>
      <c r="E98" s="53" t="s">
        <v>202</v>
      </c>
      <c r="F98" s="53" t="s">
        <v>203</v>
      </c>
      <c r="G98" s="53" t="s">
        <v>42</v>
      </c>
      <c r="H98" s="53" t="s">
        <v>160</v>
      </c>
      <c r="I98" s="53" t="s">
        <v>159</v>
      </c>
      <c r="J98" s="53" t="s">
        <v>38</v>
      </c>
      <c r="K98" s="53" t="s">
        <v>161</v>
      </c>
      <c r="L98" s="53">
        <v>1</v>
      </c>
      <c r="N98" s="53">
        <v>5</v>
      </c>
      <c r="O98" s="53">
        <v>0.65</v>
      </c>
      <c r="P98" s="53">
        <v>0.6</v>
      </c>
      <c r="Q98" s="75">
        <f t="shared" si="3"/>
        <v>0.625</v>
      </c>
      <c r="R98" s="53">
        <v>14.2</v>
      </c>
      <c r="S98" s="53">
        <v>120</v>
      </c>
      <c r="T98" s="16">
        <f t="shared" si="4"/>
        <v>30</v>
      </c>
      <c r="U98" s="53">
        <v>538</v>
      </c>
      <c r="V98" s="16">
        <v>3726</v>
      </c>
      <c r="W98" s="53">
        <v>2</v>
      </c>
      <c r="X98" s="53" t="s">
        <v>46</v>
      </c>
      <c r="Y98" s="53" t="s">
        <v>69</v>
      </c>
      <c r="Z98" s="53" t="s">
        <v>84</v>
      </c>
      <c r="AA98" s="53" t="s">
        <v>50</v>
      </c>
      <c r="AB98" s="53" t="s">
        <v>158</v>
      </c>
      <c r="AC98" s="76"/>
      <c r="AD98" s="76"/>
      <c r="AE98" s="76"/>
      <c r="AF98" s="76"/>
      <c r="AG98" s="76"/>
      <c r="AH98" s="76"/>
    </row>
    <row r="99" spans="1:34" x14ac:dyDescent="0.15">
      <c r="A99" s="53" t="s">
        <v>41</v>
      </c>
      <c r="B99" s="53" t="s">
        <v>157</v>
      </c>
      <c r="C99" s="62">
        <v>2019</v>
      </c>
      <c r="D99" s="63" t="s">
        <v>189</v>
      </c>
      <c r="E99" s="53" t="s">
        <v>202</v>
      </c>
      <c r="F99" s="53" t="s">
        <v>203</v>
      </c>
      <c r="G99" s="53" t="s">
        <v>42</v>
      </c>
      <c r="H99" s="53" t="s">
        <v>160</v>
      </c>
      <c r="I99" s="53" t="s">
        <v>159</v>
      </c>
      <c r="J99" s="53" t="s">
        <v>38</v>
      </c>
      <c r="K99" s="53" t="s">
        <v>161</v>
      </c>
      <c r="L99" s="53">
        <v>2</v>
      </c>
      <c r="M99" s="76"/>
      <c r="N99" s="53">
        <v>5</v>
      </c>
      <c r="O99" s="53">
        <v>0.4</v>
      </c>
      <c r="P99" s="53">
        <v>0.6</v>
      </c>
      <c r="Q99" s="75">
        <f t="shared" si="3"/>
        <v>0.5</v>
      </c>
      <c r="R99" s="53">
        <v>14.8</v>
      </c>
      <c r="S99" s="53">
        <v>115</v>
      </c>
      <c r="T99" s="16">
        <f t="shared" si="4"/>
        <v>30</v>
      </c>
      <c r="U99" s="53">
        <v>538</v>
      </c>
      <c r="V99" s="16">
        <v>3726</v>
      </c>
      <c r="W99" s="53">
        <v>2</v>
      </c>
      <c r="X99" s="53" t="s">
        <v>46</v>
      </c>
      <c r="Y99" s="53" t="s">
        <v>69</v>
      </c>
      <c r="Z99" s="53" t="s">
        <v>84</v>
      </c>
      <c r="AA99" s="53" t="s">
        <v>50</v>
      </c>
      <c r="AB99" s="53" t="s">
        <v>158</v>
      </c>
      <c r="AC99" s="76"/>
      <c r="AD99" s="76"/>
      <c r="AE99" s="76"/>
      <c r="AF99" s="76"/>
      <c r="AG99" s="76"/>
      <c r="AH99" s="76"/>
    </row>
    <row r="100" spans="1:34" x14ac:dyDescent="0.15">
      <c r="A100" s="53" t="s">
        <v>41</v>
      </c>
      <c r="B100" s="53" t="s">
        <v>157</v>
      </c>
      <c r="C100" s="62">
        <v>2019</v>
      </c>
      <c r="D100" s="63" t="s">
        <v>189</v>
      </c>
      <c r="E100" s="53" t="s">
        <v>202</v>
      </c>
      <c r="F100" s="53" t="s">
        <v>203</v>
      </c>
      <c r="G100" s="53" t="s">
        <v>42</v>
      </c>
      <c r="H100" s="53" t="s">
        <v>160</v>
      </c>
      <c r="I100" s="53" t="s">
        <v>159</v>
      </c>
      <c r="J100" s="53" t="s">
        <v>38</v>
      </c>
      <c r="K100" s="53" t="s">
        <v>161</v>
      </c>
      <c r="L100" s="53">
        <v>3</v>
      </c>
      <c r="M100" s="76"/>
      <c r="N100" s="53">
        <v>5</v>
      </c>
      <c r="O100" s="53">
        <v>0.65</v>
      </c>
      <c r="P100" s="53">
        <v>0.65</v>
      </c>
      <c r="Q100" s="75">
        <f t="shared" si="3"/>
        <v>0.65</v>
      </c>
      <c r="R100" s="53">
        <v>15.1</v>
      </c>
      <c r="S100" s="53">
        <v>118</v>
      </c>
      <c r="T100" s="16">
        <f t="shared" si="4"/>
        <v>30</v>
      </c>
      <c r="U100" s="53">
        <v>538</v>
      </c>
      <c r="V100" s="16">
        <v>3726</v>
      </c>
      <c r="W100" s="53">
        <v>2</v>
      </c>
      <c r="X100" s="53" t="s">
        <v>46</v>
      </c>
      <c r="Y100" s="53" t="s">
        <v>69</v>
      </c>
      <c r="Z100" s="53" t="s">
        <v>84</v>
      </c>
      <c r="AA100" s="53" t="s">
        <v>50</v>
      </c>
      <c r="AB100" s="53" t="s">
        <v>158</v>
      </c>
      <c r="AC100" s="76"/>
      <c r="AD100" s="76"/>
      <c r="AE100" s="76"/>
      <c r="AF100" s="76"/>
      <c r="AG100" s="76"/>
      <c r="AH100" s="76"/>
    </row>
    <row r="101" spans="1:34" x14ac:dyDescent="0.15">
      <c r="A101" s="53" t="s">
        <v>41</v>
      </c>
      <c r="B101" s="53" t="s">
        <v>157</v>
      </c>
      <c r="C101" s="62">
        <v>2019</v>
      </c>
      <c r="D101" s="63" t="s">
        <v>189</v>
      </c>
      <c r="E101" s="53" t="s">
        <v>202</v>
      </c>
      <c r="F101" s="53" t="s">
        <v>203</v>
      </c>
      <c r="G101" s="53" t="s">
        <v>42</v>
      </c>
      <c r="H101" s="53" t="s">
        <v>160</v>
      </c>
      <c r="I101" s="53" t="s">
        <v>159</v>
      </c>
      <c r="J101" s="53" t="s">
        <v>38</v>
      </c>
      <c r="K101" s="53" t="s">
        <v>161</v>
      </c>
      <c r="L101" s="53">
        <v>1</v>
      </c>
      <c r="N101" s="53">
        <v>3</v>
      </c>
      <c r="O101" s="53">
        <v>0.65</v>
      </c>
      <c r="P101" s="53">
        <v>0.65</v>
      </c>
      <c r="Q101" s="16">
        <f t="shared" si="3"/>
        <v>0.65</v>
      </c>
      <c r="R101" s="53">
        <v>16.8</v>
      </c>
      <c r="S101" s="53">
        <v>169</v>
      </c>
      <c r="T101" s="16">
        <f t="shared" si="4"/>
        <v>22</v>
      </c>
      <c r="U101" s="53">
        <v>429</v>
      </c>
      <c r="V101" s="16">
        <f t="shared" ref="V101:V103" si="6">IF(OR(N101="",U101="",T101=""),"",U101/N101*T101)</f>
        <v>3146</v>
      </c>
      <c r="W101" s="53">
        <v>2</v>
      </c>
      <c r="X101" s="53" t="s">
        <v>46</v>
      </c>
      <c r="Y101" s="53" t="s">
        <v>69</v>
      </c>
      <c r="Z101" s="53" t="s">
        <v>84</v>
      </c>
      <c r="AA101" s="53" t="s">
        <v>50</v>
      </c>
      <c r="AB101" s="53" t="s">
        <v>158</v>
      </c>
      <c r="AC101" s="76"/>
      <c r="AD101" s="76"/>
      <c r="AE101" s="76"/>
      <c r="AF101" s="76"/>
      <c r="AG101" s="76"/>
      <c r="AH101" s="76"/>
    </row>
    <row r="102" spans="1:34" x14ac:dyDescent="0.15">
      <c r="A102" s="53" t="s">
        <v>41</v>
      </c>
      <c r="B102" s="53" t="s">
        <v>157</v>
      </c>
      <c r="C102" s="62">
        <v>2019</v>
      </c>
      <c r="D102" s="63" t="s">
        <v>189</v>
      </c>
      <c r="E102" s="53" t="s">
        <v>202</v>
      </c>
      <c r="F102" s="53" t="s">
        <v>203</v>
      </c>
      <c r="G102" s="53" t="s">
        <v>42</v>
      </c>
      <c r="H102" s="53" t="s">
        <v>160</v>
      </c>
      <c r="I102" s="53" t="s">
        <v>159</v>
      </c>
      <c r="J102" s="53" t="s">
        <v>38</v>
      </c>
      <c r="K102" s="53" t="s">
        <v>161</v>
      </c>
      <c r="L102" s="53">
        <v>2</v>
      </c>
      <c r="M102" s="76"/>
      <c r="N102" s="53">
        <v>3</v>
      </c>
      <c r="O102" s="53">
        <v>0.8</v>
      </c>
      <c r="P102" s="53">
        <v>0.55000000000000004</v>
      </c>
      <c r="Q102" s="16">
        <f t="shared" si="3"/>
        <v>0.67500000000000004</v>
      </c>
      <c r="R102" s="53">
        <v>12.4</v>
      </c>
      <c r="S102" s="53">
        <v>172</v>
      </c>
      <c r="T102" s="16">
        <f t="shared" si="4"/>
        <v>22</v>
      </c>
      <c r="U102" s="53">
        <v>429</v>
      </c>
      <c r="V102" s="16">
        <f t="shared" si="6"/>
        <v>3146</v>
      </c>
      <c r="W102" s="53">
        <v>2</v>
      </c>
      <c r="X102" s="53" t="s">
        <v>46</v>
      </c>
      <c r="Y102" s="53" t="s">
        <v>69</v>
      </c>
      <c r="Z102" s="53" t="s">
        <v>84</v>
      </c>
      <c r="AA102" s="53" t="s">
        <v>50</v>
      </c>
      <c r="AB102" s="53" t="s">
        <v>158</v>
      </c>
      <c r="AC102" s="76"/>
      <c r="AD102" s="76"/>
      <c r="AE102" s="76"/>
      <c r="AF102" s="76"/>
      <c r="AG102" s="76"/>
      <c r="AH102" s="76"/>
    </row>
    <row r="103" spans="1:34" x14ac:dyDescent="0.15">
      <c r="A103" s="53" t="s">
        <v>41</v>
      </c>
      <c r="B103" s="53" t="s">
        <v>157</v>
      </c>
      <c r="C103" s="62">
        <v>2019</v>
      </c>
      <c r="D103" s="63" t="s">
        <v>189</v>
      </c>
      <c r="E103" s="53" t="s">
        <v>202</v>
      </c>
      <c r="F103" s="53" t="s">
        <v>203</v>
      </c>
      <c r="G103" s="53" t="s">
        <v>42</v>
      </c>
      <c r="H103" s="53" t="s">
        <v>160</v>
      </c>
      <c r="I103" s="53" t="s">
        <v>159</v>
      </c>
      <c r="J103" s="53" t="s">
        <v>38</v>
      </c>
      <c r="K103" s="53" t="s">
        <v>161</v>
      </c>
      <c r="L103" s="53">
        <v>3</v>
      </c>
      <c r="M103" s="76"/>
      <c r="N103" s="53">
        <v>3</v>
      </c>
      <c r="O103" s="53">
        <v>0.75</v>
      </c>
      <c r="P103" s="53">
        <v>0.5</v>
      </c>
      <c r="Q103" s="16">
        <f t="shared" si="3"/>
        <v>0.625</v>
      </c>
      <c r="R103" s="53">
        <v>17.8</v>
      </c>
      <c r="S103" s="53">
        <v>162</v>
      </c>
      <c r="T103" s="16">
        <f t="shared" si="4"/>
        <v>22</v>
      </c>
      <c r="U103" s="53">
        <v>429</v>
      </c>
      <c r="V103" s="16">
        <f t="shared" si="6"/>
        <v>3146</v>
      </c>
      <c r="W103" s="53">
        <v>2</v>
      </c>
      <c r="X103" s="53" t="s">
        <v>46</v>
      </c>
      <c r="Y103" s="53" t="s">
        <v>69</v>
      </c>
      <c r="Z103" s="53" t="s">
        <v>84</v>
      </c>
      <c r="AA103" s="53" t="s">
        <v>50</v>
      </c>
      <c r="AB103" s="53" t="s">
        <v>158</v>
      </c>
      <c r="AC103" s="76"/>
      <c r="AD103" s="76"/>
      <c r="AE103" s="76"/>
      <c r="AF103" s="76"/>
      <c r="AG103" s="76"/>
      <c r="AH103" s="76"/>
    </row>
    <row r="104" spans="1:34" x14ac:dyDescent="0.15">
      <c r="A104" s="53" t="s">
        <v>41</v>
      </c>
      <c r="B104" s="53" t="s">
        <v>157</v>
      </c>
      <c r="C104" s="62">
        <v>2019</v>
      </c>
      <c r="D104" s="63" t="s">
        <v>189</v>
      </c>
      <c r="E104" s="53" t="s">
        <v>202</v>
      </c>
      <c r="F104" s="53" t="s">
        <v>203</v>
      </c>
      <c r="G104" s="53" t="s">
        <v>42</v>
      </c>
      <c r="H104" s="53" t="s">
        <v>164</v>
      </c>
      <c r="I104" s="53" t="s">
        <v>159</v>
      </c>
      <c r="J104" s="53" t="s">
        <v>38</v>
      </c>
      <c r="K104" s="53" t="s">
        <v>161</v>
      </c>
      <c r="L104" s="53">
        <v>1</v>
      </c>
      <c r="N104" s="53">
        <v>1</v>
      </c>
      <c r="O104" s="53">
        <v>0.9</v>
      </c>
      <c r="P104" s="53">
        <v>0.75</v>
      </c>
      <c r="Q104" s="75">
        <f t="shared" si="3"/>
        <v>0.82499999999999996</v>
      </c>
      <c r="R104" s="53">
        <v>11.4</v>
      </c>
      <c r="S104" s="53">
        <v>124</v>
      </c>
      <c r="T104" s="16">
        <f t="shared" si="4"/>
        <v>27</v>
      </c>
      <c r="U104" s="53">
        <v>105</v>
      </c>
      <c r="V104" s="38">
        <v>3146</v>
      </c>
      <c r="W104" s="53">
        <v>2</v>
      </c>
      <c r="X104" s="53" t="s">
        <v>46</v>
      </c>
      <c r="Y104" s="53" t="s">
        <v>69</v>
      </c>
      <c r="Z104" s="53" t="s">
        <v>84</v>
      </c>
      <c r="AA104" s="53" t="s">
        <v>50</v>
      </c>
      <c r="AB104" s="53" t="s">
        <v>158</v>
      </c>
      <c r="AC104" s="76"/>
      <c r="AD104" s="76"/>
      <c r="AE104" s="76"/>
      <c r="AF104" s="76"/>
      <c r="AG104" s="76"/>
      <c r="AH104" s="76"/>
    </row>
    <row r="105" spans="1:34" x14ac:dyDescent="0.15">
      <c r="A105" s="53" t="s">
        <v>41</v>
      </c>
      <c r="B105" s="53" t="s">
        <v>157</v>
      </c>
      <c r="C105" s="62">
        <v>2019</v>
      </c>
      <c r="D105" s="63" t="s">
        <v>189</v>
      </c>
      <c r="E105" s="53" t="s">
        <v>202</v>
      </c>
      <c r="F105" s="53" t="s">
        <v>203</v>
      </c>
      <c r="G105" s="53" t="s">
        <v>42</v>
      </c>
      <c r="H105" s="53" t="s">
        <v>164</v>
      </c>
      <c r="I105" s="53" t="s">
        <v>159</v>
      </c>
      <c r="J105" s="53" t="s">
        <v>38</v>
      </c>
      <c r="K105" s="53" t="s">
        <v>161</v>
      </c>
      <c r="L105" s="53">
        <v>2</v>
      </c>
      <c r="N105" s="53">
        <v>1</v>
      </c>
      <c r="O105" s="53">
        <v>0.9</v>
      </c>
      <c r="P105" s="53">
        <v>1</v>
      </c>
      <c r="Q105" s="75">
        <f t="shared" si="3"/>
        <v>0.95</v>
      </c>
      <c r="R105" s="53">
        <v>12.4</v>
      </c>
      <c r="S105" s="53">
        <v>130</v>
      </c>
      <c r="T105" s="16">
        <f t="shared" si="4"/>
        <v>25</v>
      </c>
      <c r="U105" s="53">
        <v>105</v>
      </c>
      <c r="V105" s="38">
        <v>3146</v>
      </c>
      <c r="W105" s="53">
        <v>2</v>
      </c>
      <c r="X105" s="53" t="s">
        <v>46</v>
      </c>
      <c r="Y105" s="53" t="s">
        <v>69</v>
      </c>
      <c r="Z105" s="53" t="s">
        <v>84</v>
      </c>
      <c r="AA105" s="53" t="s">
        <v>50</v>
      </c>
      <c r="AB105" s="53" t="s">
        <v>158</v>
      </c>
      <c r="AC105" s="76"/>
      <c r="AD105" s="76"/>
      <c r="AE105" s="76"/>
      <c r="AF105" s="76"/>
      <c r="AG105" s="76"/>
      <c r="AH105" s="76"/>
    </row>
    <row r="106" spans="1:34" x14ac:dyDescent="0.15">
      <c r="A106" s="53" t="s">
        <v>41</v>
      </c>
      <c r="B106" s="53" t="s">
        <v>157</v>
      </c>
      <c r="C106" s="62">
        <v>2019</v>
      </c>
      <c r="D106" s="63" t="s">
        <v>189</v>
      </c>
      <c r="E106" s="53" t="s">
        <v>202</v>
      </c>
      <c r="F106" s="53" t="s">
        <v>203</v>
      </c>
      <c r="G106" s="53" t="s">
        <v>42</v>
      </c>
      <c r="H106" s="53" t="s">
        <v>164</v>
      </c>
      <c r="I106" s="53" t="s">
        <v>159</v>
      </c>
      <c r="J106" s="53" t="s">
        <v>38</v>
      </c>
      <c r="K106" s="53" t="s">
        <v>161</v>
      </c>
      <c r="L106" s="53">
        <v>3</v>
      </c>
      <c r="N106" s="53">
        <v>1</v>
      </c>
      <c r="O106" s="53">
        <v>1.1499999999999999</v>
      </c>
      <c r="P106" s="53">
        <v>1.2</v>
      </c>
      <c r="Q106" s="75">
        <f t="shared" si="3"/>
        <v>1.1749999999999998</v>
      </c>
      <c r="R106" s="53">
        <v>12.2</v>
      </c>
      <c r="S106" s="53">
        <v>129</v>
      </c>
      <c r="T106" s="16">
        <f t="shared" si="4"/>
        <v>25</v>
      </c>
      <c r="U106" s="53">
        <v>105</v>
      </c>
      <c r="V106" s="38">
        <v>3146</v>
      </c>
      <c r="W106" s="53">
        <v>2</v>
      </c>
      <c r="X106" s="53" t="s">
        <v>46</v>
      </c>
      <c r="Y106" s="53" t="s">
        <v>69</v>
      </c>
      <c r="Z106" s="53" t="s">
        <v>84</v>
      </c>
      <c r="AA106" s="53" t="s">
        <v>50</v>
      </c>
      <c r="AB106" s="53" t="s">
        <v>158</v>
      </c>
      <c r="AC106" s="76"/>
      <c r="AD106" s="76"/>
      <c r="AE106" s="76"/>
      <c r="AF106" s="76"/>
      <c r="AG106" s="76"/>
      <c r="AH106" s="76"/>
    </row>
    <row r="107" spans="1:34" x14ac:dyDescent="0.15">
      <c r="A107" s="53" t="s">
        <v>41</v>
      </c>
      <c r="B107" s="53" t="s">
        <v>157</v>
      </c>
      <c r="C107" s="62">
        <v>2019</v>
      </c>
      <c r="D107" s="63" t="s">
        <v>189</v>
      </c>
      <c r="E107" s="53" t="s">
        <v>202</v>
      </c>
      <c r="F107" s="53" t="s">
        <v>203</v>
      </c>
      <c r="G107" s="53" t="s">
        <v>42</v>
      </c>
      <c r="H107" s="53" t="s">
        <v>164</v>
      </c>
      <c r="I107" s="53" t="s">
        <v>159</v>
      </c>
      <c r="J107" s="53" t="s">
        <v>38</v>
      </c>
      <c r="K107" s="53" t="s">
        <v>161</v>
      </c>
      <c r="L107" s="53">
        <v>1</v>
      </c>
      <c r="N107" s="53">
        <v>6</v>
      </c>
      <c r="O107" s="53">
        <v>1</v>
      </c>
      <c r="P107" s="53">
        <v>0.85</v>
      </c>
      <c r="Q107" s="75">
        <f t="shared" si="3"/>
        <v>0.92500000000000004</v>
      </c>
      <c r="R107" s="53">
        <v>10.199999999999999</v>
      </c>
      <c r="S107" s="53">
        <v>120</v>
      </c>
      <c r="T107" s="16">
        <f t="shared" si="4"/>
        <v>30</v>
      </c>
      <c r="U107" s="53">
        <v>538</v>
      </c>
      <c r="V107" s="38">
        <v>3670</v>
      </c>
      <c r="W107" s="53">
        <v>2</v>
      </c>
      <c r="X107" s="53" t="s">
        <v>46</v>
      </c>
      <c r="Y107" s="53" t="s">
        <v>69</v>
      </c>
      <c r="Z107" s="53" t="s">
        <v>84</v>
      </c>
      <c r="AA107" s="53" t="s">
        <v>50</v>
      </c>
      <c r="AB107" s="53" t="s">
        <v>158</v>
      </c>
      <c r="AC107" s="76"/>
      <c r="AD107" s="76"/>
      <c r="AE107" s="76"/>
      <c r="AF107" s="76"/>
      <c r="AG107" s="76"/>
      <c r="AH107" s="76"/>
    </row>
    <row r="108" spans="1:34" x14ac:dyDescent="0.15">
      <c r="A108" s="53" t="s">
        <v>41</v>
      </c>
      <c r="B108" s="53" t="s">
        <v>157</v>
      </c>
      <c r="C108" s="62">
        <v>2019</v>
      </c>
      <c r="D108" s="63" t="s">
        <v>189</v>
      </c>
      <c r="E108" s="53" t="s">
        <v>202</v>
      </c>
      <c r="F108" s="53" t="s">
        <v>203</v>
      </c>
      <c r="G108" s="53" t="s">
        <v>42</v>
      </c>
      <c r="H108" s="53" t="s">
        <v>164</v>
      </c>
      <c r="I108" s="53" t="s">
        <v>159</v>
      </c>
      <c r="J108" s="53" t="s">
        <v>38</v>
      </c>
      <c r="K108" s="53" t="s">
        <v>161</v>
      </c>
      <c r="L108" s="53">
        <v>2</v>
      </c>
      <c r="N108" s="53">
        <v>6</v>
      </c>
      <c r="O108" s="53">
        <v>1.1000000000000001</v>
      </c>
      <c r="P108" s="53">
        <v>0.95</v>
      </c>
      <c r="Q108" s="75">
        <f t="shared" si="3"/>
        <v>1.0249999999999999</v>
      </c>
      <c r="R108" s="53">
        <v>13.8</v>
      </c>
      <c r="S108" s="53">
        <v>120</v>
      </c>
      <c r="T108" s="16">
        <f t="shared" si="4"/>
        <v>30</v>
      </c>
      <c r="U108" s="53">
        <v>538</v>
      </c>
      <c r="V108" s="38">
        <v>3303</v>
      </c>
      <c r="W108" s="53">
        <v>2</v>
      </c>
      <c r="X108" s="53" t="s">
        <v>46</v>
      </c>
      <c r="Y108" s="53" t="s">
        <v>69</v>
      </c>
      <c r="Z108" s="53" t="s">
        <v>84</v>
      </c>
      <c r="AA108" s="53" t="s">
        <v>50</v>
      </c>
      <c r="AB108" s="53" t="s">
        <v>158</v>
      </c>
      <c r="AC108" s="76"/>
      <c r="AD108" s="76"/>
      <c r="AE108" s="76"/>
      <c r="AF108" s="76"/>
      <c r="AG108" s="76"/>
      <c r="AH108" s="76"/>
    </row>
    <row r="109" spans="1:34" x14ac:dyDescent="0.15">
      <c r="A109" s="53" t="s">
        <v>41</v>
      </c>
      <c r="B109" s="53" t="s">
        <v>157</v>
      </c>
      <c r="C109" s="62">
        <v>2019</v>
      </c>
      <c r="D109" s="63" t="s">
        <v>189</v>
      </c>
      <c r="E109" s="53" t="s">
        <v>202</v>
      </c>
      <c r="F109" s="53" t="s">
        <v>203</v>
      </c>
      <c r="G109" s="53" t="s">
        <v>42</v>
      </c>
      <c r="H109" s="53" t="s">
        <v>164</v>
      </c>
      <c r="I109" s="53" t="s">
        <v>159</v>
      </c>
      <c r="J109" s="53" t="s">
        <v>38</v>
      </c>
      <c r="K109" s="53" t="s">
        <v>161</v>
      </c>
      <c r="L109" s="53">
        <v>3</v>
      </c>
      <c r="N109" s="53">
        <v>6</v>
      </c>
      <c r="O109" s="53">
        <v>0.95</v>
      </c>
      <c r="P109" s="53">
        <v>1.1000000000000001</v>
      </c>
      <c r="Q109" s="75">
        <f t="shared" si="3"/>
        <v>1.0249999999999999</v>
      </c>
      <c r="R109" s="53">
        <v>15.4</v>
      </c>
      <c r="S109" s="53">
        <v>118</v>
      </c>
      <c r="T109" s="16">
        <f t="shared" si="4"/>
        <v>30</v>
      </c>
      <c r="U109" s="53">
        <v>538</v>
      </c>
      <c r="V109" s="38">
        <v>3670</v>
      </c>
      <c r="W109" s="53">
        <v>2</v>
      </c>
      <c r="X109" s="53" t="s">
        <v>46</v>
      </c>
      <c r="Y109" s="53" t="s">
        <v>69</v>
      </c>
      <c r="Z109" s="53" t="s">
        <v>84</v>
      </c>
      <c r="AA109" s="53" t="s">
        <v>50</v>
      </c>
      <c r="AB109" s="53" t="s">
        <v>158</v>
      </c>
      <c r="AC109" s="76"/>
      <c r="AD109" s="76"/>
      <c r="AE109" s="76"/>
      <c r="AF109" s="76"/>
      <c r="AG109" s="76"/>
      <c r="AH109" s="76"/>
    </row>
    <row r="110" spans="1:34" x14ac:dyDescent="0.15">
      <c r="A110" s="53" t="s">
        <v>41</v>
      </c>
      <c r="B110" s="53" t="s">
        <v>157</v>
      </c>
      <c r="C110" s="62">
        <v>2019</v>
      </c>
      <c r="D110" s="63" t="s">
        <v>189</v>
      </c>
      <c r="E110" s="53" t="s">
        <v>202</v>
      </c>
      <c r="F110" s="53" t="s">
        <v>209</v>
      </c>
      <c r="G110" s="53" t="s">
        <v>42</v>
      </c>
      <c r="H110" s="53" t="s">
        <v>160</v>
      </c>
      <c r="I110" s="53" t="s">
        <v>159</v>
      </c>
      <c r="J110" s="53" t="s">
        <v>38</v>
      </c>
      <c r="K110" s="53" t="s">
        <v>161</v>
      </c>
      <c r="L110" s="53">
        <v>1</v>
      </c>
      <c r="N110" s="53">
        <v>1</v>
      </c>
      <c r="O110" s="53">
        <v>0.65</v>
      </c>
      <c r="P110" s="53">
        <v>0.5</v>
      </c>
      <c r="Q110" s="75">
        <f t="shared" si="3"/>
        <v>0.57499999999999996</v>
      </c>
      <c r="R110" s="53">
        <v>18.5</v>
      </c>
      <c r="S110" s="53">
        <v>125</v>
      </c>
      <c r="T110" s="16">
        <f t="shared" si="4"/>
        <v>27</v>
      </c>
      <c r="U110" s="53">
        <v>138</v>
      </c>
      <c r="V110" s="16">
        <f t="shared" ref="V110:V173" si="7">IF(OR(N110="",U110="",T110=""),"",U110/N110*T110)</f>
        <v>3726</v>
      </c>
      <c r="W110" s="53">
        <v>2</v>
      </c>
      <c r="X110" s="53" t="s">
        <v>46</v>
      </c>
      <c r="Y110" s="53" t="s">
        <v>69</v>
      </c>
      <c r="Z110" s="53" t="s">
        <v>90</v>
      </c>
      <c r="AA110" s="53" t="s">
        <v>84</v>
      </c>
      <c r="AB110" s="53" t="s">
        <v>158</v>
      </c>
      <c r="AC110" s="76"/>
      <c r="AD110" s="76"/>
      <c r="AE110" s="76"/>
      <c r="AF110" s="76"/>
      <c r="AG110" s="76"/>
      <c r="AH110" s="76"/>
    </row>
    <row r="111" spans="1:34" x14ac:dyDescent="0.15">
      <c r="A111" s="53" t="s">
        <v>41</v>
      </c>
      <c r="B111" s="53" t="s">
        <v>157</v>
      </c>
      <c r="C111" s="62">
        <v>2019</v>
      </c>
      <c r="D111" s="63" t="s">
        <v>189</v>
      </c>
      <c r="E111" s="53" t="s">
        <v>202</v>
      </c>
      <c r="F111" s="53" t="s">
        <v>209</v>
      </c>
      <c r="G111" s="53" t="s">
        <v>42</v>
      </c>
      <c r="H111" s="53" t="s">
        <v>160</v>
      </c>
      <c r="I111" s="53" t="s">
        <v>159</v>
      </c>
      <c r="J111" s="53" t="s">
        <v>38</v>
      </c>
      <c r="K111" s="53" t="s">
        <v>161</v>
      </c>
      <c r="L111" s="53">
        <v>2</v>
      </c>
      <c r="N111" s="53">
        <v>1</v>
      </c>
      <c r="O111" s="53">
        <v>0.35</v>
      </c>
      <c r="P111" s="53">
        <v>0.45</v>
      </c>
      <c r="Q111" s="75">
        <f t="shared" si="3"/>
        <v>0.4</v>
      </c>
      <c r="R111" s="53">
        <v>16.399999999999999</v>
      </c>
      <c r="S111" s="53">
        <v>124</v>
      </c>
      <c r="T111" s="16">
        <f t="shared" si="4"/>
        <v>27</v>
      </c>
      <c r="U111" s="53">
        <v>138</v>
      </c>
      <c r="V111" s="16">
        <f t="shared" si="7"/>
        <v>3726</v>
      </c>
      <c r="W111" s="53">
        <v>2</v>
      </c>
      <c r="X111" s="53" t="s">
        <v>46</v>
      </c>
      <c r="Y111" s="53" t="s">
        <v>69</v>
      </c>
      <c r="Z111" s="53" t="s">
        <v>90</v>
      </c>
      <c r="AA111" s="53" t="s">
        <v>84</v>
      </c>
      <c r="AB111" s="53" t="s">
        <v>158</v>
      </c>
      <c r="AC111" s="76"/>
      <c r="AD111" s="76"/>
      <c r="AE111" s="76"/>
      <c r="AF111" s="76"/>
      <c r="AG111" s="76"/>
      <c r="AH111" s="76"/>
    </row>
    <row r="112" spans="1:34" x14ac:dyDescent="0.15">
      <c r="A112" s="53" t="s">
        <v>41</v>
      </c>
      <c r="B112" s="53" t="s">
        <v>157</v>
      </c>
      <c r="C112" s="62">
        <v>2019</v>
      </c>
      <c r="D112" s="63" t="s">
        <v>189</v>
      </c>
      <c r="E112" s="53" t="s">
        <v>202</v>
      </c>
      <c r="F112" s="53" t="s">
        <v>209</v>
      </c>
      <c r="G112" s="53" t="s">
        <v>42</v>
      </c>
      <c r="H112" s="53" t="s">
        <v>160</v>
      </c>
      <c r="I112" s="53" t="s">
        <v>159</v>
      </c>
      <c r="J112" s="53" t="s">
        <v>38</v>
      </c>
      <c r="K112" s="53" t="s">
        <v>161</v>
      </c>
      <c r="L112" s="53">
        <v>3</v>
      </c>
      <c r="N112" s="53">
        <v>1</v>
      </c>
      <c r="O112" s="53">
        <v>0.45</v>
      </c>
      <c r="P112" s="53">
        <v>0.4</v>
      </c>
      <c r="Q112" s="75">
        <f t="shared" si="3"/>
        <v>0.42500000000000004</v>
      </c>
      <c r="R112" s="53">
        <v>15</v>
      </c>
      <c r="S112" s="53">
        <v>127</v>
      </c>
      <c r="T112" s="16">
        <f t="shared" si="4"/>
        <v>27</v>
      </c>
      <c r="U112" s="53">
        <v>138</v>
      </c>
      <c r="V112" s="16">
        <f t="shared" si="7"/>
        <v>3726</v>
      </c>
      <c r="W112" s="53">
        <v>2</v>
      </c>
      <c r="X112" s="53" t="s">
        <v>46</v>
      </c>
      <c r="Y112" s="53" t="s">
        <v>69</v>
      </c>
      <c r="Z112" s="53" t="s">
        <v>90</v>
      </c>
      <c r="AA112" s="53" t="s">
        <v>84</v>
      </c>
      <c r="AB112" s="53" t="s">
        <v>158</v>
      </c>
      <c r="AC112" s="76"/>
      <c r="AD112" s="76"/>
      <c r="AE112" s="76"/>
      <c r="AF112" s="76"/>
      <c r="AG112" s="76"/>
      <c r="AH112" s="76"/>
    </row>
    <row r="113" spans="1:34" x14ac:dyDescent="0.15">
      <c r="A113" s="53" t="s">
        <v>41</v>
      </c>
      <c r="B113" s="53" t="s">
        <v>157</v>
      </c>
      <c r="C113" s="62">
        <v>2019</v>
      </c>
      <c r="D113" s="63" t="s">
        <v>189</v>
      </c>
      <c r="E113" s="53" t="s">
        <v>202</v>
      </c>
      <c r="F113" s="53" t="s">
        <v>209</v>
      </c>
      <c r="G113" s="53" t="s">
        <v>42</v>
      </c>
      <c r="H113" s="53" t="s">
        <v>160</v>
      </c>
      <c r="I113" s="53" t="s">
        <v>159</v>
      </c>
      <c r="J113" s="53" t="s">
        <v>38</v>
      </c>
      <c r="K113" s="53" t="s">
        <v>161</v>
      </c>
      <c r="L113" s="53">
        <v>1</v>
      </c>
      <c r="N113" s="53">
        <v>5</v>
      </c>
      <c r="O113" s="53">
        <v>0.25</v>
      </c>
      <c r="P113" s="53">
        <v>0.25</v>
      </c>
      <c r="Q113" s="16">
        <f t="shared" si="3"/>
        <v>0.25</v>
      </c>
      <c r="R113" s="53">
        <v>12.8</v>
      </c>
      <c r="S113" s="53">
        <v>118</v>
      </c>
      <c r="T113" s="16">
        <f t="shared" si="4"/>
        <v>30</v>
      </c>
      <c r="U113" s="53">
        <v>538</v>
      </c>
      <c r="V113" s="16">
        <f t="shared" si="7"/>
        <v>3228</v>
      </c>
      <c r="W113" s="53">
        <v>2</v>
      </c>
      <c r="X113" s="53" t="s">
        <v>46</v>
      </c>
      <c r="Y113" s="53" t="s">
        <v>69</v>
      </c>
      <c r="Z113" s="53" t="s">
        <v>90</v>
      </c>
      <c r="AA113" s="53" t="s">
        <v>84</v>
      </c>
      <c r="AB113" s="53" t="s">
        <v>158</v>
      </c>
      <c r="AC113" s="76"/>
      <c r="AD113" s="76"/>
      <c r="AE113" s="76"/>
      <c r="AF113" s="76"/>
      <c r="AG113" s="76"/>
      <c r="AH113" s="76"/>
    </row>
    <row r="114" spans="1:34" x14ac:dyDescent="0.15">
      <c r="A114" s="53" t="s">
        <v>41</v>
      </c>
      <c r="B114" s="53" t="s">
        <v>157</v>
      </c>
      <c r="C114" s="62">
        <v>2019</v>
      </c>
      <c r="D114" s="63" t="s">
        <v>189</v>
      </c>
      <c r="E114" s="53" t="s">
        <v>202</v>
      </c>
      <c r="F114" s="53" t="s">
        <v>209</v>
      </c>
      <c r="G114" s="53" t="s">
        <v>42</v>
      </c>
      <c r="H114" s="53" t="s">
        <v>160</v>
      </c>
      <c r="I114" s="53" t="s">
        <v>159</v>
      </c>
      <c r="J114" s="53" t="s">
        <v>38</v>
      </c>
      <c r="K114" s="53" t="s">
        <v>161</v>
      </c>
      <c r="L114" s="53">
        <v>2</v>
      </c>
      <c r="M114" s="76"/>
      <c r="N114" s="53">
        <v>5</v>
      </c>
      <c r="O114" s="53">
        <v>0.25</v>
      </c>
      <c r="P114" s="53">
        <v>0.3</v>
      </c>
      <c r="Q114" s="16">
        <f t="shared" si="3"/>
        <v>0.27500000000000002</v>
      </c>
      <c r="R114" s="53">
        <v>14.1</v>
      </c>
      <c r="S114" s="53">
        <v>120</v>
      </c>
      <c r="T114" s="16">
        <f t="shared" si="4"/>
        <v>30</v>
      </c>
      <c r="U114" s="53">
        <v>538</v>
      </c>
      <c r="V114" s="16">
        <f t="shared" si="7"/>
        <v>3228</v>
      </c>
      <c r="W114" s="53">
        <v>2</v>
      </c>
      <c r="X114" s="53" t="s">
        <v>46</v>
      </c>
      <c r="Y114" s="53" t="s">
        <v>69</v>
      </c>
      <c r="Z114" s="53" t="s">
        <v>90</v>
      </c>
      <c r="AA114" s="53" t="s">
        <v>84</v>
      </c>
      <c r="AB114" s="53" t="s">
        <v>158</v>
      </c>
      <c r="AC114" s="76"/>
      <c r="AD114" s="76"/>
      <c r="AE114" s="76"/>
      <c r="AF114" s="76"/>
      <c r="AG114" s="76"/>
      <c r="AH114" s="76"/>
    </row>
    <row r="115" spans="1:34" x14ac:dyDescent="0.15">
      <c r="A115" s="53" t="s">
        <v>41</v>
      </c>
      <c r="B115" s="53" t="s">
        <v>157</v>
      </c>
      <c r="C115" s="62">
        <v>2019</v>
      </c>
      <c r="D115" s="63" t="s">
        <v>189</v>
      </c>
      <c r="E115" s="53" t="s">
        <v>202</v>
      </c>
      <c r="F115" s="53" t="s">
        <v>209</v>
      </c>
      <c r="G115" s="53" t="s">
        <v>42</v>
      </c>
      <c r="H115" s="53" t="s">
        <v>160</v>
      </c>
      <c r="I115" s="53" t="s">
        <v>159</v>
      </c>
      <c r="J115" s="53" t="s">
        <v>38</v>
      </c>
      <c r="K115" s="53" t="s">
        <v>161</v>
      </c>
      <c r="L115" s="53">
        <v>3</v>
      </c>
      <c r="M115" s="76"/>
      <c r="N115" s="53">
        <v>5</v>
      </c>
      <c r="O115" s="53">
        <v>0.25</v>
      </c>
      <c r="P115" s="53">
        <v>0.25</v>
      </c>
      <c r="Q115" s="16">
        <f t="shared" si="3"/>
        <v>0.25</v>
      </c>
      <c r="R115" s="53">
        <v>14.7</v>
      </c>
      <c r="S115" s="53">
        <v>115</v>
      </c>
      <c r="T115" s="16">
        <f t="shared" si="4"/>
        <v>30</v>
      </c>
      <c r="U115" s="53">
        <v>538</v>
      </c>
      <c r="V115" s="16">
        <f t="shared" si="7"/>
        <v>3228</v>
      </c>
      <c r="W115" s="53">
        <v>2</v>
      </c>
      <c r="X115" s="53" t="s">
        <v>46</v>
      </c>
      <c r="Y115" s="53" t="s">
        <v>69</v>
      </c>
      <c r="Z115" s="53" t="s">
        <v>90</v>
      </c>
      <c r="AA115" s="53" t="s">
        <v>84</v>
      </c>
      <c r="AB115" s="53" t="s">
        <v>158</v>
      </c>
      <c r="AC115" s="76"/>
      <c r="AD115" s="76"/>
      <c r="AE115" s="76"/>
      <c r="AF115" s="76"/>
      <c r="AG115" s="76"/>
      <c r="AH115" s="76"/>
    </row>
    <row r="116" spans="1:34" x14ac:dyDescent="0.15">
      <c r="A116" s="53" t="s">
        <v>41</v>
      </c>
      <c r="B116" s="53" t="s">
        <v>157</v>
      </c>
      <c r="C116" s="62">
        <v>2019</v>
      </c>
      <c r="D116" s="63" t="s">
        <v>189</v>
      </c>
      <c r="E116" s="53" t="s">
        <v>202</v>
      </c>
      <c r="F116" s="53" t="s">
        <v>209</v>
      </c>
      <c r="G116" s="53" t="s">
        <v>42</v>
      </c>
      <c r="H116" s="53" t="s">
        <v>160</v>
      </c>
      <c r="I116" s="53" t="s">
        <v>159</v>
      </c>
      <c r="J116" s="53" t="s">
        <v>38</v>
      </c>
      <c r="K116" s="53" t="s">
        <v>161</v>
      </c>
      <c r="L116" s="53">
        <v>1</v>
      </c>
      <c r="N116" s="53">
        <v>3</v>
      </c>
      <c r="O116" s="53">
        <v>0.65</v>
      </c>
      <c r="P116" s="53">
        <v>0.75</v>
      </c>
      <c r="Q116" s="16">
        <f t="shared" si="3"/>
        <v>0.7</v>
      </c>
      <c r="R116" s="53">
        <v>15.2</v>
      </c>
      <c r="S116" s="53">
        <v>178</v>
      </c>
      <c r="T116" s="16">
        <f t="shared" si="4"/>
        <v>22</v>
      </c>
      <c r="U116" s="53">
        <v>429</v>
      </c>
      <c r="V116" s="16">
        <f t="shared" si="7"/>
        <v>3146</v>
      </c>
      <c r="W116" s="53">
        <v>2</v>
      </c>
      <c r="X116" s="53" t="s">
        <v>46</v>
      </c>
      <c r="Y116" s="53" t="s">
        <v>69</v>
      </c>
      <c r="Z116" s="53" t="s">
        <v>90</v>
      </c>
      <c r="AA116" s="53" t="s">
        <v>84</v>
      </c>
      <c r="AB116" s="53" t="s">
        <v>158</v>
      </c>
      <c r="AC116" s="76"/>
      <c r="AD116" s="76"/>
      <c r="AE116" s="76"/>
      <c r="AF116" s="76"/>
      <c r="AG116" s="76"/>
      <c r="AH116" s="76"/>
    </row>
    <row r="117" spans="1:34" x14ac:dyDescent="0.15">
      <c r="A117" s="53" t="s">
        <v>41</v>
      </c>
      <c r="B117" s="53" t="s">
        <v>157</v>
      </c>
      <c r="C117" s="62">
        <v>2019</v>
      </c>
      <c r="D117" s="63" t="s">
        <v>189</v>
      </c>
      <c r="E117" s="53" t="s">
        <v>202</v>
      </c>
      <c r="F117" s="53" t="s">
        <v>209</v>
      </c>
      <c r="G117" s="53" t="s">
        <v>42</v>
      </c>
      <c r="H117" s="53" t="s">
        <v>160</v>
      </c>
      <c r="I117" s="53" t="s">
        <v>159</v>
      </c>
      <c r="J117" s="53" t="s">
        <v>38</v>
      </c>
      <c r="K117" s="53" t="s">
        <v>161</v>
      </c>
      <c r="L117" s="53">
        <v>2</v>
      </c>
      <c r="M117" s="76"/>
      <c r="N117" s="53">
        <v>3</v>
      </c>
      <c r="O117" s="53">
        <v>0.85</v>
      </c>
      <c r="P117" s="53">
        <v>0.85</v>
      </c>
      <c r="Q117" s="16">
        <f t="shared" ref="Q117:Q180" si="8">IF(OR(O117="",P117=""),"",AVERAGE(O117,P117))</f>
        <v>0.85</v>
      </c>
      <c r="R117" s="53">
        <v>15.2</v>
      </c>
      <c r="S117" s="53">
        <v>164</v>
      </c>
      <c r="T117" s="16">
        <f t="shared" si="4"/>
        <v>22</v>
      </c>
      <c r="U117" s="53">
        <v>429</v>
      </c>
      <c r="V117" s="16">
        <f t="shared" si="7"/>
        <v>3146</v>
      </c>
      <c r="W117" s="53">
        <v>2</v>
      </c>
      <c r="X117" s="53" t="s">
        <v>46</v>
      </c>
      <c r="Y117" s="53" t="s">
        <v>69</v>
      </c>
      <c r="Z117" s="53" t="s">
        <v>90</v>
      </c>
      <c r="AA117" s="53" t="s">
        <v>84</v>
      </c>
      <c r="AB117" s="53" t="s">
        <v>158</v>
      </c>
      <c r="AC117" s="76"/>
      <c r="AD117" s="76"/>
      <c r="AE117" s="76"/>
      <c r="AF117" s="76"/>
      <c r="AG117" s="76"/>
      <c r="AH117" s="76"/>
    </row>
    <row r="118" spans="1:34" x14ac:dyDescent="0.15">
      <c r="A118" s="53" t="s">
        <v>41</v>
      </c>
      <c r="B118" s="53" t="s">
        <v>157</v>
      </c>
      <c r="C118" s="62">
        <v>2019</v>
      </c>
      <c r="D118" s="63" t="s">
        <v>189</v>
      </c>
      <c r="E118" s="53" t="s">
        <v>202</v>
      </c>
      <c r="F118" s="53" t="s">
        <v>209</v>
      </c>
      <c r="G118" s="53" t="s">
        <v>42</v>
      </c>
      <c r="H118" s="53" t="s">
        <v>160</v>
      </c>
      <c r="I118" s="53" t="s">
        <v>159</v>
      </c>
      <c r="J118" s="53" t="s">
        <v>38</v>
      </c>
      <c r="K118" s="53" t="s">
        <v>161</v>
      </c>
      <c r="L118" s="53">
        <v>3</v>
      </c>
      <c r="M118" s="76"/>
      <c r="N118" s="53">
        <v>3</v>
      </c>
      <c r="O118" s="53">
        <v>0.7</v>
      </c>
      <c r="P118" s="53">
        <v>0.8</v>
      </c>
      <c r="Q118" s="16">
        <f t="shared" si="8"/>
        <v>0.75</v>
      </c>
      <c r="R118" s="53">
        <v>13.8</v>
      </c>
      <c r="S118" s="53">
        <v>169</v>
      </c>
      <c r="T118" s="16">
        <f t="shared" si="4"/>
        <v>22</v>
      </c>
      <c r="U118" s="53">
        <v>429</v>
      </c>
      <c r="V118" s="16">
        <f t="shared" si="7"/>
        <v>3146</v>
      </c>
      <c r="W118" s="53">
        <v>2</v>
      </c>
      <c r="X118" s="53" t="s">
        <v>46</v>
      </c>
      <c r="Y118" s="53" t="s">
        <v>69</v>
      </c>
      <c r="Z118" s="53" t="s">
        <v>90</v>
      </c>
      <c r="AA118" s="53" t="s">
        <v>84</v>
      </c>
      <c r="AB118" s="53" t="s">
        <v>158</v>
      </c>
      <c r="AC118" s="76"/>
      <c r="AD118" s="76"/>
      <c r="AE118" s="76"/>
      <c r="AF118" s="76"/>
      <c r="AG118" s="76"/>
      <c r="AH118" s="76"/>
    </row>
    <row r="119" spans="1:34" x14ac:dyDescent="0.15">
      <c r="A119" s="53" t="s">
        <v>41</v>
      </c>
      <c r="B119" s="53" t="s">
        <v>157</v>
      </c>
      <c r="C119" s="62">
        <v>2019</v>
      </c>
      <c r="D119" s="63" t="s">
        <v>189</v>
      </c>
      <c r="E119" s="53" t="s">
        <v>202</v>
      </c>
      <c r="F119" s="53" t="s">
        <v>209</v>
      </c>
      <c r="G119" s="53" t="s">
        <v>42</v>
      </c>
      <c r="H119" s="53" t="s">
        <v>164</v>
      </c>
      <c r="I119" s="53" t="s">
        <v>159</v>
      </c>
      <c r="J119" s="53" t="s">
        <v>38</v>
      </c>
      <c r="K119" s="53" t="s">
        <v>161</v>
      </c>
      <c r="L119" s="53">
        <v>1</v>
      </c>
      <c r="N119" s="53">
        <v>1</v>
      </c>
      <c r="O119" s="53">
        <v>0.45</v>
      </c>
      <c r="P119" s="53">
        <v>0.45</v>
      </c>
      <c r="Q119" s="16">
        <f t="shared" si="8"/>
        <v>0.45</v>
      </c>
      <c r="R119" s="53">
        <v>10.199999999999999</v>
      </c>
      <c r="S119" s="53">
        <v>128</v>
      </c>
      <c r="T119" s="16">
        <f t="shared" si="4"/>
        <v>27</v>
      </c>
      <c r="U119" s="53">
        <v>138</v>
      </c>
      <c r="V119" s="38">
        <f t="shared" si="7"/>
        <v>3726</v>
      </c>
      <c r="W119" s="53">
        <v>2</v>
      </c>
      <c r="X119" s="53" t="s">
        <v>46</v>
      </c>
      <c r="Y119" s="53" t="s">
        <v>69</v>
      </c>
      <c r="Z119" s="53" t="s">
        <v>90</v>
      </c>
      <c r="AA119" s="53" t="s">
        <v>84</v>
      </c>
      <c r="AB119" s="53" t="s">
        <v>158</v>
      </c>
      <c r="AC119" s="76"/>
      <c r="AD119" s="76"/>
      <c r="AE119" s="76"/>
      <c r="AF119" s="76"/>
      <c r="AG119" s="76"/>
      <c r="AH119" s="76"/>
    </row>
    <row r="120" spans="1:34" x14ac:dyDescent="0.15">
      <c r="A120" s="53" t="s">
        <v>41</v>
      </c>
      <c r="B120" s="53" t="s">
        <v>157</v>
      </c>
      <c r="C120" s="62">
        <v>2019</v>
      </c>
      <c r="D120" s="63" t="s">
        <v>189</v>
      </c>
      <c r="E120" s="53" t="s">
        <v>202</v>
      </c>
      <c r="F120" s="53" t="s">
        <v>209</v>
      </c>
      <c r="G120" s="53" t="s">
        <v>42</v>
      </c>
      <c r="H120" s="53" t="s">
        <v>164</v>
      </c>
      <c r="I120" s="53" t="s">
        <v>159</v>
      </c>
      <c r="J120" s="53" t="s">
        <v>38</v>
      </c>
      <c r="K120" s="53" t="s">
        <v>161</v>
      </c>
      <c r="L120" s="53">
        <v>2</v>
      </c>
      <c r="N120" s="53">
        <v>1</v>
      </c>
      <c r="O120" s="53">
        <v>0.35</v>
      </c>
      <c r="P120" s="53">
        <v>0.3</v>
      </c>
      <c r="Q120" s="16">
        <f t="shared" si="8"/>
        <v>0.32499999999999996</v>
      </c>
      <c r="R120" s="53">
        <v>10.199999999999999</v>
      </c>
      <c r="S120" s="53">
        <v>126</v>
      </c>
      <c r="T120" s="16">
        <f t="shared" si="4"/>
        <v>27</v>
      </c>
      <c r="U120" s="53">
        <v>138</v>
      </c>
      <c r="V120" s="38">
        <f t="shared" si="7"/>
        <v>3726</v>
      </c>
      <c r="W120" s="53">
        <v>2</v>
      </c>
      <c r="X120" s="53" t="s">
        <v>46</v>
      </c>
      <c r="Y120" s="53" t="s">
        <v>69</v>
      </c>
      <c r="Z120" s="53" t="s">
        <v>90</v>
      </c>
      <c r="AA120" s="53" t="s">
        <v>84</v>
      </c>
      <c r="AB120" s="53" t="s">
        <v>158</v>
      </c>
      <c r="AC120" s="76"/>
      <c r="AD120" s="76"/>
      <c r="AE120" s="76"/>
      <c r="AF120" s="76"/>
      <c r="AG120" s="76"/>
      <c r="AH120" s="76"/>
    </row>
    <row r="121" spans="1:34" x14ac:dyDescent="0.15">
      <c r="A121" s="53" t="s">
        <v>41</v>
      </c>
      <c r="B121" s="53" t="s">
        <v>157</v>
      </c>
      <c r="C121" s="62">
        <v>2019</v>
      </c>
      <c r="D121" s="63" t="s">
        <v>189</v>
      </c>
      <c r="E121" s="53" t="s">
        <v>202</v>
      </c>
      <c r="F121" s="53" t="s">
        <v>209</v>
      </c>
      <c r="G121" s="53" t="s">
        <v>42</v>
      </c>
      <c r="H121" s="53" t="s">
        <v>164</v>
      </c>
      <c r="I121" s="53" t="s">
        <v>159</v>
      </c>
      <c r="J121" s="53" t="s">
        <v>38</v>
      </c>
      <c r="K121" s="53" t="s">
        <v>161</v>
      </c>
      <c r="L121" s="53">
        <v>3</v>
      </c>
      <c r="N121" s="53">
        <v>1</v>
      </c>
      <c r="O121" s="53">
        <v>0.55000000000000004</v>
      </c>
      <c r="P121" s="53">
        <v>0.35</v>
      </c>
      <c r="Q121" s="16">
        <f t="shared" si="8"/>
        <v>0.45</v>
      </c>
      <c r="R121" s="53">
        <v>13.2</v>
      </c>
      <c r="S121" s="53">
        <v>129</v>
      </c>
      <c r="T121" s="16">
        <f t="shared" si="4"/>
        <v>25</v>
      </c>
      <c r="U121" s="53">
        <v>138</v>
      </c>
      <c r="V121" s="38">
        <f t="shared" si="7"/>
        <v>3450</v>
      </c>
      <c r="W121" s="53">
        <v>2</v>
      </c>
      <c r="X121" s="53" t="s">
        <v>46</v>
      </c>
      <c r="Y121" s="53" t="s">
        <v>69</v>
      </c>
      <c r="Z121" s="53" t="s">
        <v>90</v>
      </c>
      <c r="AA121" s="53" t="s">
        <v>84</v>
      </c>
      <c r="AB121" s="53" t="s">
        <v>158</v>
      </c>
      <c r="AC121" s="76"/>
      <c r="AD121" s="76"/>
      <c r="AE121" s="76"/>
      <c r="AF121" s="76"/>
      <c r="AG121" s="76"/>
      <c r="AH121" s="76"/>
    </row>
    <row r="122" spans="1:34" x14ac:dyDescent="0.15">
      <c r="A122" s="53" t="s">
        <v>41</v>
      </c>
      <c r="B122" s="53" t="s">
        <v>157</v>
      </c>
      <c r="C122" s="62">
        <v>2019</v>
      </c>
      <c r="D122" s="63" t="s">
        <v>189</v>
      </c>
      <c r="E122" s="53" t="s">
        <v>202</v>
      </c>
      <c r="F122" s="53" t="s">
        <v>209</v>
      </c>
      <c r="G122" s="53" t="s">
        <v>42</v>
      </c>
      <c r="H122" s="53" t="s">
        <v>164</v>
      </c>
      <c r="I122" s="53" t="s">
        <v>159</v>
      </c>
      <c r="J122" s="53" t="s">
        <v>38</v>
      </c>
      <c r="K122" s="53" t="s">
        <v>161</v>
      </c>
      <c r="L122" s="53">
        <v>1</v>
      </c>
      <c r="N122" s="53">
        <v>6</v>
      </c>
      <c r="O122" s="53">
        <v>0.75</v>
      </c>
      <c r="P122" s="53">
        <v>0.95</v>
      </c>
      <c r="Q122" s="16">
        <f t="shared" si="8"/>
        <v>0.85</v>
      </c>
      <c r="R122" s="53">
        <v>11.5</v>
      </c>
      <c r="S122" s="53">
        <v>118</v>
      </c>
      <c r="T122" s="16">
        <f t="shared" si="4"/>
        <v>30</v>
      </c>
      <c r="U122" s="53">
        <v>538</v>
      </c>
      <c r="V122" s="16">
        <f t="shared" si="7"/>
        <v>2690</v>
      </c>
      <c r="W122" s="53">
        <v>2</v>
      </c>
      <c r="X122" s="53" t="s">
        <v>46</v>
      </c>
      <c r="Y122" s="53" t="s">
        <v>69</v>
      </c>
      <c r="Z122" s="53" t="s">
        <v>90</v>
      </c>
      <c r="AA122" s="53" t="s">
        <v>84</v>
      </c>
      <c r="AB122" s="53" t="s">
        <v>158</v>
      </c>
    </row>
    <row r="123" spans="1:34" x14ac:dyDescent="0.15">
      <c r="A123" s="53" t="s">
        <v>41</v>
      </c>
      <c r="B123" s="53" t="s">
        <v>157</v>
      </c>
      <c r="C123" s="62">
        <v>2019</v>
      </c>
      <c r="D123" s="63" t="s">
        <v>189</v>
      </c>
      <c r="E123" s="53" t="s">
        <v>202</v>
      </c>
      <c r="F123" s="53" t="s">
        <v>209</v>
      </c>
      <c r="G123" s="53" t="s">
        <v>42</v>
      </c>
      <c r="H123" s="53" t="s">
        <v>164</v>
      </c>
      <c r="I123" s="53" t="s">
        <v>159</v>
      </c>
      <c r="J123" s="53" t="s">
        <v>38</v>
      </c>
      <c r="K123" s="53" t="s">
        <v>161</v>
      </c>
      <c r="L123" s="53">
        <v>2</v>
      </c>
      <c r="N123" s="53">
        <v>6</v>
      </c>
      <c r="O123" s="53">
        <v>0.85</v>
      </c>
      <c r="P123" s="53">
        <v>0.8</v>
      </c>
      <c r="Q123" s="16">
        <f t="shared" si="8"/>
        <v>0.82499999999999996</v>
      </c>
      <c r="R123" s="53">
        <v>12.8</v>
      </c>
      <c r="S123" s="53">
        <v>120</v>
      </c>
      <c r="T123" s="16">
        <f t="shared" si="4"/>
        <v>30</v>
      </c>
      <c r="U123" s="53">
        <v>538</v>
      </c>
      <c r="V123" s="16">
        <f t="shared" si="7"/>
        <v>2690</v>
      </c>
      <c r="W123" s="53">
        <v>2</v>
      </c>
      <c r="X123" s="53" t="s">
        <v>46</v>
      </c>
      <c r="Y123" s="53" t="s">
        <v>69</v>
      </c>
      <c r="Z123" s="53" t="s">
        <v>90</v>
      </c>
      <c r="AA123" s="53" t="s">
        <v>84</v>
      </c>
      <c r="AB123" s="53" t="s">
        <v>158</v>
      </c>
    </row>
    <row r="124" spans="1:34" x14ac:dyDescent="0.15">
      <c r="A124" s="53" t="s">
        <v>41</v>
      </c>
      <c r="B124" s="53" t="s">
        <v>157</v>
      </c>
      <c r="C124" s="62">
        <v>2019</v>
      </c>
      <c r="D124" s="63" t="s">
        <v>189</v>
      </c>
      <c r="E124" s="53" t="s">
        <v>202</v>
      </c>
      <c r="F124" s="53" t="s">
        <v>209</v>
      </c>
      <c r="G124" s="53" t="s">
        <v>42</v>
      </c>
      <c r="H124" s="53" t="s">
        <v>164</v>
      </c>
      <c r="I124" s="53" t="s">
        <v>159</v>
      </c>
      <c r="J124" s="53" t="s">
        <v>38</v>
      </c>
      <c r="K124" s="53" t="s">
        <v>161</v>
      </c>
      <c r="L124" s="53">
        <v>3</v>
      </c>
      <c r="N124" s="53">
        <v>6</v>
      </c>
      <c r="O124" s="53">
        <v>1</v>
      </c>
      <c r="P124" s="53">
        <v>0.95</v>
      </c>
      <c r="Q124" s="16">
        <f t="shared" si="8"/>
        <v>0.97499999999999998</v>
      </c>
      <c r="R124" s="53">
        <v>14.2</v>
      </c>
      <c r="S124" s="53">
        <v>119</v>
      </c>
      <c r="T124" s="16">
        <f t="shared" si="4"/>
        <v>30</v>
      </c>
      <c r="U124" s="53">
        <v>538</v>
      </c>
      <c r="V124" s="16">
        <f t="shared" si="7"/>
        <v>2690</v>
      </c>
      <c r="W124" s="53">
        <v>2</v>
      </c>
      <c r="X124" s="53" t="s">
        <v>46</v>
      </c>
      <c r="Y124" s="53" t="s">
        <v>69</v>
      </c>
      <c r="Z124" s="53" t="s">
        <v>90</v>
      </c>
      <c r="AA124" s="53" t="s">
        <v>84</v>
      </c>
      <c r="AB124" s="53" t="s">
        <v>158</v>
      </c>
    </row>
    <row r="125" spans="1:34" x14ac:dyDescent="0.15">
      <c r="A125" s="53" t="s">
        <v>41</v>
      </c>
      <c r="B125" s="53" t="s">
        <v>157</v>
      </c>
      <c r="C125" s="62">
        <v>2019</v>
      </c>
      <c r="D125" s="63" t="s">
        <v>189</v>
      </c>
      <c r="E125" s="53" t="s">
        <v>205</v>
      </c>
      <c r="F125" s="53" t="s">
        <v>206</v>
      </c>
      <c r="G125" s="53" t="s">
        <v>42</v>
      </c>
      <c r="H125" s="53" t="s">
        <v>164</v>
      </c>
      <c r="I125" s="53" t="s">
        <v>159</v>
      </c>
      <c r="J125" s="53" t="s">
        <v>38</v>
      </c>
      <c r="K125" s="53" t="s">
        <v>161</v>
      </c>
      <c r="L125" s="53">
        <v>1</v>
      </c>
      <c r="N125" s="53">
        <v>1</v>
      </c>
      <c r="O125" s="53">
        <v>0.8</v>
      </c>
      <c r="P125" s="53">
        <v>0.75</v>
      </c>
      <c r="Q125" s="75">
        <f t="shared" si="8"/>
        <v>0.77500000000000002</v>
      </c>
      <c r="R125" s="53">
        <v>11.2</v>
      </c>
      <c r="S125" s="53">
        <v>124</v>
      </c>
      <c r="T125" s="16">
        <f t="shared" si="4"/>
        <v>27</v>
      </c>
      <c r="U125" s="53">
        <v>105</v>
      </c>
      <c r="V125" s="16">
        <f t="shared" si="7"/>
        <v>2835</v>
      </c>
      <c r="W125" s="53">
        <v>3</v>
      </c>
      <c r="X125" s="53" t="s">
        <v>46</v>
      </c>
      <c r="Y125" s="53" t="s">
        <v>84</v>
      </c>
      <c r="Z125" s="53" t="s">
        <v>90</v>
      </c>
      <c r="AA125" s="53" t="s">
        <v>69</v>
      </c>
      <c r="AB125" s="53" t="s">
        <v>158</v>
      </c>
      <c r="AC125" s="76"/>
      <c r="AD125" s="76"/>
      <c r="AE125" s="76"/>
      <c r="AF125" s="76"/>
      <c r="AG125" s="76"/>
      <c r="AH125" s="76"/>
    </row>
    <row r="126" spans="1:34" x14ac:dyDescent="0.15">
      <c r="A126" s="53" t="s">
        <v>41</v>
      </c>
      <c r="B126" s="53" t="s">
        <v>157</v>
      </c>
      <c r="C126" s="62">
        <v>2019</v>
      </c>
      <c r="D126" s="63" t="s">
        <v>189</v>
      </c>
      <c r="E126" s="53" t="s">
        <v>205</v>
      </c>
      <c r="F126" s="53" t="s">
        <v>206</v>
      </c>
      <c r="G126" s="53" t="s">
        <v>42</v>
      </c>
      <c r="H126" s="53" t="s">
        <v>164</v>
      </c>
      <c r="I126" s="53" t="s">
        <v>159</v>
      </c>
      <c r="J126" s="53" t="s">
        <v>38</v>
      </c>
      <c r="K126" s="53" t="s">
        <v>161</v>
      </c>
      <c r="L126" s="53">
        <v>2</v>
      </c>
      <c r="N126" s="53">
        <v>1</v>
      </c>
      <c r="O126" s="53">
        <v>0.95</v>
      </c>
      <c r="P126" s="53">
        <v>0.9</v>
      </c>
      <c r="Q126" s="75">
        <f t="shared" si="8"/>
        <v>0.92500000000000004</v>
      </c>
      <c r="R126" s="53">
        <v>10.5</v>
      </c>
      <c r="S126" s="53">
        <v>125</v>
      </c>
      <c r="T126" s="16">
        <f t="shared" si="4"/>
        <v>27</v>
      </c>
      <c r="U126" s="53">
        <v>105</v>
      </c>
      <c r="V126" s="16">
        <f t="shared" si="7"/>
        <v>2835</v>
      </c>
      <c r="W126" s="53">
        <v>3</v>
      </c>
      <c r="X126" s="53" t="s">
        <v>46</v>
      </c>
      <c r="Y126" s="53" t="s">
        <v>84</v>
      </c>
      <c r="Z126" s="53" t="s">
        <v>90</v>
      </c>
      <c r="AA126" s="53" t="s">
        <v>69</v>
      </c>
      <c r="AB126" s="53" t="s">
        <v>158</v>
      </c>
      <c r="AC126" s="76"/>
      <c r="AD126" s="76"/>
      <c r="AE126" s="76"/>
      <c r="AF126" s="76"/>
      <c r="AG126" s="76"/>
      <c r="AH126" s="76"/>
    </row>
    <row r="127" spans="1:34" x14ac:dyDescent="0.15">
      <c r="A127" s="53" t="s">
        <v>41</v>
      </c>
      <c r="B127" s="53" t="s">
        <v>157</v>
      </c>
      <c r="C127" s="62">
        <v>2019</v>
      </c>
      <c r="D127" s="63" t="s">
        <v>189</v>
      </c>
      <c r="E127" s="53" t="s">
        <v>205</v>
      </c>
      <c r="F127" s="53" t="s">
        <v>206</v>
      </c>
      <c r="G127" s="53" t="s">
        <v>42</v>
      </c>
      <c r="H127" s="53" t="s">
        <v>164</v>
      </c>
      <c r="I127" s="53" t="s">
        <v>159</v>
      </c>
      <c r="J127" s="53" t="s">
        <v>38</v>
      </c>
      <c r="K127" s="53" t="s">
        <v>161</v>
      </c>
      <c r="L127" s="53">
        <v>3</v>
      </c>
      <c r="N127" s="53">
        <v>1</v>
      </c>
      <c r="O127" s="53">
        <v>0.8</v>
      </c>
      <c r="P127" s="53">
        <v>0.85</v>
      </c>
      <c r="Q127" s="75">
        <f t="shared" si="8"/>
        <v>0.82499999999999996</v>
      </c>
      <c r="R127" s="53">
        <v>12.8</v>
      </c>
      <c r="S127" s="53">
        <v>122</v>
      </c>
      <c r="T127" s="16">
        <f t="shared" si="4"/>
        <v>27</v>
      </c>
      <c r="U127" s="53">
        <v>105</v>
      </c>
      <c r="V127" s="38">
        <f t="shared" si="7"/>
        <v>2835</v>
      </c>
      <c r="W127" s="53">
        <v>3</v>
      </c>
      <c r="X127" s="53" t="s">
        <v>46</v>
      </c>
      <c r="Y127" s="53" t="s">
        <v>84</v>
      </c>
      <c r="Z127" s="53" t="s">
        <v>90</v>
      </c>
      <c r="AA127" s="53" t="s">
        <v>69</v>
      </c>
      <c r="AB127" s="53" t="s">
        <v>158</v>
      </c>
      <c r="AC127" s="76"/>
      <c r="AD127" s="76"/>
      <c r="AE127" s="76"/>
      <c r="AF127" s="76"/>
      <c r="AG127" s="76"/>
      <c r="AH127" s="76"/>
    </row>
    <row r="128" spans="1:34" x14ac:dyDescent="0.15">
      <c r="A128" s="53" t="s">
        <v>41</v>
      </c>
      <c r="B128" s="53" t="s">
        <v>157</v>
      </c>
      <c r="C128" s="62">
        <v>2018</v>
      </c>
      <c r="D128" s="63" t="s">
        <v>189</v>
      </c>
      <c r="E128" s="53" t="s">
        <v>205</v>
      </c>
      <c r="F128" s="53" t="s">
        <v>206</v>
      </c>
      <c r="G128" s="53" t="s">
        <v>42</v>
      </c>
      <c r="H128" s="53" t="s">
        <v>164</v>
      </c>
      <c r="I128" s="53" t="s">
        <v>159</v>
      </c>
      <c r="J128" s="53" t="s">
        <v>38</v>
      </c>
      <c r="K128" s="53" t="s">
        <v>161</v>
      </c>
      <c r="L128" s="53">
        <v>1</v>
      </c>
      <c r="N128" s="53">
        <v>4</v>
      </c>
      <c r="O128" s="53">
        <v>0.85</v>
      </c>
      <c r="P128" s="53">
        <v>0.85</v>
      </c>
      <c r="Q128" s="75">
        <f t="shared" si="8"/>
        <v>0.85</v>
      </c>
      <c r="R128" s="53">
        <v>13.3</v>
      </c>
      <c r="S128" s="53">
        <v>115</v>
      </c>
      <c r="T128" s="16">
        <f t="shared" si="4"/>
        <v>30</v>
      </c>
      <c r="U128" s="53">
        <v>410</v>
      </c>
      <c r="V128" s="16">
        <f t="shared" si="7"/>
        <v>3075</v>
      </c>
      <c r="W128" s="53">
        <v>1</v>
      </c>
      <c r="X128" s="53" t="s">
        <v>46</v>
      </c>
      <c r="Y128" s="53" t="s">
        <v>84</v>
      </c>
      <c r="Z128" s="53" t="s">
        <v>90</v>
      </c>
      <c r="AA128" s="53" t="s">
        <v>69</v>
      </c>
      <c r="AB128" s="53" t="s">
        <v>158</v>
      </c>
      <c r="AC128" s="76"/>
      <c r="AD128" s="76"/>
      <c r="AE128" s="76"/>
      <c r="AF128" s="76"/>
      <c r="AG128" s="76"/>
      <c r="AH128" s="76"/>
    </row>
    <row r="129" spans="1:34" x14ac:dyDescent="0.15">
      <c r="A129" s="53" t="s">
        <v>41</v>
      </c>
      <c r="B129" s="53" t="s">
        <v>157</v>
      </c>
      <c r="C129" s="62">
        <v>2018</v>
      </c>
      <c r="D129" s="63" t="s">
        <v>189</v>
      </c>
      <c r="E129" s="53" t="s">
        <v>205</v>
      </c>
      <c r="F129" s="53" t="s">
        <v>206</v>
      </c>
      <c r="G129" s="53" t="s">
        <v>42</v>
      </c>
      <c r="H129" s="53" t="s">
        <v>164</v>
      </c>
      <c r="I129" s="53" t="s">
        <v>159</v>
      </c>
      <c r="J129" s="53" t="s">
        <v>38</v>
      </c>
      <c r="K129" s="53" t="s">
        <v>161</v>
      </c>
      <c r="L129" s="53">
        <v>2</v>
      </c>
      <c r="N129" s="53">
        <v>4</v>
      </c>
      <c r="O129" s="53">
        <v>1</v>
      </c>
      <c r="P129" s="53">
        <v>1.3</v>
      </c>
      <c r="Q129" s="75">
        <f t="shared" si="8"/>
        <v>1.1499999999999999</v>
      </c>
      <c r="R129" s="53">
        <v>13.4</v>
      </c>
      <c r="S129" s="53">
        <v>114</v>
      </c>
      <c r="T129" s="16">
        <f t="shared" si="4"/>
        <v>30</v>
      </c>
      <c r="U129" s="53">
        <v>410</v>
      </c>
      <c r="V129" s="16">
        <f t="shared" si="7"/>
        <v>3075</v>
      </c>
      <c r="W129" s="53">
        <v>1</v>
      </c>
      <c r="X129" s="53" t="s">
        <v>46</v>
      </c>
      <c r="Y129" s="53" t="s">
        <v>84</v>
      </c>
      <c r="Z129" s="53" t="s">
        <v>90</v>
      </c>
      <c r="AA129" s="53" t="s">
        <v>69</v>
      </c>
      <c r="AB129" s="53" t="s">
        <v>158</v>
      </c>
      <c r="AC129" s="76"/>
      <c r="AD129" s="76"/>
      <c r="AE129" s="76"/>
      <c r="AF129" s="76"/>
      <c r="AG129" s="76"/>
      <c r="AH129" s="76"/>
    </row>
    <row r="130" spans="1:34" x14ac:dyDescent="0.15">
      <c r="A130" s="53" t="s">
        <v>41</v>
      </c>
      <c r="B130" s="53" t="s">
        <v>157</v>
      </c>
      <c r="C130" s="62">
        <v>2018</v>
      </c>
      <c r="D130" s="63" t="s">
        <v>189</v>
      </c>
      <c r="E130" s="53" t="s">
        <v>205</v>
      </c>
      <c r="F130" s="53" t="s">
        <v>206</v>
      </c>
      <c r="G130" s="53" t="s">
        <v>42</v>
      </c>
      <c r="H130" s="53" t="s">
        <v>164</v>
      </c>
      <c r="I130" s="53" t="s">
        <v>159</v>
      </c>
      <c r="J130" s="53" t="s">
        <v>38</v>
      </c>
      <c r="K130" s="53" t="s">
        <v>161</v>
      </c>
      <c r="L130" s="53">
        <v>3</v>
      </c>
      <c r="N130" s="53">
        <v>4</v>
      </c>
      <c r="O130" s="53">
        <v>1.4</v>
      </c>
      <c r="P130" s="53">
        <v>1.5</v>
      </c>
      <c r="Q130" s="75">
        <f t="shared" si="8"/>
        <v>1.45</v>
      </c>
      <c r="R130" s="53">
        <v>14.5</v>
      </c>
      <c r="S130" s="53">
        <v>116</v>
      </c>
      <c r="T130" s="16">
        <f t="shared" ref="T130:T193" si="9">IF(H130="","",IF(OR(H130="GREEN",H130="GK"),IF(S130&gt;=$AX$2,VLOOKUP(S130,$AX$2:$AY$10,2,1),""),IF(S130&gt;=$AZ$2,VLOOKUP(S130,$AZ$2:$BA$10,2,1),"")))</f>
        <v>30</v>
      </c>
      <c r="U130" s="53">
        <v>410</v>
      </c>
      <c r="V130" s="16">
        <f t="shared" si="7"/>
        <v>3075</v>
      </c>
      <c r="W130" s="53">
        <v>1</v>
      </c>
      <c r="X130" s="53" t="s">
        <v>46</v>
      </c>
      <c r="Y130" s="53" t="s">
        <v>84</v>
      </c>
      <c r="Z130" s="53" t="s">
        <v>90</v>
      </c>
      <c r="AA130" s="53" t="s">
        <v>69</v>
      </c>
      <c r="AB130" s="53" t="s">
        <v>158</v>
      </c>
      <c r="AC130" s="76"/>
      <c r="AD130" s="76"/>
      <c r="AE130" s="76"/>
      <c r="AF130" s="76"/>
      <c r="AG130" s="76"/>
      <c r="AH130" s="76"/>
    </row>
    <row r="131" spans="1:34" x14ac:dyDescent="0.15">
      <c r="A131" s="53" t="s">
        <v>41</v>
      </c>
      <c r="B131" s="53" t="s">
        <v>157</v>
      </c>
      <c r="C131" s="62">
        <v>2018</v>
      </c>
      <c r="D131" s="63" t="s">
        <v>189</v>
      </c>
      <c r="E131" s="53" t="s">
        <v>205</v>
      </c>
      <c r="F131" s="53" t="s">
        <v>206</v>
      </c>
      <c r="G131" s="53" t="s">
        <v>42</v>
      </c>
      <c r="H131" s="53" t="s">
        <v>164</v>
      </c>
      <c r="I131" s="53" t="s">
        <v>159</v>
      </c>
      <c r="J131" s="53" t="s">
        <v>38</v>
      </c>
      <c r="K131" s="53" t="s">
        <v>161</v>
      </c>
      <c r="L131" s="53">
        <v>1</v>
      </c>
      <c r="N131" s="53">
        <v>8</v>
      </c>
      <c r="O131" s="53">
        <v>0.65</v>
      </c>
      <c r="P131" s="53">
        <v>0.7</v>
      </c>
      <c r="Q131" s="75">
        <f t="shared" si="8"/>
        <v>0.67500000000000004</v>
      </c>
      <c r="R131" s="53">
        <v>15.1</v>
      </c>
      <c r="S131" s="53">
        <v>121</v>
      </c>
      <c r="T131" s="16">
        <f t="shared" si="9"/>
        <v>27</v>
      </c>
      <c r="U131" s="53">
        <v>626</v>
      </c>
      <c r="V131" s="16">
        <f t="shared" si="7"/>
        <v>2112.75</v>
      </c>
      <c r="W131" s="53">
        <v>1</v>
      </c>
      <c r="X131" s="53" t="s">
        <v>46</v>
      </c>
      <c r="Y131" s="53" t="s">
        <v>84</v>
      </c>
      <c r="Z131" s="53" t="s">
        <v>90</v>
      </c>
      <c r="AA131" s="53" t="s">
        <v>69</v>
      </c>
      <c r="AB131" s="53" t="s">
        <v>158</v>
      </c>
      <c r="AC131" s="76"/>
      <c r="AD131" s="76"/>
      <c r="AE131" s="76"/>
      <c r="AF131" s="76"/>
      <c r="AG131" s="76"/>
      <c r="AH131" s="76"/>
    </row>
    <row r="132" spans="1:34" x14ac:dyDescent="0.15">
      <c r="A132" s="53" t="s">
        <v>41</v>
      </c>
      <c r="B132" s="53" t="s">
        <v>157</v>
      </c>
      <c r="C132" s="62">
        <v>2018</v>
      </c>
      <c r="D132" s="63" t="s">
        <v>189</v>
      </c>
      <c r="E132" s="53" t="s">
        <v>205</v>
      </c>
      <c r="F132" s="53" t="s">
        <v>206</v>
      </c>
      <c r="G132" s="53" t="s">
        <v>42</v>
      </c>
      <c r="H132" s="53" t="s">
        <v>164</v>
      </c>
      <c r="I132" s="53" t="s">
        <v>159</v>
      </c>
      <c r="J132" s="53" t="s">
        <v>38</v>
      </c>
      <c r="K132" s="53" t="s">
        <v>161</v>
      </c>
      <c r="L132" s="53">
        <v>2</v>
      </c>
      <c r="N132" s="53">
        <v>8</v>
      </c>
      <c r="O132" s="53">
        <v>0.8</v>
      </c>
      <c r="P132" s="53">
        <v>0.85</v>
      </c>
      <c r="Q132" s="75">
        <f t="shared" si="8"/>
        <v>0.82499999999999996</v>
      </c>
      <c r="R132" s="53">
        <v>12.4</v>
      </c>
      <c r="S132" s="53">
        <v>124</v>
      </c>
      <c r="T132" s="16">
        <f t="shared" si="9"/>
        <v>27</v>
      </c>
      <c r="U132" s="53">
        <v>626</v>
      </c>
      <c r="V132" s="16">
        <f t="shared" si="7"/>
        <v>2112.75</v>
      </c>
      <c r="W132" s="53">
        <v>1</v>
      </c>
      <c r="X132" s="53" t="s">
        <v>46</v>
      </c>
      <c r="Y132" s="53" t="s">
        <v>84</v>
      </c>
      <c r="Z132" s="53" t="s">
        <v>90</v>
      </c>
      <c r="AA132" s="53" t="s">
        <v>69</v>
      </c>
      <c r="AB132" s="53" t="s">
        <v>158</v>
      </c>
      <c r="AC132" s="76"/>
      <c r="AD132" s="76"/>
      <c r="AE132" s="76"/>
      <c r="AF132" s="76"/>
      <c r="AG132" s="76"/>
      <c r="AH132" s="76"/>
    </row>
    <row r="133" spans="1:34" x14ac:dyDescent="0.15">
      <c r="A133" s="53" t="s">
        <v>41</v>
      </c>
      <c r="B133" s="53" t="s">
        <v>157</v>
      </c>
      <c r="C133" s="62">
        <v>2018</v>
      </c>
      <c r="D133" s="63" t="s">
        <v>189</v>
      </c>
      <c r="E133" s="53" t="s">
        <v>205</v>
      </c>
      <c r="F133" s="53" t="s">
        <v>206</v>
      </c>
      <c r="G133" s="53" t="s">
        <v>42</v>
      </c>
      <c r="H133" s="53" t="s">
        <v>164</v>
      </c>
      <c r="I133" s="53" t="s">
        <v>159</v>
      </c>
      <c r="J133" s="53" t="s">
        <v>38</v>
      </c>
      <c r="K133" s="53" t="s">
        <v>161</v>
      </c>
      <c r="L133" s="53">
        <v>3</v>
      </c>
      <c r="N133" s="53">
        <v>8</v>
      </c>
      <c r="O133" s="53">
        <v>0.65</v>
      </c>
      <c r="P133" s="53">
        <v>0.7</v>
      </c>
      <c r="Q133" s="75">
        <f t="shared" si="8"/>
        <v>0.67500000000000004</v>
      </c>
      <c r="R133" s="53">
        <v>10.5</v>
      </c>
      <c r="S133" s="53">
        <v>122</v>
      </c>
      <c r="T133" s="16">
        <f t="shared" si="9"/>
        <v>27</v>
      </c>
      <c r="U133" s="53">
        <v>626</v>
      </c>
      <c r="V133" s="16">
        <f t="shared" si="7"/>
        <v>2112.75</v>
      </c>
      <c r="W133" s="53">
        <v>1</v>
      </c>
      <c r="X133" s="53" t="s">
        <v>46</v>
      </c>
      <c r="Y133" s="53" t="s">
        <v>84</v>
      </c>
      <c r="Z133" s="53" t="s">
        <v>90</v>
      </c>
      <c r="AA133" s="53" t="s">
        <v>69</v>
      </c>
      <c r="AB133" s="53" t="s">
        <v>158</v>
      </c>
      <c r="AC133" s="76"/>
      <c r="AD133" s="76"/>
      <c r="AE133" s="76"/>
      <c r="AF133" s="76"/>
      <c r="AG133" s="76"/>
      <c r="AH133" s="76"/>
    </row>
    <row r="134" spans="1:34" x14ac:dyDescent="0.15">
      <c r="A134" s="53" t="s">
        <v>41</v>
      </c>
      <c r="B134" s="53" t="s">
        <v>157</v>
      </c>
      <c r="C134" s="62">
        <v>2019</v>
      </c>
      <c r="D134" s="63" t="s">
        <v>189</v>
      </c>
      <c r="E134" s="53" t="s">
        <v>205</v>
      </c>
      <c r="F134" s="53" t="s">
        <v>206</v>
      </c>
      <c r="G134" s="53" t="s">
        <v>42</v>
      </c>
      <c r="H134" s="53" t="s">
        <v>160</v>
      </c>
      <c r="I134" s="53" t="s">
        <v>159</v>
      </c>
      <c r="J134" s="53" t="s">
        <v>38</v>
      </c>
      <c r="K134" s="53" t="s">
        <v>161</v>
      </c>
      <c r="L134" s="53">
        <v>1</v>
      </c>
      <c r="N134" s="53">
        <v>1</v>
      </c>
      <c r="O134" s="53">
        <v>1.1000000000000001</v>
      </c>
      <c r="P134" s="53">
        <v>1.2</v>
      </c>
      <c r="Q134" s="75">
        <f t="shared" si="8"/>
        <v>1.1499999999999999</v>
      </c>
      <c r="R134" s="53">
        <v>14.5</v>
      </c>
      <c r="S134" s="53">
        <v>124</v>
      </c>
      <c r="T134" s="16">
        <f t="shared" si="9"/>
        <v>27</v>
      </c>
      <c r="U134" s="53">
        <v>138</v>
      </c>
      <c r="V134" s="16">
        <f t="shared" si="7"/>
        <v>3726</v>
      </c>
      <c r="W134" s="53">
        <v>2</v>
      </c>
      <c r="X134" s="53" t="s">
        <v>46</v>
      </c>
      <c r="Y134" s="53" t="s">
        <v>84</v>
      </c>
      <c r="Z134" s="53" t="s">
        <v>90</v>
      </c>
      <c r="AA134" s="53" t="s">
        <v>69</v>
      </c>
      <c r="AB134" s="53" t="s">
        <v>158</v>
      </c>
    </row>
    <row r="135" spans="1:34" x14ac:dyDescent="0.15">
      <c r="A135" s="53" t="s">
        <v>41</v>
      </c>
      <c r="B135" s="53" t="s">
        <v>157</v>
      </c>
      <c r="C135" s="62">
        <v>2019</v>
      </c>
      <c r="D135" s="63" t="s">
        <v>189</v>
      </c>
      <c r="E135" s="53" t="s">
        <v>205</v>
      </c>
      <c r="F135" s="53" t="s">
        <v>206</v>
      </c>
      <c r="G135" s="53" t="s">
        <v>42</v>
      </c>
      <c r="H135" s="53" t="s">
        <v>160</v>
      </c>
      <c r="I135" s="53" t="s">
        <v>159</v>
      </c>
      <c r="J135" s="53" t="s">
        <v>38</v>
      </c>
      <c r="K135" s="53" t="s">
        <v>161</v>
      </c>
      <c r="L135" s="53">
        <v>2</v>
      </c>
      <c r="N135" s="53">
        <v>1</v>
      </c>
      <c r="O135" s="53">
        <v>1.2</v>
      </c>
      <c r="P135" s="53">
        <v>1.05</v>
      </c>
      <c r="Q135" s="75">
        <f t="shared" si="8"/>
        <v>1.125</v>
      </c>
      <c r="R135" s="53">
        <v>14.8</v>
      </c>
      <c r="S135" s="53">
        <v>122</v>
      </c>
      <c r="T135" s="16">
        <f t="shared" si="9"/>
        <v>27</v>
      </c>
      <c r="U135" s="53">
        <v>138</v>
      </c>
      <c r="V135" s="16">
        <f t="shared" si="7"/>
        <v>3726</v>
      </c>
      <c r="W135" s="53">
        <v>2</v>
      </c>
      <c r="X135" s="53" t="s">
        <v>46</v>
      </c>
      <c r="Y135" s="53" t="s">
        <v>84</v>
      </c>
      <c r="Z135" s="53" t="s">
        <v>90</v>
      </c>
      <c r="AA135" s="53" t="s">
        <v>69</v>
      </c>
      <c r="AB135" s="53" t="s">
        <v>158</v>
      </c>
    </row>
    <row r="136" spans="1:34" x14ac:dyDescent="0.15">
      <c r="A136" s="53" t="s">
        <v>41</v>
      </c>
      <c r="B136" s="53" t="s">
        <v>157</v>
      </c>
      <c r="C136" s="62">
        <v>2019</v>
      </c>
      <c r="D136" s="63" t="s">
        <v>189</v>
      </c>
      <c r="E136" s="53" t="s">
        <v>205</v>
      </c>
      <c r="F136" s="53" t="s">
        <v>206</v>
      </c>
      <c r="G136" s="53" t="s">
        <v>42</v>
      </c>
      <c r="H136" s="53" t="s">
        <v>160</v>
      </c>
      <c r="I136" s="53" t="s">
        <v>159</v>
      </c>
      <c r="J136" s="53" t="s">
        <v>38</v>
      </c>
      <c r="K136" s="53" t="s">
        <v>161</v>
      </c>
      <c r="L136" s="53">
        <v>3</v>
      </c>
      <c r="N136" s="53">
        <v>1</v>
      </c>
      <c r="O136" s="53">
        <v>0.9</v>
      </c>
      <c r="P136" s="53">
        <v>1.1000000000000001</v>
      </c>
      <c r="Q136" s="75">
        <f t="shared" si="8"/>
        <v>1</v>
      </c>
      <c r="R136" s="53">
        <v>15.4</v>
      </c>
      <c r="S136" s="53">
        <v>123</v>
      </c>
      <c r="T136" s="16">
        <f t="shared" si="9"/>
        <v>27</v>
      </c>
      <c r="U136" s="53">
        <v>138</v>
      </c>
      <c r="V136" s="38">
        <f t="shared" si="7"/>
        <v>3726</v>
      </c>
      <c r="W136" s="53">
        <v>2</v>
      </c>
      <c r="X136" s="53" t="s">
        <v>46</v>
      </c>
      <c r="Y136" s="53" t="s">
        <v>84</v>
      </c>
      <c r="Z136" s="53" t="s">
        <v>90</v>
      </c>
      <c r="AA136" s="53" t="s">
        <v>69</v>
      </c>
      <c r="AB136" s="53" t="s">
        <v>158</v>
      </c>
    </row>
    <row r="137" spans="1:34" x14ac:dyDescent="0.15">
      <c r="A137" s="53" t="s">
        <v>41</v>
      </c>
      <c r="B137" s="53" t="s">
        <v>157</v>
      </c>
      <c r="C137" s="62">
        <v>2019</v>
      </c>
      <c r="D137" s="63" t="s">
        <v>189</v>
      </c>
      <c r="E137" s="53" t="s">
        <v>205</v>
      </c>
      <c r="F137" s="53" t="s">
        <v>206</v>
      </c>
      <c r="G137" s="53" t="s">
        <v>42</v>
      </c>
      <c r="H137" s="53" t="s">
        <v>160</v>
      </c>
      <c r="I137" s="53" t="s">
        <v>159</v>
      </c>
      <c r="J137" s="53" t="s">
        <v>38</v>
      </c>
      <c r="K137" s="53" t="s">
        <v>161</v>
      </c>
      <c r="L137" s="53">
        <v>1</v>
      </c>
      <c r="N137" s="53">
        <v>4</v>
      </c>
      <c r="O137" s="53">
        <v>1</v>
      </c>
      <c r="P137" s="53">
        <v>0.9</v>
      </c>
      <c r="Q137" s="75">
        <f t="shared" si="8"/>
        <v>0.95</v>
      </c>
      <c r="R137" s="53">
        <v>14.8</v>
      </c>
      <c r="S137" s="53">
        <v>116</v>
      </c>
      <c r="T137" s="16">
        <f t="shared" si="9"/>
        <v>30</v>
      </c>
      <c r="U137" s="53">
        <v>537</v>
      </c>
      <c r="V137" s="16">
        <f t="shared" si="7"/>
        <v>4027.5</v>
      </c>
      <c r="W137" s="53">
        <v>1</v>
      </c>
      <c r="X137" s="53" t="s">
        <v>46</v>
      </c>
      <c r="Y137" s="53" t="s">
        <v>84</v>
      </c>
      <c r="Z137" s="53" t="s">
        <v>90</v>
      </c>
      <c r="AA137" s="53" t="s">
        <v>69</v>
      </c>
      <c r="AB137" s="53" t="s">
        <v>158</v>
      </c>
      <c r="AC137" s="76"/>
      <c r="AD137" s="76"/>
      <c r="AE137" s="76"/>
      <c r="AF137" s="76"/>
      <c r="AG137" s="76"/>
      <c r="AH137" s="76"/>
    </row>
    <row r="138" spans="1:34" x14ac:dyDescent="0.15">
      <c r="A138" s="53" t="s">
        <v>41</v>
      </c>
      <c r="B138" s="53" t="s">
        <v>157</v>
      </c>
      <c r="C138" s="62">
        <v>2019</v>
      </c>
      <c r="D138" s="63" t="s">
        <v>189</v>
      </c>
      <c r="E138" s="53" t="s">
        <v>205</v>
      </c>
      <c r="F138" s="53" t="s">
        <v>206</v>
      </c>
      <c r="G138" s="53" t="s">
        <v>42</v>
      </c>
      <c r="H138" s="53" t="s">
        <v>160</v>
      </c>
      <c r="I138" s="53" t="s">
        <v>159</v>
      </c>
      <c r="J138" s="53" t="s">
        <v>38</v>
      </c>
      <c r="K138" s="53" t="s">
        <v>161</v>
      </c>
      <c r="L138" s="53">
        <v>2</v>
      </c>
      <c r="N138" s="53">
        <v>4</v>
      </c>
      <c r="O138" s="53">
        <v>0.85</v>
      </c>
      <c r="P138" s="53">
        <v>0.95</v>
      </c>
      <c r="Q138" s="75">
        <f t="shared" si="8"/>
        <v>0.89999999999999991</v>
      </c>
      <c r="R138" s="53">
        <v>12.6</v>
      </c>
      <c r="S138" s="53">
        <v>114</v>
      </c>
      <c r="T138" s="16">
        <f t="shared" si="9"/>
        <v>30</v>
      </c>
      <c r="U138" s="53">
        <v>537</v>
      </c>
      <c r="V138" s="16">
        <f t="shared" si="7"/>
        <v>4027.5</v>
      </c>
      <c r="W138" s="53">
        <v>1</v>
      </c>
      <c r="X138" s="53" t="s">
        <v>46</v>
      </c>
      <c r="Y138" s="53" t="s">
        <v>84</v>
      </c>
      <c r="Z138" s="53" t="s">
        <v>90</v>
      </c>
      <c r="AA138" s="53" t="s">
        <v>69</v>
      </c>
      <c r="AB138" s="53" t="s">
        <v>158</v>
      </c>
      <c r="AC138" s="76"/>
      <c r="AD138" s="76"/>
      <c r="AE138" s="76"/>
      <c r="AF138" s="76"/>
      <c r="AG138" s="76"/>
      <c r="AH138" s="76"/>
    </row>
    <row r="139" spans="1:34" x14ac:dyDescent="0.15">
      <c r="A139" s="53" t="s">
        <v>41</v>
      </c>
      <c r="B139" s="53" t="s">
        <v>157</v>
      </c>
      <c r="C139" s="62">
        <v>2019</v>
      </c>
      <c r="D139" s="63" t="s">
        <v>189</v>
      </c>
      <c r="E139" s="53" t="s">
        <v>205</v>
      </c>
      <c r="F139" s="53" t="s">
        <v>206</v>
      </c>
      <c r="G139" s="53" t="s">
        <v>42</v>
      </c>
      <c r="H139" s="53" t="s">
        <v>160</v>
      </c>
      <c r="I139" s="53" t="s">
        <v>159</v>
      </c>
      <c r="J139" s="53" t="s">
        <v>38</v>
      </c>
      <c r="K139" s="53" t="s">
        <v>161</v>
      </c>
      <c r="L139" s="53">
        <v>3</v>
      </c>
      <c r="N139" s="53">
        <v>4</v>
      </c>
      <c r="O139" s="53">
        <v>0.7</v>
      </c>
      <c r="P139" s="53">
        <v>0.75</v>
      </c>
      <c r="Q139" s="75">
        <f t="shared" si="8"/>
        <v>0.72499999999999998</v>
      </c>
      <c r="R139" s="53">
        <v>13.5</v>
      </c>
      <c r="S139" s="53">
        <v>118</v>
      </c>
      <c r="T139" s="16">
        <f t="shared" si="9"/>
        <v>30</v>
      </c>
      <c r="U139" s="53">
        <v>537</v>
      </c>
      <c r="V139" s="38">
        <f t="shared" si="7"/>
        <v>4027.5</v>
      </c>
      <c r="W139" s="53">
        <v>1</v>
      </c>
      <c r="X139" s="53" t="s">
        <v>46</v>
      </c>
      <c r="Y139" s="53" t="s">
        <v>84</v>
      </c>
      <c r="Z139" s="53" t="s">
        <v>90</v>
      </c>
      <c r="AA139" s="53" t="s">
        <v>69</v>
      </c>
      <c r="AB139" s="53" t="s">
        <v>158</v>
      </c>
      <c r="AC139" s="76"/>
      <c r="AD139" s="76"/>
      <c r="AE139" s="76"/>
      <c r="AF139" s="76"/>
      <c r="AG139" s="76"/>
      <c r="AH139" s="76"/>
    </row>
    <row r="140" spans="1:34" x14ac:dyDescent="0.15">
      <c r="A140" s="53" t="s">
        <v>41</v>
      </c>
      <c r="B140" s="53" t="s">
        <v>157</v>
      </c>
      <c r="C140" s="62">
        <v>2019</v>
      </c>
      <c r="D140" s="63" t="s">
        <v>189</v>
      </c>
      <c r="E140" s="53" t="s">
        <v>211</v>
      </c>
      <c r="F140" s="53" t="s">
        <v>212</v>
      </c>
      <c r="G140" s="53" t="s">
        <v>42</v>
      </c>
      <c r="H140" s="53" t="s">
        <v>160</v>
      </c>
      <c r="I140" s="53" t="s">
        <v>159</v>
      </c>
      <c r="J140" s="53" t="s">
        <v>38</v>
      </c>
      <c r="K140" s="53" t="s">
        <v>161</v>
      </c>
      <c r="L140" s="53">
        <v>1</v>
      </c>
      <c r="N140" s="53">
        <v>1</v>
      </c>
      <c r="O140" s="53">
        <v>0.65</v>
      </c>
      <c r="P140" s="53">
        <v>0.7</v>
      </c>
      <c r="Q140" s="75">
        <f t="shared" si="8"/>
        <v>0.67500000000000004</v>
      </c>
      <c r="R140" s="53">
        <v>15.2</v>
      </c>
      <c r="S140" s="53">
        <v>124</v>
      </c>
      <c r="T140" s="16">
        <f t="shared" si="9"/>
        <v>27</v>
      </c>
      <c r="U140" s="53">
        <v>137</v>
      </c>
      <c r="V140" s="38">
        <f t="shared" si="7"/>
        <v>3699</v>
      </c>
      <c r="W140" s="53">
        <v>2</v>
      </c>
      <c r="X140" s="53" t="s">
        <v>46</v>
      </c>
      <c r="Y140" s="53" t="s">
        <v>69</v>
      </c>
      <c r="Z140" s="53" t="s">
        <v>90</v>
      </c>
      <c r="AA140" s="53" t="s">
        <v>84</v>
      </c>
      <c r="AB140" s="53" t="s">
        <v>158</v>
      </c>
      <c r="AC140" s="76"/>
      <c r="AD140" s="76"/>
      <c r="AE140" s="76"/>
      <c r="AF140" s="76"/>
      <c r="AG140" s="76"/>
      <c r="AH140" s="76"/>
    </row>
    <row r="141" spans="1:34" x14ac:dyDescent="0.15">
      <c r="A141" s="53" t="s">
        <v>41</v>
      </c>
      <c r="B141" s="53" t="s">
        <v>157</v>
      </c>
      <c r="C141" s="62">
        <v>2019</v>
      </c>
      <c r="D141" s="63" t="s">
        <v>189</v>
      </c>
      <c r="E141" s="53" t="s">
        <v>211</v>
      </c>
      <c r="F141" s="53" t="s">
        <v>212</v>
      </c>
      <c r="G141" s="53" t="s">
        <v>42</v>
      </c>
      <c r="H141" s="53" t="s">
        <v>160</v>
      </c>
      <c r="I141" s="53" t="s">
        <v>159</v>
      </c>
      <c r="J141" s="53" t="s">
        <v>38</v>
      </c>
      <c r="K141" s="53" t="s">
        <v>161</v>
      </c>
      <c r="L141" s="53">
        <v>2</v>
      </c>
      <c r="N141" s="53">
        <v>1</v>
      </c>
      <c r="O141" s="53">
        <v>0.7</v>
      </c>
      <c r="P141" s="53">
        <v>0.85</v>
      </c>
      <c r="Q141" s="75">
        <f t="shared" si="8"/>
        <v>0.77499999999999991</v>
      </c>
      <c r="R141" s="53">
        <v>13.5</v>
      </c>
      <c r="S141" s="53">
        <v>126</v>
      </c>
      <c r="T141" s="16">
        <f t="shared" si="9"/>
        <v>27</v>
      </c>
      <c r="U141" s="53">
        <v>137</v>
      </c>
      <c r="V141" s="38">
        <f t="shared" si="7"/>
        <v>3699</v>
      </c>
      <c r="W141" s="53">
        <v>2</v>
      </c>
      <c r="X141" s="53" t="s">
        <v>46</v>
      </c>
      <c r="Y141" s="53" t="s">
        <v>69</v>
      </c>
      <c r="Z141" s="53" t="s">
        <v>90</v>
      </c>
      <c r="AA141" s="53" t="s">
        <v>84</v>
      </c>
      <c r="AB141" s="53" t="s">
        <v>158</v>
      </c>
      <c r="AC141" s="76"/>
      <c r="AD141" s="76"/>
      <c r="AE141" s="76"/>
      <c r="AF141" s="76"/>
      <c r="AG141" s="76"/>
      <c r="AH141" s="76"/>
    </row>
    <row r="142" spans="1:34" x14ac:dyDescent="0.15">
      <c r="A142" s="53" t="s">
        <v>41</v>
      </c>
      <c r="B142" s="53" t="s">
        <v>157</v>
      </c>
      <c r="C142" s="62">
        <v>2019</v>
      </c>
      <c r="D142" s="63" t="s">
        <v>189</v>
      </c>
      <c r="E142" s="53" t="s">
        <v>211</v>
      </c>
      <c r="F142" s="53" t="s">
        <v>212</v>
      </c>
      <c r="G142" s="53" t="s">
        <v>42</v>
      </c>
      <c r="H142" s="53" t="s">
        <v>160</v>
      </c>
      <c r="I142" s="53" t="s">
        <v>159</v>
      </c>
      <c r="J142" s="53" t="s">
        <v>38</v>
      </c>
      <c r="K142" s="53" t="s">
        <v>161</v>
      </c>
      <c r="L142" s="53">
        <v>3</v>
      </c>
      <c r="N142" s="53">
        <v>1</v>
      </c>
      <c r="O142" s="53">
        <v>0.8</v>
      </c>
      <c r="P142" s="53">
        <v>0.8</v>
      </c>
      <c r="Q142" s="75">
        <f t="shared" si="8"/>
        <v>0.8</v>
      </c>
      <c r="R142" s="53">
        <v>16</v>
      </c>
      <c r="S142" s="53">
        <v>128</v>
      </c>
      <c r="T142" s="16">
        <f t="shared" si="9"/>
        <v>27</v>
      </c>
      <c r="U142" s="53">
        <v>137</v>
      </c>
      <c r="V142" s="38">
        <f t="shared" si="7"/>
        <v>3699</v>
      </c>
      <c r="W142" s="53">
        <v>2</v>
      </c>
      <c r="X142" s="53" t="s">
        <v>46</v>
      </c>
      <c r="Y142" s="53" t="s">
        <v>69</v>
      </c>
      <c r="Z142" s="53" t="s">
        <v>90</v>
      </c>
      <c r="AA142" s="53" t="s">
        <v>84</v>
      </c>
      <c r="AB142" s="53" t="s">
        <v>158</v>
      </c>
      <c r="AC142" s="76"/>
      <c r="AD142" s="76"/>
      <c r="AE142" s="76"/>
      <c r="AF142" s="76"/>
      <c r="AG142" s="76"/>
      <c r="AH142" s="76"/>
    </row>
    <row r="143" spans="1:34" x14ac:dyDescent="0.15">
      <c r="A143" s="53" t="s">
        <v>41</v>
      </c>
      <c r="B143" s="53" t="s">
        <v>157</v>
      </c>
      <c r="C143" s="62">
        <v>2019</v>
      </c>
      <c r="D143" s="63" t="s">
        <v>189</v>
      </c>
      <c r="E143" s="53" t="s">
        <v>211</v>
      </c>
      <c r="F143" s="53" t="s">
        <v>212</v>
      </c>
      <c r="G143" s="53" t="s">
        <v>42</v>
      </c>
      <c r="H143" s="53" t="s">
        <v>160</v>
      </c>
      <c r="I143" s="53" t="s">
        <v>159</v>
      </c>
      <c r="J143" s="53" t="s">
        <v>38</v>
      </c>
      <c r="K143" s="53" t="s">
        <v>161</v>
      </c>
      <c r="L143" s="53">
        <v>1</v>
      </c>
      <c r="N143" s="53">
        <v>4</v>
      </c>
      <c r="O143" s="53">
        <v>0.85</v>
      </c>
      <c r="P143" s="53">
        <v>1.3</v>
      </c>
      <c r="Q143" s="75">
        <f t="shared" si="8"/>
        <v>1.075</v>
      </c>
      <c r="R143" s="53">
        <v>12.4</v>
      </c>
      <c r="S143" s="53">
        <v>120</v>
      </c>
      <c r="T143" s="16">
        <f t="shared" si="9"/>
        <v>30</v>
      </c>
      <c r="U143" s="53">
        <v>407</v>
      </c>
      <c r="V143" s="38">
        <f t="shared" si="7"/>
        <v>3052.5</v>
      </c>
      <c r="W143" s="53">
        <v>1</v>
      </c>
      <c r="X143" s="53" t="s">
        <v>46</v>
      </c>
      <c r="Y143" s="53" t="s">
        <v>69</v>
      </c>
      <c r="Z143" s="53" t="s">
        <v>90</v>
      </c>
      <c r="AA143" s="53" t="s">
        <v>84</v>
      </c>
      <c r="AB143" s="53" t="s">
        <v>158</v>
      </c>
      <c r="AC143" s="76"/>
      <c r="AD143" s="76"/>
      <c r="AE143" s="76"/>
      <c r="AF143" s="76"/>
      <c r="AG143" s="76"/>
      <c r="AH143" s="76"/>
    </row>
    <row r="144" spans="1:34" x14ac:dyDescent="0.15">
      <c r="A144" s="53" t="s">
        <v>41</v>
      </c>
      <c r="B144" s="53" t="s">
        <v>157</v>
      </c>
      <c r="C144" s="62">
        <v>2019</v>
      </c>
      <c r="D144" s="63" t="s">
        <v>189</v>
      </c>
      <c r="E144" s="53" t="s">
        <v>211</v>
      </c>
      <c r="F144" s="53" t="s">
        <v>212</v>
      </c>
      <c r="G144" s="53" t="s">
        <v>42</v>
      </c>
      <c r="H144" s="53" t="s">
        <v>160</v>
      </c>
      <c r="I144" s="53" t="s">
        <v>159</v>
      </c>
      <c r="J144" s="53" t="s">
        <v>38</v>
      </c>
      <c r="K144" s="53" t="s">
        <v>161</v>
      </c>
      <c r="L144" s="53">
        <v>2</v>
      </c>
      <c r="N144" s="53">
        <v>4</v>
      </c>
      <c r="O144" s="53">
        <v>0.6</v>
      </c>
      <c r="P144" s="53">
        <v>1.4</v>
      </c>
      <c r="Q144" s="75">
        <f t="shared" si="8"/>
        <v>1</v>
      </c>
      <c r="R144" s="53">
        <v>17.399999999999999</v>
      </c>
      <c r="S144" s="53">
        <v>120</v>
      </c>
      <c r="T144" s="16">
        <f t="shared" si="9"/>
        <v>30</v>
      </c>
      <c r="U144" s="53">
        <v>407</v>
      </c>
      <c r="V144" s="38">
        <f t="shared" si="7"/>
        <v>3052.5</v>
      </c>
      <c r="W144" s="53">
        <v>1</v>
      </c>
      <c r="X144" s="53" t="s">
        <v>46</v>
      </c>
      <c r="Y144" s="53" t="s">
        <v>69</v>
      </c>
      <c r="Z144" s="53" t="s">
        <v>90</v>
      </c>
      <c r="AA144" s="53" t="s">
        <v>84</v>
      </c>
      <c r="AB144" s="53" t="s">
        <v>158</v>
      </c>
      <c r="AC144" s="76"/>
      <c r="AD144" s="76"/>
      <c r="AE144" s="76"/>
      <c r="AF144" s="76"/>
      <c r="AG144" s="76"/>
      <c r="AH144" s="76"/>
    </row>
    <row r="145" spans="1:34" x14ac:dyDescent="0.15">
      <c r="A145" s="53" t="s">
        <v>41</v>
      </c>
      <c r="B145" s="53" t="s">
        <v>157</v>
      </c>
      <c r="C145" s="62">
        <v>2019</v>
      </c>
      <c r="D145" s="63" t="s">
        <v>189</v>
      </c>
      <c r="E145" s="53" t="s">
        <v>211</v>
      </c>
      <c r="F145" s="53" t="s">
        <v>212</v>
      </c>
      <c r="G145" s="53" t="s">
        <v>42</v>
      </c>
      <c r="H145" s="53" t="s">
        <v>160</v>
      </c>
      <c r="I145" s="53" t="s">
        <v>159</v>
      </c>
      <c r="J145" s="53" t="s">
        <v>38</v>
      </c>
      <c r="K145" s="53" t="s">
        <v>161</v>
      </c>
      <c r="L145" s="53">
        <v>3</v>
      </c>
      <c r="N145" s="53">
        <v>4</v>
      </c>
      <c r="O145" s="53">
        <v>0.65</v>
      </c>
      <c r="P145" s="53">
        <v>1.2</v>
      </c>
      <c r="Q145" s="75">
        <f t="shared" si="8"/>
        <v>0.92500000000000004</v>
      </c>
      <c r="R145" s="53">
        <v>15.8</v>
      </c>
      <c r="S145" s="53">
        <v>114</v>
      </c>
      <c r="T145" s="16">
        <f t="shared" si="9"/>
        <v>30</v>
      </c>
      <c r="U145" s="53">
        <v>407</v>
      </c>
      <c r="V145" s="38">
        <f t="shared" si="7"/>
        <v>3052.5</v>
      </c>
      <c r="W145" s="53">
        <v>1</v>
      </c>
      <c r="X145" s="53" t="s">
        <v>46</v>
      </c>
      <c r="Y145" s="53" t="s">
        <v>69</v>
      </c>
      <c r="Z145" s="53" t="s">
        <v>90</v>
      </c>
      <c r="AA145" s="53" t="s">
        <v>84</v>
      </c>
      <c r="AB145" s="53" t="s">
        <v>158</v>
      </c>
      <c r="AC145" s="76"/>
      <c r="AD145" s="76"/>
      <c r="AE145" s="76"/>
      <c r="AF145" s="76"/>
      <c r="AG145" s="76"/>
      <c r="AH145" s="76"/>
    </row>
    <row r="146" spans="1:34" x14ac:dyDescent="0.15">
      <c r="A146" s="53" t="s">
        <v>41</v>
      </c>
      <c r="B146" s="53" t="s">
        <v>157</v>
      </c>
      <c r="C146" s="62">
        <v>2019</v>
      </c>
      <c r="D146" s="63" t="s">
        <v>189</v>
      </c>
      <c r="E146" s="53" t="s">
        <v>211</v>
      </c>
      <c r="F146" s="53" t="s">
        <v>212</v>
      </c>
      <c r="G146" s="53" t="s">
        <v>42</v>
      </c>
      <c r="H146" s="53" t="s">
        <v>164</v>
      </c>
      <c r="I146" s="53" t="s">
        <v>159</v>
      </c>
      <c r="J146" s="53" t="s">
        <v>38</v>
      </c>
      <c r="K146" s="53" t="s">
        <v>161</v>
      </c>
      <c r="L146" s="53">
        <v>1</v>
      </c>
      <c r="N146" s="53">
        <v>1</v>
      </c>
      <c r="O146" s="53">
        <v>1</v>
      </c>
      <c r="P146" s="74">
        <v>1.1000000000000001</v>
      </c>
      <c r="Q146" s="16">
        <f t="shared" si="8"/>
        <v>1.05</v>
      </c>
      <c r="R146" s="53">
        <v>12.4</v>
      </c>
      <c r="S146" s="53">
        <v>129</v>
      </c>
      <c r="T146" s="16">
        <f t="shared" si="9"/>
        <v>25</v>
      </c>
      <c r="U146" s="53">
        <v>137</v>
      </c>
      <c r="V146" s="38">
        <f t="shared" si="7"/>
        <v>3425</v>
      </c>
      <c r="W146" s="53">
        <v>2</v>
      </c>
      <c r="X146" s="53" t="s">
        <v>46</v>
      </c>
      <c r="Y146" s="53" t="s">
        <v>69</v>
      </c>
      <c r="Z146" s="53" t="s">
        <v>90</v>
      </c>
      <c r="AA146" s="53" t="s">
        <v>84</v>
      </c>
      <c r="AB146" s="53" t="s">
        <v>158</v>
      </c>
    </row>
    <row r="147" spans="1:34" x14ac:dyDescent="0.15">
      <c r="A147" s="53" t="s">
        <v>41</v>
      </c>
      <c r="B147" s="53" t="s">
        <v>157</v>
      </c>
      <c r="C147" s="62">
        <v>2019</v>
      </c>
      <c r="D147" s="63" t="s">
        <v>189</v>
      </c>
      <c r="E147" s="53" t="s">
        <v>211</v>
      </c>
      <c r="F147" s="53" t="s">
        <v>212</v>
      </c>
      <c r="G147" s="53" t="s">
        <v>42</v>
      </c>
      <c r="H147" s="53" t="s">
        <v>164</v>
      </c>
      <c r="I147" s="53" t="s">
        <v>159</v>
      </c>
      <c r="J147" s="53" t="s">
        <v>38</v>
      </c>
      <c r="K147" s="53" t="s">
        <v>161</v>
      </c>
      <c r="L147" s="53">
        <v>2</v>
      </c>
      <c r="N147" s="53">
        <v>1</v>
      </c>
      <c r="O147" s="53">
        <v>1.3</v>
      </c>
      <c r="P147" s="53">
        <v>1.3</v>
      </c>
      <c r="Q147" s="16">
        <f t="shared" si="8"/>
        <v>1.3</v>
      </c>
      <c r="R147" s="53">
        <v>13.5</v>
      </c>
      <c r="S147" s="53">
        <v>128</v>
      </c>
      <c r="T147" s="16">
        <f t="shared" si="9"/>
        <v>27</v>
      </c>
      <c r="U147" s="53">
        <v>137</v>
      </c>
      <c r="V147" s="38">
        <f t="shared" si="7"/>
        <v>3699</v>
      </c>
      <c r="W147" s="53">
        <v>2</v>
      </c>
      <c r="X147" s="53" t="s">
        <v>46</v>
      </c>
      <c r="Y147" s="53" t="s">
        <v>69</v>
      </c>
      <c r="Z147" s="53" t="s">
        <v>90</v>
      </c>
      <c r="AA147" s="53" t="s">
        <v>84</v>
      </c>
      <c r="AB147" s="53" t="s">
        <v>158</v>
      </c>
    </row>
    <row r="148" spans="1:34" x14ac:dyDescent="0.15">
      <c r="A148" s="53" t="s">
        <v>41</v>
      </c>
      <c r="B148" s="53" t="s">
        <v>157</v>
      </c>
      <c r="C148" s="62">
        <v>2019</v>
      </c>
      <c r="D148" s="63" t="s">
        <v>189</v>
      </c>
      <c r="E148" s="53" t="s">
        <v>211</v>
      </c>
      <c r="F148" s="53" t="s">
        <v>212</v>
      </c>
      <c r="G148" s="53" t="s">
        <v>42</v>
      </c>
      <c r="H148" s="53" t="s">
        <v>164</v>
      </c>
      <c r="I148" s="53" t="s">
        <v>159</v>
      </c>
      <c r="J148" s="53" t="s">
        <v>38</v>
      </c>
      <c r="K148" s="53" t="s">
        <v>161</v>
      </c>
      <c r="L148" s="53">
        <v>3</v>
      </c>
      <c r="N148" s="53">
        <v>1</v>
      </c>
      <c r="O148" s="53">
        <v>1.2</v>
      </c>
      <c r="P148" s="53">
        <v>1.3</v>
      </c>
      <c r="Q148" s="16">
        <f t="shared" si="8"/>
        <v>1.25</v>
      </c>
      <c r="R148" s="53">
        <v>12.4</v>
      </c>
      <c r="S148" s="53">
        <v>130</v>
      </c>
      <c r="T148" s="38">
        <f t="shared" si="9"/>
        <v>25</v>
      </c>
      <c r="U148" s="53">
        <v>137</v>
      </c>
      <c r="V148" s="38">
        <f t="shared" si="7"/>
        <v>3425</v>
      </c>
      <c r="W148" s="53">
        <v>2</v>
      </c>
      <c r="X148" s="53" t="s">
        <v>46</v>
      </c>
      <c r="Y148" s="53" t="s">
        <v>69</v>
      </c>
      <c r="Z148" s="53" t="s">
        <v>90</v>
      </c>
      <c r="AA148" s="53" t="s">
        <v>84</v>
      </c>
      <c r="AB148" s="53" t="s">
        <v>158</v>
      </c>
    </row>
    <row r="149" spans="1:34" x14ac:dyDescent="0.15">
      <c r="A149" s="53" t="s">
        <v>41</v>
      </c>
      <c r="B149" s="53" t="s">
        <v>157</v>
      </c>
      <c r="C149" s="62">
        <v>2019</v>
      </c>
      <c r="D149" s="63" t="s">
        <v>189</v>
      </c>
      <c r="E149" s="53" t="s">
        <v>211</v>
      </c>
      <c r="F149" s="53" t="s">
        <v>212</v>
      </c>
      <c r="G149" s="53" t="s">
        <v>42</v>
      </c>
      <c r="H149" s="53" t="s">
        <v>164</v>
      </c>
      <c r="I149" s="53" t="s">
        <v>159</v>
      </c>
      <c r="J149" s="53" t="s">
        <v>38</v>
      </c>
      <c r="K149" s="53" t="s">
        <v>161</v>
      </c>
      <c r="L149" s="53">
        <v>1</v>
      </c>
      <c r="N149" s="53">
        <v>4</v>
      </c>
      <c r="O149" s="53">
        <v>1</v>
      </c>
      <c r="P149" s="74">
        <v>1</v>
      </c>
      <c r="Q149" s="16">
        <f t="shared" si="8"/>
        <v>1</v>
      </c>
      <c r="R149" s="53">
        <v>12.7</v>
      </c>
      <c r="S149" s="53">
        <v>114</v>
      </c>
      <c r="T149" s="16">
        <f t="shared" si="9"/>
        <v>30</v>
      </c>
      <c r="U149" s="53">
        <v>407</v>
      </c>
      <c r="V149" s="38">
        <f t="shared" si="7"/>
        <v>3052.5</v>
      </c>
      <c r="W149" s="53">
        <v>1</v>
      </c>
      <c r="X149" s="53" t="s">
        <v>46</v>
      </c>
      <c r="Y149" s="53" t="s">
        <v>69</v>
      </c>
      <c r="Z149" s="53" t="s">
        <v>90</v>
      </c>
      <c r="AA149" s="53" t="s">
        <v>84</v>
      </c>
      <c r="AB149" s="53" t="s">
        <v>158</v>
      </c>
    </row>
    <row r="150" spans="1:34" x14ac:dyDescent="0.15">
      <c r="A150" s="53" t="s">
        <v>41</v>
      </c>
      <c r="B150" s="53" t="s">
        <v>157</v>
      </c>
      <c r="C150" s="62">
        <v>2019</v>
      </c>
      <c r="D150" s="63" t="s">
        <v>189</v>
      </c>
      <c r="E150" s="53" t="s">
        <v>211</v>
      </c>
      <c r="F150" s="53" t="s">
        <v>212</v>
      </c>
      <c r="G150" s="53" t="s">
        <v>42</v>
      </c>
      <c r="H150" s="53" t="s">
        <v>164</v>
      </c>
      <c r="I150" s="53" t="s">
        <v>159</v>
      </c>
      <c r="J150" s="53" t="s">
        <v>38</v>
      </c>
      <c r="K150" s="53" t="s">
        <v>161</v>
      </c>
      <c r="L150" s="53">
        <v>2</v>
      </c>
      <c r="N150" s="53">
        <v>4</v>
      </c>
      <c r="O150" s="53">
        <v>0.9</v>
      </c>
      <c r="P150" s="53">
        <v>0.95</v>
      </c>
      <c r="Q150" s="16">
        <f t="shared" si="8"/>
        <v>0.92500000000000004</v>
      </c>
      <c r="R150" s="53">
        <v>13.4</v>
      </c>
      <c r="S150" s="53">
        <v>117</v>
      </c>
      <c r="T150" s="16">
        <f t="shared" si="9"/>
        <v>30</v>
      </c>
      <c r="U150" s="53">
        <v>407</v>
      </c>
      <c r="V150" s="38">
        <f t="shared" si="7"/>
        <v>3052.5</v>
      </c>
      <c r="W150" s="53">
        <v>1</v>
      </c>
      <c r="X150" s="53" t="s">
        <v>46</v>
      </c>
      <c r="Y150" s="53" t="s">
        <v>69</v>
      </c>
      <c r="Z150" s="53" t="s">
        <v>90</v>
      </c>
      <c r="AA150" s="53" t="s">
        <v>84</v>
      </c>
      <c r="AB150" s="53" t="s">
        <v>158</v>
      </c>
    </row>
    <row r="151" spans="1:34" x14ac:dyDescent="0.15">
      <c r="A151" s="53" t="s">
        <v>41</v>
      </c>
      <c r="B151" s="53" t="s">
        <v>157</v>
      </c>
      <c r="C151" s="62">
        <v>2019</v>
      </c>
      <c r="D151" s="63" t="s">
        <v>189</v>
      </c>
      <c r="E151" s="53" t="s">
        <v>211</v>
      </c>
      <c r="F151" s="53" t="s">
        <v>212</v>
      </c>
      <c r="G151" s="53" t="s">
        <v>42</v>
      </c>
      <c r="H151" s="53" t="s">
        <v>164</v>
      </c>
      <c r="I151" s="53" t="s">
        <v>159</v>
      </c>
      <c r="J151" s="53" t="s">
        <v>38</v>
      </c>
      <c r="K151" s="53" t="s">
        <v>161</v>
      </c>
      <c r="L151" s="53">
        <v>3</v>
      </c>
      <c r="N151" s="53">
        <v>4</v>
      </c>
      <c r="O151" s="53">
        <v>1.2</v>
      </c>
      <c r="P151" s="53">
        <v>1.1000000000000001</v>
      </c>
      <c r="Q151" s="16">
        <f t="shared" si="8"/>
        <v>1.1499999999999999</v>
      </c>
      <c r="R151" s="53">
        <v>11.4</v>
      </c>
      <c r="S151" s="53">
        <v>115</v>
      </c>
      <c r="T151" s="38">
        <f t="shared" si="9"/>
        <v>30</v>
      </c>
      <c r="U151" s="53">
        <v>407</v>
      </c>
      <c r="V151" s="38">
        <f t="shared" si="7"/>
        <v>3052.5</v>
      </c>
      <c r="W151" s="53">
        <v>1</v>
      </c>
      <c r="X151" s="53" t="s">
        <v>46</v>
      </c>
      <c r="Y151" s="53" t="s">
        <v>69</v>
      </c>
      <c r="Z151" s="53" t="s">
        <v>90</v>
      </c>
      <c r="AA151" s="53" t="s">
        <v>84</v>
      </c>
      <c r="AB151" s="53" t="s">
        <v>158</v>
      </c>
    </row>
    <row r="152" spans="1:34" x14ac:dyDescent="0.15">
      <c r="Q152" s="75"/>
      <c r="T152" s="16" t="str">
        <f t="shared" si="9"/>
        <v/>
      </c>
      <c r="V152" s="16" t="str">
        <f t="shared" si="7"/>
        <v/>
      </c>
    </row>
    <row r="153" spans="1:34" x14ac:dyDescent="0.15">
      <c r="Q153" s="75"/>
      <c r="T153" s="16" t="str">
        <f t="shared" si="9"/>
        <v/>
      </c>
      <c r="V153" s="16" t="str">
        <f t="shared" si="7"/>
        <v/>
      </c>
    </row>
    <row r="154" spans="1:34" x14ac:dyDescent="0.15">
      <c r="Q154" s="75"/>
      <c r="T154" s="16" t="str">
        <f t="shared" si="9"/>
        <v/>
      </c>
      <c r="V154" s="16" t="str">
        <f t="shared" si="7"/>
        <v/>
      </c>
    </row>
    <row r="155" spans="1:34" x14ac:dyDescent="0.15">
      <c r="Q155" s="75" t="str">
        <f t="shared" si="8"/>
        <v/>
      </c>
      <c r="T155" s="16" t="str">
        <f t="shared" si="9"/>
        <v/>
      </c>
      <c r="V155" s="16" t="str">
        <f t="shared" si="7"/>
        <v/>
      </c>
    </row>
    <row r="156" spans="1:34" x14ac:dyDescent="0.15">
      <c r="Q156" s="75" t="str">
        <f t="shared" si="8"/>
        <v/>
      </c>
      <c r="T156" s="16" t="str">
        <f t="shared" si="9"/>
        <v/>
      </c>
      <c r="V156" s="16" t="str">
        <f t="shared" si="7"/>
        <v/>
      </c>
    </row>
    <row r="157" spans="1:34" x14ac:dyDescent="0.15">
      <c r="Q157" s="75" t="str">
        <f t="shared" si="8"/>
        <v/>
      </c>
      <c r="T157" s="16" t="str">
        <f t="shared" si="9"/>
        <v/>
      </c>
      <c r="V157" s="16" t="str">
        <f t="shared" si="7"/>
        <v/>
      </c>
    </row>
    <row r="158" spans="1:34" x14ac:dyDescent="0.15">
      <c r="Q158" s="75" t="str">
        <f t="shared" si="8"/>
        <v/>
      </c>
      <c r="T158" s="16" t="str">
        <f t="shared" si="9"/>
        <v/>
      </c>
      <c r="V158" s="16" t="str">
        <f t="shared" si="7"/>
        <v/>
      </c>
    </row>
    <row r="159" spans="1:34" x14ac:dyDescent="0.15">
      <c r="Q159" s="75" t="str">
        <f t="shared" si="8"/>
        <v/>
      </c>
      <c r="T159" s="16" t="str">
        <f t="shared" si="9"/>
        <v/>
      </c>
      <c r="V159" s="16" t="str">
        <f t="shared" si="7"/>
        <v/>
      </c>
    </row>
    <row r="160" spans="1:34" x14ac:dyDescent="0.15">
      <c r="Q160" s="75" t="str">
        <f t="shared" si="8"/>
        <v/>
      </c>
      <c r="T160" s="16" t="str">
        <f t="shared" si="9"/>
        <v/>
      </c>
      <c r="V160" s="16" t="str">
        <f t="shared" si="7"/>
        <v/>
      </c>
    </row>
    <row r="161" spans="17:22" x14ac:dyDescent="0.15">
      <c r="Q161" s="75" t="str">
        <f t="shared" si="8"/>
        <v/>
      </c>
      <c r="T161" s="16" t="str">
        <f t="shared" si="9"/>
        <v/>
      </c>
      <c r="V161" s="16" t="str">
        <f t="shared" si="7"/>
        <v/>
      </c>
    </row>
    <row r="162" spans="17:22" x14ac:dyDescent="0.15">
      <c r="Q162" s="75" t="str">
        <f t="shared" si="8"/>
        <v/>
      </c>
      <c r="T162" s="16" t="str">
        <f t="shared" si="9"/>
        <v/>
      </c>
      <c r="V162" s="16" t="str">
        <f t="shared" si="7"/>
        <v/>
      </c>
    </row>
    <row r="163" spans="17:22" x14ac:dyDescent="0.15">
      <c r="Q163" s="75" t="str">
        <f t="shared" si="8"/>
        <v/>
      </c>
      <c r="T163" s="16" t="str">
        <f t="shared" si="9"/>
        <v/>
      </c>
      <c r="V163" s="16" t="str">
        <f t="shared" si="7"/>
        <v/>
      </c>
    </row>
    <row r="164" spans="17:22" x14ac:dyDescent="0.15">
      <c r="Q164" s="75" t="str">
        <f t="shared" si="8"/>
        <v/>
      </c>
      <c r="T164" s="16" t="str">
        <f t="shared" si="9"/>
        <v/>
      </c>
      <c r="V164" s="16" t="str">
        <f t="shared" si="7"/>
        <v/>
      </c>
    </row>
    <row r="165" spans="17:22" x14ac:dyDescent="0.15">
      <c r="Q165" s="75" t="str">
        <f t="shared" si="8"/>
        <v/>
      </c>
      <c r="T165" s="16" t="str">
        <f t="shared" si="9"/>
        <v/>
      </c>
      <c r="V165" s="16" t="str">
        <f t="shared" si="7"/>
        <v/>
      </c>
    </row>
    <row r="166" spans="17:22" x14ac:dyDescent="0.15">
      <c r="Q166" s="75" t="str">
        <f t="shared" si="8"/>
        <v/>
      </c>
      <c r="T166" s="16" t="str">
        <f t="shared" si="9"/>
        <v/>
      </c>
      <c r="V166" s="16" t="str">
        <f t="shared" si="7"/>
        <v/>
      </c>
    </row>
    <row r="167" spans="17:22" x14ac:dyDescent="0.15">
      <c r="Q167" s="75" t="str">
        <f t="shared" si="8"/>
        <v/>
      </c>
      <c r="T167" s="16" t="str">
        <f t="shared" si="9"/>
        <v/>
      </c>
      <c r="V167" s="16" t="str">
        <f t="shared" si="7"/>
        <v/>
      </c>
    </row>
    <row r="168" spans="17:22" x14ac:dyDescent="0.15">
      <c r="Q168" s="75" t="str">
        <f t="shared" si="8"/>
        <v/>
      </c>
      <c r="T168" s="16" t="str">
        <f t="shared" si="9"/>
        <v/>
      </c>
      <c r="V168" s="16" t="str">
        <f t="shared" si="7"/>
        <v/>
      </c>
    </row>
    <row r="169" spans="17:22" x14ac:dyDescent="0.15">
      <c r="Q169" s="75" t="str">
        <f t="shared" si="8"/>
        <v/>
      </c>
      <c r="T169" s="16" t="str">
        <f t="shared" si="9"/>
        <v/>
      </c>
      <c r="V169" s="16" t="str">
        <f t="shared" si="7"/>
        <v/>
      </c>
    </row>
    <row r="170" spans="17:22" x14ac:dyDescent="0.15">
      <c r="Q170" s="75" t="str">
        <f t="shared" si="8"/>
        <v/>
      </c>
      <c r="T170" s="16" t="str">
        <f t="shared" si="9"/>
        <v/>
      </c>
      <c r="V170" s="16" t="str">
        <f t="shared" si="7"/>
        <v/>
      </c>
    </row>
    <row r="171" spans="17:22" x14ac:dyDescent="0.15">
      <c r="Q171" s="75" t="str">
        <f t="shared" si="8"/>
        <v/>
      </c>
      <c r="T171" s="16" t="str">
        <f t="shared" si="9"/>
        <v/>
      </c>
      <c r="V171" s="16" t="str">
        <f t="shared" si="7"/>
        <v/>
      </c>
    </row>
    <row r="172" spans="17:22" x14ac:dyDescent="0.15">
      <c r="Q172" s="75" t="str">
        <f t="shared" si="8"/>
        <v/>
      </c>
      <c r="T172" s="16" t="str">
        <f t="shared" si="9"/>
        <v/>
      </c>
      <c r="V172" s="16" t="str">
        <f t="shared" si="7"/>
        <v/>
      </c>
    </row>
    <row r="173" spans="17:22" x14ac:dyDescent="0.15">
      <c r="Q173" s="75" t="str">
        <f t="shared" si="8"/>
        <v/>
      </c>
      <c r="T173" s="16" t="str">
        <f t="shared" si="9"/>
        <v/>
      </c>
      <c r="V173" s="16" t="str">
        <f t="shared" si="7"/>
        <v/>
      </c>
    </row>
    <row r="174" spans="17:22" x14ac:dyDescent="0.15">
      <c r="Q174" s="75" t="str">
        <f t="shared" si="8"/>
        <v/>
      </c>
      <c r="T174" s="16" t="str">
        <f t="shared" si="9"/>
        <v/>
      </c>
      <c r="V174" s="16" t="str">
        <f t="shared" ref="V174:V237" si="10">IF(OR(N174="",U174="",T174=""),"",U174/N174*T174)</f>
        <v/>
      </c>
    </row>
    <row r="175" spans="17:22" x14ac:dyDescent="0.15">
      <c r="Q175" s="75" t="str">
        <f t="shared" si="8"/>
        <v/>
      </c>
      <c r="T175" s="16" t="str">
        <f t="shared" si="9"/>
        <v/>
      </c>
      <c r="V175" s="16" t="str">
        <f t="shared" si="10"/>
        <v/>
      </c>
    </row>
    <row r="176" spans="17:22" x14ac:dyDescent="0.15">
      <c r="Q176" s="75" t="str">
        <f t="shared" si="8"/>
        <v/>
      </c>
      <c r="T176" s="16" t="str">
        <f t="shared" si="9"/>
        <v/>
      </c>
      <c r="V176" s="16" t="str">
        <f t="shared" si="10"/>
        <v/>
      </c>
    </row>
    <row r="177" spans="17:22" x14ac:dyDescent="0.15">
      <c r="Q177" s="75" t="str">
        <f t="shared" si="8"/>
        <v/>
      </c>
      <c r="T177" s="16" t="str">
        <f t="shared" si="9"/>
        <v/>
      </c>
      <c r="V177" s="16" t="str">
        <f t="shared" si="10"/>
        <v/>
      </c>
    </row>
    <row r="178" spans="17:22" x14ac:dyDescent="0.15">
      <c r="Q178" s="75" t="str">
        <f t="shared" si="8"/>
        <v/>
      </c>
      <c r="T178" s="16" t="str">
        <f t="shared" si="9"/>
        <v/>
      </c>
      <c r="V178" s="16" t="str">
        <f t="shared" si="10"/>
        <v/>
      </c>
    </row>
    <row r="179" spans="17:22" x14ac:dyDescent="0.15">
      <c r="Q179" s="75" t="str">
        <f t="shared" si="8"/>
        <v/>
      </c>
      <c r="T179" s="16" t="str">
        <f t="shared" si="9"/>
        <v/>
      </c>
      <c r="V179" s="16" t="str">
        <f t="shared" si="10"/>
        <v/>
      </c>
    </row>
    <row r="180" spans="17:22" x14ac:dyDescent="0.15">
      <c r="Q180" s="75" t="str">
        <f t="shared" si="8"/>
        <v/>
      </c>
      <c r="T180" s="16" t="str">
        <f t="shared" si="9"/>
        <v/>
      </c>
      <c r="V180" s="16" t="str">
        <f t="shared" si="10"/>
        <v/>
      </c>
    </row>
    <row r="181" spans="17:22" x14ac:dyDescent="0.15">
      <c r="Q181" s="75" t="str">
        <f t="shared" ref="Q181:Q244" si="11">IF(OR(O181="",P181=""),"",AVERAGE(O181,P181))</f>
        <v/>
      </c>
      <c r="T181" s="16" t="str">
        <f t="shared" si="9"/>
        <v/>
      </c>
      <c r="V181" s="16" t="str">
        <f t="shared" si="10"/>
        <v/>
      </c>
    </row>
    <row r="182" spans="17:22" x14ac:dyDescent="0.15">
      <c r="Q182" s="75" t="str">
        <f t="shared" si="11"/>
        <v/>
      </c>
      <c r="T182" s="16" t="str">
        <f t="shared" si="9"/>
        <v/>
      </c>
      <c r="V182" s="16" t="str">
        <f t="shared" si="10"/>
        <v/>
      </c>
    </row>
    <row r="183" spans="17:22" x14ac:dyDescent="0.15">
      <c r="Q183" s="75" t="str">
        <f t="shared" si="11"/>
        <v/>
      </c>
      <c r="T183" s="16" t="str">
        <f t="shared" si="9"/>
        <v/>
      </c>
      <c r="V183" s="16" t="str">
        <f t="shared" si="10"/>
        <v/>
      </c>
    </row>
    <row r="184" spans="17:22" x14ac:dyDescent="0.15">
      <c r="Q184" s="75" t="str">
        <f t="shared" si="11"/>
        <v/>
      </c>
      <c r="T184" s="16" t="str">
        <f t="shared" si="9"/>
        <v/>
      </c>
      <c r="V184" s="16" t="str">
        <f t="shared" si="10"/>
        <v/>
      </c>
    </row>
    <row r="185" spans="17:22" x14ac:dyDescent="0.15">
      <c r="Q185" s="75" t="str">
        <f t="shared" si="11"/>
        <v/>
      </c>
      <c r="T185" s="16" t="str">
        <f t="shared" si="9"/>
        <v/>
      </c>
      <c r="V185" s="16" t="str">
        <f t="shared" si="10"/>
        <v/>
      </c>
    </row>
    <row r="186" spans="17:22" x14ac:dyDescent="0.15">
      <c r="Q186" s="75" t="str">
        <f t="shared" si="11"/>
        <v/>
      </c>
      <c r="T186" s="16" t="str">
        <f t="shared" si="9"/>
        <v/>
      </c>
      <c r="V186" s="16" t="str">
        <f t="shared" si="10"/>
        <v/>
      </c>
    </row>
    <row r="187" spans="17:22" x14ac:dyDescent="0.15">
      <c r="Q187" s="75" t="str">
        <f t="shared" si="11"/>
        <v/>
      </c>
      <c r="T187" s="16" t="str">
        <f t="shared" si="9"/>
        <v/>
      </c>
      <c r="V187" s="16" t="str">
        <f t="shared" si="10"/>
        <v/>
      </c>
    </row>
    <row r="188" spans="17:22" x14ac:dyDescent="0.15">
      <c r="Q188" s="75" t="str">
        <f t="shared" si="11"/>
        <v/>
      </c>
      <c r="T188" s="16" t="str">
        <f t="shared" si="9"/>
        <v/>
      </c>
      <c r="V188" s="16" t="str">
        <f t="shared" si="10"/>
        <v/>
      </c>
    </row>
    <row r="189" spans="17:22" x14ac:dyDescent="0.15">
      <c r="Q189" s="75" t="str">
        <f t="shared" si="11"/>
        <v/>
      </c>
      <c r="T189" s="16" t="str">
        <f t="shared" si="9"/>
        <v/>
      </c>
      <c r="V189" s="16" t="str">
        <f t="shared" si="10"/>
        <v/>
      </c>
    </row>
    <row r="190" spans="17:22" x14ac:dyDescent="0.15">
      <c r="Q190" s="75" t="str">
        <f t="shared" si="11"/>
        <v/>
      </c>
      <c r="T190" s="16" t="str">
        <f t="shared" si="9"/>
        <v/>
      </c>
      <c r="V190" s="16" t="str">
        <f t="shared" si="10"/>
        <v/>
      </c>
    </row>
    <row r="191" spans="17:22" x14ac:dyDescent="0.15">
      <c r="Q191" s="75" t="str">
        <f t="shared" si="11"/>
        <v/>
      </c>
      <c r="T191" s="16" t="str">
        <f t="shared" si="9"/>
        <v/>
      </c>
      <c r="V191" s="16" t="str">
        <f t="shared" si="10"/>
        <v/>
      </c>
    </row>
    <row r="192" spans="17:22" x14ac:dyDescent="0.15">
      <c r="Q192" s="75" t="str">
        <f t="shared" si="11"/>
        <v/>
      </c>
      <c r="T192" s="16" t="str">
        <f t="shared" si="9"/>
        <v/>
      </c>
      <c r="V192" s="16" t="str">
        <f t="shared" si="10"/>
        <v/>
      </c>
    </row>
    <row r="193" spans="17:22" x14ac:dyDescent="0.15">
      <c r="Q193" s="75" t="str">
        <f t="shared" si="11"/>
        <v/>
      </c>
      <c r="T193" s="16" t="str">
        <f t="shared" si="9"/>
        <v/>
      </c>
      <c r="V193" s="16" t="str">
        <f t="shared" si="10"/>
        <v/>
      </c>
    </row>
    <row r="194" spans="17:22" x14ac:dyDescent="0.15">
      <c r="Q194" s="75" t="str">
        <f t="shared" si="11"/>
        <v/>
      </c>
      <c r="T194" s="16" t="str">
        <f t="shared" ref="T194:T257" si="12">IF(H194="","",IF(OR(H194="GREEN",H194="GK"),IF(S194&gt;=$AX$2,VLOOKUP(S194,$AX$2:$AY$10,2,1),""),IF(S194&gt;=$AZ$2,VLOOKUP(S194,$AZ$2:$BA$10,2,1),"")))</f>
        <v/>
      </c>
      <c r="V194" s="16" t="str">
        <f t="shared" si="10"/>
        <v/>
      </c>
    </row>
    <row r="195" spans="17:22" x14ac:dyDescent="0.15">
      <c r="Q195" s="75" t="str">
        <f t="shared" si="11"/>
        <v/>
      </c>
      <c r="T195" s="16" t="str">
        <f t="shared" si="12"/>
        <v/>
      </c>
      <c r="V195" s="16" t="str">
        <f t="shared" si="10"/>
        <v/>
      </c>
    </row>
    <row r="196" spans="17:22" x14ac:dyDescent="0.15">
      <c r="Q196" s="75" t="str">
        <f t="shared" si="11"/>
        <v/>
      </c>
      <c r="T196" s="16" t="str">
        <f t="shared" si="12"/>
        <v/>
      </c>
      <c r="V196" s="16" t="str">
        <f t="shared" si="10"/>
        <v/>
      </c>
    </row>
    <row r="197" spans="17:22" x14ac:dyDescent="0.15">
      <c r="Q197" s="75" t="str">
        <f t="shared" si="11"/>
        <v/>
      </c>
      <c r="T197" s="16" t="str">
        <f t="shared" si="12"/>
        <v/>
      </c>
      <c r="V197" s="16" t="str">
        <f t="shared" si="10"/>
        <v/>
      </c>
    </row>
    <row r="198" spans="17:22" x14ac:dyDescent="0.15">
      <c r="Q198" s="75" t="str">
        <f t="shared" si="11"/>
        <v/>
      </c>
      <c r="T198" s="16" t="str">
        <f t="shared" si="12"/>
        <v/>
      </c>
      <c r="V198" s="16" t="str">
        <f t="shared" si="10"/>
        <v/>
      </c>
    </row>
    <row r="199" spans="17:22" x14ac:dyDescent="0.15">
      <c r="Q199" s="75" t="str">
        <f t="shared" si="11"/>
        <v/>
      </c>
      <c r="T199" s="16" t="str">
        <f t="shared" si="12"/>
        <v/>
      </c>
      <c r="V199" s="16" t="str">
        <f t="shared" si="10"/>
        <v/>
      </c>
    </row>
    <row r="200" spans="17:22" x14ac:dyDescent="0.15">
      <c r="Q200" s="75" t="str">
        <f t="shared" si="11"/>
        <v/>
      </c>
      <c r="T200" s="16" t="str">
        <f t="shared" si="12"/>
        <v/>
      </c>
      <c r="V200" s="16" t="str">
        <f t="shared" si="10"/>
        <v/>
      </c>
    </row>
    <row r="201" spans="17:22" x14ac:dyDescent="0.15">
      <c r="Q201" s="75" t="str">
        <f t="shared" si="11"/>
        <v/>
      </c>
      <c r="T201" s="16" t="str">
        <f t="shared" si="12"/>
        <v/>
      </c>
      <c r="V201" s="16" t="str">
        <f t="shared" si="10"/>
        <v/>
      </c>
    </row>
    <row r="202" spans="17:22" x14ac:dyDescent="0.15">
      <c r="Q202" s="75" t="str">
        <f t="shared" si="11"/>
        <v/>
      </c>
      <c r="T202" s="16" t="str">
        <f t="shared" si="12"/>
        <v/>
      </c>
      <c r="V202" s="16" t="str">
        <f t="shared" si="10"/>
        <v/>
      </c>
    </row>
    <row r="203" spans="17:22" x14ac:dyDescent="0.15">
      <c r="Q203" s="75" t="str">
        <f t="shared" si="11"/>
        <v/>
      </c>
      <c r="T203" s="16" t="str">
        <f t="shared" si="12"/>
        <v/>
      </c>
      <c r="V203" s="16" t="str">
        <f t="shared" si="10"/>
        <v/>
      </c>
    </row>
    <row r="204" spans="17:22" x14ac:dyDescent="0.15">
      <c r="Q204" s="75" t="str">
        <f t="shared" si="11"/>
        <v/>
      </c>
      <c r="T204" s="16" t="str">
        <f t="shared" si="12"/>
        <v/>
      </c>
      <c r="V204" s="16" t="str">
        <f t="shared" si="10"/>
        <v/>
      </c>
    </row>
    <row r="205" spans="17:22" x14ac:dyDescent="0.15">
      <c r="Q205" s="75" t="str">
        <f t="shared" si="11"/>
        <v/>
      </c>
      <c r="T205" s="16" t="str">
        <f t="shared" si="12"/>
        <v/>
      </c>
      <c r="V205" s="16" t="str">
        <f t="shared" si="10"/>
        <v/>
      </c>
    </row>
    <row r="206" spans="17:22" x14ac:dyDescent="0.15">
      <c r="Q206" s="75" t="str">
        <f t="shared" si="11"/>
        <v/>
      </c>
      <c r="T206" s="16" t="str">
        <f t="shared" si="12"/>
        <v/>
      </c>
      <c r="V206" s="16" t="str">
        <f t="shared" si="10"/>
        <v/>
      </c>
    </row>
    <row r="207" spans="17:22" x14ac:dyDescent="0.15">
      <c r="Q207" s="75" t="str">
        <f t="shared" si="11"/>
        <v/>
      </c>
      <c r="T207" s="16" t="str">
        <f t="shared" si="12"/>
        <v/>
      </c>
      <c r="V207" s="16" t="str">
        <f t="shared" si="10"/>
        <v/>
      </c>
    </row>
    <row r="208" spans="17:22" x14ac:dyDescent="0.15">
      <c r="Q208" s="75" t="str">
        <f t="shared" si="11"/>
        <v/>
      </c>
      <c r="T208" s="16" t="str">
        <f t="shared" si="12"/>
        <v/>
      </c>
      <c r="V208" s="16" t="str">
        <f t="shared" si="10"/>
        <v/>
      </c>
    </row>
    <row r="209" spans="17:22" x14ac:dyDescent="0.15">
      <c r="Q209" s="75" t="str">
        <f t="shared" si="11"/>
        <v/>
      </c>
      <c r="T209" s="16" t="str">
        <f t="shared" si="12"/>
        <v/>
      </c>
      <c r="V209" s="16" t="str">
        <f t="shared" si="10"/>
        <v/>
      </c>
    </row>
    <row r="210" spans="17:22" x14ac:dyDescent="0.15">
      <c r="Q210" s="75" t="str">
        <f t="shared" si="11"/>
        <v/>
      </c>
      <c r="T210" s="16" t="str">
        <f t="shared" si="12"/>
        <v/>
      </c>
      <c r="V210" s="16" t="str">
        <f t="shared" si="10"/>
        <v/>
      </c>
    </row>
    <row r="211" spans="17:22" x14ac:dyDescent="0.15">
      <c r="Q211" s="75" t="str">
        <f t="shared" si="11"/>
        <v/>
      </c>
      <c r="T211" s="16" t="str">
        <f t="shared" si="12"/>
        <v/>
      </c>
      <c r="V211" s="16" t="str">
        <f t="shared" si="10"/>
        <v/>
      </c>
    </row>
    <row r="212" spans="17:22" x14ac:dyDescent="0.15">
      <c r="Q212" s="75" t="str">
        <f t="shared" si="11"/>
        <v/>
      </c>
      <c r="T212" s="16" t="str">
        <f t="shared" si="12"/>
        <v/>
      </c>
      <c r="V212" s="16" t="str">
        <f t="shared" si="10"/>
        <v/>
      </c>
    </row>
    <row r="213" spans="17:22" x14ac:dyDescent="0.15">
      <c r="Q213" s="75" t="str">
        <f t="shared" si="11"/>
        <v/>
      </c>
      <c r="T213" s="16" t="str">
        <f t="shared" si="12"/>
        <v/>
      </c>
      <c r="V213" s="16" t="str">
        <f t="shared" si="10"/>
        <v/>
      </c>
    </row>
    <row r="214" spans="17:22" x14ac:dyDescent="0.15">
      <c r="Q214" s="75" t="str">
        <f t="shared" si="11"/>
        <v/>
      </c>
      <c r="T214" s="16" t="str">
        <f t="shared" si="12"/>
        <v/>
      </c>
      <c r="V214" s="16" t="str">
        <f t="shared" si="10"/>
        <v/>
      </c>
    </row>
    <row r="215" spans="17:22" x14ac:dyDescent="0.15">
      <c r="Q215" s="75" t="str">
        <f t="shared" si="11"/>
        <v/>
      </c>
      <c r="T215" s="16" t="str">
        <f t="shared" si="12"/>
        <v/>
      </c>
      <c r="V215" s="16" t="str">
        <f t="shared" si="10"/>
        <v/>
      </c>
    </row>
    <row r="216" spans="17:22" x14ac:dyDescent="0.15">
      <c r="Q216" s="75" t="str">
        <f t="shared" si="11"/>
        <v/>
      </c>
      <c r="T216" s="16" t="str">
        <f t="shared" si="12"/>
        <v/>
      </c>
      <c r="V216" s="16" t="str">
        <f t="shared" si="10"/>
        <v/>
      </c>
    </row>
    <row r="217" spans="17:22" x14ac:dyDescent="0.15">
      <c r="Q217" s="75" t="str">
        <f t="shared" si="11"/>
        <v/>
      </c>
      <c r="T217" s="16" t="str">
        <f t="shared" si="12"/>
        <v/>
      </c>
      <c r="V217" s="16" t="str">
        <f t="shared" si="10"/>
        <v/>
      </c>
    </row>
    <row r="218" spans="17:22" x14ac:dyDescent="0.15">
      <c r="Q218" s="75" t="str">
        <f t="shared" si="11"/>
        <v/>
      </c>
      <c r="T218" s="16" t="str">
        <f t="shared" si="12"/>
        <v/>
      </c>
      <c r="V218" s="16" t="str">
        <f t="shared" si="10"/>
        <v/>
      </c>
    </row>
    <row r="219" spans="17:22" x14ac:dyDescent="0.15">
      <c r="Q219" s="75" t="str">
        <f t="shared" si="11"/>
        <v/>
      </c>
      <c r="T219" s="16" t="str">
        <f t="shared" si="12"/>
        <v/>
      </c>
      <c r="V219" s="16" t="str">
        <f t="shared" si="10"/>
        <v/>
      </c>
    </row>
    <row r="220" spans="17:22" x14ac:dyDescent="0.15">
      <c r="Q220" s="75" t="str">
        <f t="shared" si="11"/>
        <v/>
      </c>
      <c r="T220" s="16" t="str">
        <f t="shared" si="12"/>
        <v/>
      </c>
      <c r="V220" s="16" t="str">
        <f t="shared" si="10"/>
        <v/>
      </c>
    </row>
    <row r="221" spans="17:22" x14ac:dyDescent="0.15">
      <c r="Q221" s="75" t="str">
        <f t="shared" si="11"/>
        <v/>
      </c>
      <c r="T221" s="16" t="str">
        <f t="shared" si="12"/>
        <v/>
      </c>
      <c r="V221" s="16" t="str">
        <f t="shared" si="10"/>
        <v/>
      </c>
    </row>
    <row r="222" spans="17:22" x14ac:dyDescent="0.15">
      <c r="Q222" s="75" t="str">
        <f t="shared" si="11"/>
        <v/>
      </c>
      <c r="T222" s="16" t="str">
        <f t="shared" si="12"/>
        <v/>
      </c>
      <c r="V222" s="16" t="str">
        <f t="shared" si="10"/>
        <v/>
      </c>
    </row>
    <row r="223" spans="17:22" x14ac:dyDescent="0.15">
      <c r="Q223" s="75" t="str">
        <f t="shared" si="11"/>
        <v/>
      </c>
      <c r="T223" s="16" t="str">
        <f t="shared" si="12"/>
        <v/>
      </c>
      <c r="V223" s="16" t="str">
        <f t="shared" si="10"/>
        <v/>
      </c>
    </row>
    <row r="224" spans="17:22" x14ac:dyDescent="0.15">
      <c r="Q224" s="75" t="str">
        <f t="shared" si="11"/>
        <v/>
      </c>
      <c r="T224" s="16" t="str">
        <f t="shared" si="12"/>
        <v/>
      </c>
      <c r="V224" s="16" t="str">
        <f t="shared" si="10"/>
        <v/>
      </c>
    </row>
    <row r="225" spans="17:22" x14ac:dyDescent="0.15">
      <c r="Q225" s="75" t="str">
        <f t="shared" si="11"/>
        <v/>
      </c>
      <c r="T225" s="16" t="str">
        <f t="shared" si="12"/>
        <v/>
      </c>
      <c r="V225" s="16" t="str">
        <f t="shared" si="10"/>
        <v/>
      </c>
    </row>
    <row r="226" spans="17:22" x14ac:dyDescent="0.15">
      <c r="Q226" s="75" t="str">
        <f t="shared" si="11"/>
        <v/>
      </c>
      <c r="T226" s="16" t="str">
        <f t="shared" si="12"/>
        <v/>
      </c>
      <c r="V226" s="16" t="str">
        <f t="shared" si="10"/>
        <v/>
      </c>
    </row>
    <row r="227" spans="17:22" x14ac:dyDescent="0.15">
      <c r="Q227" s="75" t="str">
        <f t="shared" si="11"/>
        <v/>
      </c>
      <c r="T227" s="16" t="str">
        <f t="shared" si="12"/>
        <v/>
      </c>
      <c r="V227" s="16" t="str">
        <f t="shared" si="10"/>
        <v/>
      </c>
    </row>
    <row r="228" spans="17:22" x14ac:dyDescent="0.15">
      <c r="Q228" s="75" t="str">
        <f t="shared" si="11"/>
        <v/>
      </c>
      <c r="T228" s="16" t="str">
        <f t="shared" si="12"/>
        <v/>
      </c>
      <c r="V228" s="16" t="str">
        <f t="shared" si="10"/>
        <v/>
      </c>
    </row>
    <row r="229" spans="17:22" x14ac:dyDescent="0.15">
      <c r="Q229" s="75" t="str">
        <f t="shared" si="11"/>
        <v/>
      </c>
      <c r="T229" s="16" t="str">
        <f t="shared" si="12"/>
        <v/>
      </c>
      <c r="V229" s="16" t="str">
        <f t="shared" si="10"/>
        <v/>
      </c>
    </row>
    <row r="230" spans="17:22" x14ac:dyDescent="0.15">
      <c r="Q230" s="75" t="str">
        <f t="shared" si="11"/>
        <v/>
      </c>
      <c r="T230" s="16" t="str">
        <f t="shared" si="12"/>
        <v/>
      </c>
      <c r="V230" s="16" t="str">
        <f t="shared" si="10"/>
        <v/>
      </c>
    </row>
    <row r="231" spans="17:22" x14ac:dyDescent="0.15">
      <c r="Q231" s="75" t="str">
        <f t="shared" si="11"/>
        <v/>
      </c>
      <c r="T231" s="16" t="str">
        <f t="shared" si="12"/>
        <v/>
      </c>
      <c r="V231" s="16" t="str">
        <f t="shared" si="10"/>
        <v/>
      </c>
    </row>
    <row r="232" spans="17:22" x14ac:dyDescent="0.15">
      <c r="Q232" s="75" t="str">
        <f t="shared" si="11"/>
        <v/>
      </c>
      <c r="T232" s="16" t="str">
        <f t="shared" si="12"/>
        <v/>
      </c>
      <c r="V232" s="16" t="str">
        <f t="shared" si="10"/>
        <v/>
      </c>
    </row>
    <row r="233" spans="17:22" x14ac:dyDescent="0.15">
      <c r="Q233" s="75" t="str">
        <f t="shared" si="11"/>
        <v/>
      </c>
      <c r="T233" s="16" t="str">
        <f t="shared" si="12"/>
        <v/>
      </c>
      <c r="V233" s="16" t="str">
        <f t="shared" si="10"/>
        <v/>
      </c>
    </row>
    <row r="234" spans="17:22" x14ac:dyDescent="0.15">
      <c r="Q234" s="75" t="str">
        <f t="shared" si="11"/>
        <v/>
      </c>
      <c r="T234" s="16" t="str">
        <f t="shared" si="12"/>
        <v/>
      </c>
      <c r="V234" s="16" t="str">
        <f t="shared" si="10"/>
        <v/>
      </c>
    </row>
    <row r="235" spans="17:22" x14ac:dyDescent="0.15">
      <c r="Q235" s="75" t="str">
        <f t="shared" si="11"/>
        <v/>
      </c>
      <c r="T235" s="16" t="str">
        <f t="shared" si="12"/>
        <v/>
      </c>
      <c r="V235" s="16" t="str">
        <f t="shared" si="10"/>
        <v/>
      </c>
    </row>
    <row r="236" spans="17:22" x14ac:dyDescent="0.15">
      <c r="Q236" s="75" t="str">
        <f t="shared" si="11"/>
        <v/>
      </c>
      <c r="T236" s="16" t="str">
        <f t="shared" si="12"/>
        <v/>
      </c>
      <c r="V236" s="16" t="str">
        <f t="shared" si="10"/>
        <v/>
      </c>
    </row>
    <row r="237" spans="17:22" x14ac:dyDescent="0.15">
      <c r="Q237" s="75" t="str">
        <f t="shared" si="11"/>
        <v/>
      </c>
      <c r="T237" s="16" t="str">
        <f t="shared" si="12"/>
        <v/>
      </c>
      <c r="V237" s="16" t="str">
        <f t="shared" si="10"/>
        <v/>
      </c>
    </row>
    <row r="238" spans="17:22" x14ac:dyDescent="0.15">
      <c r="Q238" s="75" t="str">
        <f t="shared" si="11"/>
        <v/>
      </c>
      <c r="T238" s="16" t="str">
        <f t="shared" si="12"/>
        <v/>
      </c>
      <c r="V238" s="16" t="str">
        <f t="shared" ref="V238:V301" si="13">IF(OR(N238="",U238="",T238=""),"",U238/N238*T238)</f>
        <v/>
      </c>
    </row>
    <row r="239" spans="17:22" x14ac:dyDescent="0.15">
      <c r="Q239" s="75" t="str">
        <f t="shared" si="11"/>
        <v/>
      </c>
      <c r="T239" s="16" t="str">
        <f t="shared" si="12"/>
        <v/>
      </c>
      <c r="V239" s="16" t="str">
        <f t="shared" si="13"/>
        <v/>
      </c>
    </row>
    <row r="240" spans="17:22" x14ac:dyDescent="0.15">
      <c r="Q240" s="75" t="str">
        <f t="shared" si="11"/>
        <v/>
      </c>
      <c r="T240" s="16" t="str">
        <f t="shared" si="12"/>
        <v/>
      </c>
      <c r="V240" s="16" t="str">
        <f t="shared" si="13"/>
        <v/>
      </c>
    </row>
    <row r="241" spans="17:22" x14ac:dyDescent="0.15">
      <c r="Q241" s="75" t="str">
        <f t="shared" si="11"/>
        <v/>
      </c>
      <c r="T241" s="16" t="str">
        <f t="shared" si="12"/>
        <v/>
      </c>
      <c r="V241" s="16" t="str">
        <f t="shared" si="13"/>
        <v/>
      </c>
    </row>
    <row r="242" spans="17:22" x14ac:dyDescent="0.15">
      <c r="Q242" s="75" t="str">
        <f t="shared" si="11"/>
        <v/>
      </c>
      <c r="T242" s="16" t="str">
        <f t="shared" si="12"/>
        <v/>
      </c>
      <c r="V242" s="16" t="str">
        <f t="shared" si="13"/>
        <v/>
      </c>
    </row>
    <row r="243" spans="17:22" x14ac:dyDescent="0.15">
      <c r="Q243" s="75" t="str">
        <f t="shared" si="11"/>
        <v/>
      </c>
      <c r="T243" s="16" t="str">
        <f t="shared" si="12"/>
        <v/>
      </c>
      <c r="V243" s="16" t="str">
        <f t="shared" si="13"/>
        <v/>
      </c>
    </row>
    <row r="244" spans="17:22" x14ac:dyDescent="0.15">
      <c r="Q244" s="75" t="str">
        <f t="shared" si="11"/>
        <v/>
      </c>
      <c r="T244" s="16" t="str">
        <f t="shared" si="12"/>
        <v/>
      </c>
      <c r="V244" s="16" t="str">
        <f t="shared" si="13"/>
        <v/>
      </c>
    </row>
    <row r="245" spans="17:22" x14ac:dyDescent="0.15">
      <c r="Q245" s="75" t="str">
        <f t="shared" ref="Q245:Q308" si="14">IF(OR(O245="",P245=""),"",AVERAGE(O245,P245))</f>
        <v/>
      </c>
      <c r="T245" s="16" t="str">
        <f t="shared" si="12"/>
        <v/>
      </c>
      <c r="V245" s="16" t="str">
        <f t="shared" si="13"/>
        <v/>
      </c>
    </row>
    <row r="246" spans="17:22" x14ac:dyDescent="0.15">
      <c r="Q246" s="75" t="str">
        <f t="shared" si="14"/>
        <v/>
      </c>
      <c r="T246" s="16" t="str">
        <f t="shared" si="12"/>
        <v/>
      </c>
      <c r="V246" s="16" t="str">
        <f t="shared" si="13"/>
        <v/>
      </c>
    </row>
    <row r="247" spans="17:22" x14ac:dyDescent="0.15">
      <c r="Q247" s="75" t="str">
        <f t="shared" si="14"/>
        <v/>
      </c>
      <c r="T247" s="16" t="str">
        <f t="shared" si="12"/>
        <v/>
      </c>
      <c r="V247" s="16" t="str">
        <f t="shared" si="13"/>
        <v/>
      </c>
    </row>
    <row r="248" spans="17:22" x14ac:dyDescent="0.15">
      <c r="Q248" s="75" t="str">
        <f t="shared" si="14"/>
        <v/>
      </c>
      <c r="T248" s="16" t="str">
        <f t="shared" si="12"/>
        <v/>
      </c>
      <c r="V248" s="16" t="str">
        <f t="shared" si="13"/>
        <v/>
      </c>
    </row>
    <row r="249" spans="17:22" x14ac:dyDescent="0.15">
      <c r="Q249" s="75" t="str">
        <f t="shared" si="14"/>
        <v/>
      </c>
      <c r="T249" s="16" t="str">
        <f t="shared" si="12"/>
        <v/>
      </c>
      <c r="V249" s="16" t="str">
        <f t="shared" si="13"/>
        <v/>
      </c>
    </row>
    <row r="250" spans="17:22" x14ac:dyDescent="0.15">
      <c r="Q250" s="75" t="str">
        <f t="shared" si="14"/>
        <v/>
      </c>
      <c r="T250" s="16" t="str">
        <f t="shared" si="12"/>
        <v/>
      </c>
      <c r="V250" s="16" t="str">
        <f t="shared" si="13"/>
        <v/>
      </c>
    </row>
    <row r="251" spans="17:22" x14ac:dyDescent="0.15">
      <c r="Q251" s="75" t="str">
        <f t="shared" si="14"/>
        <v/>
      </c>
      <c r="T251" s="16" t="str">
        <f t="shared" si="12"/>
        <v/>
      </c>
      <c r="V251" s="16" t="str">
        <f t="shared" si="13"/>
        <v/>
      </c>
    </row>
    <row r="252" spans="17:22" x14ac:dyDescent="0.15">
      <c r="Q252" s="75" t="str">
        <f t="shared" si="14"/>
        <v/>
      </c>
      <c r="T252" s="16" t="str">
        <f t="shared" si="12"/>
        <v/>
      </c>
      <c r="V252" s="16" t="str">
        <f t="shared" si="13"/>
        <v/>
      </c>
    </row>
    <row r="253" spans="17:22" x14ac:dyDescent="0.15">
      <c r="Q253" s="75" t="str">
        <f t="shared" si="14"/>
        <v/>
      </c>
      <c r="T253" s="16" t="str">
        <f t="shared" si="12"/>
        <v/>
      </c>
      <c r="V253" s="16" t="str">
        <f t="shared" si="13"/>
        <v/>
      </c>
    </row>
    <row r="254" spans="17:22" x14ac:dyDescent="0.15">
      <c r="Q254" s="75" t="str">
        <f t="shared" si="14"/>
        <v/>
      </c>
      <c r="T254" s="16" t="str">
        <f t="shared" si="12"/>
        <v/>
      </c>
      <c r="V254" s="16" t="str">
        <f t="shared" si="13"/>
        <v/>
      </c>
    </row>
    <row r="255" spans="17:22" x14ac:dyDescent="0.15">
      <c r="Q255" s="75" t="str">
        <f t="shared" si="14"/>
        <v/>
      </c>
      <c r="T255" s="16" t="str">
        <f t="shared" si="12"/>
        <v/>
      </c>
      <c r="V255" s="16" t="str">
        <f t="shared" si="13"/>
        <v/>
      </c>
    </row>
    <row r="256" spans="17:22" x14ac:dyDescent="0.15">
      <c r="Q256" s="75" t="str">
        <f t="shared" si="14"/>
        <v/>
      </c>
      <c r="T256" s="16" t="str">
        <f t="shared" si="12"/>
        <v/>
      </c>
      <c r="V256" s="16" t="str">
        <f t="shared" si="13"/>
        <v/>
      </c>
    </row>
    <row r="257" spans="17:22" x14ac:dyDescent="0.15">
      <c r="Q257" s="75" t="str">
        <f t="shared" si="14"/>
        <v/>
      </c>
      <c r="T257" s="16" t="str">
        <f t="shared" si="12"/>
        <v/>
      </c>
      <c r="V257" s="16" t="str">
        <f t="shared" si="13"/>
        <v/>
      </c>
    </row>
    <row r="258" spans="17:22" x14ac:dyDescent="0.15">
      <c r="Q258" s="75" t="str">
        <f t="shared" si="14"/>
        <v/>
      </c>
      <c r="T258" s="16" t="str">
        <f t="shared" ref="T258:T321" si="15">IF(H258="","",IF(OR(H258="GREEN",H258="GK"),IF(S258&gt;=$AX$2,VLOOKUP(S258,$AX$2:$AY$10,2,1),""),IF(S258&gt;=$AZ$2,VLOOKUP(S258,$AZ$2:$BA$10,2,1),"")))</f>
        <v/>
      </c>
      <c r="V258" s="16" t="str">
        <f t="shared" si="13"/>
        <v/>
      </c>
    </row>
    <row r="259" spans="17:22" x14ac:dyDescent="0.15">
      <c r="Q259" s="75" t="str">
        <f t="shared" si="14"/>
        <v/>
      </c>
      <c r="T259" s="16" t="str">
        <f t="shared" si="15"/>
        <v/>
      </c>
      <c r="V259" s="16" t="str">
        <f t="shared" si="13"/>
        <v/>
      </c>
    </row>
    <row r="260" spans="17:22" x14ac:dyDescent="0.15">
      <c r="Q260" s="75" t="str">
        <f t="shared" si="14"/>
        <v/>
      </c>
      <c r="T260" s="16" t="str">
        <f t="shared" si="15"/>
        <v/>
      </c>
      <c r="V260" s="16" t="str">
        <f t="shared" si="13"/>
        <v/>
      </c>
    </row>
    <row r="261" spans="17:22" x14ac:dyDescent="0.15">
      <c r="Q261" s="75" t="str">
        <f t="shared" si="14"/>
        <v/>
      </c>
      <c r="T261" s="16" t="str">
        <f t="shared" si="15"/>
        <v/>
      </c>
      <c r="V261" s="16" t="str">
        <f t="shared" si="13"/>
        <v/>
      </c>
    </row>
    <row r="262" spans="17:22" x14ac:dyDescent="0.15">
      <c r="Q262" s="75" t="str">
        <f t="shared" si="14"/>
        <v/>
      </c>
      <c r="T262" s="16" t="str">
        <f t="shared" si="15"/>
        <v/>
      </c>
      <c r="V262" s="16" t="str">
        <f t="shared" si="13"/>
        <v/>
      </c>
    </row>
    <row r="263" spans="17:22" x14ac:dyDescent="0.15">
      <c r="Q263" s="75" t="str">
        <f t="shared" si="14"/>
        <v/>
      </c>
      <c r="T263" s="16" t="str">
        <f t="shared" si="15"/>
        <v/>
      </c>
      <c r="V263" s="16" t="str">
        <f t="shared" si="13"/>
        <v/>
      </c>
    </row>
    <row r="264" spans="17:22" x14ac:dyDescent="0.15">
      <c r="Q264" s="75" t="str">
        <f t="shared" si="14"/>
        <v/>
      </c>
      <c r="T264" s="16" t="str">
        <f t="shared" si="15"/>
        <v/>
      </c>
      <c r="V264" s="16" t="str">
        <f t="shared" si="13"/>
        <v/>
      </c>
    </row>
    <row r="265" spans="17:22" x14ac:dyDescent="0.15">
      <c r="Q265" s="75" t="str">
        <f t="shared" si="14"/>
        <v/>
      </c>
      <c r="T265" s="16" t="str">
        <f t="shared" si="15"/>
        <v/>
      </c>
      <c r="V265" s="16" t="str">
        <f t="shared" si="13"/>
        <v/>
      </c>
    </row>
    <row r="266" spans="17:22" x14ac:dyDescent="0.15">
      <c r="Q266" s="75" t="str">
        <f t="shared" si="14"/>
        <v/>
      </c>
      <c r="T266" s="16" t="str">
        <f t="shared" si="15"/>
        <v/>
      </c>
      <c r="V266" s="16" t="str">
        <f t="shared" si="13"/>
        <v/>
      </c>
    </row>
    <row r="267" spans="17:22" x14ac:dyDescent="0.15">
      <c r="Q267" s="75" t="str">
        <f t="shared" si="14"/>
        <v/>
      </c>
      <c r="T267" s="16" t="str">
        <f t="shared" si="15"/>
        <v/>
      </c>
      <c r="V267" s="16" t="str">
        <f t="shared" si="13"/>
        <v/>
      </c>
    </row>
    <row r="268" spans="17:22" x14ac:dyDescent="0.15">
      <c r="Q268" s="75" t="str">
        <f t="shared" si="14"/>
        <v/>
      </c>
      <c r="T268" s="16" t="str">
        <f t="shared" si="15"/>
        <v/>
      </c>
      <c r="V268" s="16" t="str">
        <f t="shared" si="13"/>
        <v/>
      </c>
    </row>
    <row r="269" spans="17:22" x14ac:dyDescent="0.15">
      <c r="Q269" s="75" t="str">
        <f t="shared" si="14"/>
        <v/>
      </c>
      <c r="T269" s="16" t="str">
        <f t="shared" si="15"/>
        <v/>
      </c>
      <c r="V269" s="16" t="str">
        <f t="shared" si="13"/>
        <v/>
      </c>
    </row>
    <row r="270" spans="17:22" x14ac:dyDescent="0.15">
      <c r="Q270" s="75" t="str">
        <f t="shared" si="14"/>
        <v/>
      </c>
      <c r="T270" s="16" t="str">
        <f t="shared" si="15"/>
        <v/>
      </c>
      <c r="V270" s="16" t="str">
        <f t="shared" si="13"/>
        <v/>
      </c>
    </row>
    <row r="271" spans="17:22" x14ac:dyDescent="0.15">
      <c r="Q271" s="75" t="str">
        <f t="shared" si="14"/>
        <v/>
      </c>
      <c r="T271" s="16" t="str">
        <f t="shared" si="15"/>
        <v/>
      </c>
      <c r="V271" s="16" t="str">
        <f t="shared" si="13"/>
        <v/>
      </c>
    </row>
    <row r="272" spans="17:22" x14ac:dyDescent="0.15">
      <c r="Q272" s="75" t="str">
        <f t="shared" si="14"/>
        <v/>
      </c>
      <c r="T272" s="16" t="str">
        <f t="shared" si="15"/>
        <v/>
      </c>
      <c r="V272" s="16" t="str">
        <f t="shared" si="13"/>
        <v/>
      </c>
    </row>
    <row r="273" spans="17:22" x14ac:dyDescent="0.15">
      <c r="Q273" s="75" t="str">
        <f t="shared" si="14"/>
        <v/>
      </c>
      <c r="T273" s="16" t="str">
        <f t="shared" si="15"/>
        <v/>
      </c>
      <c r="V273" s="16" t="str">
        <f t="shared" si="13"/>
        <v/>
      </c>
    </row>
    <row r="274" spans="17:22" x14ac:dyDescent="0.15">
      <c r="Q274" s="75" t="str">
        <f t="shared" si="14"/>
        <v/>
      </c>
      <c r="T274" s="16" t="str">
        <f t="shared" si="15"/>
        <v/>
      </c>
      <c r="V274" s="16" t="str">
        <f t="shared" si="13"/>
        <v/>
      </c>
    </row>
    <row r="275" spans="17:22" x14ac:dyDescent="0.15">
      <c r="Q275" s="75" t="str">
        <f t="shared" si="14"/>
        <v/>
      </c>
      <c r="T275" s="16" t="str">
        <f t="shared" si="15"/>
        <v/>
      </c>
      <c r="V275" s="16" t="str">
        <f t="shared" si="13"/>
        <v/>
      </c>
    </row>
    <row r="276" spans="17:22" x14ac:dyDescent="0.15">
      <c r="Q276" s="75" t="str">
        <f t="shared" si="14"/>
        <v/>
      </c>
      <c r="T276" s="16" t="str">
        <f t="shared" si="15"/>
        <v/>
      </c>
      <c r="V276" s="16" t="str">
        <f t="shared" si="13"/>
        <v/>
      </c>
    </row>
    <row r="277" spans="17:22" x14ac:dyDescent="0.15">
      <c r="Q277" s="75" t="str">
        <f t="shared" si="14"/>
        <v/>
      </c>
      <c r="T277" s="16" t="str">
        <f t="shared" si="15"/>
        <v/>
      </c>
      <c r="V277" s="16" t="str">
        <f t="shared" si="13"/>
        <v/>
      </c>
    </row>
    <row r="278" spans="17:22" x14ac:dyDescent="0.15">
      <c r="Q278" s="75" t="str">
        <f t="shared" si="14"/>
        <v/>
      </c>
      <c r="T278" s="16" t="str">
        <f t="shared" si="15"/>
        <v/>
      </c>
      <c r="V278" s="16" t="str">
        <f t="shared" si="13"/>
        <v/>
      </c>
    </row>
    <row r="279" spans="17:22" x14ac:dyDescent="0.15">
      <c r="Q279" s="75" t="str">
        <f t="shared" si="14"/>
        <v/>
      </c>
      <c r="T279" s="16" t="str">
        <f t="shared" si="15"/>
        <v/>
      </c>
      <c r="V279" s="16" t="str">
        <f t="shared" si="13"/>
        <v/>
      </c>
    </row>
    <row r="280" spans="17:22" x14ac:dyDescent="0.15">
      <c r="Q280" s="75" t="str">
        <f t="shared" si="14"/>
        <v/>
      </c>
      <c r="T280" s="16" t="str">
        <f t="shared" si="15"/>
        <v/>
      </c>
      <c r="V280" s="16" t="str">
        <f t="shared" si="13"/>
        <v/>
      </c>
    </row>
    <row r="281" spans="17:22" x14ac:dyDescent="0.15">
      <c r="Q281" s="75" t="str">
        <f t="shared" si="14"/>
        <v/>
      </c>
      <c r="T281" s="16" t="str">
        <f t="shared" si="15"/>
        <v/>
      </c>
      <c r="V281" s="16" t="str">
        <f t="shared" si="13"/>
        <v/>
      </c>
    </row>
    <row r="282" spans="17:22" x14ac:dyDescent="0.15">
      <c r="Q282" s="75" t="str">
        <f t="shared" si="14"/>
        <v/>
      </c>
      <c r="T282" s="16" t="str">
        <f t="shared" si="15"/>
        <v/>
      </c>
      <c r="V282" s="16" t="str">
        <f t="shared" si="13"/>
        <v/>
      </c>
    </row>
    <row r="283" spans="17:22" x14ac:dyDescent="0.15">
      <c r="Q283" s="75" t="str">
        <f t="shared" si="14"/>
        <v/>
      </c>
      <c r="T283" s="16" t="str">
        <f t="shared" si="15"/>
        <v/>
      </c>
      <c r="V283" s="16" t="str">
        <f t="shared" si="13"/>
        <v/>
      </c>
    </row>
    <row r="284" spans="17:22" x14ac:dyDescent="0.15">
      <c r="Q284" s="75" t="str">
        <f t="shared" si="14"/>
        <v/>
      </c>
      <c r="T284" s="16" t="str">
        <f t="shared" si="15"/>
        <v/>
      </c>
      <c r="V284" s="16" t="str">
        <f t="shared" si="13"/>
        <v/>
      </c>
    </row>
    <row r="285" spans="17:22" x14ac:dyDescent="0.15">
      <c r="Q285" s="75" t="str">
        <f t="shared" si="14"/>
        <v/>
      </c>
      <c r="T285" s="16" t="str">
        <f t="shared" si="15"/>
        <v/>
      </c>
      <c r="V285" s="16" t="str">
        <f t="shared" si="13"/>
        <v/>
      </c>
    </row>
    <row r="286" spans="17:22" x14ac:dyDescent="0.15">
      <c r="Q286" s="75" t="str">
        <f t="shared" si="14"/>
        <v/>
      </c>
      <c r="T286" s="16" t="str">
        <f t="shared" si="15"/>
        <v/>
      </c>
      <c r="V286" s="16" t="str">
        <f t="shared" si="13"/>
        <v/>
      </c>
    </row>
    <row r="287" spans="17:22" x14ac:dyDescent="0.15">
      <c r="Q287" s="75" t="str">
        <f t="shared" si="14"/>
        <v/>
      </c>
      <c r="T287" s="16" t="str">
        <f t="shared" si="15"/>
        <v/>
      </c>
      <c r="V287" s="16" t="str">
        <f t="shared" si="13"/>
        <v/>
      </c>
    </row>
    <row r="288" spans="17:22" x14ac:dyDescent="0.15">
      <c r="Q288" s="75" t="str">
        <f t="shared" si="14"/>
        <v/>
      </c>
      <c r="T288" s="16" t="str">
        <f t="shared" si="15"/>
        <v/>
      </c>
      <c r="V288" s="16" t="str">
        <f t="shared" si="13"/>
        <v/>
      </c>
    </row>
    <row r="289" spans="17:22" x14ac:dyDescent="0.15">
      <c r="Q289" s="75" t="str">
        <f t="shared" si="14"/>
        <v/>
      </c>
      <c r="T289" s="16" t="str">
        <f t="shared" si="15"/>
        <v/>
      </c>
      <c r="V289" s="16" t="str">
        <f t="shared" si="13"/>
        <v/>
      </c>
    </row>
    <row r="290" spans="17:22" x14ac:dyDescent="0.15">
      <c r="Q290" s="75" t="str">
        <f t="shared" si="14"/>
        <v/>
      </c>
      <c r="T290" s="16" t="str">
        <f t="shared" si="15"/>
        <v/>
      </c>
      <c r="V290" s="16" t="str">
        <f t="shared" si="13"/>
        <v/>
      </c>
    </row>
    <row r="291" spans="17:22" x14ac:dyDescent="0.15">
      <c r="Q291" s="75" t="str">
        <f t="shared" si="14"/>
        <v/>
      </c>
      <c r="T291" s="16" t="str">
        <f t="shared" si="15"/>
        <v/>
      </c>
      <c r="V291" s="16" t="str">
        <f t="shared" si="13"/>
        <v/>
      </c>
    </row>
    <row r="292" spans="17:22" x14ac:dyDescent="0.15">
      <c r="Q292" s="75" t="str">
        <f t="shared" si="14"/>
        <v/>
      </c>
      <c r="T292" s="16" t="str">
        <f t="shared" si="15"/>
        <v/>
      </c>
      <c r="V292" s="16" t="str">
        <f t="shared" si="13"/>
        <v/>
      </c>
    </row>
    <row r="293" spans="17:22" x14ac:dyDescent="0.15">
      <c r="Q293" s="75" t="str">
        <f t="shared" si="14"/>
        <v/>
      </c>
      <c r="T293" s="16" t="str">
        <f t="shared" si="15"/>
        <v/>
      </c>
      <c r="V293" s="16" t="str">
        <f t="shared" si="13"/>
        <v/>
      </c>
    </row>
    <row r="294" spans="17:22" x14ac:dyDescent="0.15">
      <c r="Q294" s="75" t="str">
        <f t="shared" si="14"/>
        <v/>
      </c>
      <c r="T294" s="16" t="str">
        <f t="shared" si="15"/>
        <v/>
      </c>
      <c r="V294" s="16" t="str">
        <f t="shared" si="13"/>
        <v/>
      </c>
    </row>
    <row r="295" spans="17:22" x14ac:dyDescent="0.15">
      <c r="Q295" s="75" t="str">
        <f t="shared" si="14"/>
        <v/>
      </c>
      <c r="T295" s="16" t="str">
        <f t="shared" si="15"/>
        <v/>
      </c>
      <c r="V295" s="16" t="str">
        <f t="shared" si="13"/>
        <v/>
      </c>
    </row>
    <row r="296" spans="17:22" x14ac:dyDescent="0.15">
      <c r="Q296" s="75" t="str">
        <f t="shared" si="14"/>
        <v/>
      </c>
      <c r="T296" s="16" t="str">
        <f t="shared" si="15"/>
        <v/>
      </c>
      <c r="V296" s="16" t="str">
        <f t="shared" si="13"/>
        <v/>
      </c>
    </row>
    <row r="297" spans="17:22" x14ac:dyDescent="0.15">
      <c r="Q297" s="75" t="str">
        <f t="shared" si="14"/>
        <v/>
      </c>
      <c r="T297" s="16" t="str">
        <f t="shared" si="15"/>
        <v/>
      </c>
      <c r="V297" s="16" t="str">
        <f t="shared" si="13"/>
        <v/>
      </c>
    </row>
    <row r="298" spans="17:22" x14ac:dyDescent="0.15">
      <c r="Q298" s="75" t="str">
        <f t="shared" si="14"/>
        <v/>
      </c>
      <c r="T298" s="16" t="str">
        <f t="shared" si="15"/>
        <v/>
      </c>
      <c r="V298" s="16" t="str">
        <f t="shared" si="13"/>
        <v/>
      </c>
    </row>
    <row r="299" spans="17:22" x14ac:dyDescent="0.15">
      <c r="Q299" s="75" t="str">
        <f t="shared" si="14"/>
        <v/>
      </c>
      <c r="T299" s="16" t="str">
        <f t="shared" si="15"/>
        <v/>
      </c>
      <c r="V299" s="16" t="str">
        <f t="shared" si="13"/>
        <v/>
      </c>
    </row>
    <row r="300" spans="17:22" x14ac:dyDescent="0.15">
      <c r="Q300" s="75" t="str">
        <f t="shared" si="14"/>
        <v/>
      </c>
      <c r="T300" s="16" t="str">
        <f t="shared" si="15"/>
        <v/>
      </c>
      <c r="V300" s="16" t="str">
        <f t="shared" si="13"/>
        <v/>
      </c>
    </row>
    <row r="301" spans="17:22" x14ac:dyDescent="0.15">
      <c r="Q301" s="75" t="str">
        <f t="shared" si="14"/>
        <v/>
      </c>
      <c r="T301" s="16" t="str">
        <f t="shared" si="15"/>
        <v/>
      </c>
      <c r="V301" s="16" t="str">
        <f t="shared" si="13"/>
        <v/>
      </c>
    </row>
    <row r="302" spans="17:22" x14ac:dyDescent="0.15">
      <c r="Q302" s="75" t="str">
        <f t="shared" si="14"/>
        <v/>
      </c>
      <c r="T302" s="16" t="str">
        <f t="shared" si="15"/>
        <v/>
      </c>
      <c r="V302" s="16" t="str">
        <f t="shared" ref="V302:V365" si="16">IF(OR(N302="",U302="",T302=""),"",U302/N302*T302)</f>
        <v/>
      </c>
    </row>
    <row r="303" spans="17:22" x14ac:dyDescent="0.15">
      <c r="Q303" s="75" t="str">
        <f t="shared" si="14"/>
        <v/>
      </c>
      <c r="T303" s="16" t="str">
        <f t="shared" si="15"/>
        <v/>
      </c>
      <c r="V303" s="16" t="str">
        <f t="shared" si="16"/>
        <v/>
      </c>
    </row>
    <row r="304" spans="17:22" x14ac:dyDescent="0.15">
      <c r="Q304" s="75" t="str">
        <f t="shared" si="14"/>
        <v/>
      </c>
      <c r="T304" s="16" t="str">
        <f t="shared" si="15"/>
        <v/>
      </c>
      <c r="V304" s="16" t="str">
        <f t="shared" si="16"/>
        <v/>
      </c>
    </row>
    <row r="305" spans="17:22" x14ac:dyDescent="0.15">
      <c r="Q305" s="75" t="str">
        <f t="shared" si="14"/>
        <v/>
      </c>
      <c r="T305" s="16" t="str">
        <f t="shared" si="15"/>
        <v/>
      </c>
      <c r="V305" s="16" t="str">
        <f t="shared" si="16"/>
        <v/>
      </c>
    </row>
    <row r="306" spans="17:22" x14ac:dyDescent="0.15">
      <c r="Q306" s="75" t="str">
        <f t="shared" si="14"/>
        <v/>
      </c>
      <c r="T306" s="16" t="str">
        <f t="shared" si="15"/>
        <v/>
      </c>
      <c r="V306" s="16" t="str">
        <f t="shared" si="16"/>
        <v/>
      </c>
    </row>
    <row r="307" spans="17:22" x14ac:dyDescent="0.15">
      <c r="Q307" s="75" t="str">
        <f t="shared" si="14"/>
        <v/>
      </c>
      <c r="T307" s="16" t="str">
        <f t="shared" si="15"/>
        <v/>
      </c>
      <c r="V307" s="16" t="str">
        <f t="shared" si="16"/>
        <v/>
      </c>
    </row>
    <row r="308" spans="17:22" x14ac:dyDescent="0.15">
      <c r="Q308" s="75" t="str">
        <f t="shared" si="14"/>
        <v/>
      </c>
      <c r="T308" s="16" t="str">
        <f t="shared" si="15"/>
        <v/>
      </c>
      <c r="V308" s="16" t="str">
        <f t="shared" si="16"/>
        <v/>
      </c>
    </row>
    <row r="309" spans="17:22" x14ac:dyDescent="0.15">
      <c r="Q309" s="75" t="str">
        <f t="shared" ref="Q309:Q367" si="17">IF(OR(O309="",P309=""),"",AVERAGE(O309,P309))</f>
        <v/>
      </c>
      <c r="T309" s="16" t="str">
        <f t="shared" si="15"/>
        <v/>
      </c>
      <c r="V309" s="16" t="str">
        <f t="shared" si="16"/>
        <v/>
      </c>
    </row>
    <row r="310" spans="17:22" x14ac:dyDescent="0.15">
      <c r="Q310" s="75" t="str">
        <f t="shared" si="17"/>
        <v/>
      </c>
      <c r="T310" s="16" t="str">
        <f t="shared" si="15"/>
        <v/>
      </c>
      <c r="V310" s="16" t="str">
        <f t="shared" si="16"/>
        <v/>
      </c>
    </row>
    <row r="311" spans="17:22" x14ac:dyDescent="0.15">
      <c r="Q311" s="75" t="str">
        <f t="shared" si="17"/>
        <v/>
      </c>
      <c r="T311" s="16" t="str">
        <f t="shared" si="15"/>
        <v/>
      </c>
      <c r="V311" s="16" t="str">
        <f t="shared" si="16"/>
        <v/>
      </c>
    </row>
    <row r="312" spans="17:22" x14ac:dyDescent="0.15">
      <c r="Q312" s="75" t="str">
        <f t="shared" si="17"/>
        <v/>
      </c>
      <c r="T312" s="16" t="str">
        <f t="shared" si="15"/>
        <v/>
      </c>
      <c r="V312" s="16" t="str">
        <f t="shared" si="16"/>
        <v/>
      </c>
    </row>
    <row r="313" spans="17:22" x14ac:dyDescent="0.15">
      <c r="Q313" s="75" t="str">
        <f t="shared" si="17"/>
        <v/>
      </c>
      <c r="T313" s="16" t="str">
        <f t="shared" si="15"/>
        <v/>
      </c>
      <c r="V313" s="16" t="str">
        <f t="shared" si="16"/>
        <v/>
      </c>
    </row>
    <row r="314" spans="17:22" x14ac:dyDescent="0.15">
      <c r="Q314" s="75" t="str">
        <f t="shared" si="17"/>
        <v/>
      </c>
      <c r="T314" s="16" t="str">
        <f t="shared" si="15"/>
        <v/>
      </c>
      <c r="V314" s="16" t="str">
        <f t="shared" si="16"/>
        <v/>
      </c>
    </row>
    <row r="315" spans="17:22" x14ac:dyDescent="0.15">
      <c r="Q315" s="75" t="str">
        <f t="shared" si="17"/>
        <v/>
      </c>
      <c r="T315" s="16" t="str">
        <f t="shared" si="15"/>
        <v/>
      </c>
      <c r="V315" s="16" t="str">
        <f t="shared" si="16"/>
        <v/>
      </c>
    </row>
    <row r="316" spans="17:22" x14ac:dyDescent="0.15">
      <c r="Q316" s="75" t="str">
        <f t="shared" si="17"/>
        <v/>
      </c>
      <c r="T316" s="16" t="str">
        <f t="shared" si="15"/>
        <v/>
      </c>
      <c r="V316" s="16" t="str">
        <f t="shared" si="16"/>
        <v/>
      </c>
    </row>
    <row r="317" spans="17:22" x14ac:dyDescent="0.15">
      <c r="Q317" s="75" t="str">
        <f t="shared" si="17"/>
        <v/>
      </c>
      <c r="T317" s="16" t="str">
        <f t="shared" si="15"/>
        <v/>
      </c>
      <c r="V317" s="16" t="str">
        <f t="shared" si="16"/>
        <v/>
      </c>
    </row>
    <row r="318" spans="17:22" x14ac:dyDescent="0.15">
      <c r="Q318" s="75" t="str">
        <f t="shared" si="17"/>
        <v/>
      </c>
      <c r="T318" s="16" t="str">
        <f t="shared" si="15"/>
        <v/>
      </c>
      <c r="V318" s="16" t="str">
        <f t="shared" si="16"/>
        <v/>
      </c>
    </row>
    <row r="319" spans="17:22" x14ac:dyDescent="0.15">
      <c r="Q319" s="75" t="str">
        <f t="shared" si="17"/>
        <v/>
      </c>
      <c r="T319" s="16" t="str">
        <f t="shared" si="15"/>
        <v/>
      </c>
      <c r="V319" s="16" t="str">
        <f t="shared" si="16"/>
        <v/>
      </c>
    </row>
    <row r="320" spans="17:22" x14ac:dyDescent="0.15">
      <c r="Q320" s="75" t="str">
        <f t="shared" si="17"/>
        <v/>
      </c>
      <c r="T320" s="16" t="str">
        <f t="shared" si="15"/>
        <v/>
      </c>
      <c r="V320" s="16" t="str">
        <f t="shared" si="16"/>
        <v/>
      </c>
    </row>
    <row r="321" spans="17:22" x14ac:dyDescent="0.15">
      <c r="Q321" s="75" t="str">
        <f t="shared" si="17"/>
        <v/>
      </c>
      <c r="T321" s="16" t="str">
        <f t="shared" si="15"/>
        <v/>
      </c>
      <c r="V321" s="16" t="str">
        <f t="shared" si="16"/>
        <v/>
      </c>
    </row>
    <row r="322" spans="17:22" x14ac:dyDescent="0.15">
      <c r="Q322" s="75" t="str">
        <f t="shared" si="17"/>
        <v/>
      </c>
      <c r="T322" s="16" t="str">
        <f t="shared" ref="T322:T380" si="18">IF(H322="","",IF(OR(H322="GREEN",H322="GK"),IF(S322&gt;=$AX$2,VLOOKUP(S322,$AX$2:$AY$10,2,1),""),IF(S322&gt;=$AZ$2,VLOOKUP(S322,$AZ$2:$BA$10,2,1),"")))</f>
        <v/>
      </c>
      <c r="V322" s="16" t="str">
        <f t="shared" si="16"/>
        <v/>
      </c>
    </row>
    <row r="323" spans="17:22" x14ac:dyDescent="0.15">
      <c r="Q323" s="75" t="str">
        <f t="shared" si="17"/>
        <v/>
      </c>
      <c r="T323" s="16" t="str">
        <f t="shared" si="18"/>
        <v/>
      </c>
      <c r="V323" s="16" t="str">
        <f t="shared" si="16"/>
        <v/>
      </c>
    </row>
    <row r="324" spans="17:22" x14ac:dyDescent="0.15">
      <c r="Q324" s="75" t="str">
        <f t="shared" si="17"/>
        <v/>
      </c>
      <c r="T324" s="16" t="str">
        <f t="shared" si="18"/>
        <v/>
      </c>
      <c r="V324" s="16" t="str">
        <f t="shared" si="16"/>
        <v/>
      </c>
    </row>
    <row r="325" spans="17:22" x14ac:dyDescent="0.15">
      <c r="Q325" s="75" t="str">
        <f t="shared" si="17"/>
        <v/>
      </c>
      <c r="T325" s="16" t="str">
        <f t="shared" si="18"/>
        <v/>
      </c>
      <c r="V325" s="16" t="str">
        <f t="shared" si="16"/>
        <v/>
      </c>
    </row>
    <row r="326" spans="17:22" x14ac:dyDescent="0.15">
      <c r="Q326" s="75" t="str">
        <f t="shared" si="17"/>
        <v/>
      </c>
      <c r="T326" s="16" t="str">
        <f t="shared" si="18"/>
        <v/>
      </c>
      <c r="V326" s="16" t="str">
        <f t="shared" si="16"/>
        <v/>
      </c>
    </row>
    <row r="327" spans="17:22" x14ac:dyDescent="0.15">
      <c r="Q327" s="75" t="str">
        <f t="shared" si="17"/>
        <v/>
      </c>
      <c r="T327" s="16" t="str">
        <f t="shared" si="18"/>
        <v/>
      </c>
      <c r="V327" s="16" t="str">
        <f t="shared" si="16"/>
        <v/>
      </c>
    </row>
    <row r="328" spans="17:22" x14ac:dyDescent="0.15">
      <c r="Q328" s="75" t="str">
        <f t="shared" si="17"/>
        <v/>
      </c>
      <c r="T328" s="16" t="str">
        <f t="shared" si="18"/>
        <v/>
      </c>
      <c r="V328" s="16" t="str">
        <f t="shared" si="16"/>
        <v/>
      </c>
    </row>
    <row r="329" spans="17:22" x14ac:dyDescent="0.15">
      <c r="Q329" s="75" t="str">
        <f t="shared" si="17"/>
        <v/>
      </c>
      <c r="T329" s="16" t="str">
        <f t="shared" si="18"/>
        <v/>
      </c>
      <c r="V329" s="16" t="str">
        <f t="shared" si="16"/>
        <v/>
      </c>
    </row>
    <row r="330" spans="17:22" x14ac:dyDescent="0.15">
      <c r="Q330" s="75" t="str">
        <f t="shared" si="17"/>
        <v/>
      </c>
      <c r="T330" s="16" t="str">
        <f t="shared" si="18"/>
        <v/>
      </c>
      <c r="V330" s="16" t="str">
        <f t="shared" si="16"/>
        <v/>
      </c>
    </row>
    <row r="331" spans="17:22" x14ac:dyDescent="0.15">
      <c r="Q331" s="75" t="str">
        <f t="shared" si="17"/>
        <v/>
      </c>
      <c r="T331" s="16" t="str">
        <f t="shared" si="18"/>
        <v/>
      </c>
      <c r="V331" s="16" t="str">
        <f t="shared" si="16"/>
        <v/>
      </c>
    </row>
    <row r="332" spans="17:22" x14ac:dyDescent="0.15">
      <c r="Q332" s="75" t="str">
        <f t="shared" si="17"/>
        <v/>
      </c>
      <c r="T332" s="16" t="str">
        <f t="shared" si="18"/>
        <v/>
      </c>
      <c r="V332" s="16" t="str">
        <f t="shared" si="16"/>
        <v/>
      </c>
    </row>
    <row r="333" spans="17:22" x14ac:dyDescent="0.15">
      <c r="Q333" s="75" t="str">
        <f t="shared" si="17"/>
        <v/>
      </c>
      <c r="T333" s="16" t="str">
        <f t="shared" si="18"/>
        <v/>
      </c>
      <c r="V333" s="16" t="str">
        <f t="shared" si="16"/>
        <v/>
      </c>
    </row>
    <row r="334" spans="17:22" x14ac:dyDescent="0.15">
      <c r="Q334" s="75" t="str">
        <f t="shared" si="17"/>
        <v/>
      </c>
      <c r="T334" s="16" t="str">
        <f t="shared" si="18"/>
        <v/>
      </c>
      <c r="V334" s="16" t="str">
        <f t="shared" si="16"/>
        <v/>
      </c>
    </row>
    <row r="335" spans="17:22" x14ac:dyDescent="0.15">
      <c r="Q335" s="75" t="str">
        <f t="shared" si="17"/>
        <v/>
      </c>
      <c r="T335" s="16" t="str">
        <f t="shared" si="18"/>
        <v/>
      </c>
      <c r="V335" s="16" t="str">
        <f t="shared" si="16"/>
        <v/>
      </c>
    </row>
    <row r="336" spans="17:22" x14ac:dyDescent="0.15">
      <c r="Q336" s="75" t="str">
        <f t="shared" si="17"/>
        <v/>
      </c>
      <c r="T336" s="16" t="str">
        <f t="shared" si="18"/>
        <v/>
      </c>
      <c r="V336" s="16" t="str">
        <f t="shared" si="16"/>
        <v/>
      </c>
    </row>
    <row r="337" spans="17:22" x14ac:dyDescent="0.15">
      <c r="Q337" s="75" t="str">
        <f t="shared" si="17"/>
        <v/>
      </c>
      <c r="T337" s="16" t="str">
        <f t="shared" si="18"/>
        <v/>
      </c>
      <c r="V337" s="16" t="str">
        <f t="shared" si="16"/>
        <v/>
      </c>
    </row>
    <row r="338" spans="17:22" x14ac:dyDescent="0.15">
      <c r="Q338" s="75" t="str">
        <f t="shared" si="17"/>
        <v/>
      </c>
      <c r="T338" s="16" t="str">
        <f t="shared" si="18"/>
        <v/>
      </c>
      <c r="V338" s="16" t="str">
        <f t="shared" si="16"/>
        <v/>
      </c>
    </row>
    <row r="339" spans="17:22" x14ac:dyDescent="0.15">
      <c r="Q339" s="75" t="str">
        <f t="shared" si="17"/>
        <v/>
      </c>
      <c r="T339" s="16" t="str">
        <f t="shared" si="18"/>
        <v/>
      </c>
      <c r="V339" s="16" t="str">
        <f t="shared" si="16"/>
        <v/>
      </c>
    </row>
    <row r="340" spans="17:22" x14ac:dyDescent="0.15">
      <c r="Q340" s="75" t="str">
        <f t="shared" si="17"/>
        <v/>
      </c>
      <c r="T340" s="16" t="str">
        <f t="shared" si="18"/>
        <v/>
      </c>
      <c r="V340" s="16" t="str">
        <f t="shared" si="16"/>
        <v/>
      </c>
    </row>
    <row r="341" spans="17:22" x14ac:dyDescent="0.15">
      <c r="Q341" s="75" t="str">
        <f t="shared" si="17"/>
        <v/>
      </c>
      <c r="T341" s="16" t="str">
        <f t="shared" si="18"/>
        <v/>
      </c>
      <c r="V341" s="16" t="str">
        <f t="shared" si="16"/>
        <v/>
      </c>
    </row>
    <row r="342" spans="17:22" x14ac:dyDescent="0.15">
      <c r="Q342" s="75" t="str">
        <f t="shared" si="17"/>
        <v/>
      </c>
      <c r="T342" s="16" t="str">
        <f t="shared" si="18"/>
        <v/>
      </c>
      <c r="V342" s="16" t="str">
        <f t="shared" si="16"/>
        <v/>
      </c>
    </row>
    <row r="343" spans="17:22" x14ac:dyDescent="0.15">
      <c r="Q343" s="75" t="str">
        <f t="shared" si="17"/>
        <v/>
      </c>
      <c r="T343" s="16" t="str">
        <f t="shared" si="18"/>
        <v/>
      </c>
      <c r="V343" s="16" t="str">
        <f t="shared" si="16"/>
        <v/>
      </c>
    </row>
    <row r="344" spans="17:22" x14ac:dyDescent="0.15">
      <c r="Q344" s="75" t="str">
        <f t="shared" si="17"/>
        <v/>
      </c>
      <c r="T344" s="16" t="str">
        <f t="shared" si="18"/>
        <v/>
      </c>
      <c r="V344" s="16" t="str">
        <f t="shared" si="16"/>
        <v/>
      </c>
    </row>
    <row r="345" spans="17:22" x14ac:dyDescent="0.15">
      <c r="Q345" s="75" t="str">
        <f t="shared" si="17"/>
        <v/>
      </c>
      <c r="T345" s="16" t="str">
        <f t="shared" si="18"/>
        <v/>
      </c>
      <c r="V345" s="16" t="str">
        <f t="shared" si="16"/>
        <v/>
      </c>
    </row>
    <row r="346" spans="17:22" x14ac:dyDescent="0.15">
      <c r="Q346" s="75" t="str">
        <f t="shared" si="17"/>
        <v/>
      </c>
      <c r="T346" s="16" t="str">
        <f t="shared" si="18"/>
        <v/>
      </c>
      <c r="V346" s="16" t="str">
        <f t="shared" si="16"/>
        <v/>
      </c>
    </row>
    <row r="347" spans="17:22" x14ac:dyDescent="0.15">
      <c r="Q347" s="75" t="str">
        <f t="shared" si="17"/>
        <v/>
      </c>
      <c r="T347" s="16" t="str">
        <f t="shared" si="18"/>
        <v/>
      </c>
      <c r="V347" s="16" t="str">
        <f t="shared" si="16"/>
        <v/>
      </c>
    </row>
    <row r="348" spans="17:22" x14ac:dyDescent="0.15">
      <c r="T348" s="16" t="str">
        <f t="shared" si="18"/>
        <v/>
      </c>
      <c r="V348" s="16" t="str">
        <f t="shared" si="16"/>
        <v/>
      </c>
    </row>
    <row r="349" spans="17:22" x14ac:dyDescent="0.15">
      <c r="T349" s="16" t="str">
        <f t="shared" si="18"/>
        <v/>
      </c>
      <c r="V349" s="16" t="str">
        <f t="shared" si="16"/>
        <v/>
      </c>
    </row>
    <row r="350" spans="17:22" x14ac:dyDescent="0.15">
      <c r="T350" s="16" t="str">
        <f t="shared" si="18"/>
        <v/>
      </c>
      <c r="V350" s="16" t="str">
        <f t="shared" si="16"/>
        <v/>
      </c>
    </row>
    <row r="351" spans="17:22" x14ac:dyDescent="0.15">
      <c r="T351" s="16" t="str">
        <f t="shared" si="18"/>
        <v/>
      </c>
      <c r="V351" s="16" t="str">
        <f t="shared" si="16"/>
        <v/>
      </c>
    </row>
    <row r="352" spans="17:22" x14ac:dyDescent="0.15">
      <c r="T352" s="16" t="str">
        <f t="shared" si="18"/>
        <v/>
      </c>
      <c r="V352" s="16" t="str">
        <f t="shared" si="16"/>
        <v/>
      </c>
    </row>
    <row r="353" spans="20:22" x14ac:dyDescent="0.15">
      <c r="T353" s="16" t="str">
        <f t="shared" si="18"/>
        <v/>
      </c>
      <c r="V353" s="16" t="str">
        <f t="shared" si="16"/>
        <v/>
      </c>
    </row>
    <row r="354" spans="20:22" x14ac:dyDescent="0.15">
      <c r="T354" s="16" t="str">
        <f t="shared" si="18"/>
        <v/>
      </c>
      <c r="V354" s="16" t="str">
        <f t="shared" si="16"/>
        <v/>
      </c>
    </row>
    <row r="355" spans="20:22" x14ac:dyDescent="0.15">
      <c r="T355" s="16" t="str">
        <f t="shared" si="18"/>
        <v/>
      </c>
      <c r="V355" s="16" t="str">
        <f t="shared" si="16"/>
        <v/>
      </c>
    </row>
    <row r="356" spans="20:22" x14ac:dyDescent="0.15">
      <c r="T356" s="16" t="str">
        <f t="shared" si="18"/>
        <v/>
      </c>
    </row>
    <row r="357" spans="20:22" x14ac:dyDescent="0.15">
      <c r="T357" s="16" t="str">
        <f t="shared" si="18"/>
        <v/>
      </c>
    </row>
    <row r="358" spans="20:22" x14ac:dyDescent="0.15">
      <c r="T358" s="16" t="str">
        <f t="shared" si="18"/>
        <v/>
      </c>
    </row>
    <row r="359" spans="20:22" x14ac:dyDescent="0.15">
      <c r="T359" s="16" t="str">
        <f t="shared" si="18"/>
        <v/>
      </c>
    </row>
    <row r="360" spans="20:22" x14ac:dyDescent="0.15">
      <c r="T360" s="16" t="str">
        <f t="shared" si="18"/>
        <v/>
      </c>
    </row>
    <row r="361" spans="20:22" x14ac:dyDescent="0.15">
      <c r="T361" s="16" t="str">
        <f t="shared" si="18"/>
        <v/>
      </c>
    </row>
    <row r="362" spans="20:22" x14ac:dyDescent="0.15">
      <c r="T362" s="16" t="str">
        <f t="shared" si="18"/>
        <v/>
      </c>
    </row>
    <row r="363" spans="20:22" x14ac:dyDescent="0.15">
      <c r="T363" s="16" t="str">
        <f t="shared" si="18"/>
        <v/>
      </c>
    </row>
    <row r="364" spans="20:22" x14ac:dyDescent="0.15">
      <c r="T364" s="16" t="str">
        <f t="shared" si="18"/>
        <v/>
      </c>
    </row>
    <row r="365" spans="20:22" x14ac:dyDescent="0.15">
      <c r="T365" s="16" t="str">
        <f t="shared" si="18"/>
        <v/>
      </c>
    </row>
    <row r="366" spans="20:22" x14ac:dyDescent="0.15">
      <c r="T366" s="16" t="str">
        <f t="shared" si="18"/>
        <v/>
      </c>
    </row>
    <row r="367" spans="20:22" x14ac:dyDescent="0.15">
      <c r="T367" s="16" t="str">
        <f t="shared" si="18"/>
        <v/>
      </c>
    </row>
    <row r="368" spans="20:22" x14ac:dyDescent="0.15">
      <c r="T368" s="16" t="str">
        <f t="shared" si="18"/>
        <v/>
      </c>
    </row>
    <row r="369" spans="20:20" x14ac:dyDescent="0.15">
      <c r="T369" s="16" t="str">
        <f t="shared" si="18"/>
        <v/>
      </c>
    </row>
    <row r="370" spans="20:20" x14ac:dyDescent="0.15">
      <c r="T370" s="16" t="str">
        <f t="shared" si="18"/>
        <v/>
      </c>
    </row>
    <row r="371" spans="20:20" x14ac:dyDescent="0.15">
      <c r="T371" s="16" t="str">
        <f t="shared" si="18"/>
        <v/>
      </c>
    </row>
    <row r="372" spans="20:20" x14ac:dyDescent="0.15">
      <c r="T372" s="16" t="str">
        <f t="shared" si="18"/>
        <v/>
      </c>
    </row>
    <row r="373" spans="20:20" x14ac:dyDescent="0.15">
      <c r="T373" s="16" t="str">
        <f t="shared" si="18"/>
        <v/>
      </c>
    </row>
    <row r="374" spans="20:20" x14ac:dyDescent="0.15">
      <c r="T374" s="16" t="str">
        <f t="shared" si="18"/>
        <v/>
      </c>
    </row>
    <row r="375" spans="20:20" x14ac:dyDescent="0.15">
      <c r="T375" s="16" t="str">
        <f t="shared" si="18"/>
        <v/>
      </c>
    </row>
  </sheetData>
  <autoFilter ref="A1:BA375" xr:uid="{00000000-0009-0000-0000-000001000000}"/>
  <phoneticPr fontId="3"/>
  <dataValidations count="14">
    <dataValidation type="list" allowBlank="1" showInputMessage="1" showErrorMessage="1" sqref="X2:X331" xr:uid="{FB1B3B8D-68CE-4921-8630-B06BD20D5082}">
      <formula1>$AT$2:$AT$3</formula1>
    </dataValidation>
    <dataValidation type="decimal" allowBlank="1" showInputMessage="1" showErrorMessage="1" error="硬度を正しく入力して下さい。" sqref="O2:P331" xr:uid="{9601D239-0CD3-4875-B9AE-115B51B9537D}">
      <formula1>0</formula1>
      <formula2>7</formula2>
    </dataValidation>
    <dataValidation type="list" allowBlank="1" showInputMessage="1" showErrorMessage="1" sqref="H2:H331" xr:uid="{963ADD40-B285-4F9E-A6F8-5C820C7B4E29}">
      <formula1>$AL$2:$AL$8</formula1>
    </dataValidation>
    <dataValidation type="list" allowBlank="1" showInputMessage="1" showErrorMessage="1" sqref="G2:G331" xr:uid="{5FCAA5BC-12AA-497F-9C1A-AB30CA241F49}">
      <formula1>$AJ$2:$AJ$4</formula1>
    </dataValidation>
    <dataValidation type="list" allowBlank="1" showInputMessage="1" showErrorMessage="1" sqref="I2:I331" xr:uid="{4117AAAA-2AA9-4982-AC77-F0007511051A}">
      <formula1>$AN$5:$AN$6</formula1>
    </dataValidation>
    <dataValidation type="list" allowBlank="1" showInputMessage="1" showErrorMessage="1" sqref="E1:E65485" xr:uid="{6FF8DD40-5548-48E3-8C01-114CC9E9DA2E}">
      <formula1>$AG$2:$AG$11</formula1>
    </dataValidation>
    <dataValidation type="list" allowBlank="1" showInputMessage="1" showErrorMessage="1" sqref="J2:J331" xr:uid="{A0833A52-571D-4517-99C8-0A488757F734}">
      <formula1>$AP$2:$AP$19</formula1>
    </dataValidation>
    <dataValidation type="list" allowBlank="1" showInputMessage="1" showErrorMessage="1" sqref="F1:F65485" xr:uid="{9B749223-4CFE-46CA-9249-A97761C94082}">
      <formula1>$AH$2:$AH$11</formula1>
    </dataValidation>
    <dataValidation type="list" allowBlank="1" showInputMessage="1" showErrorMessage="1" sqref="A2:A331" xr:uid="{92F890E4-C321-42A2-849C-612F17F82C7C}">
      <formula1>$AE$2:$AE$16</formula1>
    </dataValidation>
    <dataValidation type="list" allowBlank="1" showInputMessage="1" showErrorMessage="1" sqref="Y2:AA151" xr:uid="{7D368DE8-538B-4122-8721-E07F989D348D}">
      <formula1>$AV$2:$AV$23</formula1>
    </dataValidation>
    <dataValidation type="list" allowBlank="1" showInputMessage="1" showErrorMessage="1" sqref="K2:K151" xr:uid="{65A23F4F-6535-4013-B9B1-A411FB328BFF}">
      <formula1>$AR$2:$AR$23</formula1>
    </dataValidation>
    <dataValidation allowBlank="1" showInputMessage="1" showErrorMessage="1" sqref="B2:B151" xr:uid="{56B9C42C-AD1B-4DC5-820B-13C9A4AAB356}"/>
    <dataValidation type="list" allowBlank="1" showInputMessage="1" showErrorMessage="1" sqref="Y152:AA331" xr:uid="{5D95E601-60EE-411F-9EBB-A98E6EC9DE03}">
      <formula1>$AV$2:$AV$16</formula1>
    </dataValidation>
    <dataValidation type="list" allowBlank="1" showInputMessage="1" showErrorMessage="1" sqref="K152:K331" xr:uid="{2F4A311A-94A5-4F3F-97F9-67B5667943A9}">
      <formula1>$AR$2:$AR$19</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CC24-1337-43BB-9191-D2491D498EF4}">
  <dimension ref="A1:BA82"/>
  <sheetViews>
    <sheetView zoomScale="85" zoomScaleNormal="85" workbookViewId="0">
      <selection activeCell="AD18" sqref="AD18"/>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233</v>
      </c>
      <c r="C2" s="53">
        <v>2019</v>
      </c>
      <c r="D2" s="81" t="s">
        <v>234</v>
      </c>
      <c r="E2" s="53" t="s">
        <v>235</v>
      </c>
      <c r="F2" s="53" t="s">
        <v>236</v>
      </c>
      <c r="G2" s="53" t="s">
        <v>42</v>
      </c>
      <c r="H2" s="53" t="s">
        <v>164</v>
      </c>
      <c r="I2" s="53" t="s">
        <v>167</v>
      </c>
      <c r="J2" s="53" t="s">
        <v>38</v>
      </c>
      <c r="K2" s="53" t="s">
        <v>161</v>
      </c>
      <c r="L2" s="53">
        <v>1</v>
      </c>
      <c r="N2" s="53">
        <v>1</v>
      </c>
      <c r="O2" s="53">
        <v>0.7</v>
      </c>
      <c r="P2" s="53">
        <v>0.75</v>
      </c>
      <c r="Q2" s="75">
        <f t="shared" ref="Q2:Q64" si="0">IF(OR(O2="",P2=""),"",AVERAGE(O2,P2))</f>
        <v>0.72499999999999998</v>
      </c>
      <c r="R2" s="53">
        <v>15.3</v>
      </c>
      <c r="S2" s="53">
        <v>120</v>
      </c>
      <c r="T2" s="16">
        <f t="shared" ref="T2:T64" si="1">IF(H2="","",IF(OR(H2="GREEN",H2="GK"),IF(S2&gt;=$AX$2,VLOOKUP(S2,$AX$2:$AY$10,2,1),""),IF(S2&gt;=$AZ$2,VLOOKUP(S2,$AZ$2:$BA$10,2,1),"")))</f>
        <v>30</v>
      </c>
      <c r="U2" s="53">
        <v>161</v>
      </c>
      <c r="V2" s="16">
        <f t="shared" ref="V2:V64" si="2">IF(OR(N2="",U2="",T2=""),"",U2/N2*T2)</f>
        <v>4830</v>
      </c>
      <c r="W2" s="53">
        <v>2</v>
      </c>
      <c r="X2" s="53" t="s">
        <v>39</v>
      </c>
      <c r="Y2" s="53" t="s">
        <v>90</v>
      </c>
      <c r="Z2" s="53" t="s">
        <v>84</v>
      </c>
      <c r="AA2" s="53" t="s">
        <v>55</v>
      </c>
      <c r="AB2" s="53" t="s">
        <v>237</v>
      </c>
      <c r="AE2" s="64" t="s">
        <v>35</v>
      </c>
      <c r="AG2" s="23" t="s">
        <v>238</v>
      </c>
      <c r="AH2" s="82" t="s">
        <v>239</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233</v>
      </c>
      <c r="C3" s="53">
        <v>2019</v>
      </c>
      <c r="D3" s="81" t="s">
        <v>234</v>
      </c>
      <c r="E3" s="53" t="s">
        <v>235</v>
      </c>
      <c r="F3" s="53" t="s">
        <v>236</v>
      </c>
      <c r="G3" s="53" t="s">
        <v>42</v>
      </c>
      <c r="H3" s="53" t="s">
        <v>164</v>
      </c>
      <c r="I3" s="53" t="s">
        <v>167</v>
      </c>
      <c r="J3" s="53" t="s">
        <v>38</v>
      </c>
      <c r="K3" s="53" t="s">
        <v>161</v>
      </c>
      <c r="L3" s="53">
        <v>2</v>
      </c>
      <c r="N3" s="53">
        <v>1</v>
      </c>
      <c r="O3" s="53">
        <v>0.75</v>
      </c>
      <c r="P3" s="53">
        <v>0.8</v>
      </c>
      <c r="Q3" s="75">
        <f t="shared" si="0"/>
        <v>0.77500000000000002</v>
      </c>
      <c r="R3" s="53">
        <v>14.7</v>
      </c>
      <c r="S3" s="53">
        <v>120</v>
      </c>
      <c r="T3" s="16">
        <f t="shared" si="1"/>
        <v>30</v>
      </c>
      <c r="U3" s="53">
        <v>161</v>
      </c>
      <c r="V3" s="16">
        <f t="shared" si="2"/>
        <v>4830</v>
      </c>
      <c r="W3" s="53">
        <v>2</v>
      </c>
      <c r="X3" s="53" t="s">
        <v>39</v>
      </c>
      <c r="Y3" s="53" t="s">
        <v>90</v>
      </c>
      <c r="Z3" s="53" t="s">
        <v>84</v>
      </c>
      <c r="AA3" s="53" t="s">
        <v>55</v>
      </c>
      <c r="AB3" s="53" t="s">
        <v>237</v>
      </c>
      <c r="AE3" s="22" t="s">
        <v>41</v>
      </c>
      <c r="AG3" s="23" t="s">
        <v>240</v>
      </c>
      <c r="AH3" s="82" t="s">
        <v>236</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233</v>
      </c>
      <c r="C4" s="53">
        <v>2019</v>
      </c>
      <c r="D4" s="81" t="s">
        <v>234</v>
      </c>
      <c r="E4" s="53" t="s">
        <v>235</v>
      </c>
      <c r="F4" s="53" t="s">
        <v>236</v>
      </c>
      <c r="G4" s="53" t="s">
        <v>42</v>
      </c>
      <c r="H4" s="53" t="s">
        <v>164</v>
      </c>
      <c r="I4" s="53" t="s">
        <v>167</v>
      </c>
      <c r="J4" s="53" t="s">
        <v>38</v>
      </c>
      <c r="K4" s="53" t="s">
        <v>161</v>
      </c>
      <c r="L4" s="53">
        <v>3</v>
      </c>
      <c r="N4" s="53">
        <v>1</v>
      </c>
      <c r="O4" s="53">
        <v>0.75</v>
      </c>
      <c r="P4" s="53">
        <v>0.6</v>
      </c>
      <c r="Q4" s="75">
        <f t="shared" si="0"/>
        <v>0.67500000000000004</v>
      </c>
      <c r="R4" s="53">
        <v>15.6</v>
      </c>
      <c r="S4" s="53">
        <v>122</v>
      </c>
      <c r="T4" s="16">
        <f t="shared" si="1"/>
        <v>27</v>
      </c>
      <c r="U4" s="53">
        <v>161</v>
      </c>
      <c r="V4" s="16">
        <f t="shared" si="2"/>
        <v>4347</v>
      </c>
      <c r="W4" s="53">
        <v>2</v>
      </c>
      <c r="X4" s="53" t="s">
        <v>39</v>
      </c>
      <c r="Y4" s="53" t="s">
        <v>90</v>
      </c>
      <c r="Z4" s="53" t="s">
        <v>84</v>
      </c>
      <c r="AA4" s="53" t="s">
        <v>55</v>
      </c>
      <c r="AB4" s="53" t="s">
        <v>237</v>
      </c>
      <c r="AE4" s="22" t="s">
        <v>34</v>
      </c>
      <c r="AG4" s="23" t="s">
        <v>241</v>
      </c>
      <c r="AH4" s="82" t="s">
        <v>242</v>
      </c>
      <c r="AJ4" s="27" t="s">
        <v>48</v>
      </c>
      <c r="AL4" s="27" t="s">
        <v>243</v>
      </c>
      <c r="AN4" s="28" t="s">
        <v>49</v>
      </c>
      <c r="AP4" s="23" t="s">
        <v>93</v>
      </c>
      <c r="AR4" s="23" t="s">
        <v>121</v>
      </c>
      <c r="AT4" s="28"/>
      <c r="AV4" s="23" t="s">
        <v>50</v>
      </c>
      <c r="AX4" s="24">
        <v>75</v>
      </c>
      <c r="AY4" s="25">
        <v>42</v>
      </c>
      <c r="AZ4" s="25">
        <v>76</v>
      </c>
      <c r="BA4" s="26">
        <v>39</v>
      </c>
    </row>
    <row r="5" spans="1:53" x14ac:dyDescent="0.15">
      <c r="A5" s="53" t="s">
        <v>56</v>
      </c>
      <c r="B5" s="53" t="s">
        <v>233</v>
      </c>
      <c r="C5" s="53">
        <v>2019</v>
      </c>
      <c r="D5" s="81" t="s">
        <v>234</v>
      </c>
      <c r="E5" s="53" t="s">
        <v>244</v>
      </c>
      <c r="F5" s="53" t="s">
        <v>236</v>
      </c>
      <c r="G5" s="53" t="s">
        <v>42</v>
      </c>
      <c r="H5" s="53" t="s">
        <v>164</v>
      </c>
      <c r="I5" s="53" t="s">
        <v>159</v>
      </c>
      <c r="J5" s="53" t="s">
        <v>38</v>
      </c>
      <c r="K5" s="53" t="s">
        <v>161</v>
      </c>
      <c r="L5" s="53">
        <v>1</v>
      </c>
      <c r="N5" s="53">
        <v>6</v>
      </c>
      <c r="O5" s="53">
        <v>0.6</v>
      </c>
      <c r="P5" s="53">
        <v>0.6</v>
      </c>
      <c r="Q5" s="75">
        <f t="shared" si="0"/>
        <v>0.6</v>
      </c>
      <c r="R5" s="53">
        <v>14.6</v>
      </c>
      <c r="S5" s="53">
        <v>98</v>
      </c>
      <c r="T5" s="16">
        <f t="shared" si="1"/>
        <v>36</v>
      </c>
      <c r="U5" s="53">
        <v>538</v>
      </c>
      <c r="V5" s="16">
        <f t="shared" si="2"/>
        <v>3228</v>
      </c>
      <c r="W5" s="53">
        <v>4</v>
      </c>
      <c r="X5" s="53" t="s">
        <v>46</v>
      </c>
      <c r="Y5" s="53" t="s">
        <v>84</v>
      </c>
      <c r="Z5" s="53" t="s">
        <v>50</v>
      </c>
      <c r="AA5" s="53" t="s">
        <v>90</v>
      </c>
      <c r="AB5" s="53" t="s">
        <v>237</v>
      </c>
      <c r="AE5" s="22" t="s">
        <v>51</v>
      </c>
      <c r="AG5" s="23" t="s">
        <v>245</v>
      </c>
      <c r="AH5" s="82" t="s">
        <v>246</v>
      </c>
      <c r="AJ5" s="28"/>
      <c r="AL5" s="73" t="s">
        <v>66</v>
      </c>
      <c r="AN5" s="73" t="s">
        <v>52</v>
      </c>
      <c r="AP5" s="23" t="s">
        <v>247</v>
      </c>
      <c r="AR5" s="23" t="s">
        <v>54</v>
      </c>
      <c r="AV5" s="23" t="s">
        <v>55</v>
      </c>
      <c r="AX5" s="24">
        <v>84</v>
      </c>
      <c r="AY5" s="25">
        <v>39</v>
      </c>
      <c r="AZ5" s="25">
        <v>84</v>
      </c>
      <c r="BA5" s="26">
        <v>36</v>
      </c>
    </row>
    <row r="6" spans="1:53" x14ac:dyDescent="0.15">
      <c r="A6" s="53" t="s">
        <v>56</v>
      </c>
      <c r="B6" s="53" t="s">
        <v>233</v>
      </c>
      <c r="C6" s="53">
        <v>2019</v>
      </c>
      <c r="D6" s="81" t="s">
        <v>234</v>
      </c>
      <c r="E6" s="53" t="s">
        <v>244</v>
      </c>
      <c r="F6" s="53" t="s">
        <v>236</v>
      </c>
      <c r="G6" s="53" t="s">
        <v>42</v>
      </c>
      <c r="H6" s="53" t="s">
        <v>164</v>
      </c>
      <c r="I6" s="53" t="s">
        <v>159</v>
      </c>
      <c r="J6" s="53" t="s">
        <v>38</v>
      </c>
      <c r="K6" s="53" t="s">
        <v>161</v>
      </c>
      <c r="L6" s="53">
        <v>2</v>
      </c>
      <c r="N6" s="53">
        <v>6</v>
      </c>
      <c r="O6" s="53">
        <v>0.6</v>
      </c>
      <c r="P6" s="53">
        <v>0.55000000000000004</v>
      </c>
      <c r="Q6" s="75">
        <f t="shared" si="0"/>
        <v>0.57499999999999996</v>
      </c>
      <c r="R6" s="53">
        <v>16.2</v>
      </c>
      <c r="S6" s="53">
        <v>95</v>
      </c>
      <c r="T6" s="16">
        <f t="shared" si="1"/>
        <v>36</v>
      </c>
      <c r="U6" s="53">
        <v>538</v>
      </c>
      <c r="V6" s="16">
        <f t="shared" si="2"/>
        <v>3228</v>
      </c>
      <c r="W6" s="53">
        <v>4</v>
      </c>
      <c r="X6" s="53" t="s">
        <v>46</v>
      </c>
      <c r="Y6" s="53" t="s">
        <v>84</v>
      </c>
      <c r="Z6" s="53" t="s">
        <v>50</v>
      </c>
      <c r="AA6" s="53" t="s">
        <v>90</v>
      </c>
      <c r="AB6" s="53" t="s">
        <v>237</v>
      </c>
      <c r="AE6" s="22" t="s">
        <v>56</v>
      </c>
      <c r="AG6" s="23" t="s">
        <v>248</v>
      </c>
      <c r="AH6" s="82" t="s">
        <v>246</v>
      </c>
      <c r="AL6" s="73" t="s">
        <v>99</v>
      </c>
      <c r="AN6" s="73" t="s">
        <v>57</v>
      </c>
      <c r="AP6" s="23" t="s">
        <v>53</v>
      </c>
      <c r="AR6" s="23" t="s">
        <v>59</v>
      </c>
      <c r="AV6" s="23" t="s">
        <v>60</v>
      </c>
      <c r="AX6" s="24">
        <v>97</v>
      </c>
      <c r="AY6" s="25">
        <v>36</v>
      </c>
      <c r="AZ6" s="25">
        <v>99</v>
      </c>
      <c r="BA6" s="26">
        <v>33</v>
      </c>
    </row>
    <row r="7" spans="1:53" x14ac:dyDescent="0.15">
      <c r="A7" s="53" t="s">
        <v>56</v>
      </c>
      <c r="B7" s="53" t="s">
        <v>233</v>
      </c>
      <c r="C7" s="53">
        <v>2019</v>
      </c>
      <c r="D7" s="81" t="s">
        <v>234</v>
      </c>
      <c r="E7" s="53" t="s">
        <v>244</v>
      </c>
      <c r="F7" s="53" t="s">
        <v>236</v>
      </c>
      <c r="G7" s="53" t="s">
        <v>42</v>
      </c>
      <c r="H7" s="53" t="s">
        <v>164</v>
      </c>
      <c r="I7" s="53" t="s">
        <v>159</v>
      </c>
      <c r="J7" s="53" t="s">
        <v>38</v>
      </c>
      <c r="K7" s="53" t="s">
        <v>161</v>
      </c>
      <c r="L7" s="53">
        <v>3</v>
      </c>
      <c r="N7" s="53">
        <v>6</v>
      </c>
      <c r="O7" s="53">
        <v>0.5</v>
      </c>
      <c r="P7" s="53">
        <v>0.5</v>
      </c>
      <c r="Q7" s="75">
        <f t="shared" si="0"/>
        <v>0.5</v>
      </c>
      <c r="R7" s="53">
        <v>12.9</v>
      </c>
      <c r="S7" s="53">
        <v>95</v>
      </c>
      <c r="T7" s="16">
        <f t="shared" si="1"/>
        <v>36</v>
      </c>
      <c r="U7" s="53">
        <v>538</v>
      </c>
      <c r="V7" s="16">
        <f t="shared" si="2"/>
        <v>3228</v>
      </c>
      <c r="W7" s="53">
        <v>4</v>
      </c>
      <c r="X7" s="53" t="s">
        <v>46</v>
      </c>
      <c r="Y7" s="53" t="s">
        <v>84</v>
      </c>
      <c r="Z7" s="53" t="s">
        <v>50</v>
      </c>
      <c r="AA7" s="53" t="s">
        <v>90</v>
      </c>
      <c r="AB7" s="53" t="s">
        <v>237</v>
      </c>
      <c r="AE7" s="22" t="s">
        <v>61</v>
      </c>
      <c r="AG7" s="23" t="s">
        <v>249</v>
      </c>
      <c r="AH7" s="82" t="s">
        <v>250</v>
      </c>
      <c r="AL7" s="83" t="s">
        <v>109</v>
      </c>
      <c r="AP7" s="23" t="s">
        <v>58</v>
      </c>
      <c r="AR7" s="23" t="s">
        <v>122</v>
      </c>
      <c r="AV7" s="23" t="s">
        <v>64</v>
      </c>
      <c r="AX7" s="24">
        <v>109</v>
      </c>
      <c r="AY7" s="25">
        <v>33</v>
      </c>
      <c r="AZ7" s="25">
        <v>113</v>
      </c>
      <c r="BA7" s="26">
        <v>30</v>
      </c>
    </row>
    <row r="8" spans="1:53" x14ac:dyDescent="0.15">
      <c r="A8" s="53" t="s">
        <v>56</v>
      </c>
      <c r="B8" s="53" t="s">
        <v>233</v>
      </c>
      <c r="C8" s="53">
        <v>2019</v>
      </c>
      <c r="D8" s="81" t="s">
        <v>234</v>
      </c>
      <c r="E8" s="53" t="s">
        <v>244</v>
      </c>
      <c r="F8" s="53" t="s">
        <v>236</v>
      </c>
      <c r="G8" s="53" t="s">
        <v>42</v>
      </c>
      <c r="H8" s="53" t="s">
        <v>160</v>
      </c>
      <c r="I8" s="53" t="s">
        <v>159</v>
      </c>
      <c r="J8" s="53" t="s">
        <v>38</v>
      </c>
      <c r="K8" s="53" t="s">
        <v>161</v>
      </c>
      <c r="L8" s="53">
        <v>1</v>
      </c>
      <c r="N8" s="53">
        <v>5</v>
      </c>
      <c r="O8" s="53">
        <v>0.85</v>
      </c>
      <c r="P8" s="53">
        <v>0.85</v>
      </c>
      <c r="Q8" s="75">
        <f t="shared" si="0"/>
        <v>0.85</v>
      </c>
      <c r="R8" s="53">
        <v>15.3</v>
      </c>
      <c r="S8" s="53">
        <v>102</v>
      </c>
      <c r="T8" s="16">
        <f t="shared" si="1"/>
        <v>33</v>
      </c>
      <c r="U8" s="53">
        <v>538</v>
      </c>
      <c r="V8" s="16">
        <f t="shared" si="2"/>
        <v>3550.7999999999997</v>
      </c>
      <c r="W8" s="53">
        <v>4</v>
      </c>
      <c r="X8" s="53" t="s">
        <v>46</v>
      </c>
      <c r="Y8" s="53" t="s">
        <v>84</v>
      </c>
      <c r="Z8" s="53" t="s">
        <v>50</v>
      </c>
      <c r="AA8" s="53" t="s">
        <v>90</v>
      </c>
      <c r="AB8" s="53" t="s">
        <v>237</v>
      </c>
      <c r="AE8" s="22" t="s">
        <v>59</v>
      </c>
      <c r="AG8" s="23" t="s">
        <v>251</v>
      </c>
      <c r="AH8" s="82" t="s">
        <v>250</v>
      </c>
      <c r="AL8" s="83" t="s">
        <v>134</v>
      </c>
      <c r="AP8" s="23" t="s">
        <v>62</v>
      </c>
      <c r="AR8" s="23" t="s">
        <v>81</v>
      </c>
      <c r="AV8" s="23" t="s">
        <v>97</v>
      </c>
      <c r="AX8" s="24">
        <v>119</v>
      </c>
      <c r="AY8" s="25">
        <v>30</v>
      </c>
      <c r="AZ8" s="25">
        <v>121</v>
      </c>
      <c r="BA8" s="26">
        <v>27</v>
      </c>
    </row>
    <row r="9" spans="1:53" x14ac:dyDescent="0.15">
      <c r="A9" s="53" t="s">
        <v>56</v>
      </c>
      <c r="B9" s="53" t="s">
        <v>233</v>
      </c>
      <c r="C9" s="53">
        <v>2019</v>
      </c>
      <c r="D9" s="81" t="s">
        <v>234</v>
      </c>
      <c r="E9" s="53" t="s">
        <v>244</v>
      </c>
      <c r="F9" s="53" t="s">
        <v>236</v>
      </c>
      <c r="G9" s="53" t="s">
        <v>42</v>
      </c>
      <c r="H9" s="53" t="s">
        <v>160</v>
      </c>
      <c r="I9" s="53" t="s">
        <v>159</v>
      </c>
      <c r="J9" s="53" t="s">
        <v>38</v>
      </c>
      <c r="K9" s="53" t="s">
        <v>161</v>
      </c>
      <c r="L9" s="53">
        <v>2</v>
      </c>
      <c r="N9" s="53">
        <v>5</v>
      </c>
      <c r="O9" s="53">
        <v>0.75</v>
      </c>
      <c r="P9" s="53">
        <v>0.8</v>
      </c>
      <c r="Q9" s="75">
        <f t="shared" si="0"/>
        <v>0.77500000000000002</v>
      </c>
      <c r="R9" s="53">
        <v>16.100000000000001</v>
      </c>
      <c r="S9" s="53">
        <v>93</v>
      </c>
      <c r="T9" s="16">
        <f t="shared" si="1"/>
        <v>36</v>
      </c>
      <c r="U9" s="53">
        <v>538</v>
      </c>
      <c r="V9" s="16">
        <f t="shared" si="2"/>
        <v>3873.6</v>
      </c>
      <c r="W9" s="53">
        <v>4</v>
      </c>
      <c r="X9" s="53" t="s">
        <v>46</v>
      </c>
      <c r="Y9" s="53" t="s">
        <v>84</v>
      </c>
      <c r="Z9" s="53" t="s">
        <v>50</v>
      </c>
      <c r="AA9" s="53" t="s">
        <v>90</v>
      </c>
      <c r="AB9" s="53" t="s">
        <v>237</v>
      </c>
      <c r="AE9" s="22" t="s">
        <v>98</v>
      </c>
      <c r="AG9" s="23" t="s">
        <v>235</v>
      </c>
      <c r="AH9" s="23" t="s">
        <v>236</v>
      </c>
      <c r="AL9" s="73"/>
      <c r="AP9" s="23" t="s">
        <v>95</v>
      </c>
      <c r="AR9" s="23" t="s">
        <v>89</v>
      </c>
      <c r="AV9" s="23" t="s">
        <v>102</v>
      </c>
      <c r="AX9" s="24">
        <v>128</v>
      </c>
      <c r="AY9" s="25">
        <v>27</v>
      </c>
      <c r="AZ9" s="25">
        <v>129</v>
      </c>
      <c r="BA9" s="26">
        <v>25</v>
      </c>
    </row>
    <row r="10" spans="1:53" x14ac:dyDescent="0.15">
      <c r="A10" s="53" t="s">
        <v>56</v>
      </c>
      <c r="B10" s="53" t="s">
        <v>233</v>
      </c>
      <c r="C10" s="53">
        <v>2019</v>
      </c>
      <c r="D10" s="81" t="s">
        <v>234</v>
      </c>
      <c r="E10" s="53" t="s">
        <v>244</v>
      </c>
      <c r="F10" s="53" t="s">
        <v>236</v>
      </c>
      <c r="G10" s="53" t="s">
        <v>42</v>
      </c>
      <c r="H10" s="53" t="s">
        <v>160</v>
      </c>
      <c r="I10" s="53" t="s">
        <v>159</v>
      </c>
      <c r="J10" s="53" t="s">
        <v>38</v>
      </c>
      <c r="K10" s="53" t="s">
        <v>161</v>
      </c>
      <c r="L10" s="53">
        <v>3</v>
      </c>
      <c r="N10" s="53">
        <v>5</v>
      </c>
      <c r="O10" s="53">
        <v>0.75</v>
      </c>
      <c r="P10" s="53">
        <v>0.7</v>
      </c>
      <c r="Q10" s="75">
        <f t="shared" si="0"/>
        <v>0.72499999999999998</v>
      </c>
      <c r="R10" s="53">
        <v>16.3</v>
      </c>
      <c r="S10" s="53">
        <v>92</v>
      </c>
      <c r="T10" s="16">
        <f t="shared" si="1"/>
        <v>36</v>
      </c>
      <c r="U10" s="53">
        <v>538</v>
      </c>
      <c r="V10" s="16">
        <f t="shared" si="2"/>
        <v>3873.6</v>
      </c>
      <c r="W10" s="53">
        <v>4</v>
      </c>
      <c r="X10" s="53" t="s">
        <v>46</v>
      </c>
      <c r="Y10" s="53" t="s">
        <v>84</v>
      </c>
      <c r="Z10" s="53" t="s">
        <v>50</v>
      </c>
      <c r="AA10" s="53" t="s">
        <v>90</v>
      </c>
      <c r="AB10" s="53" t="s">
        <v>237</v>
      </c>
      <c r="AE10" s="22" t="s">
        <v>103</v>
      </c>
      <c r="AG10" s="23" t="s">
        <v>249</v>
      </c>
      <c r="AH10" s="82" t="s">
        <v>246</v>
      </c>
      <c r="AL10" s="83"/>
      <c r="AP10" s="23" t="s">
        <v>100</v>
      </c>
      <c r="AR10" s="23" t="s">
        <v>123</v>
      </c>
      <c r="AV10" s="23" t="s">
        <v>106</v>
      </c>
      <c r="AX10" s="24">
        <v>138</v>
      </c>
      <c r="AY10" s="25">
        <v>25</v>
      </c>
      <c r="AZ10" s="25">
        <v>138</v>
      </c>
      <c r="BA10" s="26">
        <v>22</v>
      </c>
    </row>
    <row r="11" spans="1:53" x14ac:dyDescent="0.15">
      <c r="A11" s="53" t="s">
        <v>56</v>
      </c>
      <c r="B11" s="53" t="s">
        <v>233</v>
      </c>
      <c r="C11" s="53">
        <v>2019</v>
      </c>
      <c r="D11" s="81" t="s">
        <v>234</v>
      </c>
      <c r="E11" s="53" t="s">
        <v>162</v>
      </c>
      <c r="F11" s="53" t="s">
        <v>252</v>
      </c>
      <c r="G11" s="53" t="s">
        <v>42</v>
      </c>
      <c r="H11" s="53" t="s">
        <v>164</v>
      </c>
      <c r="I11" s="53" t="s">
        <v>159</v>
      </c>
      <c r="J11" s="53" t="s">
        <v>38</v>
      </c>
      <c r="K11" s="53" t="s">
        <v>161</v>
      </c>
      <c r="L11" s="53">
        <v>1</v>
      </c>
      <c r="N11" s="53">
        <v>5</v>
      </c>
      <c r="O11" s="53">
        <v>0.75</v>
      </c>
      <c r="P11" s="53">
        <v>0.85</v>
      </c>
      <c r="Q11" s="75">
        <f t="shared" si="0"/>
        <v>0.8</v>
      </c>
      <c r="R11" s="53">
        <v>15.6</v>
      </c>
      <c r="S11" s="53">
        <v>89</v>
      </c>
      <c r="T11" s="16">
        <f t="shared" si="1"/>
        <v>36</v>
      </c>
      <c r="U11" s="53">
        <v>538</v>
      </c>
      <c r="V11" s="16">
        <f t="shared" si="2"/>
        <v>3873.6</v>
      </c>
      <c r="W11" s="53">
        <v>4</v>
      </c>
      <c r="X11" s="53" t="s">
        <v>46</v>
      </c>
      <c r="Y11" s="53" t="s">
        <v>90</v>
      </c>
      <c r="Z11" s="53" t="s">
        <v>84</v>
      </c>
      <c r="AA11" s="53" t="s">
        <v>78</v>
      </c>
      <c r="AB11" s="53" t="s">
        <v>237</v>
      </c>
      <c r="AE11" s="22" t="s">
        <v>65</v>
      </c>
      <c r="AG11" s="23" t="s">
        <v>248</v>
      </c>
      <c r="AH11" s="82" t="s">
        <v>246</v>
      </c>
      <c r="AJ11" s="83"/>
      <c r="AP11" s="23" t="s">
        <v>104</v>
      </c>
      <c r="AR11" s="23" t="s">
        <v>87</v>
      </c>
      <c r="AV11" s="23" t="s">
        <v>69</v>
      </c>
    </row>
    <row r="12" spans="1:53" x14ac:dyDescent="0.15">
      <c r="A12" s="53" t="s">
        <v>56</v>
      </c>
      <c r="B12" s="53" t="s">
        <v>233</v>
      </c>
      <c r="C12" s="53">
        <v>2019</v>
      </c>
      <c r="D12" s="81" t="s">
        <v>234</v>
      </c>
      <c r="E12" s="53" t="s">
        <v>162</v>
      </c>
      <c r="F12" s="53" t="s">
        <v>252</v>
      </c>
      <c r="G12" s="53" t="s">
        <v>42</v>
      </c>
      <c r="H12" s="53" t="s">
        <v>164</v>
      </c>
      <c r="I12" s="53" t="s">
        <v>159</v>
      </c>
      <c r="J12" s="53" t="s">
        <v>38</v>
      </c>
      <c r="K12" s="53" t="s">
        <v>161</v>
      </c>
      <c r="L12" s="53">
        <v>2</v>
      </c>
      <c r="N12" s="53">
        <v>5</v>
      </c>
      <c r="O12" s="53">
        <v>0.6</v>
      </c>
      <c r="P12" s="53">
        <v>0.6</v>
      </c>
      <c r="Q12" s="75">
        <f t="shared" si="0"/>
        <v>0.6</v>
      </c>
      <c r="R12" s="53">
        <v>15.3</v>
      </c>
      <c r="S12" s="53">
        <v>85</v>
      </c>
      <c r="T12" s="16">
        <f t="shared" si="1"/>
        <v>36</v>
      </c>
      <c r="U12" s="53">
        <v>538</v>
      </c>
      <c r="V12" s="16">
        <f t="shared" si="2"/>
        <v>3873.6</v>
      </c>
      <c r="W12" s="53">
        <v>4</v>
      </c>
      <c r="X12" s="53" t="s">
        <v>46</v>
      </c>
      <c r="Y12" s="53" t="s">
        <v>90</v>
      </c>
      <c r="Z12" s="53" t="s">
        <v>84</v>
      </c>
      <c r="AA12" s="53" t="s">
        <v>78</v>
      </c>
      <c r="AB12" s="53" t="s">
        <v>237</v>
      </c>
      <c r="AE12" s="22" t="s">
        <v>70</v>
      </c>
      <c r="AG12" s="23" t="s">
        <v>240</v>
      </c>
      <c r="AH12" s="82" t="s">
        <v>246</v>
      </c>
      <c r="AJ12" s="83"/>
      <c r="AP12" s="23" t="s">
        <v>67</v>
      </c>
      <c r="AR12" s="23" t="s">
        <v>124</v>
      </c>
      <c r="AV12" s="23" t="s">
        <v>72</v>
      </c>
    </row>
    <row r="13" spans="1:53" x14ac:dyDescent="0.15">
      <c r="A13" s="53" t="s">
        <v>56</v>
      </c>
      <c r="B13" s="53" t="s">
        <v>233</v>
      </c>
      <c r="C13" s="53">
        <v>2019</v>
      </c>
      <c r="D13" s="81" t="s">
        <v>234</v>
      </c>
      <c r="E13" s="53" t="s">
        <v>162</v>
      </c>
      <c r="F13" s="53" t="s">
        <v>252</v>
      </c>
      <c r="G13" s="53" t="s">
        <v>42</v>
      </c>
      <c r="H13" s="53" t="s">
        <v>164</v>
      </c>
      <c r="I13" s="53" t="s">
        <v>159</v>
      </c>
      <c r="J13" s="53" t="s">
        <v>38</v>
      </c>
      <c r="K13" s="53" t="s">
        <v>161</v>
      </c>
      <c r="L13" s="53">
        <v>3</v>
      </c>
      <c r="N13" s="53">
        <v>5</v>
      </c>
      <c r="O13" s="53">
        <v>0.9</v>
      </c>
      <c r="P13" s="53">
        <v>0.9</v>
      </c>
      <c r="Q13" s="75">
        <f t="shared" si="0"/>
        <v>0.9</v>
      </c>
      <c r="R13" s="53">
        <v>15.5</v>
      </c>
      <c r="S13" s="53">
        <v>88</v>
      </c>
      <c r="T13" s="16">
        <f t="shared" si="1"/>
        <v>36</v>
      </c>
      <c r="U13" s="53">
        <v>538</v>
      </c>
      <c r="V13" s="16">
        <f t="shared" si="2"/>
        <v>3873.6</v>
      </c>
      <c r="W13" s="53">
        <v>4</v>
      </c>
      <c r="X13" s="53" t="s">
        <v>46</v>
      </c>
      <c r="Y13" s="53" t="s">
        <v>90</v>
      </c>
      <c r="Z13" s="53" t="s">
        <v>84</v>
      </c>
      <c r="AA13" s="53" t="s">
        <v>78</v>
      </c>
      <c r="AB13" s="53" t="s">
        <v>237</v>
      </c>
      <c r="AE13" s="22" t="s">
        <v>73</v>
      </c>
      <c r="AP13" s="23" t="s">
        <v>71</v>
      </c>
      <c r="AR13" s="23" t="s">
        <v>103</v>
      </c>
      <c r="AV13" s="23" t="s">
        <v>75</v>
      </c>
    </row>
    <row r="14" spans="1:53" x14ac:dyDescent="0.15">
      <c r="A14" s="53" t="s">
        <v>56</v>
      </c>
      <c r="B14" s="53" t="s">
        <v>233</v>
      </c>
      <c r="C14" s="53">
        <v>2019</v>
      </c>
      <c r="D14" s="81" t="s">
        <v>234</v>
      </c>
      <c r="E14" s="53" t="s">
        <v>162</v>
      </c>
      <c r="F14" s="53" t="s">
        <v>252</v>
      </c>
      <c r="G14" s="53" t="s">
        <v>42</v>
      </c>
      <c r="H14" s="53" t="s">
        <v>160</v>
      </c>
      <c r="I14" s="53" t="s">
        <v>159</v>
      </c>
      <c r="J14" s="53" t="s">
        <v>38</v>
      </c>
      <c r="K14" s="53" t="s">
        <v>161</v>
      </c>
      <c r="L14" s="53">
        <v>1</v>
      </c>
      <c r="N14" s="53">
        <v>1</v>
      </c>
      <c r="O14" s="53">
        <v>0.75</v>
      </c>
      <c r="P14" s="53">
        <v>0.75</v>
      </c>
      <c r="Q14" s="75">
        <f t="shared" si="0"/>
        <v>0.75</v>
      </c>
      <c r="R14" s="53">
        <v>16</v>
      </c>
      <c r="S14" s="53">
        <v>109</v>
      </c>
      <c r="T14" s="16">
        <f t="shared" si="1"/>
        <v>33</v>
      </c>
      <c r="U14" s="53">
        <v>138</v>
      </c>
      <c r="V14" s="16">
        <f t="shared" si="2"/>
        <v>4554</v>
      </c>
      <c r="W14" s="53">
        <v>2</v>
      </c>
      <c r="X14" s="53" t="s">
        <v>39</v>
      </c>
      <c r="Y14" s="53" t="s">
        <v>90</v>
      </c>
      <c r="Z14" s="53" t="s">
        <v>84</v>
      </c>
      <c r="AA14" s="53" t="s">
        <v>78</v>
      </c>
      <c r="AB14" s="53" t="s">
        <v>237</v>
      </c>
      <c r="AE14" s="22" t="s">
        <v>76</v>
      </c>
      <c r="AP14" s="23" t="s">
        <v>74</v>
      </c>
      <c r="AR14" s="23" t="s">
        <v>125</v>
      </c>
      <c r="AV14" s="23" t="s">
        <v>78</v>
      </c>
    </row>
    <row r="15" spans="1:53" x14ac:dyDescent="0.15">
      <c r="A15" s="53" t="s">
        <v>56</v>
      </c>
      <c r="B15" s="53" t="s">
        <v>233</v>
      </c>
      <c r="C15" s="53">
        <v>2019</v>
      </c>
      <c r="D15" s="81" t="s">
        <v>234</v>
      </c>
      <c r="E15" s="53" t="s">
        <v>162</v>
      </c>
      <c r="F15" s="53" t="s">
        <v>252</v>
      </c>
      <c r="G15" s="53" t="s">
        <v>42</v>
      </c>
      <c r="H15" s="53" t="s">
        <v>160</v>
      </c>
      <c r="I15" s="53" t="s">
        <v>159</v>
      </c>
      <c r="J15" s="53" t="s">
        <v>38</v>
      </c>
      <c r="K15" s="53" t="s">
        <v>161</v>
      </c>
      <c r="L15" s="53">
        <v>2</v>
      </c>
      <c r="N15" s="53">
        <v>1</v>
      </c>
      <c r="O15" s="53">
        <v>0.65</v>
      </c>
      <c r="P15" s="53">
        <v>0.65</v>
      </c>
      <c r="Q15" s="75">
        <f t="shared" si="0"/>
        <v>0.65</v>
      </c>
      <c r="R15" s="53">
        <v>14.9</v>
      </c>
      <c r="S15" s="53">
        <v>110</v>
      </c>
      <c r="T15" s="16">
        <f t="shared" si="1"/>
        <v>33</v>
      </c>
      <c r="U15" s="53">
        <v>138</v>
      </c>
      <c r="V15" s="16">
        <f t="shared" si="2"/>
        <v>4554</v>
      </c>
      <c r="W15" s="53">
        <v>2</v>
      </c>
      <c r="X15" s="53" t="s">
        <v>39</v>
      </c>
      <c r="Y15" s="53" t="s">
        <v>90</v>
      </c>
      <c r="Z15" s="53" t="s">
        <v>84</v>
      </c>
      <c r="AA15" s="53" t="s">
        <v>78</v>
      </c>
      <c r="AB15" s="53" t="s">
        <v>237</v>
      </c>
      <c r="AE15" s="22" t="s">
        <v>79</v>
      </c>
      <c r="AP15" s="23" t="s">
        <v>77</v>
      </c>
      <c r="AR15" s="23" t="s">
        <v>94</v>
      </c>
      <c r="AV15" s="23" t="s">
        <v>107</v>
      </c>
    </row>
    <row r="16" spans="1:53" x14ac:dyDescent="0.15">
      <c r="A16" s="53" t="s">
        <v>56</v>
      </c>
      <c r="B16" s="53" t="s">
        <v>233</v>
      </c>
      <c r="C16" s="53">
        <v>2019</v>
      </c>
      <c r="D16" s="81" t="s">
        <v>234</v>
      </c>
      <c r="E16" s="53" t="s">
        <v>162</v>
      </c>
      <c r="F16" s="53" t="s">
        <v>252</v>
      </c>
      <c r="G16" s="53" t="s">
        <v>42</v>
      </c>
      <c r="H16" s="53" t="s">
        <v>160</v>
      </c>
      <c r="I16" s="53" t="s">
        <v>159</v>
      </c>
      <c r="J16" s="53" t="s">
        <v>38</v>
      </c>
      <c r="K16" s="53" t="s">
        <v>161</v>
      </c>
      <c r="L16" s="53">
        <v>3</v>
      </c>
      <c r="N16" s="53">
        <v>1</v>
      </c>
      <c r="O16" s="53">
        <v>0.85</v>
      </c>
      <c r="P16" s="53">
        <v>0.75</v>
      </c>
      <c r="Q16" s="75">
        <f t="shared" si="0"/>
        <v>0.8</v>
      </c>
      <c r="R16" s="53">
        <v>14.2</v>
      </c>
      <c r="S16" s="53">
        <v>106</v>
      </c>
      <c r="T16" s="16">
        <f t="shared" si="1"/>
        <v>33</v>
      </c>
      <c r="U16" s="53">
        <v>138</v>
      </c>
      <c r="V16" s="16">
        <f t="shared" si="2"/>
        <v>4554</v>
      </c>
      <c r="W16" s="53">
        <v>2</v>
      </c>
      <c r="X16" s="53" t="s">
        <v>39</v>
      </c>
      <c r="Y16" s="53" t="s">
        <v>90</v>
      </c>
      <c r="Z16" s="53" t="s">
        <v>84</v>
      </c>
      <c r="AA16" s="53" t="s">
        <v>78</v>
      </c>
      <c r="AB16" s="53" t="s">
        <v>237</v>
      </c>
      <c r="AE16" s="22" t="s">
        <v>82</v>
      </c>
      <c r="AP16" s="23" t="s">
        <v>80</v>
      </c>
      <c r="AR16" s="23" t="s">
        <v>63</v>
      </c>
      <c r="AV16" s="23" t="s">
        <v>84</v>
      </c>
    </row>
    <row r="17" spans="1:48" x14ac:dyDescent="0.15">
      <c r="A17" s="53" t="s">
        <v>56</v>
      </c>
      <c r="B17" s="53" t="s">
        <v>233</v>
      </c>
      <c r="C17" s="53">
        <v>2019</v>
      </c>
      <c r="D17" s="81" t="s">
        <v>234</v>
      </c>
      <c r="E17" s="53" t="s">
        <v>253</v>
      </c>
      <c r="F17" s="53" t="s">
        <v>254</v>
      </c>
      <c r="G17" s="53" t="s">
        <v>42</v>
      </c>
      <c r="H17" s="53" t="s">
        <v>164</v>
      </c>
      <c r="I17" s="53" t="s">
        <v>159</v>
      </c>
      <c r="J17" s="53" t="s">
        <v>38</v>
      </c>
      <c r="K17" s="53" t="s">
        <v>161</v>
      </c>
      <c r="L17" s="53">
        <v>1</v>
      </c>
      <c r="N17" s="53">
        <v>1</v>
      </c>
      <c r="O17" s="53">
        <v>0.8</v>
      </c>
      <c r="P17" s="53">
        <v>0.7</v>
      </c>
      <c r="Q17" s="75">
        <f t="shared" si="0"/>
        <v>0.75</v>
      </c>
      <c r="R17" s="53">
        <v>15.1</v>
      </c>
      <c r="S17" s="53">
        <v>112</v>
      </c>
      <c r="T17" s="16">
        <f t="shared" si="1"/>
        <v>33</v>
      </c>
      <c r="U17" s="53">
        <v>138</v>
      </c>
      <c r="V17" s="16">
        <f t="shared" si="2"/>
        <v>4554</v>
      </c>
      <c r="W17" s="53">
        <v>2</v>
      </c>
      <c r="X17" s="53" t="s">
        <v>46</v>
      </c>
      <c r="Y17" s="53" t="s">
        <v>84</v>
      </c>
      <c r="Z17" s="53" t="s">
        <v>90</v>
      </c>
      <c r="AA17" s="53" t="s">
        <v>78</v>
      </c>
      <c r="AB17" s="53" t="s">
        <v>237</v>
      </c>
      <c r="AE17" s="22" t="s">
        <v>85</v>
      </c>
      <c r="AP17" s="27" t="s">
        <v>110</v>
      </c>
      <c r="AR17" s="23" t="s">
        <v>96</v>
      </c>
      <c r="AV17" s="23" t="s">
        <v>86</v>
      </c>
    </row>
    <row r="18" spans="1:48" x14ac:dyDescent="0.15">
      <c r="A18" s="53" t="s">
        <v>56</v>
      </c>
      <c r="B18" s="53" t="s">
        <v>233</v>
      </c>
      <c r="C18" s="53">
        <v>2019</v>
      </c>
      <c r="D18" s="81" t="s">
        <v>234</v>
      </c>
      <c r="E18" s="53" t="s">
        <v>253</v>
      </c>
      <c r="F18" s="53" t="s">
        <v>254</v>
      </c>
      <c r="G18" s="53" t="s">
        <v>42</v>
      </c>
      <c r="H18" s="53" t="s">
        <v>164</v>
      </c>
      <c r="I18" s="53" t="s">
        <v>159</v>
      </c>
      <c r="J18" s="53" t="s">
        <v>38</v>
      </c>
      <c r="K18" s="53" t="s">
        <v>161</v>
      </c>
      <c r="L18" s="53">
        <v>2</v>
      </c>
      <c r="N18" s="53">
        <v>1</v>
      </c>
      <c r="O18" s="53">
        <v>0.8</v>
      </c>
      <c r="P18" s="53">
        <v>0.8</v>
      </c>
      <c r="Q18" s="75">
        <f t="shared" si="0"/>
        <v>0.8</v>
      </c>
      <c r="R18" s="53">
        <v>14.9</v>
      </c>
      <c r="S18" s="53">
        <v>114</v>
      </c>
      <c r="T18" s="16">
        <f t="shared" si="1"/>
        <v>30</v>
      </c>
      <c r="U18" s="53">
        <v>138</v>
      </c>
      <c r="V18" s="16">
        <f t="shared" si="2"/>
        <v>4140</v>
      </c>
      <c r="W18" s="53">
        <v>2</v>
      </c>
      <c r="X18" s="53" t="s">
        <v>46</v>
      </c>
      <c r="Y18" s="53" t="s">
        <v>84</v>
      </c>
      <c r="Z18" s="53" t="s">
        <v>90</v>
      </c>
      <c r="AA18" s="53" t="s">
        <v>78</v>
      </c>
      <c r="AB18" s="53" t="s">
        <v>237</v>
      </c>
      <c r="AE18" s="22" t="s">
        <v>87</v>
      </c>
      <c r="AP18" s="27" t="s">
        <v>111</v>
      </c>
      <c r="AR18" s="23" t="s">
        <v>101</v>
      </c>
      <c r="AV18" s="23" t="s">
        <v>88</v>
      </c>
    </row>
    <row r="19" spans="1:48" x14ac:dyDescent="0.15">
      <c r="A19" s="53" t="s">
        <v>56</v>
      </c>
      <c r="B19" s="53" t="s">
        <v>233</v>
      </c>
      <c r="C19" s="53">
        <v>2019</v>
      </c>
      <c r="D19" s="81" t="s">
        <v>234</v>
      </c>
      <c r="E19" s="53" t="s">
        <v>253</v>
      </c>
      <c r="F19" s="53" t="s">
        <v>254</v>
      </c>
      <c r="G19" s="53" t="s">
        <v>42</v>
      </c>
      <c r="H19" s="53" t="s">
        <v>164</v>
      </c>
      <c r="I19" s="53" t="s">
        <v>159</v>
      </c>
      <c r="J19" s="53" t="s">
        <v>38</v>
      </c>
      <c r="K19" s="53" t="s">
        <v>161</v>
      </c>
      <c r="L19" s="53">
        <v>3</v>
      </c>
      <c r="N19" s="53">
        <v>1</v>
      </c>
      <c r="O19" s="53">
        <v>0.6</v>
      </c>
      <c r="P19" s="53">
        <v>0.55000000000000004</v>
      </c>
      <c r="Q19" s="75">
        <f t="shared" si="0"/>
        <v>0.57499999999999996</v>
      </c>
      <c r="R19" s="53">
        <v>16</v>
      </c>
      <c r="S19" s="53">
        <v>119</v>
      </c>
      <c r="T19" s="16">
        <f t="shared" si="1"/>
        <v>30</v>
      </c>
      <c r="U19" s="53">
        <v>138</v>
      </c>
      <c r="V19" s="16">
        <f t="shared" si="2"/>
        <v>4140</v>
      </c>
      <c r="W19" s="53">
        <v>2</v>
      </c>
      <c r="X19" s="53" t="s">
        <v>46</v>
      </c>
      <c r="Y19" s="53" t="s">
        <v>84</v>
      </c>
      <c r="Z19" s="53" t="s">
        <v>90</v>
      </c>
      <c r="AA19" s="53" t="s">
        <v>78</v>
      </c>
      <c r="AB19" s="53" t="s">
        <v>237</v>
      </c>
      <c r="AE19" s="35" t="s">
        <v>89</v>
      </c>
      <c r="AP19" s="27" t="s">
        <v>112</v>
      </c>
      <c r="AR19" s="23" t="s">
        <v>126</v>
      </c>
      <c r="AV19" s="23" t="s">
        <v>90</v>
      </c>
    </row>
    <row r="20" spans="1:48" x14ac:dyDescent="0.15">
      <c r="A20" s="53" t="s">
        <v>56</v>
      </c>
      <c r="B20" s="53" t="s">
        <v>233</v>
      </c>
      <c r="C20" s="53">
        <v>2019</v>
      </c>
      <c r="D20" s="81" t="s">
        <v>234</v>
      </c>
      <c r="E20" s="53" t="s">
        <v>253</v>
      </c>
      <c r="F20" s="53" t="s">
        <v>254</v>
      </c>
      <c r="G20" s="53" t="s">
        <v>42</v>
      </c>
      <c r="H20" s="53" t="s">
        <v>160</v>
      </c>
      <c r="I20" s="53" t="s">
        <v>159</v>
      </c>
      <c r="J20" s="53" t="s">
        <v>38</v>
      </c>
      <c r="K20" s="53" t="s">
        <v>161</v>
      </c>
      <c r="L20" s="53">
        <v>1</v>
      </c>
      <c r="N20" s="53">
        <v>1</v>
      </c>
      <c r="O20" s="53">
        <v>0.65</v>
      </c>
      <c r="P20" s="53">
        <v>0.55000000000000004</v>
      </c>
      <c r="Q20" s="75">
        <f t="shared" si="0"/>
        <v>0.60000000000000009</v>
      </c>
      <c r="R20" s="53">
        <v>16.100000000000001</v>
      </c>
      <c r="S20" s="53">
        <v>132</v>
      </c>
      <c r="T20" s="16">
        <f t="shared" si="1"/>
        <v>25</v>
      </c>
      <c r="U20" s="53">
        <v>138</v>
      </c>
      <c r="V20" s="16">
        <f t="shared" si="2"/>
        <v>3450</v>
      </c>
      <c r="W20" s="53">
        <v>2</v>
      </c>
      <c r="X20" s="53" t="s">
        <v>46</v>
      </c>
      <c r="Y20" s="53" t="s">
        <v>84</v>
      </c>
      <c r="Z20" s="53" t="s">
        <v>90</v>
      </c>
      <c r="AA20" s="53" t="s">
        <v>78</v>
      </c>
      <c r="AB20" s="53" t="s">
        <v>237</v>
      </c>
      <c r="AP20" s="27" t="s">
        <v>113</v>
      </c>
      <c r="AR20" s="23" t="s">
        <v>105</v>
      </c>
      <c r="AV20" s="27" t="s">
        <v>135</v>
      </c>
    </row>
    <row r="21" spans="1:48" x14ac:dyDescent="0.15">
      <c r="A21" s="53" t="s">
        <v>56</v>
      </c>
      <c r="B21" s="53" t="s">
        <v>233</v>
      </c>
      <c r="C21" s="53">
        <v>2019</v>
      </c>
      <c r="D21" s="81" t="s">
        <v>234</v>
      </c>
      <c r="E21" s="53" t="s">
        <v>253</v>
      </c>
      <c r="F21" s="53" t="s">
        <v>254</v>
      </c>
      <c r="G21" s="53" t="s">
        <v>42</v>
      </c>
      <c r="H21" s="53" t="s">
        <v>160</v>
      </c>
      <c r="I21" s="53" t="s">
        <v>159</v>
      </c>
      <c r="J21" s="53" t="s">
        <v>38</v>
      </c>
      <c r="K21" s="53" t="s">
        <v>161</v>
      </c>
      <c r="L21" s="53">
        <v>2</v>
      </c>
      <c r="N21" s="53">
        <v>1</v>
      </c>
      <c r="O21" s="53">
        <v>0.6</v>
      </c>
      <c r="P21" s="53">
        <v>0.6</v>
      </c>
      <c r="Q21" s="75">
        <f t="shared" si="0"/>
        <v>0.6</v>
      </c>
      <c r="R21" s="53">
        <v>13.1</v>
      </c>
      <c r="S21" s="53">
        <v>134</v>
      </c>
      <c r="T21" s="16">
        <f t="shared" si="1"/>
        <v>25</v>
      </c>
      <c r="U21" s="53">
        <v>138</v>
      </c>
      <c r="V21" s="16">
        <f t="shared" si="2"/>
        <v>3450</v>
      </c>
      <c r="W21" s="53">
        <v>2</v>
      </c>
      <c r="X21" s="53" t="s">
        <v>46</v>
      </c>
      <c r="Y21" s="53" t="s">
        <v>84</v>
      </c>
      <c r="Z21" s="53" t="s">
        <v>90</v>
      </c>
      <c r="AA21" s="53" t="s">
        <v>78</v>
      </c>
      <c r="AB21" s="53" t="s">
        <v>237</v>
      </c>
      <c r="AP21" s="27" t="s">
        <v>114</v>
      </c>
      <c r="AR21" s="23" t="s">
        <v>68</v>
      </c>
      <c r="AV21" s="28" t="s">
        <v>255</v>
      </c>
    </row>
    <row r="22" spans="1:48" x14ac:dyDescent="0.15">
      <c r="A22" s="53" t="s">
        <v>56</v>
      </c>
      <c r="B22" s="53" t="s">
        <v>233</v>
      </c>
      <c r="C22" s="53">
        <v>2019</v>
      </c>
      <c r="D22" s="81" t="s">
        <v>234</v>
      </c>
      <c r="E22" s="53" t="s">
        <v>253</v>
      </c>
      <c r="F22" s="53" t="s">
        <v>254</v>
      </c>
      <c r="G22" s="53" t="s">
        <v>42</v>
      </c>
      <c r="H22" s="53" t="s">
        <v>160</v>
      </c>
      <c r="I22" s="53" t="s">
        <v>159</v>
      </c>
      <c r="J22" s="53" t="s">
        <v>38</v>
      </c>
      <c r="K22" s="53" t="s">
        <v>161</v>
      </c>
      <c r="L22" s="53">
        <v>3</v>
      </c>
      <c r="N22" s="53">
        <v>1</v>
      </c>
      <c r="O22" s="53">
        <v>0.6</v>
      </c>
      <c r="P22" s="53">
        <v>0.65</v>
      </c>
      <c r="Q22" s="75">
        <f t="shared" si="0"/>
        <v>0.625</v>
      </c>
      <c r="R22" s="53">
        <v>14.7</v>
      </c>
      <c r="S22" s="53">
        <v>135</v>
      </c>
      <c r="T22" s="16">
        <f t="shared" si="1"/>
        <v>25</v>
      </c>
      <c r="U22" s="53">
        <v>138</v>
      </c>
      <c r="V22" s="16">
        <f t="shared" si="2"/>
        <v>3450</v>
      </c>
      <c r="W22" s="53">
        <v>2</v>
      </c>
      <c r="X22" s="53" t="s">
        <v>46</v>
      </c>
      <c r="Y22" s="53" t="s">
        <v>84</v>
      </c>
      <c r="Z22" s="53" t="s">
        <v>90</v>
      </c>
      <c r="AA22" s="53" t="s">
        <v>78</v>
      </c>
      <c r="AB22" s="53" t="s">
        <v>237</v>
      </c>
      <c r="AP22" s="27" t="s">
        <v>115</v>
      </c>
      <c r="AR22" s="23" t="s">
        <v>83</v>
      </c>
    </row>
    <row r="23" spans="1:48" x14ac:dyDescent="0.15">
      <c r="A23" s="53" t="s">
        <v>56</v>
      </c>
      <c r="B23" s="53" t="s">
        <v>233</v>
      </c>
      <c r="C23" s="53">
        <v>2019</v>
      </c>
      <c r="D23" s="81" t="s">
        <v>234</v>
      </c>
      <c r="E23" s="53" t="s">
        <v>256</v>
      </c>
      <c r="F23" s="53" t="s">
        <v>252</v>
      </c>
      <c r="G23" s="53" t="s">
        <v>42</v>
      </c>
      <c r="H23" s="53" t="s">
        <v>164</v>
      </c>
      <c r="I23" s="53" t="s">
        <v>159</v>
      </c>
      <c r="J23" s="53" t="s">
        <v>38</v>
      </c>
      <c r="K23" s="53" t="s">
        <v>161</v>
      </c>
      <c r="L23" s="53">
        <v>1</v>
      </c>
      <c r="N23" s="53">
        <v>5</v>
      </c>
      <c r="O23" s="53">
        <v>0.75</v>
      </c>
      <c r="P23" s="53">
        <v>0.8</v>
      </c>
      <c r="Q23" s="16">
        <f t="shared" si="0"/>
        <v>0.77500000000000002</v>
      </c>
      <c r="R23" s="53">
        <v>15.6</v>
      </c>
      <c r="S23" s="53">
        <v>95</v>
      </c>
      <c r="T23" s="16">
        <f t="shared" si="1"/>
        <v>36</v>
      </c>
      <c r="U23" s="53">
        <v>418</v>
      </c>
      <c r="V23" s="16">
        <f t="shared" si="2"/>
        <v>3009.6</v>
      </c>
      <c r="W23" s="53">
        <v>2</v>
      </c>
      <c r="X23" s="53" t="s">
        <v>39</v>
      </c>
      <c r="Y23" s="53" t="s">
        <v>90</v>
      </c>
      <c r="Z23" s="53" t="s">
        <v>84</v>
      </c>
      <c r="AA23" s="53" t="s">
        <v>55</v>
      </c>
      <c r="AB23" s="53" t="s">
        <v>237</v>
      </c>
      <c r="AP23" s="27" t="s">
        <v>137</v>
      </c>
      <c r="AR23" s="23" t="s">
        <v>61</v>
      </c>
    </row>
    <row r="24" spans="1:48" x14ac:dyDescent="0.15">
      <c r="A24" s="53" t="s">
        <v>56</v>
      </c>
      <c r="B24" s="53" t="s">
        <v>233</v>
      </c>
      <c r="C24" s="53">
        <v>2019</v>
      </c>
      <c r="D24" s="81" t="s">
        <v>234</v>
      </c>
      <c r="E24" s="53" t="s">
        <v>256</v>
      </c>
      <c r="F24" s="53" t="s">
        <v>252</v>
      </c>
      <c r="G24" s="53" t="s">
        <v>42</v>
      </c>
      <c r="H24" s="53" t="s">
        <v>164</v>
      </c>
      <c r="I24" s="53" t="s">
        <v>159</v>
      </c>
      <c r="J24" s="53" t="s">
        <v>38</v>
      </c>
      <c r="K24" s="53" t="s">
        <v>161</v>
      </c>
      <c r="L24" s="53">
        <v>2</v>
      </c>
      <c r="N24" s="53">
        <v>5</v>
      </c>
      <c r="O24" s="53">
        <v>0.8</v>
      </c>
      <c r="P24" s="53">
        <v>0.8</v>
      </c>
      <c r="Q24" s="16">
        <f t="shared" si="0"/>
        <v>0.8</v>
      </c>
      <c r="R24" s="53">
        <v>14.1</v>
      </c>
      <c r="S24" s="53">
        <v>105</v>
      </c>
      <c r="T24" s="16">
        <f t="shared" si="1"/>
        <v>33</v>
      </c>
      <c r="U24" s="53">
        <v>418</v>
      </c>
      <c r="V24" s="16">
        <f t="shared" si="2"/>
        <v>2758.7999999999997</v>
      </c>
      <c r="W24" s="53">
        <v>2</v>
      </c>
      <c r="X24" s="53" t="s">
        <v>39</v>
      </c>
      <c r="Y24" s="53" t="s">
        <v>90</v>
      </c>
      <c r="Z24" s="53" t="s">
        <v>84</v>
      </c>
      <c r="AA24" s="53" t="s">
        <v>55</v>
      </c>
      <c r="AB24" s="53" t="s">
        <v>237</v>
      </c>
      <c r="AP24" s="27" t="s">
        <v>138</v>
      </c>
      <c r="AR24" s="23" t="s">
        <v>91</v>
      </c>
    </row>
    <row r="25" spans="1:48" x14ac:dyDescent="0.15">
      <c r="A25" s="53" t="s">
        <v>56</v>
      </c>
      <c r="B25" s="53" t="s">
        <v>233</v>
      </c>
      <c r="C25" s="53">
        <v>2019</v>
      </c>
      <c r="D25" s="81" t="s">
        <v>234</v>
      </c>
      <c r="E25" s="53" t="s">
        <v>256</v>
      </c>
      <c r="F25" s="53" t="s">
        <v>252</v>
      </c>
      <c r="G25" s="53" t="s">
        <v>42</v>
      </c>
      <c r="H25" s="53" t="s">
        <v>164</v>
      </c>
      <c r="I25" s="53" t="s">
        <v>159</v>
      </c>
      <c r="J25" s="53" t="s">
        <v>38</v>
      </c>
      <c r="K25" s="53" t="s">
        <v>161</v>
      </c>
      <c r="L25" s="53">
        <v>3</v>
      </c>
      <c r="N25" s="53">
        <v>5</v>
      </c>
      <c r="O25" s="53">
        <v>0.7</v>
      </c>
      <c r="P25" s="53">
        <v>0.65</v>
      </c>
      <c r="Q25" s="16">
        <f t="shared" si="0"/>
        <v>0.67500000000000004</v>
      </c>
      <c r="R25" s="53">
        <v>14.9</v>
      </c>
      <c r="S25" s="53">
        <v>93</v>
      </c>
      <c r="T25" s="16">
        <f t="shared" si="1"/>
        <v>36</v>
      </c>
      <c r="U25" s="53">
        <v>418</v>
      </c>
      <c r="V25" s="16">
        <f t="shared" si="2"/>
        <v>3009.6</v>
      </c>
      <c r="W25" s="53">
        <v>2</v>
      </c>
      <c r="X25" s="53" t="s">
        <v>39</v>
      </c>
      <c r="Y25" s="53" t="s">
        <v>90</v>
      </c>
      <c r="Z25" s="53" t="s">
        <v>84</v>
      </c>
      <c r="AA25" s="53" t="s">
        <v>55</v>
      </c>
      <c r="AB25" s="53" t="s">
        <v>237</v>
      </c>
      <c r="AP25" s="27" t="s">
        <v>116</v>
      </c>
      <c r="AR25" s="27" t="s">
        <v>92</v>
      </c>
    </row>
    <row r="26" spans="1:48" x14ac:dyDescent="0.15">
      <c r="A26" s="53" t="s">
        <v>56</v>
      </c>
      <c r="B26" s="53" t="s">
        <v>233</v>
      </c>
      <c r="C26" s="53">
        <v>2019</v>
      </c>
      <c r="D26" s="81" t="s">
        <v>234</v>
      </c>
      <c r="E26" s="53" t="s">
        <v>256</v>
      </c>
      <c r="F26" s="53" t="s">
        <v>252</v>
      </c>
      <c r="G26" s="53" t="s">
        <v>42</v>
      </c>
      <c r="H26" s="53" t="s">
        <v>160</v>
      </c>
      <c r="I26" s="53" t="s">
        <v>159</v>
      </c>
      <c r="J26" s="53" t="s">
        <v>38</v>
      </c>
      <c r="K26" s="53" t="s">
        <v>161</v>
      </c>
      <c r="L26" s="53">
        <v>1</v>
      </c>
      <c r="N26" s="53">
        <v>8</v>
      </c>
      <c r="O26" s="53">
        <v>0.65</v>
      </c>
      <c r="P26" s="53">
        <v>0.6</v>
      </c>
      <c r="Q26" s="16">
        <f t="shared" si="0"/>
        <v>0.625</v>
      </c>
      <c r="R26" s="53">
        <v>12.2</v>
      </c>
      <c r="S26" s="53">
        <v>101</v>
      </c>
      <c r="T26" s="16">
        <f t="shared" si="1"/>
        <v>33</v>
      </c>
      <c r="U26" s="53">
        <v>537</v>
      </c>
      <c r="V26" s="16">
        <f t="shared" si="2"/>
        <v>2215.125</v>
      </c>
      <c r="W26" s="53">
        <v>10</v>
      </c>
      <c r="X26" s="53" t="s">
        <v>46</v>
      </c>
      <c r="Y26" s="53" t="s">
        <v>90</v>
      </c>
      <c r="Z26" s="53" t="s">
        <v>84</v>
      </c>
      <c r="AA26" s="53" t="s">
        <v>55</v>
      </c>
      <c r="AB26" s="53" t="s">
        <v>237</v>
      </c>
      <c r="AP26" s="27" t="s">
        <v>117</v>
      </c>
      <c r="AR26" s="53" t="s">
        <v>153</v>
      </c>
    </row>
    <row r="27" spans="1:48" x14ac:dyDescent="0.15">
      <c r="A27" s="53" t="s">
        <v>56</v>
      </c>
      <c r="B27" s="53" t="s">
        <v>233</v>
      </c>
      <c r="C27" s="53">
        <v>2019</v>
      </c>
      <c r="D27" s="81" t="s">
        <v>234</v>
      </c>
      <c r="E27" s="53" t="s">
        <v>256</v>
      </c>
      <c r="F27" s="53" t="s">
        <v>252</v>
      </c>
      <c r="G27" s="53" t="s">
        <v>42</v>
      </c>
      <c r="H27" s="53" t="s">
        <v>160</v>
      </c>
      <c r="I27" s="53" t="s">
        <v>159</v>
      </c>
      <c r="J27" s="53" t="s">
        <v>38</v>
      </c>
      <c r="K27" s="53" t="s">
        <v>161</v>
      </c>
      <c r="L27" s="53">
        <v>2</v>
      </c>
      <c r="N27" s="53">
        <v>8</v>
      </c>
      <c r="O27" s="53">
        <v>0.65</v>
      </c>
      <c r="P27" s="53">
        <v>0.6</v>
      </c>
      <c r="Q27" s="16">
        <f t="shared" si="0"/>
        <v>0.625</v>
      </c>
      <c r="R27" s="53">
        <v>14.6</v>
      </c>
      <c r="S27" s="53">
        <v>103</v>
      </c>
      <c r="T27" s="16">
        <f t="shared" si="1"/>
        <v>33</v>
      </c>
      <c r="U27" s="53">
        <v>537</v>
      </c>
      <c r="V27" s="16">
        <f t="shared" si="2"/>
        <v>2215.125</v>
      </c>
      <c r="W27" s="53">
        <v>10</v>
      </c>
      <c r="X27" s="53" t="s">
        <v>46</v>
      </c>
      <c r="Y27" s="53" t="s">
        <v>90</v>
      </c>
      <c r="Z27" s="53" t="s">
        <v>84</v>
      </c>
      <c r="AA27" s="53" t="s">
        <v>55</v>
      </c>
      <c r="AB27" s="53" t="s">
        <v>237</v>
      </c>
      <c r="AP27" s="27" t="s">
        <v>118</v>
      </c>
    </row>
    <row r="28" spans="1:48" x14ac:dyDescent="0.15">
      <c r="A28" s="53" t="s">
        <v>56</v>
      </c>
      <c r="B28" s="53" t="s">
        <v>233</v>
      </c>
      <c r="C28" s="53">
        <v>2019</v>
      </c>
      <c r="D28" s="81" t="s">
        <v>234</v>
      </c>
      <c r="E28" s="53" t="s">
        <v>256</v>
      </c>
      <c r="F28" s="53" t="s">
        <v>252</v>
      </c>
      <c r="G28" s="53" t="s">
        <v>42</v>
      </c>
      <c r="H28" s="53" t="s">
        <v>160</v>
      </c>
      <c r="I28" s="53" t="s">
        <v>159</v>
      </c>
      <c r="J28" s="53" t="s">
        <v>38</v>
      </c>
      <c r="K28" s="53" t="s">
        <v>161</v>
      </c>
      <c r="L28" s="53">
        <v>3</v>
      </c>
      <c r="N28" s="53">
        <v>8</v>
      </c>
      <c r="O28" s="53">
        <v>0.6</v>
      </c>
      <c r="P28" s="53">
        <v>0.6</v>
      </c>
      <c r="Q28" s="16">
        <f t="shared" si="0"/>
        <v>0.6</v>
      </c>
      <c r="R28" s="53">
        <v>15.6</v>
      </c>
      <c r="S28" s="53">
        <v>99</v>
      </c>
      <c r="T28" s="16">
        <f t="shared" si="1"/>
        <v>33</v>
      </c>
      <c r="U28" s="53">
        <v>537</v>
      </c>
      <c r="V28" s="16">
        <f t="shared" si="2"/>
        <v>2215.125</v>
      </c>
      <c r="W28" s="53">
        <v>10</v>
      </c>
      <c r="X28" s="53" t="s">
        <v>46</v>
      </c>
      <c r="Y28" s="53" t="s">
        <v>90</v>
      </c>
      <c r="Z28" s="53" t="s">
        <v>84</v>
      </c>
      <c r="AA28" s="53" t="s">
        <v>55</v>
      </c>
      <c r="AB28" s="53" t="s">
        <v>237</v>
      </c>
    </row>
    <row r="29" spans="1:48" x14ac:dyDescent="0.15">
      <c r="A29" s="53" t="s">
        <v>56</v>
      </c>
      <c r="B29" s="53" t="s">
        <v>233</v>
      </c>
      <c r="C29" s="53">
        <v>2019</v>
      </c>
      <c r="D29" s="81" t="s">
        <v>234</v>
      </c>
      <c r="E29" s="53" t="s">
        <v>162</v>
      </c>
      <c r="F29" s="53" t="s">
        <v>250</v>
      </c>
      <c r="G29" s="53" t="s">
        <v>42</v>
      </c>
      <c r="H29" s="53" t="s">
        <v>164</v>
      </c>
      <c r="I29" s="53" t="s">
        <v>159</v>
      </c>
      <c r="J29" s="53" t="s">
        <v>38</v>
      </c>
      <c r="K29" s="53" t="s">
        <v>161</v>
      </c>
      <c r="L29" s="53">
        <v>1</v>
      </c>
      <c r="N29" s="53">
        <v>8</v>
      </c>
      <c r="O29" s="53">
        <v>0.85</v>
      </c>
      <c r="P29" s="53">
        <v>0.85</v>
      </c>
      <c r="Q29" s="16">
        <f t="shared" si="0"/>
        <v>0.85</v>
      </c>
      <c r="R29" s="53">
        <v>13.1</v>
      </c>
      <c r="S29" s="53">
        <v>80</v>
      </c>
      <c r="T29" s="16">
        <f t="shared" si="1"/>
        <v>39</v>
      </c>
      <c r="U29" s="53">
        <v>538</v>
      </c>
      <c r="V29" s="16">
        <f t="shared" si="2"/>
        <v>2622.75</v>
      </c>
      <c r="W29" s="53">
        <v>10</v>
      </c>
      <c r="X29" s="53" t="s">
        <v>46</v>
      </c>
      <c r="Y29" s="53" t="s">
        <v>84</v>
      </c>
      <c r="Z29" s="53" t="s">
        <v>90</v>
      </c>
      <c r="AA29" s="53" t="s">
        <v>55</v>
      </c>
      <c r="AB29" s="53" t="s">
        <v>237</v>
      </c>
    </row>
    <row r="30" spans="1:48" x14ac:dyDescent="0.15">
      <c r="A30" s="53" t="s">
        <v>56</v>
      </c>
      <c r="B30" s="53" t="s">
        <v>233</v>
      </c>
      <c r="C30" s="53">
        <v>2019</v>
      </c>
      <c r="D30" s="81" t="s">
        <v>234</v>
      </c>
      <c r="E30" s="53" t="s">
        <v>162</v>
      </c>
      <c r="F30" s="53" t="s">
        <v>250</v>
      </c>
      <c r="G30" s="53" t="s">
        <v>42</v>
      </c>
      <c r="H30" s="53" t="s">
        <v>164</v>
      </c>
      <c r="I30" s="53" t="s">
        <v>159</v>
      </c>
      <c r="J30" s="53" t="s">
        <v>38</v>
      </c>
      <c r="K30" s="53" t="s">
        <v>161</v>
      </c>
      <c r="L30" s="53">
        <v>2</v>
      </c>
      <c r="N30" s="53">
        <v>8</v>
      </c>
      <c r="O30" s="53">
        <v>0.75</v>
      </c>
      <c r="P30" s="53">
        <v>0.8</v>
      </c>
      <c r="Q30" s="16">
        <f t="shared" si="0"/>
        <v>0.77500000000000002</v>
      </c>
      <c r="R30" s="53">
        <v>14</v>
      </c>
      <c r="S30" s="53">
        <v>89</v>
      </c>
      <c r="T30" s="16">
        <f t="shared" si="1"/>
        <v>36</v>
      </c>
      <c r="U30" s="53">
        <v>538</v>
      </c>
      <c r="V30" s="16">
        <f t="shared" si="2"/>
        <v>2421</v>
      </c>
      <c r="W30" s="53">
        <v>10</v>
      </c>
      <c r="X30" s="53" t="s">
        <v>46</v>
      </c>
      <c r="Y30" s="53" t="s">
        <v>84</v>
      </c>
      <c r="Z30" s="53" t="s">
        <v>90</v>
      </c>
      <c r="AA30" s="53" t="s">
        <v>55</v>
      </c>
      <c r="AB30" s="53" t="s">
        <v>237</v>
      </c>
    </row>
    <row r="31" spans="1:48" x14ac:dyDescent="0.15">
      <c r="A31" s="53" t="s">
        <v>56</v>
      </c>
      <c r="B31" s="53" t="s">
        <v>233</v>
      </c>
      <c r="C31" s="53">
        <v>2019</v>
      </c>
      <c r="D31" s="81" t="s">
        <v>234</v>
      </c>
      <c r="E31" s="53" t="s">
        <v>162</v>
      </c>
      <c r="F31" s="53" t="s">
        <v>250</v>
      </c>
      <c r="G31" s="53" t="s">
        <v>42</v>
      </c>
      <c r="H31" s="53" t="s">
        <v>164</v>
      </c>
      <c r="I31" s="53" t="s">
        <v>159</v>
      </c>
      <c r="J31" s="53" t="s">
        <v>38</v>
      </c>
      <c r="K31" s="53" t="s">
        <v>161</v>
      </c>
      <c r="L31" s="53">
        <v>3</v>
      </c>
      <c r="N31" s="53">
        <v>8</v>
      </c>
      <c r="O31" s="53">
        <v>0.9</v>
      </c>
      <c r="P31" s="53">
        <v>1</v>
      </c>
      <c r="Q31" s="16">
        <f t="shared" si="0"/>
        <v>0.95</v>
      </c>
      <c r="R31" s="53">
        <v>13.6</v>
      </c>
      <c r="S31" s="53">
        <v>86</v>
      </c>
      <c r="T31" s="16">
        <f t="shared" si="1"/>
        <v>36</v>
      </c>
      <c r="U31" s="53">
        <v>538</v>
      </c>
      <c r="V31" s="16">
        <f t="shared" si="2"/>
        <v>2421</v>
      </c>
      <c r="W31" s="53">
        <v>10</v>
      </c>
      <c r="X31" s="53" t="s">
        <v>46</v>
      </c>
      <c r="Y31" s="53" t="s">
        <v>84</v>
      </c>
      <c r="Z31" s="53" t="s">
        <v>90</v>
      </c>
      <c r="AA31" s="53" t="s">
        <v>55</v>
      </c>
      <c r="AB31" s="53" t="s">
        <v>237</v>
      </c>
    </row>
    <row r="32" spans="1:48" x14ac:dyDescent="0.15">
      <c r="A32" s="53" t="s">
        <v>56</v>
      </c>
      <c r="B32" s="53" t="s">
        <v>233</v>
      </c>
      <c r="C32" s="53">
        <v>2019</v>
      </c>
      <c r="D32" s="81" t="s">
        <v>234</v>
      </c>
      <c r="E32" s="53" t="s">
        <v>162</v>
      </c>
      <c r="F32" s="53" t="s">
        <v>250</v>
      </c>
      <c r="G32" s="53" t="s">
        <v>42</v>
      </c>
      <c r="H32" s="53" t="s">
        <v>160</v>
      </c>
      <c r="I32" s="53" t="s">
        <v>159</v>
      </c>
      <c r="J32" s="53" t="s">
        <v>38</v>
      </c>
      <c r="K32" s="53" t="s">
        <v>161</v>
      </c>
      <c r="L32" s="53">
        <v>1</v>
      </c>
      <c r="N32" s="53">
        <v>1</v>
      </c>
      <c r="O32" s="53">
        <v>0.65</v>
      </c>
      <c r="P32" s="53">
        <v>0.7</v>
      </c>
      <c r="Q32" s="16">
        <f t="shared" si="0"/>
        <v>0.67500000000000004</v>
      </c>
      <c r="R32" s="53">
        <v>15.8</v>
      </c>
      <c r="S32" s="53">
        <v>113</v>
      </c>
      <c r="T32" s="16">
        <f t="shared" si="1"/>
        <v>30</v>
      </c>
      <c r="U32" s="53">
        <v>138</v>
      </c>
      <c r="V32" s="16">
        <f t="shared" si="2"/>
        <v>4140</v>
      </c>
      <c r="W32" s="53">
        <v>2</v>
      </c>
      <c r="X32" s="53" t="s">
        <v>46</v>
      </c>
      <c r="Y32" s="53" t="s">
        <v>84</v>
      </c>
      <c r="Z32" s="53" t="s">
        <v>90</v>
      </c>
      <c r="AA32" s="53" t="s">
        <v>55</v>
      </c>
      <c r="AB32" s="53" t="s">
        <v>237</v>
      </c>
    </row>
    <row r="33" spans="1:28" x14ac:dyDescent="0.15">
      <c r="A33" s="53" t="s">
        <v>56</v>
      </c>
      <c r="B33" s="53" t="s">
        <v>233</v>
      </c>
      <c r="C33" s="53">
        <v>2019</v>
      </c>
      <c r="D33" s="81" t="s">
        <v>234</v>
      </c>
      <c r="E33" s="53" t="s">
        <v>162</v>
      </c>
      <c r="F33" s="53" t="s">
        <v>250</v>
      </c>
      <c r="G33" s="53" t="s">
        <v>42</v>
      </c>
      <c r="H33" s="53" t="s">
        <v>160</v>
      </c>
      <c r="I33" s="53" t="s">
        <v>159</v>
      </c>
      <c r="J33" s="53" t="s">
        <v>38</v>
      </c>
      <c r="K33" s="53" t="s">
        <v>161</v>
      </c>
      <c r="L33" s="53">
        <v>2</v>
      </c>
      <c r="N33" s="53">
        <v>1</v>
      </c>
      <c r="O33" s="53">
        <v>0.7</v>
      </c>
      <c r="P33" s="53">
        <v>0.75</v>
      </c>
      <c r="Q33" s="16">
        <f t="shared" si="0"/>
        <v>0.72499999999999998</v>
      </c>
      <c r="R33" s="53">
        <v>14.8</v>
      </c>
      <c r="S33" s="53">
        <v>112</v>
      </c>
      <c r="T33" s="16">
        <f t="shared" si="1"/>
        <v>33</v>
      </c>
      <c r="U33" s="53">
        <v>138</v>
      </c>
      <c r="V33" s="16">
        <f t="shared" si="2"/>
        <v>4554</v>
      </c>
      <c r="W33" s="53">
        <v>2</v>
      </c>
      <c r="X33" s="53" t="s">
        <v>46</v>
      </c>
      <c r="Y33" s="53" t="s">
        <v>84</v>
      </c>
      <c r="Z33" s="53" t="s">
        <v>90</v>
      </c>
      <c r="AA33" s="53" t="s">
        <v>55</v>
      </c>
      <c r="AB33" s="53" t="s">
        <v>237</v>
      </c>
    </row>
    <row r="34" spans="1:28" x14ac:dyDescent="0.15">
      <c r="A34" s="53" t="s">
        <v>56</v>
      </c>
      <c r="B34" s="53" t="s">
        <v>233</v>
      </c>
      <c r="C34" s="53">
        <v>2019</v>
      </c>
      <c r="D34" s="81" t="s">
        <v>234</v>
      </c>
      <c r="E34" s="53" t="s">
        <v>162</v>
      </c>
      <c r="F34" s="53" t="s">
        <v>250</v>
      </c>
      <c r="G34" s="53" t="s">
        <v>42</v>
      </c>
      <c r="H34" s="53" t="s">
        <v>160</v>
      </c>
      <c r="I34" s="53" t="s">
        <v>159</v>
      </c>
      <c r="J34" s="53" t="s">
        <v>38</v>
      </c>
      <c r="K34" s="53" t="s">
        <v>161</v>
      </c>
      <c r="L34" s="53">
        <v>3</v>
      </c>
      <c r="N34" s="53">
        <v>1</v>
      </c>
      <c r="O34" s="53">
        <v>0.6</v>
      </c>
      <c r="P34" s="53">
        <v>0.7</v>
      </c>
      <c r="Q34" s="16">
        <f t="shared" si="0"/>
        <v>0.64999999999999991</v>
      </c>
      <c r="R34" s="53">
        <v>16.3</v>
      </c>
      <c r="S34" s="53">
        <v>106</v>
      </c>
      <c r="T34" s="16">
        <f t="shared" si="1"/>
        <v>33</v>
      </c>
      <c r="U34" s="53">
        <v>138</v>
      </c>
      <c r="V34" s="16">
        <f t="shared" si="2"/>
        <v>4554</v>
      </c>
      <c r="W34" s="53">
        <v>2</v>
      </c>
      <c r="X34" s="53" t="s">
        <v>46</v>
      </c>
      <c r="Y34" s="53" t="s">
        <v>84</v>
      </c>
      <c r="Z34" s="53" t="s">
        <v>90</v>
      </c>
      <c r="AA34" s="53" t="s">
        <v>55</v>
      </c>
      <c r="AB34" s="53" t="s">
        <v>237</v>
      </c>
    </row>
    <row r="35" spans="1:28" x14ac:dyDescent="0.15">
      <c r="A35" s="53" t="s">
        <v>56</v>
      </c>
      <c r="B35" s="53" t="s">
        <v>233</v>
      </c>
      <c r="C35" s="53">
        <v>2019</v>
      </c>
      <c r="D35" s="81" t="s">
        <v>234</v>
      </c>
      <c r="E35" s="53" t="s">
        <v>162</v>
      </c>
      <c r="F35" s="53" t="s">
        <v>250</v>
      </c>
      <c r="G35" s="53" t="s">
        <v>42</v>
      </c>
      <c r="H35" s="53" t="s">
        <v>128</v>
      </c>
      <c r="I35" s="53" t="s">
        <v>159</v>
      </c>
      <c r="J35" s="53" t="s">
        <v>80</v>
      </c>
      <c r="K35" s="53" t="s">
        <v>45</v>
      </c>
      <c r="L35" s="53">
        <v>1</v>
      </c>
      <c r="N35" s="53">
        <v>5</v>
      </c>
      <c r="O35" s="53">
        <v>1.05</v>
      </c>
      <c r="P35" s="53">
        <v>1.1000000000000001</v>
      </c>
      <c r="Q35" s="16">
        <f t="shared" si="0"/>
        <v>1.0750000000000002</v>
      </c>
      <c r="R35" s="53">
        <v>16.100000000000001</v>
      </c>
      <c r="S35" s="53">
        <v>89</v>
      </c>
      <c r="T35" s="16">
        <f t="shared" si="1"/>
        <v>36</v>
      </c>
      <c r="U35" s="53">
        <v>430</v>
      </c>
      <c r="V35" s="16">
        <f t="shared" si="2"/>
        <v>3096</v>
      </c>
      <c r="W35" s="53">
        <v>1</v>
      </c>
      <c r="X35" s="53" t="s">
        <v>46</v>
      </c>
      <c r="Y35" s="53" t="s">
        <v>84</v>
      </c>
      <c r="Z35" s="53" t="s">
        <v>90</v>
      </c>
      <c r="AA35" s="53" t="s">
        <v>55</v>
      </c>
      <c r="AB35" s="53" t="s">
        <v>237</v>
      </c>
    </row>
    <row r="36" spans="1:28" x14ac:dyDescent="0.15">
      <c r="A36" s="53" t="s">
        <v>56</v>
      </c>
      <c r="B36" s="53" t="s">
        <v>233</v>
      </c>
      <c r="C36" s="53">
        <v>2019</v>
      </c>
      <c r="D36" s="81" t="s">
        <v>234</v>
      </c>
      <c r="E36" s="53" t="s">
        <v>162</v>
      </c>
      <c r="F36" s="53" t="s">
        <v>250</v>
      </c>
      <c r="G36" s="53" t="s">
        <v>42</v>
      </c>
      <c r="H36" s="53" t="s">
        <v>128</v>
      </c>
      <c r="I36" s="53" t="s">
        <v>159</v>
      </c>
      <c r="J36" s="53" t="s">
        <v>80</v>
      </c>
      <c r="K36" s="53" t="s">
        <v>45</v>
      </c>
      <c r="L36" s="53">
        <v>2</v>
      </c>
      <c r="N36" s="53">
        <v>5</v>
      </c>
      <c r="O36" s="53">
        <v>1.1000000000000001</v>
      </c>
      <c r="P36" s="53">
        <v>1.1000000000000001</v>
      </c>
      <c r="Q36" s="16">
        <f t="shared" si="0"/>
        <v>1.1000000000000001</v>
      </c>
      <c r="R36" s="53">
        <v>14.6</v>
      </c>
      <c r="S36" s="53">
        <v>84</v>
      </c>
      <c r="T36" s="16">
        <f t="shared" si="1"/>
        <v>36</v>
      </c>
      <c r="U36" s="53">
        <v>430</v>
      </c>
      <c r="V36" s="16">
        <f t="shared" si="2"/>
        <v>3096</v>
      </c>
      <c r="W36" s="53">
        <v>1</v>
      </c>
      <c r="X36" s="53" t="s">
        <v>46</v>
      </c>
      <c r="Y36" s="53" t="s">
        <v>84</v>
      </c>
      <c r="Z36" s="53" t="s">
        <v>90</v>
      </c>
      <c r="AA36" s="53" t="s">
        <v>55</v>
      </c>
      <c r="AB36" s="53" t="s">
        <v>237</v>
      </c>
    </row>
    <row r="37" spans="1:28" x14ac:dyDescent="0.15">
      <c r="A37" s="53" t="s">
        <v>56</v>
      </c>
      <c r="B37" s="53" t="s">
        <v>233</v>
      </c>
      <c r="C37" s="53">
        <v>2019</v>
      </c>
      <c r="D37" s="81" t="s">
        <v>234</v>
      </c>
      <c r="E37" s="53" t="s">
        <v>162</v>
      </c>
      <c r="F37" s="53" t="s">
        <v>250</v>
      </c>
      <c r="G37" s="53" t="s">
        <v>42</v>
      </c>
      <c r="H37" s="53" t="s">
        <v>128</v>
      </c>
      <c r="I37" s="53" t="s">
        <v>159</v>
      </c>
      <c r="J37" s="53" t="s">
        <v>80</v>
      </c>
      <c r="K37" s="53" t="s">
        <v>45</v>
      </c>
      <c r="L37" s="53">
        <v>3</v>
      </c>
      <c r="N37" s="53">
        <v>5</v>
      </c>
      <c r="O37" s="53">
        <v>1.05</v>
      </c>
      <c r="P37" s="53">
        <v>1.2</v>
      </c>
      <c r="Q37" s="16">
        <f t="shared" si="0"/>
        <v>1.125</v>
      </c>
      <c r="R37" s="53">
        <v>13.3</v>
      </c>
      <c r="S37" s="53">
        <v>84</v>
      </c>
      <c r="T37" s="16">
        <f t="shared" si="1"/>
        <v>36</v>
      </c>
      <c r="U37" s="53">
        <v>430</v>
      </c>
      <c r="V37" s="16">
        <f t="shared" si="2"/>
        <v>3096</v>
      </c>
      <c r="W37" s="53">
        <v>1</v>
      </c>
      <c r="X37" s="53" t="s">
        <v>46</v>
      </c>
      <c r="Y37" s="53" t="s">
        <v>84</v>
      </c>
      <c r="Z37" s="53" t="s">
        <v>90</v>
      </c>
      <c r="AA37" s="53" t="s">
        <v>55</v>
      </c>
      <c r="AB37" s="53" t="s">
        <v>237</v>
      </c>
    </row>
    <row r="38" spans="1:28" x14ac:dyDescent="0.15">
      <c r="A38" s="53" t="s">
        <v>56</v>
      </c>
      <c r="B38" s="53" t="s">
        <v>233</v>
      </c>
      <c r="C38" s="53">
        <v>2019</v>
      </c>
      <c r="D38" s="81" t="s">
        <v>234</v>
      </c>
      <c r="E38" s="53" t="s">
        <v>257</v>
      </c>
      <c r="F38" s="53" t="s">
        <v>250</v>
      </c>
      <c r="G38" s="53" t="s">
        <v>42</v>
      </c>
      <c r="H38" s="53" t="s">
        <v>164</v>
      </c>
      <c r="I38" s="53" t="s">
        <v>159</v>
      </c>
      <c r="J38" s="53" t="s">
        <v>38</v>
      </c>
      <c r="K38" s="53" t="s">
        <v>161</v>
      </c>
      <c r="L38" s="53">
        <v>1</v>
      </c>
      <c r="N38" s="53">
        <v>1</v>
      </c>
      <c r="O38" s="53">
        <v>0.6</v>
      </c>
      <c r="P38" s="53">
        <v>0.55000000000000004</v>
      </c>
      <c r="Q38" s="16">
        <f t="shared" si="0"/>
        <v>0.57499999999999996</v>
      </c>
      <c r="R38" s="53">
        <v>15.6</v>
      </c>
      <c r="S38" s="53">
        <v>131</v>
      </c>
      <c r="T38" s="16">
        <f t="shared" si="1"/>
        <v>25</v>
      </c>
      <c r="U38" s="53">
        <v>138</v>
      </c>
      <c r="V38" s="16">
        <f t="shared" si="2"/>
        <v>3450</v>
      </c>
      <c r="W38" s="53">
        <v>1</v>
      </c>
      <c r="X38" s="53" t="s">
        <v>39</v>
      </c>
      <c r="Y38" s="53" t="s">
        <v>84</v>
      </c>
      <c r="Z38" s="53" t="s">
        <v>90</v>
      </c>
      <c r="AA38" s="53" t="s">
        <v>78</v>
      </c>
      <c r="AB38" s="53" t="s">
        <v>237</v>
      </c>
    </row>
    <row r="39" spans="1:28" x14ac:dyDescent="0.15">
      <c r="A39" s="53" t="s">
        <v>56</v>
      </c>
      <c r="B39" s="53" t="s">
        <v>233</v>
      </c>
      <c r="C39" s="53">
        <v>2019</v>
      </c>
      <c r="D39" s="81" t="s">
        <v>234</v>
      </c>
      <c r="E39" s="53" t="s">
        <v>257</v>
      </c>
      <c r="F39" s="53" t="s">
        <v>250</v>
      </c>
      <c r="G39" s="53" t="s">
        <v>42</v>
      </c>
      <c r="H39" s="53" t="s">
        <v>164</v>
      </c>
      <c r="I39" s="53" t="s">
        <v>159</v>
      </c>
      <c r="J39" s="53" t="s">
        <v>38</v>
      </c>
      <c r="K39" s="53" t="s">
        <v>161</v>
      </c>
      <c r="L39" s="53">
        <v>2</v>
      </c>
      <c r="N39" s="53">
        <v>1</v>
      </c>
      <c r="O39" s="53">
        <v>0.6</v>
      </c>
      <c r="P39" s="53">
        <v>0.6</v>
      </c>
      <c r="Q39" s="16">
        <f t="shared" si="0"/>
        <v>0.6</v>
      </c>
      <c r="R39" s="53">
        <v>13.2</v>
      </c>
      <c r="S39" s="53">
        <v>131</v>
      </c>
      <c r="T39" s="16">
        <f t="shared" si="1"/>
        <v>25</v>
      </c>
      <c r="U39" s="53">
        <v>138</v>
      </c>
      <c r="V39" s="16">
        <f t="shared" si="2"/>
        <v>3450</v>
      </c>
      <c r="W39" s="53">
        <v>1</v>
      </c>
      <c r="X39" s="53" t="s">
        <v>39</v>
      </c>
      <c r="Y39" s="53" t="s">
        <v>84</v>
      </c>
      <c r="Z39" s="53" t="s">
        <v>90</v>
      </c>
      <c r="AA39" s="53" t="s">
        <v>78</v>
      </c>
      <c r="AB39" s="53" t="s">
        <v>237</v>
      </c>
    </row>
    <row r="40" spans="1:28" x14ac:dyDescent="0.15">
      <c r="A40" s="53" t="s">
        <v>56</v>
      </c>
      <c r="B40" s="53" t="s">
        <v>233</v>
      </c>
      <c r="C40" s="53">
        <v>2019</v>
      </c>
      <c r="D40" s="81" t="s">
        <v>234</v>
      </c>
      <c r="E40" s="53" t="s">
        <v>257</v>
      </c>
      <c r="F40" s="53" t="s">
        <v>250</v>
      </c>
      <c r="G40" s="53" t="s">
        <v>42</v>
      </c>
      <c r="H40" s="53" t="s">
        <v>164</v>
      </c>
      <c r="I40" s="53" t="s">
        <v>159</v>
      </c>
      <c r="J40" s="53" t="s">
        <v>38</v>
      </c>
      <c r="K40" s="53" t="s">
        <v>161</v>
      </c>
      <c r="L40" s="53">
        <v>3</v>
      </c>
      <c r="N40" s="53">
        <v>1</v>
      </c>
      <c r="O40" s="53">
        <v>0.65</v>
      </c>
      <c r="P40" s="53">
        <v>0.6</v>
      </c>
      <c r="Q40" s="16">
        <f t="shared" si="0"/>
        <v>0.625</v>
      </c>
      <c r="R40" s="53">
        <v>13.2</v>
      </c>
      <c r="S40" s="53">
        <v>136</v>
      </c>
      <c r="T40" s="16">
        <f t="shared" si="1"/>
        <v>25</v>
      </c>
      <c r="U40" s="53">
        <v>138</v>
      </c>
      <c r="V40" s="16">
        <f t="shared" si="2"/>
        <v>3450</v>
      </c>
      <c r="W40" s="53">
        <v>1</v>
      </c>
      <c r="X40" s="53" t="s">
        <v>39</v>
      </c>
      <c r="Y40" s="53" t="s">
        <v>84</v>
      </c>
      <c r="Z40" s="53" t="s">
        <v>90</v>
      </c>
      <c r="AA40" s="53" t="s">
        <v>78</v>
      </c>
      <c r="AB40" s="53" t="s">
        <v>237</v>
      </c>
    </row>
    <row r="41" spans="1:28" x14ac:dyDescent="0.15">
      <c r="A41" s="53" t="s">
        <v>56</v>
      </c>
      <c r="B41" s="53" t="s">
        <v>233</v>
      </c>
      <c r="C41" s="53">
        <v>2019</v>
      </c>
      <c r="D41" s="81" t="s">
        <v>234</v>
      </c>
      <c r="E41" s="53" t="s">
        <v>257</v>
      </c>
      <c r="F41" s="53" t="s">
        <v>250</v>
      </c>
      <c r="G41" s="53" t="s">
        <v>42</v>
      </c>
      <c r="H41" s="53" t="s">
        <v>160</v>
      </c>
      <c r="I41" s="53" t="s">
        <v>159</v>
      </c>
      <c r="J41" s="53" t="s">
        <v>38</v>
      </c>
      <c r="K41" s="53" t="s">
        <v>161</v>
      </c>
      <c r="L41" s="53">
        <v>1</v>
      </c>
      <c r="N41" s="53">
        <v>1</v>
      </c>
      <c r="O41" s="53">
        <v>0.6</v>
      </c>
      <c r="P41" s="53">
        <v>0.65</v>
      </c>
      <c r="Q41" s="16">
        <f t="shared" si="0"/>
        <v>0.625</v>
      </c>
      <c r="R41" s="53">
        <v>14.8</v>
      </c>
      <c r="S41" s="53">
        <v>124</v>
      </c>
      <c r="T41" s="16">
        <f t="shared" si="1"/>
        <v>27</v>
      </c>
      <c r="U41" s="53">
        <v>150</v>
      </c>
      <c r="V41" s="16">
        <f t="shared" si="2"/>
        <v>4050</v>
      </c>
      <c r="W41" s="53">
        <v>1</v>
      </c>
      <c r="X41" s="53" t="s">
        <v>39</v>
      </c>
      <c r="Y41" s="53" t="s">
        <v>84</v>
      </c>
      <c r="Z41" s="53" t="s">
        <v>90</v>
      </c>
      <c r="AA41" s="53" t="s">
        <v>78</v>
      </c>
      <c r="AB41" s="53" t="s">
        <v>237</v>
      </c>
    </row>
    <row r="42" spans="1:28" x14ac:dyDescent="0.15">
      <c r="A42" s="53" t="s">
        <v>56</v>
      </c>
      <c r="B42" s="53" t="s">
        <v>233</v>
      </c>
      <c r="C42" s="53">
        <v>2019</v>
      </c>
      <c r="D42" s="81" t="s">
        <v>234</v>
      </c>
      <c r="E42" s="53" t="s">
        <v>257</v>
      </c>
      <c r="F42" s="53" t="s">
        <v>250</v>
      </c>
      <c r="G42" s="53" t="s">
        <v>42</v>
      </c>
      <c r="H42" s="53" t="s">
        <v>160</v>
      </c>
      <c r="I42" s="53" t="s">
        <v>159</v>
      </c>
      <c r="J42" s="53" t="s">
        <v>38</v>
      </c>
      <c r="K42" s="53" t="s">
        <v>161</v>
      </c>
      <c r="L42" s="53">
        <v>2</v>
      </c>
      <c r="N42" s="53">
        <v>1</v>
      </c>
      <c r="O42" s="53">
        <v>0.65</v>
      </c>
      <c r="P42" s="53">
        <v>0.55000000000000004</v>
      </c>
      <c r="Q42" s="16">
        <f t="shared" si="0"/>
        <v>0.60000000000000009</v>
      </c>
      <c r="R42" s="53">
        <v>16</v>
      </c>
      <c r="S42" s="53">
        <v>129</v>
      </c>
      <c r="T42" s="16">
        <f t="shared" si="1"/>
        <v>25</v>
      </c>
      <c r="U42" s="53">
        <v>150</v>
      </c>
      <c r="V42" s="16">
        <f t="shared" si="2"/>
        <v>3750</v>
      </c>
      <c r="W42" s="53">
        <v>1</v>
      </c>
      <c r="X42" s="53" t="s">
        <v>39</v>
      </c>
      <c r="Y42" s="53" t="s">
        <v>84</v>
      </c>
      <c r="Z42" s="53" t="s">
        <v>90</v>
      </c>
      <c r="AA42" s="53" t="s">
        <v>78</v>
      </c>
      <c r="AB42" s="53" t="s">
        <v>237</v>
      </c>
    </row>
    <row r="43" spans="1:28" x14ac:dyDescent="0.15">
      <c r="A43" s="53" t="s">
        <v>56</v>
      </c>
      <c r="B43" s="53" t="s">
        <v>233</v>
      </c>
      <c r="C43" s="53">
        <v>2019</v>
      </c>
      <c r="D43" s="81" t="s">
        <v>234</v>
      </c>
      <c r="E43" s="53" t="s">
        <v>257</v>
      </c>
      <c r="F43" s="53" t="s">
        <v>250</v>
      </c>
      <c r="G43" s="53" t="s">
        <v>42</v>
      </c>
      <c r="H43" s="53" t="s">
        <v>160</v>
      </c>
      <c r="I43" s="53" t="s">
        <v>159</v>
      </c>
      <c r="J43" s="53" t="s">
        <v>38</v>
      </c>
      <c r="K43" s="53" t="s">
        <v>161</v>
      </c>
      <c r="L43" s="53">
        <v>3</v>
      </c>
      <c r="N43" s="53">
        <v>1</v>
      </c>
      <c r="O43" s="53">
        <v>0.55000000000000004</v>
      </c>
      <c r="P43" s="53">
        <v>0.55000000000000004</v>
      </c>
      <c r="Q43" s="16">
        <f t="shared" si="0"/>
        <v>0.55000000000000004</v>
      </c>
      <c r="R43" s="53">
        <v>15.6</v>
      </c>
      <c r="S43" s="53">
        <v>135</v>
      </c>
      <c r="T43" s="16">
        <f t="shared" si="1"/>
        <v>25</v>
      </c>
      <c r="U43" s="53">
        <v>150</v>
      </c>
      <c r="V43" s="16">
        <f t="shared" si="2"/>
        <v>3750</v>
      </c>
      <c r="W43" s="53">
        <v>1</v>
      </c>
      <c r="X43" s="53" t="s">
        <v>39</v>
      </c>
      <c r="Y43" s="53" t="s">
        <v>84</v>
      </c>
      <c r="Z43" s="53" t="s">
        <v>90</v>
      </c>
      <c r="AA43" s="53" t="s">
        <v>78</v>
      </c>
      <c r="AB43" s="53" t="s">
        <v>237</v>
      </c>
    </row>
    <row r="44" spans="1:28" x14ac:dyDescent="0.15">
      <c r="A44" s="53" t="s">
        <v>56</v>
      </c>
      <c r="B44" s="53" t="s">
        <v>233</v>
      </c>
      <c r="C44" s="53">
        <v>2019</v>
      </c>
      <c r="D44" s="81" t="s">
        <v>234</v>
      </c>
      <c r="E44" s="53" t="s">
        <v>257</v>
      </c>
      <c r="F44" s="53" t="s">
        <v>250</v>
      </c>
      <c r="G44" s="53" t="s">
        <v>42</v>
      </c>
      <c r="H44" s="53" t="s">
        <v>127</v>
      </c>
      <c r="I44" s="53" t="s">
        <v>159</v>
      </c>
      <c r="J44" s="53" t="s">
        <v>80</v>
      </c>
      <c r="K44" s="53" t="s">
        <v>94</v>
      </c>
      <c r="L44" s="53">
        <v>1</v>
      </c>
      <c r="N44" s="53">
        <v>3</v>
      </c>
      <c r="O44" s="53">
        <v>0.5</v>
      </c>
      <c r="P44" s="53">
        <v>0.5</v>
      </c>
      <c r="Q44" s="16">
        <f t="shared" si="0"/>
        <v>0.5</v>
      </c>
      <c r="R44" s="53">
        <v>15.6</v>
      </c>
      <c r="S44" s="53">
        <v>120</v>
      </c>
      <c r="T44" s="16">
        <f t="shared" si="1"/>
        <v>30</v>
      </c>
      <c r="U44" s="53">
        <v>348</v>
      </c>
      <c r="V44" s="16">
        <f t="shared" si="2"/>
        <v>3480</v>
      </c>
      <c r="W44" s="53">
        <v>1</v>
      </c>
      <c r="X44" s="53" t="s">
        <v>46</v>
      </c>
      <c r="Y44" s="53" t="s">
        <v>84</v>
      </c>
      <c r="Z44" s="53" t="s">
        <v>90</v>
      </c>
      <c r="AA44" s="53" t="s">
        <v>78</v>
      </c>
      <c r="AB44" s="53" t="s">
        <v>237</v>
      </c>
    </row>
    <row r="45" spans="1:28" x14ac:dyDescent="0.15">
      <c r="A45" s="53" t="s">
        <v>56</v>
      </c>
      <c r="B45" s="53" t="s">
        <v>233</v>
      </c>
      <c r="C45" s="53">
        <v>2019</v>
      </c>
      <c r="D45" s="81" t="s">
        <v>234</v>
      </c>
      <c r="E45" s="53" t="s">
        <v>257</v>
      </c>
      <c r="F45" s="53" t="s">
        <v>250</v>
      </c>
      <c r="G45" s="53" t="s">
        <v>42</v>
      </c>
      <c r="H45" s="53" t="s">
        <v>127</v>
      </c>
      <c r="I45" s="53" t="s">
        <v>159</v>
      </c>
      <c r="J45" s="53" t="s">
        <v>80</v>
      </c>
      <c r="K45" s="53" t="s">
        <v>94</v>
      </c>
      <c r="L45" s="53">
        <v>2</v>
      </c>
      <c r="N45" s="53">
        <v>3</v>
      </c>
      <c r="O45" s="53">
        <v>0.5</v>
      </c>
      <c r="P45" s="53">
        <v>0.5</v>
      </c>
      <c r="Q45" s="16">
        <f t="shared" si="0"/>
        <v>0.5</v>
      </c>
      <c r="R45" s="53">
        <v>13.7</v>
      </c>
      <c r="S45" s="53">
        <v>156</v>
      </c>
      <c r="T45" s="16">
        <f t="shared" si="1"/>
        <v>22</v>
      </c>
      <c r="U45" s="53">
        <v>348</v>
      </c>
      <c r="V45" s="16">
        <f t="shared" si="2"/>
        <v>2552</v>
      </c>
      <c r="W45" s="53">
        <v>1</v>
      </c>
      <c r="X45" s="53" t="s">
        <v>46</v>
      </c>
      <c r="Y45" s="53" t="s">
        <v>84</v>
      </c>
      <c r="Z45" s="53" t="s">
        <v>90</v>
      </c>
      <c r="AA45" s="53" t="s">
        <v>78</v>
      </c>
      <c r="AB45" s="53" t="s">
        <v>237</v>
      </c>
    </row>
    <row r="46" spans="1:28" x14ac:dyDescent="0.15">
      <c r="A46" s="53" t="s">
        <v>56</v>
      </c>
      <c r="B46" s="53" t="s">
        <v>233</v>
      </c>
      <c r="C46" s="53">
        <v>2019</v>
      </c>
      <c r="D46" s="81" t="s">
        <v>234</v>
      </c>
      <c r="E46" s="53" t="s">
        <v>257</v>
      </c>
      <c r="F46" s="53" t="s">
        <v>250</v>
      </c>
      <c r="G46" s="53" t="s">
        <v>42</v>
      </c>
      <c r="H46" s="53" t="s">
        <v>127</v>
      </c>
      <c r="I46" s="53" t="s">
        <v>159</v>
      </c>
      <c r="J46" s="53" t="s">
        <v>80</v>
      </c>
      <c r="K46" s="53" t="s">
        <v>94</v>
      </c>
      <c r="L46" s="53">
        <v>3</v>
      </c>
      <c r="N46" s="53">
        <v>3</v>
      </c>
      <c r="O46" s="53">
        <v>0.5</v>
      </c>
      <c r="P46" s="53">
        <v>0.5</v>
      </c>
      <c r="Q46" s="16">
        <f t="shared" si="0"/>
        <v>0.5</v>
      </c>
      <c r="R46" s="53">
        <v>12.7</v>
      </c>
      <c r="S46" s="53">
        <v>126</v>
      </c>
      <c r="T46" s="16">
        <f t="shared" si="1"/>
        <v>27</v>
      </c>
      <c r="U46" s="53">
        <v>348</v>
      </c>
      <c r="V46" s="16">
        <f t="shared" si="2"/>
        <v>3132</v>
      </c>
      <c r="W46" s="53">
        <v>1</v>
      </c>
      <c r="X46" s="53" t="s">
        <v>46</v>
      </c>
      <c r="Y46" s="53" t="s">
        <v>84</v>
      </c>
      <c r="Z46" s="53" t="s">
        <v>90</v>
      </c>
      <c r="AA46" s="53" t="s">
        <v>78</v>
      </c>
      <c r="AB46" s="53" t="s">
        <v>237</v>
      </c>
    </row>
    <row r="47" spans="1:28" x14ac:dyDescent="0.15">
      <c r="A47" s="53" t="s">
        <v>56</v>
      </c>
      <c r="B47" s="53" t="s">
        <v>233</v>
      </c>
      <c r="C47" s="53">
        <v>2019</v>
      </c>
      <c r="D47" s="81" t="s">
        <v>234</v>
      </c>
      <c r="E47" s="53" t="s">
        <v>258</v>
      </c>
      <c r="F47" s="53" t="s">
        <v>239</v>
      </c>
      <c r="G47" s="53" t="s">
        <v>42</v>
      </c>
      <c r="H47" s="53" t="s">
        <v>164</v>
      </c>
      <c r="I47" s="53" t="s">
        <v>159</v>
      </c>
      <c r="J47" s="53" t="s">
        <v>38</v>
      </c>
      <c r="K47" s="53" t="s">
        <v>161</v>
      </c>
      <c r="L47" s="53">
        <v>1</v>
      </c>
      <c r="N47" s="53">
        <v>5</v>
      </c>
      <c r="O47" s="53">
        <v>0.65</v>
      </c>
      <c r="P47" s="53">
        <v>0.6</v>
      </c>
      <c r="Q47" s="16">
        <f t="shared" si="0"/>
        <v>0.625</v>
      </c>
      <c r="R47" s="53">
        <v>15.6</v>
      </c>
      <c r="S47" s="53">
        <v>100</v>
      </c>
      <c r="T47" s="16">
        <f t="shared" si="1"/>
        <v>33</v>
      </c>
      <c r="U47" s="53">
        <v>429</v>
      </c>
      <c r="V47" s="16">
        <f t="shared" si="2"/>
        <v>2831.4</v>
      </c>
      <c r="W47" s="53">
        <v>1</v>
      </c>
      <c r="X47" s="53" t="s">
        <v>39</v>
      </c>
      <c r="Y47" s="53" t="s">
        <v>90</v>
      </c>
      <c r="Z47" s="53" t="s">
        <v>84</v>
      </c>
      <c r="AA47" s="53" t="s">
        <v>78</v>
      </c>
      <c r="AB47" s="53" t="s">
        <v>237</v>
      </c>
    </row>
    <row r="48" spans="1:28" x14ac:dyDescent="0.15">
      <c r="A48" s="53" t="s">
        <v>56</v>
      </c>
      <c r="B48" s="53" t="s">
        <v>233</v>
      </c>
      <c r="C48" s="53">
        <v>2019</v>
      </c>
      <c r="D48" s="81" t="s">
        <v>234</v>
      </c>
      <c r="E48" s="53" t="s">
        <v>258</v>
      </c>
      <c r="F48" s="53" t="s">
        <v>239</v>
      </c>
      <c r="G48" s="53" t="s">
        <v>42</v>
      </c>
      <c r="H48" s="53" t="s">
        <v>164</v>
      </c>
      <c r="I48" s="53" t="s">
        <v>159</v>
      </c>
      <c r="J48" s="53" t="s">
        <v>38</v>
      </c>
      <c r="K48" s="53" t="s">
        <v>161</v>
      </c>
      <c r="L48" s="53">
        <v>2</v>
      </c>
      <c r="N48" s="53">
        <v>5</v>
      </c>
      <c r="O48" s="53">
        <v>0.5</v>
      </c>
      <c r="P48" s="53">
        <v>0.5</v>
      </c>
      <c r="Q48" s="16">
        <f t="shared" si="0"/>
        <v>0.5</v>
      </c>
      <c r="R48" s="53">
        <v>16</v>
      </c>
      <c r="S48" s="53">
        <v>92</v>
      </c>
      <c r="T48" s="16">
        <f t="shared" si="1"/>
        <v>36</v>
      </c>
      <c r="U48" s="53">
        <v>429</v>
      </c>
      <c r="V48" s="16">
        <f t="shared" si="2"/>
        <v>3088.7999999999997</v>
      </c>
      <c r="W48" s="53">
        <v>1</v>
      </c>
      <c r="X48" s="53" t="s">
        <v>39</v>
      </c>
      <c r="Y48" s="53" t="s">
        <v>90</v>
      </c>
      <c r="Z48" s="53" t="s">
        <v>84</v>
      </c>
      <c r="AA48" s="53" t="s">
        <v>78</v>
      </c>
      <c r="AB48" s="53" t="s">
        <v>237</v>
      </c>
    </row>
    <row r="49" spans="1:28" x14ac:dyDescent="0.15">
      <c r="A49" s="53" t="s">
        <v>56</v>
      </c>
      <c r="B49" s="53" t="s">
        <v>233</v>
      </c>
      <c r="C49" s="53">
        <v>2019</v>
      </c>
      <c r="D49" s="81" t="s">
        <v>234</v>
      </c>
      <c r="E49" s="53" t="s">
        <v>258</v>
      </c>
      <c r="F49" s="53" t="s">
        <v>239</v>
      </c>
      <c r="G49" s="53" t="s">
        <v>42</v>
      </c>
      <c r="H49" s="53" t="s">
        <v>164</v>
      </c>
      <c r="I49" s="53" t="s">
        <v>159</v>
      </c>
      <c r="J49" s="53" t="s">
        <v>38</v>
      </c>
      <c r="K49" s="53" t="s">
        <v>161</v>
      </c>
      <c r="L49" s="53">
        <v>3</v>
      </c>
      <c r="N49" s="53">
        <v>5</v>
      </c>
      <c r="O49" s="53">
        <v>0.7</v>
      </c>
      <c r="P49" s="53">
        <v>0.7</v>
      </c>
      <c r="Q49" s="16">
        <f t="shared" si="0"/>
        <v>0.7</v>
      </c>
      <c r="R49" s="53">
        <v>14.7</v>
      </c>
      <c r="S49" s="53">
        <v>97</v>
      </c>
      <c r="T49" s="16">
        <f t="shared" si="1"/>
        <v>36</v>
      </c>
      <c r="U49" s="53">
        <v>429</v>
      </c>
      <c r="V49" s="16">
        <f t="shared" si="2"/>
        <v>3088.7999999999997</v>
      </c>
      <c r="W49" s="53">
        <v>1</v>
      </c>
      <c r="X49" s="53" t="s">
        <v>39</v>
      </c>
      <c r="Y49" s="53" t="s">
        <v>90</v>
      </c>
      <c r="Z49" s="53" t="s">
        <v>84</v>
      </c>
      <c r="AA49" s="53" t="s">
        <v>78</v>
      </c>
      <c r="AB49" s="53" t="s">
        <v>237</v>
      </c>
    </row>
    <row r="50" spans="1:28" x14ac:dyDescent="0.15">
      <c r="A50" s="53" t="s">
        <v>56</v>
      </c>
      <c r="B50" s="53" t="s">
        <v>233</v>
      </c>
      <c r="C50" s="53">
        <v>2019</v>
      </c>
      <c r="D50" s="81" t="s">
        <v>234</v>
      </c>
      <c r="E50" s="53" t="s">
        <v>258</v>
      </c>
      <c r="F50" s="53" t="s">
        <v>239</v>
      </c>
      <c r="G50" s="53" t="s">
        <v>42</v>
      </c>
      <c r="H50" s="53" t="s">
        <v>160</v>
      </c>
      <c r="I50" s="53" t="s">
        <v>159</v>
      </c>
      <c r="J50" s="53" t="s">
        <v>38</v>
      </c>
      <c r="K50" s="53" t="s">
        <v>161</v>
      </c>
      <c r="L50" s="53">
        <v>1</v>
      </c>
      <c r="N50" s="53">
        <v>4</v>
      </c>
      <c r="O50" s="53">
        <v>0.5</v>
      </c>
      <c r="P50" s="53">
        <v>0.5</v>
      </c>
      <c r="Q50" s="16">
        <f t="shared" si="0"/>
        <v>0.5</v>
      </c>
      <c r="R50" s="53">
        <v>12.3</v>
      </c>
      <c r="S50" s="53">
        <v>101</v>
      </c>
      <c r="T50" s="16">
        <f t="shared" si="1"/>
        <v>33</v>
      </c>
      <c r="U50" s="53">
        <v>429</v>
      </c>
      <c r="V50" s="16">
        <f t="shared" si="2"/>
        <v>3539.25</v>
      </c>
      <c r="W50" s="53">
        <v>1</v>
      </c>
      <c r="X50" s="53" t="s">
        <v>39</v>
      </c>
      <c r="Y50" s="53" t="s">
        <v>90</v>
      </c>
      <c r="Z50" s="53" t="s">
        <v>84</v>
      </c>
      <c r="AA50" s="53" t="s">
        <v>78</v>
      </c>
      <c r="AB50" s="53" t="s">
        <v>237</v>
      </c>
    </row>
    <row r="51" spans="1:28" x14ac:dyDescent="0.15">
      <c r="A51" s="53" t="s">
        <v>56</v>
      </c>
      <c r="B51" s="53" t="s">
        <v>233</v>
      </c>
      <c r="C51" s="53">
        <v>2019</v>
      </c>
      <c r="D51" s="81" t="s">
        <v>234</v>
      </c>
      <c r="E51" s="53" t="s">
        <v>258</v>
      </c>
      <c r="F51" s="53" t="s">
        <v>239</v>
      </c>
      <c r="G51" s="53" t="s">
        <v>42</v>
      </c>
      <c r="H51" s="53" t="s">
        <v>160</v>
      </c>
      <c r="I51" s="53" t="s">
        <v>159</v>
      </c>
      <c r="J51" s="53" t="s">
        <v>38</v>
      </c>
      <c r="K51" s="53" t="s">
        <v>161</v>
      </c>
      <c r="L51" s="53">
        <v>2</v>
      </c>
      <c r="N51" s="53">
        <v>4</v>
      </c>
      <c r="O51" s="53">
        <v>0.5</v>
      </c>
      <c r="P51" s="53">
        <v>0.55000000000000004</v>
      </c>
      <c r="Q51" s="16">
        <f t="shared" si="0"/>
        <v>0.52500000000000002</v>
      </c>
      <c r="R51" s="53">
        <v>16.3</v>
      </c>
      <c r="S51" s="53">
        <v>93</v>
      </c>
      <c r="T51" s="16">
        <f t="shared" si="1"/>
        <v>36</v>
      </c>
      <c r="U51" s="53">
        <v>429</v>
      </c>
      <c r="V51" s="16">
        <f t="shared" si="2"/>
        <v>3861</v>
      </c>
      <c r="W51" s="53">
        <v>1</v>
      </c>
      <c r="X51" s="53" t="s">
        <v>39</v>
      </c>
      <c r="Y51" s="53" t="s">
        <v>90</v>
      </c>
      <c r="Z51" s="53" t="s">
        <v>84</v>
      </c>
      <c r="AA51" s="53" t="s">
        <v>78</v>
      </c>
      <c r="AB51" s="53" t="s">
        <v>237</v>
      </c>
    </row>
    <row r="52" spans="1:28" x14ac:dyDescent="0.15">
      <c r="A52" s="53" t="s">
        <v>56</v>
      </c>
      <c r="B52" s="53" t="s">
        <v>233</v>
      </c>
      <c r="C52" s="53">
        <v>2019</v>
      </c>
      <c r="D52" s="81" t="s">
        <v>234</v>
      </c>
      <c r="E52" s="53" t="s">
        <v>258</v>
      </c>
      <c r="F52" s="53" t="s">
        <v>239</v>
      </c>
      <c r="G52" s="53" t="s">
        <v>42</v>
      </c>
      <c r="H52" s="53" t="s">
        <v>160</v>
      </c>
      <c r="I52" s="53" t="s">
        <v>159</v>
      </c>
      <c r="J52" s="53" t="s">
        <v>38</v>
      </c>
      <c r="K52" s="53" t="s">
        <v>161</v>
      </c>
      <c r="L52" s="53">
        <v>3</v>
      </c>
      <c r="N52" s="53">
        <v>4</v>
      </c>
      <c r="O52" s="53">
        <v>0.55000000000000004</v>
      </c>
      <c r="P52" s="53">
        <v>0.6</v>
      </c>
      <c r="Q52" s="16">
        <f t="shared" si="0"/>
        <v>0.57499999999999996</v>
      </c>
      <c r="R52" s="53">
        <v>16.899999999999999</v>
      </c>
      <c r="S52" s="53">
        <v>98</v>
      </c>
      <c r="T52" s="16">
        <f t="shared" si="1"/>
        <v>36</v>
      </c>
      <c r="U52" s="53">
        <v>429</v>
      </c>
      <c r="V52" s="16">
        <f t="shared" si="2"/>
        <v>3861</v>
      </c>
      <c r="W52" s="53">
        <v>1</v>
      </c>
      <c r="X52" s="53" t="s">
        <v>39</v>
      </c>
      <c r="Y52" s="53" t="s">
        <v>90</v>
      </c>
      <c r="Z52" s="53" t="s">
        <v>84</v>
      </c>
      <c r="AA52" s="53" t="s">
        <v>78</v>
      </c>
      <c r="AB52" s="53" t="s">
        <v>237</v>
      </c>
    </row>
    <row r="53" spans="1:28" x14ac:dyDescent="0.15">
      <c r="A53" s="53" t="s">
        <v>56</v>
      </c>
      <c r="B53" s="53" t="s">
        <v>233</v>
      </c>
      <c r="C53" s="53">
        <v>2019</v>
      </c>
      <c r="D53" s="81" t="s">
        <v>234</v>
      </c>
      <c r="E53" s="53" t="s">
        <v>244</v>
      </c>
      <c r="F53" s="53" t="s">
        <v>252</v>
      </c>
      <c r="G53" s="53" t="s">
        <v>42</v>
      </c>
      <c r="H53" s="53" t="s">
        <v>164</v>
      </c>
      <c r="I53" s="53" t="s">
        <v>159</v>
      </c>
      <c r="J53" s="53" t="s">
        <v>38</v>
      </c>
      <c r="K53" s="53" t="s">
        <v>161</v>
      </c>
      <c r="L53" s="53">
        <v>1</v>
      </c>
      <c r="N53" s="53">
        <v>1</v>
      </c>
      <c r="O53" s="53">
        <v>0.75</v>
      </c>
      <c r="P53" s="53">
        <v>0.75</v>
      </c>
      <c r="Q53" s="16">
        <f t="shared" si="0"/>
        <v>0.75</v>
      </c>
      <c r="R53" s="53">
        <v>13.2</v>
      </c>
      <c r="S53" s="53">
        <v>144</v>
      </c>
      <c r="T53" s="16">
        <f t="shared" si="1"/>
        <v>22</v>
      </c>
      <c r="U53" s="53">
        <v>117</v>
      </c>
      <c r="V53" s="16">
        <f t="shared" si="2"/>
        <v>2574</v>
      </c>
      <c r="W53" s="53">
        <v>4</v>
      </c>
      <c r="X53" s="53" t="s">
        <v>46</v>
      </c>
      <c r="Y53" s="53" t="s">
        <v>78</v>
      </c>
      <c r="Z53" s="53" t="s">
        <v>90</v>
      </c>
      <c r="AA53" s="53" t="s">
        <v>55</v>
      </c>
      <c r="AB53" s="53" t="s">
        <v>237</v>
      </c>
    </row>
    <row r="54" spans="1:28" x14ac:dyDescent="0.15">
      <c r="A54" s="53" t="s">
        <v>56</v>
      </c>
      <c r="B54" s="53" t="s">
        <v>233</v>
      </c>
      <c r="C54" s="53">
        <v>2019</v>
      </c>
      <c r="D54" s="81" t="s">
        <v>234</v>
      </c>
      <c r="E54" s="53" t="s">
        <v>244</v>
      </c>
      <c r="F54" s="53" t="s">
        <v>252</v>
      </c>
      <c r="G54" s="53" t="s">
        <v>42</v>
      </c>
      <c r="H54" s="53" t="s">
        <v>164</v>
      </c>
      <c r="I54" s="53" t="s">
        <v>159</v>
      </c>
      <c r="J54" s="53" t="s">
        <v>38</v>
      </c>
      <c r="K54" s="53" t="s">
        <v>161</v>
      </c>
      <c r="L54" s="53">
        <v>2</v>
      </c>
      <c r="N54" s="53">
        <v>1</v>
      </c>
      <c r="O54" s="53">
        <v>0.75</v>
      </c>
      <c r="P54" s="53">
        <v>0.7</v>
      </c>
      <c r="Q54" s="16">
        <f t="shared" si="0"/>
        <v>0.72499999999999998</v>
      </c>
      <c r="R54" s="53">
        <v>11.6</v>
      </c>
      <c r="S54" s="53">
        <v>148</v>
      </c>
      <c r="T54" s="16">
        <f t="shared" si="1"/>
        <v>22</v>
      </c>
      <c r="U54" s="53">
        <v>117</v>
      </c>
      <c r="V54" s="16">
        <f t="shared" si="2"/>
        <v>2574</v>
      </c>
      <c r="W54" s="53">
        <v>4</v>
      </c>
      <c r="X54" s="53" t="s">
        <v>46</v>
      </c>
      <c r="Y54" s="53" t="s">
        <v>78</v>
      </c>
      <c r="Z54" s="53" t="s">
        <v>90</v>
      </c>
      <c r="AA54" s="53" t="s">
        <v>55</v>
      </c>
      <c r="AB54" s="53" t="s">
        <v>237</v>
      </c>
    </row>
    <row r="55" spans="1:28" x14ac:dyDescent="0.15">
      <c r="A55" s="53" t="s">
        <v>56</v>
      </c>
      <c r="B55" s="53" t="s">
        <v>233</v>
      </c>
      <c r="C55" s="53">
        <v>2019</v>
      </c>
      <c r="D55" s="81" t="s">
        <v>234</v>
      </c>
      <c r="E55" s="53" t="s">
        <v>244</v>
      </c>
      <c r="F55" s="53" t="s">
        <v>252</v>
      </c>
      <c r="G55" s="53" t="s">
        <v>42</v>
      </c>
      <c r="H55" s="53" t="s">
        <v>164</v>
      </c>
      <c r="I55" s="53" t="s">
        <v>159</v>
      </c>
      <c r="J55" s="53" t="s">
        <v>38</v>
      </c>
      <c r="K55" s="53" t="s">
        <v>161</v>
      </c>
      <c r="L55" s="53">
        <v>3</v>
      </c>
      <c r="N55" s="53">
        <v>1</v>
      </c>
      <c r="O55" s="53">
        <v>0.65</v>
      </c>
      <c r="P55" s="53">
        <v>0.65</v>
      </c>
      <c r="Q55" s="16">
        <f t="shared" si="0"/>
        <v>0.65</v>
      </c>
      <c r="R55" s="53">
        <v>12.3</v>
      </c>
      <c r="S55" s="53">
        <v>134</v>
      </c>
      <c r="T55" s="16">
        <f t="shared" si="1"/>
        <v>25</v>
      </c>
      <c r="U55" s="53">
        <v>117</v>
      </c>
      <c r="V55" s="16">
        <f t="shared" si="2"/>
        <v>2925</v>
      </c>
      <c r="W55" s="53">
        <v>4</v>
      </c>
      <c r="X55" s="53" t="s">
        <v>46</v>
      </c>
      <c r="Y55" s="53" t="s">
        <v>78</v>
      </c>
      <c r="Z55" s="53" t="s">
        <v>90</v>
      </c>
      <c r="AA55" s="53" t="s">
        <v>55</v>
      </c>
      <c r="AB55" s="53" t="s">
        <v>237</v>
      </c>
    </row>
    <row r="56" spans="1:28" x14ac:dyDescent="0.15">
      <c r="A56" s="53" t="s">
        <v>56</v>
      </c>
      <c r="B56" s="53" t="s">
        <v>233</v>
      </c>
      <c r="C56" s="53">
        <v>2019</v>
      </c>
      <c r="D56" s="81" t="s">
        <v>234</v>
      </c>
      <c r="E56" s="53" t="s">
        <v>244</v>
      </c>
      <c r="F56" s="53" t="s">
        <v>252</v>
      </c>
      <c r="G56" s="53" t="s">
        <v>42</v>
      </c>
      <c r="H56" s="53" t="s">
        <v>160</v>
      </c>
      <c r="I56" s="53" t="s">
        <v>159</v>
      </c>
      <c r="J56" s="53" t="s">
        <v>38</v>
      </c>
      <c r="K56" s="53" t="s">
        <v>161</v>
      </c>
      <c r="L56" s="53">
        <v>1</v>
      </c>
      <c r="N56" s="53">
        <v>1</v>
      </c>
      <c r="O56" s="53">
        <v>0.6</v>
      </c>
      <c r="P56" s="53">
        <v>0.7</v>
      </c>
      <c r="Q56" s="16">
        <f t="shared" si="0"/>
        <v>0.64999999999999991</v>
      </c>
      <c r="R56" s="53">
        <v>15.9</v>
      </c>
      <c r="S56" s="53">
        <v>128</v>
      </c>
      <c r="T56" s="16">
        <f t="shared" si="1"/>
        <v>27</v>
      </c>
      <c r="U56" s="53">
        <v>117</v>
      </c>
      <c r="V56" s="16">
        <f t="shared" si="2"/>
        <v>3159</v>
      </c>
      <c r="W56" s="53">
        <v>4</v>
      </c>
      <c r="X56" s="53" t="s">
        <v>46</v>
      </c>
      <c r="Y56" s="53" t="s">
        <v>78</v>
      </c>
      <c r="Z56" s="53" t="s">
        <v>90</v>
      </c>
      <c r="AA56" s="53" t="s">
        <v>55</v>
      </c>
      <c r="AB56" s="53" t="s">
        <v>237</v>
      </c>
    </row>
    <row r="57" spans="1:28" x14ac:dyDescent="0.15">
      <c r="A57" s="53" t="s">
        <v>56</v>
      </c>
      <c r="B57" s="53" t="s">
        <v>233</v>
      </c>
      <c r="C57" s="53">
        <v>2019</v>
      </c>
      <c r="D57" s="81" t="s">
        <v>234</v>
      </c>
      <c r="E57" s="53" t="s">
        <v>244</v>
      </c>
      <c r="F57" s="53" t="s">
        <v>252</v>
      </c>
      <c r="G57" s="53" t="s">
        <v>42</v>
      </c>
      <c r="H57" s="53" t="s">
        <v>160</v>
      </c>
      <c r="I57" s="53" t="s">
        <v>159</v>
      </c>
      <c r="J57" s="53" t="s">
        <v>38</v>
      </c>
      <c r="K57" s="53" t="s">
        <v>161</v>
      </c>
      <c r="L57" s="53">
        <v>2</v>
      </c>
      <c r="N57" s="53">
        <v>1</v>
      </c>
      <c r="O57" s="53">
        <v>0.8</v>
      </c>
      <c r="P57" s="53">
        <v>0.8</v>
      </c>
      <c r="Q57" s="16">
        <f t="shared" si="0"/>
        <v>0.8</v>
      </c>
      <c r="R57" s="53">
        <v>14.6</v>
      </c>
      <c r="S57" s="53">
        <v>135</v>
      </c>
      <c r="T57" s="16">
        <f t="shared" si="1"/>
        <v>25</v>
      </c>
      <c r="U57" s="53">
        <v>117</v>
      </c>
      <c r="V57" s="16">
        <f t="shared" si="2"/>
        <v>2925</v>
      </c>
      <c r="W57" s="53">
        <v>4</v>
      </c>
      <c r="X57" s="53" t="s">
        <v>46</v>
      </c>
      <c r="Y57" s="53" t="s">
        <v>78</v>
      </c>
      <c r="Z57" s="53" t="s">
        <v>90</v>
      </c>
      <c r="AA57" s="53" t="s">
        <v>55</v>
      </c>
      <c r="AB57" s="53" t="s">
        <v>237</v>
      </c>
    </row>
    <row r="58" spans="1:28" x14ac:dyDescent="0.15">
      <c r="A58" s="53" t="s">
        <v>56</v>
      </c>
      <c r="B58" s="53" t="s">
        <v>233</v>
      </c>
      <c r="C58" s="53">
        <v>2019</v>
      </c>
      <c r="D58" s="81" t="s">
        <v>234</v>
      </c>
      <c r="E58" s="53" t="s">
        <v>244</v>
      </c>
      <c r="F58" s="53" t="s">
        <v>252</v>
      </c>
      <c r="G58" s="53" t="s">
        <v>42</v>
      </c>
      <c r="H58" s="53" t="s">
        <v>160</v>
      </c>
      <c r="I58" s="53" t="s">
        <v>159</v>
      </c>
      <c r="J58" s="53" t="s">
        <v>38</v>
      </c>
      <c r="K58" s="53" t="s">
        <v>161</v>
      </c>
      <c r="L58" s="53">
        <v>3</v>
      </c>
      <c r="N58" s="53">
        <v>1</v>
      </c>
      <c r="O58" s="53">
        <v>0.65</v>
      </c>
      <c r="P58" s="53">
        <v>0.65</v>
      </c>
      <c r="Q58" s="16">
        <f t="shared" si="0"/>
        <v>0.65</v>
      </c>
      <c r="R58" s="53">
        <v>15.2</v>
      </c>
      <c r="S58" s="53">
        <v>130</v>
      </c>
      <c r="T58" s="16">
        <f t="shared" si="1"/>
        <v>25</v>
      </c>
      <c r="U58" s="53">
        <v>117</v>
      </c>
      <c r="V58" s="16">
        <f t="shared" si="2"/>
        <v>2925</v>
      </c>
      <c r="W58" s="53">
        <v>4</v>
      </c>
      <c r="X58" s="53" t="s">
        <v>46</v>
      </c>
      <c r="Y58" s="53" t="s">
        <v>78</v>
      </c>
      <c r="Z58" s="53" t="s">
        <v>90</v>
      </c>
      <c r="AA58" s="53" t="s">
        <v>55</v>
      </c>
      <c r="AB58" s="53" t="s">
        <v>237</v>
      </c>
    </row>
    <row r="59" spans="1:28" x14ac:dyDescent="0.15">
      <c r="A59" s="53" t="s">
        <v>56</v>
      </c>
      <c r="B59" s="53" t="s">
        <v>233</v>
      </c>
      <c r="C59" s="53">
        <v>2019</v>
      </c>
      <c r="D59" s="81" t="s">
        <v>234</v>
      </c>
      <c r="E59" s="53" t="s">
        <v>259</v>
      </c>
      <c r="F59" s="53" t="s">
        <v>252</v>
      </c>
      <c r="G59" s="53" t="s">
        <v>42</v>
      </c>
      <c r="H59" s="53" t="s">
        <v>164</v>
      </c>
      <c r="I59" s="53" t="s">
        <v>159</v>
      </c>
      <c r="J59" s="53" t="s">
        <v>38</v>
      </c>
      <c r="K59" s="53" t="s">
        <v>161</v>
      </c>
      <c r="L59" s="53">
        <v>1</v>
      </c>
      <c r="N59" s="53">
        <v>14</v>
      </c>
      <c r="O59" s="53">
        <v>0.55000000000000004</v>
      </c>
      <c r="P59" s="53">
        <v>0.6</v>
      </c>
      <c r="Q59" s="16">
        <f t="shared" si="0"/>
        <v>0.57499999999999996</v>
      </c>
      <c r="R59" s="53">
        <v>14.2</v>
      </c>
      <c r="S59" s="53">
        <v>102</v>
      </c>
      <c r="T59" s="16">
        <f t="shared" si="1"/>
        <v>33</v>
      </c>
      <c r="U59" s="53">
        <v>1100</v>
      </c>
      <c r="V59" s="16">
        <f t="shared" si="2"/>
        <v>2592.8571428571427</v>
      </c>
      <c r="W59" s="53">
        <v>12</v>
      </c>
      <c r="X59" s="53" t="s">
        <v>46</v>
      </c>
      <c r="Y59" s="53" t="s">
        <v>78</v>
      </c>
      <c r="Z59" s="53" t="s">
        <v>50</v>
      </c>
      <c r="AA59" s="53" t="s">
        <v>55</v>
      </c>
      <c r="AB59" s="53" t="s">
        <v>237</v>
      </c>
    </row>
    <row r="60" spans="1:28" x14ac:dyDescent="0.15">
      <c r="A60" s="53" t="s">
        <v>56</v>
      </c>
      <c r="B60" s="53" t="s">
        <v>233</v>
      </c>
      <c r="C60" s="53">
        <v>2019</v>
      </c>
      <c r="D60" s="81" t="s">
        <v>234</v>
      </c>
      <c r="E60" s="53" t="s">
        <v>259</v>
      </c>
      <c r="F60" s="53" t="s">
        <v>252</v>
      </c>
      <c r="G60" s="53" t="s">
        <v>42</v>
      </c>
      <c r="H60" s="53" t="s">
        <v>164</v>
      </c>
      <c r="I60" s="53" t="s">
        <v>159</v>
      </c>
      <c r="J60" s="53" t="s">
        <v>38</v>
      </c>
      <c r="K60" s="53" t="s">
        <v>161</v>
      </c>
      <c r="L60" s="53">
        <v>2</v>
      </c>
      <c r="N60" s="53">
        <v>14</v>
      </c>
      <c r="O60" s="53">
        <v>0.7</v>
      </c>
      <c r="P60" s="53">
        <v>0.75</v>
      </c>
      <c r="Q60" s="16">
        <f t="shared" si="0"/>
        <v>0.72499999999999998</v>
      </c>
      <c r="R60" s="53">
        <v>13.7</v>
      </c>
      <c r="S60" s="53">
        <v>102</v>
      </c>
      <c r="T60" s="16">
        <f t="shared" si="1"/>
        <v>33</v>
      </c>
      <c r="U60" s="53">
        <v>1100</v>
      </c>
      <c r="V60" s="16">
        <f t="shared" si="2"/>
        <v>2592.8571428571427</v>
      </c>
      <c r="W60" s="53">
        <v>12</v>
      </c>
      <c r="X60" s="53" t="s">
        <v>46</v>
      </c>
      <c r="Y60" s="53" t="s">
        <v>78</v>
      </c>
      <c r="Z60" s="53" t="s">
        <v>50</v>
      </c>
      <c r="AA60" s="53" t="s">
        <v>55</v>
      </c>
      <c r="AB60" s="53" t="s">
        <v>237</v>
      </c>
    </row>
    <row r="61" spans="1:28" x14ac:dyDescent="0.15">
      <c r="A61" s="53" t="s">
        <v>56</v>
      </c>
      <c r="B61" s="53" t="s">
        <v>233</v>
      </c>
      <c r="C61" s="53">
        <v>2019</v>
      </c>
      <c r="D61" s="81" t="s">
        <v>234</v>
      </c>
      <c r="E61" s="53" t="s">
        <v>259</v>
      </c>
      <c r="F61" s="53" t="s">
        <v>252</v>
      </c>
      <c r="G61" s="53" t="s">
        <v>42</v>
      </c>
      <c r="H61" s="53" t="s">
        <v>164</v>
      </c>
      <c r="I61" s="53" t="s">
        <v>159</v>
      </c>
      <c r="J61" s="53" t="s">
        <v>38</v>
      </c>
      <c r="K61" s="53" t="s">
        <v>161</v>
      </c>
      <c r="L61" s="53">
        <v>3</v>
      </c>
      <c r="N61" s="53">
        <v>14</v>
      </c>
      <c r="O61" s="53">
        <v>0.5</v>
      </c>
      <c r="P61" s="53">
        <v>0.6</v>
      </c>
      <c r="Q61" s="16">
        <f t="shared" si="0"/>
        <v>0.55000000000000004</v>
      </c>
      <c r="R61" s="53">
        <v>13.2</v>
      </c>
      <c r="S61" s="53">
        <v>101</v>
      </c>
      <c r="T61" s="16">
        <f t="shared" si="1"/>
        <v>33</v>
      </c>
      <c r="U61" s="53">
        <v>1100</v>
      </c>
      <c r="V61" s="16">
        <f t="shared" si="2"/>
        <v>2592.8571428571427</v>
      </c>
      <c r="W61" s="53">
        <v>12</v>
      </c>
      <c r="X61" s="53" t="s">
        <v>46</v>
      </c>
      <c r="Y61" s="53" t="s">
        <v>78</v>
      </c>
      <c r="Z61" s="53" t="s">
        <v>50</v>
      </c>
      <c r="AA61" s="53" t="s">
        <v>55</v>
      </c>
      <c r="AB61" s="53" t="s">
        <v>237</v>
      </c>
    </row>
    <row r="62" spans="1:28" x14ac:dyDescent="0.15">
      <c r="A62" s="53" t="s">
        <v>56</v>
      </c>
      <c r="B62" s="53" t="s">
        <v>233</v>
      </c>
      <c r="C62" s="53">
        <v>2019</v>
      </c>
      <c r="D62" s="81" t="s">
        <v>234</v>
      </c>
      <c r="E62" s="53" t="s">
        <v>259</v>
      </c>
      <c r="F62" s="53" t="s">
        <v>252</v>
      </c>
      <c r="G62" s="53" t="s">
        <v>42</v>
      </c>
      <c r="H62" s="53" t="s">
        <v>160</v>
      </c>
      <c r="I62" s="53" t="s">
        <v>159</v>
      </c>
      <c r="J62" s="53" t="s">
        <v>38</v>
      </c>
      <c r="K62" s="53" t="s">
        <v>161</v>
      </c>
      <c r="L62" s="53">
        <v>1</v>
      </c>
      <c r="N62" s="53">
        <v>5</v>
      </c>
      <c r="O62" s="53">
        <v>0.65</v>
      </c>
      <c r="P62" s="53">
        <v>0.6</v>
      </c>
      <c r="Q62" s="16">
        <f t="shared" si="0"/>
        <v>0.625</v>
      </c>
      <c r="R62" s="53">
        <v>15.7</v>
      </c>
      <c r="S62" s="53">
        <v>117</v>
      </c>
      <c r="T62" s="16">
        <f t="shared" si="1"/>
        <v>30</v>
      </c>
      <c r="U62" s="53">
        <v>646</v>
      </c>
      <c r="V62" s="16">
        <f t="shared" si="2"/>
        <v>3875.9999999999995</v>
      </c>
      <c r="W62" s="53">
        <v>6</v>
      </c>
      <c r="X62" s="53" t="s">
        <v>46</v>
      </c>
      <c r="Y62" s="53" t="s">
        <v>78</v>
      </c>
      <c r="Z62" s="53" t="s">
        <v>50</v>
      </c>
      <c r="AA62" s="53" t="s">
        <v>55</v>
      </c>
      <c r="AB62" s="53" t="s">
        <v>237</v>
      </c>
    </row>
    <row r="63" spans="1:28" x14ac:dyDescent="0.15">
      <c r="A63" s="53" t="s">
        <v>56</v>
      </c>
      <c r="B63" s="53" t="s">
        <v>233</v>
      </c>
      <c r="C63" s="53">
        <v>2019</v>
      </c>
      <c r="D63" s="81" t="s">
        <v>234</v>
      </c>
      <c r="E63" s="53" t="s">
        <v>259</v>
      </c>
      <c r="F63" s="53" t="s">
        <v>252</v>
      </c>
      <c r="G63" s="53" t="s">
        <v>42</v>
      </c>
      <c r="H63" s="53" t="s">
        <v>160</v>
      </c>
      <c r="I63" s="53" t="s">
        <v>159</v>
      </c>
      <c r="J63" s="53" t="s">
        <v>38</v>
      </c>
      <c r="K63" s="53" t="s">
        <v>161</v>
      </c>
      <c r="L63" s="53">
        <v>2</v>
      </c>
      <c r="N63" s="53">
        <v>5</v>
      </c>
      <c r="O63" s="53">
        <v>0.5</v>
      </c>
      <c r="P63" s="53">
        <v>0.5</v>
      </c>
      <c r="Q63" s="16">
        <f t="shared" si="0"/>
        <v>0.5</v>
      </c>
      <c r="R63" s="53">
        <v>11.2</v>
      </c>
      <c r="S63" s="53">
        <v>103</v>
      </c>
      <c r="T63" s="16">
        <f t="shared" si="1"/>
        <v>33</v>
      </c>
      <c r="U63" s="53">
        <v>646</v>
      </c>
      <c r="V63" s="16">
        <f t="shared" si="2"/>
        <v>4263.5999999999995</v>
      </c>
      <c r="W63" s="53">
        <v>6</v>
      </c>
      <c r="X63" s="53" t="s">
        <v>46</v>
      </c>
      <c r="Y63" s="53" t="s">
        <v>78</v>
      </c>
      <c r="Z63" s="53" t="s">
        <v>50</v>
      </c>
      <c r="AA63" s="53" t="s">
        <v>55</v>
      </c>
      <c r="AB63" s="53" t="s">
        <v>237</v>
      </c>
    </row>
    <row r="64" spans="1:28" x14ac:dyDescent="0.15">
      <c r="A64" s="53" t="s">
        <v>56</v>
      </c>
      <c r="B64" s="53" t="s">
        <v>233</v>
      </c>
      <c r="C64" s="53">
        <v>2019</v>
      </c>
      <c r="D64" s="81" t="s">
        <v>234</v>
      </c>
      <c r="E64" s="53" t="s">
        <v>259</v>
      </c>
      <c r="F64" s="53" t="s">
        <v>252</v>
      </c>
      <c r="G64" s="53" t="s">
        <v>42</v>
      </c>
      <c r="H64" s="53" t="s">
        <v>160</v>
      </c>
      <c r="I64" s="53" t="s">
        <v>159</v>
      </c>
      <c r="J64" s="53" t="s">
        <v>38</v>
      </c>
      <c r="K64" s="53" t="s">
        <v>161</v>
      </c>
      <c r="L64" s="53">
        <v>3</v>
      </c>
      <c r="N64" s="53">
        <v>5</v>
      </c>
      <c r="O64" s="53">
        <v>0.65</v>
      </c>
      <c r="P64" s="53">
        <v>0.7</v>
      </c>
      <c r="Q64" s="16">
        <f t="shared" si="0"/>
        <v>0.67500000000000004</v>
      </c>
      <c r="R64" s="53">
        <v>13.3</v>
      </c>
      <c r="S64" s="53">
        <v>108</v>
      </c>
      <c r="T64" s="16">
        <f t="shared" si="1"/>
        <v>33</v>
      </c>
      <c r="U64" s="53">
        <v>646</v>
      </c>
      <c r="V64" s="16">
        <f t="shared" si="2"/>
        <v>4263.5999999999995</v>
      </c>
      <c r="W64" s="53">
        <v>6</v>
      </c>
      <c r="X64" s="53" t="s">
        <v>46</v>
      </c>
      <c r="Y64" s="53" t="s">
        <v>78</v>
      </c>
      <c r="Z64" s="53" t="s">
        <v>50</v>
      </c>
      <c r="AA64" s="53" t="s">
        <v>55</v>
      </c>
      <c r="AB64" s="53" t="s">
        <v>237</v>
      </c>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B6A77D8A-CC4B-48F7-AC74-3C563D60AEDA}">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E4448A3B-04AF-43A9-9CEF-B63F6AB1F7BF}">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6AB77E72-CC18-431B-A026-431D732B93FF}">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F6377E62-4EDB-4AD0-AB97-7C047EFA232A}">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5B898FAE-5D4C-4BF1-85F6-D2BB295E221C}">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6EE7B7AA-8FA1-43C7-A548-3C4929C6DCB3}"/>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BDCD5828-5261-42D4-9CA1-2A07A72C0C63}">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911ED473-1F8F-4DBA-9C81-249A18D5B675}">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0C1FD2DA-18F5-4D71-969B-6C42A2D08703}">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A9BEDCE0-9C6B-49F7-B9A6-9D7681C35E9F}">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D4FCF1EC-C0F0-4CF2-89EB-75336175CB8C}">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AC0527D0-6287-4C16-8A3A-5C637E1BB688}">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945C44AA-31BE-450C-A6BE-A016545A01A1}">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0FDA4C13-6232-4015-BAD7-F26F22E3FB2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9B0DDFE4-8BEE-4379-9984-3FA9B381B2DA}">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3D8F9609-60C2-4896-8EEA-7335F2E8A70F}">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505EBF84-2AE8-44FC-B5CA-7F829187124E}">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993EBC21-2415-4F00-BC21-EBFD00CE1E1C}">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8D8D-2230-4635-A2F1-CEB7A4F6057B}">
  <dimension ref="A1:BA91"/>
  <sheetViews>
    <sheetView topLeftCell="A28" workbookViewId="0">
      <selection activeCell="C29" sqref="C29"/>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260</v>
      </c>
      <c r="AY1" s="99" t="s">
        <v>181</v>
      </c>
      <c r="AZ1" s="99" t="s">
        <v>261</v>
      </c>
      <c r="BA1" s="100" t="s">
        <v>183</v>
      </c>
    </row>
    <row r="2" spans="1:53" x14ac:dyDescent="0.15">
      <c r="A2" s="93" t="s">
        <v>51</v>
      </c>
      <c r="B2" s="93" t="s">
        <v>157</v>
      </c>
      <c r="C2" s="93">
        <v>2019</v>
      </c>
      <c r="D2" s="101" t="s">
        <v>262</v>
      </c>
      <c r="E2" s="93" t="s">
        <v>263</v>
      </c>
      <c r="F2" s="93" t="s">
        <v>264</v>
      </c>
      <c r="G2" s="93" t="s">
        <v>42</v>
      </c>
      <c r="H2" s="93" t="s">
        <v>164</v>
      </c>
      <c r="I2" s="93" t="s">
        <v>159</v>
      </c>
      <c r="J2" s="93" t="s">
        <v>38</v>
      </c>
      <c r="K2" s="93" t="s">
        <v>161</v>
      </c>
      <c r="L2" s="93">
        <v>1</v>
      </c>
      <c r="N2" s="93">
        <v>1</v>
      </c>
      <c r="O2" s="93">
        <v>0.7</v>
      </c>
      <c r="P2" s="93">
        <v>0.75</v>
      </c>
      <c r="Q2" s="102">
        <f t="shared" ref="Q2:Q65" si="0">IF(OR(O2="",P2=""),"",AVERAGE(O2,P2))</f>
        <v>0.72499999999999998</v>
      </c>
      <c r="R2" s="93">
        <v>18.7</v>
      </c>
      <c r="S2" s="93">
        <v>116</v>
      </c>
      <c r="T2" s="103">
        <f t="shared" ref="T2:T65" si="1">IF(H2="","",IF(OR(H2="GREEN",H2="GK"),IF(S2&gt;=$AX$2,VLOOKUP(S2,$AX$2:$AY$12,2,1),""),IF(S2&gt;=$AZ$2,VLOOKUP(S2,$AZ$2:$BA$12,2,1),"")))</f>
        <v>30</v>
      </c>
      <c r="U2" s="93">
        <v>98</v>
      </c>
      <c r="V2" s="104">
        <f t="shared" ref="V2:V65" si="2">IF(OR(N2="",U2="",T2=""),"",U2/N2*T2)</f>
        <v>2940</v>
      </c>
      <c r="W2" s="93">
        <v>6</v>
      </c>
      <c r="X2" s="93" t="s">
        <v>39</v>
      </c>
      <c r="Y2" s="93" t="s">
        <v>84</v>
      </c>
      <c r="Z2" s="93" t="s">
        <v>90</v>
      </c>
      <c r="AA2" s="93" t="s">
        <v>50</v>
      </c>
      <c r="AB2" s="93" t="s">
        <v>158</v>
      </c>
      <c r="AE2" s="105" t="s">
        <v>35</v>
      </c>
      <c r="AG2" s="106" t="s">
        <v>211</v>
      </c>
      <c r="AH2" s="106" t="s">
        <v>265</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262</v>
      </c>
      <c r="E3" s="93" t="s">
        <v>263</v>
      </c>
      <c r="F3" s="93" t="s">
        <v>264</v>
      </c>
      <c r="G3" s="93" t="s">
        <v>42</v>
      </c>
      <c r="H3" s="93" t="s">
        <v>164</v>
      </c>
      <c r="I3" s="93" t="s">
        <v>159</v>
      </c>
      <c r="J3" s="93" t="s">
        <v>38</v>
      </c>
      <c r="K3" s="93" t="s">
        <v>161</v>
      </c>
      <c r="L3" s="93">
        <v>2</v>
      </c>
      <c r="N3" s="93">
        <v>1</v>
      </c>
      <c r="O3" s="93">
        <v>0.8</v>
      </c>
      <c r="P3" s="93">
        <v>0.7</v>
      </c>
      <c r="Q3" s="102">
        <f t="shared" si="0"/>
        <v>0.75</v>
      </c>
      <c r="R3" s="93">
        <v>17.5</v>
      </c>
      <c r="S3" s="93">
        <v>126</v>
      </c>
      <c r="T3" s="103">
        <f t="shared" si="1"/>
        <v>27</v>
      </c>
      <c r="U3" s="93">
        <v>98</v>
      </c>
      <c r="V3" s="104">
        <f t="shared" si="2"/>
        <v>2646</v>
      </c>
      <c r="W3" s="93">
        <v>6</v>
      </c>
      <c r="X3" s="93" t="s">
        <v>39</v>
      </c>
      <c r="Y3" s="93" t="s">
        <v>84</v>
      </c>
      <c r="Z3" s="93" t="s">
        <v>90</v>
      </c>
      <c r="AA3" s="93" t="s">
        <v>50</v>
      </c>
      <c r="AB3" s="93" t="s">
        <v>158</v>
      </c>
      <c r="AE3" s="110" t="s">
        <v>41</v>
      </c>
      <c r="AG3" s="106" t="s">
        <v>266</v>
      </c>
      <c r="AH3" s="106" t="s">
        <v>267</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262</v>
      </c>
      <c r="E4" s="93" t="s">
        <v>263</v>
      </c>
      <c r="F4" s="93" t="s">
        <v>264</v>
      </c>
      <c r="G4" s="93" t="s">
        <v>42</v>
      </c>
      <c r="H4" s="93" t="s">
        <v>164</v>
      </c>
      <c r="I4" s="93" t="s">
        <v>159</v>
      </c>
      <c r="J4" s="93" t="s">
        <v>38</v>
      </c>
      <c r="K4" s="93" t="s">
        <v>161</v>
      </c>
      <c r="L4" s="93">
        <v>3</v>
      </c>
      <c r="N4" s="93">
        <v>1</v>
      </c>
      <c r="O4" s="93">
        <v>0.75</v>
      </c>
      <c r="P4" s="93">
        <v>0.75</v>
      </c>
      <c r="Q4" s="102">
        <f t="shared" si="0"/>
        <v>0.75</v>
      </c>
      <c r="R4" s="93">
        <v>16.899999999999999</v>
      </c>
      <c r="S4" s="93">
        <v>116</v>
      </c>
      <c r="T4" s="103">
        <f t="shared" si="1"/>
        <v>30</v>
      </c>
      <c r="U4" s="93">
        <v>98</v>
      </c>
      <c r="V4" s="104">
        <f t="shared" si="2"/>
        <v>2940</v>
      </c>
      <c r="W4" s="93">
        <v>6</v>
      </c>
      <c r="X4" s="93" t="s">
        <v>39</v>
      </c>
      <c r="Y4" s="93" t="s">
        <v>84</v>
      </c>
      <c r="Z4" s="93" t="s">
        <v>90</v>
      </c>
      <c r="AA4" s="93" t="s">
        <v>50</v>
      </c>
      <c r="AB4" s="93" t="s">
        <v>158</v>
      </c>
      <c r="AE4" s="110" t="s">
        <v>34</v>
      </c>
      <c r="AG4" s="106" t="s">
        <v>268</v>
      </c>
      <c r="AH4" s="106" t="s">
        <v>269</v>
      </c>
      <c r="AJ4" s="115" t="s">
        <v>48</v>
      </c>
      <c r="AL4" s="115" t="s">
        <v>191</v>
      </c>
      <c r="AN4" s="116" t="s">
        <v>192</v>
      </c>
      <c r="AP4" s="111" t="s">
        <v>193</v>
      </c>
      <c r="AR4" s="111" t="s">
        <v>194</v>
      </c>
      <c r="AT4" s="116"/>
      <c r="AV4" s="111" t="s">
        <v>50</v>
      </c>
      <c r="AX4" s="112">
        <v>75</v>
      </c>
      <c r="AY4" s="113">
        <v>42</v>
      </c>
      <c r="AZ4" s="113">
        <v>76</v>
      </c>
      <c r="BA4" s="114">
        <v>39</v>
      </c>
    </row>
    <row r="5" spans="1:53" x14ac:dyDescent="0.15">
      <c r="A5" s="93" t="s">
        <v>51</v>
      </c>
      <c r="B5" s="93" t="s">
        <v>157</v>
      </c>
      <c r="C5" s="93">
        <v>2019</v>
      </c>
      <c r="D5" s="101" t="s">
        <v>262</v>
      </c>
      <c r="E5" s="93" t="s">
        <v>266</v>
      </c>
      <c r="F5" s="93" t="s">
        <v>267</v>
      </c>
      <c r="G5" s="93" t="s">
        <v>36</v>
      </c>
      <c r="H5" s="93" t="s">
        <v>164</v>
      </c>
      <c r="I5" s="93" t="s">
        <v>159</v>
      </c>
      <c r="J5" s="93" t="s">
        <v>38</v>
      </c>
      <c r="K5" s="93" t="s">
        <v>161</v>
      </c>
      <c r="L5" s="93">
        <v>1</v>
      </c>
      <c r="N5" s="93">
        <v>1</v>
      </c>
      <c r="O5" s="93">
        <v>0.55000000000000004</v>
      </c>
      <c r="P5" s="93">
        <v>0.6</v>
      </c>
      <c r="Q5" s="102">
        <f t="shared" si="0"/>
        <v>0.57499999999999996</v>
      </c>
      <c r="R5" s="93">
        <v>17.100000000000001</v>
      </c>
      <c r="S5" s="93">
        <v>140</v>
      </c>
      <c r="T5" s="103">
        <f t="shared" si="1"/>
        <v>22</v>
      </c>
      <c r="U5" s="93">
        <v>138</v>
      </c>
      <c r="V5" s="104">
        <f t="shared" si="2"/>
        <v>3036</v>
      </c>
      <c r="W5" s="93">
        <v>4</v>
      </c>
      <c r="X5" s="93" t="s">
        <v>46</v>
      </c>
      <c r="Y5" s="93" t="s">
        <v>50</v>
      </c>
      <c r="Z5" s="93" t="s">
        <v>90</v>
      </c>
      <c r="AA5" s="93" t="s">
        <v>69</v>
      </c>
      <c r="AB5" s="93" t="s">
        <v>158</v>
      </c>
      <c r="AE5" s="110" t="s">
        <v>51</v>
      </c>
      <c r="AG5" s="106" t="s">
        <v>270</v>
      </c>
      <c r="AH5" s="106" t="s">
        <v>264</v>
      </c>
      <c r="AJ5" s="116"/>
      <c r="AL5" s="117" t="s">
        <v>164</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262</v>
      </c>
      <c r="E6" s="93" t="s">
        <v>266</v>
      </c>
      <c r="F6" s="93" t="s">
        <v>267</v>
      </c>
      <c r="G6" s="93" t="s">
        <v>36</v>
      </c>
      <c r="H6" s="93" t="s">
        <v>164</v>
      </c>
      <c r="I6" s="93" t="s">
        <v>159</v>
      </c>
      <c r="J6" s="93" t="s">
        <v>38</v>
      </c>
      <c r="K6" s="93" t="s">
        <v>161</v>
      </c>
      <c r="L6" s="93">
        <v>2</v>
      </c>
      <c r="N6" s="93">
        <v>1</v>
      </c>
      <c r="O6" s="93">
        <v>0.65</v>
      </c>
      <c r="P6" s="93">
        <v>0.7</v>
      </c>
      <c r="Q6" s="102">
        <f t="shared" si="0"/>
        <v>0.67500000000000004</v>
      </c>
      <c r="R6" s="93">
        <v>17.399999999999999</v>
      </c>
      <c r="S6" s="93">
        <v>146</v>
      </c>
      <c r="T6" s="103">
        <f t="shared" si="1"/>
        <v>22</v>
      </c>
      <c r="U6" s="93">
        <v>138</v>
      </c>
      <c r="V6" s="104">
        <f t="shared" si="2"/>
        <v>3036</v>
      </c>
      <c r="W6" s="93">
        <v>4</v>
      </c>
      <c r="X6" s="93" t="s">
        <v>46</v>
      </c>
      <c r="Y6" s="93" t="s">
        <v>50</v>
      </c>
      <c r="Z6" s="93" t="s">
        <v>90</v>
      </c>
      <c r="AA6" s="93" t="s">
        <v>69</v>
      </c>
      <c r="AB6" s="93" t="s">
        <v>158</v>
      </c>
      <c r="AE6" s="110" t="s">
        <v>56</v>
      </c>
      <c r="AG6" s="106" t="s">
        <v>271</v>
      </c>
      <c r="AH6" s="106" t="s">
        <v>272</v>
      </c>
      <c r="AL6" s="117" t="s">
        <v>198</v>
      </c>
      <c r="AN6" s="117" t="s">
        <v>167</v>
      </c>
      <c r="AP6" s="111" t="s">
        <v>53</v>
      </c>
      <c r="AR6" s="111" t="s">
        <v>59</v>
      </c>
      <c r="AV6" s="111" t="s">
        <v>60</v>
      </c>
      <c r="AX6" s="112">
        <v>97</v>
      </c>
      <c r="AY6" s="113">
        <v>36</v>
      </c>
      <c r="AZ6" s="113">
        <v>99</v>
      </c>
      <c r="BA6" s="114">
        <v>33</v>
      </c>
    </row>
    <row r="7" spans="1:53" x14ac:dyDescent="0.15">
      <c r="A7" s="93" t="s">
        <v>51</v>
      </c>
      <c r="B7" s="93" t="s">
        <v>157</v>
      </c>
      <c r="C7" s="93">
        <v>2019</v>
      </c>
      <c r="D7" s="101" t="s">
        <v>262</v>
      </c>
      <c r="E7" s="93" t="s">
        <v>266</v>
      </c>
      <c r="F7" s="93" t="s">
        <v>267</v>
      </c>
      <c r="G7" s="93" t="s">
        <v>36</v>
      </c>
      <c r="H7" s="93" t="s">
        <v>164</v>
      </c>
      <c r="I7" s="93" t="s">
        <v>159</v>
      </c>
      <c r="J7" s="93" t="s">
        <v>38</v>
      </c>
      <c r="K7" s="93" t="s">
        <v>161</v>
      </c>
      <c r="L7" s="93">
        <v>3</v>
      </c>
      <c r="N7" s="93">
        <v>1</v>
      </c>
      <c r="O7" s="93">
        <v>0.6</v>
      </c>
      <c r="P7" s="93">
        <v>0.65</v>
      </c>
      <c r="Q7" s="102">
        <f t="shared" si="0"/>
        <v>0.625</v>
      </c>
      <c r="R7" s="93">
        <v>16.899999999999999</v>
      </c>
      <c r="S7" s="93">
        <v>142</v>
      </c>
      <c r="T7" s="103">
        <f t="shared" si="1"/>
        <v>22</v>
      </c>
      <c r="U7" s="93">
        <v>138</v>
      </c>
      <c r="V7" s="104">
        <f t="shared" si="2"/>
        <v>3036</v>
      </c>
      <c r="W7" s="93">
        <v>4</v>
      </c>
      <c r="X7" s="93" t="s">
        <v>46</v>
      </c>
      <c r="Y7" s="93" t="s">
        <v>50</v>
      </c>
      <c r="Z7" s="93" t="s">
        <v>90</v>
      </c>
      <c r="AA7" s="93" t="s">
        <v>69</v>
      </c>
      <c r="AB7" s="93" t="s">
        <v>158</v>
      </c>
      <c r="AE7" s="110" t="s">
        <v>61</v>
      </c>
      <c r="AG7" s="106" t="s">
        <v>273</v>
      </c>
      <c r="AH7" s="106" t="s">
        <v>265</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262</v>
      </c>
      <c r="E8" s="93" t="s">
        <v>266</v>
      </c>
      <c r="F8" s="93" t="s">
        <v>267</v>
      </c>
      <c r="G8" s="93" t="s">
        <v>36</v>
      </c>
      <c r="H8" s="93" t="s">
        <v>160</v>
      </c>
      <c r="I8" s="93" t="s">
        <v>159</v>
      </c>
      <c r="J8" s="93" t="s">
        <v>38</v>
      </c>
      <c r="K8" s="93" t="s">
        <v>161</v>
      </c>
      <c r="L8" s="93">
        <v>1</v>
      </c>
      <c r="N8" s="93">
        <v>1</v>
      </c>
      <c r="O8" s="93">
        <v>0.5</v>
      </c>
      <c r="P8" s="93">
        <v>0.25</v>
      </c>
      <c r="Q8" s="102">
        <f t="shared" si="0"/>
        <v>0.375</v>
      </c>
      <c r="R8" s="93">
        <v>18.7</v>
      </c>
      <c r="S8" s="93">
        <v>140</v>
      </c>
      <c r="T8" s="103">
        <f t="shared" si="1"/>
        <v>22</v>
      </c>
      <c r="U8" s="93">
        <v>138</v>
      </c>
      <c r="V8" s="104">
        <f t="shared" si="2"/>
        <v>3036</v>
      </c>
      <c r="W8" s="93">
        <v>4</v>
      </c>
      <c r="X8" s="93" t="s">
        <v>46</v>
      </c>
      <c r="Y8" s="93" t="s">
        <v>50</v>
      </c>
      <c r="Z8" s="93" t="s">
        <v>90</v>
      </c>
      <c r="AA8" s="93" t="s">
        <v>69</v>
      </c>
      <c r="AB8" s="93" t="s">
        <v>158</v>
      </c>
      <c r="AE8" s="110" t="s">
        <v>59</v>
      </c>
      <c r="AG8" s="106" t="s">
        <v>274</v>
      </c>
      <c r="AH8" s="106" t="s">
        <v>275</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262</v>
      </c>
      <c r="E9" s="93" t="s">
        <v>266</v>
      </c>
      <c r="F9" s="93" t="s">
        <v>267</v>
      </c>
      <c r="G9" s="93" t="s">
        <v>36</v>
      </c>
      <c r="H9" s="93" t="s">
        <v>160</v>
      </c>
      <c r="I9" s="93" t="s">
        <v>159</v>
      </c>
      <c r="J9" s="93" t="s">
        <v>38</v>
      </c>
      <c r="K9" s="93" t="s">
        <v>161</v>
      </c>
      <c r="L9" s="93">
        <v>2</v>
      </c>
      <c r="N9" s="93">
        <v>1</v>
      </c>
      <c r="O9" s="93">
        <v>0.55000000000000004</v>
      </c>
      <c r="P9" s="93">
        <v>0.55000000000000004</v>
      </c>
      <c r="Q9" s="102">
        <f t="shared" si="0"/>
        <v>0.55000000000000004</v>
      </c>
      <c r="R9" s="93">
        <v>17.5</v>
      </c>
      <c r="S9" s="93">
        <v>142</v>
      </c>
      <c r="T9" s="103">
        <f t="shared" si="1"/>
        <v>22</v>
      </c>
      <c r="U9" s="93">
        <v>138</v>
      </c>
      <c r="V9" s="104">
        <f t="shared" si="2"/>
        <v>3036</v>
      </c>
      <c r="W9" s="93">
        <v>4</v>
      </c>
      <c r="X9" s="93" t="s">
        <v>46</v>
      </c>
      <c r="Y9" s="93" t="s">
        <v>50</v>
      </c>
      <c r="Z9" s="93" t="s">
        <v>90</v>
      </c>
      <c r="AA9" s="93" t="s">
        <v>69</v>
      </c>
      <c r="AB9" s="93" t="s">
        <v>158</v>
      </c>
      <c r="AE9" s="110" t="s">
        <v>204</v>
      </c>
      <c r="AG9" s="106" t="s">
        <v>276</v>
      </c>
      <c r="AH9" s="106" t="s">
        <v>264</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262</v>
      </c>
      <c r="E10" s="93" t="s">
        <v>266</v>
      </c>
      <c r="F10" s="93" t="s">
        <v>267</v>
      </c>
      <c r="G10" s="93" t="s">
        <v>36</v>
      </c>
      <c r="H10" s="93" t="s">
        <v>160</v>
      </c>
      <c r="I10" s="93" t="s">
        <v>159</v>
      </c>
      <c r="J10" s="93" t="s">
        <v>38</v>
      </c>
      <c r="K10" s="93" t="s">
        <v>161</v>
      </c>
      <c r="L10" s="93">
        <v>3</v>
      </c>
      <c r="N10" s="93">
        <v>1</v>
      </c>
      <c r="O10" s="93">
        <v>0.65</v>
      </c>
      <c r="P10" s="93">
        <v>0.7</v>
      </c>
      <c r="Q10" s="102">
        <f t="shared" si="0"/>
        <v>0.67500000000000004</v>
      </c>
      <c r="R10" s="93">
        <v>17.3</v>
      </c>
      <c r="S10" s="93">
        <v>140</v>
      </c>
      <c r="T10" s="103">
        <f t="shared" si="1"/>
        <v>22</v>
      </c>
      <c r="U10" s="93">
        <v>138</v>
      </c>
      <c r="V10" s="104">
        <f t="shared" si="2"/>
        <v>3036</v>
      </c>
      <c r="W10" s="93">
        <v>4</v>
      </c>
      <c r="X10" s="93" t="s">
        <v>46</v>
      </c>
      <c r="Y10" s="93" t="s">
        <v>50</v>
      </c>
      <c r="Z10" s="93" t="s">
        <v>90</v>
      </c>
      <c r="AA10" s="93" t="s">
        <v>69</v>
      </c>
      <c r="AB10" s="93" t="s">
        <v>158</v>
      </c>
      <c r="AE10" s="110" t="s">
        <v>208</v>
      </c>
      <c r="AG10" s="106" t="s">
        <v>263</v>
      </c>
      <c r="AH10" s="111" t="s">
        <v>264</v>
      </c>
      <c r="AP10" s="111" t="s">
        <v>100</v>
      </c>
      <c r="AR10" s="111" t="s">
        <v>210</v>
      </c>
      <c r="AV10" s="111" t="s">
        <v>106</v>
      </c>
      <c r="AX10" s="112">
        <v>138</v>
      </c>
      <c r="AY10" s="113">
        <v>25</v>
      </c>
      <c r="AZ10" s="113">
        <v>138</v>
      </c>
      <c r="BA10" s="114">
        <v>22</v>
      </c>
    </row>
    <row r="11" spans="1:53" x14ac:dyDescent="0.15">
      <c r="A11" s="93" t="s">
        <v>51</v>
      </c>
      <c r="B11" s="93" t="s">
        <v>157</v>
      </c>
      <c r="C11" s="93">
        <v>2019</v>
      </c>
      <c r="D11" s="101" t="s">
        <v>262</v>
      </c>
      <c r="E11" s="93" t="s">
        <v>139</v>
      </c>
      <c r="F11" s="93" t="s">
        <v>277</v>
      </c>
      <c r="G11" s="93" t="s">
        <v>42</v>
      </c>
      <c r="H11" s="93" t="s">
        <v>164</v>
      </c>
      <c r="I11" s="93" t="s">
        <v>159</v>
      </c>
      <c r="J11" s="93" t="s">
        <v>38</v>
      </c>
      <c r="K11" s="93" t="s">
        <v>161</v>
      </c>
      <c r="L11" s="93">
        <v>1</v>
      </c>
      <c r="N11" s="93">
        <v>1</v>
      </c>
      <c r="O11" s="93">
        <v>0.75</v>
      </c>
      <c r="P11" s="93">
        <v>0.7</v>
      </c>
      <c r="Q11" s="102">
        <f t="shared" si="0"/>
        <v>0.72499999999999998</v>
      </c>
      <c r="R11" s="93">
        <v>16.8</v>
      </c>
      <c r="S11" s="93">
        <v>106</v>
      </c>
      <c r="T11" s="103">
        <f t="shared" si="1"/>
        <v>33</v>
      </c>
      <c r="U11" s="93">
        <v>98</v>
      </c>
      <c r="V11" s="104">
        <f t="shared" si="2"/>
        <v>3234</v>
      </c>
      <c r="W11" s="93">
        <v>10</v>
      </c>
      <c r="X11" s="93" t="s">
        <v>46</v>
      </c>
      <c r="Y11" s="93" t="s">
        <v>84</v>
      </c>
      <c r="Z11" s="93" t="s">
        <v>50</v>
      </c>
      <c r="AA11" s="93" t="s">
        <v>69</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262</v>
      </c>
      <c r="E12" s="93" t="s">
        <v>139</v>
      </c>
      <c r="F12" s="93" t="s">
        <v>277</v>
      </c>
      <c r="G12" s="93" t="s">
        <v>42</v>
      </c>
      <c r="H12" s="93" t="s">
        <v>164</v>
      </c>
      <c r="I12" s="93" t="s">
        <v>159</v>
      </c>
      <c r="J12" s="93" t="s">
        <v>38</v>
      </c>
      <c r="K12" s="93" t="s">
        <v>161</v>
      </c>
      <c r="L12" s="93">
        <v>2</v>
      </c>
      <c r="N12" s="93">
        <v>1</v>
      </c>
      <c r="O12" s="93">
        <v>0.75</v>
      </c>
      <c r="P12" s="93">
        <v>0.8</v>
      </c>
      <c r="Q12" s="102">
        <f t="shared" si="0"/>
        <v>0.77500000000000002</v>
      </c>
      <c r="R12" s="93">
        <v>16.600000000000001</v>
      </c>
      <c r="S12" s="93">
        <v>108</v>
      </c>
      <c r="T12" s="103">
        <f t="shared" si="1"/>
        <v>33</v>
      </c>
      <c r="U12" s="93">
        <v>98</v>
      </c>
      <c r="V12" s="104">
        <f t="shared" si="2"/>
        <v>3234</v>
      </c>
      <c r="W12" s="93">
        <v>10</v>
      </c>
      <c r="X12" s="93" t="s">
        <v>46</v>
      </c>
      <c r="Y12" s="93" t="s">
        <v>84</v>
      </c>
      <c r="Z12" s="93" t="s">
        <v>50</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262</v>
      </c>
      <c r="E13" s="93" t="s">
        <v>139</v>
      </c>
      <c r="F13" s="93" t="s">
        <v>277</v>
      </c>
      <c r="G13" s="93" t="s">
        <v>42</v>
      </c>
      <c r="H13" s="93" t="s">
        <v>164</v>
      </c>
      <c r="I13" s="93" t="s">
        <v>159</v>
      </c>
      <c r="J13" s="93" t="s">
        <v>38</v>
      </c>
      <c r="K13" s="93" t="s">
        <v>161</v>
      </c>
      <c r="L13" s="93">
        <v>3</v>
      </c>
      <c r="N13" s="93">
        <v>1</v>
      </c>
      <c r="O13" s="93">
        <v>0.7</v>
      </c>
      <c r="P13" s="93">
        <v>0.7</v>
      </c>
      <c r="Q13" s="102">
        <f t="shared" si="0"/>
        <v>0.7</v>
      </c>
      <c r="R13" s="93">
        <v>16.899999999999999</v>
      </c>
      <c r="S13" s="93">
        <v>108</v>
      </c>
      <c r="T13" s="103">
        <f t="shared" si="1"/>
        <v>33</v>
      </c>
      <c r="U13" s="93">
        <v>98</v>
      </c>
      <c r="V13" s="104">
        <f t="shared" si="2"/>
        <v>3234</v>
      </c>
      <c r="W13" s="93">
        <v>10</v>
      </c>
      <c r="X13" s="93" t="s">
        <v>46</v>
      </c>
      <c r="Y13" s="93" t="s">
        <v>84</v>
      </c>
      <c r="Z13" s="93" t="s">
        <v>50</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262</v>
      </c>
      <c r="E14" s="93" t="s">
        <v>139</v>
      </c>
      <c r="F14" s="93" t="s">
        <v>277</v>
      </c>
      <c r="G14" s="93" t="s">
        <v>42</v>
      </c>
      <c r="H14" s="93" t="s">
        <v>160</v>
      </c>
      <c r="I14" s="93" t="s">
        <v>159</v>
      </c>
      <c r="J14" s="93" t="s">
        <v>38</v>
      </c>
      <c r="K14" s="93" t="s">
        <v>161</v>
      </c>
      <c r="L14" s="93">
        <v>1</v>
      </c>
      <c r="N14" s="93">
        <v>1</v>
      </c>
      <c r="O14" s="93">
        <v>0.6</v>
      </c>
      <c r="P14" s="93">
        <v>0.65</v>
      </c>
      <c r="Q14" s="102">
        <f t="shared" si="0"/>
        <v>0.625</v>
      </c>
      <c r="R14" s="93">
        <v>15.3</v>
      </c>
      <c r="S14" s="93">
        <v>97</v>
      </c>
      <c r="T14" s="103">
        <f t="shared" si="1"/>
        <v>36</v>
      </c>
      <c r="U14" s="93">
        <v>98</v>
      </c>
      <c r="V14" s="104">
        <f t="shared" si="2"/>
        <v>3528</v>
      </c>
      <c r="W14" s="93">
        <v>10</v>
      </c>
      <c r="X14" s="93" t="s">
        <v>46</v>
      </c>
      <c r="Y14" s="93" t="s">
        <v>84</v>
      </c>
      <c r="Z14" s="93" t="s">
        <v>50</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262</v>
      </c>
      <c r="E15" s="93" t="s">
        <v>139</v>
      </c>
      <c r="F15" s="93" t="s">
        <v>277</v>
      </c>
      <c r="G15" s="93" t="s">
        <v>42</v>
      </c>
      <c r="H15" s="93" t="s">
        <v>160</v>
      </c>
      <c r="I15" s="93" t="s">
        <v>159</v>
      </c>
      <c r="J15" s="93" t="s">
        <v>38</v>
      </c>
      <c r="K15" s="93" t="s">
        <v>161</v>
      </c>
      <c r="L15" s="93">
        <v>2</v>
      </c>
      <c r="N15" s="93">
        <v>1</v>
      </c>
      <c r="O15" s="93">
        <v>0.75</v>
      </c>
      <c r="P15" s="93">
        <v>0.7</v>
      </c>
      <c r="Q15" s="102">
        <f t="shared" si="0"/>
        <v>0.72499999999999998</v>
      </c>
      <c r="R15" s="93">
        <v>16</v>
      </c>
      <c r="S15" s="93">
        <v>104</v>
      </c>
      <c r="T15" s="103">
        <f t="shared" si="1"/>
        <v>33</v>
      </c>
      <c r="U15" s="93">
        <v>98</v>
      </c>
      <c r="V15" s="104">
        <f t="shared" si="2"/>
        <v>3234</v>
      </c>
      <c r="W15" s="93">
        <v>10</v>
      </c>
      <c r="X15" s="93" t="s">
        <v>46</v>
      </c>
      <c r="Y15" s="93" t="s">
        <v>84</v>
      </c>
      <c r="Z15" s="93" t="s">
        <v>50</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262</v>
      </c>
      <c r="E16" s="93" t="s">
        <v>139</v>
      </c>
      <c r="F16" s="93" t="s">
        <v>277</v>
      </c>
      <c r="G16" s="93" t="s">
        <v>42</v>
      </c>
      <c r="H16" s="93" t="s">
        <v>160</v>
      </c>
      <c r="I16" s="93" t="s">
        <v>159</v>
      </c>
      <c r="J16" s="93" t="s">
        <v>38</v>
      </c>
      <c r="K16" s="93" t="s">
        <v>161</v>
      </c>
      <c r="L16" s="93">
        <v>3</v>
      </c>
      <c r="N16" s="93">
        <v>1</v>
      </c>
      <c r="O16" s="93">
        <v>0.7</v>
      </c>
      <c r="P16" s="93">
        <v>0.65</v>
      </c>
      <c r="Q16" s="102">
        <f t="shared" si="0"/>
        <v>0.67500000000000004</v>
      </c>
      <c r="R16" s="93">
        <v>15.5</v>
      </c>
      <c r="S16" s="93">
        <v>99</v>
      </c>
      <c r="T16" s="103">
        <f t="shared" si="1"/>
        <v>33</v>
      </c>
      <c r="U16" s="93">
        <v>98</v>
      </c>
      <c r="V16" s="104">
        <f t="shared" si="2"/>
        <v>3234</v>
      </c>
      <c r="W16" s="93">
        <v>10</v>
      </c>
      <c r="X16" s="93" t="s">
        <v>46</v>
      </c>
      <c r="Y16" s="93" t="s">
        <v>84</v>
      </c>
      <c r="Z16" s="93" t="s">
        <v>50</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262</v>
      </c>
      <c r="E17" s="93" t="s">
        <v>271</v>
      </c>
      <c r="F17" s="93" t="s">
        <v>272</v>
      </c>
      <c r="G17" s="93" t="s">
        <v>36</v>
      </c>
      <c r="H17" s="93" t="s">
        <v>164</v>
      </c>
      <c r="I17" s="93" t="s">
        <v>159</v>
      </c>
      <c r="J17" s="93" t="s">
        <v>38</v>
      </c>
      <c r="K17" s="93" t="s">
        <v>161</v>
      </c>
      <c r="L17" s="93">
        <v>1</v>
      </c>
      <c r="N17" s="93">
        <v>1</v>
      </c>
      <c r="O17" s="93">
        <v>0.65</v>
      </c>
      <c r="P17" s="93">
        <v>0.7</v>
      </c>
      <c r="Q17" s="102">
        <f t="shared" si="0"/>
        <v>0.67500000000000004</v>
      </c>
      <c r="R17" s="93">
        <v>17.100000000000001</v>
      </c>
      <c r="S17" s="93">
        <v>142</v>
      </c>
      <c r="T17" s="103">
        <f t="shared" si="1"/>
        <v>22</v>
      </c>
      <c r="U17" s="93">
        <v>98</v>
      </c>
      <c r="V17" s="104">
        <f t="shared" si="2"/>
        <v>2156</v>
      </c>
      <c r="W17" s="93">
        <v>7</v>
      </c>
      <c r="X17" s="93" t="s">
        <v>46</v>
      </c>
      <c r="Y17" s="93" t="s">
        <v>84</v>
      </c>
      <c r="Z17" s="93" t="s">
        <v>90</v>
      </c>
      <c r="AA17" s="93" t="s">
        <v>50</v>
      </c>
      <c r="AB17" s="93" t="s">
        <v>158</v>
      </c>
      <c r="AE17" s="110" t="s">
        <v>220</v>
      </c>
      <c r="AP17" s="115" t="s">
        <v>221</v>
      </c>
      <c r="AR17" s="111" t="s">
        <v>96</v>
      </c>
      <c r="AV17" s="111" t="s">
        <v>86</v>
      </c>
    </row>
    <row r="18" spans="1:48" x14ac:dyDescent="0.15">
      <c r="A18" s="93" t="s">
        <v>51</v>
      </c>
      <c r="B18" s="93" t="s">
        <v>157</v>
      </c>
      <c r="C18" s="93">
        <v>2019</v>
      </c>
      <c r="D18" s="101" t="s">
        <v>262</v>
      </c>
      <c r="E18" s="93" t="s">
        <v>271</v>
      </c>
      <c r="F18" s="93" t="s">
        <v>272</v>
      </c>
      <c r="G18" s="93" t="s">
        <v>36</v>
      </c>
      <c r="H18" s="93" t="s">
        <v>164</v>
      </c>
      <c r="I18" s="93" t="s">
        <v>159</v>
      </c>
      <c r="J18" s="93" t="s">
        <v>38</v>
      </c>
      <c r="K18" s="93" t="s">
        <v>161</v>
      </c>
      <c r="L18" s="93">
        <v>2</v>
      </c>
      <c r="N18" s="93">
        <v>1</v>
      </c>
      <c r="O18" s="93">
        <v>0.75</v>
      </c>
      <c r="P18" s="93">
        <v>0.75</v>
      </c>
      <c r="Q18" s="102">
        <f t="shared" si="0"/>
        <v>0.75</v>
      </c>
      <c r="R18" s="93">
        <v>16.7</v>
      </c>
      <c r="S18" s="93">
        <v>138</v>
      </c>
      <c r="T18" s="103">
        <f t="shared" si="1"/>
        <v>22</v>
      </c>
      <c r="U18" s="93">
        <v>98</v>
      </c>
      <c r="V18" s="104">
        <f t="shared" si="2"/>
        <v>2156</v>
      </c>
      <c r="W18" s="93">
        <v>7</v>
      </c>
      <c r="X18" s="93" t="s">
        <v>46</v>
      </c>
      <c r="Y18" s="93" t="s">
        <v>84</v>
      </c>
      <c r="Z18" s="93" t="s">
        <v>90</v>
      </c>
      <c r="AA18" s="93" t="s">
        <v>50</v>
      </c>
      <c r="AB18" s="93" t="s">
        <v>158</v>
      </c>
      <c r="AE18" s="110" t="s">
        <v>213</v>
      </c>
      <c r="AP18" s="115" t="s">
        <v>222</v>
      </c>
      <c r="AR18" s="111" t="s">
        <v>101</v>
      </c>
      <c r="AV18" s="111" t="s">
        <v>88</v>
      </c>
    </row>
    <row r="19" spans="1:48" x14ac:dyDescent="0.15">
      <c r="A19" s="93" t="s">
        <v>51</v>
      </c>
      <c r="B19" s="93" t="s">
        <v>157</v>
      </c>
      <c r="C19" s="93">
        <v>2019</v>
      </c>
      <c r="D19" s="101" t="s">
        <v>262</v>
      </c>
      <c r="E19" s="93" t="s">
        <v>271</v>
      </c>
      <c r="F19" s="93" t="s">
        <v>272</v>
      </c>
      <c r="G19" s="93" t="s">
        <v>36</v>
      </c>
      <c r="H19" s="93" t="s">
        <v>164</v>
      </c>
      <c r="I19" s="93" t="s">
        <v>159</v>
      </c>
      <c r="J19" s="93" t="s">
        <v>38</v>
      </c>
      <c r="K19" s="93" t="s">
        <v>161</v>
      </c>
      <c r="L19" s="93">
        <v>3</v>
      </c>
      <c r="N19" s="93">
        <v>1</v>
      </c>
      <c r="O19" s="93">
        <v>0.8</v>
      </c>
      <c r="P19" s="93">
        <v>0.7</v>
      </c>
      <c r="Q19" s="102">
        <f t="shared" si="0"/>
        <v>0.75</v>
      </c>
      <c r="R19" s="93">
        <v>16.899999999999999</v>
      </c>
      <c r="S19" s="93">
        <v>140</v>
      </c>
      <c r="T19" s="103">
        <f t="shared" si="1"/>
        <v>22</v>
      </c>
      <c r="U19" s="93">
        <v>98</v>
      </c>
      <c r="V19" s="104">
        <f t="shared" si="2"/>
        <v>2156</v>
      </c>
      <c r="W19" s="93">
        <v>7</v>
      </c>
      <c r="X19" s="93" t="s">
        <v>46</v>
      </c>
      <c r="Y19" s="93" t="s">
        <v>84</v>
      </c>
      <c r="Z19" s="93" t="s">
        <v>90</v>
      </c>
      <c r="AA19" s="93" t="s">
        <v>50</v>
      </c>
      <c r="AB19" s="93" t="s">
        <v>158</v>
      </c>
      <c r="AE19" s="121" t="s">
        <v>207</v>
      </c>
      <c r="AP19" s="115" t="s">
        <v>223</v>
      </c>
      <c r="AR19" s="111" t="s">
        <v>224</v>
      </c>
      <c r="AV19" s="111" t="s">
        <v>90</v>
      </c>
    </row>
    <row r="20" spans="1:48" x14ac:dyDescent="0.15">
      <c r="A20" s="93" t="s">
        <v>51</v>
      </c>
      <c r="B20" s="93" t="s">
        <v>157</v>
      </c>
      <c r="C20" s="93">
        <v>2019</v>
      </c>
      <c r="D20" s="101" t="s">
        <v>262</v>
      </c>
      <c r="E20" s="93" t="s">
        <v>271</v>
      </c>
      <c r="F20" s="93" t="s">
        <v>272</v>
      </c>
      <c r="G20" s="93" t="s">
        <v>36</v>
      </c>
      <c r="H20" s="93" t="s">
        <v>160</v>
      </c>
      <c r="I20" s="93" t="s">
        <v>159</v>
      </c>
      <c r="J20" s="93" t="s">
        <v>38</v>
      </c>
      <c r="K20" s="93" t="s">
        <v>161</v>
      </c>
      <c r="L20" s="93">
        <v>1</v>
      </c>
      <c r="N20" s="93">
        <v>4</v>
      </c>
      <c r="O20" s="93">
        <v>0.75</v>
      </c>
      <c r="P20" s="93">
        <v>0.65</v>
      </c>
      <c r="Q20" s="102">
        <f t="shared" si="0"/>
        <v>0.7</v>
      </c>
      <c r="R20" s="93">
        <v>14.7</v>
      </c>
      <c r="S20" s="93">
        <v>97</v>
      </c>
      <c r="T20" s="103">
        <f t="shared" si="1"/>
        <v>36</v>
      </c>
      <c r="U20" s="93">
        <v>398</v>
      </c>
      <c r="V20" s="104">
        <f t="shared" si="2"/>
        <v>3582</v>
      </c>
      <c r="W20" s="93">
        <v>7</v>
      </c>
      <c r="X20" s="93" t="s">
        <v>46</v>
      </c>
      <c r="Y20" s="93" t="s">
        <v>84</v>
      </c>
      <c r="Z20" s="93" t="s">
        <v>90</v>
      </c>
      <c r="AA20" s="93" t="s">
        <v>50</v>
      </c>
      <c r="AB20" s="93" t="s">
        <v>158</v>
      </c>
      <c r="AE20" s="121"/>
      <c r="AP20" s="115" t="s">
        <v>225</v>
      </c>
      <c r="AR20" s="111" t="s">
        <v>105</v>
      </c>
      <c r="AV20" s="115" t="s">
        <v>226</v>
      </c>
    </row>
    <row r="21" spans="1:48" x14ac:dyDescent="0.15">
      <c r="A21" s="93" t="s">
        <v>51</v>
      </c>
      <c r="B21" s="93" t="s">
        <v>157</v>
      </c>
      <c r="C21" s="93">
        <v>2019</v>
      </c>
      <c r="D21" s="101" t="s">
        <v>262</v>
      </c>
      <c r="E21" s="93" t="s">
        <v>271</v>
      </c>
      <c r="F21" s="93" t="s">
        <v>272</v>
      </c>
      <c r="G21" s="93" t="s">
        <v>36</v>
      </c>
      <c r="H21" s="93" t="s">
        <v>160</v>
      </c>
      <c r="I21" s="93" t="s">
        <v>159</v>
      </c>
      <c r="J21" s="93" t="s">
        <v>38</v>
      </c>
      <c r="K21" s="93" t="s">
        <v>161</v>
      </c>
      <c r="L21" s="93">
        <v>2</v>
      </c>
      <c r="N21" s="93">
        <v>4</v>
      </c>
      <c r="O21" s="93">
        <v>0.7</v>
      </c>
      <c r="P21" s="93">
        <v>0.75</v>
      </c>
      <c r="Q21" s="102">
        <f t="shared" si="0"/>
        <v>0.72499999999999998</v>
      </c>
      <c r="R21" s="93">
        <v>15.1</v>
      </c>
      <c r="S21" s="93">
        <v>99</v>
      </c>
      <c r="T21" s="103">
        <f t="shared" si="1"/>
        <v>33</v>
      </c>
      <c r="U21" s="93">
        <v>398</v>
      </c>
      <c r="V21" s="104">
        <f t="shared" si="2"/>
        <v>3283.5</v>
      </c>
      <c r="W21" s="93">
        <v>7</v>
      </c>
      <c r="X21" s="93" t="s">
        <v>46</v>
      </c>
      <c r="Y21" s="93" t="s">
        <v>84</v>
      </c>
      <c r="Z21" s="93" t="s">
        <v>90</v>
      </c>
      <c r="AA21" s="93" t="s">
        <v>50</v>
      </c>
      <c r="AB21" s="93" t="s">
        <v>158</v>
      </c>
      <c r="AE21" s="116"/>
      <c r="AP21" s="115" t="s">
        <v>227</v>
      </c>
      <c r="AR21" s="111" t="s">
        <v>68</v>
      </c>
      <c r="AV21" s="115" t="s">
        <v>228</v>
      </c>
    </row>
    <row r="22" spans="1:48" x14ac:dyDescent="0.15">
      <c r="A22" s="93" t="s">
        <v>51</v>
      </c>
      <c r="B22" s="93" t="s">
        <v>157</v>
      </c>
      <c r="C22" s="93">
        <v>2019</v>
      </c>
      <c r="D22" s="101" t="s">
        <v>262</v>
      </c>
      <c r="E22" s="93" t="s">
        <v>271</v>
      </c>
      <c r="F22" s="93" t="s">
        <v>272</v>
      </c>
      <c r="G22" s="93" t="s">
        <v>36</v>
      </c>
      <c r="H22" s="93" t="s">
        <v>160</v>
      </c>
      <c r="I22" s="93" t="s">
        <v>159</v>
      </c>
      <c r="J22" s="93" t="s">
        <v>38</v>
      </c>
      <c r="K22" s="93" t="s">
        <v>161</v>
      </c>
      <c r="L22" s="93">
        <v>3</v>
      </c>
      <c r="N22" s="93">
        <v>4</v>
      </c>
      <c r="O22" s="93">
        <v>0.7</v>
      </c>
      <c r="P22" s="93">
        <v>0.7</v>
      </c>
      <c r="Q22" s="102">
        <f t="shared" si="0"/>
        <v>0.7</v>
      </c>
      <c r="R22" s="93">
        <v>15.6</v>
      </c>
      <c r="S22" s="93">
        <v>102</v>
      </c>
      <c r="T22" s="103">
        <f t="shared" si="1"/>
        <v>33</v>
      </c>
      <c r="U22" s="93">
        <v>398</v>
      </c>
      <c r="V22" s="104">
        <f t="shared" si="2"/>
        <v>3283.5</v>
      </c>
      <c r="W22" s="93">
        <v>7</v>
      </c>
      <c r="X22" s="93" t="s">
        <v>46</v>
      </c>
      <c r="Y22" s="93" t="s">
        <v>84</v>
      </c>
      <c r="Z22" s="93" t="s">
        <v>90</v>
      </c>
      <c r="AA22" s="93" t="s">
        <v>50</v>
      </c>
      <c r="AB22" s="93" t="s">
        <v>158</v>
      </c>
      <c r="AP22" s="115" t="s">
        <v>229</v>
      </c>
      <c r="AR22" s="111" t="s">
        <v>83</v>
      </c>
      <c r="AV22" s="115"/>
    </row>
    <row r="23" spans="1:48" x14ac:dyDescent="0.15">
      <c r="A23" s="93" t="s">
        <v>51</v>
      </c>
      <c r="B23" s="93" t="s">
        <v>157</v>
      </c>
      <c r="C23" s="93">
        <v>2019</v>
      </c>
      <c r="D23" s="101" t="s">
        <v>262</v>
      </c>
      <c r="E23" s="93" t="s">
        <v>211</v>
      </c>
      <c r="F23" s="93" t="s">
        <v>265</v>
      </c>
      <c r="G23" s="93" t="s">
        <v>42</v>
      </c>
      <c r="H23" s="93" t="s">
        <v>164</v>
      </c>
      <c r="I23" s="93" t="s">
        <v>159</v>
      </c>
      <c r="J23" s="93" t="s">
        <v>38</v>
      </c>
      <c r="K23" s="93" t="s">
        <v>161</v>
      </c>
      <c r="L23" s="93">
        <v>1</v>
      </c>
      <c r="N23" s="93">
        <v>1</v>
      </c>
      <c r="O23" s="93">
        <v>0.5</v>
      </c>
      <c r="P23" s="93">
        <v>0.55000000000000004</v>
      </c>
      <c r="Q23" s="102">
        <f t="shared" si="0"/>
        <v>0.52500000000000002</v>
      </c>
      <c r="R23" s="93">
        <v>16.399999999999999</v>
      </c>
      <c r="S23" s="93">
        <v>128</v>
      </c>
      <c r="T23" s="103">
        <f t="shared" si="1"/>
        <v>27</v>
      </c>
      <c r="U23" s="93">
        <v>97</v>
      </c>
      <c r="V23" s="104">
        <f t="shared" si="2"/>
        <v>2619</v>
      </c>
      <c r="W23" s="93">
        <v>8</v>
      </c>
      <c r="X23" s="93" t="s">
        <v>46</v>
      </c>
      <c r="Y23" s="93" t="s">
        <v>90</v>
      </c>
      <c r="Z23" s="93" t="s">
        <v>50</v>
      </c>
      <c r="AA23" s="93" t="s">
        <v>84</v>
      </c>
      <c r="AB23" s="93" t="s">
        <v>158</v>
      </c>
      <c r="AP23" s="115" t="s">
        <v>278</v>
      </c>
      <c r="AR23" s="111" t="s">
        <v>61</v>
      </c>
    </row>
    <row r="24" spans="1:48" x14ac:dyDescent="0.15">
      <c r="A24" s="93" t="s">
        <v>51</v>
      </c>
      <c r="B24" s="93" t="s">
        <v>157</v>
      </c>
      <c r="C24" s="93">
        <v>2019</v>
      </c>
      <c r="D24" s="101" t="s">
        <v>262</v>
      </c>
      <c r="E24" s="93" t="s">
        <v>211</v>
      </c>
      <c r="F24" s="93" t="s">
        <v>265</v>
      </c>
      <c r="G24" s="93" t="s">
        <v>42</v>
      </c>
      <c r="H24" s="93" t="s">
        <v>164</v>
      </c>
      <c r="I24" s="93" t="s">
        <v>159</v>
      </c>
      <c r="J24" s="93" t="s">
        <v>38</v>
      </c>
      <c r="K24" s="93" t="s">
        <v>161</v>
      </c>
      <c r="L24" s="93">
        <v>2</v>
      </c>
      <c r="N24" s="93">
        <v>1</v>
      </c>
      <c r="O24" s="93">
        <v>0.5</v>
      </c>
      <c r="P24" s="93">
        <v>0.25</v>
      </c>
      <c r="Q24" s="102">
        <f t="shared" si="0"/>
        <v>0.375</v>
      </c>
      <c r="R24" s="93">
        <v>16.8</v>
      </c>
      <c r="S24" s="93">
        <v>128</v>
      </c>
      <c r="T24" s="103">
        <f t="shared" si="1"/>
        <v>27</v>
      </c>
      <c r="U24" s="93">
        <v>97</v>
      </c>
      <c r="V24" s="104">
        <f t="shared" si="2"/>
        <v>2619</v>
      </c>
      <c r="W24" s="93">
        <v>8</v>
      </c>
      <c r="X24" s="93" t="s">
        <v>46</v>
      </c>
      <c r="Y24" s="93" t="s">
        <v>90</v>
      </c>
      <c r="Z24" s="93" t="s">
        <v>50</v>
      </c>
      <c r="AA24" s="93" t="s">
        <v>84</v>
      </c>
      <c r="AB24" s="93" t="s">
        <v>158</v>
      </c>
      <c r="AP24" s="115" t="s">
        <v>279</v>
      </c>
      <c r="AR24" s="111" t="s">
        <v>91</v>
      </c>
    </row>
    <row r="25" spans="1:48" x14ac:dyDescent="0.15">
      <c r="A25" s="93" t="s">
        <v>51</v>
      </c>
      <c r="B25" s="93" t="s">
        <v>157</v>
      </c>
      <c r="C25" s="93">
        <v>2019</v>
      </c>
      <c r="D25" s="101" t="s">
        <v>262</v>
      </c>
      <c r="E25" s="93" t="s">
        <v>211</v>
      </c>
      <c r="F25" s="93" t="s">
        <v>265</v>
      </c>
      <c r="G25" s="93" t="s">
        <v>42</v>
      </c>
      <c r="H25" s="93" t="s">
        <v>164</v>
      </c>
      <c r="I25" s="93" t="s">
        <v>159</v>
      </c>
      <c r="J25" s="93" t="s">
        <v>38</v>
      </c>
      <c r="K25" s="93" t="s">
        <v>161</v>
      </c>
      <c r="L25" s="93">
        <v>3</v>
      </c>
      <c r="N25" s="93">
        <v>1</v>
      </c>
      <c r="O25" s="93">
        <v>0.25</v>
      </c>
      <c r="P25" s="93">
        <v>0.25</v>
      </c>
      <c r="Q25" s="102">
        <f t="shared" si="0"/>
        <v>0.25</v>
      </c>
      <c r="R25" s="93">
        <v>16.600000000000001</v>
      </c>
      <c r="S25" s="93">
        <v>126</v>
      </c>
      <c r="T25" s="103">
        <f t="shared" si="1"/>
        <v>27</v>
      </c>
      <c r="U25" s="93">
        <v>97</v>
      </c>
      <c r="V25" s="104">
        <f t="shared" si="2"/>
        <v>2619</v>
      </c>
      <c r="W25" s="93">
        <v>8</v>
      </c>
      <c r="X25" s="93" t="s">
        <v>46</v>
      </c>
      <c r="Y25" s="93" t="s">
        <v>90</v>
      </c>
      <c r="Z25" s="93" t="s">
        <v>50</v>
      </c>
      <c r="AA25" s="93" t="s">
        <v>84</v>
      </c>
      <c r="AB25" s="93" t="s">
        <v>158</v>
      </c>
      <c r="AP25" s="115" t="s">
        <v>280</v>
      </c>
      <c r="AR25" s="115" t="s">
        <v>51</v>
      </c>
    </row>
    <row r="26" spans="1:48" x14ac:dyDescent="0.15">
      <c r="A26" s="93" t="s">
        <v>51</v>
      </c>
      <c r="B26" s="93" t="s">
        <v>157</v>
      </c>
      <c r="C26" s="93">
        <v>2019</v>
      </c>
      <c r="D26" s="101" t="s">
        <v>262</v>
      </c>
      <c r="E26" s="93" t="s">
        <v>273</v>
      </c>
      <c r="F26" s="93" t="s">
        <v>265</v>
      </c>
      <c r="G26" s="93" t="s">
        <v>42</v>
      </c>
      <c r="H26" s="93" t="s">
        <v>164</v>
      </c>
      <c r="I26" s="93" t="s">
        <v>159</v>
      </c>
      <c r="J26" s="93" t="s">
        <v>38</v>
      </c>
      <c r="K26" s="93" t="s">
        <v>161</v>
      </c>
      <c r="L26" s="93">
        <v>1</v>
      </c>
      <c r="N26" s="93">
        <v>4</v>
      </c>
      <c r="O26" s="93">
        <v>0.8</v>
      </c>
      <c r="P26" s="93">
        <v>0.7</v>
      </c>
      <c r="Q26" s="102">
        <f t="shared" si="0"/>
        <v>0.75</v>
      </c>
      <c r="R26" s="93">
        <v>13.9</v>
      </c>
      <c r="S26" s="93">
        <v>97</v>
      </c>
      <c r="T26" s="103">
        <f t="shared" si="1"/>
        <v>36</v>
      </c>
      <c r="U26" s="93">
        <v>398</v>
      </c>
      <c r="V26" s="104">
        <f t="shared" si="2"/>
        <v>3582</v>
      </c>
      <c r="W26" s="93">
        <v>10</v>
      </c>
      <c r="X26" s="93" t="s">
        <v>46</v>
      </c>
      <c r="Y26" s="93" t="s">
        <v>90</v>
      </c>
      <c r="Z26" s="93" t="s">
        <v>50</v>
      </c>
      <c r="AA26" s="93" t="s">
        <v>78</v>
      </c>
      <c r="AB26" s="93" t="s">
        <v>158</v>
      </c>
      <c r="AP26" s="115" t="s">
        <v>230</v>
      </c>
      <c r="AR26" s="93" t="s">
        <v>231</v>
      </c>
    </row>
    <row r="27" spans="1:48" x14ac:dyDescent="0.15">
      <c r="A27" s="93" t="s">
        <v>51</v>
      </c>
      <c r="B27" s="93" t="s">
        <v>157</v>
      </c>
      <c r="C27" s="93">
        <v>2019</v>
      </c>
      <c r="D27" s="101" t="s">
        <v>262</v>
      </c>
      <c r="E27" s="93" t="s">
        <v>273</v>
      </c>
      <c r="F27" s="93" t="s">
        <v>265</v>
      </c>
      <c r="G27" s="93" t="s">
        <v>42</v>
      </c>
      <c r="H27" s="93" t="s">
        <v>164</v>
      </c>
      <c r="I27" s="93" t="s">
        <v>159</v>
      </c>
      <c r="J27" s="93" t="s">
        <v>38</v>
      </c>
      <c r="K27" s="93" t="s">
        <v>161</v>
      </c>
      <c r="L27" s="93">
        <v>2</v>
      </c>
      <c r="N27" s="93">
        <v>4</v>
      </c>
      <c r="O27" s="93">
        <v>0.75</v>
      </c>
      <c r="P27" s="93">
        <v>0.75</v>
      </c>
      <c r="Q27" s="102">
        <f t="shared" si="0"/>
        <v>0.75</v>
      </c>
      <c r="R27" s="93">
        <v>14.2</v>
      </c>
      <c r="S27" s="93">
        <v>104</v>
      </c>
      <c r="T27" s="103">
        <f t="shared" si="1"/>
        <v>33</v>
      </c>
      <c r="U27" s="93">
        <v>398</v>
      </c>
      <c r="V27" s="104">
        <f t="shared" si="2"/>
        <v>3283.5</v>
      </c>
      <c r="W27" s="93">
        <v>10</v>
      </c>
      <c r="X27" s="93" t="s">
        <v>46</v>
      </c>
      <c r="Y27" s="93" t="s">
        <v>90</v>
      </c>
      <c r="Z27" s="93" t="s">
        <v>50</v>
      </c>
      <c r="AA27" s="93" t="s">
        <v>78</v>
      </c>
      <c r="AB27" s="93" t="s">
        <v>158</v>
      </c>
      <c r="AP27" s="115" t="s">
        <v>232</v>
      </c>
    </row>
    <row r="28" spans="1:48" x14ac:dyDescent="0.15">
      <c r="A28" s="93" t="s">
        <v>51</v>
      </c>
      <c r="B28" s="93" t="s">
        <v>157</v>
      </c>
      <c r="C28" s="93">
        <v>2019</v>
      </c>
      <c r="D28" s="101" t="s">
        <v>262</v>
      </c>
      <c r="E28" s="93" t="s">
        <v>273</v>
      </c>
      <c r="F28" s="93" t="s">
        <v>265</v>
      </c>
      <c r="G28" s="93" t="s">
        <v>42</v>
      </c>
      <c r="H28" s="93" t="s">
        <v>164</v>
      </c>
      <c r="I28" s="93" t="s">
        <v>159</v>
      </c>
      <c r="J28" s="93" t="s">
        <v>38</v>
      </c>
      <c r="K28" s="93" t="s">
        <v>161</v>
      </c>
      <c r="L28" s="93">
        <v>3</v>
      </c>
      <c r="N28" s="93">
        <v>4</v>
      </c>
      <c r="O28" s="93">
        <v>0.65</v>
      </c>
      <c r="P28" s="93">
        <v>0.7</v>
      </c>
      <c r="Q28" s="102">
        <f t="shared" si="0"/>
        <v>0.67500000000000004</v>
      </c>
      <c r="R28" s="93">
        <v>14.5</v>
      </c>
      <c r="S28" s="93">
        <v>102</v>
      </c>
      <c r="T28" s="103">
        <f t="shared" si="1"/>
        <v>33</v>
      </c>
      <c r="U28" s="93">
        <v>398</v>
      </c>
      <c r="V28" s="104">
        <f t="shared" si="2"/>
        <v>3283.5</v>
      </c>
      <c r="W28" s="93">
        <v>10</v>
      </c>
      <c r="X28" s="93" t="s">
        <v>46</v>
      </c>
      <c r="Y28" s="93" t="s">
        <v>90</v>
      </c>
      <c r="Z28" s="93" t="s">
        <v>50</v>
      </c>
      <c r="AA28" s="93" t="s">
        <v>78</v>
      </c>
      <c r="AB28" s="93" t="s">
        <v>158</v>
      </c>
    </row>
    <row r="29" spans="1:48" x14ac:dyDescent="0.15">
      <c r="A29" s="93" t="s">
        <v>51</v>
      </c>
      <c r="B29" s="93" t="s">
        <v>157</v>
      </c>
      <c r="C29" s="93">
        <v>2019</v>
      </c>
      <c r="D29" s="101" t="s">
        <v>262</v>
      </c>
      <c r="E29" s="93" t="s">
        <v>273</v>
      </c>
      <c r="F29" s="93" t="s">
        <v>265</v>
      </c>
      <c r="G29" s="93" t="s">
        <v>42</v>
      </c>
      <c r="H29" s="93" t="s">
        <v>164</v>
      </c>
      <c r="I29" s="93" t="s">
        <v>167</v>
      </c>
      <c r="J29" s="93" t="s">
        <v>38</v>
      </c>
      <c r="K29" s="93" t="s">
        <v>161</v>
      </c>
      <c r="L29" s="93">
        <v>1</v>
      </c>
      <c r="N29" s="93">
        <v>4</v>
      </c>
      <c r="O29" s="93">
        <v>0.25</v>
      </c>
      <c r="P29" s="93">
        <v>0.25</v>
      </c>
      <c r="Q29" s="102">
        <f t="shared" si="0"/>
        <v>0.25</v>
      </c>
      <c r="R29" s="93">
        <v>16.5</v>
      </c>
      <c r="S29" s="93">
        <v>92</v>
      </c>
      <c r="T29" s="103">
        <f t="shared" si="1"/>
        <v>36</v>
      </c>
      <c r="U29" s="93">
        <v>398</v>
      </c>
      <c r="V29" s="104">
        <f t="shared" si="2"/>
        <v>3582</v>
      </c>
      <c r="W29" s="93">
        <v>10</v>
      </c>
      <c r="X29" s="93" t="s">
        <v>46</v>
      </c>
      <c r="Y29" s="93" t="s">
        <v>90</v>
      </c>
      <c r="Z29" s="93" t="s">
        <v>50</v>
      </c>
      <c r="AA29" s="93" t="s">
        <v>78</v>
      </c>
      <c r="AB29" s="93" t="s">
        <v>158</v>
      </c>
    </row>
    <row r="30" spans="1:48" x14ac:dyDescent="0.15">
      <c r="A30" s="93" t="s">
        <v>51</v>
      </c>
      <c r="B30" s="93" t="s">
        <v>157</v>
      </c>
      <c r="C30" s="93">
        <v>2019</v>
      </c>
      <c r="D30" s="101" t="s">
        <v>262</v>
      </c>
      <c r="E30" s="93" t="s">
        <v>273</v>
      </c>
      <c r="F30" s="93" t="s">
        <v>265</v>
      </c>
      <c r="G30" s="93" t="s">
        <v>42</v>
      </c>
      <c r="H30" s="93" t="s">
        <v>164</v>
      </c>
      <c r="I30" s="93" t="s">
        <v>167</v>
      </c>
      <c r="J30" s="93" t="s">
        <v>38</v>
      </c>
      <c r="K30" s="93" t="s">
        <v>161</v>
      </c>
      <c r="L30" s="93">
        <v>2</v>
      </c>
      <c r="N30" s="93">
        <v>4</v>
      </c>
      <c r="O30" s="93">
        <v>0.55000000000000004</v>
      </c>
      <c r="P30" s="93">
        <v>0.6</v>
      </c>
      <c r="Q30" s="102">
        <f t="shared" si="0"/>
        <v>0.57499999999999996</v>
      </c>
      <c r="R30" s="93">
        <v>13.8</v>
      </c>
      <c r="S30" s="93">
        <v>99</v>
      </c>
      <c r="T30" s="103">
        <f t="shared" si="1"/>
        <v>33</v>
      </c>
      <c r="U30" s="93">
        <v>398</v>
      </c>
      <c r="V30" s="104">
        <f t="shared" si="2"/>
        <v>3283.5</v>
      </c>
      <c r="W30" s="93">
        <v>10</v>
      </c>
      <c r="X30" s="93" t="s">
        <v>46</v>
      </c>
      <c r="Y30" s="93" t="s">
        <v>90</v>
      </c>
      <c r="Z30" s="93" t="s">
        <v>50</v>
      </c>
      <c r="AA30" s="93" t="s">
        <v>78</v>
      </c>
      <c r="AB30" s="93" t="s">
        <v>158</v>
      </c>
    </row>
    <row r="31" spans="1:48" x14ac:dyDescent="0.15">
      <c r="A31" s="93" t="s">
        <v>51</v>
      </c>
      <c r="B31" s="93" t="s">
        <v>157</v>
      </c>
      <c r="C31" s="93">
        <v>2019</v>
      </c>
      <c r="D31" s="101" t="s">
        <v>262</v>
      </c>
      <c r="E31" s="93" t="s">
        <v>273</v>
      </c>
      <c r="F31" s="93" t="s">
        <v>265</v>
      </c>
      <c r="G31" s="93" t="s">
        <v>42</v>
      </c>
      <c r="H31" s="93" t="s">
        <v>164</v>
      </c>
      <c r="I31" s="93" t="s">
        <v>167</v>
      </c>
      <c r="J31" s="93" t="s">
        <v>38</v>
      </c>
      <c r="K31" s="93" t="s">
        <v>161</v>
      </c>
      <c r="L31" s="93">
        <v>3</v>
      </c>
      <c r="N31" s="93">
        <v>4</v>
      </c>
      <c r="O31" s="93">
        <v>0.65</v>
      </c>
      <c r="P31" s="93">
        <v>0.6</v>
      </c>
      <c r="Q31" s="102">
        <f t="shared" si="0"/>
        <v>0.625</v>
      </c>
      <c r="R31" s="93">
        <v>13.4</v>
      </c>
      <c r="S31" s="93">
        <v>92</v>
      </c>
      <c r="T31" s="103">
        <f t="shared" si="1"/>
        <v>36</v>
      </c>
      <c r="U31" s="93">
        <v>398</v>
      </c>
      <c r="V31" s="104">
        <f t="shared" si="2"/>
        <v>3582</v>
      </c>
      <c r="W31" s="93">
        <v>10</v>
      </c>
      <c r="X31" s="93" t="s">
        <v>46</v>
      </c>
      <c r="Y31" s="93" t="s">
        <v>90</v>
      </c>
      <c r="Z31" s="93" t="s">
        <v>50</v>
      </c>
      <c r="AA31" s="93" t="s">
        <v>78</v>
      </c>
      <c r="AB31" s="93" t="s">
        <v>158</v>
      </c>
    </row>
    <row r="32" spans="1:48" x14ac:dyDescent="0.15">
      <c r="A32" s="93" t="s">
        <v>51</v>
      </c>
      <c r="B32" s="93" t="s">
        <v>157</v>
      </c>
      <c r="C32" s="93">
        <v>2019</v>
      </c>
      <c r="D32" s="101" t="s">
        <v>262</v>
      </c>
      <c r="E32" s="93" t="s">
        <v>273</v>
      </c>
      <c r="F32" s="93" t="s">
        <v>265</v>
      </c>
      <c r="G32" s="93" t="s">
        <v>42</v>
      </c>
      <c r="H32" s="93" t="s">
        <v>160</v>
      </c>
      <c r="I32" s="93" t="s">
        <v>159</v>
      </c>
      <c r="J32" s="93" t="s">
        <v>38</v>
      </c>
      <c r="K32" s="93" t="s">
        <v>161</v>
      </c>
      <c r="L32" s="93">
        <v>1</v>
      </c>
      <c r="N32" s="93">
        <v>4</v>
      </c>
      <c r="O32" s="93">
        <v>0.5</v>
      </c>
      <c r="P32" s="93">
        <v>0.5</v>
      </c>
      <c r="Q32" s="102">
        <f t="shared" si="0"/>
        <v>0.5</v>
      </c>
      <c r="R32" s="93">
        <v>18.3</v>
      </c>
      <c r="S32" s="93">
        <v>98</v>
      </c>
      <c r="T32" s="103">
        <f t="shared" si="1"/>
        <v>36</v>
      </c>
      <c r="U32" s="93">
        <v>498</v>
      </c>
      <c r="V32" s="104">
        <f t="shared" si="2"/>
        <v>4482</v>
      </c>
      <c r="W32" s="93">
        <v>10</v>
      </c>
      <c r="X32" s="93" t="s">
        <v>46</v>
      </c>
      <c r="Y32" s="93" t="s">
        <v>90</v>
      </c>
      <c r="Z32" s="93" t="s">
        <v>50</v>
      </c>
      <c r="AA32" s="93" t="s">
        <v>78</v>
      </c>
      <c r="AB32" s="93" t="s">
        <v>158</v>
      </c>
    </row>
    <row r="33" spans="1:28" x14ac:dyDescent="0.15">
      <c r="A33" s="93" t="s">
        <v>51</v>
      </c>
      <c r="B33" s="93" t="s">
        <v>157</v>
      </c>
      <c r="C33" s="93">
        <v>2019</v>
      </c>
      <c r="D33" s="101" t="s">
        <v>262</v>
      </c>
      <c r="E33" s="93" t="s">
        <v>273</v>
      </c>
      <c r="F33" s="93" t="s">
        <v>265</v>
      </c>
      <c r="G33" s="93" t="s">
        <v>42</v>
      </c>
      <c r="H33" s="93" t="s">
        <v>160</v>
      </c>
      <c r="I33" s="93" t="s">
        <v>159</v>
      </c>
      <c r="J33" s="93" t="s">
        <v>38</v>
      </c>
      <c r="K33" s="93" t="s">
        <v>161</v>
      </c>
      <c r="L33" s="93">
        <v>2</v>
      </c>
      <c r="N33" s="93">
        <v>4</v>
      </c>
      <c r="O33" s="93">
        <v>0.55000000000000004</v>
      </c>
      <c r="P33" s="93">
        <v>0.6</v>
      </c>
      <c r="Q33" s="102">
        <f t="shared" si="0"/>
        <v>0.57499999999999996</v>
      </c>
      <c r="R33" s="93">
        <v>17.600000000000001</v>
      </c>
      <c r="S33" s="93">
        <v>106</v>
      </c>
      <c r="T33" s="103">
        <f t="shared" si="1"/>
        <v>33</v>
      </c>
      <c r="U33" s="93">
        <v>498</v>
      </c>
      <c r="V33" s="104">
        <f t="shared" si="2"/>
        <v>4108.5</v>
      </c>
      <c r="W33" s="93">
        <v>10</v>
      </c>
      <c r="X33" s="93" t="s">
        <v>46</v>
      </c>
      <c r="Y33" s="93" t="s">
        <v>90</v>
      </c>
      <c r="Z33" s="93" t="s">
        <v>50</v>
      </c>
      <c r="AA33" s="93" t="s">
        <v>78</v>
      </c>
      <c r="AB33" s="93" t="s">
        <v>158</v>
      </c>
    </row>
    <row r="34" spans="1:28" x14ac:dyDescent="0.15">
      <c r="A34" s="93" t="s">
        <v>51</v>
      </c>
      <c r="B34" s="93" t="s">
        <v>157</v>
      </c>
      <c r="C34" s="93">
        <v>2019</v>
      </c>
      <c r="D34" s="101" t="s">
        <v>262</v>
      </c>
      <c r="E34" s="93" t="s">
        <v>273</v>
      </c>
      <c r="F34" s="93" t="s">
        <v>265</v>
      </c>
      <c r="G34" s="93" t="s">
        <v>42</v>
      </c>
      <c r="H34" s="93" t="s">
        <v>160</v>
      </c>
      <c r="I34" s="93" t="s">
        <v>159</v>
      </c>
      <c r="J34" s="93" t="s">
        <v>38</v>
      </c>
      <c r="K34" s="93" t="s">
        <v>161</v>
      </c>
      <c r="L34" s="93">
        <v>3</v>
      </c>
      <c r="N34" s="93">
        <v>4</v>
      </c>
      <c r="O34" s="93">
        <v>0.7</v>
      </c>
      <c r="P34" s="93">
        <v>0.65</v>
      </c>
      <c r="Q34" s="102">
        <f t="shared" si="0"/>
        <v>0.67500000000000004</v>
      </c>
      <c r="R34" s="93">
        <v>18.100000000000001</v>
      </c>
      <c r="S34" s="93">
        <v>106</v>
      </c>
      <c r="T34" s="103">
        <f t="shared" si="1"/>
        <v>33</v>
      </c>
      <c r="U34" s="93">
        <v>498</v>
      </c>
      <c r="V34" s="104">
        <f t="shared" si="2"/>
        <v>4108.5</v>
      </c>
      <c r="W34" s="93">
        <v>10</v>
      </c>
      <c r="X34" s="93" t="s">
        <v>46</v>
      </c>
      <c r="Y34" s="93" t="s">
        <v>90</v>
      </c>
      <c r="Z34" s="93" t="s">
        <v>50</v>
      </c>
      <c r="AA34" s="93" t="s">
        <v>78</v>
      </c>
      <c r="AB34" s="93" t="s">
        <v>158</v>
      </c>
    </row>
    <row r="35" spans="1:28" x14ac:dyDescent="0.15">
      <c r="A35" s="93" t="s">
        <v>51</v>
      </c>
      <c r="B35" s="93" t="s">
        <v>157</v>
      </c>
      <c r="C35" s="93">
        <v>2019</v>
      </c>
      <c r="D35" s="101" t="s">
        <v>262</v>
      </c>
      <c r="E35" s="93" t="s">
        <v>268</v>
      </c>
      <c r="F35" s="93" t="s">
        <v>269</v>
      </c>
      <c r="G35" s="93" t="s">
        <v>42</v>
      </c>
      <c r="H35" s="93" t="s">
        <v>164</v>
      </c>
      <c r="I35" s="93" t="s">
        <v>159</v>
      </c>
      <c r="J35" s="93" t="s">
        <v>38</v>
      </c>
      <c r="K35" s="93" t="s">
        <v>161</v>
      </c>
      <c r="L35" s="93">
        <v>1</v>
      </c>
      <c r="N35" s="93">
        <v>1</v>
      </c>
      <c r="O35" s="93">
        <v>0.6</v>
      </c>
      <c r="P35" s="93">
        <v>0.5</v>
      </c>
      <c r="Q35" s="102">
        <f t="shared" si="0"/>
        <v>0.55000000000000004</v>
      </c>
      <c r="R35" s="93">
        <v>13.5</v>
      </c>
      <c r="S35" s="93">
        <v>126</v>
      </c>
      <c r="T35" s="103">
        <f t="shared" si="1"/>
        <v>27</v>
      </c>
      <c r="U35" s="93">
        <v>138</v>
      </c>
      <c r="V35" s="104">
        <f t="shared" si="2"/>
        <v>3726</v>
      </c>
      <c r="W35" s="93">
        <v>3</v>
      </c>
      <c r="X35" s="93" t="s">
        <v>39</v>
      </c>
      <c r="Y35" s="93" t="s">
        <v>90</v>
      </c>
      <c r="Z35" s="93" t="s">
        <v>50</v>
      </c>
      <c r="AA35" s="93" t="s">
        <v>84</v>
      </c>
      <c r="AB35" s="93" t="s">
        <v>158</v>
      </c>
    </row>
    <row r="36" spans="1:28" x14ac:dyDescent="0.15">
      <c r="A36" s="93" t="s">
        <v>51</v>
      </c>
      <c r="B36" s="93" t="s">
        <v>157</v>
      </c>
      <c r="C36" s="93">
        <v>2019</v>
      </c>
      <c r="D36" s="101" t="s">
        <v>262</v>
      </c>
      <c r="E36" s="93" t="s">
        <v>268</v>
      </c>
      <c r="F36" s="93" t="s">
        <v>269</v>
      </c>
      <c r="G36" s="93" t="s">
        <v>42</v>
      </c>
      <c r="H36" s="93" t="s">
        <v>164</v>
      </c>
      <c r="I36" s="93" t="s">
        <v>159</v>
      </c>
      <c r="J36" s="93" t="s">
        <v>38</v>
      </c>
      <c r="K36" s="93" t="s">
        <v>161</v>
      </c>
      <c r="L36" s="93">
        <v>2</v>
      </c>
      <c r="N36" s="93">
        <v>1</v>
      </c>
      <c r="O36" s="93">
        <v>0.55000000000000004</v>
      </c>
      <c r="P36" s="93">
        <v>0.5</v>
      </c>
      <c r="Q36" s="102">
        <f t="shared" si="0"/>
        <v>0.52500000000000002</v>
      </c>
      <c r="R36" s="93">
        <v>14.2</v>
      </c>
      <c r="S36" s="93">
        <v>132</v>
      </c>
      <c r="T36" s="103">
        <f t="shared" si="1"/>
        <v>25</v>
      </c>
      <c r="U36" s="93">
        <v>138</v>
      </c>
      <c r="V36" s="104">
        <f t="shared" si="2"/>
        <v>3450</v>
      </c>
      <c r="W36" s="93">
        <v>3</v>
      </c>
      <c r="X36" s="93" t="s">
        <v>39</v>
      </c>
      <c r="Y36" s="93" t="s">
        <v>90</v>
      </c>
      <c r="Z36" s="93" t="s">
        <v>50</v>
      </c>
      <c r="AA36" s="93" t="s">
        <v>84</v>
      </c>
      <c r="AB36" s="93" t="s">
        <v>158</v>
      </c>
    </row>
    <row r="37" spans="1:28" x14ac:dyDescent="0.15">
      <c r="A37" s="93" t="s">
        <v>51</v>
      </c>
      <c r="B37" s="93" t="s">
        <v>157</v>
      </c>
      <c r="C37" s="93">
        <v>2019</v>
      </c>
      <c r="D37" s="101" t="s">
        <v>262</v>
      </c>
      <c r="E37" s="93" t="s">
        <v>268</v>
      </c>
      <c r="F37" s="93" t="s">
        <v>269</v>
      </c>
      <c r="G37" s="93" t="s">
        <v>42</v>
      </c>
      <c r="H37" s="93" t="s">
        <v>164</v>
      </c>
      <c r="I37" s="93" t="s">
        <v>159</v>
      </c>
      <c r="J37" s="93" t="s">
        <v>38</v>
      </c>
      <c r="K37" s="93" t="s">
        <v>161</v>
      </c>
      <c r="L37" s="93">
        <v>3</v>
      </c>
      <c r="N37" s="93">
        <v>1</v>
      </c>
      <c r="O37" s="93">
        <v>0.6</v>
      </c>
      <c r="P37" s="93">
        <v>0.65</v>
      </c>
      <c r="Q37" s="102">
        <f t="shared" si="0"/>
        <v>0.625</v>
      </c>
      <c r="R37" s="93">
        <v>13.9</v>
      </c>
      <c r="S37" s="93">
        <v>132</v>
      </c>
      <c r="T37" s="103">
        <f t="shared" si="1"/>
        <v>25</v>
      </c>
      <c r="U37" s="93">
        <v>138</v>
      </c>
      <c r="V37" s="104">
        <f t="shared" si="2"/>
        <v>3450</v>
      </c>
      <c r="W37" s="93">
        <v>3</v>
      </c>
      <c r="X37" s="93" t="s">
        <v>39</v>
      </c>
      <c r="Y37" s="93" t="s">
        <v>90</v>
      </c>
      <c r="Z37" s="93" t="s">
        <v>50</v>
      </c>
      <c r="AA37" s="93" t="s">
        <v>84</v>
      </c>
      <c r="AB37" s="93" t="s">
        <v>158</v>
      </c>
    </row>
    <row r="38" spans="1:28" x14ac:dyDescent="0.15">
      <c r="A38" s="93" t="s">
        <v>51</v>
      </c>
      <c r="B38" s="93" t="s">
        <v>157</v>
      </c>
      <c r="C38" s="93">
        <v>2019</v>
      </c>
      <c r="D38" s="101" t="s">
        <v>262</v>
      </c>
      <c r="E38" s="93" t="s">
        <v>268</v>
      </c>
      <c r="F38" s="93" t="s">
        <v>269</v>
      </c>
      <c r="G38" s="93" t="s">
        <v>42</v>
      </c>
      <c r="H38" s="93" t="s">
        <v>160</v>
      </c>
      <c r="I38" s="93" t="s">
        <v>159</v>
      </c>
      <c r="J38" s="93" t="s">
        <v>38</v>
      </c>
      <c r="K38" s="93" t="s">
        <v>161</v>
      </c>
      <c r="L38" s="93">
        <v>1</v>
      </c>
      <c r="N38" s="93">
        <v>1</v>
      </c>
      <c r="O38" s="93">
        <v>0.6</v>
      </c>
      <c r="P38" s="93">
        <v>0.6</v>
      </c>
      <c r="Q38" s="102">
        <f t="shared" si="0"/>
        <v>0.6</v>
      </c>
      <c r="R38" s="93">
        <v>16.8</v>
      </c>
      <c r="S38" s="93">
        <v>128</v>
      </c>
      <c r="T38" s="103">
        <f t="shared" si="1"/>
        <v>27</v>
      </c>
      <c r="U38" s="93">
        <v>138</v>
      </c>
      <c r="V38" s="104">
        <f t="shared" si="2"/>
        <v>3726</v>
      </c>
      <c r="W38" s="93">
        <v>3</v>
      </c>
      <c r="X38" s="93" t="s">
        <v>39</v>
      </c>
      <c r="Y38" s="93" t="s">
        <v>90</v>
      </c>
      <c r="Z38" s="93" t="s">
        <v>50</v>
      </c>
      <c r="AA38" s="93" t="s">
        <v>84</v>
      </c>
      <c r="AB38" s="93" t="s">
        <v>158</v>
      </c>
    </row>
    <row r="39" spans="1:28" x14ac:dyDescent="0.15">
      <c r="A39" s="93" t="s">
        <v>51</v>
      </c>
      <c r="B39" s="93" t="s">
        <v>157</v>
      </c>
      <c r="C39" s="93">
        <v>2019</v>
      </c>
      <c r="D39" s="101" t="s">
        <v>262</v>
      </c>
      <c r="E39" s="93" t="s">
        <v>268</v>
      </c>
      <c r="F39" s="93" t="s">
        <v>269</v>
      </c>
      <c r="G39" s="93" t="s">
        <v>42</v>
      </c>
      <c r="H39" s="93" t="s">
        <v>160</v>
      </c>
      <c r="I39" s="93" t="s">
        <v>159</v>
      </c>
      <c r="J39" s="93" t="s">
        <v>38</v>
      </c>
      <c r="K39" s="93" t="s">
        <v>161</v>
      </c>
      <c r="L39" s="93">
        <v>2</v>
      </c>
      <c r="N39" s="93">
        <v>1</v>
      </c>
      <c r="O39" s="93">
        <v>0.55000000000000004</v>
      </c>
      <c r="P39" s="93">
        <v>0.6</v>
      </c>
      <c r="Q39" s="102">
        <f t="shared" si="0"/>
        <v>0.57499999999999996</v>
      </c>
      <c r="R39" s="93">
        <v>16.5</v>
      </c>
      <c r="S39" s="93">
        <v>122</v>
      </c>
      <c r="T39" s="103">
        <f t="shared" si="1"/>
        <v>27</v>
      </c>
      <c r="U39" s="93">
        <v>138</v>
      </c>
      <c r="V39" s="104">
        <f t="shared" si="2"/>
        <v>3726</v>
      </c>
      <c r="W39" s="93">
        <v>3</v>
      </c>
      <c r="X39" s="93" t="s">
        <v>39</v>
      </c>
      <c r="Y39" s="93" t="s">
        <v>90</v>
      </c>
      <c r="Z39" s="93" t="s">
        <v>50</v>
      </c>
      <c r="AA39" s="93" t="s">
        <v>84</v>
      </c>
      <c r="AB39" s="93" t="s">
        <v>158</v>
      </c>
    </row>
    <row r="40" spans="1:28" x14ac:dyDescent="0.15">
      <c r="A40" s="93" t="s">
        <v>51</v>
      </c>
      <c r="B40" s="93" t="s">
        <v>157</v>
      </c>
      <c r="C40" s="93">
        <v>2019</v>
      </c>
      <c r="D40" s="101" t="s">
        <v>262</v>
      </c>
      <c r="E40" s="93" t="s">
        <v>268</v>
      </c>
      <c r="F40" s="93" t="s">
        <v>269</v>
      </c>
      <c r="G40" s="93" t="s">
        <v>42</v>
      </c>
      <c r="H40" s="93" t="s">
        <v>160</v>
      </c>
      <c r="I40" s="93" t="s">
        <v>159</v>
      </c>
      <c r="J40" s="93" t="s">
        <v>38</v>
      </c>
      <c r="K40" s="93" t="s">
        <v>161</v>
      </c>
      <c r="L40" s="93">
        <v>3</v>
      </c>
      <c r="N40" s="93">
        <v>1</v>
      </c>
      <c r="O40" s="93">
        <v>0.5</v>
      </c>
      <c r="P40" s="93">
        <v>0.5</v>
      </c>
      <c r="Q40" s="102">
        <f t="shared" si="0"/>
        <v>0.5</v>
      </c>
      <c r="R40" s="93">
        <v>16.100000000000001</v>
      </c>
      <c r="S40" s="93">
        <v>116</v>
      </c>
      <c r="T40" s="103">
        <f t="shared" si="1"/>
        <v>30</v>
      </c>
      <c r="U40" s="93">
        <v>138</v>
      </c>
      <c r="V40" s="104">
        <f t="shared" si="2"/>
        <v>4140</v>
      </c>
      <c r="W40" s="93">
        <v>3</v>
      </c>
      <c r="X40" s="93" t="s">
        <v>39</v>
      </c>
      <c r="Y40" s="93" t="s">
        <v>90</v>
      </c>
      <c r="Z40" s="93" t="s">
        <v>50</v>
      </c>
      <c r="AA40" s="93" t="s">
        <v>84</v>
      </c>
      <c r="AB40" s="93" t="s">
        <v>158</v>
      </c>
    </row>
    <row r="41" spans="1:28" x14ac:dyDescent="0.15">
      <c r="A41" s="93" t="s">
        <v>51</v>
      </c>
      <c r="B41" s="93" t="s">
        <v>157</v>
      </c>
      <c r="C41" s="93">
        <v>2019</v>
      </c>
      <c r="D41" s="101" t="s">
        <v>262</v>
      </c>
      <c r="E41" s="93" t="s">
        <v>270</v>
      </c>
      <c r="F41" s="93" t="s">
        <v>264</v>
      </c>
      <c r="G41" s="93" t="s">
        <v>36</v>
      </c>
      <c r="H41" s="93" t="s">
        <v>164</v>
      </c>
      <c r="I41" s="93" t="s">
        <v>159</v>
      </c>
      <c r="J41" s="93" t="s">
        <v>38</v>
      </c>
      <c r="K41" s="93" t="s">
        <v>161</v>
      </c>
      <c r="L41" s="93">
        <v>1</v>
      </c>
      <c r="N41" s="93">
        <v>1</v>
      </c>
      <c r="O41" s="93">
        <v>0.7</v>
      </c>
      <c r="P41" s="93">
        <v>0.75</v>
      </c>
      <c r="Q41" s="102">
        <f t="shared" si="0"/>
        <v>0.72499999999999998</v>
      </c>
      <c r="R41" s="93">
        <v>16.399999999999999</v>
      </c>
      <c r="S41" s="93">
        <v>108</v>
      </c>
      <c r="T41" s="103">
        <f t="shared" si="1"/>
        <v>33</v>
      </c>
      <c r="U41" s="93">
        <v>100</v>
      </c>
      <c r="V41" s="104">
        <f t="shared" si="2"/>
        <v>3300</v>
      </c>
      <c r="W41" s="93">
        <v>3</v>
      </c>
      <c r="X41" s="93" t="s">
        <v>46</v>
      </c>
      <c r="Y41" s="93" t="s">
        <v>84</v>
      </c>
      <c r="Z41" s="93" t="s">
        <v>50</v>
      </c>
      <c r="AA41" s="93" t="s">
        <v>69</v>
      </c>
      <c r="AB41" s="93" t="s">
        <v>158</v>
      </c>
    </row>
    <row r="42" spans="1:28" x14ac:dyDescent="0.15">
      <c r="A42" s="93" t="s">
        <v>51</v>
      </c>
      <c r="B42" s="93" t="s">
        <v>157</v>
      </c>
      <c r="C42" s="93">
        <v>2019</v>
      </c>
      <c r="D42" s="101" t="s">
        <v>262</v>
      </c>
      <c r="E42" s="93" t="s">
        <v>270</v>
      </c>
      <c r="F42" s="93" t="s">
        <v>264</v>
      </c>
      <c r="G42" s="93" t="s">
        <v>36</v>
      </c>
      <c r="H42" s="93" t="s">
        <v>164</v>
      </c>
      <c r="I42" s="93" t="s">
        <v>159</v>
      </c>
      <c r="J42" s="93" t="s">
        <v>38</v>
      </c>
      <c r="K42" s="93" t="s">
        <v>161</v>
      </c>
      <c r="L42" s="93">
        <v>2</v>
      </c>
      <c r="N42" s="93">
        <v>1</v>
      </c>
      <c r="O42" s="93">
        <v>0.65</v>
      </c>
      <c r="P42" s="93">
        <v>0.75</v>
      </c>
      <c r="Q42" s="102">
        <f t="shared" si="0"/>
        <v>0.7</v>
      </c>
      <c r="R42" s="93">
        <v>17.3</v>
      </c>
      <c r="S42" s="93">
        <v>116</v>
      </c>
      <c r="T42" s="103">
        <f t="shared" si="1"/>
        <v>30</v>
      </c>
      <c r="U42" s="93">
        <v>100</v>
      </c>
      <c r="V42" s="104">
        <f t="shared" si="2"/>
        <v>3000</v>
      </c>
      <c r="W42" s="93">
        <v>3</v>
      </c>
      <c r="X42" s="93" t="s">
        <v>46</v>
      </c>
      <c r="Y42" s="93" t="s">
        <v>84</v>
      </c>
      <c r="Z42" s="93" t="s">
        <v>50</v>
      </c>
      <c r="AA42" s="93" t="s">
        <v>69</v>
      </c>
      <c r="AB42" s="93" t="s">
        <v>158</v>
      </c>
    </row>
    <row r="43" spans="1:28" x14ac:dyDescent="0.15">
      <c r="A43" s="93" t="s">
        <v>51</v>
      </c>
      <c r="B43" s="93" t="s">
        <v>157</v>
      </c>
      <c r="C43" s="93">
        <v>2019</v>
      </c>
      <c r="D43" s="101" t="s">
        <v>262</v>
      </c>
      <c r="E43" s="93" t="s">
        <v>270</v>
      </c>
      <c r="F43" s="93" t="s">
        <v>264</v>
      </c>
      <c r="G43" s="93" t="s">
        <v>36</v>
      </c>
      <c r="H43" s="93" t="s">
        <v>164</v>
      </c>
      <c r="I43" s="93" t="s">
        <v>159</v>
      </c>
      <c r="J43" s="93" t="s">
        <v>38</v>
      </c>
      <c r="K43" s="93" t="s">
        <v>161</v>
      </c>
      <c r="L43" s="93">
        <v>3</v>
      </c>
      <c r="N43" s="93">
        <v>1</v>
      </c>
      <c r="O43" s="93">
        <v>0.7</v>
      </c>
      <c r="P43" s="93">
        <v>0.7</v>
      </c>
      <c r="Q43" s="102">
        <f t="shared" si="0"/>
        <v>0.7</v>
      </c>
      <c r="R43" s="93">
        <v>16.7</v>
      </c>
      <c r="S43" s="93">
        <v>110</v>
      </c>
      <c r="T43" s="103">
        <f t="shared" si="1"/>
        <v>33</v>
      </c>
      <c r="U43" s="93">
        <v>100</v>
      </c>
      <c r="V43" s="104">
        <f t="shared" si="2"/>
        <v>3300</v>
      </c>
      <c r="W43" s="93">
        <v>3</v>
      </c>
      <c r="X43" s="93" t="s">
        <v>46</v>
      </c>
      <c r="Y43" s="93" t="s">
        <v>84</v>
      </c>
      <c r="Z43" s="93" t="s">
        <v>50</v>
      </c>
      <c r="AA43" s="93" t="s">
        <v>69</v>
      </c>
      <c r="AB43" s="93" t="s">
        <v>158</v>
      </c>
    </row>
    <row r="44" spans="1:28" x14ac:dyDescent="0.15">
      <c r="A44" s="93" t="s">
        <v>51</v>
      </c>
      <c r="B44" s="93" t="s">
        <v>157</v>
      </c>
      <c r="C44" s="93">
        <v>2019</v>
      </c>
      <c r="D44" s="101" t="s">
        <v>262</v>
      </c>
      <c r="E44" s="93" t="s">
        <v>270</v>
      </c>
      <c r="F44" s="93" t="s">
        <v>264</v>
      </c>
      <c r="G44" s="93" t="s">
        <v>36</v>
      </c>
      <c r="H44" s="93" t="s">
        <v>160</v>
      </c>
      <c r="I44" s="93" t="s">
        <v>159</v>
      </c>
      <c r="J44" s="93" t="s">
        <v>38</v>
      </c>
      <c r="K44" s="93" t="s">
        <v>161</v>
      </c>
      <c r="L44" s="93">
        <v>1</v>
      </c>
      <c r="N44" s="93">
        <v>4</v>
      </c>
      <c r="O44" s="93">
        <v>0.75</v>
      </c>
      <c r="P44" s="93">
        <v>0.65</v>
      </c>
      <c r="Q44" s="102">
        <f t="shared" si="0"/>
        <v>0.7</v>
      </c>
      <c r="R44" s="93">
        <v>17.2</v>
      </c>
      <c r="S44" s="93">
        <v>106</v>
      </c>
      <c r="T44" s="103">
        <f t="shared" si="1"/>
        <v>33</v>
      </c>
      <c r="U44" s="93">
        <v>498</v>
      </c>
      <c r="V44" s="104">
        <f t="shared" si="2"/>
        <v>4108.5</v>
      </c>
      <c r="W44" s="93">
        <v>3</v>
      </c>
      <c r="X44" s="93" t="s">
        <v>46</v>
      </c>
      <c r="Y44" s="93" t="s">
        <v>84</v>
      </c>
      <c r="Z44" s="93" t="s">
        <v>50</v>
      </c>
      <c r="AA44" s="93" t="s">
        <v>69</v>
      </c>
      <c r="AB44" s="93" t="s">
        <v>158</v>
      </c>
    </row>
    <row r="45" spans="1:28" x14ac:dyDescent="0.15">
      <c r="A45" s="93" t="s">
        <v>51</v>
      </c>
      <c r="B45" s="93" t="s">
        <v>157</v>
      </c>
      <c r="C45" s="93">
        <v>2019</v>
      </c>
      <c r="D45" s="101" t="s">
        <v>262</v>
      </c>
      <c r="E45" s="93" t="s">
        <v>270</v>
      </c>
      <c r="F45" s="93" t="s">
        <v>264</v>
      </c>
      <c r="G45" s="93" t="s">
        <v>36</v>
      </c>
      <c r="H45" s="93" t="s">
        <v>160</v>
      </c>
      <c r="I45" s="93" t="s">
        <v>159</v>
      </c>
      <c r="J45" s="93" t="s">
        <v>38</v>
      </c>
      <c r="K45" s="93" t="s">
        <v>161</v>
      </c>
      <c r="L45" s="93">
        <v>2</v>
      </c>
      <c r="N45" s="93">
        <v>4</v>
      </c>
      <c r="O45" s="93">
        <v>0.6</v>
      </c>
      <c r="P45" s="93">
        <v>0.65</v>
      </c>
      <c r="Q45" s="102">
        <f t="shared" si="0"/>
        <v>0.625</v>
      </c>
      <c r="R45" s="93">
        <v>16.3</v>
      </c>
      <c r="S45" s="93">
        <v>97</v>
      </c>
      <c r="T45" s="103">
        <f t="shared" si="1"/>
        <v>36</v>
      </c>
      <c r="U45" s="93">
        <v>498</v>
      </c>
      <c r="V45" s="104">
        <f t="shared" si="2"/>
        <v>4482</v>
      </c>
      <c r="W45" s="93">
        <v>3</v>
      </c>
      <c r="X45" s="93" t="s">
        <v>46</v>
      </c>
      <c r="Y45" s="93" t="s">
        <v>84</v>
      </c>
      <c r="Z45" s="93" t="s">
        <v>50</v>
      </c>
      <c r="AA45" s="93" t="s">
        <v>69</v>
      </c>
      <c r="AB45" s="93" t="s">
        <v>158</v>
      </c>
    </row>
    <row r="46" spans="1:28" x14ac:dyDescent="0.15">
      <c r="A46" s="93" t="s">
        <v>51</v>
      </c>
      <c r="B46" s="93" t="s">
        <v>157</v>
      </c>
      <c r="C46" s="93">
        <v>2019</v>
      </c>
      <c r="D46" s="101" t="s">
        <v>262</v>
      </c>
      <c r="E46" s="93" t="s">
        <v>270</v>
      </c>
      <c r="F46" s="93" t="s">
        <v>264</v>
      </c>
      <c r="G46" s="93" t="s">
        <v>36</v>
      </c>
      <c r="H46" s="93" t="s">
        <v>160</v>
      </c>
      <c r="I46" s="93" t="s">
        <v>159</v>
      </c>
      <c r="J46" s="93" t="s">
        <v>38</v>
      </c>
      <c r="K46" s="93" t="s">
        <v>161</v>
      </c>
      <c r="L46" s="93">
        <v>3</v>
      </c>
      <c r="N46" s="93">
        <v>4</v>
      </c>
      <c r="O46" s="93">
        <v>0.7</v>
      </c>
      <c r="P46" s="93">
        <v>0.55000000000000004</v>
      </c>
      <c r="Q46" s="102">
        <f t="shared" si="0"/>
        <v>0.625</v>
      </c>
      <c r="R46" s="93">
        <v>16.600000000000001</v>
      </c>
      <c r="S46" s="93">
        <v>100</v>
      </c>
      <c r="T46" s="103">
        <f t="shared" si="1"/>
        <v>33</v>
      </c>
      <c r="U46" s="93">
        <v>498</v>
      </c>
      <c r="V46" s="104">
        <f t="shared" si="2"/>
        <v>4108.5</v>
      </c>
      <c r="W46" s="93">
        <v>3</v>
      </c>
      <c r="X46" s="93" t="s">
        <v>46</v>
      </c>
      <c r="Y46" s="93" t="s">
        <v>84</v>
      </c>
      <c r="Z46" s="93" t="s">
        <v>50</v>
      </c>
      <c r="AA46" s="93" t="s">
        <v>69</v>
      </c>
      <c r="AB46" s="93" t="s">
        <v>158</v>
      </c>
    </row>
    <row r="47" spans="1:28" x14ac:dyDescent="0.15">
      <c r="A47" s="93" t="s">
        <v>51</v>
      </c>
      <c r="B47" s="93" t="s">
        <v>157</v>
      </c>
      <c r="C47" s="93">
        <v>2019</v>
      </c>
      <c r="D47" s="101" t="s">
        <v>262</v>
      </c>
      <c r="E47" s="93" t="s">
        <v>274</v>
      </c>
      <c r="F47" s="93" t="s">
        <v>275</v>
      </c>
      <c r="G47" s="93" t="s">
        <v>36</v>
      </c>
      <c r="H47" s="93" t="s">
        <v>164</v>
      </c>
      <c r="I47" s="93" t="s">
        <v>159</v>
      </c>
      <c r="J47" s="93" t="s">
        <v>38</v>
      </c>
      <c r="K47" s="93" t="s">
        <v>161</v>
      </c>
      <c r="L47" s="93">
        <v>1</v>
      </c>
      <c r="N47" s="93">
        <v>1</v>
      </c>
      <c r="O47" s="93">
        <v>0.65</v>
      </c>
      <c r="P47" s="93">
        <v>0.75</v>
      </c>
      <c r="Q47" s="102">
        <f t="shared" si="0"/>
        <v>0.7</v>
      </c>
      <c r="R47" s="93">
        <v>16.7</v>
      </c>
      <c r="S47" s="93">
        <v>138</v>
      </c>
      <c r="T47" s="103">
        <f t="shared" si="1"/>
        <v>22</v>
      </c>
      <c r="U47" s="93">
        <v>128</v>
      </c>
      <c r="V47" s="104">
        <f t="shared" si="2"/>
        <v>2816</v>
      </c>
      <c r="W47" s="93">
        <v>5</v>
      </c>
      <c r="X47" s="93" t="s">
        <v>46</v>
      </c>
      <c r="Y47" s="93" t="s">
        <v>50</v>
      </c>
      <c r="Z47" s="93" t="s">
        <v>90</v>
      </c>
      <c r="AA47" s="93" t="s">
        <v>78</v>
      </c>
      <c r="AB47" s="93" t="s">
        <v>158</v>
      </c>
    </row>
    <row r="48" spans="1:28" x14ac:dyDescent="0.15">
      <c r="A48" s="93" t="s">
        <v>51</v>
      </c>
      <c r="B48" s="93" t="s">
        <v>157</v>
      </c>
      <c r="C48" s="93">
        <v>2019</v>
      </c>
      <c r="D48" s="101" t="s">
        <v>262</v>
      </c>
      <c r="E48" s="93" t="s">
        <v>274</v>
      </c>
      <c r="F48" s="93" t="s">
        <v>275</v>
      </c>
      <c r="G48" s="93" t="s">
        <v>36</v>
      </c>
      <c r="H48" s="93" t="s">
        <v>164</v>
      </c>
      <c r="I48" s="93" t="s">
        <v>159</v>
      </c>
      <c r="J48" s="93" t="s">
        <v>38</v>
      </c>
      <c r="K48" s="93" t="s">
        <v>161</v>
      </c>
      <c r="L48" s="93">
        <v>2</v>
      </c>
      <c r="N48" s="93">
        <v>1</v>
      </c>
      <c r="O48" s="93">
        <v>0.7</v>
      </c>
      <c r="P48" s="93">
        <v>0.7</v>
      </c>
      <c r="Q48" s="102">
        <f t="shared" si="0"/>
        <v>0.7</v>
      </c>
      <c r="R48" s="93">
        <v>16.3</v>
      </c>
      <c r="S48" s="93">
        <v>136</v>
      </c>
      <c r="T48" s="103">
        <f t="shared" si="1"/>
        <v>25</v>
      </c>
      <c r="U48" s="93">
        <v>128</v>
      </c>
      <c r="V48" s="104">
        <f t="shared" si="2"/>
        <v>3200</v>
      </c>
      <c r="W48" s="93">
        <v>5</v>
      </c>
      <c r="X48" s="93" t="s">
        <v>46</v>
      </c>
      <c r="Y48" s="93" t="s">
        <v>50</v>
      </c>
      <c r="Z48" s="93" t="s">
        <v>90</v>
      </c>
      <c r="AA48" s="93" t="s">
        <v>78</v>
      </c>
      <c r="AB48" s="93" t="s">
        <v>158</v>
      </c>
    </row>
    <row r="49" spans="1:28" x14ac:dyDescent="0.15">
      <c r="A49" s="93" t="s">
        <v>51</v>
      </c>
      <c r="B49" s="93" t="s">
        <v>157</v>
      </c>
      <c r="C49" s="93">
        <v>2019</v>
      </c>
      <c r="D49" s="101" t="s">
        <v>262</v>
      </c>
      <c r="E49" s="93" t="s">
        <v>274</v>
      </c>
      <c r="F49" s="93" t="s">
        <v>275</v>
      </c>
      <c r="G49" s="93" t="s">
        <v>36</v>
      </c>
      <c r="H49" s="93" t="s">
        <v>164</v>
      </c>
      <c r="I49" s="93" t="s">
        <v>159</v>
      </c>
      <c r="J49" s="93" t="s">
        <v>38</v>
      </c>
      <c r="K49" s="93" t="s">
        <v>161</v>
      </c>
      <c r="L49" s="93">
        <v>3</v>
      </c>
      <c r="N49" s="93">
        <v>1</v>
      </c>
      <c r="O49" s="93">
        <v>0.75</v>
      </c>
      <c r="P49" s="93">
        <v>0.6</v>
      </c>
      <c r="Q49" s="102">
        <f t="shared" si="0"/>
        <v>0.67500000000000004</v>
      </c>
      <c r="R49" s="93">
        <v>17.399999999999999</v>
      </c>
      <c r="S49" s="93">
        <v>138</v>
      </c>
      <c r="T49" s="103">
        <f t="shared" si="1"/>
        <v>22</v>
      </c>
      <c r="U49" s="93">
        <v>128</v>
      </c>
      <c r="V49" s="104">
        <f t="shared" si="2"/>
        <v>2816</v>
      </c>
      <c r="W49" s="93">
        <v>5</v>
      </c>
      <c r="X49" s="93" t="s">
        <v>46</v>
      </c>
      <c r="Y49" s="93" t="s">
        <v>50</v>
      </c>
      <c r="Z49" s="93" t="s">
        <v>90</v>
      </c>
      <c r="AA49" s="93" t="s">
        <v>78</v>
      </c>
      <c r="AB49" s="93" t="s">
        <v>158</v>
      </c>
    </row>
    <row r="50" spans="1:28" x14ac:dyDescent="0.15">
      <c r="A50" s="93" t="s">
        <v>51</v>
      </c>
      <c r="B50" s="93" t="s">
        <v>157</v>
      </c>
      <c r="C50" s="93">
        <v>2019</v>
      </c>
      <c r="D50" s="101" t="s">
        <v>262</v>
      </c>
      <c r="E50" s="93" t="s">
        <v>274</v>
      </c>
      <c r="F50" s="93" t="s">
        <v>275</v>
      </c>
      <c r="G50" s="93" t="s">
        <v>36</v>
      </c>
      <c r="H50" s="93" t="s">
        <v>160</v>
      </c>
      <c r="I50" s="93" t="s">
        <v>159</v>
      </c>
      <c r="J50" s="93" t="s">
        <v>38</v>
      </c>
      <c r="K50" s="93" t="s">
        <v>161</v>
      </c>
      <c r="L50" s="93">
        <v>1</v>
      </c>
      <c r="N50" s="93">
        <v>1</v>
      </c>
      <c r="O50" s="93">
        <v>0.7</v>
      </c>
      <c r="P50" s="93">
        <v>0.55000000000000004</v>
      </c>
      <c r="Q50" s="102">
        <f t="shared" si="0"/>
        <v>0.625</v>
      </c>
      <c r="R50" s="93">
        <v>16.5</v>
      </c>
      <c r="S50" s="93">
        <v>120</v>
      </c>
      <c r="T50" s="103">
        <f t="shared" si="1"/>
        <v>30</v>
      </c>
      <c r="U50" s="93">
        <v>98</v>
      </c>
      <c r="V50" s="104">
        <f t="shared" si="2"/>
        <v>2940</v>
      </c>
      <c r="W50" s="93">
        <v>5</v>
      </c>
      <c r="X50" s="93" t="s">
        <v>46</v>
      </c>
      <c r="Y50" s="93" t="s">
        <v>50</v>
      </c>
      <c r="Z50" s="93" t="s">
        <v>90</v>
      </c>
      <c r="AA50" s="93" t="s">
        <v>78</v>
      </c>
      <c r="AB50" s="93" t="s">
        <v>158</v>
      </c>
    </row>
    <row r="51" spans="1:28" x14ac:dyDescent="0.15">
      <c r="A51" s="93" t="s">
        <v>51</v>
      </c>
      <c r="B51" s="93" t="s">
        <v>157</v>
      </c>
      <c r="C51" s="93">
        <v>2019</v>
      </c>
      <c r="D51" s="101" t="s">
        <v>262</v>
      </c>
      <c r="E51" s="93" t="s">
        <v>274</v>
      </c>
      <c r="F51" s="93" t="s">
        <v>275</v>
      </c>
      <c r="G51" s="93" t="s">
        <v>36</v>
      </c>
      <c r="H51" s="93" t="s">
        <v>160</v>
      </c>
      <c r="I51" s="93" t="s">
        <v>159</v>
      </c>
      <c r="J51" s="93" t="s">
        <v>38</v>
      </c>
      <c r="K51" s="93" t="s">
        <v>161</v>
      </c>
      <c r="L51" s="93">
        <v>2</v>
      </c>
      <c r="N51" s="93">
        <v>1</v>
      </c>
      <c r="O51" s="93">
        <v>0.65</v>
      </c>
      <c r="P51" s="93">
        <v>0.65</v>
      </c>
      <c r="Q51" s="102">
        <f t="shared" si="0"/>
        <v>0.65</v>
      </c>
      <c r="R51" s="93">
        <v>16.2</v>
      </c>
      <c r="S51" s="93">
        <v>116</v>
      </c>
      <c r="T51" s="103">
        <f t="shared" si="1"/>
        <v>30</v>
      </c>
      <c r="U51" s="93">
        <v>98</v>
      </c>
      <c r="V51" s="104">
        <f t="shared" si="2"/>
        <v>2940</v>
      </c>
      <c r="W51" s="93">
        <v>5</v>
      </c>
      <c r="X51" s="93" t="s">
        <v>46</v>
      </c>
      <c r="Y51" s="93" t="s">
        <v>50</v>
      </c>
      <c r="Z51" s="93" t="s">
        <v>90</v>
      </c>
      <c r="AA51" s="93" t="s">
        <v>78</v>
      </c>
      <c r="AB51" s="93" t="s">
        <v>158</v>
      </c>
    </row>
    <row r="52" spans="1:28" x14ac:dyDescent="0.15">
      <c r="A52" s="93" t="s">
        <v>51</v>
      </c>
      <c r="B52" s="93" t="s">
        <v>157</v>
      </c>
      <c r="C52" s="93">
        <v>2019</v>
      </c>
      <c r="D52" s="101" t="s">
        <v>262</v>
      </c>
      <c r="E52" s="93" t="s">
        <v>274</v>
      </c>
      <c r="F52" s="93" t="s">
        <v>275</v>
      </c>
      <c r="G52" s="93" t="s">
        <v>36</v>
      </c>
      <c r="H52" s="93" t="s">
        <v>160</v>
      </c>
      <c r="I52" s="93" t="s">
        <v>159</v>
      </c>
      <c r="J52" s="93" t="s">
        <v>38</v>
      </c>
      <c r="K52" s="93" t="s">
        <v>161</v>
      </c>
      <c r="L52" s="93">
        <v>3</v>
      </c>
      <c r="N52" s="93">
        <v>1</v>
      </c>
      <c r="O52" s="93">
        <v>0.7</v>
      </c>
      <c r="P52" s="93">
        <v>0.7</v>
      </c>
      <c r="Q52" s="102">
        <f t="shared" si="0"/>
        <v>0.7</v>
      </c>
      <c r="R52" s="93">
        <v>17.100000000000001</v>
      </c>
      <c r="S52" s="93">
        <v>126</v>
      </c>
      <c r="T52" s="103">
        <f t="shared" si="1"/>
        <v>27</v>
      </c>
      <c r="U52" s="93">
        <v>98</v>
      </c>
      <c r="V52" s="104">
        <f t="shared" si="2"/>
        <v>2646</v>
      </c>
      <c r="W52" s="93">
        <v>5</v>
      </c>
      <c r="X52" s="93" t="s">
        <v>46</v>
      </c>
      <c r="Y52" s="93" t="s">
        <v>50</v>
      </c>
      <c r="Z52" s="93" t="s">
        <v>90</v>
      </c>
      <c r="AA52" s="93" t="s">
        <v>78</v>
      </c>
      <c r="AB52" s="93" t="s">
        <v>158</v>
      </c>
    </row>
    <row r="53" spans="1:28" x14ac:dyDescent="0.15">
      <c r="A53" s="93" t="s">
        <v>51</v>
      </c>
      <c r="B53" s="93" t="s">
        <v>157</v>
      </c>
      <c r="C53" s="93">
        <v>2019</v>
      </c>
      <c r="D53" s="101" t="s">
        <v>262</v>
      </c>
      <c r="E53" s="93" t="s">
        <v>276</v>
      </c>
      <c r="F53" s="93" t="s">
        <v>264</v>
      </c>
      <c r="G53" s="93" t="s">
        <v>42</v>
      </c>
      <c r="H53" s="93" t="s">
        <v>164</v>
      </c>
      <c r="I53" s="93" t="s">
        <v>159</v>
      </c>
      <c r="J53" s="93" t="s">
        <v>38</v>
      </c>
      <c r="K53" s="93" t="s">
        <v>161</v>
      </c>
      <c r="L53" s="93">
        <v>1</v>
      </c>
      <c r="N53" s="93">
        <v>1</v>
      </c>
      <c r="O53" s="93">
        <v>0.6</v>
      </c>
      <c r="P53" s="93">
        <v>0.6</v>
      </c>
      <c r="Q53" s="102">
        <f t="shared" si="0"/>
        <v>0.6</v>
      </c>
      <c r="R53" s="93">
        <v>17.3</v>
      </c>
      <c r="S53" s="93">
        <v>118</v>
      </c>
      <c r="T53" s="103">
        <f t="shared" si="1"/>
        <v>30</v>
      </c>
      <c r="U53" s="93">
        <v>78</v>
      </c>
      <c r="V53" s="104">
        <f t="shared" si="2"/>
        <v>2340</v>
      </c>
      <c r="W53" s="93">
        <v>6</v>
      </c>
      <c r="X53" s="93" t="s">
        <v>46</v>
      </c>
      <c r="Y53" s="93" t="s">
        <v>84</v>
      </c>
      <c r="Z53" s="93" t="s">
        <v>69</v>
      </c>
      <c r="AA53" s="93" t="s">
        <v>90</v>
      </c>
      <c r="AB53" s="93" t="s">
        <v>158</v>
      </c>
    </row>
    <row r="54" spans="1:28" x14ac:dyDescent="0.15">
      <c r="A54" s="93" t="s">
        <v>51</v>
      </c>
      <c r="B54" s="93" t="s">
        <v>157</v>
      </c>
      <c r="C54" s="93">
        <v>2019</v>
      </c>
      <c r="D54" s="101" t="s">
        <v>262</v>
      </c>
      <c r="E54" s="93" t="s">
        <v>276</v>
      </c>
      <c r="F54" s="93" t="s">
        <v>264</v>
      </c>
      <c r="G54" s="93" t="s">
        <v>42</v>
      </c>
      <c r="H54" s="93" t="s">
        <v>164</v>
      </c>
      <c r="I54" s="93" t="s">
        <v>159</v>
      </c>
      <c r="J54" s="93" t="s">
        <v>38</v>
      </c>
      <c r="K54" s="93" t="s">
        <v>161</v>
      </c>
      <c r="L54" s="93">
        <v>2</v>
      </c>
      <c r="N54" s="93">
        <v>1</v>
      </c>
      <c r="O54" s="93">
        <v>0.65</v>
      </c>
      <c r="P54" s="93">
        <v>0.6</v>
      </c>
      <c r="Q54" s="102">
        <f t="shared" si="0"/>
        <v>0.625</v>
      </c>
      <c r="R54" s="93">
        <v>16.8</v>
      </c>
      <c r="S54" s="93">
        <v>120</v>
      </c>
      <c r="T54" s="103">
        <f t="shared" si="1"/>
        <v>30</v>
      </c>
      <c r="U54" s="93">
        <v>78</v>
      </c>
      <c r="V54" s="104">
        <f t="shared" si="2"/>
        <v>2340</v>
      </c>
      <c r="W54" s="93">
        <v>6</v>
      </c>
      <c r="X54" s="93" t="s">
        <v>46</v>
      </c>
      <c r="Y54" s="93" t="s">
        <v>84</v>
      </c>
      <c r="Z54" s="93" t="s">
        <v>69</v>
      </c>
      <c r="AA54" s="93" t="s">
        <v>90</v>
      </c>
      <c r="AB54" s="93" t="s">
        <v>158</v>
      </c>
    </row>
    <row r="55" spans="1:28" x14ac:dyDescent="0.15">
      <c r="A55" s="93" t="s">
        <v>51</v>
      </c>
      <c r="B55" s="93" t="s">
        <v>157</v>
      </c>
      <c r="C55" s="93">
        <v>2019</v>
      </c>
      <c r="D55" s="101" t="s">
        <v>262</v>
      </c>
      <c r="E55" s="93" t="s">
        <v>276</v>
      </c>
      <c r="F55" s="93" t="s">
        <v>264</v>
      </c>
      <c r="G55" s="93" t="s">
        <v>42</v>
      </c>
      <c r="H55" s="93" t="s">
        <v>164</v>
      </c>
      <c r="I55" s="93" t="s">
        <v>159</v>
      </c>
      <c r="J55" s="93" t="s">
        <v>38</v>
      </c>
      <c r="K55" s="93" t="s">
        <v>161</v>
      </c>
      <c r="L55" s="93">
        <v>3</v>
      </c>
      <c r="N55" s="93">
        <v>1</v>
      </c>
      <c r="O55" s="93">
        <v>0.55000000000000004</v>
      </c>
      <c r="P55" s="93">
        <v>0.6</v>
      </c>
      <c r="Q55" s="102">
        <f t="shared" si="0"/>
        <v>0.57499999999999996</v>
      </c>
      <c r="R55" s="93">
        <v>17.600000000000001</v>
      </c>
      <c r="S55" s="93">
        <v>126</v>
      </c>
      <c r="T55" s="103">
        <f t="shared" si="1"/>
        <v>27</v>
      </c>
      <c r="U55" s="93">
        <v>78</v>
      </c>
      <c r="V55" s="104">
        <f t="shared" si="2"/>
        <v>2106</v>
      </c>
      <c r="W55" s="93">
        <v>6</v>
      </c>
      <c r="X55" s="93" t="s">
        <v>46</v>
      </c>
      <c r="Y55" s="93" t="s">
        <v>84</v>
      </c>
      <c r="Z55" s="93" t="s">
        <v>69</v>
      </c>
      <c r="AA55" s="93" t="s">
        <v>90</v>
      </c>
      <c r="AB55" s="93" t="s">
        <v>158</v>
      </c>
    </row>
    <row r="56" spans="1:28" x14ac:dyDescent="0.15">
      <c r="A56" s="93" t="s">
        <v>51</v>
      </c>
      <c r="B56" s="93" t="s">
        <v>157</v>
      </c>
      <c r="C56" s="93">
        <v>2019</v>
      </c>
      <c r="D56" s="101" t="s">
        <v>262</v>
      </c>
      <c r="E56" s="93" t="s">
        <v>276</v>
      </c>
      <c r="F56" s="93" t="s">
        <v>264</v>
      </c>
      <c r="G56" s="93" t="s">
        <v>42</v>
      </c>
      <c r="H56" s="93" t="s">
        <v>160</v>
      </c>
      <c r="I56" s="93" t="s">
        <v>159</v>
      </c>
      <c r="J56" s="93" t="s">
        <v>38</v>
      </c>
      <c r="K56" s="93" t="s">
        <v>161</v>
      </c>
      <c r="L56" s="93">
        <v>1</v>
      </c>
      <c r="N56" s="93">
        <v>1</v>
      </c>
      <c r="O56" s="93">
        <v>0.65</v>
      </c>
      <c r="P56" s="93">
        <v>0.55000000000000004</v>
      </c>
      <c r="Q56" s="102">
        <f t="shared" si="0"/>
        <v>0.60000000000000009</v>
      </c>
      <c r="R56" s="93">
        <v>15.8</v>
      </c>
      <c r="S56" s="93">
        <v>118</v>
      </c>
      <c r="T56" s="103">
        <f t="shared" si="1"/>
        <v>30</v>
      </c>
      <c r="U56" s="93">
        <v>158</v>
      </c>
      <c r="V56" s="104">
        <f t="shared" si="2"/>
        <v>4740</v>
      </c>
      <c r="W56" s="93">
        <v>6</v>
      </c>
      <c r="X56" s="93" t="s">
        <v>46</v>
      </c>
      <c r="Y56" s="93" t="s">
        <v>84</v>
      </c>
      <c r="Z56" s="93" t="s">
        <v>69</v>
      </c>
      <c r="AA56" s="93" t="s">
        <v>90</v>
      </c>
      <c r="AB56" s="93" t="s">
        <v>158</v>
      </c>
    </row>
    <row r="57" spans="1:28" x14ac:dyDescent="0.15">
      <c r="A57" s="93" t="s">
        <v>51</v>
      </c>
      <c r="B57" s="93" t="s">
        <v>157</v>
      </c>
      <c r="C57" s="93">
        <v>2019</v>
      </c>
      <c r="D57" s="101" t="s">
        <v>262</v>
      </c>
      <c r="E57" s="93" t="s">
        <v>276</v>
      </c>
      <c r="F57" s="93" t="s">
        <v>264</v>
      </c>
      <c r="G57" s="93" t="s">
        <v>42</v>
      </c>
      <c r="H57" s="93" t="s">
        <v>160</v>
      </c>
      <c r="I57" s="93" t="s">
        <v>159</v>
      </c>
      <c r="J57" s="93" t="s">
        <v>38</v>
      </c>
      <c r="K57" s="93" t="s">
        <v>161</v>
      </c>
      <c r="L57" s="93">
        <v>2</v>
      </c>
      <c r="N57" s="93">
        <v>1</v>
      </c>
      <c r="O57" s="93">
        <v>0.7</v>
      </c>
      <c r="P57" s="93">
        <v>0.65</v>
      </c>
      <c r="Q57" s="102">
        <f t="shared" si="0"/>
        <v>0.67500000000000004</v>
      </c>
      <c r="R57" s="93">
        <v>16.5</v>
      </c>
      <c r="S57" s="93">
        <v>128</v>
      </c>
      <c r="T57" s="103">
        <f t="shared" si="1"/>
        <v>27</v>
      </c>
      <c r="U57" s="93">
        <v>158</v>
      </c>
      <c r="V57" s="104">
        <f t="shared" si="2"/>
        <v>4266</v>
      </c>
      <c r="W57" s="93">
        <v>6</v>
      </c>
      <c r="X57" s="93" t="s">
        <v>46</v>
      </c>
      <c r="Y57" s="93" t="s">
        <v>84</v>
      </c>
      <c r="Z57" s="93" t="s">
        <v>69</v>
      </c>
      <c r="AA57" s="93" t="s">
        <v>90</v>
      </c>
      <c r="AB57" s="93" t="s">
        <v>158</v>
      </c>
    </row>
    <row r="58" spans="1:28" x14ac:dyDescent="0.15">
      <c r="A58" s="93" t="s">
        <v>51</v>
      </c>
      <c r="B58" s="93" t="s">
        <v>157</v>
      </c>
      <c r="C58" s="93">
        <v>2019</v>
      </c>
      <c r="D58" s="101" t="s">
        <v>262</v>
      </c>
      <c r="E58" s="93" t="s">
        <v>276</v>
      </c>
      <c r="F58" s="93" t="s">
        <v>264</v>
      </c>
      <c r="G58" s="93" t="s">
        <v>42</v>
      </c>
      <c r="H58" s="93" t="s">
        <v>160</v>
      </c>
      <c r="I58" s="93" t="s">
        <v>159</v>
      </c>
      <c r="J58" s="93" t="s">
        <v>38</v>
      </c>
      <c r="K58" s="93" t="s">
        <v>161</v>
      </c>
      <c r="L58" s="93">
        <v>3</v>
      </c>
      <c r="N58" s="93">
        <v>1</v>
      </c>
      <c r="O58" s="93">
        <v>0.6</v>
      </c>
      <c r="P58" s="93">
        <v>0.6</v>
      </c>
      <c r="Q58" s="102">
        <f t="shared" si="0"/>
        <v>0.6</v>
      </c>
      <c r="R58" s="93">
        <v>16.100000000000001</v>
      </c>
      <c r="S58" s="93">
        <v>120</v>
      </c>
      <c r="T58" s="103">
        <f t="shared" si="1"/>
        <v>30</v>
      </c>
      <c r="U58" s="93">
        <v>158</v>
      </c>
      <c r="V58" s="104">
        <f t="shared" si="2"/>
        <v>4740</v>
      </c>
      <c r="W58" s="93">
        <v>6</v>
      </c>
      <c r="X58" s="93" t="s">
        <v>46</v>
      </c>
      <c r="Y58" s="93" t="s">
        <v>84</v>
      </c>
      <c r="Z58" s="93" t="s">
        <v>69</v>
      </c>
      <c r="AA58" s="93" t="s">
        <v>90</v>
      </c>
      <c r="AB58" s="93" t="s">
        <v>158</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2458052D-7CB7-4CBC-81F1-110B52921D3C}">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0DC352F-492A-4193-ABB9-D366551C3613}">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05052048-F181-4F5E-B78B-CD129A288FD4}">
      <formula1>$AL$4:$AL$12</formula1>
    </dataValidation>
    <dataValidation type="list" allowBlank="1" showInputMessage="1" showErrorMessage="1" sqref="Y2:AA500" xr:uid="{4D1A8BDF-EE42-43D2-B3A6-D7D25EA4D50D}">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2EDA159E-597F-470E-9723-56781C98E4FC}">
      <formula1>$AT$2:$AT$3</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12CAC2F3-8970-4C4B-AFF2-0BE7DFD5A503}">
      <formula1>$AP$2:$AP$27</formula1>
    </dataValidation>
    <dataValidation type="list" allowBlank="1" showInputMessage="1" showErrorMessage="1" sqref="H2:H500" xr:uid="{E1BD2DF7-C8F0-423C-82F3-C3124D31859F}">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64215572-7907-406A-8434-D860A597D2BE}">
      <formula1>$AH$2:$AH$11</formula1>
    </dataValidation>
    <dataValidation type="list" allowBlank="1" showInputMessage="1" showErrorMessage="1" sqref="K2:K89" xr:uid="{C1050C7C-4384-4300-BDCB-226FB167AAAA}">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C8770D02-C19E-4816-A21A-DF86D15D6B1E}">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AEEE2CE8-BD50-4F76-95C7-80F01101B839}"/>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9C20E9E5-D80A-4C8E-BB17-C6693C01B6F8}">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9AC5ECBD-6C9D-443D-A43D-76F162C2C7B0}">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74AB955D-DCB6-4824-BA7E-A3E8AD6DB4C3}">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3349DC86-FD99-4123-A064-5BB0F5F1A128}">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5AA4-F4FA-4311-BD58-01CC38652334}">
  <sheetPr>
    <pageSetUpPr fitToPage="1"/>
  </sheetPr>
  <dimension ref="A1:BA123"/>
  <sheetViews>
    <sheetView zoomScale="85" zoomScaleNormal="85" workbookViewId="0">
      <selection activeCell="P24" sqref="P24"/>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8" t="s">
        <v>325</v>
      </c>
      <c r="B1" s="55" t="s">
        <v>1</v>
      </c>
      <c r="C1" s="55" t="s">
        <v>2</v>
      </c>
      <c r="D1" s="56" t="s">
        <v>3</v>
      </c>
      <c r="E1" s="56" t="s">
        <v>326</v>
      </c>
      <c r="F1" s="56" t="s">
        <v>5</v>
      </c>
      <c r="G1" s="56" t="s">
        <v>6</v>
      </c>
      <c r="H1" s="56" t="s">
        <v>327</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9" t="s">
        <v>25</v>
      </c>
      <c r="AB1" s="130" t="s">
        <v>26</v>
      </c>
      <c r="AC1" s="131"/>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32" customFormat="1" x14ac:dyDescent="0.15">
      <c r="A2" s="132" t="s">
        <v>61</v>
      </c>
      <c r="B2" s="132" t="s">
        <v>233</v>
      </c>
      <c r="C2" s="132">
        <v>2019</v>
      </c>
      <c r="D2" s="133" t="s">
        <v>328</v>
      </c>
      <c r="E2" s="132" t="s">
        <v>329</v>
      </c>
      <c r="F2" s="132" t="s">
        <v>330</v>
      </c>
      <c r="G2" s="132" t="s">
        <v>42</v>
      </c>
      <c r="H2" s="53" t="s">
        <v>164</v>
      </c>
      <c r="I2" s="53" t="s">
        <v>159</v>
      </c>
      <c r="J2" s="132" t="s">
        <v>38</v>
      </c>
      <c r="K2" s="53" t="s">
        <v>161</v>
      </c>
      <c r="L2" s="53">
        <v>1</v>
      </c>
      <c r="M2" s="53"/>
      <c r="N2" s="53">
        <v>4</v>
      </c>
      <c r="O2" s="53">
        <v>0.95</v>
      </c>
      <c r="P2" s="53">
        <v>1</v>
      </c>
      <c r="Q2" s="75">
        <f t="shared" ref="Q2:Q65" si="0">IF(OR(O2="",P2=""),"",AVERAGE(O2,P2))</f>
        <v>0.97499999999999998</v>
      </c>
      <c r="R2" s="53">
        <v>12.6</v>
      </c>
      <c r="S2" s="53">
        <v>91</v>
      </c>
      <c r="T2" s="16">
        <f t="shared" ref="T2:T65" si="1">IF(H2="","",IF(OR(H2="GREEN",H2="GK"),IF(S2&gt;=$AX$2,VLOOKUP(S2,$AX$2:$AY$15,2,1),""),IF(S2&gt;=$AZ$2,VLOOKUP(S2,$AZ$2:$BA$15,2,1),"")))</f>
        <v>36</v>
      </c>
      <c r="U2" s="53">
        <v>350</v>
      </c>
      <c r="V2" s="134">
        <f t="shared" ref="V2:V65" si="2">IF(OR(N2="",U2="",T2=""),"",U2/N2*T2)</f>
        <v>3150</v>
      </c>
      <c r="W2" s="53">
        <v>4</v>
      </c>
      <c r="X2" s="132" t="s">
        <v>39</v>
      </c>
      <c r="Y2" s="53" t="s">
        <v>90</v>
      </c>
      <c r="Z2" s="53" t="s">
        <v>102</v>
      </c>
      <c r="AA2" s="53" t="s">
        <v>84</v>
      </c>
      <c r="AB2" s="132" t="s">
        <v>237</v>
      </c>
      <c r="AC2" s="34"/>
      <c r="AE2" s="64" t="s">
        <v>35</v>
      </c>
      <c r="AG2" s="49" t="s">
        <v>329</v>
      </c>
      <c r="AH2" s="49" t="s">
        <v>330</v>
      </c>
      <c r="AJ2" s="135" t="s">
        <v>36</v>
      </c>
      <c r="AL2" s="67" t="s">
        <v>127</v>
      </c>
      <c r="AN2" s="135" t="s">
        <v>37</v>
      </c>
      <c r="AP2" s="67" t="s">
        <v>38</v>
      </c>
      <c r="AR2" s="67" t="s">
        <v>120</v>
      </c>
      <c r="AT2" s="135" t="s">
        <v>39</v>
      </c>
      <c r="AV2" s="67" t="s">
        <v>40</v>
      </c>
      <c r="AX2" s="136">
        <v>1</v>
      </c>
      <c r="AY2" s="137">
        <v>50</v>
      </c>
      <c r="AZ2" s="137">
        <v>1</v>
      </c>
      <c r="BA2" s="138">
        <v>50</v>
      </c>
    </row>
    <row r="3" spans="1:53" x14ac:dyDescent="0.15">
      <c r="A3" s="132" t="s">
        <v>61</v>
      </c>
      <c r="B3" s="132" t="s">
        <v>233</v>
      </c>
      <c r="C3" s="132">
        <v>2019</v>
      </c>
      <c r="D3" s="133" t="s">
        <v>328</v>
      </c>
      <c r="E3" s="132" t="s">
        <v>329</v>
      </c>
      <c r="F3" s="132" t="s">
        <v>330</v>
      </c>
      <c r="G3" s="132" t="s">
        <v>42</v>
      </c>
      <c r="H3" s="53" t="s">
        <v>164</v>
      </c>
      <c r="I3" s="53" t="s">
        <v>159</v>
      </c>
      <c r="J3" s="132" t="s">
        <v>38</v>
      </c>
      <c r="K3" s="53" t="s">
        <v>161</v>
      </c>
      <c r="L3" s="53">
        <v>2</v>
      </c>
      <c r="N3" s="53">
        <v>4</v>
      </c>
      <c r="O3" s="53">
        <v>0.9</v>
      </c>
      <c r="P3" s="53">
        <v>1</v>
      </c>
      <c r="Q3" s="75">
        <f t="shared" si="0"/>
        <v>0.95</v>
      </c>
      <c r="R3" s="53">
        <v>15.9</v>
      </c>
      <c r="S3" s="53">
        <v>96</v>
      </c>
      <c r="T3" s="16">
        <f t="shared" si="1"/>
        <v>36</v>
      </c>
      <c r="U3" s="53">
        <v>350</v>
      </c>
      <c r="V3" s="134">
        <f t="shared" si="2"/>
        <v>3150</v>
      </c>
      <c r="W3" s="53">
        <v>4</v>
      </c>
      <c r="X3" s="132" t="s">
        <v>39</v>
      </c>
      <c r="Y3" s="53" t="s">
        <v>90</v>
      </c>
      <c r="Z3" s="53" t="s">
        <v>102</v>
      </c>
      <c r="AA3" s="53" t="s">
        <v>84</v>
      </c>
      <c r="AB3" s="132" t="s">
        <v>237</v>
      </c>
      <c r="AC3" s="34"/>
      <c r="AE3" s="22" t="s">
        <v>41</v>
      </c>
      <c r="AG3" s="49" t="s">
        <v>331</v>
      </c>
      <c r="AH3" s="49" t="s">
        <v>332</v>
      </c>
      <c r="AJ3" s="23" t="s">
        <v>42</v>
      </c>
      <c r="AL3" s="23" t="s">
        <v>128</v>
      </c>
      <c r="AN3" s="23" t="s">
        <v>43</v>
      </c>
      <c r="AP3" s="23" t="s">
        <v>44</v>
      </c>
      <c r="AR3" s="23" t="s">
        <v>45</v>
      </c>
      <c r="AT3" s="23" t="s">
        <v>46</v>
      </c>
      <c r="AV3" s="23" t="s">
        <v>47</v>
      </c>
      <c r="AX3" s="24">
        <v>72</v>
      </c>
      <c r="AY3" s="25">
        <v>46</v>
      </c>
      <c r="AZ3" s="25">
        <v>71</v>
      </c>
      <c r="BA3" s="26">
        <v>42</v>
      </c>
    </row>
    <row r="4" spans="1:53" x14ac:dyDescent="0.15">
      <c r="A4" s="132" t="s">
        <v>61</v>
      </c>
      <c r="B4" s="132" t="s">
        <v>233</v>
      </c>
      <c r="C4" s="132">
        <v>2019</v>
      </c>
      <c r="D4" s="133" t="s">
        <v>328</v>
      </c>
      <c r="E4" s="132" t="s">
        <v>329</v>
      </c>
      <c r="F4" s="132" t="s">
        <v>330</v>
      </c>
      <c r="G4" s="132" t="s">
        <v>42</v>
      </c>
      <c r="H4" s="53" t="s">
        <v>164</v>
      </c>
      <c r="I4" s="53" t="s">
        <v>159</v>
      </c>
      <c r="J4" s="132" t="s">
        <v>38</v>
      </c>
      <c r="K4" s="53" t="s">
        <v>161</v>
      </c>
      <c r="L4" s="53">
        <v>3</v>
      </c>
      <c r="N4" s="53">
        <v>4</v>
      </c>
      <c r="O4" s="53">
        <v>0.75</v>
      </c>
      <c r="P4" s="53">
        <v>0.75</v>
      </c>
      <c r="Q4" s="75">
        <f t="shared" si="0"/>
        <v>0.75</v>
      </c>
      <c r="R4" s="53">
        <v>14.4</v>
      </c>
      <c r="S4" s="53">
        <v>84</v>
      </c>
      <c r="T4" s="16">
        <f t="shared" si="1"/>
        <v>36</v>
      </c>
      <c r="U4" s="53">
        <v>350</v>
      </c>
      <c r="V4" s="134">
        <f t="shared" si="2"/>
        <v>3150</v>
      </c>
      <c r="W4" s="53">
        <v>4</v>
      </c>
      <c r="X4" s="132" t="s">
        <v>39</v>
      </c>
      <c r="Y4" s="53" t="s">
        <v>90</v>
      </c>
      <c r="Z4" s="53" t="s">
        <v>102</v>
      </c>
      <c r="AA4" s="53" t="s">
        <v>84</v>
      </c>
      <c r="AB4" s="132" t="s">
        <v>237</v>
      </c>
      <c r="AC4" s="34"/>
      <c r="AE4" s="22" t="s">
        <v>34</v>
      </c>
      <c r="AG4" s="49" t="s">
        <v>333</v>
      </c>
      <c r="AH4" s="49" t="s">
        <v>334</v>
      </c>
      <c r="AJ4" s="27" t="s">
        <v>48</v>
      </c>
      <c r="AL4" s="27" t="s">
        <v>129</v>
      </c>
      <c r="AN4" s="28" t="s">
        <v>49</v>
      </c>
      <c r="AP4" s="23" t="s">
        <v>93</v>
      </c>
      <c r="AR4" s="23" t="s">
        <v>121</v>
      </c>
      <c r="AT4" s="28"/>
      <c r="AV4" s="23" t="s">
        <v>50</v>
      </c>
      <c r="AX4" s="24">
        <v>75</v>
      </c>
      <c r="AY4" s="25">
        <v>42</v>
      </c>
      <c r="AZ4" s="25">
        <v>76</v>
      </c>
      <c r="BA4" s="26">
        <v>39</v>
      </c>
    </row>
    <row r="5" spans="1:53" x14ac:dyDescent="0.15">
      <c r="A5" s="132" t="s">
        <v>61</v>
      </c>
      <c r="B5" s="132" t="s">
        <v>233</v>
      </c>
      <c r="C5" s="132">
        <v>2019</v>
      </c>
      <c r="D5" s="133" t="s">
        <v>328</v>
      </c>
      <c r="E5" s="132" t="s">
        <v>329</v>
      </c>
      <c r="F5" s="132" t="s">
        <v>330</v>
      </c>
      <c r="G5" s="132" t="s">
        <v>42</v>
      </c>
      <c r="H5" s="53" t="s">
        <v>160</v>
      </c>
      <c r="I5" s="53" t="s">
        <v>159</v>
      </c>
      <c r="J5" s="132" t="s">
        <v>38</v>
      </c>
      <c r="K5" s="53" t="s">
        <v>161</v>
      </c>
      <c r="L5" s="53">
        <v>1</v>
      </c>
      <c r="N5" s="53">
        <v>1</v>
      </c>
      <c r="O5" s="53">
        <v>0.65</v>
      </c>
      <c r="P5" s="53">
        <v>0.65</v>
      </c>
      <c r="Q5" s="75">
        <f t="shared" si="0"/>
        <v>0.65</v>
      </c>
      <c r="R5" s="53">
        <v>16</v>
      </c>
      <c r="S5" s="53">
        <v>129</v>
      </c>
      <c r="T5" s="16">
        <f t="shared" si="1"/>
        <v>25</v>
      </c>
      <c r="U5" s="53">
        <v>138</v>
      </c>
      <c r="V5" s="134">
        <f t="shared" si="2"/>
        <v>3450</v>
      </c>
      <c r="W5" s="53">
        <v>4</v>
      </c>
      <c r="X5" s="132" t="s">
        <v>39</v>
      </c>
      <c r="Y5" s="53" t="s">
        <v>90</v>
      </c>
      <c r="Z5" s="53" t="s">
        <v>102</v>
      </c>
      <c r="AA5" s="53" t="s">
        <v>84</v>
      </c>
      <c r="AB5" s="132" t="s">
        <v>237</v>
      </c>
      <c r="AC5" s="34"/>
      <c r="AE5" s="22" t="s">
        <v>51</v>
      </c>
      <c r="AG5" s="49" t="s">
        <v>335</v>
      </c>
      <c r="AH5" s="49" t="s">
        <v>336</v>
      </c>
      <c r="AJ5" s="27"/>
      <c r="AL5" s="73" t="s">
        <v>66</v>
      </c>
      <c r="AN5" s="73" t="s">
        <v>52</v>
      </c>
      <c r="AP5" s="23" t="s">
        <v>119</v>
      </c>
      <c r="AR5" s="23" t="s">
        <v>54</v>
      </c>
      <c r="AV5" s="23" t="s">
        <v>55</v>
      </c>
      <c r="AX5" s="24">
        <v>84</v>
      </c>
      <c r="AY5" s="25">
        <v>39</v>
      </c>
      <c r="AZ5" s="25">
        <v>84</v>
      </c>
      <c r="BA5" s="26">
        <v>36</v>
      </c>
    </row>
    <row r="6" spans="1:53" x14ac:dyDescent="0.15">
      <c r="A6" s="132" t="s">
        <v>61</v>
      </c>
      <c r="B6" s="132" t="s">
        <v>233</v>
      </c>
      <c r="C6" s="132">
        <v>2019</v>
      </c>
      <c r="D6" s="133" t="s">
        <v>328</v>
      </c>
      <c r="E6" s="132" t="s">
        <v>329</v>
      </c>
      <c r="F6" s="132" t="s">
        <v>330</v>
      </c>
      <c r="G6" s="132" t="s">
        <v>42</v>
      </c>
      <c r="H6" s="53" t="s">
        <v>160</v>
      </c>
      <c r="I6" s="53" t="s">
        <v>159</v>
      </c>
      <c r="J6" s="132" t="s">
        <v>38</v>
      </c>
      <c r="K6" s="53" t="s">
        <v>161</v>
      </c>
      <c r="L6" s="53">
        <v>2</v>
      </c>
      <c r="N6" s="53">
        <v>1</v>
      </c>
      <c r="O6" s="53">
        <v>0.65</v>
      </c>
      <c r="P6" s="53">
        <v>0.6</v>
      </c>
      <c r="Q6" s="75">
        <f t="shared" si="0"/>
        <v>0.625</v>
      </c>
      <c r="R6" s="53">
        <v>17.399999999999999</v>
      </c>
      <c r="S6" s="53">
        <v>139</v>
      </c>
      <c r="T6" s="16">
        <f t="shared" si="1"/>
        <v>22</v>
      </c>
      <c r="U6" s="53">
        <v>138</v>
      </c>
      <c r="V6" s="134">
        <f t="shared" si="2"/>
        <v>3036</v>
      </c>
      <c r="W6" s="53">
        <v>4</v>
      </c>
      <c r="X6" s="132" t="s">
        <v>39</v>
      </c>
      <c r="Y6" s="53" t="s">
        <v>90</v>
      </c>
      <c r="Z6" s="53" t="s">
        <v>102</v>
      </c>
      <c r="AA6" s="53" t="s">
        <v>84</v>
      </c>
      <c r="AB6" s="132" t="s">
        <v>237</v>
      </c>
      <c r="AC6" s="34"/>
      <c r="AE6" s="22" t="s">
        <v>56</v>
      </c>
      <c r="AG6" s="49" t="s">
        <v>337</v>
      </c>
      <c r="AH6" s="49" t="s">
        <v>338</v>
      </c>
      <c r="AJ6" s="27"/>
      <c r="AL6" s="73" t="s">
        <v>99</v>
      </c>
      <c r="AN6" s="73" t="s">
        <v>57</v>
      </c>
      <c r="AP6" s="23" t="s">
        <v>53</v>
      </c>
      <c r="AR6" s="23" t="s">
        <v>59</v>
      </c>
      <c r="AV6" s="23" t="s">
        <v>60</v>
      </c>
      <c r="AX6" s="24">
        <v>97</v>
      </c>
      <c r="AY6" s="25">
        <v>36</v>
      </c>
      <c r="AZ6" s="25">
        <v>99</v>
      </c>
      <c r="BA6" s="26">
        <v>33</v>
      </c>
    </row>
    <row r="7" spans="1:53" x14ac:dyDescent="0.15">
      <c r="A7" s="132" t="s">
        <v>61</v>
      </c>
      <c r="B7" s="132" t="s">
        <v>233</v>
      </c>
      <c r="C7" s="132">
        <v>2019</v>
      </c>
      <c r="D7" s="133" t="s">
        <v>328</v>
      </c>
      <c r="E7" s="132" t="s">
        <v>329</v>
      </c>
      <c r="F7" s="132" t="s">
        <v>330</v>
      </c>
      <c r="G7" s="132" t="s">
        <v>42</v>
      </c>
      <c r="H7" s="53" t="s">
        <v>160</v>
      </c>
      <c r="I7" s="53" t="s">
        <v>159</v>
      </c>
      <c r="J7" s="132" t="s">
        <v>38</v>
      </c>
      <c r="K7" s="53" t="s">
        <v>161</v>
      </c>
      <c r="L7" s="53">
        <v>3</v>
      </c>
      <c r="N7" s="53">
        <v>1</v>
      </c>
      <c r="O7" s="53">
        <v>0.5</v>
      </c>
      <c r="P7" s="53">
        <v>0.5</v>
      </c>
      <c r="Q7" s="75">
        <f t="shared" si="0"/>
        <v>0.5</v>
      </c>
      <c r="R7" s="53">
        <v>15.9</v>
      </c>
      <c r="S7" s="53">
        <v>122</v>
      </c>
      <c r="T7" s="16">
        <f t="shared" si="1"/>
        <v>27</v>
      </c>
      <c r="U7" s="53">
        <v>138</v>
      </c>
      <c r="V7" s="134">
        <f t="shared" si="2"/>
        <v>3726</v>
      </c>
      <c r="W7" s="53">
        <v>4</v>
      </c>
      <c r="X7" s="132" t="s">
        <v>39</v>
      </c>
      <c r="Y7" s="53" t="s">
        <v>90</v>
      </c>
      <c r="Z7" s="53" t="s">
        <v>102</v>
      </c>
      <c r="AA7" s="53" t="s">
        <v>84</v>
      </c>
      <c r="AB7" s="132" t="s">
        <v>237</v>
      </c>
      <c r="AC7" s="34"/>
      <c r="AE7" s="22" t="s">
        <v>61</v>
      </c>
      <c r="AG7" s="49" t="s">
        <v>339</v>
      </c>
      <c r="AH7" s="49" t="s">
        <v>340</v>
      </c>
      <c r="AJ7" s="27"/>
      <c r="AL7" s="34" t="s">
        <v>109</v>
      </c>
      <c r="AN7" s="73"/>
      <c r="AP7" s="23" t="s">
        <v>58</v>
      </c>
      <c r="AR7" s="23" t="s">
        <v>122</v>
      </c>
      <c r="AV7" s="23" t="s">
        <v>64</v>
      </c>
      <c r="AX7" s="24">
        <v>109</v>
      </c>
      <c r="AY7" s="25">
        <v>33</v>
      </c>
      <c r="AZ7" s="25">
        <v>113</v>
      </c>
      <c r="BA7" s="26">
        <v>30</v>
      </c>
    </row>
    <row r="8" spans="1:53" x14ac:dyDescent="0.15">
      <c r="A8" s="132" t="s">
        <v>61</v>
      </c>
      <c r="B8" s="132" t="s">
        <v>233</v>
      </c>
      <c r="C8" s="132">
        <v>2019</v>
      </c>
      <c r="D8" s="133" t="s">
        <v>328</v>
      </c>
      <c r="E8" s="132" t="s">
        <v>331</v>
      </c>
      <c r="F8" s="132" t="s">
        <v>332</v>
      </c>
      <c r="G8" s="132" t="s">
        <v>42</v>
      </c>
      <c r="H8" s="53" t="s">
        <v>164</v>
      </c>
      <c r="I8" s="53" t="s">
        <v>159</v>
      </c>
      <c r="J8" s="132" t="s">
        <v>38</v>
      </c>
      <c r="K8" s="53" t="s">
        <v>161</v>
      </c>
      <c r="L8" s="53">
        <v>1</v>
      </c>
      <c r="N8" s="53">
        <v>1</v>
      </c>
      <c r="O8" s="53">
        <v>0.5</v>
      </c>
      <c r="P8" s="53">
        <v>0.5</v>
      </c>
      <c r="Q8" s="75">
        <f t="shared" si="0"/>
        <v>0.5</v>
      </c>
      <c r="R8" s="53">
        <v>15.9</v>
      </c>
      <c r="S8" s="53">
        <v>118</v>
      </c>
      <c r="T8" s="16">
        <f t="shared" si="1"/>
        <v>30</v>
      </c>
      <c r="U8" s="53">
        <v>128</v>
      </c>
      <c r="V8" s="134">
        <f t="shared" si="2"/>
        <v>3840</v>
      </c>
      <c r="W8" s="53">
        <v>5</v>
      </c>
      <c r="X8" s="132" t="s">
        <v>46</v>
      </c>
      <c r="Y8" s="53" t="s">
        <v>90</v>
      </c>
      <c r="Z8" s="53" t="s">
        <v>84</v>
      </c>
      <c r="AA8" s="53" t="s">
        <v>69</v>
      </c>
      <c r="AB8" s="132" t="s">
        <v>237</v>
      </c>
      <c r="AC8" s="34"/>
      <c r="AE8" s="22" t="s">
        <v>59</v>
      </c>
      <c r="AG8" s="49" t="s">
        <v>341</v>
      </c>
      <c r="AH8" s="49" t="s">
        <v>342</v>
      </c>
      <c r="AJ8" s="28"/>
      <c r="AL8" s="34" t="s">
        <v>134</v>
      </c>
      <c r="AN8" s="73"/>
      <c r="AP8" s="23" t="s">
        <v>62</v>
      </c>
      <c r="AR8" s="23" t="s">
        <v>81</v>
      </c>
      <c r="AV8" s="23" t="s">
        <v>97</v>
      </c>
      <c r="AX8" s="24">
        <v>119</v>
      </c>
      <c r="AY8" s="25">
        <v>30</v>
      </c>
      <c r="AZ8" s="25">
        <v>121</v>
      </c>
      <c r="BA8" s="26">
        <v>27</v>
      </c>
    </row>
    <row r="9" spans="1:53" x14ac:dyDescent="0.15">
      <c r="A9" s="132" t="s">
        <v>61</v>
      </c>
      <c r="B9" s="132" t="s">
        <v>233</v>
      </c>
      <c r="C9" s="132">
        <v>2019</v>
      </c>
      <c r="D9" s="133" t="s">
        <v>328</v>
      </c>
      <c r="E9" s="132" t="s">
        <v>331</v>
      </c>
      <c r="F9" s="132" t="s">
        <v>332</v>
      </c>
      <c r="G9" s="132" t="s">
        <v>42</v>
      </c>
      <c r="H9" s="53" t="s">
        <v>164</v>
      </c>
      <c r="I9" s="53" t="s">
        <v>159</v>
      </c>
      <c r="J9" s="132" t="s">
        <v>38</v>
      </c>
      <c r="K9" s="53" t="s">
        <v>161</v>
      </c>
      <c r="L9" s="53">
        <v>2</v>
      </c>
      <c r="N9" s="53">
        <v>1</v>
      </c>
      <c r="O9" s="53">
        <v>1</v>
      </c>
      <c r="P9" s="53">
        <v>0.75</v>
      </c>
      <c r="Q9" s="75">
        <f t="shared" si="0"/>
        <v>0.875</v>
      </c>
      <c r="R9" s="34">
        <v>15.8</v>
      </c>
      <c r="S9" s="53">
        <v>123</v>
      </c>
      <c r="T9" s="16">
        <f t="shared" si="1"/>
        <v>27</v>
      </c>
      <c r="U9" s="53">
        <v>128</v>
      </c>
      <c r="V9" s="134">
        <f t="shared" si="2"/>
        <v>3456</v>
      </c>
      <c r="W9" s="53">
        <v>5</v>
      </c>
      <c r="X9" s="132" t="s">
        <v>46</v>
      </c>
      <c r="Y9" s="53" t="s">
        <v>90</v>
      </c>
      <c r="Z9" s="53" t="s">
        <v>84</v>
      </c>
      <c r="AA9" s="53" t="s">
        <v>69</v>
      </c>
      <c r="AB9" s="132" t="s">
        <v>237</v>
      </c>
      <c r="AC9" s="34"/>
      <c r="AE9" s="22" t="s">
        <v>98</v>
      </c>
      <c r="AG9" s="49" t="s">
        <v>133</v>
      </c>
      <c r="AH9" s="49" t="s">
        <v>343</v>
      </c>
      <c r="AL9" s="73"/>
      <c r="AN9" s="73"/>
      <c r="AP9" s="23" t="s">
        <v>95</v>
      </c>
      <c r="AR9" s="23" t="s">
        <v>89</v>
      </c>
      <c r="AV9" s="23" t="s">
        <v>102</v>
      </c>
      <c r="AX9" s="24">
        <v>128</v>
      </c>
      <c r="AY9" s="25">
        <v>27</v>
      </c>
      <c r="AZ9" s="25">
        <v>129</v>
      </c>
      <c r="BA9" s="26">
        <v>25</v>
      </c>
    </row>
    <row r="10" spans="1:53" x14ac:dyDescent="0.15">
      <c r="A10" s="132" t="s">
        <v>61</v>
      </c>
      <c r="B10" s="132" t="s">
        <v>233</v>
      </c>
      <c r="C10" s="132">
        <v>2019</v>
      </c>
      <c r="D10" s="133" t="s">
        <v>328</v>
      </c>
      <c r="E10" s="132" t="s">
        <v>331</v>
      </c>
      <c r="F10" s="132" t="s">
        <v>332</v>
      </c>
      <c r="G10" s="132" t="s">
        <v>42</v>
      </c>
      <c r="H10" s="53" t="s">
        <v>164</v>
      </c>
      <c r="I10" s="53" t="s">
        <v>159</v>
      </c>
      <c r="J10" s="132" t="s">
        <v>38</v>
      </c>
      <c r="K10" s="53" t="s">
        <v>161</v>
      </c>
      <c r="L10" s="53">
        <v>3</v>
      </c>
      <c r="N10" s="53">
        <v>1</v>
      </c>
      <c r="O10" s="53">
        <v>0.6</v>
      </c>
      <c r="P10" s="53">
        <v>0.65</v>
      </c>
      <c r="Q10" s="75">
        <f t="shared" si="0"/>
        <v>0.625</v>
      </c>
      <c r="R10" s="53">
        <v>15.9</v>
      </c>
      <c r="S10" s="53">
        <v>119</v>
      </c>
      <c r="T10" s="16">
        <f t="shared" si="1"/>
        <v>30</v>
      </c>
      <c r="U10" s="53">
        <v>128</v>
      </c>
      <c r="V10" s="134">
        <f t="shared" si="2"/>
        <v>3840</v>
      </c>
      <c r="W10" s="53">
        <v>5</v>
      </c>
      <c r="X10" s="132" t="s">
        <v>46</v>
      </c>
      <c r="Y10" s="53" t="s">
        <v>90</v>
      </c>
      <c r="Z10" s="53" t="s">
        <v>84</v>
      </c>
      <c r="AA10" s="53" t="s">
        <v>69</v>
      </c>
      <c r="AB10" s="132" t="s">
        <v>237</v>
      </c>
      <c r="AC10" s="34"/>
      <c r="AE10" s="22" t="s">
        <v>103</v>
      </c>
      <c r="AG10" s="49" t="s">
        <v>344</v>
      </c>
      <c r="AH10" s="49" t="s">
        <v>345</v>
      </c>
      <c r="AL10" s="27"/>
      <c r="AP10" s="23" t="s">
        <v>100</v>
      </c>
      <c r="AR10" s="23" t="s">
        <v>123</v>
      </c>
      <c r="AV10" s="23" t="s">
        <v>106</v>
      </c>
      <c r="AX10" s="24">
        <v>138</v>
      </c>
      <c r="AY10" s="25">
        <v>25</v>
      </c>
      <c r="AZ10" s="25">
        <v>138</v>
      </c>
      <c r="BA10" s="26">
        <v>22</v>
      </c>
    </row>
    <row r="11" spans="1:53" x14ac:dyDescent="0.15">
      <c r="A11" s="132" t="s">
        <v>61</v>
      </c>
      <c r="B11" s="132" t="s">
        <v>233</v>
      </c>
      <c r="C11" s="132">
        <v>2019</v>
      </c>
      <c r="D11" s="133" t="s">
        <v>328</v>
      </c>
      <c r="E11" s="132" t="s">
        <v>331</v>
      </c>
      <c r="F11" s="132" t="s">
        <v>332</v>
      </c>
      <c r="G11" s="132" t="s">
        <v>42</v>
      </c>
      <c r="H11" s="53" t="s">
        <v>160</v>
      </c>
      <c r="I11" s="53" t="s">
        <v>159</v>
      </c>
      <c r="J11" s="132" t="s">
        <v>38</v>
      </c>
      <c r="K11" s="53" t="s">
        <v>161</v>
      </c>
      <c r="L11" s="53">
        <v>1</v>
      </c>
      <c r="N11" s="53">
        <v>1</v>
      </c>
      <c r="O11" s="53">
        <v>0.5</v>
      </c>
      <c r="P11" s="53">
        <v>0.65</v>
      </c>
      <c r="Q11" s="75">
        <f t="shared" si="0"/>
        <v>0.57499999999999996</v>
      </c>
      <c r="R11" s="53">
        <v>19.2</v>
      </c>
      <c r="S11" s="53">
        <v>139</v>
      </c>
      <c r="T11" s="16">
        <f t="shared" si="1"/>
        <v>22</v>
      </c>
      <c r="U11" s="53">
        <v>128</v>
      </c>
      <c r="V11" s="134">
        <f t="shared" si="2"/>
        <v>2816</v>
      </c>
      <c r="W11" s="53">
        <v>5</v>
      </c>
      <c r="X11" s="132" t="s">
        <v>46</v>
      </c>
      <c r="Y11" s="53" t="s">
        <v>90</v>
      </c>
      <c r="Z11" s="53" t="s">
        <v>84</v>
      </c>
      <c r="AA11" s="53" t="s">
        <v>69</v>
      </c>
      <c r="AB11" s="132" t="s">
        <v>237</v>
      </c>
      <c r="AC11" s="34"/>
      <c r="AE11" s="22" t="s">
        <v>65</v>
      </c>
      <c r="AG11" s="49" t="s">
        <v>346</v>
      </c>
      <c r="AH11" s="49" t="s">
        <v>345</v>
      </c>
      <c r="AL11" s="139"/>
      <c r="AP11" s="23" t="s">
        <v>104</v>
      </c>
      <c r="AR11" s="23" t="s">
        <v>87</v>
      </c>
      <c r="AV11" s="140" t="s">
        <v>347</v>
      </c>
      <c r="AX11" s="24">
        <v>151</v>
      </c>
      <c r="AY11" s="25">
        <v>22</v>
      </c>
      <c r="AZ11" s="25">
        <v>152</v>
      </c>
      <c r="BA11" s="26">
        <v>18</v>
      </c>
    </row>
    <row r="12" spans="1:53" x14ac:dyDescent="0.15">
      <c r="A12" s="132" t="s">
        <v>61</v>
      </c>
      <c r="B12" s="132" t="s">
        <v>233</v>
      </c>
      <c r="C12" s="132">
        <v>2019</v>
      </c>
      <c r="D12" s="133" t="s">
        <v>328</v>
      </c>
      <c r="E12" s="132" t="s">
        <v>331</v>
      </c>
      <c r="F12" s="132" t="s">
        <v>332</v>
      </c>
      <c r="G12" s="132" t="s">
        <v>42</v>
      </c>
      <c r="H12" s="53" t="s">
        <v>160</v>
      </c>
      <c r="I12" s="53" t="s">
        <v>159</v>
      </c>
      <c r="J12" s="132" t="s">
        <v>38</v>
      </c>
      <c r="K12" s="53" t="s">
        <v>161</v>
      </c>
      <c r="L12" s="53">
        <v>2</v>
      </c>
      <c r="N12" s="53">
        <v>1</v>
      </c>
      <c r="O12" s="53">
        <v>0.5</v>
      </c>
      <c r="P12" s="53">
        <v>0.5</v>
      </c>
      <c r="Q12" s="75">
        <f t="shared" si="0"/>
        <v>0.5</v>
      </c>
      <c r="R12" s="34">
        <v>19.7</v>
      </c>
      <c r="S12" s="53">
        <v>139</v>
      </c>
      <c r="T12" s="16">
        <f t="shared" si="1"/>
        <v>22</v>
      </c>
      <c r="U12" s="53">
        <v>128</v>
      </c>
      <c r="V12" s="134">
        <f t="shared" si="2"/>
        <v>2816</v>
      </c>
      <c r="W12" s="53">
        <v>5</v>
      </c>
      <c r="X12" s="132" t="s">
        <v>46</v>
      </c>
      <c r="Y12" s="53" t="s">
        <v>90</v>
      </c>
      <c r="Z12" s="53" t="s">
        <v>84</v>
      </c>
      <c r="AA12" s="53" t="s">
        <v>69</v>
      </c>
      <c r="AB12" s="132" t="s">
        <v>237</v>
      </c>
      <c r="AC12" s="34"/>
      <c r="AE12" s="22" t="s">
        <v>70</v>
      </c>
      <c r="AG12" s="23"/>
      <c r="AH12" s="22"/>
      <c r="AL12" s="139"/>
      <c r="AP12" s="23" t="s">
        <v>67</v>
      </c>
      <c r="AR12" s="23" t="s">
        <v>124</v>
      </c>
      <c r="AV12" s="140" t="s">
        <v>348</v>
      </c>
      <c r="AX12" s="24">
        <v>180</v>
      </c>
      <c r="AY12" s="25">
        <v>18</v>
      </c>
      <c r="AZ12" s="25">
        <v>181</v>
      </c>
      <c r="BA12" s="26">
        <v>16</v>
      </c>
    </row>
    <row r="13" spans="1:53" x14ac:dyDescent="0.15">
      <c r="A13" s="132" t="s">
        <v>61</v>
      </c>
      <c r="B13" s="132" t="s">
        <v>233</v>
      </c>
      <c r="C13" s="132">
        <v>2019</v>
      </c>
      <c r="D13" s="133" t="s">
        <v>328</v>
      </c>
      <c r="E13" s="132" t="s">
        <v>331</v>
      </c>
      <c r="F13" s="132" t="s">
        <v>332</v>
      </c>
      <c r="G13" s="132" t="s">
        <v>42</v>
      </c>
      <c r="H13" s="53" t="s">
        <v>160</v>
      </c>
      <c r="I13" s="53" t="s">
        <v>159</v>
      </c>
      <c r="J13" s="132" t="s">
        <v>38</v>
      </c>
      <c r="K13" s="53" t="s">
        <v>161</v>
      </c>
      <c r="L13" s="53">
        <v>3</v>
      </c>
      <c r="N13" s="53">
        <v>1</v>
      </c>
      <c r="O13" s="53">
        <v>0.5</v>
      </c>
      <c r="P13" s="53">
        <v>0.5</v>
      </c>
      <c r="Q13" s="75">
        <f t="shared" si="0"/>
        <v>0.5</v>
      </c>
      <c r="R13" s="53">
        <v>19.7</v>
      </c>
      <c r="S13" s="53">
        <v>137</v>
      </c>
      <c r="T13" s="16">
        <f t="shared" si="1"/>
        <v>25</v>
      </c>
      <c r="U13" s="53">
        <v>128</v>
      </c>
      <c r="V13" s="134">
        <f t="shared" si="2"/>
        <v>3200</v>
      </c>
      <c r="W13" s="53">
        <v>5</v>
      </c>
      <c r="X13" s="132" t="s">
        <v>46</v>
      </c>
      <c r="Y13" s="53" t="s">
        <v>90</v>
      </c>
      <c r="Z13" s="53" t="s">
        <v>84</v>
      </c>
      <c r="AA13" s="53" t="s">
        <v>69</v>
      </c>
      <c r="AB13" s="132" t="s">
        <v>237</v>
      </c>
      <c r="AC13" s="34"/>
      <c r="AE13" s="22" t="s">
        <v>73</v>
      </c>
      <c r="AG13" s="23"/>
      <c r="AH13" s="22"/>
      <c r="AL13" s="141"/>
      <c r="AP13" s="23" t="s">
        <v>71</v>
      </c>
      <c r="AR13" s="23" t="s">
        <v>103</v>
      </c>
      <c r="AV13" s="140" t="s">
        <v>349</v>
      </c>
      <c r="AX13" s="24"/>
      <c r="AY13" s="25"/>
      <c r="AZ13" s="25"/>
      <c r="BA13" s="26"/>
    </row>
    <row r="14" spans="1:53" x14ac:dyDescent="0.15">
      <c r="A14" s="132" t="s">
        <v>61</v>
      </c>
      <c r="B14" s="132" t="s">
        <v>233</v>
      </c>
      <c r="C14" s="132">
        <v>2019</v>
      </c>
      <c r="D14" s="133" t="s">
        <v>328</v>
      </c>
      <c r="E14" s="132" t="s">
        <v>333</v>
      </c>
      <c r="F14" s="132" t="s">
        <v>334</v>
      </c>
      <c r="G14" s="132" t="s">
        <v>42</v>
      </c>
      <c r="H14" s="53" t="s">
        <v>164</v>
      </c>
      <c r="I14" s="53" t="s">
        <v>159</v>
      </c>
      <c r="J14" s="132" t="s">
        <v>38</v>
      </c>
      <c r="K14" s="53" t="s">
        <v>161</v>
      </c>
      <c r="L14" s="53">
        <v>1</v>
      </c>
      <c r="N14" s="53">
        <v>1</v>
      </c>
      <c r="O14" s="53">
        <v>0.7</v>
      </c>
      <c r="P14" s="53">
        <v>0.5</v>
      </c>
      <c r="Q14" s="75">
        <f t="shared" si="0"/>
        <v>0.6</v>
      </c>
      <c r="R14" s="53">
        <v>16.399999999999999</v>
      </c>
      <c r="S14" s="53">
        <v>122</v>
      </c>
      <c r="T14" s="16">
        <f t="shared" si="1"/>
        <v>27</v>
      </c>
      <c r="U14" s="53">
        <v>98</v>
      </c>
      <c r="V14" s="134">
        <f t="shared" si="2"/>
        <v>2646</v>
      </c>
      <c r="W14" s="53">
        <v>6</v>
      </c>
      <c r="X14" s="132" t="s">
        <v>46</v>
      </c>
      <c r="Y14" s="53" t="s">
        <v>69</v>
      </c>
      <c r="Z14" s="53" t="s">
        <v>90</v>
      </c>
      <c r="AA14" s="53" t="s">
        <v>102</v>
      </c>
      <c r="AB14" s="132" t="s">
        <v>237</v>
      </c>
      <c r="AC14" s="34"/>
      <c r="AE14" s="22" t="s">
        <v>76</v>
      </c>
      <c r="AG14" s="23"/>
      <c r="AH14" s="22"/>
      <c r="AL14" s="34"/>
      <c r="AP14" s="23" t="s">
        <v>74</v>
      </c>
      <c r="AR14" s="23" t="s">
        <v>125</v>
      </c>
      <c r="AV14" s="140" t="s">
        <v>350</v>
      </c>
      <c r="AX14" s="24"/>
      <c r="AY14" s="25"/>
      <c r="AZ14" s="25"/>
      <c r="BA14" s="26"/>
    </row>
    <row r="15" spans="1:53" x14ac:dyDescent="0.15">
      <c r="A15" s="132" t="s">
        <v>61</v>
      </c>
      <c r="B15" s="132" t="s">
        <v>233</v>
      </c>
      <c r="C15" s="132">
        <v>2019</v>
      </c>
      <c r="D15" s="133" t="s">
        <v>328</v>
      </c>
      <c r="E15" s="132" t="s">
        <v>333</v>
      </c>
      <c r="F15" s="132" t="s">
        <v>334</v>
      </c>
      <c r="G15" s="132" t="s">
        <v>42</v>
      </c>
      <c r="H15" s="53" t="s">
        <v>164</v>
      </c>
      <c r="I15" s="53" t="s">
        <v>159</v>
      </c>
      <c r="J15" s="132" t="s">
        <v>38</v>
      </c>
      <c r="K15" s="53" t="s">
        <v>161</v>
      </c>
      <c r="L15" s="53">
        <v>2</v>
      </c>
      <c r="N15" s="53">
        <v>1</v>
      </c>
      <c r="O15" s="53">
        <v>1</v>
      </c>
      <c r="P15" s="53">
        <v>0.75</v>
      </c>
      <c r="Q15" s="75">
        <f t="shared" si="0"/>
        <v>0.875</v>
      </c>
      <c r="R15" s="34">
        <v>15.2</v>
      </c>
      <c r="S15" s="53">
        <v>123</v>
      </c>
      <c r="T15" s="16">
        <f t="shared" si="1"/>
        <v>27</v>
      </c>
      <c r="U15" s="53">
        <v>98</v>
      </c>
      <c r="V15" s="134">
        <f t="shared" si="2"/>
        <v>2646</v>
      </c>
      <c r="W15" s="53">
        <v>6</v>
      </c>
      <c r="X15" s="132" t="s">
        <v>46</v>
      </c>
      <c r="Y15" s="53" t="s">
        <v>69</v>
      </c>
      <c r="Z15" s="53" t="s">
        <v>90</v>
      </c>
      <c r="AA15" s="53" t="s">
        <v>102</v>
      </c>
      <c r="AB15" s="132" t="s">
        <v>237</v>
      </c>
      <c r="AC15" s="34"/>
      <c r="AE15" s="22" t="s">
        <v>79</v>
      </c>
      <c r="AG15" s="23"/>
      <c r="AH15" s="23"/>
      <c r="AL15" s="34"/>
      <c r="AP15" s="23" t="s">
        <v>77</v>
      </c>
      <c r="AR15" s="23" t="s">
        <v>94</v>
      </c>
      <c r="AV15" s="140" t="s">
        <v>351</v>
      </c>
      <c r="AX15" s="31"/>
      <c r="AY15" s="32"/>
      <c r="AZ15" s="32"/>
      <c r="BA15" s="33"/>
    </row>
    <row r="16" spans="1:53" x14ac:dyDescent="0.15">
      <c r="A16" s="132" t="s">
        <v>61</v>
      </c>
      <c r="B16" s="132" t="s">
        <v>233</v>
      </c>
      <c r="C16" s="132">
        <v>2019</v>
      </c>
      <c r="D16" s="133" t="s">
        <v>328</v>
      </c>
      <c r="E16" s="132" t="s">
        <v>333</v>
      </c>
      <c r="F16" s="132" t="s">
        <v>334</v>
      </c>
      <c r="G16" s="132" t="s">
        <v>42</v>
      </c>
      <c r="H16" s="53" t="s">
        <v>164</v>
      </c>
      <c r="I16" s="53" t="s">
        <v>159</v>
      </c>
      <c r="J16" s="132" t="s">
        <v>38</v>
      </c>
      <c r="K16" s="53" t="s">
        <v>161</v>
      </c>
      <c r="L16" s="53">
        <v>3</v>
      </c>
      <c r="N16" s="53">
        <v>1</v>
      </c>
      <c r="O16" s="53">
        <v>0.5</v>
      </c>
      <c r="P16" s="53">
        <v>0.85</v>
      </c>
      <c r="Q16" s="75">
        <f t="shared" si="0"/>
        <v>0.67500000000000004</v>
      </c>
      <c r="R16" s="53">
        <v>15.7</v>
      </c>
      <c r="S16" s="53">
        <v>137</v>
      </c>
      <c r="T16" s="16">
        <f t="shared" si="1"/>
        <v>25</v>
      </c>
      <c r="U16" s="53">
        <v>98</v>
      </c>
      <c r="V16" s="134">
        <f t="shared" si="2"/>
        <v>2450</v>
      </c>
      <c r="W16" s="53">
        <v>6</v>
      </c>
      <c r="X16" s="132" t="s">
        <v>46</v>
      </c>
      <c r="Y16" s="53" t="s">
        <v>69</v>
      </c>
      <c r="Z16" s="53" t="s">
        <v>90</v>
      </c>
      <c r="AA16" s="53" t="s">
        <v>102</v>
      </c>
      <c r="AB16" s="132" t="s">
        <v>237</v>
      </c>
      <c r="AC16" s="34"/>
      <c r="AE16" s="22" t="s">
        <v>82</v>
      </c>
      <c r="AG16" s="23"/>
      <c r="AH16" s="23"/>
      <c r="AP16" s="23" t="s">
        <v>80</v>
      </c>
      <c r="AR16" s="23" t="s">
        <v>63</v>
      </c>
      <c r="AV16" s="140" t="s">
        <v>352</v>
      </c>
    </row>
    <row r="17" spans="1:48" x14ac:dyDescent="0.15">
      <c r="A17" s="132" t="s">
        <v>61</v>
      </c>
      <c r="B17" s="132" t="s">
        <v>233</v>
      </c>
      <c r="C17" s="132">
        <v>2019</v>
      </c>
      <c r="D17" s="133" t="s">
        <v>328</v>
      </c>
      <c r="E17" s="132" t="s">
        <v>333</v>
      </c>
      <c r="F17" s="132" t="s">
        <v>334</v>
      </c>
      <c r="G17" s="132" t="s">
        <v>42</v>
      </c>
      <c r="H17" s="53" t="s">
        <v>160</v>
      </c>
      <c r="I17" s="53" t="s">
        <v>159</v>
      </c>
      <c r="J17" s="132" t="s">
        <v>38</v>
      </c>
      <c r="K17" s="53" t="s">
        <v>161</v>
      </c>
      <c r="L17" s="53">
        <v>1</v>
      </c>
      <c r="N17" s="53">
        <v>1</v>
      </c>
      <c r="O17" s="53">
        <v>0.5</v>
      </c>
      <c r="P17" s="53">
        <v>0.65</v>
      </c>
      <c r="Q17" s="75">
        <f t="shared" si="0"/>
        <v>0.57499999999999996</v>
      </c>
      <c r="R17" s="53">
        <v>15.4</v>
      </c>
      <c r="S17" s="53">
        <v>109</v>
      </c>
      <c r="T17" s="16">
        <f t="shared" si="1"/>
        <v>33</v>
      </c>
      <c r="U17" s="53">
        <v>98</v>
      </c>
      <c r="V17" s="134">
        <f t="shared" si="2"/>
        <v>3234</v>
      </c>
      <c r="W17" s="53">
        <v>6</v>
      </c>
      <c r="X17" s="132" t="s">
        <v>46</v>
      </c>
      <c r="Y17" s="53" t="s">
        <v>69</v>
      </c>
      <c r="Z17" s="53" t="s">
        <v>90</v>
      </c>
      <c r="AA17" s="53" t="s">
        <v>102</v>
      </c>
      <c r="AB17" s="132" t="s">
        <v>237</v>
      </c>
      <c r="AC17" s="34"/>
      <c r="AE17" s="22" t="s">
        <v>85</v>
      </c>
      <c r="AP17" s="27" t="s">
        <v>110</v>
      </c>
      <c r="AR17" s="23" t="s">
        <v>96</v>
      </c>
      <c r="AV17" s="140" t="s">
        <v>255</v>
      </c>
    </row>
    <row r="18" spans="1:48" x14ac:dyDescent="0.15">
      <c r="A18" s="132" t="s">
        <v>61</v>
      </c>
      <c r="B18" s="132" t="s">
        <v>233</v>
      </c>
      <c r="C18" s="132">
        <v>2019</v>
      </c>
      <c r="D18" s="133" t="s">
        <v>328</v>
      </c>
      <c r="E18" s="132" t="s">
        <v>333</v>
      </c>
      <c r="F18" s="132" t="s">
        <v>334</v>
      </c>
      <c r="G18" s="132" t="s">
        <v>42</v>
      </c>
      <c r="H18" s="53" t="s">
        <v>160</v>
      </c>
      <c r="I18" s="53" t="s">
        <v>159</v>
      </c>
      <c r="J18" s="132" t="s">
        <v>38</v>
      </c>
      <c r="K18" s="53" t="s">
        <v>161</v>
      </c>
      <c r="L18" s="53">
        <v>2</v>
      </c>
      <c r="N18" s="53">
        <v>1</v>
      </c>
      <c r="O18" s="53">
        <v>0.5</v>
      </c>
      <c r="P18" s="53">
        <v>0.5</v>
      </c>
      <c r="Q18" s="75">
        <f t="shared" si="0"/>
        <v>0.5</v>
      </c>
      <c r="R18" s="34">
        <v>15.5</v>
      </c>
      <c r="S18" s="53">
        <v>119</v>
      </c>
      <c r="T18" s="16">
        <f t="shared" si="1"/>
        <v>30</v>
      </c>
      <c r="U18" s="53">
        <v>98</v>
      </c>
      <c r="V18" s="134">
        <f t="shared" si="2"/>
        <v>2940</v>
      </c>
      <c r="W18" s="53">
        <v>6</v>
      </c>
      <c r="X18" s="132" t="s">
        <v>46</v>
      </c>
      <c r="Y18" s="53" t="s">
        <v>69</v>
      </c>
      <c r="Z18" s="53" t="s">
        <v>90</v>
      </c>
      <c r="AA18" s="53" t="s">
        <v>102</v>
      </c>
      <c r="AB18" s="132" t="s">
        <v>237</v>
      </c>
      <c r="AC18" s="34"/>
      <c r="AE18" s="22" t="s">
        <v>87</v>
      </c>
      <c r="AP18" s="27" t="s">
        <v>111</v>
      </c>
      <c r="AR18" s="23" t="s">
        <v>101</v>
      </c>
      <c r="AV18" s="140" t="s">
        <v>135</v>
      </c>
    </row>
    <row r="19" spans="1:48" x14ac:dyDescent="0.15">
      <c r="A19" s="132" t="s">
        <v>61</v>
      </c>
      <c r="B19" s="132" t="s">
        <v>233</v>
      </c>
      <c r="C19" s="132">
        <v>2019</v>
      </c>
      <c r="D19" s="133" t="s">
        <v>328</v>
      </c>
      <c r="E19" s="132" t="s">
        <v>333</v>
      </c>
      <c r="F19" s="132" t="s">
        <v>334</v>
      </c>
      <c r="G19" s="132" t="s">
        <v>42</v>
      </c>
      <c r="H19" s="53" t="s">
        <v>160</v>
      </c>
      <c r="I19" s="53" t="s">
        <v>159</v>
      </c>
      <c r="J19" s="132" t="s">
        <v>38</v>
      </c>
      <c r="K19" s="53" t="s">
        <v>161</v>
      </c>
      <c r="L19" s="53">
        <v>3</v>
      </c>
      <c r="N19" s="53">
        <v>1</v>
      </c>
      <c r="O19" s="34">
        <v>0.5</v>
      </c>
      <c r="P19" s="53">
        <v>0.5</v>
      </c>
      <c r="Q19" s="75">
        <f t="shared" si="0"/>
        <v>0.5</v>
      </c>
      <c r="R19" s="53">
        <v>14.4</v>
      </c>
      <c r="S19" s="53">
        <v>118</v>
      </c>
      <c r="T19" s="16">
        <f t="shared" si="1"/>
        <v>30</v>
      </c>
      <c r="U19" s="53">
        <v>98</v>
      </c>
      <c r="V19" s="134">
        <f t="shared" si="2"/>
        <v>2940</v>
      </c>
      <c r="W19" s="53">
        <v>6</v>
      </c>
      <c r="X19" s="132" t="s">
        <v>46</v>
      </c>
      <c r="Y19" s="53" t="s">
        <v>69</v>
      </c>
      <c r="Z19" s="53" t="s">
        <v>90</v>
      </c>
      <c r="AA19" s="53" t="s">
        <v>102</v>
      </c>
      <c r="AB19" s="132" t="s">
        <v>237</v>
      </c>
      <c r="AC19" s="34"/>
      <c r="AE19" s="35" t="s">
        <v>89</v>
      </c>
      <c r="AP19" s="27" t="s">
        <v>112</v>
      </c>
      <c r="AR19" s="23" t="s">
        <v>126</v>
      </c>
      <c r="AV19" s="140" t="s">
        <v>353</v>
      </c>
    </row>
    <row r="20" spans="1:48" x14ac:dyDescent="0.15">
      <c r="A20" s="132" t="s">
        <v>61</v>
      </c>
      <c r="B20" s="132" t="s">
        <v>233</v>
      </c>
      <c r="C20" s="132">
        <v>2019</v>
      </c>
      <c r="D20" s="133" t="s">
        <v>328</v>
      </c>
      <c r="E20" s="132" t="s">
        <v>335</v>
      </c>
      <c r="F20" s="132" t="s">
        <v>336</v>
      </c>
      <c r="G20" s="132" t="s">
        <v>42</v>
      </c>
      <c r="H20" s="53" t="s">
        <v>164</v>
      </c>
      <c r="I20" s="53" t="s">
        <v>159</v>
      </c>
      <c r="J20" s="132" t="s">
        <v>38</v>
      </c>
      <c r="K20" s="53" t="s">
        <v>161</v>
      </c>
      <c r="L20" s="53">
        <v>1</v>
      </c>
      <c r="N20" s="53">
        <v>5</v>
      </c>
      <c r="O20" s="53">
        <v>0.9</v>
      </c>
      <c r="P20" s="53">
        <v>0.5</v>
      </c>
      <c r="Q20" s="75">
        <f t="shared" si="0"/>
        <v>0.7</v>
      </c>
      <c r="R20" s="53">
        <v>14</v>
      </c>
      <c r="S20" s="53">
        <v>80</v>
      </c>
      <c r="T20" s="16">
        <f t="shared" si="1"/>
        <v>39</v>
      </c>
      <c r="U20" s="53">
        <v>398</v>
      </c>
      <c r="V20" s="134">
        <f t="shared" si="2"/>
        <v>3104.3999999999996</v>
      </c>
      <c r="W20" s="53">
        <v>10</v>
      </c>
      <c r="X20" s="132" t="s">
        <v>46</v>
      </c>
      <c r="Y20" s="53" t="s">
        <v>295</v>
      </c>
      <c r="Z20" s="53" t="s">
        <v>102</v>
      </c>
      <c r="AA20" s="53" t="s">
        <v>50</v>
      </c>
      <c r="AB20" s="132" t="s">
        <v>237</v>
      </c>
      <c r="AC20" s="34"/>
      <c r="AE20" s="22"/>
      <c r="AP20" s="27" t="s">
        <v>113</v>
      </c>
      <c r="AR20" s="23" t="s">
        <v>105</v>
      </c>
      <c r="AV20" s="140" t="s">
        <v>354</v>
      </c>
    </row>
    <row r="21" spans="1:48" x14ac:dyDescent="0.15">
      <c r="A21" s="132" t="s">
        <v>61</v>
      </c>
      <c r="B21" s="132" t="s">
        <v>233</v>
      </c>
      <c r="C21" s="132">
        <v>2019</v>
      </c>
      <c r="D21" s="133" t="s">
        <v>328</v>
      </c>
      <c r="E21" s="132" t="s">
        <v>335</v>
      </c>
      <c r="F21" s="132" t="s">
        <v>336</v>
      </c>
      <c r="G21" s="132" t="s">
        <v>42</v>
      </c>
      <c r="H21" s="53" t="s">
        <v>164</v>
      </c>
      <c r="I21" s="53" t="s">
        <v>159</v>
      </c>
      <c r="J21" s="132" t="s">
        <v>38</v>
      </c>
      <c r="K21" s="53" t="s">
        <v>161</v>
      </c>
      <c r="L21" s="53">
        <v>2</v>
      </c>
      <c r="N21" s="53">
        <v>5</v>
      </c>
      <c r="O21" s="53">
        <v>1.1000000000000001</v>
      </c>
      <c r="P21" s="53">
        <v>0.75</v>
      </c>
      <c r="Q21" s="75">
        <f t="shared" si="0"/>
        <v>0.92500000000000004</v>
      </c>
      <c r="R21" s="53">
        <v>15.1</v>
      </c>
      <c r="S21" s="53">
        <v>72</v>
      </c>
      <c r="T21" s="16">
        <f t="shared" si="1"/>
        <v>42</v>
      </c>
      <c r="U21" s="53">
        <v>398</v>
      </c>
      <c r="V21" s="134">
        <f t="shared" si="2"/>
        <v>3343.2</v>
      </c>
      <c r="W21" s="53">
        <v>10</v>
      </c>
      <c r="X21" s="132" t="s">
        <v>46</v>
      </c>
      <c r="Y21" s="53" t="s">
        <v>295</v>
      </c>
      <c r="Z21" s="53" t="s">
        <v>102</v>
      </c>
      <c r="AA21" s="53" t="s">
        <v>50</v>
      </c>
      <c r="AB21" s="132" t="s">
        <v>237</v>
      </c>
      <c r="AC21" s="34"/>
      <c r="AE21" s="22"/>
      <c r="AP21" s="27" t="s">
        <v>114</v>
      </c>
      <c r="AR21" s="23" t="s">
        <v>68</v>
      </c>
      <c r="AV21" s="140" t="s">
        <v>355</v>
      </c>
    </row>
    <row r="22" spans="1:48" x14ac:dyDescent="0.15">
      <c r="A22" s="132" t="s">
        <v>61</v>
      </c>
      <c r="B22" s="132" t="s">
        <v>233</v>
      </c>
      <c r="C22" s="132">
        <v>2019</v>
      </c>
      <c r="D22" s="133" t="s">
        <v>328</v>
      </c>
      <c r="E22" s="132" t="s">
        <v>335</v>
      </c>
      <c r="F22" s="132" t="s">
        <v>336</v>
      </c>
      <c r="G22" s="132" t="s">
        <v>42</v>
      </c>
      <c r="H22" s="53" t="s">
        <v>164</v>
      </c>
      <c r="I22" s="53" t="s">
        <v>159</v>
      </c>
      <c r="J22" s="132" t="s">
        <v>38</v>
      </c>
      <c r="K22" s="53" t="s">
        <v>161</v>
      </c>
      <c r="L22" s="53">
        <v>3</v>
      </c>
      <c r="N22" s="53">
        <v>5</v>
      </c>
      <c r="O22" s="53">
        <v>0.8</v>
      </c>
      <c r="P22" s="53">
        <v>0.85</v>
      </c>
      <c r="Q22" s="75">
        <f t="shared" si="0"/>
        <v>0.82499999999999996</v>
      </c>
      <c r="R22" s="53">
        <v>14.8</v>
      </c>
      <c r="S22" s="53">
        <v>79</v>
      </c>
      <c r="T22" s="16">
        <f t="shared" si="1"/>
        <v>39</v>
      </c>
      <c r="U22" s="53">
        <v>398</v>
      </c>
      <c r="V22" s="134">
        <f t="shared" si="2"/>
        <v>3104.3999999999996</v>
      </c>
      <c r="W22" s="53">
        <v>10</v>
      </c>
      <c r="X22" s="132" t="s">
        <v>46</v>
      </c>
      <c r="Y22" s="53" t="s">
        <v>295</v>
      </c>
      <c r="Z22" s="53" t="s">
        <v>102</v>
      </c>
      <c r="AA22" s="53" t="s">
        <v>50</v>
      </c>
      <c r="AB22" s="132" t="s">
        <v>237</v>
      </c>
      <c r="AC22" s="34"/>
      <c r="AE22" s="35"/>
      <c r="AP22" s="27" t="s">
        <v>115</v>
      </c>
      <c r="AR22" s="23" t="s">
        <v>83</v>
      </c>
      <c r="AV22" s="23"/>
    </row>
    <row r="23" spans="1:48" x14ac:dyDescent="0.15">
      <c r="A23" s="132" t="s">
        <v>61</v>
      </c>
      <c r="B23" s="132" t="s">
        <v>233</v>
      </c>
      <c r="C23" s="132">
        <v>2019</v>
      </c>
      <c r="D23" s="133" t="s">
        <v>328</v>
      </c>
      <c r="E23" s="132" t="s">
        <v>335</v>
      </c>
      <c r="F23" s="132" t="s">
        <v>336</v>
      </c>
      <c r="G23" s="132" t="s">
        <v>42</v>
      </c>
      <c r="H23" s="53" t="s">
        <v>164</v>
      </c>
      <c r="I23" s="53" t="s">
        <v>167</v>
      </c>
      <c r="J23" s="132" t="s">
        <v>38</v>
      </c>
      <c r="K23" s="53" t="s">
        <v>161</v>
      </c>
      <c r="L23" s="53">
        <v>1</v>
      </c>
      <c r="N23" s="53">
        <v>5</v>
      </c>
      <c r="O23" s="53">
        <v>0.7</v>
      </c>
      <c r="P23" s="53">
        <v>0.75</v>
      </c>
      <c r="Q23" s="75">
        <f t="shared" si="0"/>
        <v>0.72499999999999998</v>
      </c>
      <c r="R23" s="53">
        <v>15.6</v>
      </c>
      <c r="S23" s="53">
        <v>81</v>
      </c>
      <c r="T23" s="16">
        <f t="shared" si="1"/>
        <v>39</v>
      </c>
      <c r="U23" s="53">
        <v>398</v>
      </c>
      <c r="V23" s="134">
        <f t="shared" si="2"/>
        <v>3104.3999999999996</v>
      </c>
      <c r="W23" s="53">
        <v>10</v>
      </c>
      <c r="X23" s="132" t="s">
        <v>46</v>
      </c>
      <c r="Y23" s="53" t="s">
        <v>295</v>
      </c>
      <c r="Z23" s="53" t="s">
        <v>102</v>
      </c>
      <c r="AA23" s="53" t="s">
        <v>50</v>
      </c>
      <c r="AB23" s="132" t="s">
        <v>237</v>
      </c>
      <c r="AC23" s="34"/>
      <c r="AE23" s="22"/>
      <c r="AP23" s="27" t="s">
        <v>113</v>
      </c>
      <c r="AR23" s="23" t="s">
        <v>105</v>
      </c>
      <c r="AV23" s="140" t="s">
        <v>354</v>
      </c>
    </row>
    <row r="24" spans="1:48" x14ac:dyDescent="0.15">
      <c r="A24" s="132" t="s">
        <v>61</v>
      </c>
      <c r="B24" s="132" t="s">
        <v>233</v>
      </c>
      <c r="C24" s="132">
        <v>2019</v>
      </c>
      <c r="D24" s="133" t="s">
        <v>328</v>
      </c>
      <c r="E24" s="132" t="s">
        <v>335</v>
      </c>
      <c r="F24" s="132" t="s">
        <v>336</v>
      </c>
      <c r="G24" s="132" t="s">
        <v>42</v>
      </c>
      <c r="H24" s="53" t="s">
        <v>164</v>
      </c>
      <c r="I24" s="53" t="s">
        <v>167</v>
      </c>
      <c r="J24" s="132" t="s">
        <v>38</v>
      </c>
      <c r="K24" s="53" t="s">
        <v>161</v>
      </c>
      <c r="L24" s="53">
        <v>2</v>
      </c>
      <c r="N24" s="53">
        <v>5</v>
      </c>
      <c r="O24" s="53">
        <v>0.9</v>
      </c>
      <c r="P24" s="53">
        <v>0.5</v>
      </c>
      <c r="Q24" s="75">
        <f t="shared" si="0"/>
        <v>0.7</v>
      </c>
      <c r="R24" s="53">
        <v>15.1</v>
      </c>
      <c r="S24" s="53">
        <v>79</v>
      </c>
      <c r="T24" s="16">
        <f t="shared" si="1"/>
        <v>39</v>
      </c>
      <c r="U24" s="53">
        <v>398</v>
      </c>
      <c r="V24" s="134">
        <f t="shared" si="2"/>
        <v>3104.3999999999996</v>
      </c>
      <c r="W24" s="53">
        <v>10</v>
      </c>
      <c r="X24" s="132" t="s">
        <v>46</v>
      </c>
      <c r="Y24" s="53" t="s">
        <v>295</v>
      </c>
      <c r="Z24" s="53" t="s">
        <v>102</v>
      </c>
      <c r="AA24" s="53" t="s">
        <v>50</v>
      </c>
      <c r="AB24" s="132" t="s">
        <v>237</v>
      </c>
      <c r="AC24" s="34"/>
      <c r="AE24" s="22"/>
      <c r="AP24" s="27" t="s">
        <v>114</v>
      </c>
      <c r="AR24" s="23" t="s">
        <v>68</v>
      </c>
      <c r="AV24" s="140" t="s">
        <v>355</v>
      </c>
    </row>
    <row r="25" spans="1:48" x14ac:dyDescent="0.15">
      <c r="A25" s="132" t="s">
        <v>61</v>
      </c>
      <c r="B25" s="132" t="s">
        <v>233</v>
      </c>
      <c r="C25" s="132">
        <v>2019</v>
      </c>
      <c r="D25" s="133" t="s">
        <v>328</v>
      </c>
      <c r="E25" s="132" t="s">
        <v>335</v>
      </c>
      <c r="F25" s="132" t="s">
        <v>336</v>
      </c>
      <c r="G25" s="132" t="s">
        <v>42</v>
      </c>
      <c r="H25" s="53" t="s">
        <v>164</v>
      </c>
      <c r="I25" s="53" t="s">
        <v>167</v>
      </c>
      <c r="J25" s="132" t="s">
        <v>38</v>
      </c>
      <c r="K25" s="53" t="s">
        <v>161</v>
      </c>
      <c r="L25" s="53">
        <v>3</v>
      </c>
      <c r="N25" s="53">
        <v>5</v>
      </c>
      <c r="O25" s="53">
        <v>0.5</v>
      </c>
      <c r="P25" s="53">
        <v>0.65</v>
      </c>
      <c r="Q25" s="75">
        <f t="shared" si="0"/>
        <v>0.57499999999999996</v>
      </c>
      <c r="R25" s="53">
        <v>16</v>
      </c>
      <c r="S25" s="53">
        <v>82</v>
      </c>
      <c r="T25" s="16">
        <f t="shared" si="1"/>
        <v>39</v>
      </c>
      <c r="U25" s="53">
        <v>398</v>
      </c>
      <c r="V25" s="134">
        <f t="shared" si="2"/>
        <v>3104.3999999999996</v>
      </c>
      <c r="W25" s="53">
        <v>10</v>
      </c>
      <c r="X25" s="132" t="s">
        <v>46</v>
      </c>
      <c r="Y25" s="53" t="s">
        <v>295</v>
      </c>
      <c r="Z25" s="53" t="s">
        <v>102</v>
      </c>
      <c r="AA25" s="53" t="s">
        <v>50</v>
      </c>
      <c r="AB25" s="132" t="s">
        <v>237</v>
      </c>
      <c r="AC25" s="34"/>
      <c r="AE25" s="35"/>
      <c r="AP25" s="27" t="s">
        <v>115</v>
      </c>
      <c r="AR25" s="23" t="s">
        <v>83</v>
      </c>
      <c r="AV25" s="23"/>
    </row>
    <row r="26" spans="1:48" x14ac:dyDescent="0.15">
      <c r="A26" s="132" t="s">
        <v>61</v>
      </c>
      <c r="B26" s="132" t="s">
        <v>233</v>
      </c>
      <c r="C26" s="132">
        <v>2019</v>
      </c>
      <c r="D26" s="133" t="s">
        <v>328</v>
      </c>
      <c r="E26" s="132" t="s">
        <v>335</v>
      </c>
      <c r="F26" s="132" t="s">
        <v>336</v>
      </c>
      <c r="G26" s="132" t="s">
        <v>42</v>
      </c>
      <c r="H26" s="53" t="s">
        <v>160</v>
      </c>
      <c r="I26" s="53" t="s">
        <v>159</v>
      </c>
      <c r="J26" s="132" t="s">
        <v>38</v>
      </c>
      <c r="K26" s="53" t="s">
        <v>161</v>
      </c>
      <c r="L26" s="53">
        <v>1</v>
      </c>
      <c r="N26" s="53">
        <v>4</v>
      </c>
      <c r="O26" s="53">
        <v>0.5</v>
      </c>
      <c r="P26" s="53">
        <v>0.85</v>
      </c>
      <c r="Q26" s="75">
        <f t="shared" si="0"/>
        <v>0.67500000000000004</v>
      </c>
      <c r="R26" s="53">
        <v>19.7</v>
      </c>
      <c r="S26" s="53">
        <v>108</v>
      </c>
      <c r="T26" s="16">
        <f t="shared" si="1"/>
        <v>33</v>
      </c>
      <c r="U26" s="53">
        <v>398</v>
      </c>
      <c r="V26" s="134">
        <f t="shared" si="2"/>
        <v>3283.5</v>
      </c>
      <c r="W26" s="53">
        <v>10</v>
      </c>
      <c r="X26" s="132" t="s">
        <v>46</v>
      </c>
      <c r="Y26" s="53" t="s">
        <v>295</v>
      </c>
      <c r="Z26" s="53" t="s">
        <v>102</v>
      </c>
      <c r="AA26" s="53" t="s">
        <v>50</v>
      </c>
      <c r="AB26" s="132" t="s">
        <v>237</v>
      </c>
      <c r="AC26" s="34"/>
      <c r="AE26" s="22"/>
      <c r="AP26" s="27" t="s">
        <v>137</v>
      </c>
      <c r="AR26" s="23" t="s">
        <v>61</v>
      </c>
    </row>
    <row r="27" spans="1:48" x14ac:dyDescent="0.15">
      <c r="A27" s="132" t="s">
        <v>61</v>
      </c>
      <c r="B27" s="132" t="s">
        <v>233</v>
      </c>
      <c r="C27" s="132">
        <v>2019</v>
      </c>
      <c r="D27" s="133" t="s">
        <v>328</v>
      </c>
      <c r="E27" s="132" t="s">
        <v>335</v>
      </c>
      <c r="F27" s="132" t="s">
        <v>336</v>
      </c>
      <c r="G27" s="132" t="s">
        <v>42</v>
      </c>
      <c r="H27" s="53" t="s">
        <v>160</v>
      </c>
      <c r="I27" s="53" t="s">
        <v>159</v>
      </c>
      <c r="J27" s="132" t="s">
        <v>38</v>
      </c>
      <c r="K27" s="53" t="s">
        <v>161</v>
      </c>
      <c r="L27" s="53">
        <v>2</v>
      </c>
      <c r="N27" s="53">
        <v>4</v>
      </c>
      <c r="O27" s="53">
        <v>0.5</v>
      </c>
      <c r="P27" s="53">
        <v>0.5</v>
      </c>
      <c r="Q27" s="75">
        <f t="shared" si="0"/>
        <v>0.5</v>
      </c>
      <c r="R27" s="53">
        <v>19.899999999999999</v>
      </c>
      <c r="S27" s="53">
        <v>104</v>
      </c>
      <c r="T27" s="16">
        <f t="shared" si="1"/>
        <v>33</v>
      </c>
      <c r="U27" s="53">
        <v>398</v>
      </c>
      <c r="V27" s="134">
        <f t="shared" si="2"/>
        <v>3283.5</v>
      </c>
      <c r="W27" s="53">
        <v>10</v>
      </c>
      <c r="X27" s="132" t="s">
        <v>46</v>
      </c>
      <c r="Y27" s="53" t="s">
        <v>295</v>
      </c>
      <c r="Z27" s="53" t="s">
        <v>102</v>
      </c>
      <c r="AA27" s="53" t="s">
        <v>50</v>
      </c>
      <c r="AB27" s="132" t="s">
        <v>237</v>
      </c>
      <c r="AC27" s="34"/>
      <c r="AE27" s="22"/>
      <c r="AP27" s="27" t="s">
        <v>138</v>
      </c>
      <c r="AR27" s="23" t="s">
        <v>91</v>
      </c>
    </row>
    <row r="28" spans="1:48" x14ac:dyDescent="0.15">
      <c r="A28" s="132" t="s">
        <v>61</v>
      </c>
      <c r="B28" s="132" t="s">
        <v>233</v>
      </c>
      <c r="C28" s="132">
        <v>2019</v>
      </c>
      <c r="D28" s="133" t="s">
        <v>328</v>
      </c>
      <c r="E28" s="132" t="s">
        <v>335</v>
      </c>
      <c r="F28" s="132" t="s">
        <v>336</v>
      </c>
      <c r="G28" s="132" t="s">
        <v>42</v>
      </c>
      <c r="H28" s="53" t="s">
        <v>160</v>
      </c>
      <c r="I28" s="53" t="s">
        <v>159</v>
      </c>
      <c r="J28" s="132" t="s">
        <v>38</v>
      </c>
      <c r="K28" s="53" t="s">
        <v>161</v>
      </c>
      <c r="L28" s="53">
        <v>3</v>
      </c>
      <c r="N28" s="53">
        <v>4</v>
      </c>
      <c r="O28" s="34">
        <v>0.5</v>
      </c>
      <c r="P28" s="53">
        <v>0.5</v>
      </c>
      <c r="Q28" s="75">
        <f t="shared" si="0"/>
        <v>0.5</v>
      </c>
      <c r="R28" s="53">
        <v>15.6</v>
      </c>
      <c r="S28" s="53">
        <v>110</v>
      </c>
      <c r="T28" s="16">
        <f t="shared" si="1"/>
        <v>33</v>
      </c>
      <c r="U28" s="53">
        <v>398</v>
      </c>
      <c r="V28" s="134">
        <f t="shared" si="2"/>
        <v>3283.5</v>
      </c>
      <c r="W28" s="53">
        <v>10</v>
      </c>
      <c r="X28" s="132" t="s">
        <v>46</v>
      </c>
      <c r="Y28" s="53" t="s">
        <v>295</v>
      </c>
      <c r="Z28" s="53" t="s">
        <v>102</v>
      </c>
      <c r="AA28" s="53" t="s">
        <v>50</v>
      </c>
      <c r="AB28" s="132" t="s">
        <v>237</v>
      </c>
      <c r="AC28" s="34"/>
      <c r="AE28" s="35"/>
      <c r="AP28" s="27" t="s">
        <v>116</v>
      </c>
      <c r="AR28" s="27" t="s">
        <v>92</v>
      </c>
    </row>
    <row r="29" spans="1:48" x14ac:dyDescent="0.15">
      <c r="A29" s="132" t="s">
        <v>61</v>
      </c>
      <c r="B29" s="132" t="s">
        <v>233</v>
      </c>
      <c r="C29" s="132">
        <v>2019</v>
      </c>
      <c r="D29" s="133" t="s">
        <v>328</v>
      </c>
      <c r="E29" s="132" t="s">
        <v>335</v>
      </c>
      <c r="F29" s="132" t="s">
        <v>336</v>
      </c>
      <c r="G29" s="132" t="s">
        <v>42</v>
      </c>
      <c r="H29" s="53" t="s">
        <v>127</v>
      </c>
      <c r="I29" s="53" t="s">
        <v>159</v>
      </c>
      <c r="J29" s="132" t="s">
        <v>58</v>
      </c>
      <c r="K29" s="53" t="s">
        <v>59</v>
      </c>
      <c r="L29" s="53">
        <v>1</v>
      </c>
      <c r="N29" s="53">
        <v>6</v>
      </c>
      <c r="O29" s="53">
        <v>0.5</v>
      </c>
      <c r="P29" s="53">
        <v>0.5</v>
      </c>
      <c r="Q29" s="75">
        <f t="shared" si="0"/>
        <v>0.5</v>
      </c>
      <c r="R29" s="53">
        <v>14.1</v>
      </c>
      <c r="S29" s="53">
        <v>59</v>
      </c>
      <c r="T29" s="16">
        <f t="shared" si="1"/>
        <v>50</v>
      </c>
      <c r="U29" s="53">
        <v>398</v>
      </c>
      <c r="V29" s="134">
        <f t="shared" si="2"/>
        <v>3316.6666666666665</v>
      </c>
      <c r="W29" s="53">
        <v>10</v>
      </c>
      <c r="X29" s="132" t="s">
        <v>46</v>
      </c>
      <c r="Y29" s="53" t="s">
        <v>90</v>
      </c>
      <c r="Z29" s="53" t="s">
        <v>102</v>
      </c>
      <c r="AA29" s="53" t="s">
        <v>50</v>
      </c>
      <c r="AB29" s="132" t="s">
        <v>237</v>
      </c>
      <c r="AC29" s="34"/>
      <c r="AE29" s="22"/>
      <c r="AP29" s="27" t="s">
        <v>113</v>
      </c>
      <c r="AR29" s="23" t="s">
        <v>105</v>
      </c>
      <c r="AV29" s="140" t="s">
        <v>354</v>
      </c>
    </row>
    <row r="30" spans="1:48" x14ac:dyDescent="0.15">
      <c r="A30" s="132" t="s">
        <v>61</v>
      </c>
      <c r="B30" s="132" t="s">
        <v>233</v>
      </c>
      <c r="C30" s="132">
        <v>2019</v>
      </c>
      <c r="D30" s="133" t="s">
        <v>328</v>
      </c>
      <c r="E30" s="132" t="s">
        <v>335</v>
      </c>
      <c r="F30" s="132" t="s">
        <v>336</v>
      </c>
      <c r="G30" s="132" t="s">
        <v>42</v>
      </c>
      <c r="H30" s="53" t="s">
        <v>127</v>
      </c>
      <c r="I30" s="53" t="s">
        <v>159</v>
      </c>
      <c r="J30" s="132" t="s">
        <v>58</v>
      </c>
      <c r="K30" s="53" t="s">
        <v>59</v>
      </c>
      <c r="L30" s="53">
        <v>2</v>
      </c>
      <c r="N30" s="53">
        <v>6</v>
      </c>
      <c r="O30" s="53">
        <v>0.5</v>
      </c>
      <c r="P30" s="53">
        <v>0.5</v>
      </c>
      <c r="Q30" s="75">
        <f t="shared" si="0"/>
        <v>0.5</v>
      </c>
      <c r="R30" s="53">
        <v>13.7</v>
      </c>
      <c r="S30" s="53">
        <v>62</v>
      </c>
      <c r="T30" s="16">
        <f t="shared" si="1"/>
        <v>50</v>
      </c>
      <c r="U30" s="53">
        <v>398</v>
      </c>
      <c r="V30" s="134">
        <f t="shared" si="2"/>
        <v>3316.6666666666665</v>
      </c>
      <c r="W30" s="53">
        <v>10</v>
      </c>
      <c r="X30" s="132" t="s">
        <v>46</v>
      </c>
      <c r="Y30" s="53" t="s">
        <v>90</v>
      </c>
      <c r="Z30" s="53" t="s">
        <v>102</v>
      </c>
      <c r="AA30" s="53" t="s">
        <v>50</v>
      </c>
      <c r="AB30" s="132" t="s">
        <v>237</v>
      </c>
      <c r="AC30" s="34"/>
      <c r="AE30" s="22"/>
      <c r="AP30" s="27" t="s">
        <v>114</v>
      </c>
      <c r="AR30" s="23" t="s">
        <v>68</v>
      </c>
      <c r="AV30" s="140" t="s">
        <v>355</v>
      </c>
    </row>
    <row r="31" spans="1:48" x14ac:dyDescent="0.15">
      <c r="A31" s="132" t="s">
        <v>61</v>
      </c>
      <c r="B31" s="132" t="s">
        <v>233</v>
      </c>
      <c r="C31" s="132">
        <v>2019</v>
      </c>
      <c r="D31" s="133" t="s">
        <v>328</v>
      </c>
      <c r="E31" s="132" t="s">
        <v>335</v>
      </c>
      <c r="F31" s="132" t="s">
        <v>336</v>
      </c>
      <c r="G31" s="132" t="s">
        <v>42</v>
      </c>
      <c r="H31" s="53" t="s">
        <v>127</v>
      </c>
      <c r="I31" s="53" t="s">
        <v>159</v>
      </c>
      <c r="J31" s="132" t="s">
        <v>58</v>
      </c>
      <c r="K31" s="53" t="s">
        <v>59</v>
      </c>
      <c r="L31" s="53">
        <v>3</v>
      </c>
      <c r="N31" s="53">
        <v>6</v>
      </c>
      <c r="O31" s="53">
        <v>0.5</v>
      </c>
      <c r="P31" s="53">
        <v>0.5</v>
      </c>
      <c r="Q31" s="75">
        <f t="shared" si="0"/>
        <v>0.5</v>
      </c>
      <c r="R31" s="53">
        <v>13.7</v>
      </c>
      <c r="S31" s="53">
        <v>69</v>
      </c>
      <c r="T31" s="16">
        <f t="shared" si="1"/>
        <v>50</v>
      </c>
      <c r="U31" s="53">
        <v>398</v>
      </c>
      <c r="V31" s="134">
        <f t="shared" si="2"/>
        <v>3316.6666666666665</v>
      </c>
      <c r="W31" s="53">
        <v>10</v>
      </c>
      <c r="X31" s="132" t="s">
        <v>46</v>
      </c>
      <c r="Y31" s="53" t="s">
        <v>90</v>
      </c>
      <c r="Z31" s="53" t="s">
        <v>102</v>
      </c>
      <c r="AA31" s="53" t="s">
        <v>50</v>
      </c>
      <c r="AB31" s="132" t="s">
        <v>237</v>
      </c>
      <c r="AC31" s="34"/>
      <c r="AE31" s="35"/>
      <c r="AP31" s="27" t="s">
        <v>115</v>
      </c>
      <c r="AR31" s="23" t="s">
        <v>83</v>
      </c>
      <c r="AV31" s="23"/>
    </row>
    <row r="32" spans="1:48" x14ac:dyDescent="0.15">
      <c r="A32" s="132" t="s">
        <v>61</v>
      </c>
      <c r="B32" s="132" t="s">
        <v>233</v>
      </c>
      <c r="C32" s="132">
        <v>2019</v>
      </c>
      <c r="D32" s="133" t="s">
        <v>328</v>
      </c>
      <c r="E32" s="132" t="s">
        <v>337</v>
      </c>
      <c r="F32" s="132" t="s">
        <v>338</v>
      </c>
      <c r="G32" s="132" t="s">
        <v>42</v>
      </c>
      <c r="H32" s="53" t="s">
        <v>164</v>
      </c>
      <c r="I32" s="53" t="s">
        <v>167</v>
      </c>
      <c r="J32" s="132" t="s">
        <v>38</v>
      </c>
      <c r="K32" s="53" t="s">
        <v>161</v>
      </c>
      <c r="L32" s="53">
        <v>1</v>
      </c>
      <c r="N32" s="53">
        <v>1</v>
      </c>
      <c r="O32" s="34">
        <v>0.5</v>
      </c>
      <c r="P32" s="53">
        <v>0.5</v>
      </c>
      <c r="Q32" s="75">
        <f t="shared" si="0"/>
        <v>0.5</v>
      </c>
      <c r="R32" s="53">
        <v>16</v>
      </c>
      <c r="S32" s="53">
        <v>129</v>
      </c>
      <c r="T32" s="16">
        <f t="shared" si="1"/>
        <v>25</v>
      </c>
      <c r="U32" s="53">
        <v>100</v>
      </c>
      <c r="V32" s="134">
        <f t="shared" si="2"/>
        <v>2500</v>
      </c>
      <c r="W32" s="53">
        <v>6</v>
      </c>
      <c r="X32" s="132" t="s">
        <v>39</v>
      </c>
      <c r="Y32" s="53" t="s">
        <v>90</v>
      </c>
      <c r="Z32" s="53" t="s">
        <v>84</v>
      </c>
      <c r="AA32" s="53" t="s">
        <v>69</v>
      </c>
      <c r="AB32" s="132" t="s">
        <v>237</v>
      </c>
      <c r="AC32" s="34"/>
      <c r="AD32" s="34"/>
      <c r="AE32" s="35"/>
      <c r="AP32" s="27" t="s">
        <v>117</v>
      </c>
      <c r="AR32" s="23" t="s">
        <v>153</v>
      </c>
    </row>
    <row r="33" spans="1:48" x14ac:dyDescent="0.15">
      <c r="A33" s="132" t="s">
        <v>61</v>
      </c>
      <c r="B33" s="132" t="s">
        <v>233</v>
      </c>
      <c r="C33" s="132">
        <v>2019</v>
      </c>
      <c r="D33" s="133" t="s">
        <v>328</v>
      </c>
      <c r="E33" s="132" t="s">
        <v>337</v>
      </c>
      <c r="F33" s="132" t="s">
        <v>338</v>
      </c>
      <c r="G33" s="132" t="s">
        <v>42</v>
      </c>
      <c r="H33" s="53" t="s">
        <v>164</v>
      </c>
      <c r="I33" s="53" t="s">
        <v>167</v>
      </c>
      <c r="J33" s="132" t="s">
        <v>38</v>
      </c>
      <c r="K33" s="53" t="s">
        <v>161</v>
      </c>
      <c r="L33" s="53">
        <v>2</v>
      </c>
      <c r="N33" s="53">
        <v>1</v>
      </c>
      <c r="O33" s="34">
        <v>0.5</v>
      </c>
      <c r="P33" s="53">
        <v>0.5</v>
      </c>
      <c r="Q33" s="75">
        <f t="shared" si="0"/>
        <v>0.5</v>
      </c>
      <c r="R33" s="53">
        <v>15.6</v>
      </c>
      <c r="S33" s="53">
        <v>125</v>
      </c>
      <c r="T33" s="16">
        <f t="shared" si="1"/>
        <v>27</v>
      </c>
      <c r="U33" s="53">
        <v>100</v>
      </c>
      <c r="V33" s="134">
        <f t="shared" si="2"/>
        <v>2700</v>
      </c>
      <c r="W33" s="53">
        <v>6</v>
      </c>
      <c r="X33" s="132" t="s">
        <v>39</v>
      </c>
      <c r="Y33" s="53" t="s">
        <v>90</v>
      </c>
      <c r="Z33" s="53" t="s">
        <v>84</v>
      </c>
      <c r="AA33" s="53" t="s">
        <v>69</v>
      </c>
      <c r="AB33" s="132" t="s">
        <v>237</v>
      </c>
      <c r="AC33" s="34"/>
      <c r="AD33" s="34"/>
      <c r="AE33" s="28"/>
      <c r="AP33" s="27" t="s">
        <v>118</v>
      </c>
      <c r="AR33" s="23"/>
    </row>
    <row r="34" spans="1:48" x14ac:dyDescent="0.15">
      <c r="A34" s="132" t="s">
        <v>61</v>
      </c>
      <c r="B34" s="132" t="s">
        <v>233</v>
      </c>
      <c r="C34" s="132">
        <v>2019</v>
      </c>
      <c r="D34" s="133" t="s">
        <v>328</v>
      </c>
      <c r="E34" s="132" t="s">
        <v>337</v>
      </c>
      <c r="F34" s="132" t="s">
        <v>338</v>
      </c>
      <c r="G34" s="132" t="s">
        <v>42</v>
      </c>
      <c r="H34" s="53" t="s">
        <v>164</v>
      </c>
      <c r="I34" s="53" t="s">
        <v>167</v>
      </c>
      <c r="J34" s="132" t="s">
        <v>38</v>
      </c>
      <c r="K34" s="53" t="s">
        <v>161</v>
      </c>
      <c r="L34" s="53">
        <v>3</v>
      </c>
      <c r="N34" s="53">
        <v>1</v>
      </c>
      <c r="O34" s="34">
        <v>0.5</v>
      </c>
      <c r="P34" s="53">
        <v>0.5</v>
      </c>
      <c r="Q34" s="75">
        <f t="shared" si="0"/>
        <v>0.5</v>
      </c>
      <c r="R34" s="53">
        <v>14.7</v>
      </c>
      <c r="S34" s="53">
        <v>134</v>
      </c>
      <c r="T34" s="16">
        <f t="shared" si="1"/>
        <v>25</v>
      </c>
      <c r="U34" s="53">
        <v>100</v>
      </c>
      <c r="V34" s="134">
        <f t="shared" si="2"/>
        <v>2500</v>
      </c>
      <c r="W34" s="53">
        <v>6</v>
      </c>
      <c r="X34" s="132" t="s">
        <v>39</v>
      </c>
      <c r="Y34" s="53" t="s">
        <v>90</v>
      </c>
      <c r="Z34" s="53" t="s">
        <v>84</v>
      </c>
      <c r="AA34" s="53" t="s">
        <v>69</v>
      </c>
      <c r="AB34" s="132" t="s">
        <v>237</v>
      </c>
      <c r="AC34" s="34"/>
      <c r="AD34" s="34"/>
      <c r="AP34" s="27"/>
      <c r="AR34" s="23"/>
    </row>
    <row r="35" spans="1:48" x14ac:dyDescent="0.15">
      <c r="A35" s="132" t="s">
        <v>61</v>
      </c>
      <c r="B35" s="132" t="s">
        <v>233</v>
      </c>
      <c r="C35" s="132">
        <v>2019</v>
      </c>
      <c r="D35" s="133" t="s">
        <v>328</v>
      </c>
      <c r="E35" s="132" t="s">
        <v>337</v>
      </c>
      <c r="F35" s="132" t="s">
        <v>338</v>
      </c>
      <c r="G35" s="132" t="s">
        <v>42</v>
      </c>
      <c r="H35" s="53" t="s">
        <v>160</v>
      </c>
      <c r="I35" s="53" t="s">
        <v>159</v>
      </c>
      <c r="J35" s="132" t="s">
        <v>38</v>
      </c>
      <c r="K35" s="53" t="s">
        <v>161</v>
      </c>
      <c r="L35" s="53">
        <v>1</v>
      </c>
      <c r="N35" s="53">
        <v>1</v>
      </c>
      <c r="O35" s="34">
        <v>0.5</v>
      </c>
      <c r="P35" s="53">
        <v>0.5</v>
      </c>
      <c r="Q35" s="75">
        <f t="shared" si="0"/>
        <v>0.5</v>
      </c>
      <c r="R35" s="53">
        <v>20.5</v>
      </c>
      <c r="S35" s="53">
        <v>153</v>
      </c>
      <c r="T35" s="16">
        <f t="shared" si="1"/>
        <v>18</v>
      </c>
      <c r="U35" s="53">
        <v>128</v>
      </c>
      <c r="V35" s="134">
        <f t="shared" si="2"/>
        <v>2304</v>
      </c>
      <c r="W35" s="53">
        <v>6</v>
      </c>
      <c r="X35" s="132" t="s">
        <v>39</v>
      </c>
      <c r="Y35" s="53" t="s">
        <v>90</v>
      </c>
      <c r="Z35" s="53" t="s">
        <v>84</v>
      </c>
      <c r="AA35" s="53" t="s">
        <v>69</v>
      </c>
      <c r="AB35" s="132" t="s">
        <v>237</v>
      </c>
      <c r="AC35" s="34"/>
    </row>
    <row r="36" spans="1:48" x14ac:dyDescent="0.15">
      <c r="A36" s="132" t="s">
        <v>61</v>
      </c>
      <c r="B36" s="132" t="s">
        <v>233</v>
      </c>
      <c r="C36" s="132">
        <v>2019</v>
      </c>
      <c r="D36" s="133" t="s">
        <v>328</v>
      </c>
      <c r="E36" s="132" t="s">
        <v>337</v>
      </c>
      <c r="F36" s="132" t="s">
        <v>338</v>
      </c>
      <c r="G36" s="132" t="s">
        <v>42</v>
      </c>
      <c r="H36" s="53" t="s">
        <v>160</v>
      </c>
      <c r="I36" s="53" t="s">
        <v>159</v>
      </c>
      <c r="J36" s="132" t="s">
        <v>38</v>
      </c>
      <c r="K36" s="53" t="s">
        <v>161</v>
      </c>
      <c r="L36" s="53">
        <v>2</v>
      </c>
      <c r="N36" s="53">
        <v>1</v>
      </c>
      <c r="O36" s="34">
        <v>0.6</v>
      </c>
      <c r="P36" s="53">
        <v>0.5</v>
      </c>
      <c r="Q36" s="75">
        <f t="shared" si="0"/>
        <v>0.55000000000000004</v>
      </c>
      <c r="R36" s="53">
        <v>15.2</v>
      </c>
      <c r="S36" s="53">
        <v>156</v>
      </c>
      <c r="T36" s="16">
        <f t="shared" si="1"/>
        <v>18</v>
      </c>
      <c r="U36" s="53">
        <v>128</v>
      </c>
      <c r="V36" s="134">
        <f t="shared" si="2"/>
        <v>2304</v>
      </c>
      <c r="W36" s="53">
        <v>6</v>
      </c>
      <c r="X36" s="132" t="s">
        <v>39</v>
      </c>
      <c r="Y36" s="53" t="s">
        <v>90</v>
      </c>
      <c r="Z36" s="53" t="s">
        <v>84</v>
      </c>
      <c r="AA36" s="53" t="s">
        <v>69</v>
      </c>
      <c r="AB36" s="132" t="s">
        <v>237</v>
      </c>
      <c r="AC36" s="34"/>
    </row>
    <row r="37" spans="1:48" x14ac:dyDescent="0.15">
      <c r="A37" s="132" t="s">
        <v>61</v>
      </c>
      <c r="B37" s="132" t="s">
        <v>233</v>
      </c>
      <c r="C37" s="132">
        <v>2019</v>
      </c>
      <c r="D37" s="133" t="s">
        <v>328</v>
      </c>
      <c r="E37" s="132" t="s">
        <v>337</v>
      </c>
      <c r="F37" s="132" t="s">
        <v>338</v>
      </c>
      <c r="G37" s="132" t="s">
        <v>42</v>
      </c>
      <c r="H37" s="53" t="s">
        <v>160</v>
      </c>
      <c r="I37" s="53" t="s">
        <v>159</v>
      </c>
      <c r="J37" s="132" t="s">
        <v>38</v>
      </c>
      <c r="K37" s="53" t="s">
        <v>161</v>
      </c>
      <c r="L37" s="53">
        <v>3</v>
      </c>
      <c r="N37" s="53">
        <v>1</v>
      </c>
      <c r="O37" s="34">
        <v>0.5</v>
      </c>
      <c r="P37" s="53">
        <v>0.5</v>
      </c>
      <c r="Q37" s="75">
        <f t="shared" si="0"/>
        <v>0.5</v>
      </c>
      <c r="R37" s="53">
        <v>16.2</v>
      </c>
      <c r="S37" s="53">
        <v>164</v>
      </c>
      <c r="T37" s="16">
        <f t="shared" si="1"/>
        <v>18</v>
      </c>
      <c r="U37" s="53">
        <v>128</v>
      </c>
      <c r="V37" s="134">
        <f t="shared" si="2"/>
        <v>2304</v>
      </c>
      <c r="W37" s="53">
        <v>6</v>
      </c>
      <c r="X37" s="132" t="s">
        <v>39</v>
      </c>
      <c r="Y37" s="53" t="s">
        <v>90</v>
      </c>
      <c r="Z37" s="53" t="s">
        <v>84</v>
      </c>
      <c r="AA37" s="53" t="s">
        <v>69</v>
      </c>
      <c r="AB37" s="132" t="s">
        <v>237</v>
      </c>
      <c r="AC37" s="34"/>
    </row>
    <row r="38" spans="1:48" x14ac:dyDescent="0.15">
      <c r="A38" s="132" t="s">
        <v>61</v>
      </c>
      <c r="B38" s="132" t="s">
        <v>233</v>
      </c>
      <c r="C38" s="132">
        <v>2019</v>
      </c>
      <c r="D38" s="133" t="s">
        <v>328</v>
      </c>
      <c r="E38" s="132" t="s">
        <v>337</v>
      </c>
      <c r="F38" s="132" t="s">
        <v>338</v>
      </c>
      <c r="G38" s="132" t="s">
        <v>42</v>
      </c>
      <c r="H38" s="53" t="s">
        <v>127</v>
      </c>
      <c r="I38" s="53" t="s">
        <v>159</v>
      </c>
      <c r="J38" s="132" t="s">
        <v>58</v>
      </c>
      <c r="K38" s="53" t="s">
        <v>59</v>
      </c>
      <c r="L38" s="53">
        <v>1</v>
      </c>
      <c r="N38" s="53">
        <v>4</v>
      </c>
      <c r="O38" s="53">
        <v>0.5</v>
      </c>
      <c r="P38" s="53">
        <v>0.5</v>
      </c>
      <c r="Q38" s="75">
        <f t="shared" si="0"/>
        <v>0.5</v>
      </c>
      <c r="R38" s="53">
        <v>14.1</v>
      </c>
      <c r="S38" s="53">
        <v>85</v>
      </c>
      <c r="T38" s="16">
        <f t="shared" si="1"/>
        <v>36</v>
      </c>
      <c r="U38" s="53">
        <v>298</v>
      </c>
      <c r="V38" s="134">
        <f t="shared" si="2"/>
        <v>2682</v>
      </c>
      <c r="W38" s="53">
        <v>10</v>
      </c>
      <c r="X38" s="132" t="s">
        <v>46</v>
      </c>
      <c r="Y38" s="53" t="s">
        <v>90</v>
      </c>
      <c r="Z38" s="53" t="s">
        <v>84</v>
      </c>
      <c r="AA38" s="53" t="s">
        <v>69</v>
      </c>
      <c r="AB38" s="132" t="s">
        <v>237</v>
      </c>
      <c r="AC38" s="34"/>
      <c r="AE38" s="22"/>
      <c r="AP38" s="27" t="s">
        <v>113</v>
      </c>
      <c r="AR38" s="23" t="s">
        <v>105</v>
      </c>
      <c r="AV38" s="140" t="s">
        <v>354</v>
      </c>
    </row>
    <row r="39" spans="1:48" x14ac:dyDescent="0.15">
      <c r="A39" s="132" t="s">
        <v>61</v>
      </c>
      <c r="B39" s="132" t="s">
        <v>233</v>
      </c>
      <c r="C39" s="132">
        <v>2019</v>
      </c>
      <c r="D39" s="133" t="s">
        <v>328</v>
      </c>
      <c r="E39" s="132" t="s">
        <v>337</v>
      </c>
      <c r="F39" s="132" t="s">
        <v>338</v>
      </c>
      <c r="G39" s="132" t="s">
        <v>42</v>
      </c>
      <c r="H39" s="53" t="s">
        <v>127</v>
      </c>
      <c r="I39" s="53" t="s">
        <v>159</v>
      </c>
      <c r="J39" s="132" t="s">
        <v>58</v>
      </c>
      <c r="K39" s="53" t="s">
        <v>59</v>
      </c>
      <c r="L39" s="53">
        <v>2</v>
      </c>
      <c r="N39" s="53">
        <v>4</v>
      </c>
      <c r="O39" s="53">
        <v>0.5</v>
      </c>
      <c r="P39" s="53">
        <v>0.5</v>
      </c>
      <c r="Q39" s="75">
        <f t="shared" si="0"/>
        <v>0.5</v>
      </c>
      <c r="R39" s="53">
        <v>13.7</v>
      </c>
      <c r="S39" s="53">
        <v>89</v>
      </c>
      <c r="T39" s="16">
        <f t="shared" si="1"/>
        <v>36</v>
      </c>
      <c r="U39" s="53">
        <v>298</v>
      </c>
      <c r="V39" s="134">
        <f t="shared" si="2"/>
        <v>2682</v>
      </c>
      <c r="W39" s="53">
        <v>10</v>
      </c>
      <c r="X39" s="132" t="s">
        <v>46</v>
      </c>
      <c r="Y39" s="53" t="s">
        <v>90</v>
      </c>
      <c r="Z39" s="53" t="s">
        <v>84</v>
      </c>
      <c r="AA39" s="53" t="s">
        <v>69</v>
      </c>
      <c r="AB39" s="132" t="s">
        <v>237</v>
      </c>
      <c r="AC39" s="34"/>
      <c r="AE39" s="22"/>
      <c r="AP39" s="27" t="s">
        <v>114</v>
      </c>
      <c r="AR39" s="23" t="s">
        <v>68</v>
      </c>
      <c r="AV39" s="140" t="s">
        <v>355</v>
      </c>
    </row>
    <row r="40" spans="1:48" x14ac:dyDescent="0.15">
      <c r="A40" s="132" t="s">
        <v>61</v>
      </c>
      <c r="B40" s="132" t="s">
        <v>233</v>
      </c>
      <c r="C40" s="132">
        <v>2019</v>
      </c>
      <c r="D40" s="133" t="s">
        <v>328</v>
      </c>
      <c r="E40" s="132" t="s">
        <v>337</v>
      </c>
      <c r="F40" s="132" t="s">
        <v>338</v>
      </c>
      <c r="G40" s="132" t="s">
        <v>42</v>
      </c>
      <c r="H40" s="53" t="s">
        <v>127</v>
      </c>
      <c r="I40" s="53" t="s">
        <v>159</v>
      </c>
      <c r="J40" s="132" t="s">
        <v>58</v>
      </c>
      <c r="K40" s="53" t="s">
        <v>59</v>
      </c>
      <c r="L40" s="53">
        <v>3</v>
      </c>
      <c r="N40" s="53">
        <v>4</v>
      </c>
      <c r="O40" s="53">
        <v>0.5</v>
      </c>
      <c r="P40" s="53">
        <v>0.5</v>
      </c>
      <c r="Q40" s="75">
        <f t="shared" si="0"/>
        <v>0.5</v>
      </c>
      <c r="R40" s="53">
        <v>13.7</v>
      </c>
      <c r="S40" s="53">
        <v>77</v>
      </c>
      <c r="T40" s="16">
        <f t="shared" si="1"/>
        <v>39</v>
      </c>
      <c r="U40" s="53">
        <v>298</v>
      </c>
      <c r="V40" s="134">
        <f t="shared" si="2"/>
        <v>2905.5</v>
      </c>
      <c r="W40" s="53">
        <v>10</v>
      </c>
      <c r="X40" s="132" t="s">
        <v>46</v>
      </c>
      <c r="Y40" s="53" t="s">
        <v>90</v>
      </c>
      <c r="Z40" s="53" t="s">
        <v>84</v>
      </c>
      <c r="AA40" s="53" t="s">
        <v>69</v>
      </c>
      <c r="AB40" s="132" t="s">
        <v>237</v>
      </c>
      <c r="AC40" s="34"/>
      <c r="AE40" s="35"/>
      <c r="AP40" s="27" t="s">
        <v>115</v>
      </c>
      <c r="AR40" s="23" t="s">
        <v>83</v>
      </c>
      <c r="AV40" s="23"/>
    </row>
    <row r="41" spans="1:48" x14ac:dyDescent="0.15">
      <c r="A41" s="132" t="s">
        <v>61</v>
      </c>
      <c r="B41" s="132" t="s">
        <v>233</v>
      </c>
      <c r="C41" s="132">
        <v>2019</v>
      </c>
      <c r="D41" s="133" t="s">
        <v>328</v>
      </c>
      <c r="E41" s="132" t="s">
        <v>339</v>
      </c>
      <c r="F41" s="132" t="s">
        <v>340</v>
      </c>
      <c r="G41" s="132" t="s">
        <v>42</v>
      </c>
      <c r="H41" s="53" t="s">
        <v>164</v>
      </c>
      <c r="I41" s="53" t="s">
        <v>159</v>
      </c>
      <c r="J41" s="132" t="s">
        <v>38</v>
      </c>
      <c r="K41" s="53" t="s">
        <v>161</v>
      </c>
      <c r="L41" s="53">
        <v>1</v>
      </c>
      <c r="N41" s="53">
        <v>1</v>
      </c>
      <c r="O41" s="34">
        <v>0.5</v>
      </c>
      <c r="P41" s="53">
        <v>0.5</v>
      </c>
      <c r="Q41" s="75">
        <f t="shared" si="0"/>
        <v>0.5</v>
      </c>
      <c r="R41" s="53">
        <v>15.3</v>
      </c>
      <c r="S41" s="53">
        <v>105</v>
      </c>
      <c r="T41" s="16">
        <f t="shared" si="1"/>
        <v>33</v>
      </c>
      <c r="U41" s="53">
        <v>98</v>
      </c>
      <c r="V41" s="134">
        <f t="shared" si="2"/>
        <v>3234</v>
      </c>
      <c r="W41" s="53">
        <v>6</v>
      </c>
      <c r="X41" s="132" t="s">
        <v>46</v>
      </c>
      <c r="Y41" s="53" t="s">
        <v>69</v>
      </c>
      <c r="Z41" s="53" t="s">
        <v>90</v>
      </c>
      <c r="AA41" s="53" t="s">
        <v>84</v>
      </c>
      <c r="AB41" s="132" t="s">
        <v>237</v>
      </c>
      <c r="AC41" s="34"/>
    </row>
    <row r="42" spans="1:48" x14ac:dyDescent="0.15">
      <c r="A42" s="132" t="s">
        <v>61</v>
      </c>
      <c r="B42" s="132" t="s">
        <v>233</v>
      </c>
      <c r="C42" s="132">
        <v>2019</v>
      </c>
      <c r="D42" s="133" t="s">
        <v>328</v>
      </c>
      <c r="E42" s="132" t="s">
        <v>339</v>
      </c>
      <c r="F42" s="132" t="s">
        <v>340</v>
      </c>
      <c r="G42" s="132" t="s">
        <v>42</v>
      </c>
      <c r="H42" s="53" t="s">
        <v>164</v>
      </c>
      <c r="I42" s="53" t="s">
        <v>159</v>
      </c>
      <c r="J42" s="132" t="s">
        <v>38</v>
      </c>
      <c r="K42" s="53" t="s">
        <v>161</v>
      </c>
      <c r="L42" s="53">
        <v>2</v>
      </c>
      <c r="N42" s="53">
        <v>1</v>
      </c>
      <c r="O42" s="34">
        <v>0.5</v>
      </c>
      <c r="P42" s="53">
        <v>0.5</v>
      </c>
      <c r="Q42" s="75">
        <f t="shared" si="0"/>
        <v>0.5</v>
      </c>
      <c r="R42" s="53">
        <v>15.5</v>
      </c>
      <c r="S42" s="53">
        <v>107</v>
      </c>
      <c r="T42" s="16">
        <f t="shared" si="1"/>
        <v>33</v>
      </c>
      <c r="U42" s="53">
        <v>98</v>
      </c>
      <c r="V42" s="134">
        <f t="shared" si="2"/>
        <v>3234</v>
      </c>
      <c r="W42" s="53">
        <v>6</v>
      </c>
      <c r="X42" s="132" t="s">
        <v>46</v>
      </c>
      <c r="Y42" s="53" t="s">
        <v>69</v>
      </c>
      <c r="Z42" s="53" t="s">
        <v>90</v>
      </c>
      <c r="AA42" s="53" t="s">
        <v>84</v>
      </c>
      <c r="AB42" s="132" t="s">
        <v>237</v>
      </c>
      <c r="AC42" s="34"/>
    </row>
    <row r="43" spans="1:48" x14ac:dyDescent="0.15">
      <c r="A43" s="132" t="s">
        <v>61</v>
      </c>
      <c r="B43" s="132" t="s">
        <v>233</v>
      </c>
      <c r="C43" s="132">
        <v>2019</v>
      </c>
      <c r="D43" s="133" t="s">
        <v>328</v>
      </c>
      <c r="E43" s="132" t="s">
        <v>339</v>
      </c>
      <c r="F43" s="132" t="s">
        <v>340</v>
      </c>
      <c r="G43" s="132" t="s">
        <v>42</v>
      </c>
      <c r="H43" s="53" t="s">
        <v>164</v>
      </c>
      <c r="I43" s="53" t="s">
        <v>159</v>
      </c>
      <c r="J43" s="132" t="s">
        <v>38</v>
      </c>
      <c r="K43" s="53" t="s">
        <v>161</v>
      </c>
      <c r="L43" s="53">
        <v>3</v>
      </c>
      <c r="N43" s="53">
        <v>1</v>
      </c>
      <c r="O43" s="34">
        <v>0.5</v>
      </c>
      <c r="P43" s="53">
        <v>0.5</v>
      </c>
      <c r="Q43" s="75">
        <f t="shared" si="0"/>
        <v>0.5</v>
      </c>
      <c r="R43" s="53">
        <v>15.8</v>
      </c>
      <c r="S43" s="53">
        <v>105</v>
      </c>
      <c r="T43" s="16">
        <f t="shared" si="1"/>
        <v>33</v>
      </c>
      <c r="U43" s="53">
        <v>98</v>
      </c>
      <c r="V43" s="134">
        <f t="shared" si="2"/>
        <v>3234</v>
      </c>
      <c r="W43" s="53">
        <v>6</v>
      </c>
      <c r="X43" s="132" t="s">
        <v>46</v>
      </c>
      <c r="Y43" s="53" t="s">
        <v>69</v>
      </c>
      <c r="Z43" s="53" t="s">
        <v>90</v>
      </c>
      <c r="AA43" s="53" t="s">
        <v>84</v>
      </c>
      <c r="AB43" s="132" t="s">
        <v>237</v>
      </c>
      <c r="AC43" s="34"/>
    </row>
    <row r="44" spans="1:48" x14ac:dyDescent="0.15">
      <c r="A44" s="132" t="s">
        <v>61</v>
      </c>
      <c r="B44" s="132" t="s">
        <v>233</v>
      </c>
      <c r="C44" s="132">
        <v>2019</v>
      </c>
      <c r="D44" s="133" t="s">
        <v>328</v>
      </c>
      <c r="E44" s="132" t="s">
        <v>339</v>
      </c>
      <c r="F44" s="132" t="s">
        <v>340</v>
      </c>
      <c r="G44" s="132" t="s">
        <v>42</v>
      </c>
      <c r="H44" s="53" t="s">
        <v>160</v>
      </c>
      <c r="I44" s="53" t="s">
        <v>159</v>
      </c>
      <c r="J44" s="132" t="s">
        <v>38</v>
      </c>
      <c r="K44" s="53" t="s">
        <v>161</v>
      </c>
      <c r="L44" s="53">
        <v>1</v>
      </c>
      <c r="N44" s="53">
        <v>1</v>
      </c>
      <c r="O44" s="34">
        <v>0.5</v>
      </c>
      <c r="P44" s="53">
        <v>0.5</v>
      </c>
      <c r="Q44" s="75">
        <f t="shared" si="0"/>
        <v>0.5</v>
      </c>
      <c r="R44" s="53">
        <v>16</v>
      </c>
      <c r="S44" s="53">
        <v>143</v>
      </c>
      <c r="T44" s="16">
        <f t="shared" si="1"/>
        <v>22</v>
      </c>
      <c r="U44" s="53">
        <v>128</v>
      </c>
      <c r="V44" s="134">
        <f t="shared" si="2"/>
        <v>2816</v>
      </c>
      <c r="W44" s="53">
        <v>6</v>
      </c>
      <c r="X44" s="132" t="s">
        <v>46</v>
      </c>
      <c r="Y44" s="53" t="s">
        <v>69</v>
      </c>
      <c r="Z44" s="53" t="s">
        <v>90</v>
      </c>
      <c r="AA44" s="53" t="s">
        <v>84</v>
      </c>
      <c r="AB44" s="132" t="s">
        <v>237</v>
      </c>
      <c r="AC44" s="34"/>
    </row>
    <row r="45" spans="1:48" x14ac:dyDescent="0.15">
      <c r="A45" s="132" t="s">
        <v>61</v>
      </c>
      <c r="B45" s="132" t="s">
        <v>233</v>
      </c>
      <c r="C45" s="132">
        <v>2019</v>
      </c>
      <c r="D45" s="133" t="s">
        <v>328</v>
      </c>
      <c r="E45" s="132" t="s">
        <v>339</v>
      </c>
      <c r="F45" s="132" t="s">
        <v>340</v>
      </c>
      <c r="G45" s="132" t="s">
        <v>42</v>
      </c>
      <c r="H45" s="53" t="s">
        <v>160</v>
      </c>
      <c r="I45" s="53" t="s">
        <v>159</v>
      </c>
      <c r="J45" s="132" t="s">
        <v>38</v>
      </c>
      <c r="K45" s="53" t="s">
        <v>161</v>
      </c>
      <c r="L45" s="53">
        <v>2</v>
      </c>
      <c r="N45" s="53">
        <v>1</v>
      </c>
      <c r="O45" s="34">
        <v>0.5</v>
      </c>
      <c r="P45" s="53">
        <v>0.5</v>
      </c>
      <c r="Q45" s="75">
        <f t="shared" si="0"/>
        <v>0.5</v>
      </c>
      <c r="R45" s="53">
        <v>19.399999999999999</v>
      </c>
      <c r="S45" s="53">
        <v>145</v>
      </c>
      <c r="T45" s="16">
        <f t="shared" si="1"/>
        <v>22</v>
      </c>
      <c r="U45" s="53">
        <v>128</v>
      </c>
      <c r="V45" s="134">
        <f t="shared" si="2"/>
        <v>2816</v>
      </c>
      <c r="W45" s="53">
        <v>6</v>
      </c>
      <c r="X45" s="132" t="s">
        <v>46</v>
      </c>
      <c r="Y45" s="53" t="s">
        <v>69</v>
      </c>
      <c r="Z45" s="53" t="s">
        <v>90</v>
      </c>
      <c r="AA45" s="53" t="s">
        <v>84</v>
      </c>
      <c r="AB45" s="132" t="s">
        <v>237</v>
      </c>
      <c r="AC45" s="34"/>
    </row>
    <row r="46" spans="1:48" x14ac:dyDescent="0.15">
      <c r="A46" s="132" t="s">
        <v>61</v>
      </c>
      <c r="B46" s="132" t="s">
        <v>233</v>
      </c>
      <c r="C46" s="132">
        <v>2019</v>
      </c>
      <c r="D46" s="133" t="s">
        <v>328</v>
      </c>
      <c r="E46" s="132" t="s">
        <v>339</v>
      </c>
      <c r="F46" s="132" t="s">
        <v>340</v>
      </c>
      <c r="G46" s="132" t="s">
        <v>42</v>
      </c>
      <c r="H46" s="53" t="s">
        <v>160</v>
      </c>
      <c r="I46" s="53" t="s">
        <v>159</v>
      </c>
      <c r="J46" s="132" t="s">
        <v>38</v>
      </c>
      <c r="K46" s="53" t="s">
        <v>161</v>
      </c>
      <c r="L46" s="53">
        <v>3</v>
      </c>
      <c r="N46" s="53">
        <v>1</v>
      </c>
      <c r="O46" s="53">
        <v>0.5</v>
      </c>
      <c r="P46" s="53">
        <v>0.5</v>
      </c>
      <c r="Q46" s="75">
        <f t="shared" si="0"/>
        <v>0.5</v>
      </c>
      <c r="R46" s="53">
        <v>14.6</v>
      </c>
      <c r="S46" s="53">
        <v>139</v>
      </c>
      <c r="T46" s="16">
        <f t="shared" si="1"/>
        <v>22</v>
      </c>
      <c r="U46" s="53">
        <v>128</v>
      </c>
      <c r="V46" s="134">
        <f t="shared" si="2"/>
        <v>2816</v>
      </c>
      <c r="W46" s="53">
        <v>6</v>
      </c>
      <c r="X46" s="132" t="s">
        <v>46</v>
      </c>
      <c r="Y46" s="53" t="s">
        <v>69</v>
      </c>
      <c r="Z46" s="53" t="s">
        <v>90</v>
      </c>
      <c r="AA46" s="53" t="s">
        <v>84</v>
      </c>
      <c r="AB46" s="132" t="s">
        <v>237</v>
      </c>
      <c r="AC46" s="34"/>
    </row>
    <row r="47" spans="1:48" x14ac:dyDescent="0.15">
      <c r="A47" s="132" t="s">
        <v>61</v>
      </c>
      <c r="B47" s="132" t="s">
        <v>233</v>
      </c>
      <c r="C47" s="132">
        <v>2019</v>
      </c>
      <c r="D47" s="133" t="s">
        <v>328</v>
      </c>
      <c r="E47" s="132" t="s">
        <v>341</v>
      </c>
      <c r="F47" s="132" t="s">
        <v>342</v>
      </c>
      <c r="G47" s="132" t="s">
        <v>42</v>
      </c>
      <c r="H47" s="53" t="s">
        <v>164</v>
      </c>
      <c r="I47" s="53" t="s">
        <v>159</v>
      </c>
      <c r="J47" s="132" t="s">
        <v>38</v>
      </c>
      <c r="K47" s="53" t="s">
        <v>161</v>
      </c>
      <c r="L47" s="53">
        <v>1</v>
      </c>
      <c r="N47" s="53">
        <v>4</v>
      </c>
      <c r="O47" s="34">
        <v>0.8</v>
      </c>
      <c r="P47" s="53">
        <v>0.5</v>
      </c>
      <c r="Q47" s="75">
        <f t="shared" si="0"/>
        <v>0.65</v>
      </c>
      <c r="R47" s="53">
        <v>13.3</v>
      </c>
      <c r="S47" s="53">
        <v>121</v>
      </c>
      <c r="T47" s="16">
        <f t="shared" si="1"/>
        <v>27</v>
      </c>
      <c r="U47" s="53">
        <v>321</v>
      </c>
      <c r="V47" s="134">
        <f t="shared" si="2"/>
        <v>2166.75</v>
      </c>
      <c r="W47" s="53">
        <v>6</v>
      </c>
      <c r="X47" s="132" t="s">
        <v>39</v>
      </c>
      <c r="Y47" s="53" t="s">
        <v>90</v>
      </c>
      <c r="Z47" s="53" t="s">
        <v>102</v>
      </c>
      <c r="AA47" s="53" t="s">
        <v>84</v>
      </c>
      <c r="AB47" s="132" t="s">
        <v>237</v>
      </c>
    </row>
    <row r="48" spans="1:48" x14ac:dyDescent="0.15">
      <c r="A48" s="132" t="s">
        <v>61</v>
      </c>
      <c r="B48" s="132" t="s">
        <v>233</v>
      </c>
      <c r="C48" s="132">
        <v>2020</v>
      </c>
      <c r="D48" s="133" t="s">
        <v>328</v>
      </c>
      <c r="E48" s="132" t="s">
        <v>341</v>
      </c>
      <c r="F48" s="132" t="s">
        <v>342</v>
      </c>
      <c r="G48" s="132" t="s">
        <v>42</v>
      </c>
      <c r="H48" s="53" t="s">
        <v>164</v>
      </c>
      <c r="I48" s="53" t="s">
        <v>159</v>
      </c>
      <c r="J48" s="132" t="s">
        <v>38</v>
      </c>
      <c r="K48" s="53" t="s">
        <v>161</v>
      </c>
      <c r="L48" s="53">
        <v>2</v>
      </c>
      <c r="N48" s="53">
        <v>4</v>
      </c>
      <c r="O48" s="34">
        <v>0.5</v>
      </c>
      <c r="P48" s="53">
        <v>0.5</v>
      </c>
      <c r="Q48" s="75">
        <f t="shared" si="0"/>
        <v>0.5</v>
      </c>
      <c r="R48" s="53">
        <v>15.4</v>
      </c>
      <c r="S48" s="53">
        <v>111</v>
      </c>
      <c r="T48" s="16">
        <f t="shared" si="1"/>
        <v>33</v>
      </c>
      <c r="U48" s="53">
        <v>321</v>
      </c>
      <c r="V48" s="134">
        <f t="shared" si="2"/>
        <v>2648.25</v>
      </c>
      <c r="W48" s="53">
        <v>6</v>
      </c>
      <c r="X48" s="132" t="s">
        <v>39</v>
      </c>
      <c r="Y48" s="53" t="s">
        <v>90</v>
      </c>
      <c r="Z48" s="53" t="s">
        <v>102</v>
      </c>
      <c r="AA48" s="53" t="s">
        <v>84</v>
      </c>
      <c r="AB48" s="132" t="s">
        <v>237</v>
      </c>
    </row>
    <row r="49" spans="1:29" x14ac:dyDescent="0.15">
      <c r="A49" s="132" t="s">
        <v>61</v>
      </c>
      <c r="B49" s="132" t="s">
        <v>233</v>
      </c>
      <c r="C49" s="132">
        <v>2021</v>
      </c>
      <c r="D49" s="133" t="s">
        <v>328</v>
      </c>
      <c r="E49" s="132" t="s">
        <v>341</v>
      </c>
      <c r="F49" s="132" t="s">
        <v>342</v>
      </c>
      <c r="G49" s="132" t="s">
        <v>42</v>
      </c>
      <c r="H49" s="53" t="s">
        <v>164</v>
      </c>
      <c r="I49" s="53" t="s">
        <v>159</v>
      </c>
      <c r="J49" s="132" t="s">
        <v>38</v>
      </c>
      <c r="K49" s="53" t="s">
        <v>161</v>
      </c>
      <c r="L49" s="53">
        <v>3</v>
      </c>
      <c r="N49" s="53">
        <v>4</v>
      </c>
      <c r="O49" s="34">
        <v>0.8</v>
      </c>
      <c r="P49" s="53">
        <v>0.5</v>
      </c>
      <c r="Q49" s="75">
        <f t="shared" si="0"/>
        <v>0.65</v>
      </c>
      <c r="R49" s="53">
        <v>13.1</v>
      </c>
      <c r="S49" s="53">
        <v>104</v>
      </c>
      <c r="T49" s="16">
        <f t="shared" si="1"/>
        <v>33</v>
      </c>
      <c r="U49" s="53">
        <v>321</v>
      </c>
      <c r="V49" s="134">
        <f t="shared" si="2"/>
        <v>2648.25</v>
      </c>
      <c r="W49" s="53">
        <v>6</v>
      </c>
      <c r="X49" s="132" t="s">
        <v>39</v>
      </c>
      <c r="Y49" s="53" t="s">
        <v>90</v>
      </c>
      <c r="Z49" s="53" t="s">
        <v>102</v>
      </c>
      <c r="AA49" s="53" t="s">
        <v>84</v>
      </c>
      <c r="AB49" s="132" t="s">
        <v>237</v>
      </c>
    </row>
    <row r="50" spans="1:29" x14ac:dyDescent="0.15">
      <c r="A50" s="132" t="s">
        <v>61</v>
      </c>
      <c r="B50" s="132" t="s">
        <v>233</v>
      </c>
      <c r="C50" s="132">
        <v>2022</v>
      </c>
      <c r="D50" s="133" t="s">
        <v>328</v>
      </c>
      <c r="E50" s="132" t="s">
        <v>341</v>
      </c>
      <c r="F50" s="132" t="s">
        <v>342</v>
      </c>
      <c r="G50" s="132" t="s">
        <v>42</v>
      </c>
      <c r="H50" s="53" t="s">
        <v>160</v>
      </c>
      <c r="I50" s="53" t="s">
        <v>159</v>
      </c>
      <c r="J50" s="132" t="s">
        <v>38</v>
      </c>
      <c r="K50" s="53" t="s">
        <v>161</v>
      </c>
      <c r="L50" s="53">
        <v>1</v>
      </c>
      <c r="N50" s="53">
        <v>4</v>
      </c>
      <c r="O50" s="34">
        <v>0.5</v>
      </c>
      <c r="P50" s="53">
        <v>0.5</v>
      </c>
      <c r="Q50" s="75">
        <f t="shared" si="0"/>
        <v>0.5</v>
      </c>
      <c r="R50" s="53">
        <v>16</v>
      </c>
      <c r="S50" s="53">
        <v>107</v>
      </c>
      <c r="T50" s="16">
        <f t="shared" si="1"/>
        <v>33</v>
      </c>
      <c r="U50" s="53">
        <v>429</v>
      </c>
      <c r="V50" s="134">
        <f t="shared" si="2"/>
        <v>3539.25</v>
      </c>
      <c r="W50" s="53">
        <v>6</v>
      </c>
      <c r="X50" s="132" t="s">
        <v>39</v>
      </c>
      <c r="Y50" s="53" t="s">
        <v>90</v>
      </c>
      <c r="Z50" s="53" t="s">
        <v>102</v>
      </c>
      <c r="AA50" s="53" t="s">
        <v>84</v>
      </c>
      <c r="AB50" s="132" t="s">
        <v>237</v>
      </c>
      <c r="AC50" s="34"/>
    </row>
    <row r="51" spans="1:29" x14ac:dyDescent="0.15">
      <c r="A51" s="132" t="s">
        <v>61</v>
      </c>
      <c r="B51" s="132" t="s">
        <v>233</v>
      </c>
      <c r="C51" s="132">
        <v>2023</v>
      </c>
      <c r="D51" s="133" t="s">
        <v>328</v>
      </c>
      <c r="E51" s="132" t="s">
        <v>341</v>
      </c>
      <c r="F51" s="132" t="s">
        <v>342</v>
      </c>
      <c r="G51" s="132" t="s">
        <v>42</v>
      </c>
      <c r="H51" s="53" t="s">
        <v>160</v>
      </c>
      <c r="I51" s="53" t="s">
        <v>159</v>
      </c>
      <c r="J51" s="132" t="s">
        <v>38</v>
      </c>
      <c r="K51" s="53" t="s">
        <v>161</v>
      </c>
      <c r="L51" s="53">
        <v>2</v>
      </c>
      <c r="N51" s="53">
        <v>4</v>
      </c>
      <c r="O51" s="34">
        <v>0.5</v>
      </c>
      <c r="P51" s="53">
        <v>0.5</v>
      </c>
      <c r="Q51" s="75">
        <f t="shared" si="0"/>
        <v>0.5</v>
      </c>
      <c r="R51" s="53">
        <v>14.5</v>
      </c>
      <c r="S51" s="53">
        <v>105</v>
      </c>
      <c r="T51" s="16">
        <f t="shared" si="1"/>
        <v>33</v>
      </c>
      <c r="U51" s="53">
        <v>429</v>
      </c>
      <c r="V51" s="134">
        <f t="shared" si="2"/>
        <v>3539.25</v>
      </c>
      <c r="W51" s="53">
        <v>6</v>
      </c>
      <c r="X51" s="132" t="s">
        <v>39</v>
      </c>
      <c r="Y51" s="53" t="s">
        <v>90</v>
      </c>
      <c r="Z51" s="53" t="s">
        <v>102</v>
      </c>
      <c r="AA51" s="53" t="s">
        <v>84</v>
      </c>
      <c r="AB51" s="132" t="s">
        <v>237</v>
      </c>
      <c r="AC51" s="34"/>
    </row>
    <row r="52" spans="1:29" x14ac:dyDescent="0.15">
      <c r="A52" s="132" t="s">
        <v>61</v>
      </c>
      <c r="B52" s="132" t="s">
        <v>233</v>
      </c>
      <c r="C52" s="132">
        <v>2024</v>
      </c>
      <c r="D52" s="133" t="s">
        <v>328</v>
      </c>
      <c r="E52" s="132" t="s">
        <v>341</v>
      </c>
      <c r="F52" s="132" t="s">
        <v>342</v>
      </c>
      <c r="G52" s="132" t="s">
        <v>42</v>
      </c>
      <c r="H52" s="53" t="s">
        <v>160</v>
      </c>
      <c r="I52" s="53" t="s">
        <v>159</v>
      </c>
      <c r="J52" s="132" t="s">
        <v>38</v>
      </c>
      <c r="K52" s="53" t="s">
        <v>161</v>
      </c>
      <c r="L52" s="53">
        <v>3</v>
      </c>
      <c r="N52" s="53">
        <v>4</v>
      </c>
      <c r="O52" s="34">
        <v>0.5</v>
      </c>
      <c r="P52" s="53">
        <v>0.5</v>
      </c>
      <c r="Q52" s="75">
        <f t="shared" si="0"/>
        <v>0.5</v>
      </c>
      <c r="R52" s="34">
        <v>14.9</v>
      </c>
      <c r="S52" s="53">
        <v>110</v>
      </c>
      <c r="T52" s="16">
        <f t="shared" si="1"/>
        <v>33</v>
      </c>
      <c r="U52" s="53">
        <v>429</v>
      </c>
      <c r="V52" s="134">
        <f t="shared" si="2"/>
        <v>3539.25</v>
      </c>
      <c r="W52" s="53">
        <v>6</v>
      </c>
      <c r="X52" s="132" t="s">
        <v>39</v>
      </c>
      <c r="Y52" s="53" t="s">
        <v>90</v>
      </c>
      <c r="Z52" s="53" t="s">
        <v>102</v>
      </c>
      <c r="AA52" s="53" t="s">
        <v>84</v>
      </c>
      <c r="AB52" s="132" t="s">
        <v>237</v>
      </c>
      <c r="AC52" s="34"/>
    </row>
    <row r="53" spans="1:29" x14ac:dyDescent="0.15">
      <c r="A53" s="132" t="s">
        <v>61</v>
      </c>
      <c r="B53" s="132" t="s">
        <v>233</v>
      </c>
      <c r="C53" s="132">
        <v>2019</v>
      </c>
      <c r="D53" s="133" t="s">
        <v>328</v>
      </c>
      <c r="E53" s="132" t="s">
        <v>133</v>
      </c>
      <c r="F53" s="132" t="s">
        <v>343</v>
      </c>
      <c r="G53" s="132" t="s">
        <v>42</v>
      </c>
      <c r="H53" s="53" t="s">
        <v>164</v>
      </c>
      <c r="I53" s="53" t="s">
        <v>159</v>
      </c>
      <c r="J53" s="132" t="s">
        <v>38</v>
      </c>
      <c r="K53" s="53" t="s">
        <v>161</v>
      </c>
      <c r="L53" s="53">
        <v>1</v>
      </c>
      <c r="N53" s="53">
        <v>1</v>
      </c>
      <c r="O53" s="53">
        <v>0.95</v>
      </c>
      <c r="P53" s="53">
        <v>0.75</v>
      </c>
      <c r="Q53" s="75">
        <f t="shared" si="0"/>
        <v>0.85</v>
      </c>
      <c r="R53" s="53">
        <v>14.9</v>
      </c>
      <c r="S53" s="53">
        <v>123</v>
      </c>
      <c r="T53" s="16">
        <f t="shared" si="1"/>
        <v>27</v>
      </c>
      <c r="U53" s="53">
        <v>98</v>
      </c>
      <c r="V53" s="134">
        <f t="shared" si="2"/>
        <v>2646</v>
      </c>
      <c r="W53" s="53">
        <v>12</v>
      </c>
      <c r="X53" s="132" t="s">
        <v>46</v>
      </c>
      <c r="Y53" s="53" t="s">
        <v>90</v>
      </c>
      <c r="Z53" s="53" t="s">
        <v>84</v>
      </c>
      <c r="AA53" s="53" t="s">
        <v>69</v>
      </c>
      <c r="AB53" s="132" t="s">
        <v>237</v>
      </c>
      <c r="AC53" s="34"/>
    </row>
    <row r="54" spans="1:29" x14ac:dyDescent="0.15">
      <c r="A54" s="132" t="s">
        <v>61</v>
      </c>
      <c r="B54" s="132" t="s">
        <v>233</v>
      </c>
      <c r="C54" s="132">
        <v>2019</v>
      </c>
      <c r="D54" s="133" t="s">
        <v>328</v>
      </c>
      <c r="E54" s="132" t="s">
        <v>133</v>
      </c>
      <c r="F54" s="132" t="s">
        <v>343</v>
      </c>
      <c r="G54" s="132" t="s">
        <v>42</v>
      </c>
      <c r="H54" s="53" t="s">
        <v>164</v>
      </c>
      <c r="I54" s="53" t="s">
        <v>159</v>
      </c>
      <c r="J54" s="132" t="s">
        <v>38</v>
      </c>
      <c r="K54" s="53" t="s">
        <v>161</v>
      </c>
      <c r="L54" s="53">
        <v>2</v>
      </c>
      <c r="N54" s="53">
        <v>1</v>
      </c>
      <c r="O54" s="53">
        <v>0.9</v>
      </c>
      <c r="P54" s="53">
        <v>0.5</v>
      </c>
      <c r="Q54" s="75">
        <f t="shared" si="0"/>
        <v>0.7</v>
      </c>
      <c r="R54" s="53">
        <v>15.4</v>
      </c>
      <c r="S54" s="53">
        <v>127</v>
      </c>
      <c r="T54" s="16">
        <f t="shared" si="1"/>
        <v>27</v>
      </c>
      <c r="U54" s="53">
        <v>98</v>
      </c>
      <c r="V54" s="134">
        <f t="shared" si="2"/>
        <v>2646</v>
      </c>
      <c r="W54" s="53">
        <v>12</v>
      </c>
      <c r="X54" s="132" t="s">
        <v>46</v>
      </c>
      <c r="Y54" s="53" t="s">
        <v>90</v>
      </c>
      <c r="Z54" s="53" t="s">
        <v>84</v>
      </c>
      <c r="AA54" s="53" t="s">
        <v>69</v>
      </c>
      <c r="AB54" s="132" t="s">
        <v>237</v>
      </c>
      <c r="AC54" s="34"/>
    </row>
    <row r="55" spans="1:29" x14ac:dyDescent="0.15">
      <c r="A55" s="132" t="s">
        <v>61</v>
      </c>
      <c r="B55" s="132" t="s">
        <v>233</v>
      </c>
      <c r="C55" s="132">
        <v>2019</v>
      </c>
      <c r="D55" s="133" t="s">
        <v>328</v>
      </c>
      <c r="E55" s="132" t="s">
        <v>133</v>
      </c>
      <c r="F55" s="132" t="s">
        <v>343</v>
      </c>
      <c r="G55" s="132" t="s">
        <v>42</v>
      </c>
      <c r="H55" s="53" t="s">
        <v>164</v>
      </c>
      <c r="I55" s="53" t="s">
        <v>159</v>
      </c>
      <c r="J55" s="132" t="s">
        <v>38</v>
      </c>
      <c r="K55" s="53" t="s">
        <v>161</v>
      </c>
      <c r="L55" s="53">
        <v>3</v>
      </c>
      <c r="N55" s="53">
        <v>1</v>
      </c>
      <c r="O55" s="53">
        <v>0.5</v>
      </c>
      <c r="P55" s="53">
        <v>0.7</v>
      </c>
      <c r="Q55" s="75">
        <f t="shared" si="0"/>
        <v>0.6</v>
      </c>
      <c r="R55" s="53">
        <v>15.8</v>
      </c>
      <c r="S55" s="53">
        <v>123</v>
      </c>
      <c r="T55" s="16">
        <f t="shared" si="1"/>
        <v>27</v>
      </c>
      <c r="U55" s="53">
        <v>98</v>
      </c>
      <c r="V55" s="134">
        <f t="shared" si="2"/>
        <v>2646</v>
      </c>
      <c r="W55" s="53">
        <v>12</v>
      </c>
      <c r="X55" s="132" t="s">
        <v>46</v>
      </c>
      <c r="Y55" s="53" t="s">
        <v>90</v>
      </c>
      <c r="Z55" s="53" t="s">
        <v>84</v>
      </c>
      <c r="AA55" s="53" t="s">
        <v>69</v>
      </c>
      <c r="AB55" s="132" t="s">
        <v>237</v>
      </c>
      <c r="AC55" s="34"/>
    </row>
    <row r="56" spans="1:29" x14ac:dyDescent="0.15">
      <c r="A56" s="132" t="s">
        <v>61</v>
      </c>
      <c r="B56" s="132" t="s">
        <v>233</v>
      </c>
      <c r="C56" s="132">
        <v>2019</v>
      </c>
      <c r="D56" s="133" t="s">
        <v>328</v>
      </c>
      <c r="E56" s="132" t="s">
        <v>133</v>
      </c>
      <c r="F56" s="132" t="s">
        <v>343</v>
      </c>
      <c r="G56" s="132" t="s">
        <v>42</v>
      </c>
      <c r="H56" s="53" t="s">
        <v>160</v>
      </c>
      <c r="I56" s="53" t="s">
        <v>159</v>
      </c>
      <c r="J56" s="132" t="s">
        <v>38</v>
      </c>
      <c r="K56" s="53" t="s">
        <v>161</v>
      </c>
      <c r="L56" s="53">
        <v>1</v>
      </c>
      <c r="N56" s="53">
        <v>1</v>
      </c>
      <c r="O56" s="53">
        <v>0.5</v>
      </c>
      <c r="P56" s="53">
        <v>0.5</v>
      </c>
      <c r="Q56" s="75">
        <f t="shared" si="0"/>
        <v>0.5</v>
      </c>
      <c r="R56" s="53">
        <v>15.5</v>
      </c>
      <c r="S56" s="53">
        <v>140</v>
      </c>
      <c r="T56" s="16">
        <f t="shared" si="1"/>
        <v>22</v>
      </c>
      <c r="U56" s="53">
        <v>158</v>
      </c>
      <c r="V56" s="134">
        <f t="shared" si="2"/>
        <v>3476</v>
      </c>
      <c r="W56" s="53">
        <v>12</v>
      </c>
      <c r="X56" s="132" t="s">
        <v>46</v>
      </c>
      <c r="Y56" s="53" t="s">
        <v>90</v>
      </c>
      <c r="Z56" s="53" t="s">
        <v>84</v>
      </c>
      <c r="AA56" s="53" t="s">
        <v>69</v>
      </c>
      <c r="AB56" s="132" t="s">
        <v>237</v>
      </c>
      <c r="AC56" s="34"/>
    </row>
    <row r="57" spans="1:29" x14ac:dyDescent="0.15">
      <c r="A57" s="132" t="s">
        <v>61</v>
      </c>
      <c r="B57" s="132" t="s">
        <v>233</v>
      </c>
      <c r="C57" s="132">
        <v>2019</v>
      </c>
      <c r="D57" s="133" t="s">
        <v>328</v>
      </c>
      <c r="E57" s="132" t="s">
        <v>133</v>
      </c>
      <c r="F57" s="132" t="s">
        <v>343</v>
      </c>
      <c r="G57" s="132" t="s">
        <v>42</v>
      </c>
      <c r="H57" s="53" t="s">
        <v>160</v>
      </c>
      <c r="I57" s="53" t="s">
        <v>159</v>
      </c>
      <c r="J57" s="132" t="s">
        <v>38</v>
      </c>
      <c r="K57" s="53" t="s">
        <v>161</v>
      </c>
      <c r="L57" s="53">
        <v>2</v>
      </c>
      <c r="N57" s="53">
        <v>1</v>
      </c>
      <c r="O57" s="53">
        <v>0.5</v>
      </c>
      <c r="P57" s="53">
        <v>0.5</v>
      </c>
      <c r="Q57" s="75">
        <f t="shared" si="0"/>
        <v>0.5</v>
      </c>
      <c r="R57" s="53">
        <v>15.3</v>
      </c>
      <c r="S57" s="53">
        <v>135</v>
      </c>
      <c r="T57" s="16">
        <f t="shared" si="1"/>
        <v>25</v>
      </c>
      <c r="U57" s="53">
        <v>158</v>
      </c>
      <c r="V57" s="134">
        <f t="shared" si="2"/>
        <v>3950</v>
      </c>
      <c r="W57" s="53">
        <v>12</v>
      </c>
      <c r="X57" s="132" t="s">
        <v>46</v>
      </c>
      <c r="Y57" s="53" t="s">
        <v>90</v>
      </c>
      <c r="Z57" s="53" t="s">
        <v>84</v>
      </c>
      <c r="AA57" s="53" t="s">
        <v>69</v>
      </c>
      <c r="AB57" s="132" t="s">
        <v>237</v>
      </c>
      <c r="AC57" s="34"/>
    </row>
    <row r="58" spans="1:29" x14ac:dyDescent="0.15">
      <c r="A58" s="132" t="s">
        <v>61</v>
      </c>
      <c r="B58" s="132" t="s">
        <v>233</v>
      </c>
      <c r="C58" s="132">
        <v>2019</v>
      </c>
      <c r="D58" s="133" t="s">
        <v>328</v>
      </c>
      <c r="E58" s="132" t="s">
        <v>133</v>
      </c>
      <c r="F58" s="132" t="s">
        <v>343</v>
      </c>
      <c r="G58" s="132" t="s">
        <v>42</v>
      </c>
      <c r="H58" s="53" t="s">
        <v>160</v>
      </c>
      <c r="I58" s="53" t="s">
        <v>159</v>
      </c>
      <c r="J58" s="132" t="s">
        <v>38</v>
      </c>
      <c r="K58" s="53" t="s">
        <v>161</v>
      </c>
      <c r="L58" s="53">
        <v>3</v>
      </c>
      <c r="N58" s="53">
        <v>1</v>
      </c>
      <c r="O58" s="53">
        <v>0.5</v>
      </c>
      <c r="P58" s="53">
        <v>0.5</v>
      </c>
      <c r="Q58" s="75">
        <f t="shared" si="0"/>
        <v>0.5</v>
      </c>
      <c r="R58" s="53">
        <v>19.600000000000001</v>
      </c>
      <c r="S58" s="53">
        <v>134</v>
      </c>
      <c r="T58" s="16">
        <f t="shared" si="1"/>
        <v>25</v>
      </c>
      <c r="U58" s="53">
        <v>158</v>
      </c>
      <c r="V58" s="134">
        <f t="shared" si="2"/>
        <v>3950</v>
      </c>
      <c r="W58" s="53">
        <v>12</v>
      </c>
      <c r="X58" s="132" t="s">
        <v>46</v>
      </c>
      <c r="Y58" s="53" t="s">
        <v>90</v>
      </c>
      <c r="Z58" s="53" t="s">
        <v>84</v>
      </c>
      <c r="AA58" s="53" t="s">
        <v>69</v>
      </c>
      <c r="AB58" s="132" t="s">
        <v>237</v>
      </c>
      <c r="AC58" s="34"/>
    </row>
    <row r="59" spans="1:29" x14ac:dyDescent="0.15">
      <c r="A59" s="132" t="s">
        <v>61</v>
      </c>
      <c r="B59" s="132" t="s">
        <v>233</v>
      </c>
      <c r="C59" s="132">
        <v>2019</v>
      </c>
      <c r="D59" s="133" t="s">
        <v>328</v>
      </c>
      <c r="E59" s="132" t="s">
        <v>344</v>
      </c>
      <c r="F59" s="132" t="s">
        <v>345</v>
      </c>
      <c r="G59" s="132" t="s">
        <v>42</v>
      </c>
      <c r="H59" s="53" t="s">
        <v>164</v>
      </c>
      <c r="I59" s="53" t="s">
        <v>159</v>
      </c>
      <c r="J59" s="132" t="s">
        <v>38</v>
      </c>
      <c r="K59" s="53" t="s">
        <v>161</v>
      </c>
      <c r="L59" s="53">
        <v>1</v>
      </c>
      <c r="N59" s="53">
        <v>1</v>
      </c>
      <c r="O59" s="53">
        <v>0.7</v>
      </c>
      <c r="P59" s="53">
        <v>0.5</v>
      </c>
      <c r="Q59" s="75">
        <f t="shared" si="0"/>
        <v>0.6</v>
      </c>
      <c r="R59" s="53">
        <v>15.1</v>
      </c>
      <c r="S59" s="53">
        <v>143</v>
      </c>
      <c r="T59" s="16">
        <f t="shared" si="1"/>
        <v>22</v>
      </c>
      <c r="U59" s="53">
        <v>128</v>
      </c>
      <c r="V59" s="134">
        <f t="shared" si="2"/>
        <v>2816</v>
      </c>
      <c r="W59" s="53">
        <v>6</v>
      </c>
      <c r="X59" s="132" t="s">
        <v>39</v>
      </c>
      <c r="Y59" s="53" t="s">
        <v>90</v>
      </c>
      <c r="Z59" s="53" t="s">
        <v>84</v>
      </c>
      <c r="AA59" s="53" t="s">
        <v>102</v>
      </c>
      <c r="AB59" s="132" t="s">
        <v>237</v>
      </c>
      <c r="AC59" s="34"/>
    </row>
    <row r="60" spans="1:29" x14ac:dyDescent="0.15">
      <c r="A60" s="132" t="s">
        <v>61</v>
      </c>
      <c r="B60" s="132" t="s">
        <v>233</v>
      </c>
      <c r="C60" s="132">
        <v>2019</v>
      </c>
      <c r="D60" s="133" t="s">
        <v>328</v>
      </c>
      <c r="E60" s="132" t="s">
        <v>344</v>
      </c>
      <c r="F60" s="132" t="s">
        <v>345</v>
      </c>
      <c r="G60" s="132" t="s">
        <v>42</v>
      </c>
      <c r="H60" s="53" t="s">
        <v>164</v>
      </c>
      <c r="I60" s="53" t="s">
        <v>159</v>
      </c>
      <c r="J60" s="132" t="s">
        <v>38</v>
      </c>
      <c r="K60" s="53" t="s">
        <v>161</v>
      </c>
      <c r="L60" s="53">
        <v>2</v>
      </c>
      <c r="N60" s="53">
        <v>1</v>
      </c>
      <c r="O60" s="53">
        <v>0.8</v>
      </c>
      <c r="P60" s="53">
        <v>0.5</v>
      </c>
      <c r="Q60" s="75">
        <f t="shared" si="0"/>
        <v>0.65</v>
      </c>
      <c r="R60" s="53">
        <v>15.3</v>
      </c>
      <c r="S60" s="53">
        <v>143</v>
      </c>
      <c r="T60" s="16">
        <f t="shared" si="1"/>
        <v>22</v>
      </c>
      <c r="U60" s="53">
        <v>128</v>
      </c>
      <c r="V60" s="134">
        <f t="shared" si="2"/>
        <v>2816</v>
      </c>
      <c r="W60" s="53">
        <v>6</v>
      </c>
      <c r="X60" s="132" t="s">
        <v>39</v>
      </c>
      <c r="Y60" s="53" t="s">
        <v>90</v>
      </c>
      <c r="Z60" s="53" t="s">
        <v>84</v>
      </c>
      <c r="AA60" s="53" t="s">
        <v>102</v>
      </c>
      <c r="AB60" s="132" t="s">
        <v>237</v>
      </c>
      <c r="AC60" s="34"/>
    </row>
    <row r="61" spans="1:29" x14ac:dyDescent="0.15">
      <c r="A61" s="132" t="s">
        <v>61</v>
      </c>
      <c r="B61" s="132" t="s">
        <v>233</v>
      </c>
      <c r="C61" s="132">
        <v>2019</v>
      </c>
      <c r="D61" s="133" t="s">
        <v>328</v>
      </c>
      <c r="E61" s="132" t="s">
        <v>344</v>
      </c>
      <c r="F61" s="132" t="s">
        <v>345</v>
      </c>
      <c r="G61" s="132" t="s">
        <v>42</v>
      </c>
      <c r="H61" s="53" t="s">
        <v>164</v>
      </c>
      <c r="I61" s="53" t="s">
        <v>159</v>
      </c>
      <c r="J61" s="132" t="s">
        <v>38</v>
      </c>
      <c r="K61" s="53" t="s">
        <v>161</v>
      </c>
      <c r="L61" s="53">
        <v>3</v>
      </c>
      <c r="N61" s="53">
        <v>1</v>
      </c>
      <c r="O61" s="53">
        <v>0.5</v>
      </c>
      <c r="P61" s="53">
        <v>0.5</v>
      </c>
      <c r="Q61" s="75">
        <f t="shared" si="0"/>
        <v>0.5</v>
      </c>
      <c r="R61" s="53">
        <v>15.4</v>
      </c>
      <c r="S61" s="53">
        <v>137</v>
      </c>
      <c r="T61" s="16">
        <f t="shared" si="1"/>
        <v>25</v>
      </c>
      <c r="U61" s="53">
        <v>128</v>
      </c>
      <c r="V61" s="134">
        <f t="shared" si="2"/>
        <v>3200</v>
      </c>
      <c r="W61" s="53">
        <v>6</v>
      </c>
      <c r="X61" s="132" t="s">
        <v>39</v>
      </c>
      <c r="Y61" s="53" t="s">
        <v>90</v>
      </c>
      <c r="Z61" s="53" t="s">
        <v>84</v>
      </c>
      <c r="AA61" s="53" t="s">
        <v>102</v>
      </c>
      <c r="AB61" s="132" t="s">
        <v>237</v>
      </c>
      <c r="AC61" s="34"/>
    </row>
    <row r="62" spans="1:29" x14ac:dyDescent="0.15">
      <c r="A62" s="132" t="s">
        <v>61</v>
      </c>
      <c r="B62" s="132" t="s">
        <v>233</v>
      </c>
      <c r="C62" s="132">
        <v>2019</v>
      </c>
      <c r="D62" s="133" t="s">
        <v>328</v>
      </c>
      <c r="E62" s="132" t="s">
        <v>344</v>
      </c>
      <c r="F62" s="132" t="s">
        <v>345</v>
      </c>
      <c r="G62" s="132" t="s">
        <v>42</v>
      </c>
      <c r="H62" s="53" t="s">
        <v>164</v>
      </c>
      <c r="I62" s="53" t="s">
        <v>167</v>
      </c>
      <c r="J62" s="132" t="s">
        <v>38</v>
      </c>
      <c r="K62" s="53" t="s">
        <v>161</v>
      </c>
      <c r="L62" s="53">
        <v>1</v>
      </c>
      <c r="N62" s="53">
        <v>5</v>
      </c>
      <c r="O62" s="53">
        <v>0.6</v>
      </c>
      <c r="P62" s="53">
        <v>0.65</v>
      </c>
      <c r="Q62" s="75">
        <f t="shared" si="0"/>
        <v>0.625</v>
      </c>
      <c r="R62" s="53">
        <v>15.3</v>
      </c>
      <c r="S62" s="53">
        <v>70</v>
      </c>
      <c r="T62" s="16">
        <f t="shared" si="1"/>
        <v>50</v>
      </c>
      <c r="U62" s="53">
        <v>398</v>
      </c>
      <c r="V62" s="134">
        <f t="shared" si="2"/>
        <v>3979.9999999999995</v>
      </c>
      <c r="W62" s="53">
        <v>6</v>
      </c>
      <c r="X62" s="132" t="s">
        <v>39</v>
      </c>
      <c r="Y62" s="53" t="s">
        <v>90</v>
      </c>
      <c r="Z62" s="53" t="s">
        <v>84</v>
      </c>
      <c r="AA62" s="53" t="s">
        <v>102</v>
      </c>
      <c r="AB62" s="132" t="s">
        <v>237</v>
      </c>
      <c r="AC62" s="34"/>
    </row>
    <row r="63" spans="1:29" x14ac:dyDescent="0.15">
      <c r="A63" s="132" t="s">
        <v>61</v>
      </c>
      <c r="B63" s="132" t="s">
        <v>233</v>
      </c>
      <c r="C63" s="132">
        <v>2019</v>
      </c>
      <c r="D63" s="133" t="s">
        <v>328</v>
      </c>
      <c r="E63" s="132" t="s">
        <v>344</v>
      </c>
      <c r="F63" s="132" t="s">
        <v>345</v>
      </c>
      <c r="G63" s="132" t="s">
        <v>42</v>
      </c>
      <c r="H63" s="53" t="s">
        <v>164</v>
      </c>
      <c r="I63" s="53" t="s">
        <v>167</v>
      </c>
      <c r="J63" s="132" t="s">
        <v>38</v>
      </c>
      <c r="K63" s="53" t="s">
        <v>161</v>
      </c>
      <c r="L63" s="53">
        <v>2</v>
      </c>
      <c r="N63" s="53">
        <v>5</v>
      </c>
      <c r="O63" s="53">
        <v>0.75</v>
      </c>
      <c r="P63" s="53">
        <v>0.7</v>
      </c>
      <c r="Q63" s="75">
        <f t="shared" si="0"/>
        <v>0.72499999999999998</v>
      </c>
      <c r="R63" s="53">
        <v>14.2</v>
      </c>
      <c r="S63" s="53">
        <v>74</v>
      </c>
      <c r="T63" s="16">
        <f t="shared" si="1"/>
        <v>42</v>
      </c>
      <c r="U63" s="53">
        <v>398</v>
      </c>
      <c r="V63" s="134">
        <f t="shared" si="2"/>
        <v>3343.2</v>
      </c>
      <c r="W63" s="53">
        <v>6</v>
      </c>
      <c r="X63" s="132" t="s">
        <v>39</v>
      </c>
      <c r="Y63" s="53" t="s">
        <v>90</v>
      </c>
      <c r="Z63" s="53" t="s">
        <v>84</v>
      </c>
      <c r="AA63" s="53" t="s">
        <v>102</v>
      </c>
      <c r="AB63" s="132" t="s">
        <v>237</v>
      </c>
      <c r="AC63" s="34"/>
    </row>
    <row r="64" spans="1:29" x14ac:dyDescent="0.15">
      <c r="A64" s="132" t="s">
        <v>61</v>
      </c>
      <c r="B64" s="132" t="s">
        <v>233</v>
      </c>
      <c r="C64" s="132">
        <v>2019</v>
      </c>
      <c r="D64" s="133" t="s">
        <v>328</v>
      </c>
      <c r="E64" s="132" t="s">
        <v>344</v>
      </c>
      <c r="F64" s="132" t="s">
        <v>345</v>
      </c>
      <c r="G64" s="132" t="s">
        <v>42</v>
      </c>
      <c r="H64" s="53" t="s">
        <v>164</v>
      </c>
      <c r="I64" s="53" t="s">
        <v>167</v>
      </c>
      <c r="J64" s="132" t="s">
        <v>38</v>
      </c>
      <c r="K64" s="53" t="s">
        <v>161</v>
      </c>
      <c r="L64" s="53">
        <v>3</v>
      </c>
      <c r="N64" s="53">
        <v>5</v>
      </c>
      <c r="O64" s="53">
        <v>0.5</v>
      </c>
      <c r="P64" s="53">
        <v>0.5</v>
      </c>
      <c r="Q64" s="75">
        <f t="shared" si="0"/>
        <v>0.5</v>
      </c>
      <c r="R64" s="53">
        <v>15.2</v>
      </c>
      <c r="S64" s="53">
        <v>76</v>
      </c>
      <c r="T64" s="16">
        <f t="shared" si="1"/>
        <v>39</v>
      </c>
      <c r="U64" s="53">
        <v>398</v>
      </c>
      <c r="V64" s="134">
        <f t="shared" si="2"/>
        <v>3104.3999999999996</v>
      </c>
      <c r="W64" s="53">
        <v>6</v>
      </c>
      <c r="X64" s="132" t="s">
        <v>39</v>
      </c>
      <c r="Y64" s="53" t="s">
        <v>90</v>
      </c>
      <c r="Z64" s="53" t="s">
        <v>84</v>
      </c>
      <c r="AA64" s="53" t="s">
        <v>102</v>
      </c>
      <c r="AB64" s="132" t="s">
        <v>237</v>
      </c>
      <c r="AC64" s="34"/>
    </row>
    <row r="65" spans="1:48" x14ac:dyDescent="0.15">
      <c r="A65" s="132" t="s">
        <v>61</v>
      </c>
      <c r="B65" s="132" t="s">
        <v>233</v>
      </c>
      <c r="C65" s="132">
        <v>2019</v>
      </c>
      <c r="D65" s="133" t="s">
        <v>328</v>
      </c>
      <c r="E65" s="132" t="s">
        <v>344</v>
      </c>
      <c r="F65" s="132" t="s">
        <v>345</v>
      </c>
      <c r="G65" s="132" t="s">
        <v>42</v>
      </c>
      <c r="H65" s="53" t="s">
        <v>160</v>
      </c>
      <c r="I65" s="53" t="s">
        <v>159</v>
      </c>
      <c r="J65" s="132" t="s">
        <v>38</v>
      </c>
      <c r="K65" s="53" t="s">
        <v>161</v>
      </c>
      <c r="L65" s="53">
        <v>1</v>
      </c>
      <c r="N65" s="53">
        <v>1</v>
      </c>
      <c r="O65" s="53">
        <v>0.5</v>
      </c>
      <c r="P65" s="53">
        <v>0.5</v>
      </c>
      <c r="Q65" s="75">
        <f t="shared" si="0"/>
        <v>0.5</v>
      </c>
      <c r="R65" s="53">
        <v>14.8</v>
      </c>
      <c r="S65" s="53">
        <v>137</v>
      </c>
      <c r="T65" s="16">
        <f t="shared" si="1"/>
        <v>25</v>
      </c>
      <c r="U65" s="53">
        <v>138</v>
      </c>
      <c r="V65" s="134">
        <f t="shared" si="2"/>
        <v>3450</v>
      </c>
      <c r="W65" s="53">
        <v>6</v>
      </c>
      <c r="X65" s="132" t="s">
        <v>39</v>
      </c>
      <c r="Y65" s="53" t="s">
        <v>90</v>
      </c>
      <c r="Z65" s="53" t="s">
        <v>84</v>
      </c>
      <c r="AA65" s="53" t="s">
        <v>102</v>
      </c>
      <c r="AB65" s="132" t="s">
        <v>237</v>
      </c>
      <c r="AC65" s="34"/>
    </row>
    <row r="66" spans="1:48" x14ac:dyDescent="0.15">
      <c r="A66" s="132" t="s">
        <v>61</v>
      </c>
      <c r="B66" s="132" t="s">
        <v>233</v>
      </c>
      <c r="C66" s="132">
        <v>2019</v>
      </c>
      <c r="D66" s="133" t="s">
        <v>328</v>
      </c>
      <c r="E66" s="132" t="s">
        <v>344</v>
      </c>
      <c r="F66" s="132" t="s">
        <v>345</v>
      </c>
      <c r="G66" s="132" t="s">
        <v>42</v>
      </c>
      <c r="H66" s="53" t="s">
        <v>160</v>
      </c>
      <c r="I66" s="53" t="s">
        <v>159</v>
      </c>
      <c r="J66" s="132" t="s">
        <v>38</v>
      </c>
      <c r="K66" s="53" t="s">
        <v>161</v>
      </c>
      <c r="L66" s="53">
        <v>2</v>
      </c>
      <c r="N66" s="53">
        <v>1</v>
      </c>
      <c r="O66" s="53">
        <v>0.5</v>
      </c>
      <c r="P66" s="53">
        <v>0.5</v>
      </c>
      <c r="Q66" s="75">
        <f t="shared" ref="Q66:Q82" si="3">IF(OR(O66="",P66=""),"",AVERAGE(O66,P66))</f>
        <v>0.5</v>
      </c>
      <c r="R66" s="53">
        <v>17.399999999999999</v>
      </c>
      <c r="S66" s="53">
        <v>144</v>
      </c>
      <c r="T66" s="16">
        <f t="shared" ref="T66:T82" si="4">IF(H66="","",IF(OR(H66="GREEN",H66="GK"),IF(S66&gt;=$AX$2,VLOOKUP(S66,$AX$2:$AY$15,2,1),""),IF(S66&gt;=$AZ$2,VLOOKUP(S66,$AZ$2:$BA$15,2,1),"")))</f>
        <v>22</v>
      </c>
      <c r="U66" s="53">
        <v>138</v>
      </c>
      <c r="V66" s="134">
        <f t="shared" ref="V66:V82" si="5">IF(OR(N66="",U66="",T66=""),"",U66/N66*T66)</f>
        <v>3036</v>
      </c>
      <c r="W66" s="53">
        <v>6</v>
      </c>
      <c r="X66" s="132" t="s">
        <v>39</v>
      </c>
      <c r="Y66" s="53" t="s">
        <v>90</v>
      </c>
      <c r="Z66" s="53" t="s">
        <v>84</v>
      </c>
      <c r="AA66" s="53" t="s">
        <v>102</v>
      </c>
      <c r="AB66" s="132" t="s">
        <v>237</v>
      </c>
      <c r="AC66" s="34"/>
    </row>
    <row r="67" spans="1:48" x14ac:dyDescent="0.15">
      <c r="A67" s="132" t="s">
        <v>61</v>
      </c>
      <c r="B67" s="132" t="s">
        <v>233</v>
      </c>
      <c r="C67" s="132">
        <v>2019</v>
      </c>
      <c r="D67" s="133" t="s">
        <v>328</v>
      </c>
      <c r="E67" s="132" t="s">
        <v>344</v>
      </c>
      <c r="F67" s="132" t="s">
        <v>345</v>
      </c>
      <c r="G67" s="132" t="s">
        <v>42</v>
      </c>
      <c r="H67" s="53" t="s">
        <v>160</v>
      </c>
      <c r="I67" s="53" t="s">
        <v>159</v>
      </c>
      <c r="J67" s="132" t="s">
        <v>38</v>
      </c>
      <c r="K67" s="53" t="s">
        <v>161</v>
      </c>
      <c r="L67" s="53">
        <v>3</v>
      </c>
      <c r="N67" s="53">
        <v>1</v>
      </c>
      <c r="O67" s="53">
        <v>0.5</v>
      </c>
      <c r="P67" s="53">
        <v>0.7</v>
      </c>
      <c r="Q67" s="75">
        <f t="shared" si="3"/>
        <v>0.6</v>
      </c>
      <c r="R67" s="53">
        <v>20.2</v>
      </c>
      <c r="S67" s="53">
        <v>138</v>
      </c>
      <c r="T67" s="16">
        <f t="shared" si="4"/>
        <v>22</v>
      </c>
      <c r="U67" s="53">
        <v>138</v>
      </c>
      <c r="V67" s="134">
        <f t="shared" si="5"/>
        <v>3036</v>
      </c>
      <c r="W67" s="53">
        <v>6</v>
      </c>
      <c r="X67" s="132" t="s">
        <v>39</v>
      </c>
      <c r="Y67" s="53" t="s">
        <v>90</v>
      </c>
      <c r="Z67" s="53" t="s">
        <v>84</v>
      </c>
      <c r="AA67" s="53" t="s">
        <v>102</v>
      </c>
      <c r="AB67" s="132" t="s">
        <v>237</v>
      </c>
      <c r="AC67" s="34"/>
    </row>
    <row r="68" spans="1:48" x14ac:dyDescent="0.15">
      <c r="A68" s="132" t="s">
        <v>61</v>
      </c>
      <c r="B68" s="132" t="s">
        <v>233</v>
      </c>
      <c r="C68" s="132">
        <v>2019</v>
      </c>
      <c r="D68" s="133" t="s">
        <v>328</v>
      </c>
      <c r="E68" s="132" t="s">
        <v>346</v>
      </c>
      <c r="F68" s="132" t="s">
        <v>345</v>
      </c>
      <c r="G68" s="132" t="s">
        <v>42</v>
      </c>
      <c r="H68" s="53" t="s">
        <v>164</v>
      </c>
      <c r="I68" s="53" t="s">
        <v>159</v>
      </c>
      <c r="J68" s="132" t="s">
        <v>38</v>
      </c>
      <c r="K68" s="53" t="s">
        <v>161</v>
      </c>
      <c r="L68" s="53">
        <v>1</v>
      </c>
      <c r="N68" s="53">
        <v>1</v>
      </c>
      <c r="O68" s="53">
        <v>0.5</v>
      </c>
      <c r="P68" s="53">
        <v>0.5</v>
      </c>
      <c r="Q68" s="75">
        <f t="shared" si="3"/>
        <v>0.5</v>
      </c>
      <c r="R68" s="53">
        <v>12.8</v>
      </c>
      <c r="S68" s="53">
        <v>137</v>
      </c>
      <c r="T68" s="16">
        <f t="shared" si="4"/>
        <v>25</v>
      </c>
      <c r="U68" s="53">
        <v>159</v>
      </c>
      <c r="V68" s="134">
        <f t="shared" si="5"/>
        <v>3975</v>
      </c>
      <c r="W68" s="53">
        <v>12</v>
      </c>
      <c r="X68" s="132" t="s">
        <v>46</v>
      </c>
      <c r="Y68" s="53" t="s">
        <v>90</v>
      </c>
      <c r="Z68" s="53" t="s">
        <v>69</v>
      </c>
      <c r="AA68" s="53" t="s">
        <v>84</v>
      </c>
      <c r="AB68" s="132" t="s">
        <v>237</v>
      </c>
      <c r="AC68" s="34"/>
    </row>
    <row r="69" spans="1:48" x14ac:dyDescent="0.15">
      <c r="A69" s="132" t="s">
        <v>61</v>
      </c>
      <c r="B69" s="132" t="s">
        <v>233</v>
      </c>
      <c r="C69" s="132">
        <v>2019</v>
      </c>
      <c r="D69" s="133" t="s">
        <v>328</v>
      </c>
      <c r="E69" s="132" t="s">
        <v>346</v>
      </c>
      <c r="F69" s="132" t="s">
        <v>345</v>
      </c>
      <c r="G69" s="132" t="s">
        <v>42</v>
      </c>
      <c r="H69" s="53" t="s">
        <v>164</v>
      </c>
      <c r="I69" s="53" t="s">
        <v>159</v>
      </c>
      <c r="J69" s="132" t="s">
        <v>38</v>
      </c>
      <c r="K69" s="53" t="s">
        <v>161</v>
      </c>
      <c r="L69" s="53">
        <v>2</v>
      </c>
      <c r="N69" s="53">
        <v>1</v>
      </c>
      <c r="O69" s="53">
        <v>0.6</v>
      </c>
      <c r="P69" s="53">
        <v>0.5</v>
      </c>
      <c r="Q69" s="75">
        <f t="shared" si="3"/>
        <v>0.55000000000000004</v>
      </c>
      <c r="R69" s="53">
        <v>13.6</v>
      </c>
      <c r="S69" s="53">
        <v>136</v>
      </c>
      <c r="T69" s="16">
        <f t="shared" si="4"/>
        <v>25</v>
      </c>
      <c r="U69" s="53">
        <v>159</v>
      </c>
      <c r="V69" s="134">
        <f t="shared" si="5"/>
        <v>3975</v>
      </c>
      <c r="W69" s="53">
        <v>12</v>
      </c>
      <c r="X69" s="132" t="s">
        <v>46</v>
      </c>
      <c r="Y69" s="53" t="s">
        <v>90</v>
      </c>
      <c r="Z69" s="53" t="s">
        <v>69</v>
      </c>
      <c r="AA69" s="53" t="s">
        <v>84</v>
      </c>
      <c r="AB69" s="132" t="s">
        <v>237</v>
      </c>
      <c r="AC69" s="34"/>
    </row>
    <row r="70" spans="1:48" x14ac:dyDescent="0.15">
      <c r="A70" s="132" t="s">
        <v>61</v>
      </c>
      <c r="B70" s="132" t="s">
        <v>233</v>
      </c>
      <c r="C70" s="132">
        <v>2019</v>
      </c>
      <c r="D70" s="133" t="s">
        <v>328</v>
      </c>
      <c r="E70" s="132" t="s">
        <v>346</v>
      </c>
      <c r="F70" s="132" t="s">
        <v>345</v>
      </c>
      <c r="G70" s="132" t="s">
        <v>42</v>
      </c>
      <c r="H70" s="53" t="s">
        <v>164</v>
      </c>
      <c r="I70" s="53" t="s">
        <v>159</v>
      </c>
      <c r="J70" s="132" t="s">
        <v>38</v>
      </c>
      <c r="K70" s="53" t="s">
        <v>161</v>
      </c>
      <c r="L70" s="53">
        <v>3</v>
      </c>
      <c r="N70" s="53">
        <v>1</v>
      </c>
      <c r="O70" s="53">
        <v>0.5</v>
      </c>
      <c r="P70" s="53">
        <v>0.5</v>
      </c>
      <c r="Q70" s="75">
        <f t="shared" si="3"/>
        <v>0.5</v>
      </c>
      <c r="R70" s="53">
        <v>13.3</v>
      </c>
      <c r="S70" s="53">
        <v>139</v>
      </c>
      <c r="T70" s="16">
        <f t="shared" si="4"/>
        <v>22</v>
      </c>
      <c r="U70" s="53">
        <v>159</v>
      </c>
      <c r="V70" s="134">
        <f t="shared" si="5"/>
        <v>3498</v>
      </c>
      <c r="W70" s="53">
        <v>12</v>
      </c>
      <c r="X70" s="132" t="s">
        <v>46</v>
      </c>
      <c r="Y70" s="53" t="s">
        <v>90</v>
      </c>
      <c r="Z70" s="53" t="s">
        <v>69</v>
      </c>
      <c r="AA70" s="53" t="s">
        <v>84</v>
      </c>
      <c r="AB70" s="132" t="s">
        <v>237</v>
      </c>
      <c r="AC70" s="34"/>
    </row>
    <row r="71" spans="1:48" x14ac:dyDescent="0.15">
      <c r="A71" s="132" t="s">
        <v>61</v>
      </c>
      <c r="B71" s="132" t="s">
        <v>233</v>
      </c>
      <c r="C71" s="132">
        <v>2019</v>
      </c>
      <c r="D71" s="133" t="s">
        <v>328</v>
      </c>
      <c r="E71" s="132" t="s">
        <v>346</v>
      </c>
      <c r="F71" s="132" t="s">
        <v>345</v>
      </c>
      <c r="G71" s="132" t="s">
        <v>42</v>
      </c>
      <c r="H71" s="53" t="s">
        <v>160</v>
      </c>
      <c r="I71" s="53" t="s">
        <v>159</v>
      </c>
      <c r="J71" s="132" t="s">
        <v>38</v>
      </c>
      <c r="K71" s="53" t="s">
        <v>161</v>
      </c>
      <c r="L71" s="53">
        <v>1</v>
      </c>
      <c r="N71" s="53">
        <v>1</v>
      </c>
      <c r="O71" s="53">
        <v>0.5</v>
      </c>
      <c r="P71" s="53">
        <v>0.7</v>
      </c>
      <c r="Q71" s="75">
        <f t="shared" si="3"/>
        <v>0.6</v>
      </c>
      <c r="R71" s="53">
        <v>15.1</v>
      </c>
      <c r="S71" s="53">
        <v>104</v>
      </c>
      <c r="T71" s="16">
        <f t="shared" si="4"/>
        <v>33</v>
      </c>
      <c r="U71" s="53">
        <v>159</v>
      </c>
      <c r="V71" s="134">
        <f t="shared" si="5"/>
        <v>5247</v>
      </c>
      <c r="W71" s="53">
        <v>12</v>
      </c>
      <c r="X71" s="132" t="s">
        <v>46</v>
      </c>
      <c r="Y71" s="53" t="s">
        <v>90</v>
      </c>
      <c r="Z71" s="53" t="s">
        <v>69</v>
      </c>
      <c r="AA71" s="53" t="s">
        <v>84</v>
      </c>
      <c r="AB71" s="132" t="s">
        <v>237</v>
      </c>
    </row>
    <row r="72" spans="1:48" x14ac:dyDescent="0.15">
      <c r="A72" s="132" t="s">
        <v>61</v>
      </c>
      <c r="B72" s="132" t="s">
        <v>233</v>
      </c>
      <c r="C72" s="132">
        <v>2019</v>
      </c>
      <c r="D72" s="133" t="s">
        <v>328</v>
      </c>
      <c r="E72" s="132" t="s">
        <v>346</v>
      </c>
      <c r="F72" s="132" t="s">
        <v>345</v>
      </c>
      <c r="G72" s="132" t="s">
        <v>42</v>
      </c>
      <c r="H72" s="53" t="s">
        <v>160</v>
      </c>
      <c r="I72" s="53" t="s">
        <v>159</v>
      </c>
      <c r="J72" s="132" t="s">
        <v>38</v>
      </c>
      <c r="K72" s="53" t="s">
        <v>161</v>
      </c>
      <c r="L72" s="53">
        <v>2</v>
      </c>
      <c r="N72" s="53">
        <v>1</v>
      </c>
      <c r="O72" s="53">
        <v>0.5</v>
      </c>
      <c r="P72" s="53">
        <v>0.5</v>
      </c>
      <c r="Q72" s="75">
        <f t="shared" si="3"/>
        <v>0.5</v>
      </c>
      <c r="R72" s="53">
        <v>14.2</v>
      </c>
      <c r="S72" s="53">
        <v>109</v>
      </c>
      <c r="T72" s="16">
        <f t="shared" si="4"/>
        <v>33</v>
      </c>
      <c r="U72" s="53">
        <v>159</v>
      </c>
      <c r="V72" s="134">
        <f t="shared" si="5"/>
        <v>5247</v>
      </c>
      <c r="W72" s="53">
        <v>12</v>
      </c>
      <c r="X72" s="132" t="s">
        <v>46</v>
      </c>
      <c r="Y72" s="53" t="s">
        <v>90</v>
      </c>
      <c r="Z72" s="53" t="s">
        <v>69</v>
      </c>
      <c r="AA72" s="53" t="s">
        <v>84</v>
      </c>
      <c r="AB72" s="132" t="s">
        <v>237</v>
      </c>
    </row>
    <row r="73" spans="1:48" x14ac:dyDescent="0.15">
      <c r="A73" s="132" t="s">
        <v>61</v>
      </c>
      <c r="B73" s="132" t="s">
        <v>233</v>
      </c>
      <c r="C73" s="132">
        <v>2019</v>
      </c>
      <c r="D73" s="133" t="s">
        <v>328</v>
      </c>
      <c r="E73" s="132" t="s">
        <v>346</v>
      </c>
      <c r="F73" s="132" t="s">
        <v>345</v>
      </c>
      <c r="G73" s="132" t="s">
        <v>42</v>
      </c>
      <c r="H73" s="53" t="s">
        <v>160</v>
      </c>
      <c r="I73" s="53" t="s">
        <v>159</v>
      </c>
      <c r="J73" s="132" t="s">
        <v>38</v>
      </c>
      <c r="K73" s="53" t="s">
        <v>161</v>
      </c>
      <c r="L73" s="53">
        <v>3</v>
      </c>
      <c r="N73" s="53">
        <v>1</v>
      </c>
      <c r="O73" s="53">
        <v>0.5</v>
      </c>
      <c r="P73" s="53">
        <v>0.55000000000000004</v>
      </c>
      <c r="Q73" s="75">
        <f t="shared" si="3"/>
        <v>0.52500000000000002</v>
      </c>
      <c r="R73" s="53">
        <v>15.1</v>
      </c>
      <c r="S73" s="53">
        <v>104</v>
      </c>
      <c r="T73" s="16">
        <f t="shared" si="4"/>
        <v>33</v>
      </c>
      <c r="U73" s="53">
        <v>159</v>
      </c>
      <c r="V73" s="134">
        <f t="shared" si="5"/>
        <v>5247</v>
      </c>
      <c r="W73" s="53">
        <v>12</v>
      </c>
      <c r="X73" s="132" t="s">
        <v>46</v>
      </c>
      <c r="Y73" s="53" t="s">
        <v>90</v>
      </c>
      <c r="Z73" s="53" t="s">
        <v>69</v>
      </c>
      <c r="AA73" s="53" t="s">
        <v>84</v>
      </c>
      <c r="AB73" s="132" t="s">
        <v>237</v>
      </c>
    </row>
    <row r="74" spans="1:48" x14ac:dyDescent="0.15">
      <c r="A74" s="132" t="s">
        <v>61</v>
      </c>
      <c r="B74" s="132" t="s">
        <v>233</v>
      </c>
      <c r="C74" s="132">
        <v>2019</v>
      </c>
      <c r="D74" s="133" t="s">
        <v>328</v>
      </c>
      <c r="E74" s="132" t="s">
        <v>346</v>
      </c>
      <c r="F74" s="132" t="s">
        <v>345</v>
      </c>
      <c r="G74" s="132" t="s">
        <v>42</v>
      </c>
      <c r="H74" s="53" t="s">
        <v>127</v>
      </c>
      <c r="I74" s="53" t="s">
        <v>159</v>
      </c>
      <c r="J74" s="132" t="s">
        <v>58</v>
      </c>
      <c r="K74" s="53" t="s">
        <v>59</v>
      </c>
      <c r="L74" s="53">
        <v>1</v>
      </c>
      <c r="N74" s="53">
        <v>5</v>
      </c>
      <c r="O74" s="53">
        <v>0.5</v>
      </c>
      <c r="P74" s="53">
        <v>0.6</v>
      </c>
      <c r="Q74" s="75">
        <f t="shared" si="3"/>
        <v>0.55000000000000004</v>
      </c>
      <c r="R74" s="53">
        <v>12.4</v>
      </c>
      <c r="S74" s="53">
        <v>57</v>
      </c>
      <c r="T74" s="16">
        <f t="shared" si="4"/>
        <v>50</v>
      </c>
      <c r="U74" s="53">
        <v>429</v>
      </c>
      <c r="V74" s="134">
        <f t="shared" si="5"/>
        <v>4290</v>
      </c>
      <c r="W74" s="53">
        <v>12</v>
      </c>
      <c r="X74" s="132" t="s">
        <v>46</v>
      </c>
      <c r="Y74" s="53" t="s">
        <v>295</v>
      </c>
      <c r="Z74" s="53" t="s">
        <v>69</v>
      </c>
      <c r="AA74" s="53" t="s">
        <v>84</v>
      </c>
      <c r="AB74" s="132" t="s">
        <v>237</v>
      </c>
      <c r="AC74" s="34"/>
      <c r="AE74" s="22"/>
      <c r="AP74" s="27" t="s">
        <v>113</v>
      </c>
      <c r="AR74" s="23" t="s">
        <v>105</v>
      </c>
      <c r="AV74" s="140" t="s">
        <v>354</v>
      </c>
    </row>
    <row r="75" spans="1:48" x14ac:dyDescent="0.15">
      <c r="A75" s="132" t="s">
        <v>61</v>
      </c>
      <c r="B75" s="132" t="s">
        <v>233</v>
      </c>
      <c r="C75" s="132">
        <v>2019</v>
      </c>
      <c r="D75" s="133" t="s">
        <v>328</v>
      </c>
      <c r="E75" s="132" t="s">
        <v>346</v>
      </c>
      <c r="F75" s="132" t="s">
        <v>345</v>
      </c>
      <c r="G75" s="132" t="s">
        <v>42</v>
      </c>
      <c r="H75" s="53" t="s">
        <v>127</v>
      </c>
      <c r="I75" s="53" t="s">
        <v>159</v>
      </c>
      <c r="J75" s="132" t="s">
        <v>58</v>
      </c>
      <c r="K75" s="53" t="s">
        <v>59</v>
      </c>
      <c r="L75" s="53">
        <v>2</v>
      </c>
      <c r="N75" s="53">
        <v>5</v>
      </c>
      <c r="O75" s="53">
        <v>0.5</v>
      </c>
      <c r="P75" s="53">
        <v>0.5</v>
      </c>
      <c r="Q75" s="75">
        <f t="shared" si="3"/>
        <v>0.5</v>
      </c>
      <c r="R75" s="53">
        <v>14.1</v>
      </c>
      <c r="S75" s="53">
        <v>85</v>
      </c>
      <c r="T75" s="16">
        <f t="shared" si="4"/>
        <v>36</v>
      </c>
      <c r="U75" s="53">
        <v>429</v>
      </c>
      <c r="V75" s="134">
        <f t="shared" si="5"/>
        <v>3088.7999999999997</v>
      </c>
      <c r="W75" s="53">
        <v>12</v>
      </c>
      <c r="X75" s="132" t="s">
        <v>46</v>
      </c>
      <c r="Y75" s="53" t="s">
        <v>295</v>
      </c>
      <c r="Z75" s="53" t="s">
        <v>69</v>
      </c>
      <c r="AA75" s="53" t="s">
        <v>84</v>
      </c>
      <c r="AB75" s="132" t="s">
        <v>237</v>
      </c>
      <c r="AC75" s="34"/>
      <c r="AE75" s="22"/>
      <c r="AP75" s="27" t="s">
        <v>114</v>
      </c>
      <c r="AR75" s="23" t="s">
        <v>68</v>
      </c>
      <c r="AV75" s="140" t="s">
        <v>355</v>
      </c>
    </row>
    <row r="76" spans="1:48" x14ac:dyDescent="0.15">
      <c r="A76" s="132" t="s">
        <v>61</v>
      </c>
      <c r="B76" s="132" t="s">
        <v>233</v>
      </c>
      <c r="C76" s="132">
        <v>2019</v>
      </c>
      <c r="D76" s="133" t="s">
        <v>328</v>
      </c>
      <c r="E76" s="132" t="s">
        <v>346</v>
      </c>
      <c r="F76" s="132" t="s">
        <v>345</v>
      </c>
      <c r="G76" s="132" t="s">
        <v>42</v>
      </c>
      <c r="H76" s="53" t="s">
        <v>127</v>
      </c>
      <c r="I76" s="53" t="s">
        <v>159</v>
      </c>
      <c r="J76" s="132" t="s">
        <v>58</v>
      </c>
      <c r="K76" s="53" t="s">
        <v>59</v>
      </c>
      <c r="L76" s="53">
        <v>3</v>
      </c>
      <c r="N76" s="53">
        <v>5</v>
      </c>
      <c r="O76" s="53">
        <v>0.5</v>
      </c>
      <c r="P76" s="53">
        <v>0.5</v>
      </c>
      <c r="Q76" s="75">
        <f t="shared" si="3"/>
        <v>0.5</v>
      </c>
      <c r="R76" s="53">
        <v>13.2</v>
      </c>
      <c r="S76" s="53">
        <v>49</v>
      </c>
      <c r="T76" s="16">
        <f t="shared" si="4"/>
        <v>50</v>
      </c>
      <c r="U76" s="53">
        <v>429</v>
      </c>
      <c r="V76" s="134">
        <f t="shared" si="5"/>
        <v>4290</v>
      </c>
      <c r="W76" s="53">
        <v>12</v>
      </c>
      <c r="X76" s="132" t="s">
        <v>46</v>
      </c>
      <c r="Y76" s="53" t="s">
        <v>295</v>
      </c>
      <c r="Z76" s="53" t="s">
        <v>69</v>
      </c>
      <c r="AA76" s="53" t="s">
        <v>84</v>
      </c>
      <c r="AB76" s="132" t="s">
        <v>237</v>
      </c>
      <c r="AC76" s="34"/>
      <c r="AE76" s="35"/>
      <c r="AP76" s="27" t="s">
        <v>115</v>
      </c>
      <c r="AR76" s="23" t="s">
        <v>83</v>
      </c>
      <c r="AV76" s="23"/>
    </row>
    <row r="77" spans="1:48" x14ac:dyDescent="0.15">
      <c r="A77" s="132"/>
      <c r="B77" s="132"/>
      <c r="C77" s="132"/>
      <c r="D77" s="133"/>
      <c r="E77" s="132"/>
      <c r="F77" s="132"/>
      <c r="G77" s="132"/>
      <c r="J77" s="132"/>
      <c r="Q77" s="75" t="str">
        <f t="shared" si="3"/>
        <v/>
      </c>
      <c r="T77" s="16" t="str">
        <f t="shared" si="4"/>
        <v/>
      </c>
      <c r="V77" s="134" t="str">
        <f t="shared" si="5"/>
        <v/>
      </c>
      <c r="X77" s="132"/>
      <c r="AB77" s="132"/>
      <c r="AC77" s="34"/>
    </row>
    <row r="78" spans="1:48" x14ac:dyDescent="0.15">
      <c r="A78" s="132"/>
      <c r="B78" s="132"/>
      <c r="C78" s="132"/>
      <c r="D78" s="133"/>
      <c r="E78" s="132"/>
      <c r="F78" s="132"/>
      <c r="G78" s="132"/>
      <c r="J78" s="132"/>
      <c r="Q78" s="75" t="str">
        <f t="shared" si="3"/>
        <v/>
      </c>
      <c r="R78" s="34"/>
      <c r="T78" s="16" t="str">
        <f t="shared" si="4"/>
        <v/>
      </c>
      <c r="V78" s="134" t="str">
        <f t="shared" si="5"/>
        <v/>
      </c>
      <c r="X78" s="132"/>
      <c r="AB78" s="132"/>
      <c r="AC78" s="34"/>
    </row>
    <row r="79" spans="1:48" x14ac:dyDescent="0.15">
      <c r="A79" s="132"/>
      <c r="B79" s="132"/>
      <c r="C79" s="132"/>
      <c r="D79" s="133"/>
      <c r="F79" s="132"/>
      <c r="G79" s="132"/>
      <c r="J79" s="132"/>
      <c r="Q79" s="75" t="str">
        <f t="shared" si="3"/>
        <v/>
      </c>
      <c r="R79" s="34"/>
      <c r="T79" s="16" t="str">
        <f t="shared" si="4"/>
        <v/>
      </c>
      <c r="V79" s="134" t="str">
        <f t="shared" si="5"/>
        <v/>
      </c>
      <c r="X79" s="132"/>
      <c r="AB79" s="132"/>
      <c r="AC79" s="34"/>
    </row>
    <row r="80" spans="1:48" x14ac:dyDescent="0.15">
      <c r="A80" s="132"/>
      <c r="B80" s="132"/>
      <c r="C80" s="132"/>
      <c r="D80" s="133"/>
      <c r="F80" s="132"/>
      <c r="G80" s="132"/>
      <c r="J80" s="132"/>
      <c r="Q80" s="75" t="str">
        <f t="shared" si="3"/>
        <v/>
      </c>
      <c r="T80" s="16" t="str">
        <f t="shared" si="4"/>
        <v/>
      </c>
      <c r="V80" s="134" t="str">
        <f t="shared" si="5"/>
        <v/>
      </c>
      <c r="X80" s="132"/>
      <c r="AB80" s="132"/>
      <c r="AC80" s="34"/>
    </row>
    <row r="81" spans="1:29" x14ac:dyDescent="0.15">
      <c r="A81" s="132"/>
      <c r="B81" s="132"/>
      <c r="C81" s="132"/>
      <c r="D81" s="133"/>
      <c r="F81" s="132"/>
      <c r="G81" s="132"/>
      <c r="J81" s="132"/>
      <c r="Q81" s="75" t="str">
        <f t="shared" si="3"/>
        <v/>
      </c>
      <c r="T81" s="16" t="str">
        <f t="shared" si="4"/>
        <v/>
      </c>
      <c r="V81" s="134" t="str">
        <f t="shared" si="5"/>
        <v/>
      </c>
      <c r="X81" s="132"/>
      <c r="AB81" s="132"/>
      <c r="AC81" s="34"/>
    </row>
    <row r="82" spans="1:29" x14ac:dyDescent="0.15">
      <c r="A82" s="132"/>
      <c r="B82" s="132"/>
      <c r="C82" s="132"/>
      <c r="D82" s="133"/>
      <c r="G82" s="132"/>
      <c r="J82" s="132"/>
      <c r="Q82" s="75" t="str">
        <f t="shared" si="3"/>
        <v/>
      </c>
      <c r="T82" s="16" t="str">
        <f t="shared" si="4"/>
        <v/>
      </c>
      <c r="V82" s="134" t="str">
        <f t="shared" si="5"/>
        <v/>
      </c>
      <c r="X82" s="132"/>
      <c r="AB82" s="132"/>
      <c r="AC82" s="34"/>
    </row>
    <row r="83" spans="1:29" x14ac:dyDescent="0.15">
      <c r="A83" s="132"/>
      <c r="B83" s="132"/>
      <c r="C83" s="132"/>
      <c r="D83" s="133"/>
      <c r="G83" s="132"/>
      <c r="J83" s="132"/>
      <c r="Q83" s="75"/>
      <c r="V83" s="134"/>
      <c r="X83" s="132"/>
      <c r="AB83" s="132"/>
    </row>
    <row r="84" spans="1:29" x14ac:dyDescent="0.15">
      <c r="A84" s="132"/>
      <c r="B84" s="132"/>
      <c r="C84" s="132"/>
      <c r="D84" s="133"/>
      <c r="G84" s="132"/>
      <c r="J84" s="132"/>
      <c r="Q84" s="75"/>
      <c r="V84" s="134"/>
      <c r="X84" s="132"/>
      <c r="AB84" s="132"/>
    </row>
    <row r="85" spans="1:29" x14ac:dyDescent="0.15">
      <c r="A85" s="132"/>
      <c r="B85" s="132"/>
      <c r="C85" s="132"/>
      <c r="D85" s="133"/>
      <c r="G85" s="132"/>
      <c r="J85" s="132"/>
      <c r="Q85" s="75"/>
      <c r="V85" s="134"/>
      <c r="X85" s="132"/>
      <c r="AB85" s="132"/>
    </row>
    <row r="86" spans="1:29" x14ac:dyDescent="0.15">
      <c r="A86" s="132"/>
      <c r="B86" s="132"/>
      <c r="C86" s="132"/>
      <c r="D86" s="133"/>
      <c r="G86" s="132"/>
      <c r="J86" s="132"/>
      <c r="Q86" s="75" t="str">
        <f t="shared" ref="Q86:Q88" si="6">IF(OR(O86="",P86=""),"",AVERAGE(O86,P86))</f>
        <v/>
      </c>
      <c r="T86" s="16" t="str">
        <f>IF(H86="","",IF(OR(H86="GREEN",H86="GK"),IF(S86&gt;=$AX$2,VLOOKUP(S86,$AX$2:$AY$15,2,1),""),IF(S86&gt;=$AZ$2,VLOOKUP(S86,$AZ$2:$BA$15,2,1),"")))</f>
        <v/>
      </c>
      <c r="V86" s="134" t="str">
        <f t="shared" ref="V86:V88" si="7">IF(OR(N86="",U86="",T86=""),"",U86/N86*T86)</f>
        <v/>
      </c>
      <c r="X86" s="132"/>
      <c r="AB86" s="132"/>
    </row>
    <row r="87" spans="1:29" x14ac:dyDescent="0.15">
      <c r="A87" s="132"/>
      <c r="B87" s="132"/>
      <c r="C87" s="132"/>
      <c r="D87" s="133"/>
      <c r="G87" s="132"/>
      <c r="J87" s="132"/>
      <c r="Q87" s="75" t="str">
        <f t="shared" si="6"/>
        <v/>
      </c>
      <c r="T87" s="16" t="str">
        <f>IF(H87="","",IF(OR(H87="GREEN",H87="GK"),IF(S87&gt;=$AX$2,VLOOKUP(S87,$AX$2:$AY$15,2,1),""),IF(S87&gt;=$AZ$2,VLOOKUP(S87,$AZ$2:$BA$15,2,1),"")))</f>
        <v/>
      </c>
      <c r="V87" s="134" t="str">
        <f t="shared" si="7"/>
        <v/>
      </c>
      <c r="X87" s="132"/>
      <c r="AB87" s="132"/>
    </row>
    <row r="88" spans="1:29" x14ac:dyDescent="0.15">
      <c r="A88" s="132"/>
      <c r="B88" s="132"/>
      <c r="C88" s="132"/>
      <c r="D88" s="133"/>
      <c r="G88" s="132"/>
      <c r="J88" s="132"/>
      <c r="Q88" s="75" t="str">
        <f t="shared" si="6"/>
        <v/>
      </c>
      <c r="T88" s="16" t="str">
        <f>IF(H88="","",IF(OR(H88="GREEN",H88="GK"),IF(S88&gt;=$AX$2,VLOOKUP(S88,$AX$2:$AY$15,2,1),""),IF(S88&gt;=$AZ$2,VLOOKUP(S88,$AZ$2:$BA$15,2,1),"")))</f>
        <v/>
      </c>
      <c r="V88" s="134" t="str">
        <f t="shared" si="7"/>
        <v/>
      </c>
      <c r="X88" s="132"/>
      <c r="AB88" s="132"/>
    </row>
    <row r="89" spans="1:29" x14ac:dyDescent="0.15">
      <c r="A89" s="132"/>
      <c r="B89" s="132"/>
      <c r="C89" s="132"/>
      <c r="D89" s="133"/>
      <c r="G89" s="132"/>
      <c r="J89" s="132"/>
      <c r="Q89" s="75"/>
      <c r="V89" s="134"/>
      <c r="X89" s="132"/>
      <c r="AB89" s="132"/>
    </row>
    <row r="90" spans="1:29" x14ac:dyDescent="0.15">
      <c r="A90" s="132"/>
      <c r="B90" s="132"/>
      <c r="C90" s="132"/>
      <c r="D90" s="133"/>
      <c r="G90" s="132"/>
      <c r="J90" s="132"/>
      <c r="Q90" s="75"/>
      <c r="V90" s="134"/>
      <c r="X90" s="132"/>
      <c r="AB90" s="132"/>
    </row>
    <row r="91" spans="1:29" x14ac:dyDescent="0.15">
      <c r="A91" s="132"/>
      <c r="B91" s="132"/>
      <c r="C91" s="132"/>
      <c r="D91" s="133"/>
      <c r="G91" s="132"/>
      <c r="J91" s="132"/>
      <c r="Q91" s="75"/>
      <c r="V91" s="134"/>
      <c r="X91" s="132"/>
      <c r="AB91" s="132"/>
    </row>
    <row r="92" spans="1:29" x14ac:dyDescent="0.15">
      <c r="A92" s="132"/>
      <c r="B92" s="132"/>
      <c r="C92" s="132"/>
      <c r="D92" s="133"/>
      <c r="G92" s="132"/>
      <c r="J92" s="132"/>
      <c r="Q92" s="75"/>
      <c r="V92" s="134"/>
      <c r="X92" s="132"/>
      <c r="AB92" s="132"/>
    </row>
    <row r="93" spans="1:29" x14ac:dyDescent="0.15">
      <c r="A93" s="132"/>
      <c r="B93" s="132"/>
      <c r="C93" s="132"/>
      <c r="D93" s="133"/>
      <c r="G93" s="132"/>
      <c r="J93" s="132"/>
      <c r="Q93" s="75"/>
      <c r="V93" s="134"/>
      <c r="X93" s="132"/>
      <c r="AB93" s="132"/>
    </row>
    <row r="94" spans="1:29" x14ac:dyDescent="0.15">
      <c r="A94" s="132"/>
      <c r="B94" s="132"/>
      <c r="C94" s="132"/>
      <c r="D94" s="133"/>
      <c r="G94" s="132"/>
      <c r="J94" s="132"/>
      <c r="Q94" s="75"/>
      <c r="V94" s="134"/>
      <c r="X94" s="132"/>
      <c r="AB94" s="132"/>
    </row>
    <row r="95" spans="1:29" x14ac:dyDescent="0.15">
      <c r="A95" s="132"/>
      <c r="B95" s="132"/>
      <c r="C95" s="132"/>
      <c r="D95" s="133"/>
      <c r="G95" s="132"/>
      <c r="J95" s="132"/>
      <c r="Q95" s="75"/>
      <c r="V95" s="134"/>
      <c r="X95" s="132"/>
      <c r="AB95" s="132"/>
    </row>
    <row r="96" spans="1:29" x14ac:dyDescent="0.15">
      <c r="A96" s="132"/>
      <c r="B96" s="132"/>
      <c r="C96" s="132"/>
      <c r="D96" s="133"/>
      <c r="G96" s="132"/>
      <c r="J96" s="132"/>
      <c r="Q96" s="75"/>
      <c r="V96" s="134"/>
      <c r="X96" s="132"/>
      <c r="AB96" s="132"/>
    </row>
    <row r="97" spans="1:28" x14ac:dyDescent="0.15">
      <c r="A97" s="132"/>
      <c r="B97" s="132"/>
      <c r="C97" s="132"/>
      <c r="D97" s="133"/>
      <c r="G97" s="132"/>
      <c r="J97" s="132"/>
      <c r="Q97" s="75"/>
      <c r="V97" s="134"/>
      <c r="X97" s="132"/>
      <c r="AB97" s="132"/>
    </row>
    <row r="98" spans="1:28" x14ac:dyDescent="0.15">
      <c r="A98" s="132"/>
      <c r="B98" s="132"/>
      <c r="C98" s="132"/>
      <c r="D98" s="133"/>
      <c r="G98" s="132"/>
      <c r="J98" s="132"/>
      <c r="Q98" s="75"/>
      <c r="V98" s="134"/>
      <c r="X98" s="132"/>
      <c r="AB98" s="132"/>
    </row>
    <row r="99" spans="1:28" x14ac:dyDescent="0.15">
      <c r="A99" s="132"/>
      <c r="B99" s="132"/>
      <c r="C99" s="132"/>
      <c r="D99" s="133"/>
      <c r="G99" s="132"/>
      <c r="J99" s="132"/>
      <c r="Q99" s="75"/>
      <c r="V99" s="134"/>
      <c r="X99" s="132"/>
      <c r="AB99" s="132"/>
    </row>
    <row r="100" spans="1:28" x14ac:dyDescent="0.15">
      <c r="A100" s="132"/>
      <c r="B100" s="132"/>
      <c r="C100" s="132"/>
      <c r="D100" s="133"/>
      <c r="G100" s="132"/>
      <c r="J100" s="132"/>
      <c r="Q100" s="75"/>
      <c r="V100" s="134"/>
      <c r="X100" s="132"/>
      <c r="AB100" s="132"/>
    </row>
    <row r="101" spans="1:28" x14ac:dyDescent="0.15">
      <c r="A101" s="132"/>
      <c r="B101" s="132"/>
      <c r="C101" s="132"/>
      <c r="D101" s="133"/>
      <c r="G101" s="132"/>
      <c r="J101" s="132"/>
      <c r="Q101" s="75"/>
      <c r="V101" s="134"/>
      <c r="X101" s="132"/>
      <c r="AB101" s="132"/>
    </row>
    <row r="102" spans="1:28" x14ac:dyDescent="0.15">
      <c r="A102" s="132"/>
      <c r="B102" s="132"/>
      <c r="C102" s="132"/>
      <c r="D102" s="133"/>
      <c r="G102" s="132"/>
      <c r="J102" s="132"/>
      <c r="Q102" s="75"/>
      <c r="V102" s="134"/>
      <c r="X102" s="132"/>
      <c r="AB102" s="132"/>
    </row>
    <row r="103" spans="1:28" x14ac:dyDescent="0.15">
      <c r="A103" s="132"/>
      <c r="B103" s="132"/>
      <c r="C103" s="132"/>
      <c r="D103" s="133"/>
      <c r="G103" s="132"/>
      <c r="J103" s="132"/>
      <c r="Q103" s="75"/>
      <c r="V103" s="134"/>
      <c r="X103" s="132"/>
      <c r="AB103" s="132"/>
    </row>
    <row r="104" spans="1:28" x14ac:dyDescent="0.15">
      <c r="D104" s="133"/>
    </row>
    <row r="105" spans="1:28" x14ac:dyDescent="0.15">
      <c r="A105" s="132"/>
      <c r="B105" s="132"/>
      <c r="C105" s="132"/>
      <c r="D105" s="133"/>
      <c r="G105" s="132"/>
      <c r="J105" s="132"/>
      <c r="Q105" s="75"/>
      <c r="V105" s="134"/>
      <c r="X105" s="132"/>
      <c r="AB105" s="132"/>
    </row>
    <row r="106" spans="1:28" x14ac:dyDescent="0.15">
      <c r="A106" s="132"/>
      <c r="B106" s="132"/>
      <c r="C106" s="132"/>
      <c r="G106" s="132"/>
      <c r="J106" s="132"/>
      <c r="Q106" s="75"/>
      <c r="V106" s="134"/>
      <c r="X106" s="132"/>
      <c r="AB106" s="132"/>
    </row>
    <row r="107" spans="1:28" x14ac:dyDescent="0.15">
      <c r="A107" s="132"/>
      <c r="B107" s="132"/>
      <c r="C107" s="132"/>
      <c r="D107" s="133"/>
      <c r="G107" s="132"/>
      <c r="J107" s="132"/>
      <c r="Q107" s="75"/>
      <c r="V107" s="134"/>
      <c r="X107" s="132"/>
      <c r="AB107" s="132"/>
    </row>
    <row r="108" spans="1:28" x14ac:dyDescent="0.15">
      <c r="A108" s="132"/>
      <c r="B108" s="132"/>
      <c r="C108" s="132"/>
      <c r="D108" s="133"/>
      <c r="G108" s="132"/>
      <c r="J108" s="132"/>
      <c r="Q108" s="75"/>
      <c r="V108" s="134"/>
      <c r="X108" s="132"/>
      <c r="AB108" s="132"/>
    </row>
    <row r="109" spans="1:28" x14ac:dyDescent="0.15">
      <c r="A109" s="132"/>
      <c r="B109" s="132"/>
      <c r="C109" s="132"/>
      <c r="D109" s="133"/>
      <c r="G109" s="132"/>
      <c r="J109" s="132"/>
      <c r="Q109" s="75"/>
      <c r="V109" s="134"/>
      <c r="X109" s="132"/>
      <c r="AB109" s="132"/>
    </row>
    <row r="110" spans="1:28" x14ac:dyDescent="0.15">
      <c r="A110" s="132"/>
      <c r="B110" s="132"/>
      <c r="C110" s="132"/>
      <c r="D110" s="133"/>
      <c r="G110" s="132"/>
      <c r="J110" s="132"/>
      <c r="Q110" s="75"/>
      <c r="V110" s="134"/>
      <c r="X110" s="132"/>
      <c r="AB110" s="132"/>
    </row>
    <row r="111" spans="1:28" x14ac:dyDescent="0.15">
      <c r="A111" s="132"/>
      <c r="B111" s="132"/>
      <c r="C111" s="132"/>
      <c r="D111" s="133"/>
      <c r="G111" s="132"/>
      <c r="J111" s="132"/>
      <c r="Q111" s="75"/>
      <c r="V111" s="134"/>
      <c r="X111" s="132"/>
      <c r="AB111" s="132"/>
    </row>
    <row r="112" spans="1:28" x14ac:dyDescent="0.15">
      <c r="A112" s="132"/>
      <c r="B112" s="132"/>
      <c r="C112" s="132"/>
      <c r="D112" s="133"/>
      <c r="G112" s="132"/>
      <c r="J112" s="132"/>
      <c r="Q112" s="75"/>
      <c r="V112" s="134"/>
      <c r="X112" s="132"/>
      <c r="AB112" s="132"/>
    </row>
    <row r="113" spans="1:28" x14ac:dyDescent="0.15">
      <c r="A113" s="132"/>
      <c r="B113" s="132"/>
      <c r="C113" s="132"/>
      <c r="D113" s="133"/>
      <c r="G113" s="132"/>
      <c r="J113" s="132"/>
      <c r="Q113" s="75"/>
      <c r="V113" s="134"/>
      <c r="X113" s="132"/>
      <c r="AB113" s="132"/>
    </row>
    <row r="114" spans="1:28" x14ac:dyDescent="0.15">
      <c r="A114" s="132"/>
      <c r="B114" s="132"/>
      <c r="C114" s="132"/>
      <c r="D114" s="133"/>
      <c r="G114" s="132"/>
      <c r="J114" s="132"/>
      <c r="Q114" s="75"/>
      <c r="V114" s="134"/>
      <c r="X114" s="132"/>
      <c r="AB114" s="132"/>
    </row>
    <row r="115" spans="1:28" x14ac:dyDescent="0.15">
      <c r="A115" s="132"/>
      <c r="B115" s="132"/>
      <c r="C115" s="132"/>
      <c r="D115" s="133"/>
      <c r="G115" s="132"/>
      <c r="J115" s="132"/>
      <c r="Q115" s="75"/>
      <c r="V115" s="134"/>
      <c r="X115" s="132"/>
      <c r="AB115" s="132"/>
    </row>
    <row r="116" spans="1:28" x14ac:dyDescent="0.15">
      <c r="A116" s="132"/>
      <c r="B116" s="132"/>
      <c r="C116" s="132"/>
      <c r="D116" s="133"/>
      <c r="G116" s="132"/>
      <c r="J116" s="132"/>
      <c r="Q116" s="75"/>
      <c r="V116" s="134"/>
      <c r="X116" s="132"/>
      <c r="AB116" s="132"/>
    </row>
    <row r="117" spans="1:28" x14ac:dyDescent="0.15">
      <c r="A117" s="132"/>
      <c r="B117" s="132"/>
      <c r="C117" s="132"/>
      <c r="D117" s="133"/>
      <c r="G117" s="132"/>
      <c r="J117" s="132"/>
      <c r="Q117" s="75"/>
      <c r="V117" s="134"/>
      <c r="X117" s="132"/>
      <c r="AB117" s="132"/>
    </row>
    <row r="118" spans="1:28" x14ac:dyDescent="0.15">
      <c r="A118" s="132"/>
      <c r="B118" s="132"/>
      <c r="C118" s="132"/>
      <c r="D118" s="133"/>
      <c r="G118" s="132"/>
      <c r="J118" s="132"/>
      <c r="Q118" s="75"/>
      <c r="V118" s="134"/>
      <c r="X118" s="132"/>
      <c r="AB118" s="132"/>
    </row>
    <row r="119" spans="1:28" x14ac:dyDescent="0.15">
      <c r="A119" s="132"/>
      <c r="B119" s="132"/>
      <c r="C119" s="132"/>
      <c r="D119" s="133"/>
      <c r="G119" s="132"/>
      <c r="J119" s="132"/>
      <c r="Q119" s="75"/>
      <c r="V119" s="134"/>
      <c r="X119" s="132"/>
      <c r="AB119" s="132"/>
    </row>
    <row r="120" spans="1:28" x14ac:dyDescent="0.15">
      <c r="A120" s="132"/>
      <c r="B120" s="132"/>
      <c r="C120" s="132"/>
      <c r="D120" s="133"/>
      <c r="G120" s="132"/>
      <c r="J120" s="132"/>
      <c r="Q120" s="75"/>
      <c r="V120" s="134"/>
      <c r="X120" s="132"/>
      <c r="AB120" s="132"/>
    </row>
    <row r="121" spans="1:28" x14ac:dyDescent="0.15">
      <c r="A121" s="132"/>
      <c r="B121" s="132"/>
      <c r="C121" s="132"/>
      <c r="D121" s="133"/>
      <c r="G121" s="132"/>
      <c r="J121" s="132"/>
      <c r="Q121" s="75"/>
      <c r="V121" s="134"/>
      <c r="X121" s="132"/>
      <c r="AB121" s="132"/>
    </row>
    <row r="122" spans="1:28" x14ac:dyDescent="0.15">
      <c r="D122" s="133"/>
    </row>
    <row r="123" spans="1:28" x14ac:dyDescent="0.15">
      <c r="D123" s="133"/>
    </row>
  </sheetData>
  <autoFilter ref="A1:BA1" xr:uid="{00000000-0009-0000-0000-000004000000}"/>
  <phoneticPr fontId="3"/>
  <dataValidations count="20">
    <dataValidation type="list" allowBlank="1" showInputMessage="1" showErrorMessage="1" sqref="K2:K509" xr:uid="{8ADAEE93-13BC-436D-AF89-F74B6A0A7423}">
      <formula1>$AR$2:$AR$28</formula1>
    </dataValidation>
    <dataValidation type="list" allowBlank="1" showInputMessage="1" showErrorMessage="1" sqref="I64415:I64420 WVQ981898:WVQ981903 WLU981898:WLU981903 WBY981898:WBY981903 VSC981898:VSC981903 VIG981898:VIG981903 UYK981898:UYK981903 UOO981898:UOO981903 UES981898:UES981903 TUW981898:TUW981903 TLA981898:TLA981903 TBE981898:TBE981903 SRI981898:SRI981903 SHM981898:SHM981903 RXQ981898:RXQ981903 RNU981898:RNU981903 RDY981898:RDY981903 QUC981898:QUC981903 QKG981898:QKG981903 QAK981898:QAK981903 PQO981898:PQO981903 PGS981898:PGS981903 OWW981898:OWW981903 ONA981898:ONA981903 ODE981898:ODE981903 NTI981898:NTI981903 NJM981898:NJM981903 MZQ981898:MZQ981903 MPU981898:MPU981903 MFY981898:MFY981903 LWC981898:LWC981903 LMG981898:LMG981903 LCK981898:LCK981903 KSO981898:KSO981903 KIS981898:KIS981903 JYW981898:JYW981903 JPA981898:JPA981903 JFE981898:JFE981903 IVI981898:IVI981903 ILM981898:ILM981903 IBQ981898:IBQ981903 HRU981898:HRU981903 HHY981898:HHY981903 GYC981898:GYC981903 GOG981898:GOG981903 GEK981898:GEK981903 FUO981898:FUO981903 FKS981898:FKS981903 FAW981898:FAW981903 ERA981898:ERA981903 EHE981898:EHE981903 DXI981898:DXI981903 DNM981898:DNM981903 DDQ981898:DDQ981903 CTU981898:CTU981903 CJY981898:CJY981903 CAC981898:CAC981903 BQG981898:BQG981903 BGK981898:BGK981903 AWO981898:AWO981903 AMS981898:AMS981903 ACW981898:ACW981903 TA981898:TA981903 JE981898:JE981903 I981919:I981924 WVQ916362:WVQ916367 WLU916362:WLU916367 WBY916362:WBY916367 VSC916362:VSC916367 VIG916362:VIG916367 UYK916362:UYK916367 UOO916362:UOO916367 UES916362:UES916367 TUW916362:TUW916367 TLA916362:TLA916367 TBE916362:TBE916367 SRI916362:SRI916367 SHM916362:SHM916367 RXQ916362:RXQ916367 RNU916362:RNU916367 RDY916362:RDY916367 QUC916362:QUC916367 QKG916362:QKG916367 QAK916362:QAK916367 PQO916362:PQO916367 PGS916362:PGS916367 OWW916362:OWW916367 ONA916362:ONA916367 ODE916362:ODE916367 NTI916362:NTI916367 NJM916362:NJM916367 MZQ916362:MZQ916367 MPU916362:MPU916367 MFY916362:MFY916367 LWC916362:LWC916367 LMG916362:LMG916367 LCK916362:LCK916367 KSO916362:KSO916367 KIS916362:KIS916367 JYW916362:JYW916367 JPA916362:JPA916367 JFE916362:JFE916367 IVI916362:IVI916367 ILM916362:ILM916367 IBQ916362:IBQ916367 HRU916362:HRU916367 HHY916362:HHY916367 GYC916362:GYC916367 GOG916362:GOG916367 GEK916362:GEK916367 FUO916362:FUO916367 FKS916362:FKS916367 FAW916362:FAW916367 ERA916362:ERA916367 EHE916362:EHE916367 DXI916362:DXI916367 DNM916362:DNM916367 DDQ916362:DDQ916367 CTU916362:CTU916367 CJY916362:CJY916367 CAC916362:CAC916367 BQG916362:BQG916367 BGK916362:BGK916367 AWO916362:AWO916367 AMS916362:AMS916367 ACW916362:ACW916367 TA916362:TA916367 JE916362:JE916367 I916383:I916388 WVQ850826:WVQ850831 WLU850826:WLU850831 WBY850826:WBY850831 VSC850826:VSC850831 VIG850826:VIG850831 UYK850826:UYK850831 UOO850826:UOO850831 UES850826:UES850831 TUW850826:TUW850831 TLA850826:TLA850831 TBE850826:TBE850831 SRI850826:SRI850831 SHM850826:SHM850831 RXQ850826:RXQ850831 RNU850826:RNU850831 RDY850826:RDY850831 QUC850826:QUC850831 QKG850826:QKG850831 QAK850826:QAK850831 PQO850826:PQO850831 PGS850826:PGS850831 OWW850826:OWW850831 ONA850826:ONA850831 ODE850826:ODE850831 NTI850826:NTI850831 NJM850826:NJM850831 MZQ850826:MZQ850831 MPU850826:MPU850831 MFY850826:MFY850831 LWC850826:LWC850831 LMG850826:LMG850831 LCK850826:LCK850831 KSO850826:KSO850831 KIS850826:KIS850831 JYW850826:JYW850831 JPA850826:JPA850831 JFE850826:JFE850831 IVI850826:IVI850831 ILM850826:ILM850831 IBQ850826:IBQ850831 HRU850826:HRU850831 HHY850826:HHY850831 GYC850826:GYC850831 GOG850826:GOG850831 GEK850826:GEK850831 FUO850826:FUO850831 FKS850826:FKS850831 FAW850826:FAW850831 ERA850826:ERA850831 EHE850826:EHE850831 DXI850826:DXI850831 DNM850826:DNM850831 DDQ850826:DDQ850831 CTU850826:CTU850831 CJY850826:CJY850831 CAC850826:CAC850831 BQG850826:BQG850831 BGK850826:BGK850831 AWO850826:AWO850831 AMS850826:AMS850831 ACW850826:ACW850831 TA850826:TA850831 JE850826:JE850831 I850847:I850852 WVQ785290:WVQ785295 WLU785290:WLU785295 WBY785290:WBY785295 VSC785290:VSC785295 VIG785290:VIG785295 UYK785290:UYK785295 UOO785290:UOO785295 UES785290:UES785295 TUW785290:TUW785295 TLA785290:TLA785295 TBE785290:TBE785295 SRI785290:SRI785295 SHM785290:SHM785295 RXQ785290:RXQ785295 RNU785290:RNU785295 RDY785290:RDY785295 QUC785290:QUC785295 QKG785290:QKG785295 QAK785290:QAK785295 PQO785290:PQO785295 PGS785290:PGS785295 OWW785290:OWW785295 ONA785290:ONA785295 ODE785290:ODE785295 NTI785290:NTI785295 NJM785290:NJM785295 MZQ785290:MZQ785295 MPU785290:MPU785295 MFY785290:MFY785295 LWC785290:LWC785295 LMG785290:LMG785295 LCK785290:LCK785295 KSO785290:KSO785295 KIS785290:KIS785295 JYW785290:JYW785295 JPA785290:JPA785295 JFE785290:JFE785295 IVI785290:IVI785295 ILM785290:ILM785295 IBQ785290:IBQ785295 HRU785290:HRU785295 HHY785290:HHY785295 GYC785290:GYC785295 GOG785290:GOG785295 GEK785290:GEK785295 FUO785290:FUO785295 FKS785290:FKS785295 FAW785290:FAW785295 ERA785290:ERA785295 EHE785290:EHE785295 DXI785290:DXI785295 DNM785290:DNM785295 DDQ785290:DDQ785295 CTU785290:CTU785295 CJY785290:CJY785295 CAC785290:CAC785295 BQG785290:BQG785295 BGK785290:BGK785295 AWO785290:AWO785295 AMS785290:AMS785295 ACW785290:ACW785295 TA785290:TA785295 JE785290:JE785295 I785311:I785316 WVQ719754:WVQ719759 WLU719754:WLU719759 WBY719754:WBY719759 VSC719754:VSC719759 VIG719754:VIG719759 UYK719754:UYK719759 UOO719754:UOO719759 UES719754:UES719759 TUW719754:TUW719759 TLA719754:TLA719759 TBE719754:TBE719759 SRI719754:SRI719759 SHM719754:SHM719759 RXQ719754:RXQ719759 RNU719754:RNU719759 RDY719754:RDY719759 QUC719754:QUC719759 QKG719754:QKG719759 QAK719754:QAK719759 PQO719754:PQO719759 PGS719754:PGS719759 OWW719754:OWW719759 ONA719754:ONA719759 ODE719754:ODE719759 NTI719754:NTI719759 NJM719754:NJM719759 MZQ719754:MZQ719759 MPU719754:MPU719759 MFY719754:MFY719759 LWC719754:LWC719759 LMG719754:LMG719759 LCK719754:LCK719759 KSO719754:KSO719759 KIS719754:KIS719759 JYW719754:JYW719759 JPA719754:JPA719759 JFE719754:JFE719759 IVI719754:IVI719759 ILM719754:ILM719759 IBQ719754:IBQ719759 HRU719754:HRU719759 HHY719754:HHY719759 GYC719754:GYC719759 GOG719754:GOG719759 GEK719754:GEK719759 FUO719754:FUO719759 FKS719754:FKS719759 FAW719754:FAW719759 ERA719754:ERA719759 EHE719754:EHE719759 DXI719754:DXI719759 DNM719754:DNM719759 DDQ719754:DDQ719759 CTU719754:CTU719759 CJY719754:CJY719759 CAC719754:CAC719759 BQG719754:BQG719759 BGK719754:BGK719759 AWO719754:AWO719759 AMS719754:AMS719759 ACW719754:ACW719759 TA719754:TA719759 JE719754:JE719759 I719775:I719780 WVQ654218:WVQ654223 WLU654218:WLU654223 WBY654218:WBY654223 VSC654218:VSC654223 VIG654218:VIG654223 UYK654218:UYK654223 UOO654218:UOO654223 UES654218:UES654223 TUW654218:TUW654223 TLA654218:TLA654223 TBE654218:TBE654223 SRI654218:SRI654223 SHM654218:SHM654223 RXQ654218:RXQ654223 RNU654218:RNU654223 RDY654218:RDY654223 QUC654218:QUC654223 QKG654218:QKG654223 QAK654218:QAK654223 PQO654218:PQO654223 PGS654218:PGS654223 OWW654218:OWW654223 ONA654218:ONA654223 ODE654218:ODE654223 NTI654218:NTI654223 NJM654218:NJM654223 MZQ654218:MZQ654223 MPU654218:MPU654223 MFY654218:MFY654223 LWC654218:LWC654223 LMG654218:LMG654223 LCK654218:LCK654223 KSO654218:KSO654223 KIS654218:KIS654223 JYW654218:JYW654223 JPA654218:JPA654223 JFE654218:JFE654223 IVI654218:IVI654223 ILM654218:ILM654223 IBQ654218:IBQ654223 HRU654218:HRU654223 HHY654218:HHY654223 GYC654218:GYC654223 GOG654218:GOG654223 GEK654218:GEK654223 FUO654218:FUO654223 FKS654218:FKS654223 FAW654218:FAW654223 ERA654218:ERA654223 EHE654218:EHE654223 DXI654218:DXI654223 DNM654218:DNM654223 DDQ654218:DDQ654223 CTU654218:CTU654223 CJY654218:CJY654223 CAC654218:CAC654223 BQG654218:BQG654223 BGK654218:BGK654223 AWO654218:AWO654223 AMS654218:AMS654223 ACW654218:ACW654223 TA654218:TA654223 JE654218:JE654223 I654239:I654244 WVQ588682:WVQ588687 WLU588682:WLU588687 WBY588682:WBY588687 VSC588682:VSC588687 VIG588682:VIG588687 UYK588682:UYK588687 UOO588682:UOO588687 UES588682:UES588687 TUW588682:TUW588687 TLA588682:TLA588687 TBE588682:TBE588687 SRI588682:SRI588687 SHM588682:SHM588687 RXQ588682:RXQ588687 RNU588682:RNU588687 RDY588682:RDY588687 QUC588682:QUC588687 QKG588682:QKG588687 QAK588682:QAK588687 PQO588682:PQO588687 PGS588682:PGS588687 OWW588682:OWW588687 ONA588682:ONA588687 ODE588682:ODE588687 NTI588682:NTI588687 NJM588682:NJM588687 MZQ588682:MZQ588687 MPU588682:MPU588687 MFY588682:MFY588687 LWC588682:LWC588687 LMG588682:LMG588687 LCK588682:LCK588687 KSO588682:KSO588687 KIS588682:KIS588687 JYW588682:JYW588687 JPA588682:JPA588687 JFE588682:JFE588687 IVI588682:IVI588687 ILM588682:ILM588687 IBQ588682:IBQ588687 HRU588682:HRU588687 HHY588682:HHY588687 GYC588682:GYC588687 GOG588682:GOG588687 GEK588682:GEK588687 FUO588682:FUO588687 FKS588682:FKS588687 FAW588682:FAW588687 ERA588682:ERA588687 EHE588682:EHE588687 DXI588682:DXI588687 DNM588682:DNM588687 DDQ588682:DDQ588687 CTU588682:CTU588687 CJY588682:CJY588687 CAC588682:CAC588687 BQG588682:BQG588687 BGK588682:BGK588687 AWO588682:AWO588687 AMS588682:AMS588687 ACW588682:ACW588687 TA588682:TA588687 JE588682:JE588687 I588703:I588708 WVQ523146:WVQ523151 WLU523146:WLU523151 WBY523146:WBY523151 VSC523146:VSC523151 VIG523146:VIG523151 UYK523146:UYK523151 UOO523146:UOO523151 UES523146:UES523151 TUW523146:TUW523151 TLA523146:TLA523151 TBE523146:TBE523151 SRI523146:SRI523151 SHM523146:SHM523151 RXQ523146:RXQ523151 RNU523146:RNU523151 RDY523146:RDY523151 QUC523146:QUC523151 QKG523146:QKG523151 QAK523146:QAK523151 PQO523146:PQO523151 PGS523146:PGS523151 OWW523146:OWW523151 ONA523146:ONA523151 ODE523146:ODE523151 NTI523146:NTI523151 NJM523146:NJM523151 MZQ523146:MZQ523151 MPU523146:MPU523151 MFY523146:MFY523151 LWC523146:LWC523151 LMG523146:LMG523151 LCK523146:LCK523151 KSO523146:KSO523151 KIS523146:KIS523151 JYW523146:JYW523151 JPA523146:JPA523151 JFE523146:JFE523151 IVI523146:IVI523151 ILM523146:ILM523151 IBQ523146:IBQ523151 HRU523146:HRU523151 HHY523146:HHY523151 GYC523146:GYC523151 GOG523146:GOG523151 GEK523146:GEK523151 FUO523146:FUO523151 FKS523146:FKS523151 FAW523146:FAW523151 ERA523146:ERA523151 EHE523146:EHE523151 DXI523146:DXI523151 DNM523146:DNM523151 DDQ523146:DDQ523151 CTU523146:CTU523151 CJY523146:CJY523151 CAC523146:CAC523151 BQG523146:BQG523151 BGK523146:BGK523151 AWO523146:AWO523151 AMS523146:AMS523151 ACW523146:ACW523151 TA523146:TA523151 JE523146:JE523151 I523167:I523172 WVQ457610:WVQ457615 WLU457610:WLU457615 WBY457610:WBY457615 VSC457610:VSC457615 VIG457610:VIG457615 UYK457610:UYK457615 UOO457610:UOO457615 UES457610:UES457615 TUW457610:TUW457615 TLA457610:TLA457615 TBE457610:TBE457615 SRI457610:SRI457615 SHM457610:SHM457615 RXQ457610:RXQ457615 RNU457610:RNU457615 RDY457610:RDY457615 QUC457610:QUC457615 QKG457610:QKG457615 QAK457610:QAK457615 PQO457610:PQO457615 PGS457610:PGS457615 OWW457610:OWW457615 ONA457610:ONA457615 ODE457610:ODE457615 NTI457610:NTI457615 NJM457610:NJM457615 MZQ457610:MZQ457615 MPU457610:MPU457615 MFY457610:MFY457615 LWC457610:LWC457615 LMG457610:LMG457615 LCK457610:LCK457615 KSO457610:KSO457615 KIS457610:KIS457615 JYW457610:JYW457615 JPA457610:JPA457615 JFE457610:JFE457615 IVI457610:IVI457615 ILM457610:ILM457615 IBQ457610:IBQ457615 HRU457610:HRU457615 HHY457610:HHY457615 GYC457610:GYC457615 GOG457610:GOG457615 GEK457610:GEK457615 FUO457610:FUO457615 FKS457610:FKS457615 FAW457610:FAW457615 ERA457610:ERA457615 EHE457610:EHE457615 DXI457610:DXI457615 DNM457610:DNM457615 DDQ457610:DDQ457615 CTU457610:CTU457615 CJY457610:CJY457615 CAC457610:CAC457615 BQG457610:BQG457615 BGK457610:BGK457615 AWO457610:AWO457615 AMS457610:AMS457615 ACW457610:ACW457615 TA457610:TA457615 JE457610:JE457615 I457631:I457636 WVQ392074:WVQ392079 WLU392074:WLU392079 WBY392074:WBY392079 VSC392074:VSC392079 VIG392074:VIG392079 UYK392074:UYK392079 UOO392074:UOO392079 UES392074:UES392079 TUW392074:TUW392079 TLA392074:TLA392079 TBE392074:TBE392079 SRI392074:SRI392079 SHM392074:SHM392079 RXQ392074:RXQ392079 RNU392074:RNU392079 RDY392074:RDY392079 QUC392074:QUC392079 QKG392074:QKG392079 QAK392074:QAK392079 PQO392074:PQO392079 PGS392074:PGS392079 OWW392074:OWW392079 ONA392074:ONA392079 ODE392074:ODE392079 NTI392074:NTI392079 NJM392074:NJM392079 MZQ392074:MZQ392079 MPU392074:MPU392079 MFY392074:MFY392079 LWC392074:LWC392079 LMG392074:LMG392079 LCK392074:LCK392079 KSO392074:KSO392079 KIS392074:KIS392079 JYW392074:JYW392079 JPA392074:JPA392079 JFE392074:JFE392079 IVI392074:IVI392079 ILM392074:ILM392079 IBQ392074:IBQ392079 HRU392074:HRU392079 HHY392074:HHY392079 GYC392074:GYC392079 GOG392074:GOG392079 GEK392074:GEK392079 FUO392074:FUO392079 FKS392074:FKS392079 FAW392074:FAW392079 ERA392074:ERA392079 EHE392074:EHE392079 DXI392074:DXI392079 DNM392074:DNM392079 DDQ392074:DDQ392079 CTU392074:CTU392079 CJY392074:CJY392079 CAC392074:CAC392079 BQG392074:BQG392079 BGK392074:BGK392079 AWO392074:AWO392079 AMS392074:AMS392079 ACW392074:ACW392079 TA392074:TA392079 JE392074:JE392079 I392095:I392100 WVQ326538:WVQ326543 WLU326538:WLU326543 WBY326538:WBY326543 VSC326538:VSC326543 VIG326538:VIG326543 UYK326538:UYK326543 UOO326538:UOO326543 UES326538:UES326543 TUW326538:TUW326543 TLA326538:TLA326543 TBE326538:TBE326543 SRI326538:SRI326543 SHM326538:SHM326543 RXQ326538:RXQ326543 RNU326538:RNU326543 RDY326538:RDY326543 QUC326538:QUC326543 QKG326538:QKG326543 QAK326538:QAK326543 PQO326538:PQO326543 PGS326538:PGS326543 OWW326538:OWW326543 ONA326538:ONA326543 ODE326538:ODE326543 NTI326538:NTI326543 NJM326538:NJM326543 MZQ326538:MZQ326543 MPU326538:MPU326543 MFY326538:MFY326543 LWC326538:LWC326543 LMG326538:LMG326543 LCK326538:LCK326543 KSO326538:KSO326543 KIS326538:KIS326543 JYW326538:JYW326543 JPA326538:JPA326543 JFE326538:JFE326543 IVI326538:IVI326543 ILM326538:ILM326543 IBQ326538:IBQ326543 HRU326538:HRU326543 HHY326538:HHY326543 GYC326538:GYC326543 GOG326538:GOG326543 GEK326538:GEK326543 FUO326538:FUO326543 FKS326538:FKS326543 FAW326538:FAW326543 ERA326538:ERA326543 EHE326538:EHE326543 DXI326538:DXI326543 DNM326538:DNM326543 DDQ326538:DDQ326543 CTU326538:CTU326543 CJY326538:CJY326543 CAC326538:CAC326543 BQG326538:BQG326543 BGK326538:BGK326543 AWO326538:AWO326543 AMS326538:AMS326543 ACW326538:ACW326543 TA326538:TA326543 JE326538:JE326543 I326559:I326564 WVQ261002:WVQ261007 WLU261002:WLU261007 WBY261002:WBY261007 VSC261002:VSC261007 VIG261002:VIG261007 UYK261002:UYK261007 UOO261002:UOO261007 UES261002:UES261007 TUW261002:TUW261007 TLA261002:TLA261007 TBE261002:TBE261007 SRI261002:SRI261007 SHM261002:SHM261007 RXQ261002:RXQ261007 RNU261002:RNU261007 RDY261002:RDY261007 QUC261002:QUC261007 QKG261002:QKG261007 QAK261002:QAK261007 PQO261002:PQO261007 PGS261002:PGS261007 OWW261002:OWW261007 ONA261002:ONA261007 ODE261002:ODE261007 NTI261002:NTI261007 NJM261002:NJM261007 MZQ261002:MZQ261007 MPU261002:MPU261007 MFY261002:MFY261007 LWC261002:LWC261007 LMG261002:LMG261007 LCK261002:LCK261007 KSO261002:KSO261007 KIS261002:KIS261007 JYW261002:JYW261007 JPA261002:JPA261007 JFE261002:JFE261007 IVI261002:IVI261007 ILM261002:ILM261007 IBQ261002:IBQ261007 HRU261002:HRU261007 HHY261002:HHY261007 GYC261002:GYC261007 GOG261002:GOG261007 GEK261002:GEK261007 FUO261002:FUO261007 FKS261002:FKS261007 FAW261002:FAW261007 ERA261002:ERA261007 EHE261002:EHE261007 DXI261002:DXI261007 DNM261002:DNM261007 DDQ261002:DDQ261007 CTU261002:CTU261007 CJY261002:CJY261007 CAC261002:CAC261007 BQG261002:BQG261007 BGK261002:BGK261007 AWO261002:AWO261007 AMS261002:AMS261007 ACW261002:ACW261007 TA261002:TA261007 JE261002:JE261007 I261023:I261028 WVQ195466:WVQ195471 WLU195466:WLU195471 WBY195466:WBY195471 VSC195466:VSC195471 VIG195466:VIG195471 UYK195466:UYK195471 UOO195466:UOO195471 UES195466:UES195471 TUW195466:TUW195471 TLA195466:TLA195471 TBE195466:TBE195471 SRI195466:SRI195471 SHM195466:SHM195471 RXQ195466:RXQ195471 RNU195466:RNU195471 RDY195466:RDY195471 QUC195466:QUC195471 QKG195466:QKG195471 QAK195466:QAK195471 PQO195466:PQO195471 PGS195466:PGS195471 OWW195466:OWW195471 ONA195466:ONA195471 ODE195466:ODE195471 NTI195466:NTI195471 NJM195466:NJM195471 MZQ195466:MZQ195471 MPU195466:MPU195471 MFY195466:MFY195471 LWC195466:LWC195471 LMG195466:LMG195471 LCK195466:LCK195471 KSO195466:KSO195471 KIS195466:KIS195471 JYW195466:JYW195471 JPA195466:JPA195471 JFE195466:JFE195471 IVI195466:IVI195471 ILM195466:ILM195471 IBQ195466:IBQ195471 HRU195466:HRU195471 HHY195466:HHY195471 GYC195466:GYC195471 GOG195466:GOG195471 GEK195466:GEK195471 FUO195466:FUO195471 FKS195466:FKS195471 FAW195466:FAW195471 ERA195466:ERA195471 EHE195466:EHE195471 DXI195466:DXI195471 DNM195466:DNM195471 DDQ195466:DDQ195471 CTU195466:CTU195471 CJY195466:CJY195471 CAC195466:CAC195471 BQG195466:BQG195471 BGK195466:BGK195471 AWO195466:AWO195471 AMS195466:AMS195471 ACW195466:ACW195471 TA195466:TA195471 JE195466:JE195471 I195487:I195492 WVQ129930:WVQ129935 WLU129930:WLU129935 WBY129930:WBY129935 VSC129930:VSC129935 VIG129930:VIG129935 UYK129930:UYK129935 UOO129930:UOO129935 UES129930:UES129935 TUW129930:TUW129935 TLA129930:TLA129935 TBE129930:TBE129935 SRI129930:SRI129935 SHM129930:SHM129935 RXQ129930:RXQ129935 RNU129930:RNU129935 RDY129930:RDY129935 QUC129930:QUC129935 QKG129930:QKG129935 QAK129930:QAK129935 PQO129930:PQO129935 PGS129930:PGS129935 OWW129930:OWW129935 ONA129930:ONA129935 ODE129930:ODE129935 NTI129930:NTI129935 NJM129930:NJM129935 MZQ129930:MZQ129935 MPU129930:MPU129935 MFY129930:MFY129935 LWC129930:LWC129935 LMG129930:LMG129935 LCK129930:LCK129935 KSO129930:KSO129935 KIS129930:KIS129935 JYW129930:JYW129935 JPA129930:JPA129935 JFE129930:JFE129935 IVI129930:IVI129935 ILM129930:ILM129935 IBQ129930:IBQ129935 HRU129930:HRU129935 HHY129930:HHY129935 GYC129930:GYC129935 GOG129930:GOG129935 GEK129930:GEK129935 FUO129930:FUO129935 FKS129930:FKS129935 FAW129930:FAW129935 ERA129930:ERA129935 EHE129930:EHE129935 DXI129930:DXI129935 DNM129930:DNM129935 DDQ129930:DDQ129935 CTU129930:CTU129935 CJY129930:CJY129935 CAC129930:CAC129935 BQG129930:BQG129935 BGK129930:BGK129935 AWO129930:AWO129935 AMS129930:AMS129935 ACW129930:ACW129935 TA129930:TA129935 JE129930:JE129935 I129951:I129956 WVQ64394:WVQ64399 WLU64394:WLU64399 WBY64394:WBY64399 VSC64394:VSC64399 VIG64394:VIG64399 UYK64394:UYK64399 UOO64394:UOO64399 UES64394:UES64399 TUW64394:TUW64399 TLA64394:TLA64399 TBE64394:TBE64399 SRI64394:SRI64399 SHM64394:SHM64399 RXQ64394:RXQ64399 RNU64394:RNU64399 RDY64394:RDY64399 QUC64394:QUC64399 QKG64394:QKG64399 QAK64394:QAK64399 PQO64394:PQO64399 PGS64394:PGS64399 OWW64394:OWW64399 ONA64394:ONA64399 ODE64394:ODE64399 NTI64394:NTI64399 NJM64394:NJM64399 MZQ64394:MZQ64399 MPU64394:MPU64399 MFY64394:MFY64399 LWC64394:LWC64399 LMG64394:LMG64399 LCK64394:LCK64399 KSO64394:KSO64399 KIS64394:KIS64399 JYW64394:JYW64399 JPA64394:JPA64399 JFE64394:JFE64399 IVI64394:IVI64399 ILM64394:ILM64399 IBQ64394:IBQ64399 HRU64394:HRU64399 HHY64394:HHY64399 GYC64394:GYC64399 GOG64394:GOG64399 GEK64394:GEK64399 FUO64394:FUO64399 FKS64394:FKS64399 FAW64394:FAW64399 ERA64394:ERA64399 EHE64394:EHE64399 DXI64394:DXI64399 DNM64394:DNM64399 DDQ64394:DDQ64399 CTU64394:CTU64399 CJY64394:CJY64399 CAC64394:CAC64399 BQG64394:BQG64399 BGK64394:BGK64399 AWO64394:AWO64399 AMS64394:AMS64399 ACW64394:ACW64399 TA64394:TA64399 JE64394:JE64399" xr:uid="{90F88B45-1DC8-44CD-9089-4CC040CBA28D}">
      <formula1>$AN$8:$AN$9</formula1>
    </dataValidation>
    <dataValidation type="list" allowBlank="1" showInputMessage="1" showErrorMessage="1" sqref="WVS981814:WVS981903 WLW981814:WLW981903 K64319:K64408 JG64310:JG64399 TC64310:TC64399 ACY64310:ACY64399 AMU64310:AMU64399 AWQ64310:AWQ64399 BGM64310:BGM64399 BQI64310:BQI64399 CAE64310:CAE64399 CKA64310:CKA64399 CTW64310:CTW64399 DDS64310:DDS64399 DNO64310:DNO64399 DXK64310:DXK64399 EHG64310:EHG64399 ERC64310:ERC64399 FAY64310:FAY64399 FKU64310:FKU64399 FUQ64310:FUQ64399 GEM64310:GEM64399 GOI64310:GOI64399 GYE64310:GYE64399 HIA64310:HIA64399 HRW64310:HRW64399 IBS64310:IBS64399 ILO64310:ILO64399 IVK64310:IVK64399 JFG64310:JFG64399 JPC64310:JPC64399 JYY64310:JYY64399 KIU64310:KIU64399 KSQ64310:KSQ64399 LCM64310:LCM64399 LMI64310:LMI64399 LWE64310:LWE64399 MGA64310:MGA64399 MPW64310:MPW64399 MZS64310:MZS64399 NJO64310:NJO64399 NTK64310:NTK64399 ODG64310:ODG64399 ONC64310:ONC64399 OWY64310:OWY64399 PGU64310:PGU64399 PQQ64310:PQQ64399 QAM64310:QAM64399 QKI64310:QKI64399 QUE64310:QUE64399 REA64310:REA64399 RNW64310:RNW64399 RXS64310:RXS64399 SHO64310:SHO64399 SRK64310:SRK64399 TBG64310:TBG64399 TLC64310:TLC64399 TUY64310:TUY64399 UEU64310:UEU64399 UOQ64310:UOQ64399 UYM64310:UYM64399 VII64310:VII64399 VSE64310:VSE64399 WCA64310:WCA64399 WLW64310:WLW64399 WVS64310:WVS64399 K129855:K129944 JG129846:JG129935 TC129846:TC129935 ACY129846:ACY129935 AMU129846:AMU129935 AWQ129846:AWQ129935 BGM129846:BGM129935 BQI129846:BQI129935 CAE129846:CAE129935 CKA129846:CKA129935 CTW129846:CTW129935 DDS129846:DDS129935 DNO129846:DNO129935 DXK129846:DXK129935 EHG129846:EHG129935 ERC129846:ERC129935 FAY129846:FAY129935 FKU129846:FKU129935 FUQ129846:FUQ129935 GEM129846:GEM129935 GOI129846:GOI129935 GYE129846:GYE129935 HIA129846:HIA129935 HRW129846:HRW129935 IBS129846:IBS129935 ILO129846:ILO129935 IVK129846:IVK129935 JFG129846:JFG129935 JPC129846:JPC129935 JYY129846:JYY129935 KIU129846:KIU129935 KSQ129846:KSQ129935 LCM129846:LCM129935 LMI129846:LMI129935 LWE129846:LWE129935 MGA129846:MGA129935 MPW129846:MPW129935 MZS129846:MZS129935 NJO129846:NJO129935 NTK129846:NTK129935 ODG129846:ODG129935 ONC129846:ONC129935 OWY129846:OWY129935 PGU129846:PGU129935 PQQ129846:PQQ129935 QAM129846:QAM129935 QKI129846:QKI129935 QUE129846:QUE129935 REA129846:REA129935 RNW129846:RNW129935 RXS129846:RXS129935 SHO129846:SHO129935 SRK129846:SRK129935 TBG129846:TBG129935 TLC129846:TLC129935 TUY129846:TUY129935 UEU129846:UEU129935 UOQ129846:UOQ129935 UYM129846:UYM129935 VII129846:VII129935 VSE129846:VSE129935 WCA129846:WCA129935 WLW129846:WLW129935 WVS129846:WVS129935 K195391:K195480 JG195382:JG195471 TC195382:TC195471 ACY195382:ACY195471 AMU195382:AMU195471 AWQ195382:AWQ195471 BGM195382:BGM195471 BQI195382:BQI195471 CAE195382:CAE195471 CKA195382:CKA195471 CTW195382:CTW195471 DDS195382:DDS195471 DNO195382:DNO195471 DXK195382:DXK195471 EHG195382:EHG195471 ERC195382:ERC195471 FAY195382:FAY195471 FKU195382:FKU195471 FUQ195382:FUQ195471 GEM195382:GEM195471 GOI195382:GOI195471 GYE195382:GYE195471 HIA195382:HIA195471 HRW195382:HRW195471 IBS195382:IBS195471 ILO195382:ILO195471 IVK195382:IVK195471 JFG195382:JFG195471 JPC195382:JPC195471 JYY195382:JYY195471 KIU195382:KIU195471 KSQ195382:KSQ195471 LCM195382:LCM195471 LMI195382:LMI195471 LWE195382:LWE195471 MGA195382:MGA195471 MPW195382:MPW195471 MZS195382:MZS195471 NJO195382:NJO195471 NTK195382:NTK195471 ODG195382:ODG195471 ONC195382:ONC195471 OWY195382:OWY195471 PGU195382:PGU195471 PQQ195382:PQQ195471 QAM195382:QAM195471 QKI195382:QKI195471 QUE195382:QUE195471 REA195382:REA195471 RNW195382:RNW195471 RXS195382:RXS195471 SHO195382:SHO195471 SRK195382:SRK195471 TBG195382:TBG195471 TLC195382:TLC195471 TUY195382:TUY195471 UEU195382:UEU195471 UOQ195382:UOQ195471 UYM195382:UYM195471 VII195382:VII195471 VSE195382:VSE195471 WCA195382:WCA195471 WLW195382:WLW195471 WVS195382:WVS195471 K260927:K261016 JG260918:JG261007 TC260918:TC261007 ACY260918:ACY261007 AMU260918:AMU261007 AWQ260918:AWQ261007 BGM260918:BGM261007 BQI260918:BQI261007 CAE260918:CAE261007 CKA260918:CKA261007 CTW260918:CTW261007 DDS260918:DDS261007 DNO260918:DNO261007 DXK260918:DXK261007 EHG260918:EHG261007 ERC260918:ERC261007 FAY260918:FAY261007 FKU260918:FKU261007 FUQ260918:FUQ261007 GEM260918:GEM261007 GOI260918:GOI261007 GYE260918:GYE261007 HIA260918:HIA261007 HRW260918:HRW261007 IBS260918:IBS261007 ILO260918:ILO261007 IVK260918:IVK261007 JFG260918:JFG261007 JPC260918:JPC261007 JYY260918:JYY261007 KIU260918:KIU261007 KSQ260918:KSQ261007 LCM260918:LCM261007 LMI260918:LMI261007 LWE260918:LWE261007 MGA260918:MGA261007 MPW260918:MPW261007 MZS260918:MZS261007 NJO260918:NJO261007 NTK260918:NTK261007 ODG260918:ODG261007 ONC260918:ONC261007 OWY260918:OWY261007 PGU260918:PGU261007 PQQ260918:PQQ261007 QAM260918:QAM261007 QKI260918:QKI261007 QUE260918:QUE261007 REA260918:REA261007 RNW260918:RNW261007 RXS260918:RXS261007 SHO260918:SHO261007 SRK260918:SRK261007 TBG260918:TBG261007 TLC260918:TLC261007 TUY260918:TUY261007 UEU260918:UEU261007 UOQ260918:UOQ261007 UYM260918:UYM261007 VII260918:VII261007 VSE260918:VSE261007 WCA260918:WCA261007 WLW260918:WLW261007 WVS260918:WVS261007 K326463:K326552 JG326454:JG326543 TC326454:TC326543 ACY326454:ACY326543 AMU326454:AMU326543 AWQ326454:AWQ326543 BGM326454:BGM326543 BQI326454:BQI326543 CAE326454:CAE326543 CKA326454:CKA326543 CTW326454:CTW326543 DDS326454:DDS326543 DNO326454:DNO326543 DXK326454:DXK326543 EHG326454:EHG326543 ERC326454:ERC326543 FAY326454:FAY326543 FKU326454:FKU326543 FUQ326454:FUQ326543 GEM326454:GEM326543 GOI326454:GOI326543 GYE326454:GYE326543 HIA326454:HIA326543 HRW326454:HRW326543 IBS326454:IBS326543 ILO326454:ILO326543 IVK326454:IVK326543 JFG326454:JFG326543 JPC326454:JPC326543 JYY326454:JYY326543 KIU326454:KIU326543 KSQ326454:KSQ326543 LCM326454:LCM326543 LMI326454:LMI326543 LWE326454:LWE326543 MGA326454:MGA326543 MPW326454:MPW326543 MZS326454:MZS326543 NJO326454:NJO326543 NTK326454:NTK326543 ODG326454:ODG326543 ONC326454:ONC326543 OWY326454:OWY326543 PGU326454:PGU326543 PQQ326454:PQQ326543 QAM326454:QAM326543 QKI326454:QKI326543 QUE326454:QUE326543 REA326454:REA326543 RNW326454:RNW326543 RXS326454:RXS326543 SHO326454:SHO326543 SRK326454:SRK326543 TBG326454:TBG326543 TLC326454:TLC326543 TUY326454:TUY326543 UEU326454:UEU326543 UOQ326454:UOQ326543 UYM326454:UYM326543 VII326454:VII326543 VSE326454:VSE326543 WCA326454:WCA326543 WLW326454:WLW326543 WVS326454:WVS326543 K391999:K392088 JG391990:JG392079 TC391990:TC392079 ACY391990:ACY392079 AMU391990:AMU392079 AWQ391990:AWQ392079 BGM391990:BGM392079 BQI391990:BQI392079 CAE391990:CAE392079 CKA391990:CKA392079 CTW391990:CTW392079 DDS391990:DDS392079 DNO391990:DNO392079 DXK391990:DXK392079 EHG391990:EHG392079 ERC391990:ERC392079 FAY391990:FAY392079 FKU391990:FKU392079 FUQ391990:FUQ392079 GEM391990:GEM392079 GOI391990:GOI392079 GYE391990:GYE392079 HIA391990:HIA392079 HRW391990:HRW392079 IBS391990:IBS392079 ILO391990:ILO392079 IVK391990:IVK392079 JFG391990:JFG392079 JPC391990:JPC392079 JYY391990:JYY392079 KIU391990:KIU392079 KSQ391990:KSQ392079 LCM391990:LCM392079 LMI391990:LMI392079 LWE391990:LWE392079 MGA391990:MGA392079 MPW391990:MPW392079 MZS391990:MZS392079 NJO391990:NJO392079 NTK391990:NTK392079 ODG391990:ODG392079 ONC391990:ONC392079 OWY391990:OWY392079 PGU391990:PGU392079 PQQ391990:PQQ392079 QAM391990:QAM392079 QKI391990:QKI392079 QUE391990:QUE392079 REA391990:REA392079 RNW391990:RNW392079 RXS391990:RXS392079 SHO391990:SHO392079 SRK391990:SRK392079 TBG391990:TBG392079 TLC391990:TLC392079 TUY391990:TUY392079 UEU391990:UEU392079 UOQ391990:UOQ392079 UYM391990:UYM392079 VII391990:VII392079 VSE391990:VSE392079 WCA391990:WCA392079 WLW391990:WLW392079 WVS391990:WVS392079 K457535:K457624 JG457526:JG457615 TC457526:TC457615 ACY457526:ACY457615 AMU457526:AMU457615 AWQ457526:AWQ457615 BGM457526:BGM457615 BQI457526:BQI457615 CAE457526:CAE457615 CKA457526:CKA457615 CTW457526:CTW457615 DDS457526:DDS457615 DNO457526:DNO457615 DXK457526:DXK457615 EHG457526:EHG457615 ERC457526:ERC457615 FAY457526:FAY457615 FKU457526:FKU457615 FUQ457526:FUQ457615 GEM457526:GEM457615 GOI457526:GOI457615 GYE457526:GYE457615 HIA457526:HIA457615 HRW457526:HRW457615 IBS457526:IBS457615 ILO457526:ILO457615 IVK457526:IVK457615 JFG457526:JFG457615 JPC457526:JPC457615 JYY457526:JYY457615 KIU457526:KIU457615 KSQ457526:KSQ457615 LCM457526:LCM457615 LMI457526:LMI457615 LWE457526:LWE457615 MGA457526:MGA457615 MPW457526:MPW457615 MZS457526:MZS457615 NJO457526:NJO457615 NTK457526:NTK457615 ODG457526:ODG457615 ONC457526:ONC457615 OWY457526:OWY457615 PGU457526:PGU457615 PQQ457526:PQQ457615 QAM457526:QAM457615 QKI457526:QKI457615 QUE457526:QUE457615 REA457526:REA457615 RNW457526:RNW457615 RXS457526:RXS457615 SHO457526:SHO457615 SRK457526:SRK457615 TBG457526:TBG457615 TLC457526:TLC457615 TUY457526:TUY457615 UEU457526:UEU457615 UOQ457526:UOQ457615 UYM457526:UYM457615 VII457526:VII457615 VSE457526:VSE457615 WCA457526:WCA457615 WLW457526:WLW457615 WVS457526:WVS457615 K523071:K523160 JG523062:JG523151 TC523062:TC523151 ACY523062:ACY523151 AMU523062:AMU523151 AWQ523062:AWQ523151 BGM523062:BGM523151 BQI523062:BQI523151 CAE523062:CAE523151 CKA523062:CKA523151 CTW523062:CTW523151 DDS523062:DDS523151 DNO523062:DNO523151 DXK523062:DXK523151 EHG523062:EHG523151 ERC523062:ERC523151 FAY523062:FAY523151 FKU523062:FKU523151 FUQ523062:FUQ523151 GEM523062:GEM523151 GOI523062:GOI523151 GYE523062:GYE523151 HIA523062:HIA523151 HRW523062:HRW523151 IBS523062:IBS523151 ILO523062:ILO523151 IVK523062:IVK523151 JFG523062:JFG523151 JPC523062:JPC523151 JYY523062:JYY523151 KIU523062:KIU523151 KSQ523062:KSQ523151 LCM523062:LCM523151 LMI523062:LMI523151 LWE523062:LWE523151 MGA523062:MGA523151 MPW523062:MPW523151 MZS523062:MZS523151 NJO523062:NJO523151 NTK523062:NTK523151 ODG523062:ODG523151 ONC523062:ONC523151 OWY523062:OWY523151 PGU523062:PGU523151 PQQ523062:PQQ523151 QAM523062:QAM523151 QKI523062:QKI523151 QUE523062:QUE523151 REA523062:REA523151 RNW523062:RNW523151 RXS523062:RXS523151 SHO523062:SHO523151 SRK523062:SRK523151 TBG523062:TBG523151 TLC523062:TLC523151 TUY523062:TUY523151 UEU523062:UEU523151 UOQ523062:UOQ523151 UYM523062:UYM523151 VII523062:VII523151 VSE523062:VSE523151 WCA523062:WCA523151 WLW523062:WLW523151 WVS523062:WVS523151 K588607:K588696 JG588598:JG588687 TC588598:TC588687 ACY588598:ACY588687 AMU588598:AMU588687 AWQ588598:AWQ588687 BGM588598:BGM588687 BQI588598:BQI588687 CAE588598:CAE588687 CKA588598:CKA588687 CTW588598:CTW588687 DDS588598:DDS588687 DNO588598:DNO588687 DXK588598:DXK588687 EHG588598:EHG588687 ERC588598:ERC588687 FAY588598:FAY588687 FKU588598:FKU588687 FUQ588598:FUQ588687 GEM588598:GEM588687 GOI588598:GOI588687 GYE588598:GYE588687 HIA588598:HIA588687 HRW588598:HRW588687 IBS588598:IBS588687 ILO588598:ILO588687 IVK588598:IVK588687 JFG588598:JFG588687 JPC588598:JPC588687 JYY588598:JYY588687 KIU588598:KIU588687 KSQ588598:KSQ588687 LCM588598:LCM588687 LMI588598:LMI588687 LWE588598:LWE588687 MGA588598:MGA588687 MPW588598:MPW588687 MZS588598:MZS588687 NJO588598:NJO588687 NTK588598:NTK588687 ODG588598:ODG588687 ONC588598:ONC588687 OWY588598:OWY588687 PGU588598:PGU588687 PQQ588598:PQQ588687 QAM588598:QAM588687 QKI588598:QKI588687 QUE588598:QUE588687 REA588598:REA588687 RNW588598:RNW588687 RXS588598:RXS588687 SHO588598:SHO588687 SRK588598:SRK588687 TBG588598:TBG588687 TLC588598:TLC588687 TUY588598:TUY588687 UEU588598:UEU588687 UOQ588598:UOQ588687 UYM588598:UYM588687 VII588598:VII588687 VSE588598:VSE588687 WCA588598:WCA588687 WLW588598:WLW588687 WVS588598:WVS588687 K654143:K654232 JG654134:JG654223 TC654134:TC654223 ACY654134:ACY654223 AMU654134:AMU654223 AWQ654134:AWQ654223 BGM654134:BGM654223 BQI654134:BQI654223 CAE654134:CAE654223 CKA654134:CKA654223 CTW654134:CTW654223 DDS654134:DDS654223 DNO654134:DNO654223 DXK654134:DXK654223 EHG654134:EHG654223 ERC654134:ERC654223 FAY654134:FAY654223 FKU654134:FKU654223 FUQ654134:FUQ654223 GEM654134:GEM654223 GOI654134:GOI654223 GYE654134:GYE654223 HIA654134:HIA654223 HRW654134:HRW654223 IBS654134:IBS654223 ILO654134:ILO654223 IVK654134:IVK654223 JFG654134:JFG654223 JPC654134:JPC654223 JYY654134:JYY654223 KIU654134:KIU654223 KSQ654134:KSQ654223 LCM654134:LCM654223 LMI654134:LMI654223 LWE654134:LWE654223 MGA654134:MGA654223 MPW654134:MPW654223 MZS654134:MZS654223 NJO654134:NJO654223 NTK654134:NTK654223 ODG654134:ODG654223 ONC654134:ONC654223 OWY654134:OWY654223 PGU654134:PGU654223 PQQ654134:PQQ654223 QAM654134:QAM654223 QKI654134:QKI654223 QUE654134:QUE654223 REA654134:REA654223 RNW654134:RNW654223 RXS654134:RXS654223 SHO654134:SHO654223 SRK654134:SRK654223 TBG654134:TBG654223 TLC654134:TLC654223 TUY654134:TUY654223 UEU654134:UEU654223 UOQ654134:UOQ654223 UYM654134:UYM654223 VII654134:VII654223 VSE654134:VSE654223 WCA654134:WCA654223 WLW654134:WLW654223 WVS654134:WVS654223 K719679:K719768 JG719670:JG719759 TC719670:TC719759 ACY719670:ACY719759 AMU719670:AMU719759 AWQ719670:AWQ719759 BGM719670:BGM719759 BQI719670:BQI719759 CAE719670:CAE719759 CKA719670:CKA719759 CTW719670:CTW719759 DDS719670:DDS719759 DNO719670:DNO719759 DXK719670:DXK719759 EHG719670:EHG719759 ERC719670:ERC719759 FAY719670:FAY719759 FKU719670:FKU719759 FUQ719670:FUQ719759 GEM719670:GEM719759 GOI719670:GOI719759 GYE719670:GYE719759 HIA719670:HIA719759 HRW719670:HRW719759 IBS719670:IBS719759 ILO719670:ILO719759 IVK719670:IVK719759 JFG719670:JFG719759 JPC719670:JPC719759 JYY719670:JYY719759 KIU719670:KIU719759 KSQ719670:KSQ719759 LCM719670:LCM719759 LMI719670:LMI719759 LWE719670:LWE719759 MGA719670:MGA719759 MPW719670:MPW719759 MZS719670:MZS719759 NJO719670:NJO719759 NTK719670:NTK719759 ODG719670:ODG719759 ONC719670:ONC719759 OWY719670:OWY719759 PGU719670:PGU719759 PQQ719670:PQQ719759 QAM719670:QAM719759 QKI719670:QKI719759 QUE719670:QUE719759 REA719670:REA719759 RNW719670:RNW719759 RXS719670:RXS719759 SHO719670:SHO719759 SRK719670:SRK719759 TBG719670:TBG719759 TLC719670:TLC719759 TUY719670:TUY719759 UEU719670:UEU719759 UOQ719670:UOQ719759 UYM719670:UYM719759 VII719670:VII719759 VSE719670:VSE719759 WCA719670:WCA719759 WLW719670:WLW719759 WVS719670:WVS719759 K785215:K785304 JG785206:JG785295 TC785206:TC785295 ACY785206:ACY785295 AMU785206:AMU785295 AWQ785206:AWQ785295 BGM785206:BGM785295 BQI785206:BQI785295 CAE785206:CAE785295 CKA785206:CKA785295 CTW785206:CTW785295 DDS785206:DDS785295 DNO785206:DNO785295 DXK785206:DXK785295 EHG785206:EHG785295 ERC785206:ERC785295 FAY785206:FAY785295 FKU785206:FKU785295 FUQ785206:FUQ785295 GEM785206:GEM785295 GOI785206:GOI785295 GYE785206:GYE785295 HIA785206:HIA785295 HRW785206:HRW785295 IBS785206:IBS785295 ILO785206:ILO785295 IVK785206:IVK785295 JFG785206:JFG785295 JPC785206:JPC785295 JYY785206:JYY785295 KIU785206:KIU785295 KSQ785206:KSQ785295 LCM785206:LCM785295 LMI785206:LMI785295 LWE785206:LWE785295 MGA785206:MGA785295 MPW785206:MPW785295 MZS785206:MZS785295 NJO785206:NJO785295 NTK785206:NTK785295 ODG785206:ODG785295 ONC785206:ONC785295 OWY785206:OWY785295 PGU785206:PGU785295 PQQ785206:PQQ785295 QAM785206:QAM785295 QKI785206:QKI785295 QUE785206:QUE785295 REA785206:REA785295 RNW785206:RNW785295 RXS785206:RXS785295 SHO785206:SHO785295 SRK785206:SRK785295 TBG785206:TBG785295 TLC785206:TLC785295 TUY785206:TUY785295 UEU785206:UEU785295 UOQ785206:UOQ785295 UYM785206:UYM785295 VII785206:VII785295 VSE785206:VSE785295 WCA785206:WCA785295 WLW785206:WLW785295 WVS785206:WVS785295 K850751:K850840 JG850742:JG850831 TC850742:TC850831 ACY850742:ACY850831 AMU850742:AMU850831 AWQ850742:AWQ850831 BGM850742:BGM850831 BQI850742:BQI850831 CAE850742:CAE850831 CKA850742:CKA850831 CTW850742:CTW850831 DDS850742:DDS850831 DNO850742:DNO850831 DXK850742:DXK850831 EHG850742:EHG850831 ERC850742:ERC850831 FAY850742:FAY850831 FKU850742:FKU850831 FUQ850742:FUQ850831 GEM850742:GEM850831 GOI850742:GOI850831 GYE850742:GYE850831 HIA850742:HIA850831 HRW850742:HRW850831 IBS850742:IBS850831 ILO850742:ILO850831 IVK850742:IVK850831 JFG850742:JFG850831 JPC850742:JPC850831 JYY850742:JYY850831 KIU850742:KIU850831 KSQ850742:KSQ850831 LCM850742:LCM850831 LMI850742:LMI850831 LWE850742:LWE850831 MGA850742:MGA850831 MPW850742:MPW850831 MZS850742:MZS850831 NJO850742:NJO850831 NTK850742:NTK850831 ODG850742:ODG850831 ONC850742:ONC850831 OWY850742:OWY850831 PGU850742:PGU850831 PQQ850742:PQQ850831 QAM850742:QAM850831 QKI850742:QKI850831 QUE850742:QUE850831 REA850742:REA850831 RNW850742:RNW850831 RXS850742:RXS850831 SHO850742:SHO850831 SRK850742:SRK850831 TBG850742:TBG850831 TLC850742:TLC850831 TUY850742:TUY850831 UEU850742:UEU850831 UOQ850742:UOQ850831 UYM850742:UYM850831 VII850742:VII850831 VSE850742:VSE850831 WCA850742:WCA850831 WLW850742:WLW850831 WVS850742:WVS850831 K916287:K916376 JG916278:JG916367 TC916278:TC916367 ACY916278:ACY916367 AMU916278:AMU916367 AWQ916278:AWQ916367 BGM916278:BGM916367 BQI916278:BQI916367 CAE916278:CAE916367 CKA916278:CKA916367 CTW916278:CTW916367 DDS916278:DDS916367 DNO916278:DNO916367 DXK916278:DXK916367 EHG916278:EHG916367 ERC916278:ERC916367 FAY916278:FAY916367 FKU916278:FKU916367 FUQ916278:FUQ916367 GEM916278:GEM916367 GOI916278:GOI916367 GYE916278:GYE916367 HIA916278:HIA916367 HRW916278:HRW916367 IBS916278:IBS916367 ILO916278:ILO916367 IVK916278:IVK916367 JFG916278:JFG916367 JPC916278:JPC916367 JYY916278:JYY916367 KIU916278:KIU916367 KSQ916278:KSQ916367 LCM916278:LCM916367 LMI916278:LMI916367 LWE916278:LWE916367 MGA916278:MGA916367 MPW916278:MPW916367 MZS916278:MZS916367 NJO916278:NJO916367 NTK916278:NTK916367 ODG916278:ODG916367 ONC916278:ONC916367 OWY916278:OWY916367 PGU916278:PGU916367 PQQ916278:PQQ916367 QAM916278:QAM916367 QKI916278:QKI916367 QUE916278:QUE916367 REA916278:REA916367 RNW916278:RNW916367 RXS916278:RXS916367 SHO916278:SHO916367 SRK916278:SRK916367 TBG916278:TBG916367 TLC916278:TLC916367 TUY916278:TUY916367 UEU916278:UEU916367 UOQ916278:UOQ916367 UYM916278:UYM916367 VII916278:VII916367 VSE916278:VSE916367 WCA916278:WCA916367 WLW916278:WLW916367 WVS916278:WVS916367 K981823:K981912 JG981814:JG981903 TC981814:TC981903 ACY981814:ACY981903 AMU981814:AMU981903 AWQ981814:AWQ981903 BGM981814:BGM981903 BQI981814:BQI981903 CAE981814:CAE981903 CKA981814:CKA981903 CTW981814:CTW981903 DDS981814:DDS981903 DNO981814:DNO981903 DXK981814:DXK981903 EHG981814:EHG981903 ERC981814:ERC981903 FAY981814:FAY981903 FKU981814:FKU981903 FUQ981814:FUQ981903 GEM981814:GEM981903 GOI981814:GOI981903 GYE981814:GYE981903 HIA981814:HIA981903 HRW981814:HRW981903 IBS981814:IBS981903 ILO981814:ILO981903 IVK981814:IVK981903 JFG981814:JFG981903 JPC981814:JPC981903 JYY981814:JYY981903 KIU981814:KIU981903 KSQ981814:KSQ981903 LCM981814:LCM981903 LMI981814:LMI981903 LWE981814:LWE981903 MGA981814:MGA981903 MPW981814:MPW981903 MZS981814:MZS981903 NJO981814:NJO981903 NTK981814:NTK981903 ODG981814:ODG981903 ONC981814:ONC981903 OWY981814:OWY981903 PGU981814:PGU981903 PQQ981814:PQQ981903 QAM981814:QAM981903 QKI981814:QKI981903 QUE981814:QUE981903 REA981814:REA981903 RNW981814:RNW981903 RXS981814:RXS981903 SHO981814:SHO981903 SRK981814:SRK981903 TBG981814:TBG981903 TLC981814:TLC981903 TUY981814:TUY981903 UEU981814:UEU981903 UOQ981814:UOQ981903 UYM981814:UYM981903 VII981814:VII981903 VSE981814:VSE981903 WCA981814:WCA981903 JG2:JG82 TC2:TC82 ACY2:ACY82 AMU2:AMU82 AWQ2:AWQ82 BGM2:BGM82 BQI2:BQI82 CAE2:CAE82 CKA2:CKA82 CTW2:CTW82 DDS2:DDS82 DNO2:DNO82 DXK2:DXK82 EHG2:EHG82 ERC2:ERC82 FAY2:FAY82 FKU2:FKU82 FUQ2:FUQ82 GEM2:GEM82 GOI2:GOI82 GYE2:GYE82 HIA2:HIA82 HRW2:HRW82 IBS2:IBS82 ILO2:ILO82 IVK2:IVK82 JFG2:JFG82 JPC2:JPC82 JYY2:JYY82 KIU2:KIU82 KSQ2:KSQ82 LCM2:LCM82 LMI2:LMI82 LWE2:LWE82 MGA2:MGA82 MPW2:MPW82 MZS2:MZS82 NJO2:NJO82 NTK2:NTK82 ODG2:ODG82 ONC2:ONC82 OWY2:OWY82 PGU2:PGU82 PQQ2:PQQ82 QAM2:QAM82 QKI2:QKI82 QUE2:QUE82 REA2:REA82 RNW2:RNW82 RXS2:RXS82 SHO2:SHO82 SRK2:SRK82 TBG2:TBG82 TLC2:TLC82 TUY2:TUY82 UEU2:UEU82 UOQ2:UOQ82 UYM2:UYM82 VII2:VII82 VSE2:VSE82 WCA2:WCA82 WLW2:WLW82 WVS2:WVS82" xr:uid="{EFECF45D-98F3-4B91-9069-ABBFF64EE00E}">
      <formula1>$AR$2:$AR$27</formula1>
    </dataValidation>
    <dataValidation type="list" allowBlank="1" showInputMessage="1" showErrorMessage="1" sqref="WVR981814:WVR981903 WLV981814:WLV981903 WBZ981814:WBZ981903 VSD981814:VSD981903 VIH981814:VIH981903 UYL981814:UYL981903 UOP981814:UOP981903 UET981814:UET981903 TUX981814:TUX981903 TLB981814:TLB981903 TBF981814:TBF981903 SRJ981814:SRJ981903 SHN981814:SHN981903 RXR981814:RXR981903 RNV981814:RNV981903 RDZ981814:RDZ981903 QUD981814:QUD981903 QKH981814:QKH981903 QAL981814:QAL981903 PQP981814:PQP981903 PGT981814:PGT981903 OWX981814:OWX981903 ONB981814:ONB981903 ODF981814:ODF981903 NTJ981814:NTJ981903 NJN981814:NJN981903 MZR981814:MZR981903 MPV981814:MPV981903 MFZ981814:MFZ981903 LWD981814:LWD981903 LMH981814:LMH981903 LCL981814:LCL981903 KSP981814:KSP981903 KIT981814:KIT981903 JYX981814:JYX981903 JPB981814:JPB981903 JFF981814:JFF981903 IVJ981814:IVJ981903 ILN981814:ILN981903 IBR981814:IBR981903 HRV981814:HRV981903 HHZ981814:HHZ981903 GYD981814:GYD981903 GOH981814:GOH981903 GEL981814:GEL981903 FUP981814:FUP981903 FKT981814:FKT981903 FAX981814:FAX981903 ERB981814:ERB981903 EHF981814:EHF981903 DXJ981814:DXJ981903 DNN981814:DNN981903 DDR981814:DDR981903 CTV981814:CTV981903 CJZ981814:CJZ981903 CAD981814:CAD981903 BQH981814:BQH981903 BGL981814:BGL981903 AWP981814:AWP981903 AMT981814:AMT981903 ACX981814:ACX981903 TB981814:TB981903 JF981814:JF981903 J981823:J981912 WVR916278:WVR916367 WLV916278:WLV916367 WBZ916278:WBZ916367 VSD916278:VSD916367 VIH916278:VIH916367 UYL916278:UYL916367 UOP916278:UOP916367 UET916278:UET916367 TUX916278:TUX916367 TLB916278:TLB916367 TBF916278:TBF916367 SRJ916278:SRJ916367 SHN916278:SHN916367 RXR916278:RXR916367 RNV916278:RNV916367 RDZ916278:RDZ916367 QUD916278:QUD916367 QKH916278:QKH916367 QAL916278:QAL916367 PQP916278:PQP916367 PGT916278:PGT916367 OWX916278:OWX916367 ONB916278:ONB916367 ODF916278:ODF916367 NTJ916278:NTJ916367 NJN916278:NJN916367 MZR916278:MZR916367 MPV916278:MPV916367 MFZ916278:MFZ916367 LWD916278:LWD916367 LMH916278:LMH916367 LCL916278:LCL916367 KSP916278:KSP916367 KIT916278:KIT916367 JYX916278:JYX916367 JPB916278:JPB916367 JFF916278:JFF916367 IVJ916278:IVJ916367 ILN916278:ILN916367 IBR916278:IBR916367 HRV916278:HRV916367 HHZ916278:HHZ916367 GYD916278:GYD916367 GOH916278:GOH916367 GEL916278:GEL916367 FUP916278:FUP916367 FKT916278:FKT916367 FAX916278:FAX916367 ERB916278:ERB916367 EHF916278:EHF916367 DXJ916278:DXJ916367 DNN916278:DNN916367 DDR916278:DDR916367 CTV916278:CTV916367 CJZ916278:CJZ916367 CAD916278:CAD916367 BQH916278:BQH916367 BGL916278:BGL916367 AWP916278:AWP916367 AMT916278:AMT916367 ACX916278:ACX916367 TB916278:TB916367 JF916278:JF916367 J916287:J916376 WVR850742:WVR850831 WLV850742:WLV850831 WBZ850742:WBZ850831 VSD850742:VSD850831 VIH850742:VIH850831 UYL850742:UYL850831 UOP850742:UOP850831 UET850742:UET850831 TUX850742:TUX850831 TLB850742:TLB850831 TBF850742:TBF850831 SRJ850742:SRJ850831 SHN850742:SHN850831 RXR850742:RXR850831 RNV850742:RNV850831 RDZ850742:RDZ850831 QUD850742:QUD850831 QKH850742:QKH850831 QAL850742:QAL850831 PQP850742:PQP850831 PGT850742:PGT850831 OWX850742:OWX850831 ONB850742:ONB850831 ODF850742:ODF850831 NTJ850742:NTJ850831 NJN850742:NJN850831 MZR850742:MZR850831 MPV850742:MPV850831 MFZ850742:MFZ850831 LWD850742:LWD850831 LMH850742:LMH850831 LCL850742:LCL850831 KSP850742:KSP850831 KIT850742:KIT850831 JYX850742:JYX850831 JPB850742:JPB850831 JFF850742:JFF850831 IVJ850742:IVJ850831 ILN850742:ILN850831 IBR850742:IBR850831 HRV850742:HRV850831 HHZ850742:HHZ850831 GYD850742:GYD850831 GOH850742:GOH850831 GEL850742:GEL850831 FUP850742:FUP850831 FKT850742:FKT850831 FAX850742:FAX850831 ERB850742:ERB850831 EHF850742:EHF850831 DXJ850742:DXJ850831 DNN850742:DNN850831 DDR850742:DDR850831 CTV850742:CTV850831 CJZ850742:CJZ850831 CAD850742:CAD850831 BQH850742:BQH850831 BGL850742:BGL850831 AWP850742:AWP850831 AMT850742:AMT850831 ACX850742:ACX850831 TB850742:TB850831 JF850742:JF850831 J850751:J850840 WVR785206:WVR785295 WLV785206:WLV785295 WBZ785206:WBZ785295 VSD785206:VSD785295 VIH785206:VIH785295 UYL785206:UYL785295 UOP785206:UOP785295 UET785206:UET785295 TUX785206:TUX785295 TLB785206:TLB785295 TBF785206:TBF785295 SRJ785206:SRJ785295 SHN785206:SHN785295 RXR785206:RXR785295 RNV785206:RNV785295 RDZ785206:RDZ785295 QUD785206:QUD785295 QKH785206:QKH785295 QAL785206:QAL785295 PQP785206:PQP785295 PGT785206:PGT785295 OWX785206:OWX785295 ONB785206:ONB785295 ODF785206:ODF785295 NTJ785206:NTJ785295 NJN785206:NJN785295 MZR785206:MZR785295 MPV785206:MPV785295 MFZ785206:MFZ785295 LWD785206:LWD785295 LMH785206:LMH785295 LCL785206:LCL785295 KSP785206:KSP785295 KIT785206:KIT785295 JYX785206:JYX785295 JPB785206:JPB785295 JFF785206:JFF785295 IVJ785206:IVJ785295 ILN785206:ILN785295 IBR785206:IBR785295 HRV785206:HRV785295 HHZ785206:HHZ785295 GYD785206:GYD785295 GOH785206:GOH785295 GEL785206:GEL785295 FUP785206:FUP785295 FKT785206:FKT785295 FAX785206:FAX785295 ERB785206:ERB785295 EHF785206:EHF785295 DXJ785206:DXJ785295 DNN785206:DNN785295 DDR785206:DDR785295 CTV785206:CTV785295 CJZ785206:CJZ785295 CAD785206:CAD785295 BQH785206:BQH785295 BGL785206:BGL785295 AWP785206:AWP785295 AMT785206:AMT785295 ACX785206:ACX785295 TB785206:TB785295 JF785206:JF785295 J785215:J785304 WVR719670:WVR719759 WLV719670:WLV719759 WBZ719670:WBZ719759 VSD719670:VSD719759 VIH719670:VIH719759 UYL719670:UYL719759 UOP719670:UOP719759 UET719670:UET719759 TUX719670:TUX719759 TLB719670:TLB719759 TBF719670:TBF719759 SRJ719670:SRJ719759 SHN719670:SHN719759 RXR719670:RXR719759 RNV719670:RNV719759 RDZ719670:RDZ719759 QUD719670:QUD719759 QKH719670:QKH719759 QAL719670:QAL719759 PQP719670:PQP719759 PGT719670:PGT719759 OWX719670:OWX719759 ONB719670:ONB719759 ODF719670:ODF719759 NTJ719670:NTJ719759 NJN719670:NJN719759 MZR719670:MZR719759 MPV719670:MPV719759 MFZ719670:MFZ719759 LWD719670:LWD719759 LMH719670:LMH719759 LCL719670:LCL719759 KSP719670:KSP719759 KIT719670:KIT719759 JYX719670:JYX719759 JPB719670:JPB719759 JFF719670:JFF719759 IVJ719670:IVJ719759 ILN719670:ILN719759 IBR719670:IBR719759 HRV719670:HRV719759 HHZ719670:HHZ719759 GYD719670:GYD719759 GOH719670:GOH719759 GEL719670:GEL719759 FUP719670:FUP719759 FKT719670:FKT719759 FAX719670:FAX719759 ERB719670:ERB719759 EHF719670:EHF719759 DXJ719670:DXJ719759 DNN719670:DNN719759 DDR719670:DDR719759 CTV719670:CTV719759 CJZ719670:CJZ719759 CAD719670:CAD719759 BQH719670:BQH719759 BGL719670:BGL719759 AWP719670:AWP719759 AMT719670:AMT719759 ACX719670:ACX719759 TB719670:TB719759 JF719670:JF719759 J719679:J719768 WVR654134:WVR654223 WLV654134:WLV654223 WBZ654134:WBZ654223 VSD654134:VSD654223 VIH654134:VIH654223 UYL654134:UYL654223 UOP654134:UOP654223 UET654134:UET654223 TUX654134:TUX654223 TLB654134:TLB654223 TBF654134:TBF654223 SRJ654134:SRJ654223 SHN654134:SHN654223 RXR654134:RXR654223 RNV654134:RNV654223 RDZ654134:RDZ654223 QUD654134:QUD654223 QKH654134:QKH654223 QAL654134:QAL654223 PQP654134:PQP654223 PGT654134:PGT654223 OWX654134:OWX654223 ONB654134:ONB654223 ODF654134:ODF654223 NTJ654134:NTJ654223 NJN654134:NJN654223 MZR654134:MZR654223 MPV654134:MPV654223 MFZ654134:MFZ654223 LWD654134:LWD654223 LMH654134:LMH654223 LCL654134:LCL654223 KSP654134:KSP654223 KIT654134:KIT654223 JYX654134:JYX654223 JPB654134:JPB654223 JFF654134:JFF654223 IVJ654134:IVJ654223 ILN654134:ILN654223 IBR654134:IBR654223 HRV654134:HRV654223 HHZ654134:HHZ654223 GYD654134:GYD654223 GOH654134:GOH654223 GEL654134:GEL654223 FUP654134:FUP654223 FKT654134:FKT654223 FAX654134:FAX654223 ERB654134:ERB654223 EHF654134:EHF654223 DXJ654134:DXJ654223 DNN654134:DNN654223 DDR654134:DDR654223 CTV654134:CTV654223 CJZ654134:CJZ654223 CAD654134:CAD654223 BQH654134:BQH654223 BGL654134:BGL654223 AWP654134:AWP654223 AMT654134:AMT654223 ACX654134:ACX654223 TB654134:TB654223 JF654134:JF654223 J654143:J654232 WVR588598:WVR588687 WLV588598:WLV588687 WBZ588598:WBZ588687 VSD588598:VSD588687 VIH588598:VIH588687 UYL588598:UYL588687 UOP588598:UOP588687 UET588598:UET588687 TUX588598:TUX588687 TLB588598:TLB588687 TBF588598:TBF588687 SRJ588598:SRJ588687 SHN588598:SHN588687 RXR588598:RXR588687 RNV588598:RNV588687 RDZ588598:RDZ588687 QUD588598:QUD588687 QKH588598:QKH588687 QAL588598:QAL588687 PQP588598:PQP588687 PGT588598:PGT588687 OWX588598:OWX588687 ONB588598:ONB588687 ODF588598:ODF588687 NTJ588598:NTJ588687 NJN588598:NJN588687 MZR588598:MZR588687 MPV588598:MPV588687 MFZ588598:MFZ588687 LWD588598:LWD588687 LMH588598:LMH588687 LCL588598:LCL588687 KSP588598:KSP588687 KIT588598:KIT588687 JYX588598:JYX588687 JPB588598:JPB588687 JFF588598:JFF588687 IVJ588598:IVJ588687 ILN588598:ILN588687 IBR588598:IBR588687 HRV588598:HRV588687 HHZ588598:HHZ588687 GYD588598:GYD588687 GOH588598:GOH588687 GEL588598:GEL588687 FUP588598:FUP588687 FKT588598:FKT588687 FAX588598:FAX588687 ERB588598:ERB588687 EHF588598:EHF588687 DXJ588598:DXJ588687 DNN588598:DNN588687 DDR588598:DDR588687 CTV588598:CTV588687 CJZ588598:CJZ588687 CAD588598:CAD588687 BQH588598:BQH588687 BGL588598:BGL588687 AWP588598:AWP588687 AMT588598:AMT588687 ACX588598:ACX588687 TB588598:TB588687 JF588598:JF588687 J588607:J588696 WVR523062:WVR523151 WLV523062:WLV523151 WBZ523062:WBZ523151 VSD523062:VSD523151 VIH523062:VIH523151 UYL523062:UYL523151 UOP523062:UOP523151 UET523062:UET523151 TUX523062:TUX523151 TLB523062:TLB523151 TBF523062:TBF523151 SRJ523062:SRJ523151 SHN523062:SHN523151 RXR523062:RXR523151 RNV523062:RNV523151 RDZ523062:RDZ523151 QUD523062:QUD523151 QKH523062:QKH523151 QAL523062:QAL523151 PQP523062:PQP523151 PGT523062:PGT523151 OWX523062:OWX523151 ONB523062:ONB523151 ODF523062:ODF523151 NTJ523062:NTJ523151 NJN523062:NJN523151 MZR523062:MZR523151 MPV523062:MPV523151 MFZ523062:MFZ523151 LWD523062:LWD523151 LMH523062:LMH523151 LCL523062:LCL523151 KSP523062:KSP523151 KIT523062:KIT523151 JYX523062:JYX523151 JPB523062:JPB523151 JFF523062:JFF523151 IVJ523062:IVJ523151 ILN523062:ILN523151 IBR523062:IBR523151 HRV523062:HRV523151 HHZ523062:HHZ523151 GYD523062:GYD523151 GOH523062:GOH523151 GEL523062:GEL523151 FUP523062:FUP523151 FKT523062:FKT523151 FAX523062:FAX523151 ERB523062:ERB523151 EHF523062:EHF523151 DXJ523062:DXJ523151 DNN523062:DNN523151 DDR523062:DDR523151 CTV523062:CTV523151 CJZ523062:CJZ523151 CAD523062:CAD523151 BQH523062:BQH523151 BGL523062:BGL523151 AWP523062:AWP523151 AMT523062:AMT523151 ACX523062:ACX523151 TB523062:TB523151 JF523062:JF523151 J523071:J523160 WVR457526:WVR457615 WLV457526:WLV457615 WBZ457526:WBZ457615 VSD457526:VSD457615 VIH457526:VIH457615 UYL457526:UYL457615 UOP457526:UOP457615 UET457526:UET457615 TUX457526:TUX457615 TLB457526:TLB457615 TBF457526:TBF457615 SRJ457526:SRJ457615 SHN457526:SHN457615 RXR457526:RXR457615 RNV457526:RNV457615 RDZ457526:RDZ457615 QUD457526:QUD457615 QKH457526:QKH457615 QAL457526:QAL457615 PQP457526:PQP457615 PGT457526:PGT457615 OWX457526:OWX457615 ONB457526:ONB457615 ODF457526:ODF457615 NTJ457526:NTJ457615 NJN457526:NJN457615 MZR457526:MZR457615 MPV457526:MPV457615 MFZ457526:MFZ457615 LWD457526:LWD457615 LMH457526:LMH457615 LCL457526:LCL457615 KSP457526:KSP457615 KIT457526:KIT457615 JYX457526:JYX457615 JPB457526:JPB457615 JFF457526:JFF457615 IVJ457526:IVJ457615 ILN457526:ILN457615 IBR457526:IBR457615 HRV457526:HRV457615 HHZ457526:HHZ457615 GYD457526:GYD457615 GOH457526:GOH457615 GEL457526:GEL457615 FUP457526:FUP457615 FKT457526:FKT457615 FAX457526:FAX457615 ERB457526:ERB457615 EHF457526:EHF457615 DXJ457526:DXJ457615 DNN457526:DNN457615 DDR457526:DDR457615 CTV457526:CTV457615 CJZ457526:CJZ457615 CAD457526:CAD457615 BQH457526:BQH457615 BGL457526:BGL457615 AWP457526:AWP457615 AMT457526:AMT457615 ACX457526:ACX457615 TB457526:TB457615 JF457526:JF457615 J457535:J457624 WVR391990:WVR392079 WLV391990:WLV392079 WBZ391990:WBZ392079 VSD391990:VSD392079 VIH391990:VIH392079 UYL391990:UYL392079 UOP391990:UOP392079 UET391990:UET392079 TUX391990:TUX392079 TLB391990:TLB392079 TBF391990:TBF392079 SRJ391990:SRJ392079 SHN391990:SHN392079 RXR391990:RXR392079 RNV391990:RNV392079 RDZ391990:RDZ392079 QUD391990:QUD392079 QKH391990:QKH392079 QAL391990:QAL392079 PQP391990:PQP392079 PGT391990:PGT392079 OWX391990:OWX392079 ONB391990:ONB392079 ODF391990:ODF392079 NTJ391990:NTJ392079 NJN391990:NJN392079 MZR391990:MZR392079 MPV391990:MPV392079 MFZ391990:MFZ392079 LWD391990:LWD392079 LMH391990:LMH392079 LCL391990:LCL392079 KSP391990:KSP392079 KIT391990:KIT392079 JYX391990:JYX392079 JPB391990:JPB392079 JFF391990:JFF392079 IVJ391990:IVJ392079 ILN391990:ILN392079 IBR391990:IBR392079 HRV391990:HRV392079 HHZ391990:HHZ392079 GYD391990:GYD392079 GOH391990:GOH392079 GEL391990:GEL392079 FUP391990:FUP392079 FKT391990:FKT392079 FAX391990:FAX392079 ERB391990:ERB392079 EHF391990:EHF392079 DXJ391990:DXJ392079 DNN391990:DNN392079 DDR391990:DDR392079 CTV391990:CTV392079 CJZ391990:CJZ392079 CAD391990:CAD392079 BQH391990:BQH392079 BGL391990:BGL392079 AWP391990:AWP392079 AMT391990:AMT392079 ACX391990:ACX392079 TB391990:TB392079 JF391990:JF392079 J391999:J392088 WVR326454:WVR326543 WLV326454:WLV326543 WBZ326454:WBZ326543 VSD326454:VSD326543 VIH326454:VIH326543 UYL326454:UYL326543 UOP326454:UOP326543 UET326454:UET326543 TUX326454:TUX326543 TLB326454:TLB326543 TBF326454:TBF326543 SRJ326454:SRJ326543 SHN326454:SHN326543 RXR326454:RXR326543 RNV326454:RNV326543 RDZ326454:RDZ326543 QUD326454:QUD326543 QKH326454:QKH326543 QAL326454:QAL326543 PQP326454:PQP326543 PGT326454:PGT326543 OWX326454:OWX326543 ONB326454:ONB326543 ODF326454:ODF326543 NTJ326454:NTJ326543 NJN326454:NJN326543 MZR326454:MZR326543 MPV326454:MPV326543 MFZ326454:MFZ326543 LWD326454:LWD326543 LMH326454:LMH326543 LCL326454:LCL326543 KSP326454:KSP326543 KIT326454:KIT326543 JYX326454:JYX326543 JPB326454:JPB326543 JFF326454:JFF326543 IVJ326454:IVJ326543 ILN326454:ILN326543 IBR326454:IBR326543 HRV326454:HRV326543 HHZ326454:HHZ326543 GYD326454:GYD326543 GOH326454:GOH326543 GEL326454:GEL326543 FUP326454:FUP326543 FKT326454:FKT326543 FAX326454:FAX326543 ERB326454:ERB326543 EHF326454:EHF326543 DXJ326454:DXJ326543 DNN326454:DNN326543 DDR326454:DDR326543 CTV326454:CTV326543 CJZ326454:CJZ326543 CAD326454:CAD326543 BQH326454:BQH326543 BGL326454:BGL326543 AWP326454:AWP326543 AMT326454:AMT326543 ACX326454:ACX326543 TB326454:TB326543 JF326454:JF326543 J326463:J326552 WVR260918:WVR261007 WLV260918:WLV261007 WBZ260918:WBZ261007 VSD260918:VSD261007 VIH260918:VIH261007 UYL260918:UYL261007 UOP260918:UOP261007 UET260918:UET261007 TUX260918:TUX261007 TLB260918:TLB261007 TBF260918:TBF261007 SRJ260918:SRJ261007 SHN260918:SHN261007 RXR260918:RXR261007 RNV260918:RNV261007 RDZ260918:RDZ261007 QUD260918:QUD261007 QKH260918:QKH261007 QAL260918:QAL261007 PQP260918:PQP261007 PGT260918:PGT261007 OWX260918:OWX261007 ONB260918:ONB261007 ODF260918:ODF261007 NTJ260918:NTJ261007 NJN260918:NJN261007 MZR260918:MZR261007 MPV260918:MPV261007 MFZ260918:MFZ261007 LWD260918:LWD261007 LMH260918:LMH261007 LCL260918:LCL261007 KSP260918:KSP261007 KIT260918:KIT261007 JYX260918:JYX261007 JPB260918:JPB261007 JFF260918:JFF261007 IVJ260918:IVJ261007 ILN260918:ILN261007 IBR260918:IBR261007 HRV260918:HRV261007 HHZ260918:HHZ261007 GYD260918:GYD261007 GOH260918:GOH261007 GEL260918:GEL261007 FUP260918:FUP261007 FKT260918:FKT261007 FAX260918:FAX261007 ERB260918:ERB261007 EHF260918:EHF261007 DXJ260918:DXJ261007 DNN260918:DNN261007 DDR260918:DDR261007 CTV260918:CTV261007 CJZ260918:CJZ261007 CAD260918:CAD261007 BQH260918:BQH261007 BGL260918:BGL261007 AWP260918:AWP261007 AMT260918:AMT261007 ACX260918:ACX261007 TB260918:TB261007 JF260918:JF261007 J260927:J261016 WVR195382:WVR195471 WLV195382:WLV195471 WBZ195382:WBZ195471 VSD195382:VSD195471 VIH195382:VIH195471 UYL195382:UYL195471 UOP195382:UOP195471 UET195382:UET195471 TUX195382:TUX195471 TLB195382:TLB195471 TBF195382:TBF195471 SRJ195382:SRJ195471 SHN195382:SHN195471 RXR195382:RXR195471 RNV195382:RNV195471 RDZ195382:RDZ195471 QUD195382:QUD195471 QKH195382:QKH195471 QAL195382:QAL195471 PQP195382:PQP195471 PGT195382:PGT195471 OWX195382:OWX195471 ONB195382:ONB195471 ODF195382:ODF195471 NTJ195382:NTJ195471 NJN195382:NJN195471 MZR195382:MZR195471 MPV195382:MPV195471 MFZ195382:MFZ195471 LWD195382:LWD195471 LMH195382:LMH195471 LCL195382:LCL195471 KSP195382:KSP195471 KIT195382:KIT195471 JYX195382:JYX195471 JPB195382:JPB195471 JFF195382:JFF195471 IVJ195382:IVJ195471 ILN195382:ILN195471 IBR195382:IBR195471 HRV195382:HRV195471 HHZ195382:HHZ195471 GYD195382:GYD195471 GOH195382:GOH195471 GEL195382:GEL195471 FUP195382:FUP195471 FKT195382:FKT195471 FAX195382:FAX195471 ERB195382:ERB195471 EHF195382:EHF195471 DXJ195382:DXJ195471 DNN195382:DNN195471 DDR195382:DDR195471 CTV195382:CTV195471 CJZ195382:CJZ195471 CAD195382:CAD195471 BQH195382:BQH195471 BGL195382:BGL195471 AWP195382:AWP195471 AMT195382:AMT195471 ACX195382:ACX195471 TB195382:TB195471 JF195382:JF195471 J195391:J195480 WVR129846:WVR129935 WLV129846:WLV129935 WBZ129846:WBZ129935 VSD129846:VSD129935 VIH129846:VIH129935 UYL129846:UYL129935 UOP129846:UOP129935 UET129846:UET129935 TUX129846:TUX129935 TLB129846:TLB129935 TBF129846:TBF129935 SRJ129846:SRJ129935 SHN129846:SHN129935 RXR129846:RXR129935 RNV129846:RNV129935 RDZ129846:RDZ129935 QUD129846:QUD129935 QKH129846:QKH129935 QAL129846:QAL129935 PQP129846:PQP129935 PGT129846:PGT129935 OWX129846:OWX129935 ONB129846:ONB129935 ODF129846:ODF129935 NTJ129846:NTJ129935 NJN129846:NJN129935 MZR129846:MZR129935 MPV129846:MPV129935 MFZ129846:MFZ129935 LWD129846:LWD129935 LMH129846:LMH129935 LCL129846:LCL129935 KSP129846:KSP129935 KIT129846:KIT129935 JYX129846:JYX129935 JPB129846:JPB129935 JFF129846:JFF129935 IVJ129846:IVJ129935 ILN129846:ILN129935 IBR129846:IBR129935 HRV129846:HRV129935 HHZ129846:HHZ129935 GYD129846:GYD129935 GOH129846:GOH129935 GEL129846:GEL129935 FUP129846:FUP129935 FKT129846:FKT129935 FAX129846:FAX129935 ERB129846:ERB129935 EHF129846:EHF129935 DXJ129846:DXJ129935 DNN129846:DNN129935 DDR129846:DDR129935 CTV129846:CTV129935 CJZ129846:CJZ129935 CAD129846:CAD129935 BQH129846:BQH129935 BGL129846:BGL129935 AWP129846:AWP129935 AMT129846:AMT129935 ACX129846:ACX129935 TB129846:TB129935 JF129846:JF129935 J129855:J129944 WVR64310:WVR64399 WLV64310:WLV64399 WBZ64310:WBZ64399 VSD64310:VSD64399 VIH64310:VIH64399 UYL64310:UYL64399 UOP64310:UOP64399 UET64310:UET64399 TUX64310:TUX64399 TLB64310:TLB64399 TBF64310:TBF64399 SRJ64310:SRJ64399 SHN64310:SHN64399 RXR64310:RXR64399 RNV64310:RNV64399 RDZ64310:RDZ64399 QUD64310:QUD64399 QKH64310:QKH64399 QAL64310:QAL64399 PQP64310:PQP64399 PGT64310:PGT64399 OWX64310:OWX64399 ONB64310:ONB64399 ODF64310:ODF64399 NTJ64310:NTJ64399 NJN64310:NJN64399 MZR64310:MZR64399 MPV64310:MPV64399 MFZ64310:MFZ64399 LWD64310:LWD64399 LMH64310:LMH64399 LCL64310:LCL64399 KSP64310:KSP64399 KIT64310:KIT64399 JYX64310:JYX64399 JPB64310:JPB64399 JFF64310:JFF64399 IVJ64310:IVJ64399 ILN64310:ILN64399 IBR64310:IBR64399 HRV64310:HRV64399 HHZ64310:HHZ64399 GYD64310:GYD64399 GOH64310:GOH64399 GEL64310:GEL64399 FUP64310:FUP64399 FKT64310:FKT64399 FAX64310:FAX64399 ERB64310:ERB64399 EHF64310:EHF64399 DXJ64310:DXJ64399 DNN64310:DNN64399 DDR64310:DDR64399 CTV64310:CTV64399 CJZ64310:CJZ64399 CAD64310:CAD64399 BQH64310:BQH64399 BGL64310:BGL64399 AWP64310:AWP64399 AMT64310:AMT64399 ACX64310:ACX64399 TB64310:TB64399 JF64310:JF64399 J64319:J64408 WVR2:WVR82 WLV2:WLV82 WBZ2:WBZ82 VSD2:VSD82 VIH2:VIH82 UYL2:UYL82 UOP2:UOP82 UET2:UET82 TUX2:TUX82 TLB2:TLB82 TBF2:TBF82 SRJ2:SRJ82 SHN2:SHN82 RXR2:RXR82 RNV2:RNV82 RDZ2:RDZ82 QUD2:QUD82 QKH2:QKH82 QAL2:QAL82 PQP2:PQP82 PGT2:PGT82 OWX2:OWX82 ONB2:ONB82 ODF2:ODF82 NTJ2:NTJ82 NJN2:NJN82 MZR2:MZR82 MPV2:MPV82 MFZ2:MFZ82 LWD2:LWD82 LMH2:LMH82 LCL2:LCL82 KSP2:KSP82 KIT2:KIT82 JYX2:JYX82 JPB2:JPB82 JFF2:JFF82 IVJ2:IVJ82 ILN2:ILN82 IBR2:IBR82 HRV2:HRV82 HHZ2:HHZ82 GYD2:GYD82 GOH2:GOH82 GEL2:GEL82 FUP2:FUP82 FKT2:FKT82 FAX2:FAX82 ERB2:ERB82 EHF2:EHF82 DXJ2:DXJ82 DNN2:DNN82 DDR2:DDR82 CTV2:CTV82 CJZ2:CJZ82 CAD2:CAD82 BQH2:BQH82 BGL2:BGL82 AWP2:AWP82 AMT2:AMT82 ACX2:ACX82 TB2:TB82 JF2:JF82" xr:uid="{DA0BB9B8-A288-4BA3-AB0C-409ABE1962BF}">
      <formula1>$AP$2:$AP$15</formula1>
    </dataValidation>
    <dataValidation type="list" allowBlank="1" showInputMessage="1" showErrorMessage="1" sqref="WVN981814:WVN981903 WLR981814:WLR981903 WBV981814:WBV981903 VRZ981814:VRZ981903 VID981814:VID981903 UYH981814:UYH981903 UOL981814:UOL981903 UEP981814:UEP981903 TUT981814:TUT981903 TKX981814:TKX981903 TBB981814:TBB981903 SRF981814:SRF981903 SHJ981814:SHJ981903 RXN981814:RXN981903 RNR981814:RNR981903 RDV981814:RDV981903 QTZ981814:QTZ981903 QKD981814:QKD981903 QAH981814:QAH981903 PQL981814:PQL981903 PGP981814:PGP981903 OWT981814:OWT981903 OMX981814:OMX981903 ODB981814:ODB981903 NTF981814:NTF981903 NJJ981814:NJJ981903 MZN981814:MZN981903 MPR981814:MPR981903 MFV981814:MFV981903 LVZ981814:LVZ981903 LMD981814:LMD981903 LCH981814:LCH981903 KSL981814:KSL981903 KIP981814:KIP981903 JYT981814:JYT981903 JOX981814:JOX981903 JFB981814:JFB981903 IVF981814:IVF981903 ILJ981814:ILJ981903 IBN981814:IBN981903 HRR981814:HRR981903 HHV981814:HHV981903 GXZ981814:GXZ981903 GOD981814:GOD981903 GEH981814:GEH981903 FUL981814:FUL981903 FKP981814:FKP981903 FAT981814:FAT981903 EQX981814:EQX981903 EHB981814:EHB981903 DXF981814:DXF981903 DNJ981814:DNJ981903 DDN981814:DDN981903 CTR981814:CTR981903 CJV981814:CJV981903 BZZ981814:BZZ981903 BQD981814:BQD981903 BGH981814:BGH981903 AWL981814:AWL981903 AMP981814:AMP981903 ACT981814:ACT981903 SX981814:SX981903 JB981814:JB981903 F981825:F981914 WVN916278:WVN916367 WLR916278:WLR916367 WBV916278:WBV916367 VRZ916278:VRZ916367 VID916278:VID916367 UYH916278:UYH916367 UOL916278:UOL916367 UEP916278:UEP916367 TUT916278:TUT916367 TKX916278:TKX916367 TBB916278:TBB916367 SRF916278:SRF916367 SHJ916278:SHJ916367 RXN916278:RXN916367 RNR916278:RNR916367 RDV916278:RDV916367 QTZ916278:QTZ916367 QKD916278:QKD916367 QAH916278:QAH916367 PQL916278:PQL916367 PGP916278:PGP916367 OWT916278:OWT916367 OMX916278:OMX916367 ODB916278:ODB916367 NTF916278:NTF916367 NJJ916278:NJJ916367 MZN916278:MZN916367 MPR916278:MPR916367 MFV916278:MFV916367 LVZ916278:LVZ916367 LMD916278:LMD916367 LCH916278:LCH916367 KSL916278:KSL916367 KIP916278:KIP916367 JYT916278:JYT916367 JOX916278:JOX916367 JFB916278:JFB916367 IVF916278:IVF916367 ILJ916278:ILJ916367 IBN916278:IBN916367 HRR916278:HRR916367 HHV916278:HHV916367 GXZ916278:GXZ916367 GOD916278:GOD916367 GEH916278:GEH916367 FUL916278:FUL916367 FKP916278:FKP916367 FAT916278:FAT916367 EQX916278:EQX916367 EHB916278:EHB916367 DXF916278:DXF916367 DNJ916278:DNJ916367 DDN916278:DDN916367 CTR916278:CTR916367 CJV916278:CJV916367 BZZ916278:BZZ916367 BQD916278:BQD916367 BGH916278:BGH916367 AWL916278:AWL916367 AMP916278:AMP916367 ACT916278:ACT916367 SX916278:SX916367 JB916278:JB916367 F916289:F916378 WVN850742:WVN850831 WLR850742:WLR850831 WBV850742:WBV850831 VRZ850742:VRZ850831 VID850742:VID850831 UYH850742:UYH850831 UOL850742:UOL850831 UEP850742:UEP850831 TUT850742:TUT850831 TKX850742:TKX850831 TBB850742:TBB850831 SRF850742:SRF850831 SHJ850742:SHJ850831 RXN850742:RXN850831 RNR850742:RNR850831 RDV850742:RDV850831 QTZ850742:QTZ850831 QKD850742:QKD850831 QAH850742:QAH850831 PQL850742:PQL850831 PGP850742:PGP850831 OWT850742:OWT850831 OMX850742:OMX850831 ODB850742:ODB850831 NTF850742:NTF850831 NJJ850742:NJJ850831 MZN850742:MZN850831 MPR850742:MPR850831 MFV850742:MFV850831 LVZ850742:LVZ850831 LMD850742:LMD850831 LCH850742:LCH850831 KSL850742:KSL850831 KIP850742:KIP850831 JYT850742:JYT850831 JOX850742:JOX850831 JFB850742:JFB850831 IVF850742:IVF850831 ILJ850742:ILJ850831 IBN850742:IBN850831 HRR850742:HRR850831 HHV850742:HHV850831 GXZ850742:GXZ850831 GOD850742:GOD850831 GEH850742:GEH850831 FUL850742:FUL850831 FKP850742:FKP850831 FAT850742:FAT850831 EQX850742:EQX850831 EHB850742:EHB850831 DXF850742:DXF850831 DNJ850742:DNJ850831 DDN850742:DDN850831 CTR850742:CTR850831 CJV850742:CJV850831 BZZ850742:BZZ850831 BQD850742:BQD850831 BGH850742:BGH850831 AWL850742:AWL850831 AMP850742:AMP850831 ACT850742:ACT850831 SX850742:SX850831 JB850742:JB850831 F850753:F850842 WVN785206:WVN785295 WLR785206:WLR785295 WBV785206:WBV785295 VRZ785206:VRZ785295 VID785206:VID785295 UYH785206:UYH785295 UOL785206:UOL785295 UEP785206:UEP785295 TUT785206:TUT785295 TKX785206:TKX785295 TBB785206:TBB785295 SRF785206:SRF785295 SHJ785206:SHJ785295 RXN785206:RXN785295 RNR785206:RNR785295 RDV785206:RDV785295 QTZ785206:QTZ785295 QKD785206:QKD785295 QAH785206:QAH785295 PQL785206:PQL785295 PGP785206:PGP785295 OWT785206:OWT785295 OMX785206:OMX785295 ODB785206:ODB785295 NTF785206:NTF785295 NJJ785206:NJJ785295 MZN785206:MZN785295 MPR785206:MPR785295 MFV785206:MFV785295 LVZ785206:LVZ785295 LMD785206:LMD785295 LCH785206:LCH785295 KSL785206:KSL785295 KIP785206:KIP785295 JYT785206:JYT785295 JOX785206:JOX785295 JFB785206:JFB785295 IVF785206:IVF785295 ILJ785206:ILJ785295 IBN785206:IBN785295 HRR785206:HRR785295 HHV785206:HHV785295 GXZ785206:GXZ785295 GOD785206:GOD785295 GEH785206:GEH785295 FUL785206:FUL785295 FKP785206:FKP785295 FAT785206:FAT785295 EQX785206:EQX785295 EHB785206:EHB785295 DXF785206:DXF785295 DNJ785206:DNJ785295 DDN785206:DDN785295 CTR785206:CTR785295 CJV785206:CJV785295 BZZ785206:BZZ785295 BQD785206:BQD785295 BGH785206:BGH785295 AWL785206:AWL785295 AMP785206:AMP785295 ACT785206:ACT785295 SX785206:SX785295 JB785206:JB785295 F785217:F785306 WVN719670:WVN719759 WLR719670:WLR719759 WBV719670:WBV719759 VRZ719670:VRZ719759 VID719670:VID719759 UYH719670:UYH719759 UOL719670:UOL719759 UEP719670:UEP719759 TUT719670:TUT719759 TKX719670:TKX719759 TBB719670:TBB719759 SRF719670:SRF719759 SHJ719670:SHJ719759 RXN719670:RXN719759 RNR719670:RNR719759 RDV719670:RDV719759 QTZ719670:QTZ719759 QKD719670:QKD719759 QAH719670:QAH719759 PQL719670:PQL719759 PGP719670:PGP719759 OWT719670:OWT719759 OMX719670:OMX719759 ODB719670:ODB719759 NTF719670:NTF719759 NJJ719670:NJJ719759 MZN719670:MZN719759 MPR719670:MPR719759 MFV719670:MFV719759 LVZ719670:LVZ719759 LMD719670:LMD719759 LCH719670:LCH719759 KSL719670:KSL719759 KIP719670:KIP719759 JYT719670:JYT719759 JOX719670:JOX719759 JFB719670:JFB719759 IVF719670:IVF719759 ILJ719670:ILJ719759 IBN719670:IBN719759 HRR719670:HRR719759 HHV719670:HHV719759 GXZ719670:GXZ719759 GOD719670:GOD719759 GEH719670:GEH719759 FUL719670:FUL719759 FKP719670:FKP719759 FAT719670:FAT719759 EQX719670:EQX719759 EHB719670:EHB719759 DXF719670:DXF719759 DNJ719670:DNJ719759 DDN719670:DDN719759 CTR719670:CTR719759 CJV719670:CJV719759 BZZ719670:BZZ719759 BQD719670:BQD719759 BGH719670:BGH719759 AWL719670:AWL719759 AMP719670:AMP719759 ACT719670:ACT719759 SX719670:SX719759 JB719670:JB719759 F719681:F719770 WVN654134:WVN654223 WLR654134:WLR654223 WBV654134:WBV654223 VRZ654134:VRZ654223 VID654134:VID654223 UYH654134:UYH654223 UOL654134:UOL654223 UEP654134:UEP654223 TUT654134:TUT654223 TKX654134:TKX654223 TBB654134:TBB654223 SRF654134:SRF654223 SHJ654134:SHJ654223 RXN654134:RXN654223 RNR654134:RNR654223 RDV654134:RDV654223 QTZ654134:QTZ654223 QKD654134:QKD654223 QAH654134:QAH654223 PQL654134:PQL654223 PGP654134:PGP654223 OWT654134:OWT654223 OMX654134:OMX654223 ODB654134:ODB654223 NTF654134:NTF654223 NJJ654134:NJJ654223 MZN654134:MZN654223 MPR654134:MPR654223 MFV654134:MFV654223 LVZ654134:LVZ654223 LMD654134:LMD654223 LCH654134:LCH654223 KSL654134:KSL654223 KIP654134:KIP654223 JYT654134:JYT654223 JOX654134:JOX654223 JFB654134:JFB654223 IVF654134:IVF654223 ILJ654134:ILJ654223 IBN654134:IBN654223 HRR654134:HRR654223 HHV654134:HHV654223 GXZ654134:GXZ654223 GOD654134:GOD654223 GEH654134:GEH654223 FUL654134:FUL654223 FKP654134:FKP654223 FAT654134:FAT654223 EQX654134:EQX654223 EHB654134:EHB654223 DXF654134:DXF654223 DNJ654134:DNJ654223 DDN654134:DDN654223 CTR654134:CTR654223 CJV654134:CJV654223 BZZ654134:BZZ654223 BQD654134:BQD654223 BGH654134:BGH654223 AWL654134:AWL654223 AMP654134:AMP654223 ACT654134:ACT654223 SX654134:SX654223 JB654134:JB654223 F654145:F654234 WVN588598:WVN588687 WLR588598:WLR588687 WBV588598:WBV588687 VRZ588598:VRZ588687 VID588598:VID588687 UYH588598:UYH588687 UOL588598:UOL588687 UEP588598:UEP588687 TUT588598:TUT588687 TKX588598:TKX588687 TBB588598:TBB588687 SRF588598:SRF588687 SHJ588598:SHJ588687 RXN588598:RXN588687 RNR588598:RNR588687 RDV588598:RDV588687 QTZ588598:QTZ588687 QKD588598:QKD588687 QAH588598:QAH588687 PQL588598:PQL588687 PGP588598:PGP588687 OWT588598:OWT588687 OMX588598:OMX588687 ODB588598:ODB588687 NTF588598:NTF588687 NJJ588598:NJJ588687 MZN588598:MZN588687 MPR588598:MPR588687 MFV588598:MFV588687 LVZ588598:LVZ588687 LMD588598:LMD588687 LCH588598:LCH588687 KSL588598:KSL588687 KIP588598:KIP588687 JYT588598:JYT588687 JOX588598:JOX588687 JFB588598:JFB588687 IVF588598:IVF588687 ILJ588598:ILJ588687 IBN588598:IBN588687 HRR588598:HRR588687 HHV588598:HHV588687 GXZ588598:GXZ588687 GOD588598:GOD588687 GEH588598:GEH588687 FUL588598:FUL588687 FKP588598:FKP588687 FAT588598:FAT588687 EQX588598:EQX588687 EHB588598:EHB588687 DXF588598:DXF588687 DNJ588598:DNJ588687 DDN588598:DDN588687 CTR588598:CTR588687 CJV588598:CJV588687 BZZ588598:BZZ588687 BQD588598:BQD588687 BGH588598:BGH588687 AWL588598:AWL588687 AMP588598:AMP588687 ACT588598:ACT588687 SX588598:SX588687 JB588598:JB588687 F588609:F588698 WVN523062:WVN523151 WLR523062:WLR523151 WBV523062:WBV523151 VRZ523062:VRZ523151 VID523062:VID523151 UYH523062:UYH523151 UOL523062:UOL523151 UEP523062:UEP523151 TUT523062:TUT523151 TKX523062:TKX523151 TBB523062:TBB523151 SRF523062:SRF523151 SHJ523062:SHJ523151 RXN523062:RXN523151 RNR523062:RNR523151 RDV523062:RDV523151 QTZ523062:QTZ523151 QKD523062:QKD523151 QAH523062:QAH523151 PQL523062:PQL523151 PGP523062:PGP523151 OWT523062:OWT523151 OMX523062:OMX523151 ODB523062:ODB523151 NTF523062:NTF523151 NJJ523062:NJJ523151 MZN523062:MZN523151 MPR523062:MPR523151 MFV523062:MFV523151 LVZ523062:LVZ523151 LMD523062:LMD523151 LCH523062:LCH523151 KSL523062:KSL523151 KIP523062:KIP523151 JYT523062:JYT523151 JOX523062:JOX523151 JFB523062:JFB523151 IVF523062:IVF523151 ILJ523062:ILJ523151 IBN523062:IBN523151 HRR523062:HRR523151 HHV523062:HHV523151 GXZ523062:GXZ523151 GOD523062:GOD523151 GEH523062:GEH523151 FUL523062:FUL523151 FKP523062:FKP523151 FAT523062:FAT523151 EQX523062:EQX523151 EHB523062:EHB523151 DXF523062:DXF523151 DNJ523062:DNJ523151 DDN523062:DDN523151 CTR523062:CTR523151 CJV523062:CJV523151 BZZ523062:BZZ523151 BQD523062:BQD523151 BGH523062:BGH523151 AWL523062:AWL523151 AMP523062:AMP523151 ACT523062:ACT523151 SX523062:SX523151 JB523062:JB523151 F523073:F523162 WVN457526:WVN457615 WLR457526:WLR457615 WBV457526:WBV457615 VRZ457526:VRZ457615 VID457526:VID457615 UYH457526:UYH457615 UOL457526:UOL457615 UEP457526:UEP457615 TUT457526:TUT457615 TKX457526:TKX457615 TBB457526:TBB457615 SRF457526:SRF457615 SHJ457526:SHJ457615 RXN457526:RXN457615 RNR457526:RNR457615 RDV457526:RDV457615 QTZ457526:QTZ457615 QKD457526:QKD457615 QAH457526:QAH457615 PQL457526:PQL457615 PGP457526:PGP457615 OWT457526:OWT457615 OMX457526:OMX457615 ODB457526:ODB457615 NTF457526:NTF457615 NJJ457526:NJJ457615 MZN457526:MZN457615 MPR457526:MPR457615 MFV457526:MFV457615 LVZ457526:LVZ457615 LMD457526:LMD457615 LCH457526:LCH457615 KSL457526:KSL457615 KIP457526:KIP457615 JYT457526:JYT457615 JOX457526:JOX457615 JFB457526:JFB457615 IVF457526:IVF457615 ILJ457526:ILJ457615 IBN457526:IBN457615 HRR457526:HRR457615 HHV457526:HHV457615 GXZ457526:GXZ457615 GOD457526:GOD457615 GEH457526:GEH457615 FUL457526:FUL457615 FKP457526:FKP457615 FAT457526:FAT457615 EQX457526:EQX457615 EHB457526:EHB457615 DXF457526:DXF457615 DNJ457526:DNJ457615 DDN457526:DDN457615 CTR457526:CTR457615 CJV457526:CJV457615 BZZ457526:BZZ457615 BQD457526:BQD457615 BGH457526:BGH457615 AWL457526:AWL457615 AMP457526:AMP457615 ACT457526:ACT457615 SX457526:SX457615 JB457526:JB457615 F457537:F457626 WVN391990:WVN392079 WLR391990:WLR392079 WBV391990:WBV392079 VRZ391990:VRZ392079 VID391990:VID392079 UYH391990:UYH392079 UOL391990:UOL392079 UEP391990:UEP392079 TUT391990:TUT392079 TKX391990:TKX392079 TBB391990:TBB392079 SRF391990:SRF392079 SHJ391990:SHJ392079 RXN391990:RXN392079 RNR391990:RNR392079 RDV391990:RDV392079 QTZ391990:QTZ392079 QKD391990:QKD392079 QAH391990:QAH392079 PQL391990:PQL392079 PGP391990:PGP392079 OWT391990:OWT392079 OMX391990:OMX392079 ODB391990:ODB392079 NTF391990:NTF392079 NJJ391990:NJJ392079 MZN391990:MZN392079 MPR391990:MPR392079 MFV391990:MFV392079 LVZ391990:LVZ392079 LMD391990:LMD392079 LCH391990:LCH392079 KSL391990:KSL392079 KIP391990:KIP392079 JYT391990:JYT392079 JOX391990:JOX392079 JFB391990:JFB392079 IVF391990:IVF392079 ILJ391990:ILJ392079 IBN391990:IBN392079 HRR391990:HRR392079 HHV391990:HHV392079 GXZ391990:GXZ392079 GOD391990:GOD392079 GEH391990:GEH392079 FUL391990:FUL392079 FKP391990:FKP392079 FAT391990:FAT392079 EQX391990:EQX392079 EHB391990:EHB392079 DXF391990:DXF392079 DNJ391990:DNJ392079 DDN391990:DDN392079 CTR391990:CTR392079 CJV391990:CJV392079 BZZ391990:BZZ392079 BQD391990:BQD392079 BGH391990:BGH392079 AWL391990:AWL392079 AMP391990:AMP392079 ACT391990:ACT392079 SX391990:SX392079 JB391990:JB392079 F392001:F392090 WVN326454:WVN326543 WLR326454:WLR326543 WBV326454:WBV326543 VRZ326454:VRZ326543 VID326454:VID326543 UYH326454:UYH326543 UOL326454:UOL326543 UEP326454:UEP326543 TUT326454:TUT326543 TKX326454:TKX326543 TBB326454:TBB326543 SRF326454:SRF326543 SHJ326454:SHJ326543 RXN326454:RXN326543 RNR326454:RNR326543 RDV326454:RDV326543 QTZ326454:QTZ326543 QKD326454:QKD326543 QAH326454:QAH326543 PQL326454:PQL326543 PGP326454:PGP326543 OWT326454:OWT326543 OMX326454:OMX326543 ODB326454:ODB326543 NTF326454:NTF326543 NJJ326454:NJJ326543 MZN326454:MZN326543 MPR326454:MPR326543 MFV326454:MFV326543 LVZ326454:LVZ326543 LMD326454:LMD326543 LCH326454:LCH326543 KSL326454:KSL326543 KIP326454:KIP326543 JYT326454:JYT326543 JOX326454:JOX326543 JFB326454:JFB326543 IVF326454:IVF326543 ILJ326454:ILJ326543 IBN326454:IBN326543 HRR326454:HRR326543 HHV326454:HHV326543 GXZ326454:GXZ326543 GOD326454:GOD326543 GEH326454:GEH326543 FUL326454:FUL326543 FKP326454:FKP326543 FAT326454:FAT326543 EQX326454:EQX326543 EHB326454:EHB326543 DXF326454:DXF326543 DNJ326454:DNJ326543 DDN326454:DDN326543 CTR326454:CTR326543 CJV326454:CJV326543 BZZ326454:BZZ326543 BQD326454:BQD326543 BGH326454:BGH326543 AWL326454:AWL326543 AMP326454:AMP326543 ACT326454:ACT326543 SX326454:SX326543 JB326454:JB326543 F326465:F326554 WVN260918:WVN261007 WLR260918:WLR261007 WBV260918:WBV261007 VRZ260918:VRZ261007 VID260918:VID261007 UYH260918:UYH261007 UOL260918:UOL261007 UEP260918:UEP261007 TUT260918:TUT261007 TKX260918:TKX261007 TBB260918:TBB261007 SRF260918:SRF261007 SHJ260918:SHJ261007 RXN260918:RXN261007 RNR260918:RNR261007 RDV260918:RDV261007 QTZ260918:QTZ261007 QKD260918:QKD261007 QAH260918:QAH261007 PQL260918:PQL261007 PGP260918:PGP261007 OWT260918:OWT261007 OMX260918:OMX261007 ODB260918:ODB261007 NTF260918:NTF261007 NJJ260918:NJJ261007 MZN260918:MZN261007 MPR260918:MPR261007 MFV260918:MFV261007 LVZ260918:LVZ261007 LMD260918:LMD261007 LCH260918:LCH261007 KSL260918:KSL261007 KIP260918:KIP261007 JYT260918:JYT261007 JOX260918:JOX261007 JFB260918:JFB261007 IVF260918:IVF261007 ILJ260918:ILJ261007 IBN260918:IBN261007 HRR260918:HRR261007 HHV260918:HHV261007 GXZ260918:GXZ261007 GOD260918:GOD261007 GEH260918:GEH261007 FUL260918:FUL261007 FKP260918:FKP261007 FAT260918:FAT261007 EQX260918:EQX261007 EHB260918:EHB261007 DXF260918:DXF261007 DNJ260918:DNJ261007 DDN260918:DDN261007 CTR260918:CTR261007 CJV260918:CJV261007 BZZ260918:BZZ261007 BQD260918:BQD261007 BGH260918:BGH261007 AWL260918:AWL261007 AMP260918:AMP261007 ACT260918:ACT261007 SX260918:SX261007 JB260918:JB261007 F260929:F261018 WVN195382:WVN195471 WLR195382:WLR195471 WBV195382:WBV195471 VRZ195382:VRZ195471 VID195382:VID195471 UYH195382:UYH195471 UOL195382:UOL195471 UEP195382:UEP195471 TUT195382:TUT195471 TKX195382:TKX195471 TBB195382:TBB195471 SRF195382:SRF195471 SHJ195382:SHJ195471 RXN195382:RXN195471 RNR195382:RNR195471 RDV195382:RDV195471 QTZ195382:QTZ195471 QKD195382:QKD195471 QAH195382:QAH195471 PQL195382:PQL195471 PGP195382:PGP195471 OWT195382:OWT195471 OMX195382:OMX195471 ODB195382:ODB195471 NTF195382:NTF195471 NJJ195382:NJJ195471 MZN195382:MZN195471 MPR195382:MPR195471 MFV195382:MFV195471 LVZ195382:LVZ195471 LMD195382:LMD195471 LCH195382:LCH195471 KSL195382:KSL195471 KIP195382:KIP195471 JYT195382:JYT195471 JOX195382:JOX195471 JFB195382:JFB195471 IVF195382:IVF195471 ILJ195382:ILJ195471 IBN195382:IBN195471 HRR195382:HRR195471 HHV195382:HHV195471 GXZ195382:GXZ195471 GOD195382:GOD195471 GEH195382:GEH195471 FUL195382:FUL195471 FKP195382:FKP195471 FAT195382:FAT195471 EQX195382:EQX195471 EHB195382:EHB195471 DXF195382:DXF195471 DNJ195382:DNJ195471 DDN195382:DDN195471 CTR195382:CTR195471 CJV195382:CJV195471 BZZ195382:BZZ195471 BQD195382:BQD195471 BGH195382:BGH195471 AWL195382:AWL195471 AMP195382:AMP195471 ACT195382:ACT195471 SX195382:SX195471 JB195382:JB195471 F195393:F195482 WVN129846:WVN129935 WLR129846:WLR129935 WBV129846:WBV129935 VRZ129846:VRZ129935 VID129846:VID129935 UYH129846:UYH129935 UOL129846:UOL129935 UEP129846:UEP129935 TUT129846:TUT129935 TKX129846:TKX129935 TBB129846:TBB129935 SRF129846:SRF129935 SHJ129846:SHJ129935 RXN129846:RXN129935 RNR129846:RNR129935 RDV129846:RDV129935 QTZ129846:QTZ129935 QKD129846:QKD129935 QAH129846:QAH129935 PQL129846:PQL129935 PGP129846:PGP129935 OWT129846:OWT129935 OMX129846:OMX129935 ODB129846:ODB129935 NTF129846:NTF129935 NJJ129846:NJJ129935 MZN129846:MZN129935 MPR129846:MPR129935 MFV129846:MFV129935 LVZ129846:LVZ129935 LMD129846:LMD129935 LCH129846:LCH129935 KSL129846:KSL129935 KIP129846:KIP129935 JYT129846:JYT129935 JOX129846:JOX129935 JFB129846:JFB129935 IVF129846:IVF129935 ILJ129846:ILJ129935 IBN129846:IBN129935 HRR129846:HRR129935 HHV129846:HHV129935 GXZ129846:GXZ129935 GOD129846:GOD129935 GEH129846:GEH129935 FUL129846:FUL129935 FKP129846:FKP129935 FAT129846:FAT129935 EQX129846:EQX129935 EHB129846:EHB129935 DXF129846:DXF129935 DNJ129846:DNJ129935 DDN129846:DDN129935 CTR129846:CTR129935 CJV129846:CJV129935 BZZ129846:BZZ129935 BQD129846:BQD129935 BGH129846:BGH129935 AWL129846:AWL129935 AMP129846:AMP129935 ACT129846:ACT129935 SX129846:SX129935 JB129846:JB129935 F129857:F129946 WVN64310:WVN64399 WLR64310:WLR64399 WBV64310:WBV64399 VRZ64310:VRZ64399 VID64310:VID64399 UYH64310:UYH64399 UOL64310:UOL64399 UEP64310:UEP64399 TUT64310:TUT64399 TKX64310:TKX64399 TBB64310:TBB64399 SRF64310:SRF64399 SHJ64310:SHJ64399 RXN64310:RXN64399 RNR64310:RNR64399 RDV64310:RDV64399 QTZ64310:QTZ64399 QKD64310:QKD64399 QAH64310:QAH64399 PQL64310:PQL64399 PGP64310:PGP64399 OWT64310:OWT64399 OMX64310:OMX64399 ODB64310:ODB64399 NTF64310:NTF64399 NJJ64310:NJJ64399 MZN64310:MZN64399 MPR64310:MPR64399 MFV64310:MFV64399 LVZ64310:LVZ64399 LMD64310:LMD64399 LCH64310:LCH64399 KSL64310:KSL64399 KIP64310:KIP64399 JYT64310:JYT64399 JOX64310:JOX64399 JFB64310:JFB64399 IVF64310:IVF64399 ILJ64310:ILJ64399 IBN64310:IBN64399 HRR64310:HRR64399 HHV64310:HHV64399 GXZ64310:GXZ64399 GOD64310:GOD64399 GEH64310:GEH64399 FUL64310:FUL64399 FKP64310:FKP64399 FAT64310:FAT64399 EQX64310:EQX64399 EHB64310:EHB64399 DXF64310:DXF64399 DNJ64310:DNJ64399 DDN64310:DDN64399 CTR64310:CTR64399 CJV64310:CJV64399 BZZ64310:BZZ64399 BQD64310:BQD64399 BGH64310:BGH64399 AWL64310:AWL64399 AMP64310:AMP64399 ACT64310:ACT64399 SX64310:SX64399 JB64310:JB64399 F64321:F64410 JB2:JB82 SX2:SX82 ACT2:ACT82 AMP2:AMP82 AWL2:AWL82 BGH2:BGH82 BQD2:BQD82 BZZ2:BZZ82 CJV2:CJV82 CTR2:CTR82 DDN2:DDN82 DNJ2:DNJ82 DXF2:DXF82 EHB2:EHB82 EQX2:EQX82 FAT2:FAT82 FKP2:FKP82 FUL2:FUL82 GEH2:GEH82 GOD2:GOD82 GXZ2:GXZ82 HHV2:HHV82 HRR2:HRR82 IBN2:IBN82 ILJ2:ILJ82 IVF2:IVF82 JFB2:JFB82 JOX2:JOX82 JYT2:JYT82 KIP2:KIP82 KSL2:KSL82 LCH2:LCH82 LMD2:LMD82 LVZ2:LVZ82 MFV2:MFV82 MPR2:MPR82 MZN2:MZN82 NJJ2:NJJ82 NTF2:NTF82 ODB2:ODB82 OMX2:OMX82 OWT2:OWT82 PGP2:PGP82 PQL2:PQL82 QAH2:QAH82 QKD2:QKD82 QTZ2:QTZ82 RDV2:RDV82 RNR2:RNR82 RXN2:RXN82 SHJ2:SHJ82 SRF2:SRF82 TBB2:TBB82 TKX2:TKX82 TUT2:TUT82 UEP2:UEP82 UOL2:UOL82 UYH2:UYH82 VID2:VID82 VRZ2:VRZ82 WBV2:WBV82 WLR2:WLR82 WVN2:WVN82" xr:uid="{BC7DD089-ACCD-4E0C-8A68-20A321A22E6F}">
      <formula1>$AH$2:$AH$13</formula1>
    </dataValidation>
    <dataValidation type="list" allowBlank="1" showInputMessage="1" showErrorMessage="1" sqref="WVM981814:WVM981903 WLQ981814:WLQ981903 WBU981814:WBU981903 VRY981814:VRY981903 VIC981814:VIC981903 UYG981814:UYG981903 UOK981814:UOK981903 UEO981814:UEO981903 TUS981814:TUS981903 TKW981814:TKW981903 TBA981814:TBA981903 SRE981814:SRE981903 SHI981814:SHI981903 RXM981814:RXM981903 RNQ981814:RNQ981903 RDU981814:RDU981903 QTY981814:QTY981903 QKC981814:QKC981903 QAG981814:QAG981903 PQK981814:PQK981903 PGO981814:PGO981903 OWS981814:OWS981903 OMW981814:OMW981903 ODA981814:ODA981903 NTE981814:NTE981903 NJI981814:NJI981903 MZM981814:MZM981903 MPQ981814:MPQ981903 MFU981814:MFU981903 LVY981814:LVY981903 LMC981814:LMC981903 LCG981814:LCG981903 KSK981814:KSK981903 KIO981814:KIO981903 JYS981814:JYS981903 JOW981814:JOW981903 JFA981814:JFA981903 IVE981814:IVE981903 ILI981814:ILI981903 IBM981814:IBM981903 HRQ981814:HRQ981903 HHU981814:HHU981903 GXY981814:GXY981903 GOC981814:GOC981903 GEG981814:GEG981903 FUK981814:FUK981903 FKO981814:FKO981903 FAS981814:FAS981903 EQW981814:EQW981903 EHA981814:EHA981903 DXE981814:DXE981903 DNI981814:DNI981903 DDM981814:DDM981903 CTQ981814:CTQ981903 CJU981814:CJU981903 BZY981814:BZY981903 BQC981814:BQC981903 BGG981814:BGG981903 AWK981814:AWK981903 AMO981814:AMO981903 ACS981814:ACS981903 SW981814:SW981903 JA981814:JA981903 E981825:E981914 WVM916278:WVM916367 WLQ916278:WLQ916367 WBU916278:WBU916367 VRY916278:VRY916367 VIC916278:VIC916367 UYG916278:UYG916367 UOK916278:UOK916367 UEO916278:UEO916367 TUS916278:TUS916367 TKW916278:TKW916367 TBA916278:TBA916367 SRE916278:SRE916367 SHI916278:SHI916367 RXM916278:RXM916367 RNQ916278:RNQ916367 RDU916278:RDU916367 QTY916278:QTY916367 QKC916278:QKC916367 QAG916278:QAG916367 PQK916278:PQK916367 PGO916278:PGO916367 OWS916278:OWS916367 OMW916278:OMW916367 ODA916278:ODA916367 NTE916278:NTE916367 NJI916278:NJI916367 MZM916278:MZM916367 MPQ916278:MPQ916367 MFU916278:MFU916367 LVY916278:LVY916367 LMC916278:LMC916367 LCG916278:LCG916367 KSK916278:KSK916367 KIO916278:KIO916367 JYS916278:JYS916367 JOW916278:JOW916367 JFA916278:JFA916367 IVE916278:IVE916367 ILI916278:ILI916367 IBM916278:IBM916367 HRQ916278:HRQ916367 HHU916278:HHU916367 GXY916278:GXY916367 GOC916278:GOC916367 GEG916278:GEG916367 FUK916278:FUK916367 FKO916278:FKO916367 FAS916278:FAS916367 EQW916278:EQW916367 EHA916278:EHA916367 DXE916278:DXE916367 DNI916278:DNI916367 DDM916278:DDM916367 CTQ916278:CTQ916367 CJU916278:CJU916367 BZY916278:BZY916367 BQC916278:BQC916367 BGG916278:BGG916367 AWK916278:AWK916367 AMO916278:AMO916367 ACS916278:ACS916367 SW916278:SW916367 JA916278:JA916367 E916289:E916378 WVM850742:WVM850831 WLQ850742:WLQ850831 WBU850742:WBU850831 VRY850742:VRY850831 VIC850742:VIC850831 UYG850742:UYG850831 UOK850742:UOK850831 UEO850742:UEO850831 TUS850742:TUS850831 TKW850742:TKW850831 TBA850742:TBA850831 SRE850742:SRE850831 SHI850742:SHI850831 RXM850742:RXM850831 RNQ850742:RNQ850831 RDU850742:RDU850831 QTY850742:QTY850831 QKC850742:QKC850831 QAG850742:QAG850831 PQK850742:PQK850831 PGO850742:PGO850831 OWS850742:OWS850831 OMW850742:OMW850831 ODA850742:ODA850831 NTE850742:NTE850831 NJI850742:NJI850831 MZM850742:MZM850831 MPQ850742:MPQ850831 MFU850742:MFU850831 LVY850742:LVY850831 LMC850742:LMC850831 LCG850742:LCG850831 KSK850742:KSK850831 KIO850742:KIO850831 JYS850742:JYS850831 JOW850742:JOW850831 JFA850742:JFA850831 IVE850742:IVE850831 ILI850742:ILI850831 IBM850742:IBM850831 HRQ850742:HRQ850831 HHU850742:HHU850831 GXY850742:GXY850831 GOC850742:GOC850831 GEG850742:GEG850831 FUK850742:FUK850831 FKO850742:FKO850831 FAS850742:FAS850831 EQW850742:EQW850831 EHA850742:EHA850831 DXE850742:DXE850831 DNI850742:DNI850831 DDM850742:DDM850831 CTQ850742:CTQ850831 CJU850742:CJU850831 BZY850742:BZY850831 BQC850742:BQC850831 BGG850742:BGG850831 AWK850742:AWK850831 AMO850742:AMO850831 ACS850742:ACS850831 SW850742:SW850831 JA850742:JA850831 E850753:E850842 WVM785206:WVM785295 WLQ785206:WLQ785295 WBU785206:WBU785295 VRY785206:VRY785295 VIC785206:VIC785295 UYG785206:UYG785295 UOK785206:UOK785295 UEO785206:UEO785295 TUS785206:TUS785295 TKW785206:TKW785295 TBA785206:TBA785295 SRE785206:SRE785295 SHI785206:SHI785295 RXM785206:RXM785295 RNQ785206:RNQ785295 RDU785206:RDU785295 QTY785206:QTY785295 QKC785206:QKC785295 QAG785206:QAG785295 PQK785206:PQK785295 PGO785206:PGO785295 OWS785206:OWS785295 OMW785206:OMW785295 ODA785206:ODA785295 NTE785206:NTE785295 NJI785206:NJI785295 MZM785206:MZM785295 MPQ785206:MPQ785295 MFU785206:MFU785295 LVY785206:LVY785295 LMC785206:LMC785295 LCG785206:LCG785295 KSK785206:KSK785295 KIO785206:KIO785295 JYS785206:JYS785295 JOW785206:JOW785295 JFA785206:JFA785295 IVE785206:IVE785295 ILI785206:ILI785295 IBM785206:IBM785295 HRQ785206:HRQ785295 HHU785206:HHU785295 GXY785206:GXY785295 GOC785206:GOC785295 GEG785206:GEG785295 FUK785206:FUK785295 FKO785206:FKO785295 FAS785206:FAS785295 EQW785206:EQW785295 EHA785206:EHA785295 DXE785206:DXE785295 DNI785206:DNI785295 DDM785206:DDM785295 CTQ785206:CTQ785295 CJU785206:CJU785295 BZY785206:BZY785295 BQC785206:BQC785295 BGG785206:BGG785295 AWK785206:AWK785295 AMO785206:AMO785295 ACS785206:ACS785295 SW785206:SW785295 JA785206:JA785295 E785217:E785306 WVM719670:WVM719759 WLQ719670:WLQ719759 WBU719670:WBU719759 VRY719670:VRY719759 VIC719670:VIC719759 UYG719670:UYG719759 UOK719670:UOK719759 UEO719670:UEO719759 TUS719670:TUS719759 TKW719670:TKW719759 TBA719670:TBA719759 SRE719670:SRE719759 SHI719670:SHI719759 RXM719670:RXM719759 RNQ719670:RNQ719759 RDU719670:RDU719759 QTY719670:QTY719759 QKC719670:QKC719759 QAG719670:QAG719759 PQK719670:PQK719759 PGO719670:PGO719759 OWS719670:OWS719759 OMW719670:OMW719759 ODA719670:ODA719759 NTE719670:NTE719759 NJI719670:NJI719759 MZM719670:MZM719759 MPQ719670:MPQ719759 MFU719670:MFU719759 LVY719670:LVY719759 LMC719670:LMC719759 LCG719670:LCG719759 KSK719670:KSK719759 KIO719670:KIO719759 JYS719670:JYS719759 JOW719670:JOW719759 JFA719670:JFA719759 IVE719670:IVE719759 ILI719670:ILI719759 IBM719670:IBM719759 HRQ719670:HRQ719759 HHU719670:HHU719759 GXY719670:GXY719759 GOC719670:GOC719759 GEG719670:GEG719759 FUK719670:FUK719759 FKO719670:FKO719759 FAS719670:FAS719759 EQW719670:EQW719759 EHA719670:EHA719759 DXE719670:DXE719759 DNI719670:DNI719759 DDM719670:DDM719759 CTQ719670:CTQ719759 CJU719670:CJU719759 BZY719670:BZY719759 BQC719670:BQC719759 BGG719670:BGG719759 AWK719670:AWK719759 AMO719670:AMO719759 ACS719670:ACS719759 SW719670:SW719759 JA719670:JA719759 E719681:E719770 WVM654134:WVM654223 WLQ654134:WLQ654223 WBU654134:WBU654223 VRY654134:VRY654223 VIC654134:VIC654223 UYG654134:UYG654223 UOK654134:UOK654223 UEO654134:UEO654223 TUS654134:TUS654223 TKW654134:TKW654223 TBA654134:TBA654223 SRE654134:SRE654223 SHI654134:SHI654223 RXM654134:RXM654223 RNQ654134:RNQ654223 RDU654134:RDU654223 QTY654134:QTY654223 QKC654134:QKC654223 QAG654134:QAG654223 PQK654134:PQK654223 PGO654134:PGO654223 OWS654134:OWS654223 OMW654134:OMW654223 ODA654134:ODA654223 NTE654134:NTE654223 NJI654134:NJI654223 MZM654134:MZM654223 MPQ654134:MPQ654223 MFU654134:MFU654223 LVY654134:LVY654223 LMC654134:LMC654223 LCG654134:LCG654223 KSK654134:KSK654223 KIO654134:KIO654223 JYS654134:JYS654223 JOW654134:JOW654223 JFA654134:JFA654223 IVE654134:IVE654223 ILI654134:ILI654223 IBM654134:IBM654223 HRQ654134:HRQ654223 HHU654134:HHU654223 GXY654134:GXY654223 GOC654134:GOC654223 GEG654134:GEG654223 FUK654134:FUK654223 FKO654134:FKO654223 FAS654134:FAS654223 EQW654134:EQW654223 EHA654134:EHA654223 DXE654134:DXE654223 DNI654134:DNI654223 DDM654134:DDM654223 CTQ654134:CTQ654223 CJU654134:CJU654223 BZY654134:BZY654223 BQC654134:BQC654223 BGG654134:BGG654223 AWK654134:AWK654223 AMO654134:AMO654223 ACS654134:ACS654223 SW654134:SW654223 JA654134:JA654223 E654145:E654234 WVM588598:WVM588687 WLQ588598:WLQ588687 WBU588598:WBU588687 VRY588598:VRY588687 VIC588598:VIC588687 UYG588598:UYG588687 UOK588598:UOK588687 UEO588598:UEO588687 TUS588598:TUS588687 TKW588598:TKW588687 TBA588598:TBA588687 SRE588598:SRE588687 SHI588598:SHI588687 RXM588598:RXM588687 RNQ588598:RNQ588687 RDU588598:RDU588687 QTY588598:QTY588687 QKC588598:QKC588687 QAG588598:QAG588687 PQK588598:PQK588687 PGO588598:PGO588687 OWS588598:OWS588687 OMW588598:OMW588687 ODA588598:ODA588687 NTE588598:NTE588687 NJI588598:NJI588687 MZM588598:MZM588687 MPQ588598:MPQ588687 MFU588598:MFU588687 LVY588598:LVY588687 LMC588598:LMC588687 LCG588598:LCG588687 KSK588598:KSK588687 KIO588598:KIO588687 JYS588598:JYS588687 JOW588598:JOW588687 JFA588598:JFA588687 IVE588598:IVE588687 ILI588598:ILI588687 IBM588598:IBM588687 HRQ588598:HRQ588687 HHU588598:HHU588687 GXY588598:GXY588687 GOC588598:GOC588687 GEG588598:GEG588687 FUK588598:FUK588687 FKO588598:FKO588687 FAS588598:FAS588687 EQW588598:EQW588687 EHA588598:EHA588687 DXE588598:DXE588687 DNI588598:DNI588687 DDM588598:DDM588687 CTQ588598:CTQ588687 CJU588598:CJU588687 BZY588598:BZY588687 BQC588598:BQC588687 BGG588598:BGG588687 AWK588598:AWK588687 AMO588598:AMO588687 ACS588598:ACS588687 SW588598:SW588687 JA588598:JA588687 E588609:E588698 WVM523062:WVM523151 WLQ523062:WLQ523151 WBU523062:WBU523151 VRY523062:VRY523151 VIC523062:VIC523151 UYG523062:UYG523151 UOK523062:UOK523151 UEO523062:UEO523151 TUS523062:TUS523151 TKW523062:TKW523151 TBA523062:TBA523151 SRE523062:SRE523151 SHI523062:SHI523151 RXM523062:RXM523151 RNQ523062:RNQ523151 RDU523062:RDU523151 QTY523062:QTY523151 QKC523062:QKC523151 QAG523062:QAG523151 PQK523062:PQK523151 PGO523062:PGO523151 OWS523062:OWS523151 OMW523062:OMW523151 ODA523062:ODA523151 NTE523062:NTE523151 NJI523062:NJI523151 MZM523062:MZM523151 MPQ523062:MPQ523151 MFU523062:MFU523151 LVY523062:LVY523151 LMC523062:LMC523151 LCG523062:LCG523151 KSK523062:KSK523151 KIO523062:KIO523151 JYS523062:JYS523151 JOW523062:JOW523151 JFA523062:JFA523151 IVE523062:IVE523151 ILI523062:ILI523151 IBM523062:IBM523151 HRQ523062:HRQ523151 HHU523062:HHU523151 GXY523062:GXY523151 GOC523062:GOC523151 GEG523062:GEG523151 FUK523062:FUK523151 FKO523062:FKO523151 FAS523062:FAS523151 EQW523062:EQW523151 EHA523062:EHA523151 DXE523062:DXE523151 DNI523062:DNI523151 DDM523062:DDM523151 CTQ523062:CTQ523151 CJU523062:CJU523151 BZY523062:BZY523151 BQC523062:BQC523151 BGG523062:BGG523151 AWK523062:AWK523151 AMO523062:AMO523151 ACS523062:ACS523151 SW523062:SW523151 JA523062:JA523151 E523073:E523162 WVM457526:WVM457615 WLQ457526:WLQ457615 WBU457526:WBU457615 VRY457526:VRY457615 VIC457526:VIC457615 UYG457526:UYG457615 UOK457526:UOK457615 UEO457526:UEO457615 TUS457526:TUS457615 TKW457526:TKW457615 TBA457526:TBA457615 SRE457526:SRE457615 SHI457526:SHI457615 RXM457526:RXM457615 RNQ457526:RNQ457615 RDU457526:RDU457615 QTY457526:QTY457615 QKC457526:QKC457615 QAG457526:QAG457615 PQK457526:PQK457615 PGO457526:PGO457615 OWS457526:OWS457615 OMW457526:OMW457615 ODA457526:ODA457615 NTE457526:NTE457615 NJI457526:NJI457615 MZM457526:MZM457615 MPQ457526:MPQ457615 MFU457526:MFU457615 LVY457526:LVY457615 LMC457526:LMC457615 LCG457526:LCG457615 KSK457526:KSK457615 KIO457526:KIO457615 JYS457526:JYS457615 JOW457526:JOW457615 JFA457526:JFA457615 IVE457526:IVE457615 ILI457526:ILI457615 IBM457526:IBM457615 HRQ457526:HRQ457615 HHU457526:HHU457615 GXY457526:GXY457615 GOC457526:GOC457615 GEG457526:GEG457615 FUK457526:FUK457615 FKO457526:FKO457615 FAS457526:FAS457615 EQW457526:EQW457615 EHA457526:EHA457615 DXE457526:DXE457615 DNI457526:DNI457615 DDM457526:DDM457615 CTQ457526:CTQ457615 CJU457526:CJU457615 BZY457526:BZY457615 BQC457526:BQC457615 BGG457526:BGG457615 AWK457526:AWK457615 AMO457526:AMO457615 ACS457526:ACS457615 SW457526:SW457615 JA457526:JA457615 E457537:E457626 WVM391990:WVM392079 WLQ391990:WLQ392079 WBU391990:WBU392079 VRY391990:VRY392079 VIC391990:VIC392079 UYG391990:UYG392079 UOK391990:UOK392079 UEO391990:UEO392079 TUS391990:TUS392079 TKW391990:TKW392079 TBA391990:TBA392079 SRE391990:SRE392079 SHI391990:SHI392079 RXM391990:RXM392079 RNQ391990:RNQ392079 RDU391990:RDU392079 QTY391990:QTY392079 QKC391990:QKC392079 QAG391990:QAG392079 PQK391990:PQK392079 PGO391990:PGO392079 OWS391990:OWS392079 OMW391990:OMW392079 ODA391990:ODA392079 NTE391990:NTE392079 NJI391990:NJI392079 MZM391990:MZM392079 MPQ391990:MPQ392079 MFU391990:MFU392079 LVY391990:LVY392079 LMC391990:LMC392079 LCG391990:LCG392079 KSK391990:KSK392079 KIO391990:KIO392079 JYS391990:JYS392079 JOW391990:JOW392079 JFA391990:JFA392079 IVE391990:IVE392079 ILI391990:ILI392079 IBM391990:IBM392079 HRQ391990:HRQ392079 HHU391990:HHU392079 GXY391990:GXY392079 GOC391990:GOC392079 GEG391990:GEG392079 FUK391990:FUK392079 FKO391990:FKO392079 FAS391990:FAS392079 EQW391990:EQW392079 EHA391990:EHA392079 DXE391990:DXE392079 DNI391990:DNI392079 DDM391990:DDM392079 CTQ391990:CTQ392079 CJU391990:CJU392079 BZY391990:BZY392079 BQC391990:BQC392079 BGG391990:BGG392079 AWK391990:AWK392079 AMO391990:AMO392079 ACS391990:ACS392079 SW391990:SW392079 JA391990:JA392079 E392001:E392090 WVM326454:WVM326543 WLQ326454:WLQ326543 WBU326454:WBU326543 VRY326454:VRY326543 VIC326454:VIC326543 UYG326454:UYG326543 UOK326454:UOK326543 UEO326454:UEO326543 TUS326454:TUS326543 TKW326454:TKW326543 TBA326454:TBA326543 SRE326454:SRE326543 SHI326454:SHI326543 RXM326454:RXM326543 RNQ326454:RNQ326543 RDU326454:RDU326543 QTY326454:QTY326543 QKC326454:QKC326543 QAG326454:QAG326543 PQK326454:PQK326543 PGO326454:PGO326543 OWS326454:OWS326543 OMW326454:OMW326543 ODA326454:ODA326543 NTE326454:NTE326543 NJI326454:NJI326543 MZM326454:MZM326543 MPQ326454:MPQ326543 MFU326454:MFU326543 LVY326454:LVY326543 LMC326454:LMC326543 LCG326454:LCG326543 KSK326454:KSK326543 KIO326454:KIO326543 JYS326454:JYS326543 JOW326454:JOW326543 JFA326454:JFA326543 IVE326454:IVE326543 ILI326454:ILI326543 IBM326454:IBM326543 HRQ326454:HRQ326543 HHU326454:HHU326543 GXY326454:GXY326543 GOC326454:GOC326543 GEG326454:GEG326543 FUK326454:FUK326543 FKO326454:FKO326543 FAS326454:FAS326543 EQW326454:EQW326543 EHA326454:EHA326543 DXE326454:DXE326543 DNI326454:DNI326543 DDM326454:DDM326543 CTQ326454:CTQ326543 CJU326454:CJU326543 BZY326454:BZY326543 BQC326454:BQC326543 BGG326454:BGG326543 AWK326454:AWK326543 AMO326454:AMO326543 ACS326454:ACS326543 SW326454:SW326543 JA326454:JA326543 E326465:E326554 WVM260918:WVM261007 WLQ260918:WLQ261007 WBU260918:WBU261007 VRY260918:VRY261007 VIC260918:VIC261007 UYG260918:UYG261007 UOK260918:UOK261007 UEO260918:UEO261007 TUS260918:TUS261007 TKW260918:TKW261007 TBA260918:TBA261007 SRE260918:SRE261007 SHI260918:SHI261007 RXM260918:RXM261007 RNQ260918:RNQ261007 RDU260918:RDU261007 QTY260918:QTY261007 QKC260918:QKC261007 QAG260918:QAG261007 PQK260918:PQK261007 PGO260918:PGO261007 OWS260918:OWS261007 OMW260918:OMW261007 ODA260918:ODA261007 NTE260918:NTE261007 NJI260918:NJI261007 MZM260918:MZM261007 MPQ260918:MPQ261007 MFU260918:MFU261007 LVY260918:LVY261007 LMC260918:LMC261007 LCG260918:LCG261007 KSK260918:KSK261007 KIO260918:KIO261007 JYS260918:JYS261007 JOW260918:JOW261007 JFA260918:JFA261007 IVE260918:IVE261007 ILI260918:ILI261007 IBM260918:IBM261007 HRQ260918:HRQ261007 HHU260918:HHU261007 GXY260918:GXY261007 GOC260918:GOC261007 GEG260918:GEG261007 FUK260918:FUK261007 FKO260918:FKO261007 FAS260918:FAS261007 EQW260918:EQW261007 EHA260918:EHA261007 DXE260918:DXE261007 DNI260918:DNI261007 DDM260918:DDM261007 CTQ260918:CTQ261007 CJU260918:CJU261007 BZY260918:BZY261007 BQC260918:BQC261007 BGG260918:BGG261007 AWK260918:AWK261007 AMO260918:AMO261007 ACS260918:ACS261007 SW260918:SW261007 JA260918:JA261007 E260929:E261018 WVM195382:WVM195471 WLQ195382:WLQ195471 WBU195382:WBU195471 VRY195382:VRY195471 VIC195382:VIC195471 UYG195382:UYG195471 UOK195382:UOK195471 UEO195382:UEO195471 TUS195382:TUS195471 TKW195382:TKW195471 TBA195382:TBA195471 SRE195382:SRE195471 SHI195382:SHI195471 RXM195382:RXM195471 RNQ195382:RNQ195471 RDU195382:RDU195471 QTY195382:QTY195471 QKC195382:QKC195471 QAG195382:QAG195471 PQK195382:PQK195471 PGO195382:PGO195471 OWS195382:OWS195471 OMW195382:OMW195471 ODA195382:ODA195471 NTE195382:NTE195471 NJI195382:NJI195471 MZM195382:MZM195471 MPQ195382:MPQ195471 MFU195382:MFU195471 LVY195382:LVY195471 LMC195382:LMC195471 LCG195382:LCG195471 KSK195382:KSK195471 KIO195382:KIO195471 JYS195382:JYS195471 JOW195382:JOW195471 JFA195382:JFA195471 IVE195382:IVE195471 ILI195382:ILI195471 IBM195382:IBM195471 HRQ195382:HRQ195471 HHU195382:HHU195471 GXY195382:GXY195471 GOC195382:GOC195471 GEG195382:GEG195471 FUK195382:FUK195471 FKO195382:FKO195471 FAS195382:FAS195471 EQW195382:EQW195471 EHA195382:EHA195471 DXE195382:DXE195471 DNI195382:DNI195471 DDM195382:DDM195471 CTQ195382:CTQ195471 CJU195382:CJU195471 BZY195382:BZY195471 BQC195382:BQC195471 BGG195382:BGG195471 AWK195382:AWK195471 AMO195382:AMO195471 ACS195382:ACS195471 SW195382:SW195471 JA195382:JA195471 E195393:E195482 WVM129846:WVM129935 WLQ129846:WLQ129935 WBU129846:WBU129935 VRY129846:VRY129935 VIC129846:VIC129935 UYG129846:UYG129935 UOK129846:UOK129935 UEO129846:UEO129935 TUS129846:TUS129935 TKW129846:TKW129935 TBA129846:TBA129935 SRE129846:SRE129935 SHI129846:SHI129935 RXM129846:RXM129935 RNQ129846:RNQ129935 RDU129846:RDU129935 QTY129846:QTY129935 QKC129846:QKC129935 QAG129846:QAG129935 PQK129846:PQK129935 PGO129846:PGO129935 OWS129846:OWS129935 OMW129846:OMW129935 ODA129846:ODA129935 NTE129846:NTE129935 NJI129846:NJI129935 MZM129846:MZM129935 MPQ129846:MPQ129935 MFU129846:MFU129935 LVY129846:LVY129935 LMC129846:LMC129935 LCG129846:LCG129935 KSK129846:KSK129935 KIO129846:KIO129935 JYS129846:JYS129935 JOW129846:JOW129935 JFA129846:JFA129935 IVE129846:IVE129935 ILI129846:ILI129935 IBM129846:IBM129935 HRQ129846:HRQ129935 HHU129846:HHU129935 GXY129846:GXY129935 GOC129846:GOC129935 GEG129846:GEG129935 FUK129846:FUK129935 FKO129846:FKO129935 FAS129846:FAS129935 EQW129846:EQW129935 EHA129846:EHA129935 DXE129846:DXE129935 DNI129846:DNI129935 DDM129846:DDM129935 CTQ129846:CTQ129935 CJU129846:CJU129935 BZY129846:BZY129935 BQC129846:BQC129935 BGG129846:BGG129935 AWK129846:AWK129935 AMO129846:AMO129935 ACS129846:ACS129935 SW129846:SW129935 JA129846:JA129935 E129857:E129946 WVM64310:WVM64399 WLQ64310:WLQ64399 WBU64310:WBU64399 VRY64310:VRY64399 VIC64310:VIC64399 UYG64310:UYG64399 UOK64310:UOK64399 UEO64310:UEO64399 TUS64310:TUS64399 TKW64310:TKW64399 TBA64310:TBA64399 SRE64310:SRE64399 SHI64310:SHI64399 RXM64310:RXM64399 RNQ64310:RNQ64399 RDU64310:RDU64399 QTY64310:QTY64399 QKC64310:QKC64399 QAG64310:QAG64399 PQK64310:PQK64399 PGO64310:PGO64399 OWS64310:OWS64399 OMW64310:OMW64399 ODA64310:ODA64399 NTE64310:NTE64399 NJI64310:NJI64399 MZM64310:MZM64399 MPQ64310:MPQ64399 MFU64310:MFU64399 LVY64310:LVY64399 LMC64310:LMC64399 LCG64310:LCG64399 KSK64310:KSK64399 KIO64310:KIO64399 JYS64310:JYS64399 JOW64310:JOW64399 JFA64310:JFA64399 IVE64310:IVE64399 ILI64310:ILI64399 IBM64310:IBM64399 HRQ64310:HRQ64399 HHU64310:HHU64399 GXY64310:GXY64399 GOC64310:GOC64399 GEG64310:GEG64399 FUK64310:FUK64399 FKO64310:FKO64399 FAS64310:FAS64399 EQW64310:EQW64399 EHA64310:EHA64399 DXE64310:DXE64399 DNI64310:DNI64399 DDM64310:DDM64399 CTQ64310:CTQ64399 CJU64310:CJU64399 BZY64310:BZY64399 BQC64310:BQC64399 BGG64310:BGG64399 AWK64310:AWK64399 AMO64310:AMO64399 ACS64310:ACS64399 SW64310:SW64399 JA64310:JA64399 E64321:E64410 JA2:JA82 SW2:SW82 ACS2:ACS82 AMO2:AMO82 AWK2:AWK82 BGG2:BGG82 BQC2:BQC82 BZY2:BZY82 CJU2:CJU82 CTQ2:CTQ82 DDM2:DDM82 DNI2:DNI82 DXE2:DXE82 EHA2:EHA82 EQW2:EQW82 FAS2:FAS82 FKO2:FKO82 FUK2:FUK82 GEG2:GEG82 GOC2:GOC82 GXY2:GXY82 HHU2:HHU82 HRQ2:HRQ82 IBM2:IBM82 ILI2:ILI82 IVE2:IVE82 JFA2:JFA82 JOW2:JOW82 JYS2:JYS82 KIO2:KIO82 KSK2:KSK82 LCG2:LCG82 LMC2:LMC82 LVY2:LVY82 MFU2:MFU82 MPQ2:MPQ82 MZM2:MZM82 NJI2:NJI82 NTE2:NTE82 ODA2:ODA82 OMW2:OMW82 OWS2:OWS82 PGO2:PGO82 PQK2:PQK82 QAG2:QAG82 QKC2:QKC82 QTY2:QTY82 RDU2:RDU82 RNQ2:RNQ82 RXM2:RXM82 SHI2:SHI82 SRE2:SRE82 TBA2:TBA82 TKW2:TKW82 TUS2:TUS82 UEO2:UEO82 UOK2:UOK82 UYG2:UYG82 VIC2:VIC82 VRY2:VRY82 WBU2:WBU82 WLQ2:WLQ82 WVM2:WVM82" xr:uid="{DE6CED20-8FCF-43E6-BBC0-2079ECFBF90A}">
      <formula1>$AG$2:$AG$13</formula1>
    </dataValidation>
    <dataValidation type="list" allowBlank="1" showInputMessage="1" showErrorMessage="1" sqref="WWF981814:WWF981897 WMJ981814:WMJ981897 WCN981814:WCN981897 VSR981814:VSR981897 VIV981814:VIV981897 UYZ981814:UYZ981897 UPD981814:UPD981897 UFH981814:UFH981897 TVL981814:TVL981897 TLP981814:TLP981897 TBT981814:TBT981897 SRX981814:SRX981897 SIB981814:SIB981897 RYF981814:RYF981897 ROJ981814:ROJ981897 REN981814:REN981897 QUR981814:QUR981897 QKV981814:QKV981897 QAZ981814:QAZ981897 PRD981814:PRD981897 PHH981814:PHH981897 OXL981814:OXL981897 ONP981814:ONP981897 ODT981814:ODT981897 NTX981814:NTX981897 NKB981814:NKB981897 NAF981814:NAF981897 MQJ981814:MQJ981897 MGN981814:MGN981897 LWR981814:LWR981897 LMV981814:LMV981897 LCZ981814:LCZ981897 KTD981814:KTD981897 KJH981814:KJH981897 JZL981814:JZL981897 JPP981814:JPP981897 JFT981814:JFT981897 IVX981814:IVX981897 IMB981814:IMB981897 ICF981814:ICF981897 HSJ981814:HSJ981897 HIN981814:HIN981897 GYR981814:GYR981897 GOV981814:GOV981897 GEZ981814:GEZ981897 FVD981814:FVD981897 FLH981814:FLH981897 FBL981814:FBL981897 ERP981814:ERP981897 EHT981814:EHT981897 DXX981814:DXX981897 DOB981814:DOB981897 DEF981814:DEF981897 CUJ981814:CUJ981897 CKN981814:CKN981897 CAR981814:CAR981897 BQV981814:BQV981897 BGZ981814:BGZ981897 AXD981814:AXD981897 ANH981814:ANH981897 ADL981814:ADL981897 TP981814:TP981897 JT981814:JT981897 X981814:X981897 WWF916278:WWF916361 WMJ916278:WMJ916361 WCN916278:WCN916361 VSR916278:VSR916361 VIV916278:VIV916361 UYZ916278:UYZ916361 UPD916278:UPD916361 UFH916278:UFH916361 TVL916278:TVL916361 TLP916278:TLP916361 TBT916278:TBT916361 SRX916278:SRX916361 SIB916278:SIB916361 RYF916278:RYF916361 ROJ916278:ROJ916361 REN916278:REN916361 QUR916278:QUR916361 QKV916278:QKV916361 QAZ916278:QAZ916361 PRD916278:PRD916361 PHH916278:PHH916361 OXL916278:OXL916361 ONP916278:ONP916361 ODT916278:ODT916361 NTX916278:NTX916361 NKB916278:NKB916361 NAF916278:NAF916361 MQJ916278:MQJ916361 MGN916278:MGN916361 LWR916278:LWR916361 LMV916278:LMV916361 LCZ916278:LCZ916361 KTD916278:KTD916361 KJH916278:KJH916361 JZL916278:JZL916361 JPP916278:JPP916361 JFT916278:JFT916361 IVX916278:IVX916361 IMB916278:IMB916361 ICF916278:ICF916361 HSJ916278:HSJ916361 HIN916278:HIN916361 GYR916278:GYR916361 GOV916278:GOV916361 GEZ916278:GEZ916361 FVD916278:FVD916361 FLH916278:FLH916361 FBL916278:FBL916361 ERP916278:ERP916361 EHT916278:EHT916361 DXX916278:DXX916361 DOB916278:DOB916361 DEF916278:DEF916361 CUJ916278:CUJ916361 CKN916278:CKN916361 CAR916278:CAR916361 BQV916278:BQV916361 BGZ916278:BGZ916361 AXD916278:AXD916361 ANH916278:ANH916361 ADL916278:ADL916361 TP916278:TP916361 JT916278:JT916361 X916278:X916361 WWF850742:WWF850825 WMJ850742:WMJ850825 WCN850742:WCN850825 VSR850742:VSR850825 VIV850742:VIV850825 UYZ850742:UYZ850825 UPD850742:UPD850825 UFH850742:UFH850825 TVL850742:TVL850825 TLP850742:TLP850825 TBT850742:TBT850825 SRX850742:SRX850825 SIB850742:SIB850825 RYF850742:RYF850825 ROJ850742:ROJ850825 REN850742:REN850825 QUR850742:QUR850825 QKV850742:QKV850825 QAZ850742:QAZ850825 PRD850742:PRD850825 PHH850742:PHH850825 OXL850742:OXL850825 ONP850742:ONP850825 ODT850742:ODT850825 NTX850742:NTX850825 NKB850742:NKB850825 NAF850742:NAF850825 MQJ850742:MQJ850825 MGN850742:MGN850825 LWR850742:LWR850825 LMV850742:LMV850825 LCZ850742:LCZ850825 KTD850742:KTD850825 KJH850742:KJH850825 JZL850742:JZL850825 JPP850742:JPP850825 JFT850742:JFT850825 IVX850742:IVX850825 IMB850742:IMB850825 ICF850742:ICF850825 HSJ850742:HSJ850825 HIN850742:HIN850825 GYR850742:GYR850825 GOV850742:GOV850825 GEZ850742:GEZ850825 FVD850742:FVD850825 FLH850742:FLH850825 FBL850742:FBL850825 ERP850742:ERP850825 EHT850742:EHT850825 DXX850742:DXX850825 DOB850742:DOB850825 DEF850742:DEF850825 CUJ850742:CUJ850825 CKN850742:CKN850825 CAR850742:CAR850825 BQV850742:BQV850825 BGZ850742:BGZ850825 AXD850742:AXD850825 ANH850742:ANH850825 ADL850742:ADL850825 TP850742:TP850825 JT850742:JT850825 X850742:X850825 WWF785206:WWF785289 WMJ785206:WMJ785289 WCN785206:WCN785289 VSR785206:VSR785289 VIV785206:VIV785289 UYZ785206:UYZ785289 UPD785206:UPD785289 UFH785206:UFH785289 TVL785206:TVL785289 TLP785206:TLP785289 TBT785206:TBT785289 SRX785206:SRX785289 SIB785206:SIB785289 RYF785206:RYF785289 ROJ785206:ROJ785289 REN785206:REN785289 QUR785206:QUR785289 QKV785206:QKV785289 QAZ785206:QAZ785289 PRD785206:PRD785289 PHH785206:PHH785289 OXL785206:OXL785289 ONP785206:ONP785289 ODT785206:ODT785289 NTX785206:NTX785289 NKB785206:NKB785289 NAF785206:NAF785289 MQJ785206:MQJ785289 MGN785206:MGN785289 LWR785206:LWR785289 LMV785206:LMV785289 LCZ785206:LCZ785289 KTD785206:KTD785289 KJH785206:KJH785289 JZL785206:JZL785289 JPP785206:JPP785289 JFT785206:JFT785289 IVX785206:IVX785289 IMB785206:IMB785289 ICF785206:ICF785289 HSJ785206:HSJ785289 HIN785206:HIN785289 GYR785206:GYR785289 GOV785206:GOV785289 GEZ785206:GEZ785289 FVD785206:FVD785289 FLH785206:FLH785289 FBL785206:FBL785289 ERP785206:ERP785289 EHT785206:EHT785289 DXX785206:DXX785289 DOB785206:DOB785289 DEF785206:DEF785289 CUJ785206:CUJ785289 CKN785206:CKN785289 CAR785206:CAR785289 BQV785206:BQV785289 BGZ785206:BGZ785289 AXD785206:AXD785289 ANH785206:ANH785289 ADL785206:ADL785289 TP785206:TP785289 JT785206:JT785289 X785206:X785289 WWF719670:WWF719753 WMJ719670:WMJ719753 WCN719670:WCN719753 VSR719670:VSR719753 VIV719670:VIV719753 UYZ719670:UYZ719753 UPD719670:UPD719753 UFH719670:UFH719753 TVL719670:TVL719753 TLP719670:TLP719753 TBT719670:TBT719753 SRX719670:SRX719753 SIB719670:SIB719753 RYF719670:RYF719753 ROJ719670:ROJ719753 REN719670:REN719753 QUR719670:QUR719753 QKV719670:QKV719753 QAZ719670:QAZ719753 PRD719670:PRD719753 PHH719670:PHH719753 OXL719670:OXL719753 ONP719670:ONP719753 ODT719670:ODT719753 NTX719670:NTX719753 NKB719670:NKB719753 NAF719670:NAF719753 MQJ719670:MQJ719753 MGN719670:MGN719753 LWR719670:LWR719753 LMV719670:LMV719753 LCZ719670:LCZ719753 KTD719670:KTD719753 KJH719670:KJH719753 JZL719670:JZL719753 JPP719670:JPP719753 JFT719670:JFT719753 IVX719670:IVX719753 IMB719670:IMB719753 ICF719670:ICF719753 HSJ719670:HSJ719753 HIN719670:HIN719753 GYR719670:GYR719753 GOV719670:GOV719753 GEZ719670:GEZ719753 FVD719670:FVD719753 FLH719670:FLH719753 FBL719670:FBL719753 ERP719670:ERP719753 EHT719670:EHT719753 DXX719670:DXX719753 DOB719670:DOB719753 DEF719670:DEF719753 CUJ719670:CUJ719753 CKN719670:CKN719753 CAR719670:CAR719753 BQV719670:BQV719753 BGZ719670:BGZ719753 AXD719670:AXD719753 ANH719670:ANH719753 ADL719670:ADL719753 TP719670:TP719753 JT719670:JT719753 X719670:X719753 WWF654134:WWF654217 WMJ654134:WMJ654217 WCN654134:WCN654217 VSR654134:VSR654217 VIV654134:VIV654217 UYZ654134:UYZ654217 UPD654134:UPD654217 UFH654134:UFH654217 TVL654134:TVL654217 TLP654134:TLP654217 TBT654134:TBT654217 SRX654134:SRX654217 SIB654134:SIB654217 RYF654134:RYF654217 ROJ654134:ROJ654217 REN654134:REN654217 QUR654134:QUR654217 QKV654134:QKV654217 QAZ654134:QAZ654217 PRD654134:PRD654217 PHH654134:PHH654217 OXL654134:OXL654217 ONP654134:ONP654217 ODT654134:ODT654217 NTX654134:NTX654217 NKB654134:NKB654217 NAF654134:NAF654217 MQJ654134:MQJ654217 MGN654134:MGN654217 LWR654134:LWR654217 LMV654134:LMV654217 LCZ654134:LCZ654217 KTD654134:KTD654217 KJH654134:KJH654217 JZL654134:JZL654217 JPP654134:JPP654217 JFT654134:JFT654217 IVX654134:IVX654217 IMB654134:IMB654217 ICF654134:ICF654217 HSJ654134:HSJ654217 HIN654134:HIN654217 GYR654134:GYR654217 GOV654134:GOV654217 GEZ654134:GEZ654217 FVD654134:FVD654217 FLH654134:FLH654217 FBL654134:FBL654217 ERP654134:ERP654217 EHT654134:EHT654217 DXX654134:DXX654217 DOB654134:DOB654217 DEF654134:DEF654217 CUJ654134:CUJ654217 CKN654134:CKN654217 CAR654134:CAR654217 BQV654134:BQV654217 BGZ654134:BGZ654217 AXD654134:AXD654217 ANH654134:ANH654217 ADL654134:ADL654217 TP654134:TP654217 JT654134:JT654217 X654134:X654217 WWF588598:WWF588681 WMJ588598:WMJ588681 WCN588598:WCN588681 VSR588598:VSR588681 VIV588598:VIV588681 UYZ588598:UYZ588681 UPD588598:UPD588681 UFH588598:UFH588681 TVL588598:TVL588681 TLP588598:TLP588681 TBT588598:TBT588681 SRX588598:SRX588681 SIB588598:SIB588681 RYF588598:RYF588681 ROJ588598:ROJ588681 REN588598:REN588681 QUR588598:QUR588681 QKV588598:QKV588681 QAZ588598:QAZ588681 PRD588598:PRD588681 PHH588598:PHH588681 OXL588598:OXL588681 ONP588598:ONP588681 ODT588598:ODT588681 NTX588598:NTX588681 NKB588598:NKB588681 NAF588598:NAF588681 MQJ588598:MQJ588681 MGN588598:MGN588681 LWR588598:LWR588681 LMV588598:LMV588681 LCZ588598:LCZ588681 KTD588598:KTD588681 KJH588598:KJH588681 JZL588598:JZL588681 JPP588598:JPP588681 JFT588598:JFT588681 IVX588598:IVX588681 IMB588598:IMB588681 ICF588598:ICF588681 HSJ588598:HSJ588681 HIN588598:HIN588681 GYR588598:GYR588681 GOV588598:GOV588681 GEZ588598:GEZ588681 FVD588598:FVD588681 FLH588598:FLH588681 FBL588598:FBL588681 ERP588598:ERP588681 EHT588598:EHT588681 DXX588598:DXX588681 DOB588598:DOB588681 DEF588598:DEF588681 CUJ588598:CUJ588681 CKN588598:CKN588681 CAR588598:CAR588681 BQV588598:BQV588681 BGZ588598:BGZ588681 AXD588598:AXD588681 ANH588598:ANH588681 ADL588598:ADL588681 TP588598:TP588681 JT588598:JT588681 X588598:X588681 WWF523062:WWF523145 WMJ523062:WMJ523145 WCN523062:WCN523145 VSR523062:VSR523145 VIV523062:VIV523145 UYZ523062:UYZ523145 UPD523062:UPD523145 UFH523062:UFH523145 TVL523062:TVL523145 TLP523062:TLP523145 TBT523062:TBT523145 SRX523062:SRX523145 SIB523062:SIB523145 RYF523062:RYF523145 ROJ523062:ROJ523145 REN523062:REN523145 QUR523062:QUR523145 QKV523062:QKV523145 QAZ523062:QAZ523145 PRD523062:PRD523145 PHH523062:PHH523145 OXL523062:OXL523145 ONP523062:ONP523145 ODT523062:ODT523145 NTX523062:NTX523145 NKB523062:NKB523145 NAF523062:NAF523145 MQJ523062:MQJ523145 MGN523062:MGN523145 LWR523062:LWR523145 LMV523062:LMV523145 LCZ523062:LCZ523145 KTD523062:KTD523145 KJH523062:KJH523145 JZL523062:JZL523145 JPP523062:JPP523145 JFT523062:JFT523145 IVX523062:IVX523145 IMB523062:IMB523145 ICF523062:ICF523145 HSJ523062:HSJ523145 HIN523062:HIN523145 GYR523062:GYR523145 GOV523062:GOV523145 GEZ523062:GEZ523145 FVD523062:FVD523145 FLH523062:FLH523145 FBL523062:FBL523145 ERP523062:ERP523145 EHT523062:EHT523145 DXX523062:DXX523145 DOB523062:DOB523145 DEF523062:DEF523145 CUJ523062:CUJ523145 CKN523062:CKN523145 CAR523062:CAR523145 BQV523062:BQV523145 BGZ523062:BGZ523145 AXD523062:AXD523145 ANH523062:ANH523145 ADL523062:ADL523145 TP523062:TP523145 JT523062:JT523145 X523062:X523145 WWF457526:WWF457609 WMJ457526:WMJ457609 WCN457526:WCN457609 VSR457526:VSR457609 VIV457526:VIV457609 UYZ457526:UYZ457609 UPD457526:UPD457609 UFH457526:UFH457609 TVL457526:TVL457609 TLP457526:TLP457609 TBT457526:TBT457609 SRX457526:SRX457609 SIB457526:SIB457609 RYF457526:RYF457609 ROJ457526:ROJ457609 REN457526:REN457609 QUR457526:QUR457609 QKV457526:QKV457609 QAZ457526:QAZ457609 PRD457526:PRD457609 PHH457526:PHH457609 OXL457526:OXL457609 ONP457526:ONP457609 ODT457526:ODT457609 NTX457526:NTX457609 NKB457526:NKB457609 NAF457526:NAF457609 MQJ457526:MQJ457609 MGN457526:MGN457609 LWR457526:LWR457609 LMV457526:LMV457609 LCZ457526:LCZ457609 KTD457526:KTD457609 KJH457526:KJH457609 JZL457526:JZL457609 JPP457526:JPP457609 JFT457526:JFT457609 IVX457526:IVX457609 IMB457526:IMB457609 ICF457526:ICF457609 HSJ457526:HSJ457609 HIN457526:HIN457609 GYR457526:GYR457609 GOV457526:GOV457609 GEZ457526:GEZ457609 FVD457526:FVD457609 FLH457526:FLH457609 FBL457526:FBL457609 ERP457526:ERP457609 EHT457526:EHT457609 DXX457526:DXX457609 DOB457526:DOB457609 DEF457526:DEF457609 CUJ457526:CUJ457609 CKN457526:CKN457609 CAR457526:CAR457609 BQV457526:BQV457609 BGZ457526:BGZ457609 AXD457526:AXD457609 ANH457526:ANH457609 ADL457526:ADL457609 TP457526:TP457609 JT457526:JT457609 X457526:X457609 WWF391990:WWF392073 WMJ391990:WMJ392073 WCN391990:WCN392073 VSR391990:VSR392073 VIV391990:VIV392073 UYZ391990:UYZ392073 UPD391990:UPD392073 UFH391990:UFH392073 TVL391990:TVL392073 TLP391990:TLP392073 TBT391990:TBT392073 SRX391990:SRX392073 SIB391990:SIB392073 RYF391990:RYF392073 ROJ391990:ROJ392073 REN391990:REN392073 QUR391990:QUR392073 QKV391990:QKV392073 QAZ391990:QAZ392073 PRD391990:PRD392073 PHH391990:PHH392073 OXL391990:OXL392073 ONP391990:ONP392073 ODT391990:ODT392073 NTX391990:NTX392073 NKB391990:NKB392073 NAF391990:NAF392073 MQJ391990:MQJ392073 MGN391990:MGN392073 LWR391990:LWR392073 LMV391990:LMV392073 LCZ391990:LCZ392073 KTD391990:KTD392073 KJH391990:KJH392073 JZL391990:JZL392073 JPP391990:JPP392073 JFT391990:JFT392073 IVX391990:IVX392073 IMB391990:IMB392073 ICF391990:ICF392073 HSJ391990:HSJ392073 HIN391990:HIN392073 GYR391990:GYR392073 GOV391990:GOV392073 GEZ391990:GEZ392073 FVD391990:FVD392073 FLH391990:FLH392073 FBL391990:FBL392073 ERP391990:ERP392073 EHT391990:EHT392073 DXX391990:DXX392073 DOB391990:DOB392073 DEF391990:DEF392073 CUJ391990:CUJ392073 CKN391990:CKN392073 CAR391990:CAR392073 BQV391990:BQV392073 BGZ391990:BGZ392073 AXD391990:AXD392073 ANH391990:ANH392073 ADL391990:ADL392073 TP391990:TP392073 JT391990:JT392073 X391990:X392073 WWF326454:WWF326537 WMJ326454:WMJ326537 WCN326454:WCN326537 VSR326454:VSR326537 VIV326454:VIV326537 UYZ326454:UYZ326537 UPD326454:UPD326537 UFH326454:UFH326537 TVL326454:TVL326537 TLP326454:TLP326537 TBT326454:TBT326537 SRX326454:SRX326537 SIB326454:SIB326537 RYF326454:RYF326537 ROJ326454:ROJ326537 REN326454:REN326537 QUR326454:QUR326537 QKV326454:QKV326537 QAZ326454:QAZ326537 PRD326454:PRD326537 PHH326454:PHH326537 OXL326454:OXL326537 ONP326454:ONP326537 ODT326454:ODT326537 NTX326454:NTX326537 NKB326454:NKB326537 NAF326454:NAF326537 MQJ326454:MQJ326537 MGN326454:MGN326537 LWR326454:LWR326537 LMV326454:LMV326537 LCZ326454:LCZ326537 KTD326454:KTD326537 KJH326454:KJH326537 JZL326454:JZL326537 JPP326454:JPP326537 JFT326454:JFT326537 IVX326454:IVX326537 IMB326454:IMB326537 ICF326454:ICF326537 HSJ326454:HSJ326537 HIN326454:HIN326537 GYR326454:GYR326537 GOV326454:GOV326537 GEZ326454:GEZ326537 FVD326454:FVD326537 FLH326454:FLH326537 FBL326454:FBL326537 ERP326454:ERP326537 EHT326454:EHT326537 DXX326454:DXX326537 DOB326454:DOB326537 DEF326454:DEF326537 CUJ326454:CUJ326537 CKN326454:CKN326537 CAR326454:CAR326537 BQV326454:BQV326537 BGZ326454:BGZ326537 AXD326454:AXD326537 ANH326454:ANH326537 ADL326454:ADL326537 TP326454:TP326537 JT326454:JT326537 X326454:X326537 WWF260918:WWF261001 WMJ260918:WMJ261001 WCN260918:WCN261001 VSR260918:VSR261001 VIV260918:VIV261001 UYZ260918:UYZ261001 UPD260918:UPD261001 UFH260918:UFH261001 TVL260918:TVL261001 TLP260918:TLP261001 TBT260918:TBT261001 SRX260918:SRX261001 SIB260918:SIB261001 RYF260918:RYF261001 ROJ260918:ROJ261001 REN260918:REN261001 QUR260918:QUR261001 QKV260918:QKV261001 QAZ260918:QAZ261001 PRD260918:PRD261001 PHH260918:PHH261001 OXL260918:OXL261001 ONP260918:ONP261001 ODT260918:ODT261001 NTX260918:NTX261001 NKB260918:NKB261001 NAF260918:NAF261001 MQJ260918:MQJ261001 MGN260918:MGN261001 LWR260918:LWR261001 LMV260918:LMV261001 LCZ260918:LCZ261001 KTD260918:KTD261001 KJH260918:KJH261001 JZL260918:JZL261001 JPP260918:JPP261001 JFT260918:JFT261001 IVX260918:IVX261001 IMB260918:IMB261001 ICF260918:ICF261001 HSJ260918:HSJ261001 HIN260918:HIN261001 GYR260918:GYR261001 GOV260918:GOV261001 GEZ260918:GEZ261001 FVD260918:FVD261001 FLH260918:FLH261001 FBL260918:FBL261001 ERP260918:ERP261001 EHT260918:EHT261001 DXX260918:DXX261001 DOB260918:DOB261001 DEF260918:DEF261001 CUJ260918:CUJ261001 CKN260918:CKN261001 CAR260918:CAR261001 BQV260918:BQV261001 BGZ260918:BGZ261001 AXD260918:AXD261001 ANH260918:ANH261001 ADL260918:ADL261001 TP260918:TP261001 JT260918:JT261001 X260918:X261001 WWF195382:WWF195465 WMJ195382:WMJ195465 WCN195382:WCN195465 VSR195382:VSR195465 VIV195382:VIV195465 UYZ195382:UYZ195465 UPD195382:UPD195465 UFH195382:UFH195465 TVL195382:TVL195465 TLP195382:TLP195465 TBT195382:TBT195465 SRX195382:SRX195465 SIB195382:SIB195465 RYF195382:RYF195465 ROJ195382:ROJ195465 REN195382:REN195465 QUR195382:QUR195465 QKV195382:QKV195465 QAZ195382:QAZ195465 PRD195382:PRD195465 PHH195382:PHH195465 OXL195382:OXL195465 ONP195382:ONP195465 ODT195382:ODT195465 NTX195382:NTX195465 NKB195382:NKB195465 NAF195382:NAF195465 MQJ195382:MQJ195465 MGN195382:MGN195465 LWR195382:LWR195465 LMV195382:LMV195465 LCZ195382:LCZ195465 KTD195382:KTD195465 KJH195382:KJH195465 JZL195382:JZL195465 JPP195382:JPP195465 JFT195382:JFT195465 IVX195382:IVX195465 IMB195382:IMB195465 ICF195382:ICF195465 HSJ195382:HSJ195465 HIN195382:HIN195465 GYR195382:GYR195465 GOV195382:GOV195465 GEZ195382:GEZ195465 FVD195382:FVD195465 FLH195382:FLH195465 FBL195382:FBL195465 ERP195382:ERP195465 EHT195382:EHT195465 DXX195382:DXX195465 DOB195382:DOB195465 DEF195382:DEF195465 CUJ195382:CUJ195465 CKN195382:CKN195465 CAR195382:CAR195465 BQV195382:BQV195465 BGZ195382:BGZ195465 AXD195382:AXD195465 ANH195382:ANH195465 ADL195382:ADL195465 TP195382:TP195465 JT195382:JT195465 X195382:X195465 WWF129846:WWF129929 WMJ129846:WMJ129929 WCN129846:WCN129929 VSR129846:VSR129929 VIV129846:VIV129929 UYZ129846:UYZ129929 UPD129846:UPD129929 UFH129846:UFH129929 TVL129846:TVL129929 TLP129846:TLP129929 TBT129846:TBT129929 SRX129846:SRX129929 SIB129846:SIB129929 RYF129846:RYF129929 ROJ129846:ROJ129929 REN129846:REN129929 QUR129846:QUR129929 QKV129846:QKV129929 QAZ129846:QAZ129929 PRD129846:PRD129929 PHH129846:PHH129929 OXL129846:OXL129929 ONP129846:ONP129929 ODT129846:ODT129929 NTX129846:NTX129929 NKB129846:NKB129929 NAF129846:NAF129929 MQJ129846:MQJ129929 MGN129846:MGN129929 LWR129846:LWR129929 LMV129846:LMV129929 LCZ129846:LCZ129929 KTD129846:KTD129929 KJH129846:KJH129929 JZL129846:JZL129929 JPP129846:JPP129929 JFT129846:JFT129929 IVX129846:IVX129929 IMB129846:IMB129929 ICF129846:ICF129929 HSJ129846:HSJ129929 HIN129846:HIN129929 GYR129846:GYR129929 GOV129846:GOV129929 GEZ129846:GEZ129929 FVD129846:FVD129929 FLH129846:FLH129929 FBL129846:FBL129929 ERP129846:ERP129929 EHT129846:EHT129929 DXX129846:DXX129929 DOB129846:DOB129929 DEF129846:DEF129929 CUJ129846:CUJ129929 CKN129846:CKN129929 CAR129846:CAR129929 BQV129846:BQV129929 BGZ129846:BGZ129929 AXD129846:AXD129929 ANH129846:ANH129929 ADL129846:ADL129929 TP129846:TP129929 JT129846:JT129929 X129846:X129929 WWF64310:WWF64393 WMJ64310:WMJ64393 WCN64310:WCN64393 VSR64310:VSR64393 VIV64310:VIV64393 UYZ64310:UYZ64393 UPD64310:UPD64393 UFH64310:UFH64393 TVL64310:TVL64393 TLP64310:TLP64393 TBT64310:TBT64393 SRX64310:SRX64393 SIB64310:SIB64393 RYF64310:RYF64393 ROJ64310:ROJ64393 REN64310:REN64393 QUR64310:QUR64393 QKV64310:QKV64393 QAZ64310:QAZ64393 PRD64310:PRD64393 PHH64310:PHH64393 OXL64310:OXL64393 ONP64310:ONP64393 ODT64310:ODT64393 NTX64310:NTX64393 NKB64310:NKB64393 NAF64310:NAF64393 MQJ64310:MQJ64393 MGN64310:MGN64393 LWR64310:LWR64393 LMV64310:LMV64393 LCZ64310:LCZ64393 KTD64310:KTD64393 KJH64310:KJH64393 JZL64310:JZL64393 JPP64310:JPP64393 JFT64310:JFT64393 IVX64310:IVX64393 IMB64310:IMB64393 ICF64310:ICF64393 HSJ64310:HSJ64393 HIN64310:HIN64393 GYR64310:GYR64393 GOV64310:GOV64393 GEZ64310:GEZ64393 FVD64310:FVD64393 FLH64310:FLH64393 FBL64310:FBL64393 ERP64310:ERP64393 EHT64310:EHT64393 DXX64310:DXX64393 DOB64310:DOB64393 DEF64310:DEF64393 CUJ64310:CUJ64393 CKN64310:CKN64393 CAR64310:CAR64393 BQV64310:BQV64393 BGZ64310:BGZ64393 AXD64310:AXD64393 ANH64310:ANH64393 ADL64310:ADL64393 TP64310:TP64393 JT64310:JT64393 X64310:X64393 X105:X509 JT2:JT82 TP2:TP82 ADL2:ADL82 ANH2:ANH82 AXD2:AXD82 BGZ2:BGZ82 BQV2:BQV82 CAR2:CAR82 CKN2:CKN82 CUJ2:CUJ82 DEF2:DEF82 DOB2:DOB82 DXX2:DXX82 EHT2:EHT82 ERP2:ERP82 FBL2:FBL82 FLH2:FLH82 FVD2:FVD82 GEZ2:GEZ82 GOV2:GOV82 GYR2:GYR82 HIN2:HIN82 HSJ2:HSJ82 ICF2:ICF82 IMB2:IMB82 IVX2:IVX82 JFT2:JFT82 JPP2:JPP82 JZL2:JZL82 KJH2:KJH82 KTD2:KTD82 LCZ2:LCZ82 LMV2:LMV82 LWR2:LWR82 MGN2:MGN82 MQJ2:MQJ82 NAF2:NAF82 NKB2:NKB82 NTX2:NTX82 ODT2:ODT82 ONP2:ONP82 OXL2:OXL82 PHH2:PHH82 PRD2:PRD82 QAZ2:QAZ82 QKV2:QKV82 QUR2:QUR82 REN2:REN82 ROJ2:ROJ82 RYF2:RYF82 SIB2:SIB82 SRX2:SRX82 TBT2:TBT82 TLP2:TLP82 TVL2:TVL82 UFH2:UFH82 UPD2:UPD82 UYZ2:UYZ82 VIV2:VIV82 VSR2:VSR82 WCN2:WCN82 WMJ2:WMJ82 WWF2:WWF82 X2:X103" xr:uid="{DA8A07A1-15FD-4AE2-AC19-C8F024EEB361}">
      <formula1>$AT$2:$AT$3</formula1>
    </dataValidation>
    <dataValidation operator="equal" allowBlank="1" showInputMessage="1" showErrorMessage="1" sqref="WVJ981814:WVJ981903 WLN981814:WLN981903 WBR981814:WBR981903 VRV981814:VRV981903 VHZ981814:VHZ981903 UYD981814:UYD981903 UOH981814:UOH981903 UEL981814:UEL981903 TUP981814:TUP981903 TKT981814:TKT981903 TAX981814:TAX981903 SRB981814:SRB981903 SHF981814:SHF981903 RXJ981814:RXJ981903 RNN981814:RNN981903 RDR981814:RDR981903 QTV981814:QTV981903 QJZ981814:QJZ981903 QAD981814:QAD981903 PQH981814:PQH981903 PGL981814:PGL981903 OWP981814:OWP981903 OMT981814:OMT981903 OCX981814:OCX981903 NTB981814:NTB981903 NJF981814:NJF981903 MZJ981814:MZJ981903 MPN981814:MPN981903 MFR981814:MFR981903 LVV981814:LVV981903 LLZ981814:LLZ981903 LCD981814:LCD981903 KSH981814:KSH981903 KIL981814:KIL981903 JYP981814:JYP981903 JOT981814:JOT981903 JEX981814:JEX981903 IVB981814:IVB981903 ILF981814:ILF981903 IBJ981814:IBJ981903 HRN981814:HRN981903 HHR981814:HHR981903 GXV981814:GXV981903 GNZ981814:GNZ981903 GED981814:GED981903 FUH981814:FUH981903 FKL981814:FKL981903 FAP981814:FAP981903 EQT981814:EQT981903 EGX981814:EGX981903 DXB981814:DXB981903 DNF981814:DNF981903 DDJ981814:DDJ981903 CTN981814:CTN981903 CJR981814:CJR981903 BZV981814:BZV981903 BPZ981814:BPZ981903 BGD981814:BGD981903 AWH981814:AWH981903 AML981814:AML981903 ACP981814:ACP981903 ST981814:ST981903 IX981814:IX981903 B981820:B981909 WVJ916278:WVJ916367 WLN916278:WLN916367 WBR916278:WBR916367 VRV916278:VRV916367 VHZ916278:VHZ916367 UYD916278:UYD916367 UOH916278:UOH916367 UEL916278:UEL916367 TUP916278:TUP916367 TKT916278:TKT916367 TAX916278:TAX916367 SRB916278:SRB916367 SHF916278:SHF916367 RXJ916278:RXJ916367 RNN916278:RNN916367 RDR916278:RDR916367 QTV916278:QTV916367 QJZ916278:QJZ916367 QAD916278:QAD916367 PQH916278:PQH916367 PGL916278:PGL916367 OWP916278:OWP916367 OMT916278:OMT916367 OCX916278:OCX916367 NTB916278:NTB916367 NJF916278:NJF916367 MZJ916278:MZJ916367 MPN916278:MPN916367 MFR916278:MFR916367 LVV916278:LVV916367 LLZ916278:LLZ916367 LCD916278:LCD916367 KSH916278:KSH916367 KIL916278:KIL916367 JYP916278:JYP916367 JOT916278:JOT916367 JEX916278:JEX916367 IVB916278:IVB916367 ILF916278:ILF916367 IBJ916278:IBJ916367 HRN916278:HRN916367 HHR916278:HHR916367 GXV916278:GXV916367 GNZ916278:GNZ916367 GED916278:GED916367 FUH916278:FUH916367 FKL916278:FKL916367 FAP916278:FAP916367 EQT916278:EQT916367 EGX916278:EGX916367 DXB916278:DXB916367 DNF916278:DNF916367 DDJ916278:DDJ916367 CTN916278:CTN916367 CJR916278:CJR916367 BZV916278:BZV916367 BPZ916278:BPZ916367 BGD916278:BGD916367 AWH916278:AWH916367 AML916278:AML916367 ACP916278:ACP916367 ST916278:ST916367 IX916278:IX916367 B916284:B916373 WVJ850742:WVJ850831 WLN850742:WLN850831 WBR850742:WBR850831 VRV850742:VRV850831 VHZ850742:VHZ850831 UYD850742:UYD850831 UOH850742:UOH850831 UEL850742:UEL850831 TUP850742:TUP850831 TKT850742:TKT850831 TAX850742:TAX850831 SRB850742:SRB850831 SHF850742:SHF850831 RXJ850742:RXJ850831 RNN850742:RNN850831 RDR850742:RDR850831 QTV850742:QTV850831 QJZ850742:QJZ850831 QAD850742:QAD850831 PQH850742:PQH850831 PGL850742:PGL850831 OWP850742:OWP850831 OMT850742:OMT850831 OCX850742:OCX850831 NTB850742:NTB850831 NJF850742:NJF850831 MZJ850742:MZJ850831 MPN850742:MPN850831 MFR850742:MFR850831 LVV850742:LVV850831 LLZ850742:LLZ850831 LCD850742:LCD850831 KSH850742:KSH850831 KIL850742:KIL850831 JYP850742:JYP850831 JOT850742:JOT850831 JEX850742:JEX850831 IVB850742:IVB850831 ILF850742:ILF850831 IBJ850742:IBJ850831 HRN850742:HRN850831 HHR850742:HHR850831 GXV850742:GXV850831 GNZ850742:GNZ850831 GED850742:GED850831 FUH850742:FUH850831 FKL850742:FKL850831 FAP850742:FAP850831 EQT850742:EQT850831 EGX850742:EGX850831 DXB850742:DXB850831 DNF850742:DNF850831 DDJ850742:DDJ850831 CTN850742:CTN850831 CJR850742:CJR850831 BZV850742:BZV850831 BPZ850742:BPZ850831 BGD850742:BGD850831 AWH850742:AWH850831 AML850742:AML850831 ACP850742:ACP850831 ST850742:ST850831 IX850742:IX850831 B850748:B850837 WVJ785206:WVJ785295 WLN785206:WLN785295 WBR785206:WBR785295 VRV785206:VRV785295 VHZ785206:VHZ785295 UYD785206:UYD785295 UOH785206:UOH785295 UEL785206:UEL785295 TUP785206:TUP785295 TKT785206:TKT785295 TAX785206:TAX785295 SRB785206:SRB785295 SHF785206:SHF785295 RXJ785206:RXJ785295 RNN785206:RNN785295 RDR785206:RDR785295 QTV785206:QTV785295 QJZ785206:QJZ785295 QAD785206:QAD785295 PQH785206:PQH785295 PGL785206:PGL785295 OWP785206:OWP785295 OMT785206:OMT785295 OCX785206:OCX785295 NTB785206:NTB785295 NJF785206:NJF785295 MZJ785206:MZJ785295 MPN785206:MPN785295 MFR785206:MFR785295 LVV785206:LVV785295 LLZ785206:LLZ785295 LCD785206:LCD785295 KSH785206:KSH785295 KIL785206:KIL785295 JYP785206:JYP785295 JOT785206:JOT785295 JEX785206:JEX785295 IVB785206:IVB785295 ILF785206:ILF785295 IBJ785206:IBJ785295 HRN785206:HRN785295 HHR785206:HHR785295 GXV785206:GXV785295 GNZ785206:GNZ785295 GED785206:GED785295 FUH785206:FUH785295 FKL785206:FKL785295 FAP785206:FAP785295 EQT785206:EQT785295 EGX785206:EGX785295 DXB785206:DXB785295 DNF785206:DNF785295 DDJ785206:DDJ785295 CTN785206:CTN785295 CJR785206:CJR785295 BZV785206:BZV785295 BPZ785206:BPZ785295 BGD785206:BGD785295 AWH785206:AWH785295 AML785206:AML785295 ACP785206:ACP785295 ST785206:ST785295 IX785206:IX785295 B785212:B785301 WVJ719670:WVJ719759 WLN719670:WLN719759 WBR719670:WBR719759 VRV719670:VRV719759 VHZ719670:VHZ719759 UYD719670:UYD719759 UOH719670:UOH719759 UEL719670:UEL719759 TUP719670:TUP719759 TKT719670:TKT719759 TAX719670:TAX719759 SRB719670:SRB719759 SHF719670:SHF719759 RXJ719670:RXJ719759 RNN719670:RNN719759 RDR719670:RDR719759 QTV719670:QTV719759 QJZ719670:QJZ719759 QAD719670:QAD719759 PQH719670:PQH719759 PGL719670:PGL719759 OWP719670:OWP719759 OMT719670:OMT719759 OCX719670:OCX719759 NTB719670:NTB719759 NJF719670:NJF719759 MZJ719670:MZJ719759 MPN719670:MPN719759 MFR719670:MFR719759 LVV719670:LVV719759 LLZ719670:LLZ719759 LCD719670:LCD719759 KSH719670:KSH719759 KIL719670:KIL719759 JYP719670:JYP719759 JOT719670:JOT719759 JEX719670:JEX719759 IVB719670:IVB719759 ILF719670:ILF719759 IBJ719670:IBJ719759 HRN719670:HRN719759 HHR719670:HHR719759 GXV719670:GXV719759 GNZ719670:GNZ719759 GED719670:GED719759 FUH719670:FUH719759 FKL719670:FKL719759 FAP719670:FAP719759 EQT719670:EQT719759 EGX719670:EGX719759 DXB719670:DXB719759 DNF719670:DNF719759 DDJ719670:DDJ719759 CTN719670:CTN719759 CJR719670:CJR719759 BZV719670:BZV719759 BPZ719670:BPZ719759 BGD719670:BGD719759 AWH719670:AWH719759 AML719670:AML719759 ACP719670:ACP719759 ST719670:ST719759 IX719670:IX719759 B719676:B719765 WVJ654134:WVJ654223 WLN654134:WLN654223 WBR654134:WBR654223 VRV654134:VRV654223 VHZ654134:VHZ654223 UYD654134:UYD654223 UOH654134:UOH654223 UEL654134:UEL654223 TUP654134:TUP654223 TKT654134:TKT654223 TAX654134:TAX654223 SRB654134:SRB654223 SHF654134:SHF654223 RXJ654134:RXJ654223 RNN654134:RNN654223 RDR654134:RDR654223 QTV654134:QTV654223 QJZ654134:QJZ654223 QAD654134:QAD654223 PQH654134:PQH654223 PGL654134:PGL654223 OWP654134:OWP654223 OMT654134:OMT654223 OCX654134:OCX654223 NTB654134:NTB654223 NJF654134:NJF654223 MZJ654134:MZJ654223 MPN654134:MPN654223 MFR654134:MFR654223 LVV654134:LVV654223 LLZ654134:LLZ654223 LCD654134:LCD654223 KSH654134:KSH654223 KIL654134:KIL654223 JYP654134:JYP654223 JOT654134:JOT654223 JEX654134:JEX654223 IVB654134:IVB654223 ILF654134:ILF654223 IBJ654134:IBJ654223 HRN654134:HRN654223 HHR654134:HHR654223 GXV654134:GXV654223 GNZ654134:GNZ654223 GED654134:GED654223 FUH654134:FUH654223 FKL654134:FKL654223 FAP654134:FAP654223 EQT654134:EQT654223 EGX654134:EGX654223 DXB654134:DXB654223 DNF654134:DNF654223 DDJ654134:DDJ654223 CTN654134:CTN654223 CJR654134:CJR654223 BZV654134:BZV654223 BPZ654134:BPZ654223 BGD654134:BGD654223 AWH654134:AWH654223 AML654134:AML654223 ACP654134:ACP654223 ST654134:ST654223 IX654134:IX654223 B654140:B654229 WVJ588598:WVJ588687 WLN588598:WLN588687 WBR588598:WBR588687 VRV588598:VRV588687 VHZ588598:VHZ588687 UYD588598:UYD588687 UOH588598:UOH588687 UEL588598:UEL588687 TUP588598:TUP588687 TKT588598:TKT588687 TAX588598:TAX588687 SRB588598:SRB588687 SHF588598:SHF588687 RXJ588598:RXJ588687 RNN588598:RNN588687 RDR588598:RDR588687 QTV588598:QTV588687 QJZ588598:QJZ588687 QAD588598:QAD588687 PQH588598:PQH588687 PGL588598:PGL588687 OWP588598:OWP588687 OMT588598:OMT588687 OCX588598:OCX588687 NTB588598:NTB588687 NJF588598:NJF588687 MZJ588598:MZJ588687 MPN588598:MPN588687 MFR588598:MFR588687 LVV588598:LVV588687 LLZ588598:LLZ588687 LCD588598:LCD588687 KSH588598:KSH588687 KIL588598:KIL588687 JYP588598:JYP588687 JOT588598:JOT588687 JEX588598:JEX588687 IVB588598:IVB588687 ILF588598:ILF588687 IBJ588598:IBJ588687 HRN588598:HRN588687 HHR588598:HHR588687 GXV588598:GXV588687 GNZ588598:GNZ588687 GED588598:GED588687 FUH588598:FUH588687 FKL588598:FKL588687 FAP588598:FAP588687 EQT588598:EQT588687 EGX588598:EGX588687 DXB588598:DXB588687 DNF588598:DNF588687 DDJ588598:DDJ588687 CTN588598:CTN588687 CJR588598:CJR588687 BZV588598:BZV588687 BPZ588598:BPZ588687 BGD588598:BGD588687 AWH588598:AWH588687 AML588598:AML588687 ACP588598:ACP588687 ST588598:ST588687 IX588598:IX588687 B588604:B588693 WVJ523062:WVJ523151 WLN523062:WLN523151 WBR523062:WBR523151 VRV523062:VRV523151 VHZ523062:VHZ523151 UYD523062:UYD523151 UOH523062:UOH523151 UEL523062:UEL523151 TUP523062:TUP523151 TKT523062:TKT523151 TAX523062:TAX523151 SRB523062:SRB523151 SHF523062:SHF523151 RXJ523062:RXJ523151 RNN523062:RNN523151 RDR523062:RDR523151 QTV523062:QTV523151 QJZ523062:QJZ523151 QAD523062:QAD523151 PQH523062:PQH523151 PGL523062:PGL523151 OWP523062:OWP523151 OMT523062:OMT523151 OCX523062:OCX523151 NTB523062:NTB523151 NJF523062:NJF523151 MZJ523062:MZJ523151 MPN523062:MPN523151 MFR523062:MFR523151 LVV523062:LVV523151 LLZ523062:LLZ523151 LCD523062:LCD523151 KSH523062:KSH523151 KIL523062:KIL523151 JYP523062:JYP523151 JOT523062:JOT523151 JEX523062:JEX523151 IVB523062:IVB523151 ILF523062:ILF523151 IBJ523062:IBJ523151 HRN523062:HRN523151 HHR523062:HHR523151 GXV523062:GXV523151 GNZ523062:GNZ523151 GED523062:GED523151 FUH523062:FUH523151 FKL523062:FKL523151 FAP523062:FAP523151 EQT523062:EQT523151 EGX523062:EGX523151 DXB523062:DXB523151 DNF523062:DNF523151 DDJ523062:DDJ523151 CTN523062:CTN523151 CJR523062:CJR523151 BZV523062:BZV523151 BPZ523062:BPZ523151 BGD523062:BGD523151 AWH523062:AWH523151 AML523062:AML523151 ACP523062:ACP523151 ST523062:ST523151 IX523062:IX523151 B523068:B523157 WVJ457526:WVJ457615 WLN457526:WLN457615 WBR457526:WBR457615 VRV457526:VRV457615 VHZ457526:VHZ457615 UYD457526:UYD457615 UOH457526:UOH457615 UEL457526:UEL457615 TUP457526:TUP457615 TKT457526:TKT457615 TAX457526:TAX457615 SRB457526:SRB457615 SHF457526:SHF457615 RXJ457526:RXJ457615 RNN457526:RNN457615 RDR457526:RDR457615 QTV457526:QTV457615 QJZ457526:QJZ457615 QAD457526:QAD457615 PQH457526:PQH457615 PGL457526:PGL457615 OWP457526:OWP457615 OMT457526:OMT457615 OCX457526:OCX457615 NTB457526:NTB457615 NJF457526:NJF457615 MZJ457526:MZJ457615 MPN457526:MPN457615 MFR457526:MFR457615 LVV457526:LVV457615 LLZ457526:LLZ457615 LCD457526:LCD457615 KSH457526:KSH457615 KIL457526:KIL457615 JYP457526:JYP457615 JOT457526:JOT457615 JEX457526:JEX457615 IVB457526:IVB457615 ILF457526:ILF457615 IBJ457526:IBJ457615 HRN457526:HRN457615 HHR457526:HHR457615 GXV457526:GXV457615 GNZ457526:GNZ457615 GED457526:GED457615 FUH457526:FUH457615 FKL457526:FKL457615 FAP457526:FAP457615 EQT457526:EQT457615 EGX457526:EGX457615 DXB457526:DXB457615 DNF457526:DNF457615 DDJ457526:DDJ457615 CTN457526:CTN457615 CJR457526:CJR457615 BZV457526:BZV457615 BPZ457526:BPZ457615 BGD457526:BGD457615 AWH457526:AWH457615 AML457526:AML457615 ACP457526:ACP457615 ST457526:ST457615 IX457526:IX457615 B457532:B457621 WVJ391990:WVJ392079 WLN391990:WLN392079 WBR391990:WBR392079 VRV391990:VRV392079 VHZ391990:VHZ392079 UYD391990:UYD392079 UOH391990:UOH392079 UEL391990:UEL392079 TUP391990:TUP392079 TKT391990:TKT392079 TAX391990:TAX392079 SRB391990:SRB392079 SHF391990:SHF392079 RXJ391990:RXJ392079 RNN391990:RNN392079 RDR391990:RDR392079 QTV391990:QTV392079 QJZ391990:QJZ392079 QAD391990:QAD392079 PQH391990:PQH392079 PGL391990:PGL392079 OWP391990:OWP392079 OMT391990:OMT392079 OCX391990:OCX392079 NTB391990:NTB392079 NJF391990:NJF392079 MZJ391990:MZJ392079 MPN391990:MPN392079 MFR391990:MFR392079 LVV391990:LVV392079 LLZ391990:LLZ392079 LCD391990:LCD392079 KSH391990:KSH392079 KIL391990:KIL392079 JYP391990:JYP392079 JOT391990:JOT392079 JEX391990:JEX392079 IVB391990:IVB392079 ILF391990:ILF392079 IBJ391990:IBJ392079 HRN391990:HRN392079 HHR391990:HHR392079 GXV391990:GXV392079 GNZ391990:GNZ392079 GED391990:GED392079 FUH391990:FUH392079 FKL391990:FKL392079 FAP391990:FAP392079 EQT391990:EQT392079 EGX391990:EGX392079 DXB391990:DXB392079 DNF391990:DNF392079 DDJ391990:DDJ392079 CTN391990:CTN392079 CJR391990:CJR392079 BZV391990:BZV392079 BPZ391990:BPZ392079 BGD391990:BGD392079 AWH391990:AWH392079 AML391990:AML392079 ACP391990:ACP392079 ST391990:ST392079 IX391990:IX392079 B391996:B392085 WVJ326454:WVJ326543 WLN326454:WLN326543 WBR326454:WBR326543 VRV326454:VRV326543 VHZ326454:VHZ326543 UYD326454:UYD326543 UOH326454:UOH326543 UEL326454:UEL326543 TUP326454:TUP326543 TKT326454:TKT326543 TAX326454:TAX326543 SRB326454:SRB326543 SHF326454:SHF326543 RXJ326454:RXJ326543 RNN326454:RNN326543 RDR326454:RDR326543 QTV326454:QTV326543 QJZ326454:QJZ326543 QAD326454:QAD326543 PQH326454:PQH326543 PGL326454:PGL326543 OWP326454:OWP326543 OMT326454:OMT326543 OCX326454:OCX326543 NTB326454:NTB326543 NJF326454:NJF326543 MZJ326454:MZJ326543 MPN326454:MPN326543 MFR326454:MFR326543 LVV326454:LVV326543 LLZ326454:LLZ326543 LCD326454:LCD326543 KSH326454:KSH326543 KIL326454:KIL326543 JYP326454:JYP326543 JOT326454:JOT326543 JEX326454:JEX326543 IVB326454:IVB326543 ILF326454:ILF326543 IBJ326454:IBJ326543 HRN326454:HRN326543 HHR326454:HHR326543 GXV326454:GXV326543 GNZ326454:GNZ326543 GED326454:GED326543 FUH326454:FUH326543 FKL326454:FKL326543 FAP326454:FAP326543 EQT326454:EQT326543 EGX326454:EGX326543 DXB326454:DXB326543 DNF326454:DNF326543 DDJ326454:DDJ326543 CTN326454:CTN326543 CJR326454:CJR326543 BZV326454:BZV326543 BPZ326454:BPZ326543 BGD326454:BGD326543 AWH326454:AWH326543 AML326454:AML326543 ACP326454:ACP326543 ST326454:ST326543 IX326454:IX326543 B326460:B326549 WVJ260918:WVJ261007 WLN260918:WLN261007 WBR260918:WBR261007 VRV260918:VRV261007 VHZ260918:VHZ261007 UYD260918:UYD261007 UOH260918:UOH261007 UEL260918:UEL261007 TUP260918:TUP261007 TKT260918:TKT261007 TAX260918:TAX261007 SRB260918:SRB261007 SHF260918:SHF261007 RXJ260918:RXJ261007 RNN260918:RNN261007 RDR260918:RDR261007 QTV260918:QTV261007 QJZ260918:QJZ261007 QAD260918:QAD261007 PQH260918:PQH261007 PGL260918:PGL261007 OWP260918:OWP261007 OMT260918:OMT261007 OCX260918:OCX261007 NTB260918:NTB261007 NJF260918:NJF261007 MZJ260918:MZJ261007 MPN260918:MPN261007 MFR260918:MFR261007 LVV260918:LVV261007 LLZ260918:LLZ261007 LCD260918:LCD261007 KSH260918:KSH261007 KIL260918:KIL261007 JYP260918:JYP261007 JOT260918:JOT261007 JEX260918:JEX261007 IVB260918:IVB261007 ILF260918:ILF261007 IBJ260918:IBJ261007 HRN260918:HRN261007 HHR260918:HHR261007 GXV260918:GXV261007 GNZ260918:GNZ261007 GED260918:GED261007 FUH260918:FUH261007 FKL260918:FKL261007 FAP260918:FAP261007 EQT260918:EQT261007 EGX260918:EGX261007 DXB260918:DXB261007 DNF260918:DNF261007 DDJ260918:DDJ261007 CTN260918:CTN261007 CJR260918:CJR261007 BZV260918:BZV261007 BPZ260918:BPZ261007 BGD260918:BGD261007 AWH260918:AWH261007 AML260918:AML261007 ACP260918:ACP261007 ST260918:ST261007 IX260918:IX261007 B260924:B261013 WVJ195382:WVJ195471 WLN195382:WLN195471 WBR195382:WBR195471 VRV195382:VRV195471 VHZ195382:VHZ195471 UYD195382:UYD195471 UOH195382:UOH195471 UEL195382:UEL195471 TUP195382:TUP195471 TKT195382:TKT195471 TAX195382:TAX195471 SRB195382:SRB195471 SHF195382:SHF195471 RXJ195382:RXJ195471 RNN195382:RNN195471 RDR195382:RDR195471 QTV195382:QTV195471 QJZ195382:QJZ195471 QAD195382:QAD195471 PQH195382:PQH195471 PGL195382:PGL195471 OWP195382:OWP195471 OMT195382:OMT195471 OCX195382:OCX195471 NTB195382:NTB195471 NJF195382:NJF195471 MZJ195382:MZJ195471 MPN195382:MPN195471 MFR195382:MFR195471 LVV195382:LVV195471 LLZ195382:LLZ195471 LCD195382:LCD195471 KSH195382:KSH195471 KIL195382:KIL195471 JYP195382:JYP195471 JOT195382:JOT195471 JEX195382:JEX195471 IVB195382:IVB195471 ILF195382:ILF195471 IBJ195382:IBJ195471 HRN195382:HRN195471 HHR195382:HHR195471 GXV195382:GXV195471 GNZ195382:GNZ195471 GED195382:GED195471 FUH195382:FUH195471 FKL195382:FKL195471 FAP195382:FAP195471 EQT195382:EQT195471 EGX195382:EGX195471 DXB195382:DXB195471 DNF195382:DNF195471 DDJ195382:DDJ195471 CTN195382:CTN195471 CJR195382:CJR195471 BZV195382:BZV195471 BPZ195382:BPZ195471 BGD195382:BGD195471 AWH195382:AWH195471 AML195382:AML195471 ACP195382:ACP195471 ST195382:ST195471 IX195382:IX195471 B195388:B195477 WVJ129846:WVJ129935 WLN129846:WLN129935 WBR129846:WBR129935 VRV129846:VRV129935 VHZ129846:VHZ129935 UYD129846:UYD129935 UOH129846:UOH129935 UEL129846:UEL129935 TUP129846:TUP129935 TKT129846:TKT129935 TAX129846:TAX129935 SRB129846:SRB129935 SHF129846:SHF129935 RXJ129846:RXJ129935 RNN129846:RNN129935 RDR129846:RDR129935 QTV129846:QTV129935 QJZ129846:QJZ129935 QAD129846:QAD129935 PQH129846:PQH129935 PGL129846:PGL129935 OWP129846:OWP129935 OMT129846:OMT129935 OCX129846:OCX129935 NTB129846:NTB129935 NJF129846:NJF129935 MZJ129846:MZJ129935 MPN129846:MPN129935 MFR129846:MFR129935 LVV129846:LVV129935 LLZ129846:LLZ129935 LCD129846:LCD129935 KSH129846:KSH129935 KIL129846:KIL129935 JYP129846:JYP129935 JOT129846:JOT129935 JEX129846:JEX129935 IVB129846:IVB129935 ILF129846:ILF129935 IBJ129846:IBJ129935 HRN129846:HRN129935 HHR129846:HHR129935 GXV129846:GXV129935 GNZ129846:GNZ129935 GED129846:GED129935 FUH129846:FUH129935 FKL129846:FKL129935 FAP129846:FAP129935 EQT129846:EQT129935 EGX129846:EGX129935 DXB129846:DXB129935 DNF129846:DNF129935 DDJ129846:DDJ129935 CTN129846:CTN129935 CJR129846:CJR129935 BZV129846:BZV129935 BPZ129846:BPZ129935 BGD129846:BGD129935 AWH129846:AWH129935 AML129846:AML129935 ACP129846:ACP129935 ST129846:ST129935 IX129846:IX129935 B129852:B129941 WVJ64310:WVJ64399 WLN64310:WLN64399 WBR64310:WBR64399 VRV64310:VRV64399 VHZ64310:VHZ64399 UYD64310:UYD64399 UOH64310:UOH64399 UEL64310:UEL64399 TUP64310:TUP64399 TKT64310:TKT64399 TAX64310:TAX64399 SRB64310:SRB64399 SHF64310:SHF64399 RXJ64310:RXJ64399 RNN64310:RNN64399 RDR64310:RDR64399 QTV64310:QTV64399 QJZ64310:QJZ64399 QAD64310:QAD64399 PQH64310:PQH64399 PGL64310:PGL64399 OWP64310:OWP64399 OMT64310:OMT64399 OCX64310:OCX64399 NTB64310:NTB64399 NJF64310:NJF64399 MZJ64310:MZJ64399 MPN64310:MPN64399 MFR64310:MFR64399 LVV64310:LVV64399 LLZ64310:LLZ64399 LCD64310:LCD64399 KSH64310:KSH64399 KIL64310:KIL64399 JYP64310:JYP64399 JOT64310:JOT64399 JEX64310:JEX64399 IVB64310:IVB64399 ILF64310:ILF64399 IBJ64310:IBJ64399 HRN64310:HRN64399 HHR64310:HHR64399 GXV64310:GXV64399 GNZ64310:GNZ64399 GED64310:GED64399 FUH64310:FUH64399 FKL64310:FKL64399 FAP64310:FAP64399 EQT64310:EQT64399 EGX64310:EGX64399 DXB64310:DXB64399 DNF64310:DNF64399 DDJ64310:DDJ64399 CTN64310:CTN64399 CJR64310:CJR64399 BZV64310:BZV64399 BPZ64310:BPZ64399 BGD64310:BGD64399 AWH64310:AWH64399 AML64310:AML64399 ACP64310:ACP64399 ST64310:ST64399 IX64310:IX64399 B64316:B64405 B105:B121 B2:B103 ST2:ST82 ACP2:ACP82 AML2:AML82 AWH2:AWH82 BGD2:BGD82 BPZ2:BPZ82 BZV2:BZV82 CJR2:CJR82 CTN2:CTN82 DDJ2:DDJ82 DNF2:DNF82 DXB2:DXB82 EGX2:EGX82 EQT2:EQT82 FAP2:FAP82 FKL2:FKL82 FUH2:FUH82 GED2:GED82 GNZ2:GNZ82 GXV2:GXV82 HHR2:HHR82 HRN2:HRN82 IBJ2:IBJ82 ILF2:ILF82 IVB2:IVB82 JEX2:JEX82 JOT2:JOT82 JYP2:JYP82 KIL2:KIL82 KSH2:KSH82 LCD2:LCD82 LLZ2:LLZ82 LVV2:LVV82 MFR2:MFR82 MPN2:MPN82 MZJ2:MZJ82 NJF2:NJF82 NTB2:NTB82 OCX2:OCX82 OMT2:OMT82 OWP2:OWP82 PGL2:PGL82 PQH2:PQH82 QAD2:QAD82 QJZ2:QJZ82 QTV2:QTV82 RDR2:RDR82 RNN2:RNN82 RXJ2:RXJ82 SHF2:SHF82 SRB2:SRB82 TAX2:TAX82 TKT2:TKT82 TUP2:TUP82 UEL2:UEL82 UOH2:UOH82 UYD2:UYD82 VHZ2:VHZ82 VRV2:VRV82 WBR2:WBR82 WLN2:WLN82 WVJ2:WVJ82 IX2:IX82" xr:uid="{A0CA1014-6610-442F-8641-721BC7895F3D}"/>
    <dataValidation type="list" allowBlank="1" showInputMessage="1" showErrorMessage="1" sqref="WVI981814:WVI981903 WLM981814:WLM981903 WBQ981814:WBQ981903 VRU981814:VRU981903 VHY981814:VHY981903 UYC981814:UYC981903 UOG981814:UOG981903 UEK981814:UEK981903 TUO981814:TUO981903 TKS981814:TKS981903 TAW981814:TAW981903 SRA981814:SRA981903 SHE981814:SHE981903 RXI981814:RXI981903 RNM981814:RNM981903 RDQ981814:RDQ981903 QTU981814:QTU981903 QJY981814:QJY981903 QAC981814:QAC981903 PQG981814:PQG981903 PGK981814:PGK981903 OWO981814:OWO981903 OMS981814:OMS981903 OCW981814:OCW981903 NTA981814:NTA981903 NJE981814:NJE981903 MZI981814:MZI981903 MPM981814:MPM981903 MFQ981814:MFQ981903 LVU981814:LVU981903 LLY981814:LLY981903 LCC981814:LCC981903 KSG981814:KSG981903 KIK981814:KIK981903 JYO981814:JYO981903 JOS981814:JOS981903 JEW981814:JEW981903 IVA981814:IVA981903 ILE981814:ILE981903 IBI981814:IBI981903 HRM981814:HRM981903 HHQ981814:HHQ981903 GXU981814:GXU981903 GNY981814:GNY981903 GEC981814:GEC981903 FUG981814:FUG981903 FKK981814:FKK981903 FAO981814:FAO981903 EQS981814:EQS981903 EGW981814:EGW981903 DXA981814:DXA981903 DNE981814:DNE981903 DDI981814:DDI981903 CTM981814:CTM981903 CJQ981814:CJQ981903 BZU981814:BZU981903 BPY981814:BPY981903 BGC981814:BGC981903 AWG981814:AWG981903 AMK981814:AMK981903 ACO981814:ACO981903 SS981814:SS981903 IW981814:IW981903 A981820:A981909 WVI916278:WVI916367 WLM916278:WLM916367 WBQ916278:WBQ916367 VRU916278:VRU916367 VHY916278:VHY916367 UYC916278:UYC916367 UOG916278:UOG916367 UEK916278:UEK916367 TUO916278:TUO916367 TKS916278:TKS916367 TAW916278:TAW916367 SRA916278:SRA916367 SHE916278:SHE916367 RXI916278:RXI916367 RNM916278:RNM916367 RDQ916278:RDQ916367 QTU916278:QTU916367 QJY916278:QJY916367 QAC916278:QAC916367 PQG916278:PQG916367 PGK916278:PGK916367 OWO916278:OWO916367 OMS916278:OMS916367 OCW916278:OCW916367 NTA916278:NTA916367 NJE916278:NJE916367 MZI916278:MZI916367 MPM916278:MPM916367 MFQ916278:MFQ916367 LVU916278:LVU916367 LLY916278:LLY916367 LCC916278:LCC916367 KSG916278:KSG916367 KIK916278:KIK916367 JYO916278:JYO916367 JOS916278:JOS916367 JEW916278:JEW916367 IVA916278:IVA916367 ILE916278:ILE916367 IBI916278:IBI916367 HRM916278:HRM916367 HHQ916278:HHQ916367 GXU916278:GXU916367 GNY916278:GNY916367 GEC916278:GEC916367 FUG916278:FUG916367 FKK916278:FKK916367 FAO916278:FAO916367 EQS916278:EQS916367 EGW916278:EGW916367 DXA916278:DXA916367 DNE916278:DNE916367 DDI916278:DDI916367 CTM916278:CTM916367 CJQ916278:CJQ916367 BZU916278:BZU916367 BPY916278:BPY916367 BGC916278:BGC916367 AWG916278:AWG916367 AMK916278:AMK916367 ACO916278:ACO916367 SS916278:SS916367 IW916278:IW916367 A916284:A916373 WVI850742:WVI850831 WLM850742:WLM850831 WBQ850742:WBQ850831 VRU850742:VRU850831 VHY850742:VHY850831 UYC850742:UYC850831 UOG850742:UOG850831 UEK850742:UEK850831 TUO850742:TUO850831 TKS850742:TKS850831 TAW850742:TAW850831 SRA850742:SRA850831 SHE850742:SHE850831 RXI850742:RXI850831 RNM850742:RNM850831 RDQ850742:RDQ850831 QTU850742:QTU850831 QJY850742:QJY850831 QAC850742:QAC850831 PQG850742:PQG850831 PGK850742:PGK850831 OWO850742:OWO850831 OMS850742:OMS850831 OCW850742:OCW850831 NTA850742:NTA850831 NJE850742:NJE850831 MZI850742:MZI850831 MPM850742:MPM850831 MFQ850742:MFQ850831 LVU850742:LVU850831 LLY850742:LLY850831 LCC850742:LCC850831 KSG850742:KSG850831 KIK850742:KIK850831 JYO850742:JYO850831 JOS850742:JOS850831 JEW850742:JEW850831 IVA850742:IVA850831 ILE850742:ILE850831 IBI850742:IBI850831 HRM850742:HRM850831 HHQ850742:HHQ850831 GXU850742:GXU850831 GNY850742:GNY850831 GEC850742:GEC850831 FUG850742:FUG850831 FKK850742:FKK850831 FAO850742:FAO850831 EQS850742:EQS850831 EGW850742:EGW850831 DXA850742:DXA850831 DNE850742:DNE850831 DDI850742:DDI850831 CTM850742:CTM850831 CJQ850742:CJQ850831 BZU850742:BZU850831 BPY850742:BPY850831 BGC850742:BGC850831 AWG850742:AWG850831 AMK850742:AMK850831 ACO850742:ACO850831 SS850742:SS850831 IW850742:IW850831 A850748:A850837 WVI785206:WVI785295 WLM785206:WLM785295 WBQ785206:WBQ785295 VRU785206:VRU785295 VHY785206:VHY785295 UYC785206:UYC785295 UOG785206:UOG785295 UEK785206:UEK785295 TUO785206:TUO785295 TKS785206:TKS785295 TAW785206:TAW785295 SRA785206:SRA785295 SHE785206:SHE785295 RXI785206:RXI785295 RNM785206:RNM785295 RDQ785206:RDQ785295 QTU785206:QTU785295 QJY785206:QJY785295 QAC785206:QAC785295 PQG785206:PQG785295 PGK785206:PGK785295 OWO785206:OWO785295 OMS785206:OMS785295 OCW785206:OCW785295 NTA785206:NTA785295 NJE785206:NJE785295 MZI785206:MZI785295 MPM785206:MPM785295 MFQ785206:MFQ785295 LVU785206:LVU785295 LLY785206:LLY785295 LCC785206:LCC785295 KSG785206:KSG785295 KIK785206:KIK785295 JYO785206:JYO785295 JOS785206:JOS785295 JEW785206:JEW785295 IVA785206:IVA785295 ILE785206:ILE785295 IBI785206:IBI785295 HRM785206:HRM785295 HHQ785206:HHQ785295 GXU785206:GXU785295 GNY785206:GNY785295 GEC785206:GEC785295 FUG785206:FUG785295 FKK785206:FKK785295 FAO785206:FAO785295 EQS785206:EQS785295 EGW785206:EGW785295 DXA785206:DXA785295 DNE785206:DNE785295 DDI785206:DDI785295 CTM785206:CTM785295 CJQ785206:CJQ785295 BZU785206:BZU785295 BPY785206:BPY785295 BGC785206:BGC785295 AWG785206:AWG785295 AMK785206:AMK785295 ACO785206:ACO785295 SS785206:SS785295 IW785206:IW785295 A785212:A785301 WVI719670:WVI719759 WLM719670:WLM719759 WBQ719670:WBQ719759 VRU719670:VRU719759 VHY719670:VHY719759 UYC719670:UYC719759 UOG719670:UOG719759 UEK719670:UEK719759 TUO719670:TUO719759 TKS719670:TKS719759 TAW719670:TAW719759 SRA719670:SRA719759 SHE719670:SHE719759 RXI719670:RXI719759 RNM719670:RNM719759 RDQ719670:RDQ719759 QTU719670:QTU719759 QJY719670:QJY719759 QAC719670:QAC719759 PQG719670:PQG719759 PGK719670:PGK719759 OWO719670:OWO719759 OMS719670:OMS719759 OCW719670:OCW719759 NTA719670:NTA719759 NJE719670:NJE719759 MZI719670:MZI719759 MPM719670:MPM719759 MFQ719670:MFQ719759 LVU719670:LVU719759 LLY719670:LLY719759 LCC719670:LCC719759 KSG719670:KSG719759 KIK719670:KIK719759 JYO719670:JYO719759 JOS719670:JOS719759 JEW719670:JEW719759 IVA719670:IVA719759 ILE719670:ILE719759 IBI719670:IBI719759 HRM719670:HRM719759 HHQ719670:HHQ719759 GXU719670:GXU719759 GNY719670:GNY719759 GEC719670:GEC719759 FUG719670:FUG719759 FKK719670:FKK719759 FAO719670:FAO719759 EQS719670:EQS719759 EGW719670:EGW719759 DXA719670:DXA719759 DNE719670:DNE719759 DDI719670:DDI719759 CTM719670:CTM719759 CJQ719670:CJQ719759 BZU719670:BZU719759 BPY719670:BPY719759 BGC719670:BGC719759 AWG719670:AWG719759 AMK719670:AMK719759 ACO719670:ACO719759 SS719670:SS719759 IW719670:IW719759 A719676:A719765 WVI654134:WVI654223 WLM654134:WLM654223 WBQ654134:WBQ654223 VRU654134:VRU654223 VHY654134:VHY654223 UYC654134:UYC654223 UOG654134:UOG654223 UEK654134:UEK654223 TUO654134:TUO654223 TKS654134:TKS654223 TAW654134:TAW654223 SRA654134:SRA654223 SHE654134:SHE654223 RXI654134:RXI654223 RNM654134:RNM654223 RDQ654134:RDQ654223 QTU654134:QTU654223 QJY654134:QJY654223 QAC654134:QAC654223 PQG654134:PQG654223 PGK654134:PGK654223 OWO654134:OWO654223 OMS654134:OMS654223 OCW654134:OCW654223 NTA654134:NTA654223 NJE654134:NJE654223 MZI654134:MZI654223 MPM654134:MPM654223 MFQ654134:MFQ654223 LVU654134:LVU654223 LLY654134:LLY654223 LCC654134:LCC654223 KSG654134:KSG654223 KIK654134:KIK654223 JYO654134:JYO654223 JOS654134:JOS654223 JEW654134:JEW654223 IVA654134:IVA654223 ILE654134:ILE654223 IBI654134:IBI654223 HRM654134:HRM654223 HHQ654134:HHQ654223 GXU654134:GXU654223 GNY654134:GNY654223 GEC654134:GEC654223 FUG654134:FUG654223 FKK654134:FKK654223 FAO654134:FAO654223 EQS654134:EQS654223 EGW654134:EGW654223 DXA654134:DXA654223 DNE654134:DNE654223 DDI654134:DDI654223 CTM654134:CTM654223 CJQ654134:CJQ654223 BZU654134:BZU654223 BPY654134:BPY654223 BGC654134:BGC654223 AWG654134:AWG654223 AMK654134:AMK654223 ACO654134:ACO654223 SS654134:SS654223 IW654134:IW654223 A654140:A654229 WVI588598:WVI588687 WLM588598:WLM588687 WBQ588598:WBQ588687 VRU588598:VRU588687 VHY588598:VHY588687 UYC588598:UYC588687 UOG588598:UOG588687 UEK588598:UEK588687 TUO588598:TUO588687 TKS588598:TKS588687 TAW588598:TAW588687 SRA588598:SRA588687 SHE588598:SHE588687 RXI588598:RXI588687 RNM588598:RNM588687 RDQ588598:RDQ588687 QTU588598:QTU588687 QJY588598:QJY588687 QAC588598:QAC588687 PQG588598:PQG588687 PGK588598:PGK588687 OWO588598:OWO588687 OMS588598:OMS588687 OCW588598:OCW588687 NTA588598:NTA588687 NJE588598:NJE588687 MZI588598:MZI588687 MPM588598:MPM588687 MFQ588598:MFQ588687 LVU588598:LVU588687 LLY588598:LLY588687 LCC588598:LCC588687 KSG588598:KSG588687 KIK588598:KIK588687 JYO588598:JYO588687 JOS588598:JOS588687 JEW588598:JEW588687 IVA588598:IVA588687 ILE588598:ILE588687 IBI588598:IBI588687 HRM588598:HRM588687 HHQ588598:HHQ588687 GXU588598:GXU588687 GNY588598:GNY588687 GEC588598:GEC588687 FUG588598:FUG588687 FKK588598:FKK588687 FAO588598:FAO588687 EQS588598:EQS588687 EGW588598:EGW588687 DXA588598:DXA588687 DNE588598:DNE588687 DDI588598:DDI588687 CTM588598:CTM588687 CJQ588598:CJQ588687 BZU588598:BZU588687 BPY588598:BPY588687 BGC588598:BGC588687 AWG588598:AWG588687 AMK588598:AMK588687 ACO588598:ACO588687 SS588598:SS588687 IW588598:IW588687 A588604:A588693 WVI523062:WVI523151 WLM523062:WLM523151 WBQ523062:WBQ523151 VRU523062:VRU523151 VHY523062:VHY523151 UYC523062:UYC523151 UOG523062:UOG523151 UEK523062:UEK523151 TUO523062:TUO523151 TKS523062:TKS523151 TAW523062:TAW523151 SRA523062:SRA523151 SHE523062:SHE523151 RXI523062:RXI523151 RNM523062:RNM523151 RDQ523062:RDQ523151 QTU523062:QTU523151 QJY523062:QJY523151 QAC523062:QAC523151 PQG523062:PQG523151 PGK523062:PGK523151 OWO523062:OWO523151 OMS523062:OMS523151 OCW523062:OCW523151 NTA523062:NTA523151 NJE523062:NJE523151 MZI523062:MZI523151 MPM523062:MPM523151 MFQ523062:MFQ523151 LVU523062:LVU523151 LLY523062:LLY523151 LCC523062:LCC523151 KSG523062:KSG523151 KIK523062:KIK523151 JYO523062:JYO523151 JOS523062:JOS523151 JEW523062:JEW523151 IVA523062:IVA523151 ILE523062:ILE523151 IBI523062:IBI523151 HRM523062:HRM523151 HHQ523062:HHQ523151 GXU523062:GXU523151 GNY523062:GNY523151 GEC523062:GEC523151 FUG523062:FUG523151 FKK523062:FKK523151 FAO523062:FAO523151 EQS523062:EQS523151 EGW523062:EGW523151 DXA523062:DXA523151 DNE523062:DNE523151 DDI523062:DDI523151 CTM523062:CTM523151 CJQ523062:CJQ523151 BZU523062:BZU523151 BPY523062:BPY523151 BGC523062:BGC523151 AWG523062:AWG523151 AMK523062:AMK523151 ACO523062:ACO523151 SS523062:SS523151 IW523062:IW523151 A523068:A523157 WVI457526:WVI457615 WLM457526:WLM457615 WBQ457526:WBQ457615 VRU457526:VRU457615 VHY457526:VHY457615 UYC457526:UYC457615 UOG457526:UOG457615 UEK457526:UEK457615 TUO457526:TUO457615 TKS457526:TKS457615 TAW457526:TAW457615 SRA457526:SRA457615 SHE457526:SHE457615 RXI457526:RXI457615 RNM457526:RNM457615 RDQ457526:RDQ457615 QTU457526:QTU457615 QJY457526:QJY457615 QAC457526:QAC457615 PQG457526:PQG457615 PGK457526:PGK457615 OWO457526:OWO457615 OMS457526:OMS457615 OCW457526:OCW457615 NTA457526:NTA457615 NJE457526:NJE457615 MZI457526:MZI457615 MPM457526:MPM457615 MFQ457526:MFQ457615 LVU457526:LVU457615 LLY457526:LLY457615 LCC457526:LCC457615 KSG457526:KSG457615 KIK457526:KIK457615 JYO457526:JYO457615 JOS457526:JOS457615 JEW457526:JEW457615 IVA457526:IVA457615 ILE457526:ILE457615 IBI457526:IBI457615 HRM457526:HRM457615 HHQ457526:HHQ457615 GXU457526:GXU457615 GNY457526:GNY457615 GEC457526:GEC457615 FUG457526:FUG457615 FKK457526:FKK457615 FAO457526:FAO457615 EQS457526:EQS457615 EGW457526:EGW457615 DXA457526:DXA457615 DNE457526:DNE457615 DDI457526:DDI457615 CTM457526:CTM457615 CJQ457526:CJQ457615 BZU457526:BZU457615 BPY457526:BPY457615 BGC457526:BGC457615 AWG457526:AWG457615 AMK457526:AMK457615 ACO457526:ACO457615 SS457526:SS457615 IW457526:IW457615 A457532:A457621 WVI391990:WVI392079 WLM391990:WLM392079 WBQ391990:WBQ392079 VRU391990:VRU392079 VHY391990:VHY392079 UYC391990:UYC392079 UOG391990:UOG392079 UEK391990:UEK392079 TUO391990:TUO392079 TKS391990:TKS392079 TAW391990:TAW392079 SRA391990:SRA392079 SHE391990:SHE392079 RXI391990:RXI392079 RNM391990:RNM392079 RDQ391990:RDQ392079 QTU391990:QTU392079 QJY391990:QJY392079 QAC391990:QAC392079 PQG391990:PQG392079 PGK391990:PGK392079 OWO391990:OWO392079 OMS391990:OMS392079 OCW391990:OCW392079 NTA391990:NTA392079 NJE391990:NJE392079 MZI391990:MZI392079 MPM391990:MPM392079 MFQ391990:MFQ392079 LVU391990:LVU392079 LLY391990:LLY392079 LCC391990:LCC392079 KSG391990:KSG392079 KIK391990:KIK392079 JYO391990:JYO392079 JOS391990:JOS392079 JEW391990:JEW392079 IVA391990:IVA392079 ILE391990:ILE392079 IBI391990:IBI392079 HRM391990:HRM392079 HHQ391990:HHQ392079 GXU391990:GXU392079 GNY391990:GNY392079 GEC391990:GEC392079 FUG391990:FUG392079 FKK391990:FKK392079 FAO391990:FAO392079 EQS391990:EQS392079 EGW391990:EGW392079 DXA391990:DXA392079 DNE391990:DNE392079 DDI391990:DDI392079 CTM391990:CTM392079 CJQ391990:CJQ392079 BZU391990:BZU392079 BPY391990:BPY392079 BGC391990:BGC392079 AWG391990:AWG392079 AMK391990:AMK392079 ACO391990:ACO392079 SS391990:SS392079 IW391990:IW392079 A391996:A392085 WVI326454:WVI326543 WLM326454:WLM326543 WBQ326454:WBQ326543 VRU326454:VRU326543 VHY326454:VHY326543 UYC326454:UYC326543 UOG326454:UOG326543 UEK326454:UEK326543 TUO326454:TUO326543 TKS326454:TKS326543 TAW326454:TAW326543 SRA326454:SRA326543 SHE326454:SHE326543 RXI326454:RXI326543 RNM326454:RNM326543 RDQ326454:RDQ326543 QTU326454:QTU326543 QJY326454:QJY326543 QAC326454:QAC326543 PQG326454:PQG326543 PGK326454:PGK326543 OWO326454:OWO326543 OMS326454:OMS326543 OCW326454:OCW326543 NTA326454:NTA326543 NJE326454:NJE326543 MZI326454:MZI326543 MPM326454:MPM326543 MFQ326454:MFQ326543 LVU326454:LVU326543 LLY326454:LLY326543 LCC326454:LCC326543 KSG326454:KSG326543 KIK326454:KIK326543 JYO326454:JYO326543 JOS326454:JOS326543 JEW326454:JEW326543 IVA326454:IVA326543 ILE326454:ILE326543 IBI326454:IBI326543 HRM326454:HRM326543 HHQ326454:HHQ326543 GXU326454:GXU326543 GNY326454:GNY326543 GEC326454:GEC326543 FUG326454:FUG326543 FKK326454:FKK326543 FAO326454:FAO326543 EQS326454:EQS326543 EGW326454:EGW326543 DXA326454:DXA326543 DNE326454:DNE326543 DDI326454:DDI326543 CTM326454:CTM326543 CJQ326454:CJQ326543 BZU326454:BZU326543 BPY326454:BPY326543 BGC326454:BGC326543 AWG326454:AWG326543 AMK326454:AMK326543 ACO326454:ACO326543 SS326454:SS326543 IW326454:IW326543 A326460:A326549 WVI260918:WVI261007 WLM260918:WLM261007 WBQ260918:WBQ261007 VRU260918:VRU261007 VHY260918:VHY261007 UYC260918:UYC261007 UOG260918:UOG261007 UEK260918:UEK261007 TUO260918:TUO261007 TKS260918:TKS261007 TAW260918:TAW261007 SRA260918:SRA261007 SHE260918:SHE261007 RXI260918:RXI261007 RNM260918:RNM261007 RDQ260918:RDQ261007 QTU260918:QTU261007 QJY260918:QJY261007 QAC260918:QAC261007 PQG260918:PQG261007 PGK260918:PGK261007 OWO260918:OWO261007 OMS260918:OMS261007 OCW260918:OCW261007 NTA260918:NTA261007 NJE260918:NJE261007 MZI260918:MZI261007 MPM260918:MPM261007 MFQ260918:MFQ261007 LVU260918:LVU261007 LLY260918:LLY261007 LCC260918:LCC261007 KSG260918:KSG261007 KIK260918:KIK261007 JYO260918:JYO261007 JOS260918:JOS261007 JEW260918:JEW261007 IVA260918:IVA261007 ILE260918:ILE261007 IBI260918:IBI261007 HRM260918:HRM261007 HHQ260918:HHQ261007 GXU260918:GXU261007 GNY260918:GNY261007 GEC260918:GEC261007 FUG260918:FUG261007 FKK260918:FKK261007 FAO260918:FAO261007 EQS260918:EQS261007 EGW260918:EGW261007 DXA260918:DXA261007 DNE260918:DNE261007 DDI260918:DDI261007 CTM260918:CTM261007 CJQ260918:CJQ261007 BZU260918:BZU261007 BPY260918:BPY261007 BGC260918:BGC261007 AWG260918:AWG261007 AMK260918:AMK261007 ACO260918:ACO261007 SS260918:SS261007 IW260918:IW261007 A260924:A261013 WVI195382:WVI195471 WLM195382:WLM195471 WBQ195382:WBQ195471 VRU195382:VRU195471 VHY195382:VHY195471 UYC195382:UYC195471 UOG195382:UOG195471 UEK195382:UEK195471 TUO195382:TUO195471 TKS195382:TKS195471 TAW195382:TAW195471 SRA195382:SRA195471 SHE195382:SHE195471 RXI195382:RXI195471 RNM195382:RNM195471 RDQ195382:RDQ195471 QTU195382:QTU195471 QJY195382:QJY195471 QAC195382:QAC195471 PQG195382:PQG195471 PGK195382:PGK195471 OWO195382:OWO195471 OMS195382:OMS195471 OCW195382:OCW195471 NTA195382:NTA195471 NJE195382:NJE195471 MZI195382:MZI195471 MPM195382:MPM195471 MFQ195382:MFQ195471 LVU195382:LVU195471 LLY195382:LLY195471 LCC195382:LCC195471 KSG195382:KSG195471 KIK195382:KIK195471 JYO195382:JYO195471 JOS195382:JOS195471 JEW195382:JEW195471 IVA195382:IVA195471 ILE195382:ILE195471 IBI195382:IBI195471 HRM195382:HRM195471 HHQ195382:HHQ195471 GXU195382:GXU195471 GNY195382:GNY195471 GEC195382:GEC195471 FUG195382:FUG195471 FKK195382:FKK195471 FAO195382:FAO195471 EQS195382:EQS195471 EGW195382:EGW195471 DXA195382:DXA195471 DNE195382:DNE195471 DDI195382:DDI195471 CTM195382:CTM195471 CJQ195382:CJQ195471 BZU195382:BZU195471 BPY195382:BPY195471 BGC195382:BGC195471 AWG195382:AWG195471 AMK195382:AMK195471 ACO195382:ACO195471 SS195382:SS195471 IW195382:IW195471 A195388:A195477 WVI129846:WVI129935 WLM129846:WLM129935 WBQ129846:WBQ129935 VRU129846:VRU129935 VHY129846:VHY129935 UYC129846:UYC129935 UOG129846:UOG129935 UEK129846:UEK129935 TUO129846:TUO129935 TKS129846:TKS129935 TAW129846:TAW129935 SRA129846:SRA129935 SHE129846:SHE129935 RXI129846:RXI129935 RNM129846:RNM129935 RDQ129846:RDQ129935 QTU129846:QTU129935 QJY129846:QJY129935 QAC129846:QAC129935 PQG129846:PQG129935 PGK129846:PGK129935 OWO129846:OWO129935 OMS129846:OMS129935 OCW129846:OCW129935 NTA129846:NTA129935 NJE129846:NJE129935 MZI129846:MZI129935 MPM129846:MPM129935 MFQ129846:MFQ129935 LVU129846:LVU129935 LLY129846:LLY129935 LCC129846:LCC129935 KSG129846:KSG129935 KIK129846:KIK129935 JYO129846:JYO129935 JOS129846:JOS129935 JEW129846:JEW129935 IVA129846:IVA129935 ILE129846:ILE129935 IBI129846:IBI129935 HRM129846:HRM129935 HHQ129846:HHQ129935 GXU129846:GXU129935 GNY129846:GNY129935 GEC129846:GEC129935 FUG129846:FUG129935 FKK129846:FKK129935 FAO129846:FAO129935 EQS129846:EQS129935 EGW129846:EGW129935 DXA129846:DXA129935 DNE129846:DNE129935 DDI129846:DDI129935 CTM129846:CTM129935 CJQ129846:CJQ129935 BZU129846:BZU129935 BPY129846:BPY129935 BGC129846:BGC129935 AWG129846:AWG129935 AMK129846:AMK129935 ACO129846:ACO129935 SS129846:SS129935 IW129846:IW129935 A129852:A129941 WVI64310:WVI64399 WLM64310:WLM64399 WBQ64310:WBQ64399 VRU64310:VRU64399 VHY64310:VHY64399 UYC64310:UYC64399 UOG64310:UOG64399 UEK64310:UEK64399 TUO64310:TUO64399 TKS64310:TKS64399 TAW64310:TAW64399 SRA64310:SRA64399 SHE64310:SHE64399 RXI64310:RXI64399 RNM64310:RNM64399 RDQ64310:RDQ64399 QTU64310:QTU64399 QJY64310:QJY64399 QAC64310:QAC64399 PQG64310:PQG64399 PGK64310:PGK64399 OWO64310:OWO64399 OMS64310:OMS64399 OCW64310:OCW64399 NTA64310:NTA64399 NJE64310:NJE64399 MZI64310:MZI64399 MPM64310:MPM64399 MFQ64310:MFQ64399 LVU64310:LVU64399 LLY64310:LLY64399 LCC64310:LCC64399 KSG64310:KSG64399 KIK64310:KIK64399 JYO64310:JYO64399 JOS64310:JOS64399 JEW64310:JEW64399 IVA64310:IVA64399 ILE64310:ILE64399 IBI64310:IBI64399 HRM64310:HRM64399 HHQ64310:HHQ64399 GXU64310:GXU64399 GNY64310:GNY64399 GEC64310:GEC64399 FUG64310:FUG64399 FKK64310:FKK64399 FAO64310:FAO64399 EQS64310:EQS64399 EGW64310:EGW64399 DXA64310:DXA64399 DNE64310:DNE64399 DDI64310:DDI64399 CTM64310:CTM64399 CJQ64310:CJQ64399 BZU64310:BZU64399 BPY64310:BPY64399 BGC64310:BGC64399 AWG64310:AWG64399 AMK64310:AMK64399 ACO64310:ACO64399 SS64310:SS64399 IW64310:IW64399 A64316:A64405 WVI2:WVI82 WLM2:WLM82 WBQ2:WBQ82 VRU2:VRU82 VHY2:VHY82 UYC2:UYC82 UOG2:UOG82 UEK2:UEK82 TUO2:TUO82 TKS2:TKS82 TAW2:TAW82 SRA2:SRA82 SHE2:SHE82 RXI2:RXI82 RNM2:RNM82 RDQ2:RDQ82 QTU2:QTU82 QJY2:QJY82 QAC2:QAC82 PQG2:PQG82 PGK2:PGK82 OWO2:OWO82 OMS2:OMS82 OCW2:OCW82 NTA2:NTA82 NJE2:NJE82 MZI2:MZI82 MPM2:MPM82 MFQ2:MFQ82 LVU2:LVU82 LLY2:LLY82 LCC2:LCC82 KSG2:KSG82 KIK2:KIK82 JYO2:JYO82 JOS2:JOS82 JEW2:JEW82 IVA2:IVA82 ILE2:ILE82 IBI2:IBI82 HRM2:HRM82 HHQ2:HHQ82 GXU2:GXU82 GNY2:GNY82 GEC2:GEC82 FUG2:FUG82 FKK2:FKK82 FAO2:FAO82 EQS2:EQS82 EGW2:EGW82 DXA2:DXA82 DNE2:DNE82 DDI2:DDI82 CTM2:CTM82 CJQ2:CJQ82 BZU2:BZU82 BPY2:BPY82 BGC2:BGC82 AWG2:AWG82 AMK2:AMK82 ACO2:ACO82 SS2:SS82 IW2:IW82" xr:uid="{FD78D2EE-BCD3-4B52-81DD-E88A0EABB256}">
      <formula1>$AE$2:$AE$22</formula1>
    </dataValidation>
    <dataValidation type="list" allowBlank="1" showInputMessage="1" showErrorMessage="1" sqref="WVO981814:WVO981903 WLS981814:WLS981903 WBW981814:WBW981903 VSA981814:VSA981903 VIE981814:VIE981903 UYI981814:UYI981903 UOM981814:UOM981903 UEQ981814:UEQ981903 TUU981814:TUU981903 TKY981814:TKY981903 TBC981814:TBC981903 SRG981814:SRG981903 SHK981814:SHK981903 RXO981814:RXO981903 RNS981814:RNS981903 RDW981814:RDW981903 QUA981814:QUA981903 QKE981814:QKE981903 QAI981814:QAI981903 PQM981814:PQM981903 PGQ981814:PGQ981903 OWU981814:OWU981903 OMY981814:OMY981903 ODC981814:ODC981903 NTG981814:NTG981903 NJK981814:NJK981903 MZO981814:MZO981903 MPS981814:MPS981903 MFW981814:MFW981903 LWA981814:LWA981903 LME981814:LME981903 LCI981814:LCI981903 KSM981814:KSM981903 KIQ981814:KIQ981903 JYU981814:JYU981903 JOY981814:JOY981903 JFC981814:JFC981903 IVG981814:IVG981903 ILK981814:ILK981903 IBO981814:IBO981903 HRS981814:HRS981903 HHW981814:HHW981903 GYA981814:GYA981903 GOE981814:GOE981903 GEI981814:GEI981903 FUM981814:FUM981903 FKQ981814:FKQ981903 FAU981814:FAU981903 EQY981814:EQY981903 EHC981814:EHC981903 DXG981814:DXG981903 DNK981814:DNK981903 DDO981814:DDO981903 CTS981814:CTS981903 CJW981814:CJW981903 CAA981814:CAA981903 BQE981814:BQE981903 BGI981814:BGI981903 AWM981814:AWM981903 AMQ981814:AMQ981903 ACU981814:ACU981903 SY981814:SY981903 JC981814:JC981903 G981823:G981912 WVO916278:WVO916367 WLS916278:WLS916367 WBW916278:WBW916367 VSA916278:VSA916367 VIE916278:VIE916367 UYI916278:UYI916367 UOM916278:UOM916367 UEQ916278:UEQ916367 TUU916278:TUU916367 TKY916278:TKY916367 TBC916278:TBC916367 SRG916278:SRG916367 SHK916278:SHK916367 RXO916278:RXO916367 RNS916278:RNS916367 RDW916278:RDW916367 QUA916278:QUA916367 QKE916278:QKE916367 QAI916278:QAI916367 PQM916278:PQM916367 PGQ916278:PGQ916367 OWU916278:OWU916367 OMY916278:OMY916367 ODC916278:ODC916367 NTG916278:NTG916367 NJK916278:NJK916367 MZO916278:MZO916367 MPS916278:MPS916367 MFW916278:MFW916367 LWA916278:LWA916367 LME916278:LME916367 LCI916278:LCI916367 KSM916278:KSM916367 KIQ916278:KIQ916367 JYU916278:JYU916367 JOY916278:JOY916367 JFC916278:JFC916367 IVG916278:IVG916367 ILK916278:ILK916367 IBO916278:IBO916367 HRS916278:HRS916367 HHW916278:HHW916367 GYA916278:GYA916367 GOE916278:GOE916367 GEI916278:GEI916367 FUM916278:FUM916367 FKQ916278:FKQ916367 FAU916278:FAU916367 EQY916278:EQY916367 EHC916278:EHC916367 DXG916278:DXG916367 DNK916278:DNK916367 DDO916278:DDO916367 CTS916278:CTS916367 CJW916278:CJW916367 CAA916278:CAA916367 BQE916278:BQE916367 BGI916278:BGI916367 AWM916278:AWM916367 AMQ916278:AMQ916367 ACU916278:ACU916367 SY916278:SY916367 JC916278:JC916367 G916287:G916376 WVO850742:WVO850831 WLS850742:WLS850831 WBW850742:WBW850831 VSA850742:VSA850831 VIE850742:VIE850831 UYI850742:UYI850831 UOM850742:UOM850831 UEQ850742:UEQ850831 TUU850742:TUU850831 TKY850742:TKY850831 TBC850742:TBC850831 SRG850742:SRG850831 SHK850742:SHK850831 RXO850742:RXO850831 RNS850742:RNS850831 RDW850742:RDW850831 QUA850742:QUA850831 QKE850742:QKE850831 QAI850742:QAI850831 PQM850742:PQM850831 PGQ850742:PGQ850831 OWU850742:OWU850831 OMY850742:OMY850831 ODC850742:ODC850831 NTG850742:NTG850831 NJK850742:NJK850831 MZO850742:MZO850831 MPS850742:MPS850831 MFW850742:MFW850831 LWA850742:LWA850831 LME850742:LME850831 LCI850742:LCI850831 KSM850742:KSM850831 KIQ850742:KIQ850831 JYU850742:JYU850831 JOY850742:JOY850831 JFC850742:JFC850831 IVG850742:IVG850831 ILK850742:ILK850831 IBO850742:IBO850831 HRS850742:HRS850831 HHW850742:HHW850831 GYA850742:GYA850831 GOE850742:GOE850831 GEI850742:GEI850831 FUM850742:FUM850831 FKQ850742:FKQ850831 FAU850742:FAU850831 EQY850742:EQY850831 EHC850742:EHC850831 DXG850742:DXG850831 DNK850742:DNK850831 DDO850742:DDO850831 CTS850742:CTS850831 CJW850742:CJW850831 CAA850742:CAA850831 BQE850742:BQE850831 BGI850742:BGI850831 AWM850742:AWM850831 AMQ850742:AMQ850831 ACU850742:ACU850831 SY850742:SY850831 JC850742:JC850831 G850751:G850840 WVO785206:WVO785295 WLS785206:WLS785295 WBW785206:WBW785295 VSA785206:VSA785295 VIE785206:VIE785295 UYI785206:UYI785295 UOM785206:UOM785295 UEQ785206:UEQ785295 TUU785206:TUU785295 TKY785206:TKY785295 TBC785206:TBC785295 SRG785206:SRG785295 SHK785206:SHK785295 RXO785206:RXO785295 RNS785206:RNS785295 RDW785206:RDW785295 QUA785206:QUA785295 QKE785206:QKE785295 QAI785206:QAI785295 PQM785206:PQM785295 PGQ785206:PGQ785295 OWU785206:OWU785295 OMY785206:OMY785295 ODC785206:ODC785295 NTG785206:NTG785295 NJK785206:NJK785295 MZO785206:MZO785295 MPS785206:MPS785295 MFW785206:MFW785295 LWA785206:LWA785295 LME785206:LME785295 LCI785206:LCI785295 KSM785206:KSM785295 KIQ785206:KIQ785295 JYU785206:JYU785295 JOY785206:JOY785295 JFC785206:JFC785295 IVG785206:IVG785295 ILK785206:ILK785295 IBO785206:IBO785295 HRS785206:HRS785295 HHW785206:HHW785295 GYA785206:GYA785295 GOE785206:GOE785295 GEI785206:GEI785295 FUM785206:FUM785295 FKQ785206:FKQ785295 FAU785206:FAU785295 EQY785206:EQY785295 EHC785206:EHC785295 DXG785206:DXG785295 DNK785206:DNK785295 DDO785206:DDO785295 CTS785206:CTS785295 CJW785206:CJW785295 CAA785206:CAA785295 BQE785206:BQE785295 BGI785206:BGI785295 AWM785206:AWM785295 AMQ785206:AMQ785295 ACU785206:ACU785295 SY785206:SY785295 JC785206:JC785295 G785215:G785304 WVO719670:WVO719759 WLS719670:WLS719759 WBW719670:WBW719759 VSA719670:VSA719759 VIE719670:VIE719759 UYI719670:UYI719759 UOM719670:UOM719759 UEQ719670:UEQ719759 TUU719670:TUU719759 TKY719670:TKY719759 TBC719670:TBC719759 SRG719670:SRG719759 SHK719670:SHK719759 RXO719670:RXO719759 RNS719670:RNS719759 RDW719670:RDW719759 QUA719670:QUA719759 QKE719670:QKE719759 QAI719670:QAI719759 PQM719670:PQM719759 PGQ719670:PGQ719759 OWU719670:OWU719759 OMY719670:OMY719759 ODC719670:ODC719759 NTG719670:NTG719759 NJK719670:NJK719759 MZO719670:MZO719759 MPS719670:MPS719759 MFW719670:MFW719759 LWA719670:LWA719759 LME719670:LME719759 LCI719670:LCI719759 KSM719670:KSM719759 KIQ719670:KIQ719759 JYU719670:JYU719759 JOY719670:JOY719759 JFC719670:JFC719759 IVG719670:IVG719759 ILK719670:ILK719759 IBO719670:IBO719759 HRS719670:HRS719759 HHW719670:HHW719759 GYA719670:GYA719759 GOE719670:GOE719759 GEI719670:GEI719759 FUM719670:FUM719759 FKQ719670:FKQ719759 FAU719670:FAU719759 EQY719670:EQY719759 EHC719670:EHC719759 DXG719670:DXG719759 DNK719670:DNK719759 DDO719670:DDO719759 CTS719670:CTS719759 CJW719670:CJW719759 CAA719670:CAA719759 BQE719670:BQE719759 BGI719670:BGI719759 AWM719670:AWM719759 AMQ719670:AMQ719759 ACU719670:ACU719759 SY719670:SY719759 JC719670:JC719759 G719679:G719768 WVO654134:WVO654223 WLS654134:WLS654223 WBW654134:WBW654223 VSA654134:VSA654223 VIE654134:VIE654223 UYI654134:UYI654223 UOM654134:UOM654223 UEQ654134:UEQ654223 TUU654134:TUU654223 TKY654134:TKY654223 TBC654134:TBC654223 SRG654134:SRG654223 SHK654134:SHK654223 RXO654134:RXO654223 RNS654134:RNS654223 RDW654134:RDW654223 QUA654134:QUA654223 QKE654134:QKE654223 QAI654134:QAI654223 PQM654134:PQM654223 PGQ654134:PGQ654223 OWU654134:OWU654223 OMY654134:OMY654223 ODC654134:ODC654223 NTG654134:NTG654223 NJK654134:NJK654223 MZO654134:MZO654223 MPS654134:MPS654223 MFW654134:MFW654223 LWA654134:LWA654223 LME654134:LME654223 LCI654134:LCI654223 KSM654134:KSM654223 KIQ654134:KIQ654223 JYU654134:JYU654223 JOY654134:JOY654223 JFC654134:JFC654223 IVG654134:IVG654223 ILK654134:ILK654223 IBO654134:IBO654223 HRS654134:HRS654223 HHW654134:HHW654223 GYA654134:GYA654223 GOE654134:GOE654223 GEI654134:GEI654223 FUM654134:FUM654223 FKQ654134:FKQ654223 FAU654134:FAU654223 EQY654134:EQY654223 EHC654134:EHC654223 DXG654134:DXG654223 DNK654134:DNK654223 DDO654134:DDO654223 CTS654134:CTS654223 CJW654134:CJW654223 CAA654134:CAA654223 BQE654134:BQE654223 BGI654134:BGI654223 AWM654134:AWM654223 AMQ654134:AMQ654223 ACU654134:ACU654223 SY654134:SY654223 JC654134:JC654223 G654143:G654232 WVO588598:WVO588687 WLS588598:WLS588687 WBW588598:WBW588687 VSA588598:VSA588687 VIE588598:VIE588687 UYI588598:UYI588687 UOM588598:UOM588687 UEQ588598:UEQ588687 TUU588598:TUU588687 TKY588598:TKY588687 TBC588598:TBC588687 SRG588598:SRG588687 SHK588598:SHK588687 RXO588598:RXO588687 RNS588598:RNS588687 RDW588598:RDW588687 QUA588598:QUA588687 QKE588598:QKE588687 QAI588598:QAI588687 PQM588598:PQM588687 PGQ588598:PGQ588687 OWU588598:OWU588687 OMY588598:OMY588687 ODC588598:ODC588687 NTG588598:NTG588687 NJK588598:NJK588687 MZO588598:MZO588687 MPS588598:MPS588687 MFW588598:MFW588687 LWA588598:LWA588687 LME588598:LME588687 LCI588598:LCI588687 KSM588598:KSM588687 KIQ588598:KIQ588687 JYU588598:JYU588687 JOY588598:JOY588687 JFC588598:JFC588687 IVG588598:IVG588687 ILK588598:ILK588687 IBO588598:IBO588687 HRS588598:HRS588687 HHW588598:HHW588687 GYA588598:GYA588687 GOE588598:GOE588687 GEI588598:GEI588687 FUM588598:FUM588687 FKQ588598:FKQ588687 FAU588598:FAU588687 EQY588598:EQY588687 EHC588598:EHC588687 DXG588598:DXG588687 DNK588598:DNK588687 DDO588598:DDO588687 CTS588598:CTS588687 CJW588598:CJW588687 CAA588598:CAA588687 BQE588598:BQE588687 BGI588598:BGI588687 AWM588598:AWM588687 AMQ588598:AMQ588687 ACU588598:ACU588687 SY588598:SY588687 JC588598:JC588687 G588607:G588696 WVO523062:WVO523151 WLS523062:WLS523151 WBW523062:WBW523151 VSA523062:VSA523151 VIE523062:VIE523151 UYI523062:UYI523151 UOM523062:UOM523151 UEQ523062:UEQ523151 TUU523062:TUU523151 TKY523062:TKY523151 TBC523062:TBC523151 SRG523062:SRG523151 SHK523062:SHK523151 RXO523062:RXO523151 RNS523062:RNS523151 RDW523062:RDW523151 QUA523062:QUA523151 QKE523062:QKE523151 QAI523062:QAI523151 PQM523062:PQM523151 PGQ523062:PGQ523151 OWU523062:OWU523151 OMY523062:OMY523151 ODC523062:ODC523151 NTG523062:NTG523151 NJK523062:NJK523151 MZO523062:MZO523151 MPS523062:MPS523151 MFW523062:MFW523151 LWA523062:LWA523151 LME523062:LME523151 LCI523062:LCI523151 KSM523062:KSM523151 KIQ523062:KIQ523151 JYU523062:JYU523151 JOY523062:JOY523151 JFC523062:JFC523151 IVG523062:IVG523151 ILK523062:ILK523151 IBO523062:IBO523151 HRS523062:HRS523151 HHW523062:HHW523151 GYA523062:GYA523151 GOE523062:GOE523151 GEI523062:GEI523151 FUM523062:FUM523151 FKQ523062:FKQ523151 FAU523062:FAU523151 EQY523062:EQY523151 EHC523062:EHC523151 DXG523062:DXG523151 DNK523062:DNK523151 DDO523062:DDO523151 CTS523062:CTS523151 CJW523062:CJW523151 CAA523062:CAA523151 BQE523062:BQE523151 BGI523062:BGI523151 AWM523062:AWM523151 AMQ523062:AMQ523151 ACU523062:ACU523151 SY523062:SY523151 JC523062:JC523151 G523071:G523160 WVO457526:WVO457615 WLS457526:WLS457615 WBW457526:WBW457615 VSA457526:VSA457615 VIE457526:VIE457615 UYI457526:UYI457615 UOM457526:UOM457615 UEQ457526:UEQ457615 TUU457526:TUU457615 TKY457526:TKY457615 TBC457526:TBC457615 SRG457526:SRG457615 SHK457526:SHK457615 RXO457526:RXO457615 RNS457526:RNS457615 RDW457526:RDW457615 QUA457526:QUA457615 QKE457526:QKE457615 QAI457526:QAI457615 PQM457526:PQM457615 PGQ457526:PGQ457615 OWU457526:OWU457615 OMY457526:OMY457615 ODC457526:ODC457615 NTG457526:NTG457615 NJK457526:NJK457615 MZO457526:MZO457615 MPS457526:MPS457615 MFW457526:MFW457615 LWA457526:LWA457615 LME457526:LME457615 LCI457526:LCI457615 KSM457526:KSM457615 KIQ457526:KIQ457615 JYU457526:JYU457615 JOY457526:JOY457615 JFC457526:JFC457615 IVG457526:IVG457615 ILK457526:ILK457615 IBO457526:IBO457615 HRS457526:HRS457615 HHW457526:HHW457615 GYA457526:GYA457615 GOE457526:GOE457615 GEI457526:GEI457615 FUM457526:FUM457615 FKQ457526:FKQ457615 FAU457526:FAU457615 EQY457526:EQY457615 EHC457526:EHC457615 DXG457526:DXG457615 DNK457526:DNK457615 DDO457526:DDO457615 CTS457526:CTS457615 CJW457526:CJW457615 CAA457526:CAA457615 BQE457526:BQE457615 BGI457526:BGI457615 AWM457526:AWM457615 AMQ457526:AMQ457615 ACU457526:ACU457615 SY457526:SY457615 JC457526:JC457615 G457535:G457624 WVO391990:WVO392079 WLS391990:WLS392079 WBW391990:WBW392079 VSA391990:VSA392079 VIE391990:VIE392079 UYI391990:UYI392079 UOM391990:UOM392079 UEQ391990:UEQ392079 TUU391990:TUU392079 TKY391990:TKY392079 TBC391990:TBC392079 SRG391990:SRG392079 SHK391990:SHK392079 RXO391990:RXO392079 RNS391990:RNS392079 RDW391990:RDW392079 QUA391990:QUA392079 QKE391990:QKE392079 QAI391990:QAI392079 PQM391990:PQM392079 PGQ391990:PGQ392079 OWU391990:OWU392079 OMY391990:OMY392079 ODC391990:ODC392079 NTG391990:NTG392079 NJK391990:NJK392079 MZO391990:MZO392079 MPS391990:MPS392079 MFW391990:MFW392079 LWA391990:LWA392079 LME391990:LME392079 LCI391990:LCI392079 KSM391990:KSM392079 KIQ391990:KIQ392079 JYU391990:JYU392079 JOY391990:JOY392079 JFC391990:JFC392079 IVG391990:IVG392079 ILK391990:ILK392079 IBO391990:IBO392079 HRS391990:HRS392079 HHW391990:HHW392079 GYA391990:GYA392079 GOE391990:GOE392079 GEI391990:GEI392079 FUM391990:FUM392079 FKQ391990:FKQ392079 FAU391990:FAU392079 EQY391990:EQY392079 EHC391990:EHC392079 DXG391990:DXG392079 DNK391990:DNK392079 DDO391990:DDO392079 CTS391990:CTS392079 CJW391990:CJW392079 CAA391990:CAA392079 BQE391990:BQE392079 BGI391990:BGI392079 AWM391990:AWM392079 AMQ391990:AMQ392079 ACU391990:ACU392079 SY391990:SY392079 JC391990:JC392079 G391999:G392088 WVO326454:WVO326543 WLS326454:WLS326543 WBW326454:WBW326543 VSA326454:VSA326543 VIE326454:VIE326543 UYI326454:UYI326543 UOM326454:UOM326543 UEQ326454:UEQ326543 TUU326454:TUU326543 TKY326454:TKY326543 TBC326454:TBC326543 SRG326454:SRG326543 SHK326454:SHK326543 RXO326454:RXO326543 RNS326454:RNS326543 RDW326454:RDW326543 QUA326454:QUA326543 QKE326454:QKE326543 QAI326454:QAI326543 PQM326454:PQM326543 PGQ326454:PGQ326543 OWU326454:OWU326543 OMY326454:OMY326543 ODC326454:ODC326543 NTG326454:NTG326543 NJK326454:NJK326543 MZO326454:MZO326543 MPS326454:MPS326543 MFW326454:MFW326543 LWA326454:LWA326543 LME326454:LME326543 LCI326454:LCI326543 KSM326454:KSM326543 KIQ326454:KIQ326543 JYU326454:JYU326543 JOY326454:JOY326543 JFC326454:JFC326543 IVG326454:IVG326543 ILK326454:ILK326543 IBO326454:IBO326543 HRS326454:HRS326543 HHW326454:HHW326543 GYA326454:GYA326543 GOE326454:GOE326543 GEI326454:GEI326543 FUM326454:FUM326543 FKQ326454:FKQ326543 FAU326454:FAU326543 EQY326454:EQY326543 EHC326454:EHC326543 DXG326454:DXG326543 DNK326454:DNK326543 DDO326454:DDO326543 CTS326454:CTS326543 CJW326454:CJW326543 CAA326454:CAA326543 BQE326454:BQE326543 BGI326454:BGI326543 AWM326454:AWM326543 AMQ326454:AMQ326543 ACU326454:ACU326543 SY326454:SY326543 JC326454:JC326543 G326463:G326552 WVO260918:WVO261007 WLS260918:WLS261007 WBW260918:WBW261007 VSA260918:VSA261007 VIE260918:VIE261007 UYI260918:UYI261007 UOM260918:UOM261007 UEQ260918:UEQ261007 TUU260918:TUU261007 TKY260918:TKY261007 TBC260918:TBC261007 SRG260918:SRG261007 SHK260918:SHK261007 RXO260918:RXO261007 RNS260918:RNS261007 RDW260918:RDW261007 QUA260918:QUA261007 QKE260918:QKE261007 QAI260918:QAI261007 PQM260918:PQM261007 PGQ260918:PGQ261007 OWU260918:OWU261007 OMY260918:OMY261007 ODC260918:ODC261007 NTG260918:NTG261007 NJK260918:NJK261007 MZO260918:MZO261007 MPS260918:MPS261007 MFW260918:MFW261007 LWA260918:LWA261007 LME260918:LME261007 LCI260918:LCI261007 KSM260918:KSM261007 KIQ260918:KIQ261007 JYU260918:JYU261007 JOY260918:JOY261007 JFC260918:JFC261007 IVG260918:IVG261007 ILK260918:ILK261007 IBO260918:IBO261007 HRS260918:HRS261007 HHW260918:HHW261007 GYA260918:GYA261007 GOE260918:GOE261007 GEI260918:GEI261007 FUM260918:FUM261007 FKQ260918:FKQ261007 FAU260918:FAU261007 EQY260918:EQY261007 EHC260918:EHC261007 DXG260918:DXG261007 DNK260918:DNK261007 DDO260918:DDO261007 CTS260918:CTS261007 CJW260918:CJW261007 CAA260918:CAA261007 BQE260918:BQE261007 BGI260918:BGI261007 AWM260918:AWM261007 AMQ260918:AMQ261007 ACU260918:ACU261007 SY260918:SY261007 JC260918:JC261007 G260927:G261016 WVO195382:WVO195471 WLS195382:WLS195471 WBW195382:WBW195471 VSA195382:VSA195471 VIE195382:VIE195471 UYI195382:UYI195471 UOM195382:UOM195471 UEQ195382:UEQ195471 TUU195382:TUU195471 TKY195382:TKY195471 TBC195382:TBC195471 SRG195382:SRG195471 SHK195382:SHK195471 RXO195382:RXO195471 RNS195382:RNS195471 RDW195382:RDW195471 QUA195382:QUA195471 QKE195382:QKE195471 QAI195382:QAI195471 PQM195382:PQM195471 PGQ195382:PGQ195471 OWU195382:OWU195471 OMY195382:OMY195471 ODC195382:ODC195471 NTG195382:NTG195471 NJK195382:NJK195471 MZO195382:MZO195471 MPS195382:MPS195471 MFW195382:MFW195471 LWA195382:LWA195471 LME195382:LME195471 LCI195382:LCI195471 KSM195382:KSM195471 KIQ195382:KIQ195471 JYU195382:JYU195471 JOY195382:JOY195471 JFC195382:JFC195471 IVG195382:IVG195471 ILK195382:ILK195471 IBO195382:IBO195471 HRS195382:HRS195471 HHW195382:HHW195471 GYA195382:GYA195471 GOE195382:GOE195471 GEI195382:GEI195471 FUM195382:FUM195471 FKQ195382:FKQ195471 FAU195382:FAU195471 EQY195382:EQY195471 EHC195382:EHC195471 DXG195382:DXG195471 DNK195382:DNK195471 DDO195382:DDO195471 CTS195382:CTS195471 CJW195382:CJW195471 CAA195382:CAA195471 BQE195382:BQE195471 BGI195382:BGI195471 AWM195382:AWM195471 AMQ195382:AMQ195471 ACU195382:ACU195471 SY195382:SY195471 JC195382:JC195471 G195391:G195480 WVO129846:WVO129935 WLS129846:WLS129935 WBW129846:WBW129935 VSA129846:VSA129935 VIE129846:VIE129935 UYI129846:UYI129935 UOM129846:UOM129935 UEQ129846:UEQ129935 TUU129846:TUU129935 TKY129846:TKY129935 TBC129846:TBC129935 SRG129846:SRG129935 SHK129846:SHK129935 RXO129846:RXO129935 RNS129846:RNS129935 RDW129846:RDW129935 QUA129846:QUA129935 QKE129846:QKE129935 QAI129846:QAI129935 PQM129846:PQM129935 PGQ129846:PGQ129935 OWU129846:OWU129935 OMY129846:OMY129935 ODC129846:ODC129935 NTG129846:NTG129935 NJK129846:NJK129935 MZO129846:MZO129935 MPS129846:MPS129935 MFW129846:MFW129935 LWA129846:LWA129935 LME129846:LME129935 LCI129846:LCI129935 KSM129846:KSM129935 KIQ129846:KIQ129935 JYU129846:JYU129935 JOY129846:JOY129935 JFC129846:JFC129935 IVG129846:IVG129935 ILK129846:ILK129935 IBO129846:IBO129935 HRS129846:HRS129935 HHW129846:HHW129935 GYA129846:GYA129935 GOE129846:GOE129935 GEI129846:GEI129935 FUM129846:FUM129935 FKQ129846:FKQ129935 FAU129846:FAU129935 EQY129846:EQY129935 EHC129846:EHC129935 DXG129846:DXG129935 DNK129846:DNK129935 DDO129846:DDO129935 CTS129846:CTS129935 CJW129846:CJW129935 CAA129846:CAA129935 BQE129846:BQE129935 BGI129846:BGI129935 AWM129846:AWM129935 AMQ129846:AMQ129935 ACU129846:ACU129935 SY129846:SY129935 JC129846:JC129935 G129855:G129944 WVO64310:WVO64399 WLS64310:WLS64399 WBW64310:WBW64399 VSA64310:VSA64399 VIE64310:VIE64399 UYI64310:UYI64399 UOM64310:UOM64399 UEQ64310:UEQ64399 TUU64310:TUU64399 TKY64310:TKY64399 TBC64310:TBC64399 SRG64310:SRG64399 SHK64310:SHK64399 RXO64310:RXO64399 RNS64310:RNS64399 RDW64310:RDW64399 QUA64310:QUA64399 QKE64310:QKE64399 QAI64310:QAI64399 PQM64310:PQM64399 PGQ64310:PGQ64399 OWU64310:OWU64399 OMY64310:OMY64399 ODC64310:ODC64399 NTG64310:NTG64399 NJK64310:NJK64399 MZO64310:MZO64399 MPS64310:MPS64399 MFW64310:MFW64399 LWA64310:LWA64399 LME64310:LME64399 LCI64310:LCI64399 KSM64310:KSM64399 KIQ64310:KIQ64399 JYU64310:JYU64399 JOY64310:JOY64399 JFC64310:JFC64399 IVG64310:IVG64399 ILK64310:ILK64399 IBO64310:IBO64399 HRS64310:HRS64399 HHW64310:HHW64399 GYA64310:GYA64399 GOE64310:GOE64399 GEI64310:GEI64399 FUM64310:FUM64399 FKQ64310:FKQ64399 FAU64310:FAU64399 EQY64310:EQY64399 EHC64310:EHC64399 DXG64310:DXG64399 DNK64310:DNK64399 DDO64310:DDO64399 CTS64310:CTS64399 CJW64310:CJW64399 CAA64310:CAA64399 BQE64310:BQE64399 BGI64310:BGI64399 AWM64310:AWM64399 AMQ64310:AMQ64399 ACU64310:ACU64399 SY64310:SY64399 JC64310:JC64399 G64319:G64408 G105:G509 JC2:JC82 SY2:SY82 ACU2:ACU82 AMQ2:AMQ82 AWM2:AWM82 BGI2:BGI82 BQE2:BQE82 CAA2:CAA82 CJW2:CJW82 CTS2:CTS82 DDO2:DDO82 DNK2:DNK82 DXG2:DXG82 EHC2:EHC82 EQY2:EQY82 FAU2:FAU82 FKQ2:FKQ82 FUM2:FUM82 GEI2:GEI82 GOE2:GOE82 GYA2:GYA82 HHW2:HHW82 HRS2:HRS82 IBO2:IBO82 ILK2:ILK82 IVG2:IVG82 JFC2:JFC82 JOY2:JOY82 JYU2:JYU82 KIQ2:KIQ82 KSM2:KSM82 LCI2:LCI82 LME2:LME82 LWA2:LWA82 MFW2:MFW82 MPS2:MPS82 MZO2:MZO82 NJK2:NJK82 NTG2:NTG82 ODC2:ODC82 OMY2:OMY82 OWU2:OWU82 PGQ2:PGQ82 PQM2:PQM82 QAI2:QAI82 QKE2:QKE82 QUA2:QUA82 RDW2:RDW82 RNS2:RNS82 RXO2:RXO82 SHK2:SHK82 SRG2:SRG82 TBC2:TBC82 TKY2:TKY82 TUU2:TUU82 UEQ2:UEQ82 UOM2:UOM82 UYI2:UYI82 VIE2:VIE82 VSA2:VSA82 WBW2:WBW82 WLS2:WLS82 WVO2:WVO82 G2:G103" xr:uid="{7A61B586-8CA4-4D7C-9E46-EF69DACF195C}">
      <formula1>$AJ$2:$AJ$4</formula1>
    </dataValidation>
    <dataValidation type="list" allowBlank="1" showInputMessage="1" showErrorMessage="1" sqref="WVP981814:WVP981903 WLT981814:WLT981903 WBX981814:WBX981903 VSB981814:VSB981903 VIF981814:VIF981903 UYJ981814:UYJ981903 UON981814:UON981903 UER981814:UER981903 TUV981814:TUV981903 TKZ981814:TKZ981903 TBD981814:TBD981903 SRH981814:SRH981903 SHL981814:SHL981903 RXP981814:RXP981903 RNT981814:RNT981903 RDX981814:RDX981903 QUB981814:QUB981903 QKF981814:QKF981903 QAJ981814:QAJ981903 PQN981814:PQN981903 PGR981814:PGR981903 OWV981814:OWV981903 OMZ981814:OMZ981903 ODD981814:ODD981903 NTH981814:NTH981903 NJL981814:NJL981903 MZP981814:MZP981903 MPT981814:MPT981903 MFX981814:MFX981903 LWB981814:LWB981903 LMF981814:LMF981903 LCJ981814:LCJ981903 KSN981814:KSN981903 KIR981814:KIR981903 JYV981814:JYV981903 JOZ981814:JOZ981903 JFD981814:JFD981903 IVH981814:IVH981903 ILL981814:ILL981903 IBP981814:IBP981903 HRT981814:HRT981903 HHX981814:HHX981903 GYB981814:GYB981903 GOF981814:GOF981903 GEJ981814:GEJ981903 FUN981814:FUN981903 FKR981814:FKR981903 FAV981814:FAV981903 EQZ981814:EQZ981903 EHD981814:EHD981903 DXH981814:DXH981903 DNL981814:DNL981903 DDP981814:DDP981903 CTT981814:CTT981903 CJX981814:CJX981903 CAB981814:CAB981903 BQF981814:BQF981903 BGJ981814:BGJ981903 AWN981814:AWN981903 AMR981814:AMR981903 ACV981814:ACV981903 SZ981814:SZ981903 JD981814:JD981903 H981835:H981924 WVP916278:WVP916367 WLT916278:WLT916367 WBX916278:WBX916367 VSB916278:VSB916367 VIF916278:VIF916367 UYJ916278:UYJ916367 UON916278:UON916367 UER916278:UER916367 TUV916278:TUV916367 TKZ916278:TKZ916367 TBD916278:TBD916367 SRH916278:SRH916367 SHL916278:SHL916367 RXP916278:RXP916367 RNT916278:RNT916367 RDX916278:RDX916367 QUB916278:QUB916367 QKF916278:QKF916367 QAJ916278:QAJ916367 PQN916278:PQN916367 PGR916278:PGR916367 OWV916278:OWV916367 OMZ916278:OMZ916367 ODD916278:ODD916367 NTH916278:NTH916367 NJL916278:NJL916367 MZP916278:MZP916367 MPT916278:MPT916367 MFX916278:MFX916367 LWB916278:LWB916367 LMF916278:LMF916367 LCJ916278:LCJ916367 KSN916278:KSN916367 KIR916278:KIR916367 JYV916278:JYV916367 JOZ916278:JOZ916367 JFD916278:JFD916367 IVH916278:IVH916367 ILL916278:ILL916367 IBP916278:IBP916367 HRT916278:HRT916367 HHX916278:HHX916367 GYB916278:GYB916367 GOF916278:GOF916367 GEJ916278:GEJ916367 FUN916278:FUN916367 FKR916278:FKR916367 FAV916278:FAV916367 EQZ916278:EQZ916367 EHD916278:EHD916367 DXH916278:DXH916367 DNL916278:DNL916367 DDP916278:DDP916367 CTT916278:CTT916367 CJX916278:CJX916367 CAB916278:CAB916367 BQF916278:BQF916367 BGJ916278:BGJ916367 AWN916278:AWN916367 AMR916278:AMR916367 ACV916278:ACV916367 SZ916278:SZ916367 JD916278:JD916367 H916299:H916388 WVP850742:WVP850831 WLT850742:WLT850831 WBX850742:WBX850831 VSB850742:VSB850831 VIF850742:VIF850831 UYJ850742:UYJ850831 UON850742:UON850831 UER850742:UER850831 TUV850742:TUV850831 TKZ850742:TKZ850831 TBD850742:TBD850831 SRH850742:SRH850831 SHL850742:SHL850831 RXP850742:RXP850831 RNT850742:RNT850831 RDX850742:RDX850831 QUB850742:QUB850831 QKF850742:QKF850831 QAJ850742:QAJ850831 PQN850742:PQN850831 PGR850742:PGR850831 OWV850742:OWV850831 OMZ850742:OMZ850831 ODD850742:ODD850831 NTH850742:NTH850831 NJL850742:NJL850831 MZP850742:MZP850831 MPT850742:MPT850831 MFX850742:MFX850831 LWB850742:LWB850831 LMF850742:LMF850831 LCJ850742:LCJ850831 KSN850742:KSN850831 KIR850742:KIR850831 JYV850742:JYV850831 JOZ850742:JOZ850831 JFD850742:JFD850831 IVH850742:IVH850831 ILL850742:ILL850831 IBP850742:IBP850831 HRT850742:HRT850831 HHX850742:HHX850831 GYB850742:GYB850831 GOF850742:GOF850831 GEJ850742:GEJ850831 FUN850742:FUN850831 FKR850742:FKR850831 FAV850742:FAV850831 EQZ850742:EQZ850831 EHD850742:EHD850831 DXH850742:DXH850831 DNL850742:DNL850831 DDP850742:DDP850831 CTT850742:CTT850831 CJX850742:CJX850831 CAB850742:CAB850831 BQF850742:BQF850831 BGJ850742:BGJ850831 AWN850742:AWN850831 AMR850742:AMR850831 ACV850742:ACV850831 SZ850742:SZ850831 JD850742:JD850831 H850763:H850852 WVP785206:WVP785295 WLT785206:WLT785295 WBX785206:WBX785295 VSB785206:VSB785295 VIF785206:VIF785295 UYJ785206:UYJ785295 UON785206:UON785295 UER785206:UER785295 TUV785206:TUV785295 TKZ785206:TKZ785295 TBD785206:TBD785295 SRH785206:SRH785295 SHL785206:SHL785295 RXP785206:RXP785295 RNT785206:RNT785295 RDX785206:RDX785295 QUB785206:QUB785295 QKF785206:QKF785295 QAJ785206:QAJ785295 PQN785206:PQN785295 PGR785206:PGR785295 OWV785206:OWV785295 OMZ785206:OMZ785295 ODD785206:ODD785295 NTH785206:NTH785295 NJL785206:NJL785295 MZP785206:MZP785295 MPT785206:MPT785295 MFX785206:MFX785295 LWB785206:LWB785295 LMF785206:LMF785295 LCJ785206:LCJ785295 KSN785206:KSN785295 KIR785206:KIR785295 JYV785206:JYV785295 JOZ785206:JOZ785295 JFD785206:JFD785295 IVH785206:IVH785295 ILL785206:ILL785295 IBP785206:IBP785295 HRT785206:HRT785295 HHX785206:HHX785295 GYB785206:GYB785295 GOF785206:GOF785295 GEJ785206:GEJ785295 FUN785206:FUN785295 FKR785206:FKR785295 FAV785206:FAV785295 EQZ785206:EQZ785295 EHD785206:EHD785295 DXH785206:DXH785295 DNL785206:DNL785295 DDP785206:DDP785295 CTT785206:CTT785295 CJX785206:CJX785295 CAB785206:CAB785295 BQF785206:BQF785295 BGJ785206:BGJ785295 AWN785206:AWN785295 AMR785206:AMR785295 ACV785206:ACV785295 SZ785206:SZ785295 JD785206:JD785295 H785227:H785316 WVP719670:WVP719759 WLT719670:WLT719759 WBX719670:WBX719759 VSB719670:VSB719759 VIF719670:VIF719759 UYJ719670:UYJ719759 UON719670:UON719759 UER719670:UER719759 TUV719670:TUV719759 TKZ719670:TKZ719759 TBD719670:TBD719759 SRH719670:SRH719759 SHL719670:SHL719759 RXP719670:RXP719759 RNT719670:RNT719759 RDX719670:RDX719759 QUB719670:QUB719759 QKF719670:QKF719759 QAJ719670:QAJ719759 PQN719670:PQN719759 PGR719670:PGR719759 OWV719670:OWV719759 OMZ719670:OMZ719759 ODD719670:ODD719759 NTH719670:NTH719759 NJL719670:NJL719759 MZP719670:MZP719759 MPT719670:MPT719759 MFX719670:MFX719759 LWB719670:LWB719759 LMF719670:LMF719759 LCJ719670:LCJ719759 KSN719670:KSN719759 KIR719670:KIR719759 JYV719670:JYV719759 JOZ719670:JOZ719759 JFD719670:JFD719759 IVH719670:IVH719759 ILL719670:ILL719759 IBP719670:IBP719759 HRT719670:HRT719759 HHX719670:HHX719759 GYB719670:GYB719759 GOF719670:GOF719759 GEJ719670:GEJ719759 FUN719670:FUN719759 FKR719670:FKR719759 FAV719670:FAV719759 EQZ719670:EQZ719759 EHD719670:EHD719759 DXH719670:DXH719759 DNL719670:DNL719759 DDP719670:DDP719759 CTT719670:CTT719759 CJX719670:CJX719759 CAB719670:CAB719759 BQF719670:BQF719759 BGJ719670:BGJ719759 AWN719670:AWN719759 AMR719670:AMR719759 ACV719670:ACV719759 SZ719670:SZ719759 JD719670:JD719759 H719691:H719780 WVP654134:WVP654223 WLT654134:WLT654223 WBX654134:WBX654223 VSB654134:VSB654223 VIF654134:VIF654223 UYJ654134:UYJ654223 UON654134:UON654223 UER654134:UER654223 TUV654134:TUV654223 TKZ654134:TKZ654223 TBD654134:TBD654223 SRH654134:SRH654223 SHL654134:SHL654223 RXP654134:RXP654223 RNT654134:RNT654223 RDX654134:RDX654223 QUB654134:QUB654223 QKF654134:QKF654223 QAJ654134:QAJ654223 PQN654134:PQN654223 PGR654134:PGR654223 OWV654134:OWV654223 OMZ654134:OMZ654223 ODD654134:ODD654223 NTH654134:NTH654223 NJL654134:NJL654223 MZP654134:MZP654223 MPT654134:MPT654223 MFX654134:MFX654223 LWB654134:LWB654223 LMF654134:LMF654223 LCJ654134:LCJ654223 KSN654134:KSN654223 KIR654134:KIR654223 JYV654134:JYV654223 JOZ654134:JOZ654223 JFD654134:JFD654223 IVH654134:IVH654223 ILL654134:ILL654223 IBP654134:IBP654223 HRT654134:HRT654223 HHX654134:HHX654223 GYB654134:GYB654223 GOF654134:GOF654223 GEJ654134:GEJ654223 FUN654134:FUN654223 FKR654134:FKR654223 FAV654134:FAV654223 EQZ654134:EQZ654223 EHD654134:EHD654223 DXH654134:DXH654223 DNL654134:DNL654223 DDP654134:DDP654223 CTT654134:CTT654223 CJX654134:CJX654223 CAB654134:CAB654223 BQF654134:BQF654223 BGJ654134:BGJ654223 AWN654134:AWN654223 AMR654134:AMR654223 ACV654134:ACV654223 SZ654134:SZ654223 JD654134:JD654223 H654155:H654244 WVP588598:WVP588687 WLT588598:WLT588687 WBX588598:WBX588687 VSB588598:VSB588687 VIF588598:VIF588687 UYJ588598:UYJ588687 UON588598:UON588687 UER588598:UER588687 TUV588598:TUV588687 TKZ588598:TKZ588687 TBD588598:TBD588687 SRH588598:SRH588687 SHL588598:SHL588687 RXP588598:RXP588687 RNT588598:RNT588687 RDX588598:RDX588687 QUB588598:QUB588687 QKF588598:QKF588687 QAJ588598:QAJ588687 PQN588598:PQN588687 PGR588598:PGR588687 OWV588598:OWV588687 OMZ588598:OMZ588687 ODD588598:ODD588687 NTH588598:NTH588687 NJL588598:NJL588687 MZP588598:MZP588687 MPT588598:MPT588687 MFX588598:MFX588687 LWB588598:LWB588687 LMF588598:LMF588687 LCJ588598:LCJ588687 KSN588598:KSN588687 KIR588598:KIR588687 JYV588598:JYV588687 JOZ588598:JOZ588687 JFD588598:JFD588687 IVH588598:IVH588687 ILL588598:ILL588687 IBP588598:IBP588687 HRT588598:HRT588687 HHX588598:HHX588687 GYB588598:GYB588687 GOF588598:GOF588687 GEJ588598:GEJ588687 FUN588598:FUN588687 FKR588598:FKR588687 FAV588598:FAV588687 EQZ588598:EQZ588687 EHD588598:EHD588687 DXH588598:DXH588687 DNL588598:DNL588687 DDP588598:DDP588687 CTT588598:CTT588687 CJX588598:CJX588687 CAB588598:CAB588687 BQF588598:BQF588687 BGJ588598:BGJ588687 AWN588598:AWN588687 AMR588598:AMR588687 ACV588598:ACV588687 SZ588598:SZ588687 JD588598:JD588687 H588619:H588708 WVP523062:WVP523151 WLT523062:WLT523151 WBX523062:WBX523151 VSB523062:VSB523151 VIF523062:VIF523151 UYJ523062:UYJ523151 UON523062:UON523151 UER523062:UER523151 TUV523062:TUV523151 TKZ523062:TKZ523151 TBD523062:TBD523151 SRH523062:SRH523151 SHL523062:SHL523151 RXP523062:RXP523151 RNT523062:RNT523151 RDX523062:RDX523151 QUB523062:QUB523151 QKF523062:QKF523151 QAJ523062:QAJ523151 PQN523062:PQN523151 PGR523062:PGR523151 OWV523062:OWV523151 OMZ523062:OMZ523151 ODD523062:ODD523151 NTH523062:NTH523151 NJL523062:NJL523151 MZP523062:MZP523151 MPT523062:MPT523151 MFX523062:MFX523151 LWB523062:LWB523151 LMF523062:LMF523151 LCJ523062:LCJ523151 KSN523062:KSN523151 KIR523062:KIR523151 JYV523062:JYV523151 JOZ523062:JOZ523151 JFD523062:JFD523151 IVH523062:IVH523151 ILL523062:ILL523151 IBP523062:IBP523151 HRT523062:HRT523151 HHX523062:HHX523151 GYB523062:GYB523151 GOF523062:GOF523151 GEJ523062:GEJ523151 FUN523062:FUN523151 FKR523062:FKR523151 FAV523062:FAV523151 EQZ523062:EQZ523151 EHD523062:EHD523151 DXH523062:DXH523151 DNL523062:DNL523151 DDP523062:DDP523151 CTT523062:CTT523151 CJX523062:CJX523151 CAB523062:CAB523151 BQF523062:BQF523151 BGJ523062:BGJ523151 AWN523062:AWN523151 AMR523062:AMR523151 ACV523062:ACV523151 SZ523062:SZ523151 JD523062:JD523151 H523083:H523172 WVP457526:WVP457615 WLT457526:WLT457615 WBX457526:WBX457615 VSB457526:VSB457615 VIF457526:VIF457615 UYJ457526:UYJ457615 UON457526:UON457615 UER457526:UER457615 TUV457526:TUV457615 TKZ457526:TKZ457615 TBD457526:TBD457615 SRH457526:SRH457615 SHL457526:SHL457615 RXP457526:RXP457615 RNT457526:RNT457615 RDX457526:RDX457615 QUB457526:QUB457615 QKF457526:QKF457615 QAJ457526:QAJ457615 PQN457526:PQN457615 PGR457526:PGR457615 OWV457526:OWV457615 OMZ457526:OMZ457615 ODD457526:ODD457615 NTH457526:NTH457615 NJL457526:NJL457615 MZP457526:MZP457615 MPT457526:MPT457615 MFX457526:MFX457615 LWB457526:LWB457615 LMF457526:LMF457615 LCJ457526:LCJ457615 KSN457526:KSN457615 KIR457526:KIR457615 JYV457526:JYV457615 JOZ457526:JOZ457615 JFD457526:JFD457615 IVH457526:IVH457615 ILL457526:ILL457615 IBP457526:IBP457615 HRT457526:HRT457615 HHX457526:HHX457615 GYB457526:GYB457615 GOF457526:GOF457615 GEJ457526:GEJ457615 FUN457526:FUN457615 FKR457526:FKR457615 FAV457526:FAV457615 EQZ457526:EQZ457615 EHD457526:EHD457615 DXH457526:DXH457615 DNL457526:DNL457615 DDP457526:DDP457615 CTT457526:CTT457615 CJX457526:CJX457615 CAB457526:CAB457615 BQF457526:BQF457615 BGJ457526:BGJ457615 AWN457526:AWN457615 AMR457526:AMR457615 ACV457526:ACV457615 SZ457526:SZ457615 JD457526:JD457615 H457547:H457636 WVP391990:WVP392079 WLT391990:WLT392079 WBX391990:WBX392079 VSB391990:VSB392079 VIF391990:VIF392079 UYJ391990:UYJ392079 UON391990:UON392079 UER391990:UER392079 TUV391990:TUV392079 TKZ391990:TKZ392079 TBD391990:TBD392079 SRH391990:SRH392079 SHL391990:SHL392079 RXP391990:RXP392079 RNT391990:RNT392079 RDX391990:RDX392079 QUB391990:QUB392079 QKF391990:QKF392079 QAJ391990:QAJ392079 PQN391990:PQN392079 PGR391990:PGR392079 OWV391990:OWV392079 OMZ391990:OMZ392079 ODD391990:ODD392079 NTH391990:NTH392079 NJL391990:NJL392079 MZP391990:MZP392079 MPT391990:MPT392079 MFX391990:MFX392079 LWB391990:LWB392079 LMF391990:LMF392079 LCJ391990:LCJ392079 KSN391990:KSN392079 KIR391990:KIR392079 JYV391990:JYV392079 JOZ391990:JOZ392079 JFD391990:JFD392079 IVH391990:IVH392079 ILL391990:ILL392079 IBP391990:IBP392079 HRT391990:HRT392079 HHX391990:HHX392079 GYB391990:GYB392079 GOF391990:GOF392079 GEJ391990:GEJ392079 FUN391990:FUN392079 FKR391990:FKR392079 FAV391990:FAV392079 EQZ391990:EQZ392079 EHD391990:EHD392079 DXH391990:DXH392079 DNL391990:DNL392079 DDP391990:DDP392079 CTT391990:CTT392079 CJX391990:CJX392079 CAB391990:CAB392079 BQF391990:BQF392079 BGJ391990:BGJ392079 AWN391990:AWN392079 AMR391990:AMR392079 ACV391990:ACV392079 SZ391990:SZ392079 JD391990:JD392079 H392011:H392100 WVP326454:WVP326543 WLT326454:WLT326543 WBX326454:WBX326543 VSB326454:VSB326543 VIF326454:VIF326543 UYJ326454:UYJ326543 UON326454:UON326543 UER326454:UER326543 TUV326454:TUV326543 TKZ326454:TKZ326543 TBD326454:TBD326543 SRH326454:SRH326543 SHL326454:SHL326543 RXP326454:RXP326543 RNT326454:RNT326543 RDX326454:RDX326543 QUB326454:QUB326543 QKF326454:QKF326543 QAJ326454:QAJ326543 PQN326454:PQN326543 PGR326454:PGR326543 OWV326454:OWV326543 OMZ326454:OMZ326543 ODD326454:ODD326543 NTH326454:NTH326543 NJL326454:NJL326543 MZP326454:MZP326543 MPT326454:MPT326543 MFX326454:MFX326543 LWB326454:LWB326543 LMF326454:LMF326543 LCJ326454:LCJ326543 KSN326454:KSN326543 KIR326454:KIR326543 JYV326454:JYV326543 JOZ326454:JOZ326543 JFD326454:JFD326543 IVH326454:IVH326543 ILL326454:ILL326543 IBP326454:IBP326543 HRT326454:HRT326543 HHX326454:HHX326543 GYB326454:GYB326543 GOF326454:GOF326543 GEJ326454:GEJ326543 FUN326454:FUN326543 FKR326454:FKR326543 FAV326454:FAV326543 EQZ326454:EQZ326543 EHD326454:EHD326543 DXH326454:DXH326543 DNL326454:DNL326543 DDP326454:DDP326543 CTT326454:CTT326543 CJX326454:CJX326543 CAB326454:CAB326543 BQF326454:BQF326543 BGJ326454:BGJ326543 AWN326454:AWN326543 AMR326454:AMR326543 ACV326454:ACV326543 SZ326454:SZ326543 JD326454:JD326543 H326475:H326564 WVP260918:WVP261007 WLT260918:WLT261007 WBX260918:WBX261007 VSB260918:VSB261007 VIF260918:VIF261007 UYJ260918:UYJ261007 UON260918:UON261007 UER260918:UER261007 TUV260918:TUV261007 TKZ260918:TKZ261007 TBD260918:TBD261007 SRH260918:SRH261007 SHL260918:SHL261007 RXP260918:RXP261007 RNT260918:RNT261007 RDX260918:RDX261007 QUB260918:QUB261007 QKF260918:QKF261007 QAJ260918:QAJ261007 PQN260918:PQN261007 PGR260918:PGR261007 OWV260918:OWV261007 OMZ260918:OMZ261007 ODD260918:ODD261007 NTH260918:NTH261007 NJL260918:NJL261007 MZP260918:MZP261007 MPT260918:MPT261007 MFX260918:MFX261007 LWB260918:LWB261007 LMF260918:LMF261007 LCJ260918:LCJ261007 KSN260918:KSN261007 KIR260918:KIR261007 JYV260918:JYV261007 JOZ260918:JOZ261007 JFD260918:JFD261007 IVH260918:IVH261007 ILL260918:ILL261007 IBP260918:IBP261007 HRT260918:HRT261007 HHX260918:HHX261007 GYB260918:GYB261007 GOF260918:GOF261007 GEJ260918:GEJ261007 FUN260918:FUN261007 FKR260918:FKR261007 FAV260918:FAV261007 EQZ260918:EQZ261007 EHD260918:EHD261007 DXH260918:DXH261007 DNL260918:DNL261007 DDP260918:DDP261007 CTT260918:CTT261007 CJX260918:CJX261007 CAB260918:CAB261007 BQF260918:BQF261007 BGJ260918:BGJ261007 AWN260918:AWN261007 AMR260918:AMR261007 ACV260918:ACV261007 SZ260918:SZ261007 JD260918:JD261007 H260939:H261028 WVP195382:WVP195471 WLT195382:WLT195471 WBX195382:WBX195471 VSB195382:VSB195471 VIF195382:VIF195471 UYJ195382:UYJ195471 UON195382:UON195471 UER195382:UER195471 TUV195382:TUV195471 TKZ195382:TKZ195471 TBD195382:TBD195471 SRH195382:SRH195471 SHL195382:SHL195471 RXP195382:RXP195471 RNT195382:RNT195471 RDX195382:RDX195471 QUB195382:QUB195471 QKF195382:QKF195471 QAJ195382:QAJ195471 PQN195382:PQN195471 PGR195382:PGR195471 OWV195382:OWV195471 OMZ195382:OMZ195471 ODD195382:ODD195471 NTH195382:NTH195471 NJL195382:NJL195471 MZP195382:MZP195471 MPT195382:MPT195471 MFX195382:MFX195471 LWB195382:LWB195471 LMF195382:LMF195471 LCJ195382:LCJ195471 KSN195382:KSN195471 KIR195382:KIR195471 JYV195382:JYV195471 JOZ195382:JOZ195471 JFD195382:JFD195471 IVH195382:IVH195471 ILL195382:ILL195471 IBP195382:IBP195471 HRT195382:HRT195471 HHX195382:HHX195471 GYB195382:GYB195471 GOF195382:GOF195471 GEJ195382:GEJ195471 FUN195382:FUN195471 FKR195382:FKR195471 FAV195382:FAV195471 EQZ195382:EQZ195471 EHD195382:EHD195471 DXH195382:DXH195471 DNL195382:DNL195471 DDP195382:DDP195471 CTT195382:CTT195471 CJX195382:CJX195471 CAB195382:CAB195471 BQF195382:BQF195471 BGJ195382:BGJ195471 AWN195382:AWN195471 AMR195382:AMR195471 ACV195382:ACV195471 SZ195382:SZ195471 JD195382:JD195471 H195403:H195492 WVP129846:WVP129935 WLT129846:WLT129935 WBX129846:WBX129935 VSB129846:VSB129935 VIF129846:VIF129935 UYJ129846:UYJ129935 UON129846:UON129935 UER129846:UER129935 TUV129846:TUV129935 TKZ129846:TKZ129935 TBD129846:TBD129935 SRH129846:SRH129935 SHL129846:SHL129935 RXP129846:RXP129935 RNT129846:RNT129935 RDX129846:RDX129935 QUB129846:QUB129935 QKF129846:QKF129935 QAJ129846:QAJ129935 PQN129846:PQN129935 PGR129846:PGR129935 OWV129846:OWV129935 OMZ129846:OMZ129935 ODD129846:ODD129935 NTH129846:NTH129935 NJL129846:NJL129935 MZP129846:MZP129935 MPT129846:MPT129935 MFX129846:MFX129935 LWB129846:LWB129935 LMF129846:LMF129935 LCJ129846:LCJ129935 KSN129846:KSN129935 KIR129846:KIR129935 JYV129846:JYV129935 JOZ129846:JOZ129935 JFD129846:JFD129935 IVH129846:IVH129935 ILL129846:ILL129935 IBP129846:IBP129935 HRT129846:HRT129935 HHX129846:HHX129935 GYB129846:GYB129935 GOF129846:GOF129935 GEJ129846:GEJ129935 FUN129846:FUN129935 FKR129846:FKR129935 FAV129846:FAV129935 EQZ129846:EQZ129935 EHD129846:EHD129935 DXH129846:DXH129935 DNL129846:DNL129935 DDP129846:DDP129935 CTT129846:CTT129935 CJX129846:CJX129935 CAB129846:CAB129935 BQF129846:BQF129935 BGJ129846:BGJ129935 AWN129846:AWN129935 AMR129846:AMR129935 ACV129846:ACV129935 SZ129846:SZ129935 JD129846:JD129935 H129867:H129956 WVP64310:WVP64399 WLT64310:WLT64399 WBX64310:WBX64399 VSB64310:VSB64399 VIF64310:VIF64399 UYJ64310:UYJ64399 UON64310:UON64399 UER64310:UER64399 TUV64310:TUV64399 TKZ64310:TKZ64399 TBD64310:TBD64399 SRH64310:SRH64399 SHL64310:SHL64399 RXP64310:RXP64399 RNT64310:RNT64399 RDX64310:RDX64399 QUB64310:QUB64399 QKF64310:QKF64399 QAJ64310:QAJ64399 PQN64310:PQN64399 PGR64310:PGR64399 OWV64310:OWV64399 OMZ64310:OMZ64399 ODD64310:ODD64399 NTH64310:NTH64399 NJL64310:NJL64399 MZP64310:MZP64399 MPT64310:MPT64399 MFX64310:MFX64399 LWB64310:LWB64399 LMF64310:LMF64399 LCJ64310:LCJ64399 KSN64310:KSN64399 KIR64310:KIR64399 JYV64310:JYV64399 JOZ64310:JOZ64399 JFD64310:JFD64399 IVH64310:IVH64399 ILL64310:ILL64399 IBP64310:IBP64399 HRT64310:HRT64399 HHX64310:HHX64399 GYB64310:GYB64399 GOF64310:GOF64399 GEJ64310:GEJ64399 FUN64310:FUN64399 FKR64310:FKR64399 FAV64310:FAV64399 EQZ64310:EQZ64399 EHD64310:EHD64399 DXH64310:DXH64399 DNL64310:DNL64399 DDP64310:DDP64399 CTT64310:CTT64399 CJX64310:CJX64399 CAB64310:CAB64399 BQF64310:BQF64399 BGJ64310:BGJ64399 AWN64310:AWN64399 AMR64310:AMR64399 ACV64310:ACV64399 SZ64310:SZ64399 JD64310:JD64399 H64331:H64420 JD2:JD82 SZ2:SZ82 ACV2:ACV82 AMR2:AMR82 AWN2:AWN82 BGJ2:BGJ82 BQF2:BQF82 CAB2:CAB82 CJX2:CJX82 CTT2:CTT82 DDP2:DDP82 DNL2:DNL82 DXH2:DXH82 EHD2:EHD82 EQZ2:EQZ82 FAV2:FAV82 FKR2:FKR82 FUN2:FUN82 GEJ2:GEJ82 GOF2:GOF82 GYB2:GYB82 HHX2:HHX82 HRT2:HRT82 IBP2:IBP82 ILL2:ILL82 IVH2:IVH82 JFD2:JFD82 JOZ2:JOZ82 JYV2:JYV82 KIR2:KIR82 KSN2:KSN82 LCJ2:LCJ82 LMF2:LMF82 LWB2:LWB82 MFX2:MFX82 MPT2:MPT82 MZP2:MZP82 NJL2:NJL82 NTH2:NTH82 ODD2:ODD82 OMZ2:OMZ82 OWV2:OWV82 PGR2:PGR82 PQN2:PQN82 QAJ2:QAJ82 QKF2:QKF82 QUB2:QUB82 RDX2:RDX82 RNT2:RNT82 RXP2:RXP82 SHL2:SHL82 SRH2:SRH82 TBD2:TBD82 TKZ2:TKZ82 TUV2:TUV82 UER2:UER82 UON2:UON82 UYJ2:UYJ82 VIF2:VIF82 VSB2:VSB82 WBX2:WBX82 WLT2:WLT82 WVP2:WVP82" xr:uid="{EE13233C-B901-462B-94F6-4B95D980D106}">
      <formula1>$AL$8:$AL$13</formula1>
    </dataValidation>
    <dataValidation type="list" allowBlank="1" showInputMessage="1" showErrorMessage="1" sqref="WVQ981814:WVQ981897 WLU981814:WLU981897 WBY981814:WBY981897 VSC981814:VSC981897 VIG981814:VIG981897 UYK981814:UYK981897 UOO981814:UOO981897 UES981814:UES981897 TUW981814:TUW981897 TLA981814:TLA981897 TBE981814:TBE981897 SRI981814:SRI981897 SHM981814:SHM981897 RXQ981814:RXQ981897 RNU981814:RNU981897 RDY981814:RDY981897 QUC981814:QUC981897 QKG981814:QKG981897 QAK981814:QAK981897 PQO981814:PQO981897 PGS981814:PGS981897 OWW981814:OWW981897 ONA981814:ONA981897 ODE981814:ODE981897 NTI981814:NTI981897 NJM981814:NJM981897 MZQ981814:MZQ981897 MPU981814:MPU981897 MFY981814:MFY981897 LWC981814:LWC981897 LMG981814:LMG981897 LCK981814:LCK981897 KSO981814:KSO981897 KIS981814:KIS981897 JYW981814:JYW981897 JPA981814:JPA981897 JFE981814:JFE981897 IVI981814:IVI981897 ILM981814:ILM981897 IBQ981814:IBQ981897 HRU981814:HRU981897 HHY981814:HHY981897 GYC981814:GYC981897 GOG981814:GOG981897 GEK981814:GEK981897 FUO981814:FUO981897 FKS981814:FKS981897 FAW981814:FAW981897 ERA981814:ERA981897 EHE981814:EHE981897 DXI981814:DXI981897 DNM981814:DNM981897 DDQ981814:DDQ981897 CTU981814:CTU981897 CJY981814:CJY981897 CAC981814:CAC981897 BQG981814:BQG981897 BGK981814:BGK981897 AWO981814:AWO981897 AMS981814:AMS981897 ACW981814:ACW981897 TA981814:TA981897 JE981814:JE981897 I981835:I981918 WVQ916278:WVQ916361 WLU916278:WLU916361 WBY916278:WBY916361 VSC916278:VSC916361 VIG916278:VIG916361 UYK916278:UYK916361 UOO916278:UOO916361 UES916278:UES916361 TUW916278:TUW916361 TLA916278:TLA916361 TBE916278:TBE916361 SRI916278:SRI916361 SHM916278:SHM916361 RXQ916278:RXQ916361 RNU916278:RNU916361 RDY916278:RDY916361 QUC916278:QUC916361 QKG916278:QKG916361 QAK916278:QAK916361 PQO916278:PQO916361 PGS916278:PGS916361 OWW916278:OWW916361 ONA916278:ONA916361 ODE916278:ODE916361 NTI916278:NTI916361 NJM916278:NJM916361 MZQ916278:MZQ916361 MPU916278:MPU916361 MFY916278:MFY916361 LWC916278:LWC916361 LMG916278:LMG916361 LCK916278:LCK916361 KSO916278:KSO916361 KIS916278:KIS916361 JYW916278:JYW916361 JPA916278:JPA916361 JFE916278:JFE916361 IVI916278:IVI916361 ILM916278:ILM916361 IBQ916278:IBQ916361 HRU916278:HRU916361 HHY916278:HHY916361 GYC916278:GYC916361 GOG916278:GOG916361 GEK916278:GEK916361 FUO916278:FUO916361 FKS916278:FKS916361 FAW916278:FAW916361 ERA916278:ERA916361 EHE916278:EHE916361 DXI916278:DXI916361 DNM916278:DNM916361 DDQ916278:DDQ916361 CTU916278:CTU916361 CJY916278:CJY916361 CAC916278:CAC916361 BQG916278:BQG916361 BGK916278:BGK916361 AWO916278:AWO916361 AMS916278:AMS916361 ACW916278:ACW916361 TA916278:TA916361 JE916278:JE916361 I916299:I916382 WVQ850742:WVQ850825 WLU850742:WLU850825 WBY850742:WBY850825 VSC850742:VSC850825 VIG850742:VIG850825 UYK850742:UYK850825 UOO850742:UOO850825 UES850742:UES850825 TUW850742:TUW850825 TLA850742:TLA850825 TBE850742:TBE850825 SRI850742:SRI850825 SHM850742:SHM850825 RXQ850742:RXQ850825 RNU850742:RNU850825 RDY850742:RDY850825 QUC850742:QUC850825 QKG850742:QKG850825 QAK850742:QAK850825 PQO850742:PQO850825 PGS850742:PGS850825 OWW850742:OWW850825 ONA850742:ONA850825 ODE850742:ODE850825 NTI850742:NTI850825 NJM850742:NJM850825 MZQ850742:MZQ850825 MPU850742:MPU850825 MFY850742:MFY850825 LWC850742:LWC850825 LMG850742:LMG850825 LCK850742:LCK850825 KSO850742:KSO850825 KIS850742:KIS850825 JYW850742:JYW850825 JPA850742:JPA850825 JFE850742:JFE850825 IVI850742:IVI850825 ILM850742:ILM850825 IBQ850742:IBQ850825 HRU850742:HRU850825 HHY850742:HHY850825 GYC850742:GYC850825 GOG850742:GOG850825 GEK850742:GEK850825 FUO850742:FUO850825 FKS850742:FKS850825 FAW850742:FAW850825 ERA850742:ERA850825 EHE850742:EHE850825 DXI850742:DXI850825 DNM850742:DNM850825 DDQ850742:DDQ850825 CTU850742:CTU850825 CJY850742:CJY850825 CAC850742:CAC850825 BQG850742:BQG850825 BGK850742:BGK850825 AWO850742:AWO850825 AMS850742:AMS850825 ACW850742:ACW850825 TA850742:TA850825 JE850742:JE850825 I850763:I850846 WVQ785206:WVQ785289 WLU785206:WLU785289 WBY785206:WBY785289 VSC785206:VSC785289 VIG785206:VIG785289 UYK785206:UYK785289 UOO785206:UOO785289 UES785206:UES785289 TUW785206:TUW785289 TLA785206:TLA785289 TBE785206:TBE785289 SRI785206:SRI785289 SHM785206:SHM785289 RXQ785206:RXQ785289 RNU785206:RNU785289 RDY785206:RDY785289 QUC785206:QUC785289 QKG785206:QKG785289 QAK785206:QAK785289 PQO785206:PQO785289 PGS785206:PGS785289 OWW785206:OWW785289 ONA785206:ONA785289 ODE785206:ODE785289 NTI785206:NTI785289 NJM785206:NJM785289 MZQ785206:MZQ785289 MPU785206:MPU785289 MFY785206:MFY785289 LWC785206:LWC785289 LMG785206:LMG785289 LCK785206:LCK785289 KSO785206:KSO785289 KIS785206:KIS785289 JYW785206:JYW785289 JPA785206:JPA785289 JFE785206:JFE785289 IVI785206:IVI785289 ILM785206:ILM785289 IBQ785206:IBQ785289 HRU785206:HRU785289 HHY785206:HHY785289 GYC785206:GYC785289 GOG785206:GOG785289 GEK785206:GEK785289 FUO785206:FUO785289 FKS785206:FKS785289 FAW785206:FAW785289 ERA785206:ERA785289 EHE785206:EHE785289 DXI785206:DXI785289 DNM785206:DNM785289 DDQ785206:DDQ785289 CTU785206:CTU785289 CJY785206:CJY785289 CAC785206:CAC785289 BQG785206:BQG785289 BGK785206:BGK785289 AWO785206:AWO785289 AMS785206:AMS785289 ACW785206:ACW785289 TA785206:TA785289 JE785206:JE785289 I785227:I785310 WVQ719670:WVQ719753 WLU719670:WLU719753 WBY719670:WBY719753 VSC719670:VSC719753 VIG719670:VIG719753 UYK719670:UYK719753 UOO719670:UOO719753 UES719670:UES719753 TUW719670:TUW719753 TLA719670:TLA719753 TBE719670:TBE719753 SRI719670:SRI719753 SHM719670:SHM719753 RXQ719670:RXQ719753 RNU719670:RNU719753 RDY719670:RDY719753 QUC719670:QUC719753 QKG719670:QKG719753 QAK719670:QAK719753 PQO719670:PQO719753 PGS719670:PGS719753 OWW719670:OWW719753 ONA719670:ONA719753 ODE719670:ODE719753 NTI719670:NTI719753 NJM719670:NJM719753 MZQ719670:MZQ719753 MPU719670:MPU719753 MFY719670:MFY719753 LWC719670:LWC719753 LMG719670:LMG719753 LCK719670:LCK719753 KSO719670:KSO719753 KIS719670:KIS719753 JYW719670:JYW719753 JPA719670:JPA719753 JFE719670:JFE719753 IVI719670:IVI719753 ILM719670:ILM719753 IBQ719670:IBQ719753 HRU719670:HRU719753 HHY719670:HHY719753 GYC719670:GYC719753 GOG719670:GOG719753 GEK719670:GEK719753 FUO719670:FUO719753 FKS719670:FKS719753 FAW719670:FAW719753 ERA719670:ERA719753 EHE719670:EHE719753 DXI719670:DXI719753 DNM719670:DNM719753 DDQ719670:DDQ719753 CTU719670:CTU719753 CJY719670:CJY719753 CAC719670:CAC719753 BQG719670:BQG719753 BGK719670:BGK719753 AWO719670:AWO719753 AMS719670:AMS719753 ACW719670:ACW719753 TA719670:TA719753 JE719670:JE719753 I719691:I719774 WVQ654134:WVQ654217 WLU654134:WLU654217 WBY654134:WBY654217 VSC654134:VSC654217 VIG654134:VIG654217 UYK654134:UYK654217 UOO654134:UOO654217 UES654134:UES654217 TUW654134:TUW654217 TLA654134:TLA654217 TBE654134:TBE654217 SRI654134:SRI654217 SHM654134:SHM654217 RXQ654134:RXQ654217 RNU654134:RNU654217 RDY654134:RDY654217 QUC654134:QUC654217 QKG654134:QKG654217 QAK654134:QAK654217 PQO654134:PQO654217 PGS654134:PGS654217 OWW654134:OWW654217 ONA654134:ONA654217 ODE654134:ODE654217 NTI654134:NTI654217 NJM654134:NJM654217 MZQ654134:MZQ654217 MPU654134:MPU654217 MFY654134:MFY654217 LWC654134:LWC654217 LMG654134:LMG654217 LCK654134:LCK654217 KSO654134:KSO654217 KIS654134:KIS654217 JYW654134:JYW654217 JPA654134:JPA654217 JFE654134:JFE654217 IVI654134:IVI654217 ILM654134:ILM654217 IBQ654134:IBQ654217 HRU654134:HRU654217 HHY654134:HHY654217 GYC654134:GYC654217 GOG654134:GOG654217 GEK654134:GEK654217 FUO654134:FUO654217 FKS654134:FKS654217 FAW654134:FAW654217 ERA654134:ERA654217 EHE654134:EHE654217 DXI654134:DXI654217 DNM654134:DNM654217 DDQ654134:DDQ654217 CTU654134:CTU654217 CJY654134:CJY654217 CAC654134:CAC654217 BQG654134:BQG654217 BGK654134:BGK654217 AWO654134:AWO654217 AMS654134:AMS654217 ACW654134:ACW654217 TA654134:TA654217 JE654134:JE654217 I654155:I654238 WVQ588598:WVQ588681 WLU588598:WLU588681 WBY588598:WBY588681 VSC588598:VSC588681 VIG588598:VIG588681 UYK588598:UYK588681 UOO588598:UOO588681 UES588598:UES588681 TUW588598:TUW588681 TLA588598:TLA588681 TBE588598:TBE588681 SRI588598:SRI588681 SHM588598:SHM588681 RXQ588598:RXQ588681 RNU588598:RNU588681 RDY588598:RDY588681 QUC588598:QUC588681 QKG588598:QKG588681 QAK588598:QAK588681 PQO588598:PQO588681 PGS588598:PGS588681 OWW588598:OWW588681 ONA588598:ONA588681 ODE588598:ODE588681 NTI588598:NTI588681 NJM588598:NJM588681 MZQ588598:MZQ588681 MPU588598:MPU588681 MFY588598:MFY588681 LWC588598:LWC588681 LMG588598:LMG588681 LCK588598:LCK588681 KSO588598:KSO588681 KIS588598:KIS588681 JYW588598:JYW588681 JPA588598:JPA588681 JFE588598:JFE588681 IVI588598:IVI588681 ILM588598:ILM588681 IBQ588598:IBQ588681 HRU588598:HRU588681 HHY588598:HHY588681 GYC588598:GYC588681 GOG588598:GOG588681 GEK588598:GEK588681 FUO588598:FUO588681 FKS588598:FKS588681 FAW588598:FAW588681 ERA588598:ERA588681 EHE588598:EHE588681 DXI588598:DXI588681 DNM588598:DNM588681 DDQ588598:DDQ588681 CTU588598:CTU588681 CJY588598:CJY588681 CAC588598:CAC588681 BQG588598:BQG588681 BGK588598:BGK588681 AWO588598:AWO588681 AMS588598:AMS588681 ACW588598:ACW588681 TA588598:TA588681 JE588598:JE588681 I588619:I588702 WVQ523062:WVQ523145 WLU523062:WLU523145 WBY523062:WBY523145 VSC523062:VSC523145 VIG523062:VIG523145 UYK523062:UYK523145 UOO523062:UOO523145 UES523062:UES523145 TUW523062:TUW523145 TLA523062:TLA523145 TBE523062:TBE523145 SRI523062:SRI523145 SHM523062:SHM523145 RXQ523062:RXQ523145 RNU523062:RNU523145 RDY523062:RDY523145 QUC523062:QUC523145 QKG523062:QKG523145 QAK523062:QAK523145 PQO523062:PQO523145 PGS523062:PGS523145 OWW523062:OWW523145 ONA523062:ONA523145 ODE523062:ODE523145 NTI523062:NTI523145 NJM523062:NJM523145 MZQ523062:MZQ523145 MPU523062:MPU523145 MFY523062:MFY523145 LWC523062:LWC523145 LMG523062:LMG523145 LCK523062:LCK523145 KSO523062:KSO523145 KIS523062:KIS523145 JYW523062:JYW523145 JPA523062:JPA523145 JFE523062:JFE523145 IVI523062:IVI523145 ILM523062:ILM523145 IBQ523062:IBQ523145 HRU523062:HRU523145 HHY523062:HHY523145 GYC523062:GYC523145 GOG523062:GOG523145 GEK523062:GEK523145 FUO523062:FUO523145 FKS523062:FKS523145 FAW523062:FAW523145 ERA523062:ERA523145 EHE523062:EHE523145 DXI523062:DXI523145 DNM523062:DNM523145 DDQ523062:DDQ523145 CTU523062:CTU523145 CJY523062:CJY523145 CAC523062:CAC523145 BQG523062:BQG523145 BGK523062:BGK523145 AWO523062:AWO523145 AMS523062:AMS523145 ACW523062:ACW523145 TA523062:TA523145 JE523062:JE523145 I523083:I523166 WVQ457526:WVQ457609 WLU457526:WLU457609 WBY457526:WBY457609 VSC457526:VSC457609 VIG457526:VIG457609 UYK457526:UYK457609 UOO457526:UOO457609 UES457526:UES457609 TUW457526:TUW457609 TLA457526:TLA457609 TBE457526:TBE457609 SRI457526:SRI457609 SHM457526:SHM457609 RXQ457526:RXQ457609 RNU457526:RNU457609 RDY457526:RDY457609 QUC457526:QUC457609 QKG457526:QKG457609 QAK457526:QAK457609 PQO457526:PQO457609 PGS457526:PGS457609 OWW457526:OWW457609 ONA457526:ONA457609 ODE457526:ODE457609 NTI457526:NTI457609 NJM457526:NJM457609 MZQ457526:MZQ457609 MPU457526:MPU457609 MFY457526:MFY457609 LWC457526:LWC457609 LMG457526:LMG457609 LCK457526:LCK457609 KSO457526:KSO457609 KIS457526:KIS457609 JYW457526:JYW457609 JPA457526:JPA457609 JFE457526:JFE457609 IVI457526:IVI457609 ILM457526:ILM457609 IBQ457526:IBQ457609 HRU457526:HRU457609 HHY457526:HHY457609 GYC457526:GYC457609 GOG457526:GOG457609 GEK457526:GEK457609 FUO457526:FUO457609 FKS457526:FKS457609 FAW457526:FAW457609 ERA457526:ERA457609 EHE457526:EHE457609 DXI457526:DXI457609 DNM457526:DNM457609 DDQ457526:DDQ457609 CTU457526:CTU457609 CJY457526:CJY457609 CAC457526:CAC457609 BQG457526:BQG457609 BGK457526:BGK457609 AWO457526:AWO457609 AMS457526:AMS457609 ACW457526:ACW457609 TA457526:TA457609 JE457526:JE457609 I457547:I457630 WVQ391990:WVQ392073 WLU391990:WLU392073 WBY391990:WBY392073 VSC391990:VSC392073 VIG391990:VIG392073 UYK391990:UYK392073 UOO391990:UOO392073 UES391990:UES392073 TUW391990:TUW392073 TLA391990:TLA392073 TBE391990:TBE392073 SRI391990:SRI392073 SHM391990:SHM392073 RXQ391990:RXQ392073 RNU391990:RNU392073 RDY391990:RDY392073 QUC391990:QUC392073 QKG391990:QKG392073 QAK391990:QAK392073 PQO391990:PQO392073 PGS391990:PGS392073 OWW391990:OWW392073 ONA391990:ONA392073 ODE391990:ODE392073 NTI391990:NTI392073 NJM391990:NJM392073 MZQ391990:MZQ392073 MPU391990:MPU392073 MFY391990:MFY392073 LWC391990:LWC392073 LMG391990:LMG392073 LCK391990:LCK392073 KSO391990:KSO392073 KIS391990:KIS392073 JYW391990:JYW392073 JPA391990:JPA392073 JFE391990:JFE392073 IVI391990:IVI392073 ILM391990:ILM392073 IBQ391990:IBQ392073 HRU391990:HRU392073 HHY391990:HHY392073 GYC391990:GYC392073 GOG391990:GOG392073 GEK391990:GEK392073 FUO391990:FUO392073 FKS391990:FKS392073 FAW391990:FAW392073 ERA391990:ERA392073 EHE391990:EHE392073 DXI391990:DXI392073 DNM391990:DNM392073 DDQ391990:DDQ392073 CTU391990:CTU392073 CJY391990:CJY392073 CAC391990:CAC392073 BQG391990:BQG392073 BGK391990:BGK392073 AWO391990:AWO392073 AMS391990:AMS392073 ACW391990:ACW392073 TA391990:TA392073 JE391990:JE392073 I392011:I392094 WVQ326454:WVQ326537 WLU326454:WLU326537 WBY326454:WBY326537 VSC326454:VSC326537 VIG326454:VIG326537 UYK326454:UYK326537 UOO326454:UOO326537 UES326454:UES326537 TUW326454:TUW326537 TLA326454:TLA326537 TBE326454:TBE326537 SRI326454:SRI326537 SHM326454:SHM326537 RXQ326454:RXQ326537 RNU326454:RNU326537 RDY326454:RDY326537 QUC326454:QUC326537 QKG326454:QKG326537 QAK326454:QAK326537 PQO326454:PQO326537 PGS326454:PGS326537 OWW326454:OWW326537 ONA326454:ONA326537 ODE326454:ODE326537 NTI326454:NTI326537 NJM326454:NJM326537 MZQ326454:MZQ326537 MPU326454:MPU326537 MFY326454:MFY326537 LWC326454:LWC326537 LMG326454:LMG326537 LCK326454:LCK326537 KSO326454:KSO326537 KIS326454:KIS326537 JYW326454:JYW326537 JPA326454:JPA326537 JFE326454:JFE326537 IVI326454:IVI326537 ILM326454:ILM326537 IBQ326454:IBQ326537 HRU326454:HRU326537 HHY326454:HHY326537 GYC326454:GYC326537 GOG326454:GOG326537 GEK326454:GEK326537 FUO326454:FUO326537 FKS326454:FKS326537 FAW326454:FAW326537 ERA326454:ERA326537 EHE326454:EHE326537 DXI326454:DXI326537 DNM326454:DNM326537 DDQ326454:DDQ326537 CTU326454:CTU326537 CJY326454:CJY326537 CAC326454:CAC326537 BQG326454:BQG326537 BGK326454:BGK326537 AWO326454:AWO326537 AMS326454:AMS326537 ACW326454:ACW326537 TA326454:TA326537 JE326454:JE326537 I326475:I326558 WVQ260918:WVQ261001 WLU260918:WLU261001 WBY260918:WBY261001 VSC260918:VSC261001 VIG260918:VIG261001 UYK260918:UYK261001 UOO260918:UOO261001 UES260918:UES261001 TUW260918:TUW261001 TLA260918:TLA261001 TBE260918:TBE261001 SRI260918:SRI261001 SHM260918:SHM261001 RXQ260918:RXQ261001 RNU260918:RNU261001 RDY260918:RDY261001 QUC260918:QUC261001 QKG260918:QKG261001 QAK260918:QAK261001 PQO260918:PQO261001 PGS260918:PGS261001 OWW260918:OWW261001 ONA260918:ONA261001 ODE260918:ODE261001 NTI260918:NTI261001 NJM260918:NJM261001 MZQ260918:MZQ261001 MPU260918:MPU261001 MFY260918:MFY261001 LWC260918:LWC261001 LMG260918:LMG261001 LCK260918:LCK261001 KSO260918:KSO261001 KIS260918:KIS261001 JYW260918:JYW261001 JPA260918:JPA261001 JFE260918:JFE261001 IVI260918:IVI261001 ILM260918:ILM261001 IBQ260918:IBQ261001 HRU260918:HRU261001 HHY260918:HHY261001 GYC260918:GYC261001 GOG260918:GOG261001 GEK260918:GEK261001 FUO260918:FUO261001 FKS260918:FKS261001 FAW260918:FAW261001 ERA260918:ERA261001 EHE260918:EHE261001 DXI260918:DXI261001 DNM260918:DNM261001 DDQ260918:DDQ261001 CTU260918:CTU261001 CJY260918:CJY261001 CAC260918:CAC261001 BQG260918:BQG261001 BGK260918:BGK261001 AWO260918:AWO261001 AMS260918:AMS261001 ACW260918:ACW261001 TA260918:TA261001 JE260918:JE261001 I260939:I261022 WVQ195382:WVQ195465 WLU195382:WLU195465 WBY195382:WBY195465 VSC195382:VSC195465 VIG195382:VIG195465 UYK195382:UYK195465 UOO195382:UOO195465 UES195382:UES195465 TUW195382:TUW195465 TLA195382:TLA195465 TBE195382:TBE195465 SRI195382:SRI195465 SHM195382:SHM195465 RXQ195382:RXQ195465 RNU195382:RNU195465 RDY195382:RDY195465 QUC195382:QUC195465 QKG195382:QKG195465 QAK195382:QAK195465 PQO195382:PQO195465 PGS195382:PGS195465 OWW195382:OWW195465 ONA195382:ONA195465 ODE195382:ODE195465 NTI195382:NTI195465 NJM195382:NJM195465 MZQ195382:MZQ195465 MPU195382:MPU195465 MFY195382:MFY195465 LWC195382:LWC195465 LMG195382:LMG195465 LCK195382:LCK195465 KSO195382:KSO195465 KIS195382:KIS195465 JYW195382:JYW195465 JPA195382:JPA195465 JFE195382:JFE195465 IVI195382:IVI195465 ILM195382:ILM195465 IBQ195382:IBQ195465 HRU195382:HRU195465 HHY195382:HHY195465 GYC195382:GYC195465 GOG195382:GOG195465 GEK195382:GEK195465 FUO195382:FUO195465 FKS195382:FKS195465 FAW195382:FAW195465 ERA195382:ERA195465 EHE195382:EHE195465 DXI195382:DXI195465 DNM195382:DNM195465 DDQ195382:DDQ195465 CTU195382:CTU195465 CJY195382:CJY195465 CAC195382:CAC195465 BQG195382:BQG195465 BGK195382:BGK195465 AWO195382:AWO195465 AMS195382:AMS195465 ACW195382:ACW195465 TA195382:TA195465 JE195382:JE195465 I195403:I195486 WVQ129846:WVQ129929 WLU129846:WLU129929 WBY129846:WBY129929 VSC129846:VSC129929 VIG129846:VIG129929 UYK129846:UYK129929 UOO129846:UOO129929 UES129846:UES129929 TUW129846:TUW129929 TLA129846:TLA129929 TBE129846:TBE129929 SRI129846:SRI129929 SHM129846:SHM129929 RXQ129846:RXQ129929 RNU129846:RNU129929 RDY129846:RDY129929 QUC129846:QUC129929 QKG129846:QKG129929 QAK129846:QAK129929 PQO129846:PQO129929 PGS129846:PGS129929 OWW129846:OWW129929 ONA129846:ONA129929 ODE129846:ODE129929 NTI129846:NTI129929 NJM129846:NJM129929 MZQ129846:MZQ129929 MPU129846:MPU129929 MFY129846:MFY129929 LWC129846:LWC129929 LMG129846:LMG129929 LCK129846:LCK129929 KSO129846:KSO129929 KIS129846:KIS129929 JYW129846:JYW129929 JPA129846:JPA129929 JFE129846:JFE129929 IVI129846:IVI129929 ILM129846:ILM129929 IBQ129846:IBQ129929 HRU129846:HRU129929 HHY129846:HHY129929 GYC129846:GYC129929 GOG129846:GOG129929 GEK129846:GEK129929 FUO129846:FUO129929 FKS129846:FKS129929 FAW129846:FAW129929 ERA129846:ERA129929 EHE129846:EHE129929 DXI129846:DXI129929 DNM129846:DNM129929 DDQ129846:DDQ129929 CTU129846:CTU129929 CJY129846:CJY129929 CAC129846:CAC129929 BQG129846:BQG129929 BGK129846:BGK129929 AWO129846:AWO129929 AMS129846:AMS129929 ACW129846:ACW129929 TA129846:TA129929 JE129846:JE129929 I129867:I129950 WVQ64310:WVQ64393 WLU64310:WLU64393 WBY64310:WBY64393 VSC64310:VSC64393 VIG64310:VIG64393 UYK64310:UYK64393 UOO64310:UOO64393 UES64310:UES64393 TUW64310:TUW64393 TLA64310:TLA64393 TBE64310:TBE64393 SRI64310:SRI64393 SHM64310:SHM64393 RXQ64310:RXQ64393 RNU64310:RNU64393 RDY64310:RDY64393 QUC64310:QUC64393 QKG64310:QKG64393 QAK64310:QAK64393 PQO64310:PQO64393 PGS64310:PGS64393 OWW64310:OWW64393 ONA64310:ONA64393 ODE64310:ODE64393 NTI64310:NTI64393 NJM64310:NJM64393 MZQ64310:MZQ64393 MPU64310:MPU64393 MFY64310:MFY64393 LWC64310:LWC64393 LMG64310:LMG64393 LCK64310:LCK64393 KSO64310:KSO64393 KIS64310:KIS64393 JYW64310:JYW64393 JPA64310:JPA64393 JFE64310:JFE64393 IVI64310:IVI64393 ILM64310:ILM64393 IBQ64310:IBQ64393 HRU64310:HRU64393 HHY64310:HHY64393 GYC64310:GYC64393 GOG64310:GOG64393 GEK64310:GEK64393 FUO64310:FUO64393 FKS64310:FKS64393 FAW64310:FAW64393 ERA64310:ERA64393 EHE64310:EHE64393 DXI64310:DXI64393 DNM64310:DNM64393 DDQ64310:DDQ64393 CTU64310:CTU64393 CJY64310:CJY64393 CAC64310:CAC64393 BQG64310:BQG64393 BGK64310:BGK64393 AWO64310:AWO64393 AMS64310:AMS64393 ACW64310:ACW64393 TA64310:TA64393 JE64310:JE64393 I64331:I64414 I105:I509 I2:I103 TA2:TA82 ACW2:ACW82 AMS2:AMS82 AWO2:AWO82 BGK2:BGK82 BQG2:BQG82 CAC2:CAC82 CJY2:CJY82 CTU2:CTU82 DDQ2:DDQ82 DNM2:DNM82 DXI2:DXI82 EHE2:EHE82 ERA2:ERA82 FAW2:FAW82 FKS2:FKS82 FUO2:FUO82 GEK2:GEK82 GOG2:GOG82 GYC2:GYC82 HHY2:HHY82 HRU2:HRU82 IBQ2:IBQ82 ILM2:ILM82 IVI2:IVI82 JFE2:JFE82 JPA2:JPA82 JYW2:JYW82 KIS2:KIS82 KSO2:KSO82 LCK2:LCK82 LMG2:LMG82 LWC2:LWC82 MFY2:MFY82 MPU2:MPU82 MZQ2:MZQ82 NJM2:NJM82 NTI2:NTI82 ODE2:ODE82 ONA2:ONA82 OWW2:OWW82 PGS2:PGS82 PQO2:PQO82 QAK2:QAK82 QKG2:QKG82 QUC2:QUC82 RDY2:RDY82 RNU2:RNU82 RXQ2:RXQ82 SHM2:SHM82 SRI2:SRI82 TBE2:TBE82 TLA2:TLA82 TUW2:TUW82 UES2:UES82 UOO2:UOO82 UYK2:UYK82 VIG2:VIG82 VSC2:VSC82 WBY2:WBY82 WLU2:WLU82 WVQ2:WVQ82 JE2:JE82" xr:uid="{7B3EA804-6265-4078-AEEE-B83F9F7D8AF1}">
      <formula1>$AN$5:$AN$6</formula1>
    </dataValidation>
    <dataValidation type="list" allowBlank="1" showInputMessage="1" showErrorMessage="1" sqref="WWG981814:WWI981897 WCO981814:WCQ981897 WMK981814:WMM981897 Y64310:AA64393 JU64310:JW64393 TQ64310:TS64393 ADM64310:ADO64393 ANI64310:ANK64393 AXE64310:AXG64393 BHA64310:BHC64393 BQW64310:BQY64393 CAS64310:CAU64393 CKO64310:CKQ64393 CUK64310:CUM64393 DEG64310:DEI64393 DOC64310:DOE64393 DXY64310:DYA64393 EHU64310:EHW64393 ERQ64310:ERS64393 FBM64310:FBO64393 FLI64310:FLK64393 FVE64310:FVG64393 GFA64310:GFC64393 GOW64310:GOY64393 GYS64310:GYU64393 HIO64310:HIQ64393 HSK64310:HSM64393 ICG64310:ICI64393 IMC64310:IME64393 IVY64310:IWA64393 JFU64310:JFW64393 JPQ64310:JPS64393 JZM64310:JZO64393 KJI64310:KJK64393 KTE64310:KTG64393 LDA64310:LDC64393 LMW64310:LMY64393 LWS64310:LWU64393 MGO64310:MGQ64393 MQK64310:MQM64393 NAG64310:NAI64393 NKC64310:NKE64393 NTY64310:NUA64393 ODU64310:ODW64393 ONQ64310:ONS64393 OXM64310:OXO64393 PHI64310:PHK64393 PRE64310:PRG64393 QBA64310:QBC64393 QKW64310:QKY64393 QUS64310:QUU64393 REO64310:REQ64393 ROK64310:ROM64393 RYG64310:RYI64393 SIC64310:SIE64393 SRY64310:SSA64393 TBU64310:TBW64393 TLQ64310:TLS64393 TVM64310:TVO64393 UFI64310:UFK64393 UPE64310:UPG64393 UZA64310:UZC64393 VIW64310:VIY64393 VSS64310:VSU64393 WCO64310:WCQ64393 WMK64310:WMM64393 WWG64310:WWI64393 Y129846:AA129929 JU129846:JW129929 TQ129846:TS129929 ADM129846:ADO129929 ANI129846:ANK129929 AXE129846:AXG129929 BHA129846:BHC129929 BQW129846:BQY129929 CAS129846:CAU129929 CKO129846:CKQ129929 CUK129846:CUM129929 DEG129846:DEI129929 DOC129846:DOE129929 DXY129846:DYA129929 EHU129846:EHW129929 ERQ129846:ERS129929 FBM129846:FBO129929 FLI129846:FLK129929 FVE129846:FVG129929 GFA129846:GFC129929 GOW129846:GOY129929 GYS129846:GYU129929 HIO129846:HIQ129929 HSK129846:HSM129929 ICG129846:ICI129929 IMC129846:IME129929 IVY129846:IWA129929 JFU129846:JFW129929 JPQ129846:JPS129929 JZM129846:JZO129929 KJI129846:KJK129929 KTE129846:KTG129929 LDA129846:LDC129929 LMW129846:LMY129929 LWS129846:LWU129929 MGO129846:MGQ129929 MQK129846:MQM129929 NAG129846:NAI129929 NKC129846:NKE129929 NTY129846:NUA129929 ODU129846:ODW129929 ONQ129846:ONS129929 OXM129846:OXO129929 PHI129846:PHK129929 PRE129846:PRG129929 QBA129846:QBC129929 QKW129846:QKY129929 QUS129846:QUU129929 REO129846:REQ129929 ROK129846:ROM129929 RYG129846:RYI129929 SIC129846:SIE129929 SRY129846:SSA129929 TBU129846:TBW129929 TLQ129846:TLS129929 TVM129846:TVO129929 UFI129846:UFK129929 UPE129846:UPG129929 UZA129846:UZC129929 VIW129846:VIY129929 VSS129846:VSU129929 WCO129846:WCQ129929 WMK129846:WMM129929 WWG129846:WWI129929 Y195382:AA195465 JU195382:JW195465 TQ195382:TS195465 ADM195382:ADO195465 ANI195382:ANK195465 AXE195382:AXG195465 BHA195382:BHC195465 BQW195382:BQY195465 CAS195382:CAU195465 CKO195382:CKQ195465 CUK195382:CUM195465 DEG195382:DEI195465 DOC195382:DOE195465 DXY195382:DYA195465 EHU195382:EHW195465 ERQ195382:ERS195465 FBM195382:FBO195465 FLI195382:FLK195465 FVE195382:FVG195465 GFA195382:GFC195465 GOW195382:GOY195465 GYS195382:GYU195465 HIO195382:HIQ195465 HSK195382:HSM195465 ICG195382:ICI195465 IMC195382:IME195465 IVY195382:IWA195465 JFU195382:JFW195465 JPQ195382:JPS195465 JZM195382:JZO195465 KJI195382:KJK195465 KTE195382:KTG195465 LDA195382:LDC195465 LMW195382:LMY195465 LWS195382:LWU195465 MGO195382:MGQ195465 MQK195382:MQM195465 NAG195382:NAI195465 NKC195382:NKE195465 NTY195382:NUA195465 ODU195382:ODW195465 ONQ195382:ONS195465 OXM195382:OXO195465 PHI195382:PHK195465 PRE195382:PRG195465 QBA195382:QBC195465 QKW195382:QKY195465 QUS195382:QUU195465 REO195382:REQ195465 ROK195382:ROM195465 RYG195382:RYI195465 SIC195382:SIE195465 SRY195382:SSA195465 TBU195382:TBW195465 TLQ195382:TLS195465 TVM195382:TVO195465 UFI195382:UFK195465 UPE195382:UPG195465 UZA195382:UZC195465 VIW195382:VIY195465 VSS195382:VSU195465 WCO195382:WCQ195465 WMK195382:WMM195465 WWG195382:WWI195465 Y260918:AA261001 JU260918:JW261001 TQ260918:TS261001 ADM260918:ADO261001 ANI260918:ANK261001 AXE260918:AXG261001 BHA260918:BHC261001 BQW260918:BQY261001 CAS260918:CAU261001 CKO260918:CKQ261001 CUK260918:CUM261001 DEG260918:DEI261001 DOC260918:DOE261001 DXY260918:DYA261001 EHU260918:EHW261001 ERQ260918:ERS261001 FBM260918:FBO261001 FLI260918:FLK261001 FVE260918:FVG261001 GFA260918:GFC261001 GOW260918:GOY261001 GYS260918:GYU261001 HIO260918:HIQ261001 HSK260918:HSM261001 ICG260918:ICI261001 IMC260918:IME261001 IVY260918:IWA261001 JFU260918:JFW261001 JPQ260918:JPS261001 JZM260918:JZO261001 KJI260918:KJK261001 KTE260918:KTG261001 LDA260918:LDC261001 LMW260918:LMY261001 LWS260918:LWU261001 MGO260918:MGQ261001 MQK260918:MQM261001 NAG260918:NAI261001 NKC260918:NKE261001 NTY260918:NUA261001 ODU260918:ODW261001 ONQ260918:ONS261001 OXM260918:OXO261001 PHI260918:PHK261001 PRE260918:PRG261001 QBA260918:QBC261001 QKW260918:QKY261001 QUS260918:QUU261001 REO260918:REQ261001 ROK260918:ROM261001 RYG260918:RYI261001 SIC260918:SIE261001 SRY260918:SSA261001 TBU260918:TBW261001 TLQ260918:TLS261001 TVM260918:TVO261001 UFI260918:UFK261001 UPE260918:UPG261001 UZA260918:UZC261001 VIW260918:VIY261001 VSS260918:VSU261001 WCO260918:WCQ261001 WMK260918:WMM261001 WWG260918:WWI261001 Y326454:AA326537 JU326454:JW326537 TQ326454:TS326537 ADM326454:ADO326537 ANI326454:ANK326537 AXE326454:AXG326537 BHA326454:BHC326537 BQW326454:BQY326537 CAS326454:CAU326537 CKO326454:CKQ326537 CUK326454:CUM326537 DEG326454:DEI326537 DOC326454:DOE326537 DXY326454:DYA326537 EHU326454:EHW326537 ERQ326454:ERS326537 FBM326454:FBO326537 FLI326454:FLK326537 FVE326454:FVG326537 GFA326454:GFC326537 GOW326454:GOY326537 GYS326454:GYU326537 HIO326454:HIQ326537 HSK326454:HSM326537 ICG326454:ICI326537 IMC326454:IME326537 IVY326454:IWA326537 JFU326454:JFW326537 JPQ326454:JPS326537 JZM326454:JZO326537 KJI326454:KJK326537 KTE326454:KTG326537 LDA326454:LDC326537 LMW326454:LMY326537 LWS326454:LWU326537 MGO326454:MGQ326537 MQK326454:MQM326537 NAG326454:NAI326537 NKC326454:NKE326537 NTY326454:NUA326537 ODU326454:ODW326537 ONQ326454:ONS326537 OXM326454:OXO326537 PHI326454:PHK326537 PRE326454:PRG326537 QBA326454:QBC326537 QKW326454:QKY326537 QUS326454:QUU326537 REO326454:REQ326537 ROK326454:ROM326537 RYG326454:RYI326537 SIC326454:SIE326537 SRY326454:SSA326537 TBU326454:TBW326537 TLQ326454:TLS326537 TVM326454:TVO326537 UFI326454:UFK326537 UPE326454:UPG326537 UZA326454:UZC326537 VIW326454:VIY326537 VSS326454:VSU326537 WCO326454:WCQ326537 WMK326454:WMM326537 WWG326454:WWI326537 Y391990:AA392073 JU391990:JW392073 TQ391990:TS392073 ADM391990:ADO392073 ANI391990:ANK392073 AXE391990:AXG392073 BHA391990:BHC392073 BQW391990:BQY392073 CAS391990:CAU392073 CKO391990:CKQ392073 CUK391990:CUM392073 DEG391990:DEI392073 DOC391990:DOE392073 DXY391990:DYA392073 EHU391990:EHW392073 ERQ391990:ERS392073 FBM391990:FBO392073 FLI391990:FLK392073 FVE391990:FVG392073 GFA391990:GFC392073 GOW391990:GOY392073 GYS391990:GYU392073 HIO391990:HIQ392073 HSK391990:HSM392073 ICG391990:ICI392073 IMC391990:IME392073 IVY391990:IWA392073 JFU391990:JFW392073 JPQ391990:JPS392073 JZM391990:JZO392073 KJI391990:KJK392073 KTE391990:KTG392073 LDA391990:LDC392073 LMW391990:LMY392073 LWS391990:LWU392073 MGO391990:MGQ392073 MQK391990:MQM392073 NAG391990:NAI392073 NKC391990:NKE392073 NTY391990:NUA392073 ODU391990:ODW392073 ONQ391990:ONS392073 OXM391990:OXO392073 PHI391990:PHK392073 PRE391990:PRG392073 QBA391990:QBC392073 QKW391990:QKY392073 QUS391990:QUU392073 REO391990:REQ392073 ROK391990:ROM392073 RYG391990:RYI392073 SIC391990:SIE392073 SRY391990:SSA392073 TBU391990:TBW392073 TLQ391990:TLS392073 TVM391990:TVO392073 UFI391990:UFK392073 UPE391990:UPG392073 UZA391990:UZC392073 VIW391990:VIY392073 VSS391990:VSU392073 WCO391990:WCQ392073 WMK391990:WMM392073 WWG391990:WWI392073 Y457526:AA457609 JU457526:JW457609 TQ457526:TS457609 ADM457526:ADO457609 ANI457526:ANK457609 AXE457526:AXG457609 BHA457526:BHC457609 BQW457526:BQY457609 CAS457526:CAU457609 CKO457526:CKQ457609 CUK457526:CUM457609 DEG457526:DEI457609 DOC457526:DOE457609 DXY457526:DYA457609 EHU457526:EHW457609 ERQ457526:ERS457609 FBM457526:FBO457609 FLI457526:FLK457609 FVE457526:FVG457609 GFA457526:GFC457609 GOW457526:GOY457609 GYS457526:GYU457609 HIO457526:HIQ457609 HSK457526:HSM457609 ICG457526:ICI457609 IMC457526:IME457609 IVY457526:IWA457609 JFU457526:JFW457609 JPQ457526:JPS457609 JZM457526:JZO457609 KJI457526:KJK457609 KTE457526:KTG457609 LDA457526:LDC457609 LMW457526:LMY457609 LWS457526:LWU457609 MGO457526:MGQ457609 MQK457526:MQM457609 NAG457526:NAI457609 NKC457526:NKE457609 NTY457526:NUA457609 ODU457526:ODW457609 ONQ457526:ONS457609 OXM457526:OXO457609 PHI457526:PHK457609 PRE457526:PRG457609 QBA457526:QBC457609 QKW457526:QKY457609 QUS457526:QUU457609 REO457526:REQ457609 ROK457526:ROM457609 RYG457526:RYI457609 SIC457526:SIE457609 SRY457526:SSA457609 TBU457526:TBW457609 TLQ457526:TLS457609 TVM457526:TVO457609 UFI457526:UFK457609 UPE457526:UPG457609 UZA457526:UZC457609 VIW457526:VIY457609 VSS457526:VSU457609 WCO457526:WCQ457609 WMK457526:WMM457609 WWG457526:WWI457609 Y523062:AA523145 JU523062:JW523145 TQ523062:TS523145 ADM523062:ADO523145 ANI523062:ANK523145 AXE523062:AXG523145 BHA523062:BHC523145 BQW523062:BQY523145 CAS523062:CAU523145 CKO523062:CKQ523145 CUK523062:CUM523145 DEG523062:DEI523145 DOC523062:DOE523145 DXY523062:DYA523145 EHU523062:EHW523145 ERQ523062:ERS523145 FBM523062:FBO523145 FLI523062:FLK523145 FVE523062:FVG523145 GFA523062:GFC523145 GOW523062:GOY523145 GYS523062:GYU523145 HIO523062:HIQ523145 HSK523062:HSM523145 ICG523062:ICI523145 IMC523062:IME523145 IVY523062:IWA523145 JFU523062:JFW523145 JPQ523062:JPS523145 JZM523062:JZO523145 KJI523062:KJK523145 KTE523062:KTG523145 LDA523062:LDC523145 LMW523062:LMY523145 LWS523062:LWU523145 MGO523062:MGQ523145 MQK523062:MQM523145 NAG523062:NAI523145 NKC523062:NKE523145 NTY523062:NUA523145 ODU523062:ODW523145 ONQ523062:ONS523145 OXM523062:OXO523145 PHI523062:PHK523145 PRE523062:PRG523145 QBA523062:QBC523145 QKW523062:QKY523145 QUS523062:QUU523145 REO523062:REQ523145 ROK523062:ROM523145 RYG523062:RYI523145 SIC523062:SIE523145 SRY523062:SSA523145 TBU523062:TBW523145 TLQ523062:TLS523145 TVM523062:TVO523145 UFI523062:UFK523145 UPE523062:UPG523145 UZA523062:UZC523145 VIW523062:VIY523145 VSS523062:VSU523145 WCO523062:WCQ523145 WMK523062:WMM523145 WWG523062:WWI523145 Y588598:AA588681 JU588598:JW588681 TQ588598:TS588681 ADM588598:ADO588681 ANI588598:ANK588681 AXE588598:AXG588681 BHA588598:BHC588681 BQW588598:BQY588681 CAS588598:CAU588681 CKO588598:CKQ588681 CUK588598:CUM588681 DEG588598:DEI588681 DOC588598:DOE588681 DXY588598:DYA588681 EHU588598:EHW588681 ERQ588598:ERS588681 FBM588598:FBO588681 FLI588598:FLK588681 FVE588598:FVG588681 GFA588598:GFC588681 GOW588598:GOY588681 GYS588598:GYU588681 HIO588598:HIQ588681 HSK588598:HSM588681 ICG588598:ICI588681 IMC588598:IME588681 IVY588598:IWA588681 JFU588598:JFW588681 JPQ588598:JPS588681 JZM588598:JZO588681 KJI588598:KJK588681 KTE588598:KTG588681 LDA588598:LDC588681 LMW588598:LMY588681 LWS588598:LWU588681 MGO588598:MGQ588681 MQK588598:MQM588681 NAG588598:NAI588681 NKC588598:NKE588681 NTY588598:NUA588681 ODU588598:ODW588681 ONQ588598:ONS588681 OXM588598:OXO588681 PHI588598:PHK588681 PRE588598:PRG588681 QBA588598:QBC588681 QKW588598:QKY588681 QUS588598:QUU588681 REO588598:REQ588681 ROK588598:ROM588681 RYG588598:RYI588681 SIC588598:SIE588681 SRY588598:SSA588681 TBU588598:TBW588681 TLQ588598:TLS588681 TVM588598:TVO588681 UFI588598:UFK588681 UPE588598:UPG588681 UZA588598:UZC588681 VIW588598:VIY588681 VSS588598:VSU588681 WCO588598:WCQ588681 WMK588598:WMM588681 WWG588598:WWI588681 Y654134:AA654217 JU654134:JW654217 TQ654134:TS654217 ADM654134:ADO654217 ANI654134:ANK654217 AXE654134:AXG654217 BHA654134:BHC654217 BQW654134:BQY654217 CAS654134:CAU654217 CKO654134:CKQ654217 CUK654134:CUM654217 DEG654134:DEI654217 DOC654134:DOE654217 DXY654134:DYA654217 EHU654134:EHW654217 ERQ654134:ERS654217 FBM654134:FBO654217 FLI654134:FLK654217 FVE654134:FVG654217 GFA654134:GFC654217 GOW654134:GOY654217 GYS654134:GYU654217 HIO654134:HIQ654217 HSK654134:HSM654217 ICG654134:ICI654217 IMC654134:IME654217 IVY654134:IWA654217 JFU654134:JFW654217 JPQ654134:JPS654217 JZM654134:JZO654217 KJI654134:KJK654217 KTE654134:KTG654217 LDA654134:LDC654217 LMW654134:LMY654217 LWS654134:LWU654217 MGO654134:MGQ654217 MQK654134:MQM654217 NAG654134:NAI654217 NKC654134:NKE654217 NTY654134:NUA654217 ODU654134:ODW654217 ONQ654134:ONS654217 OXM654134:OXO654217 PHI654134:PHK654217 PRE654134:PRG654217 QBA654134:QBC654217 QKW654134:QKY654217 QUS654134:QUU654217 REO654134:REQ654217 ROK654134:ROM654217 RYG654134:RYI654217 SIC654134:SIE654217 SRY654134:SSA654217 TBU654134:TBW654217 TLQ654134:TLS654217 TVM654134:TVO654217 UFI654134:UFK654217 UPE654134:UPG654217 UZA654134:UZC654217 VIW654134:VIY654217 VSS654134:VSU654217 WCO654134:WCQ654217 WMK654134:WMM654217 WWG654134:WWI654217 Y719670:AA719753 JU719670:JW719753 TQ719670:TS719753 ADM719670:ADO719753 ANI719670:ANK719753 AXE719670:AXG719753 BHA719670:BHC719753 BQW719670:BQY719753 CAS719670:CAU719753 CKO719670:CKQ719753 CUK719670:CUM719753 DEG719670:DEI719753 DOC719670:DOE719753 DXY719670:DYA719753 EHU719670:EHW719753 ERQ719670:ERS719753 FBM719670:FBO719753 FLI719670:FLK719753 FVE719670:FVG719753 GFA719670:GFC719753 GOW719670:GOY719753 GYS719670:GYU719753 HIO719670:HIQ719753 HSK719670:HSM719753 ICG719670:ICI719753 IMC719670:IME719753 IVY719670:IWA719753 JFU719670:JFW719753 JPQ719670:JPS719753 JZM719670:JZO719753 KJI719670:KJK719753 KTE719670:KTG719753 LDA719670:LDC719753 LMW719670:LMY719753 LWS719670:LWU719753 MGO719670:MGQ719753 MQK719670:MQM719753 NAG719670:NAI719753 NKC719670:NKE719753 NTY719670:NUA719753 ODU719670:ODW719753 ONQ719670:ONS719753 OXM719670:OXO719753 PHI719670:PHK719753 PRE719670:PRG719753 QBA719670:QBC719753 QKW719670:QKY719753 QUS719670:QUU719753 REO719670:REQ719753 ROK719670:ROM719753 RYG719670:RYI719753 SIC719670:SIE719753 SRY719670:SSA719753 TBU719670:TBW719753 TLQ719670:TLS719753 TVM719670:TVO719753 UFI719670:UFK719753 UPE719670:UPG719753 UZA719670:UZC719753 VIW719670:VIY719753 VSS719670:VSU719753 WCO719670:WCQ719753 WMK719670:WMM719753 WWG719670:WWI719753 Y785206:AA785289 JU785206:JW785289 TQ785206:TS785289 ADM785206:ADO785289 ANI785206:ANK785289 AXE785206:AXG785289 BHA785206:BHC785289 BQW785206:BQY785289 CAS785206:CAU785289 CKO785206:CKQ785289 CUK785206:CUM785289 DEG785206:DEI785289 DOC785206:DOE785289 DXY785206:DYA785289 EHU785206:EHW785289 ERQ785206:ERS785289 FBM785206:FBO785289 FLI785206:FLK785289 FVE785206:FVG785289 GFA785206:GFC785289 GOW785206:GOY785289 GYS785206:GYU785289 HIO785206:HIQ785289 HSK785206:HSM785289 ICG785206:ICI785289 IMC785206:IME785289 IVY785206:IWA785289 JFU785206:JFW785289 JPQ785206:JPS785289 JZM785206:JZO785289 KJI785206:KJK785289 KTE785206:KTG785289 LDA785206:LDC785289 LMW785206:LMY785289 LWS785206:LWU785289 MGO785206:MGQ785289 MQK785206:MQM785289 NAG785206:NAI785289 NKC785206:NKE785289 NTY785206:NUA785289 ODU785206:ODW785289 ONQ785206:ONS785289 OXM785206:OXO785289 PHI785206:PHK785289 PRE785206:PRG785289 QBA785206:QBC785289 QKW785206:QKY785289 QUS785206:QUU785289 REO785206:REQ785289 ROK785206:ROM785289 RYG785206:RYI785289 SIC785206:SIE785289 SRY785206:SSA785289 TBU785206:TBW785289 TLQ785206:TLS785289 TVM785206:TVO785289 UFI785206:UFK785289 UPE785206:UPG785289 UZA785206:UZC785289 VIW785206:VIY785289 VSS785206:VSU785289 WCO785206:WCQ785289 WMK785206:WMM785289 WWG785206:WWI785289 Y850742:AA850825 JU850742:JW850825 TQ850742:TS850825 ADM850742:ADO850825 ANI850742:ANK850825 AXE850742:AXG850825 BHA850742:BHC850825 BQW850742:BQY850825 CAS850742:CAU850825 CKO850742:CKQ850825 CUK850742:CUM850825 DEG850742:DEI850825 DOC850742:DOE850825 DXY850742:DYA850825 EHU850742:EHW850825 ERQ850742:ERS850825 FBM850742:FBO850825 FLI850742:FLK850825 FVE850742:FVG850825 GFA850742:GFC850825 GOW850742:GOY850825 GYS850742:GYU850825 HIO850742:HIQ850825 HSK850742:HSM850825 ICG850742:ICI850825 IMC850742:IME850825 IVY850742:IWA850825 JFU850742:JFW850825 JPQ850742:JPS850825 JZM850742:JZO850825 KJI850742:KJK850825 KTE850742:KTG850825 LDA850742:LDC850825 LMW850742:LMY850825 LWS850742:LWU850825 MGO850742:MGQ850825 MQK850742:MQM850825 NAG850742:NAI850825 NKC850742:NKE850825 NTY850742:NUA850825 ODU850742:ODW850825 ONQ850742:ONS850825 OXM850742:OXO850825 PHI850742:PHK850825 PRE850742:PRG850825 QBA850742:QBC850825 QKW850742:QKY850825 QUS850742:QUU850825 REO850742:REQ850825 ROK850742:ROM850825 RYG850742:RYI850825 SIC850742:SIE850825 SRY850742:SSA850825 TBU850742:TBW850825 TLQ850742:TLS850825 TVM850742:TVO850825 UFI850742:UFK850825 UPE850742:UPG850825 UZA850742:UZC850825 VIW850742:VIY850825 VSS850742:VSU850825 WCO850742:WCQ850825 WMK850742:WMM850825 WWG850742:WWI850825 Y916278:AA916361 JU916278:JW916361 TQ916278:TS916361 ADM916278:ADO916361 ANI916278:ANK916361 AXE916278:AXG916361 BHA916278:BHC916361 BQW916278:BQY916361 CAS916278:CAU916361 CKO916278:CKQ916361 CUK916278:CUM916361 DEG916278:DEI916361 DOC916278:DOE916361 DXY916278:DYA916361 EHU916278:EHW916361 ERQ916278:ERS916361 FBM916278:FBO916361 FLI916278:FLK916361 FVE916278:FVG916361 GFA916278:GFC916361 GOW916278:GOY916361 GYS916278:GYU916361 HIO916278:HIQ916361 HSK916278:HSM916361 ICG916278:ICI916361 IMC916278:IME916361 IVY916278:IWA916361 JFU916278:JFW916361 JPQ916278:JPS916361 JZM916278:JZO916361 KJI916278:KJK916361 KTE916278:KTG916361 LDA916278:LDC916361 LMW916278:LMY916361 LWS916278:LWU916361 MGO916278:MGQ916361 MQK916278:MQM916361 NAG916278:NAI916361 NKC916278:NKE916361 NTY916278:NUA916361 ODU916278:ODW916361 ONQ916278:ONS916361 OXM916278:OXO916361 PHI916278:PHK916361 PRE916278:PRG916361 QBA916278:QBC916361 QKW916278:QKY916361 QUS916278:QUU916361 REO916278:REQ916361 ROK916278:ROM916361 RYG916278:RYI916361 SIC916278:SIE916361 SRY916278:SSA916361 TBU916278:TBW916361 TLQ916278:TLS916361 TVM916278:TVO916361 UFI916278:UFK916361 UPE916278:UPG916361 UZA916278:UZC916361 VIW916278:VIY916361 VSS916278:VSU916361 WCO916278:WCQ916361 WMK916278:WMM916361 WWG916278:WWI916361 Y981814:AA981897 JU981814:JW981897 TQ981814:TS981897 ADM981814:ADO981897 ANI981814:ANK981897 AXE981814:AXG981897 BHA981814:BHC981897 BQW981814:BQY981897 CAS981814:CAU981897 CKO981814:CKQ981897 CUK981814:CUM981897 DEG981814:DEI981897 DOC981814:DOE981897 DXY981814:DYA981897 EHU981814:EHW981897 ERQ981814:ERS981897 FBM981814:FBO981897 FLI981814:FLK981897 FVE981814:FVG981897 GFA981814:GFC981897 GOW981814:GOY981897 GYS981814:GYU981897 HIO981814:HIQ981897 HSK981814:HSM981897 ICG981814:ICI981897 IMC981814:IME981897 IVY981814:IWA981897 JFU981814:JFW981897 JPQ981814:JPS981897 JZM981814:JZO981897 KJI981814:KJK981897 KTE981814:KTG981897 LDA981814:LDC981897 LMW981814:LMY981897 LWS981814:LWU981897 MGO981814:MGQ981897 MQK981814:MQM981897 NAG981814:NAI981897 NKC981814:NKE981897 NTY981814:NUA981897 ODU981814:ODW981897 ONQ981814:ONS981897 OXM981814:OXO981897 PHI981814:PHK981897 PRE981814:PRG981897 QBA981814:QBC981897 QKW981814:QKY981897 QUS981814:QUU981897 REO981814:REQ981897 ROK981814:ROM981897 RYG981814:RYI981897 SIC981814:SIE981897 SRY981814:SSA981897 TBU981814:TBW981897 TLQ981814:TLS981897 TVM981814:TVO981897 UFI981814:UFK981897 UPE981814:UPG981897 UZA981814:UZC981897 VIW981814:VIY981897 VSS981814:VSU981897 JU2:JW82 TQ2:TS82 ADM2:ADO82 ANI2:ANK82 AXE2:AXG82 BHA2:BHC82 BQW2:BQY82 CAS2:CAU82 CKO2:CKQ82 CUK2:CUM82 DEG2:DEI82 DOC2:DOE82 DXY2:DYA82 EHU2:EHW82 ERQ2:ERS82 FBM2:FBO82 FLI2:FLK82 FVE2:FVG82 GFA2:GFC82 GOW2:GOY82 GYS2:GYU82 HIO2:HIQ82 HSK2:HSM82 ICG2:ICI82 IMC2:IME82 IVY2:IWA82 JFU2:JFW82 JPQ2:JPS82 JZM2:JZO82 KJI2:KJK82 KTE2:KTG82 LDA2:LDC82 LMW2:LMY82 LWS2:LWU82 MGO2:MGQ82 MQK2:MQM82 NAG2:NAI82 NKC2:NKE82 NTY2:NUA82 ODU2:ODW82 ONQ2:ONS82 OXM2:OXO82 PHI2:PHK82 PRE2:PRG82 QBA2:QBC82 QKW2:QKY82 QUS2:QUU82 REO2:REQ82 ROK2:ROM82 RYG2:RYI82 SIC2:SIE82 SRY2:SSA82 TBU2:TBW82 TLQ2:TLS82 TVM2:TVO82 UFI2:UFK82 UPE2:UPG82 UZA2:UZC82 VIW2:VIY82 VSS2:VSU82 WCO2:WCQ82 WMK2:WMM82 WWG2:WWI82" xr:uid="{B3247149-5438-43D8-99CC-AE1FF76AE92D}">
      <formula1>$AV$2:$AV$22</formula1>
    </dataValidation>
    <dataValidation type="list" allowBlank="1" showInputMessage="1" showErrorMessage="1" sqref="J105:J509 J2:J103" xr:uid="{9355110F-CBA9-4195-99EE-F96EB9672C7B}">
      <formula1>$AP$2:$AP$28</formula1>
    </dataValidation>
    <dataValidation type="list" allowBlank="1" showInputMessage="1" showErrorMessage="1" sqref="F107:F511 F2:F105" xr:uid="{A4B679E1-AB83-4108-9EAC-BA7F6B4396F5}">
      <formula1>$AH$2:$AH$10</formula1>
    </dataValidation>
    <dataValidation type="list" allowBlank="1" showInputMessage="1" showErrorMessage="1" sqref="E107:E511 E2:E105" xr:uid="{C5AA1CF7-CCC8-4BB9-ABFD-D9EA5FBD7F65}">
      <formula1>$AG$2:$AG$11</formula1>
    </dataValidation>
    <dataValidation type="list" allowBlank="1" showInputMessage="1" showErrorMessage="1" sqref="A105:A509 A2:A103" xr:uid="{CEDDA6BA-7D2A-43F8-BE45-56E692ED6E8E}">
      <formula1>$AE$2:$AE$19</formula1>
    </dataValidation>
    <dataValidation type="list" allowBlank="1" showInputMessage="1" showErrorMessage="1" sqref="H105:H509 H2:H103" xr:uid="{DF70EAB6-7476-44CD-BF11-0238354F05B7}">
      <formula1>$AL$2:$AL$8</formula1>
    </dataValidation>
    <dataValidation type="list" allowBlank="1" showInputMessage="1" showErrorMessage="1" sqref="Y105:AA509 Y2:AA103" xr:uid="{A9C4E2D1-46E4-498B-80F5-64EA6A180E54}">
      <formula1>$AV$2:$AV$21</formula1>
    </dataValidation>
    <dataValidation type="decimal" allowBlank="1" showInputMessage="1" showErrorMessage="1" error="硬度を正しく入力して下さい。" sqref="O105:P509 O18:P19 P15 P13 O77:P103 O41:P52 O26:P28 O32:P37" xr:uid="{F4210FE7-2EC8-4DEC-A772-F72317089003}">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E28E-8B71-4C67-8957-1BB6A0B6148B}">
  <dimension ref="A1:BA142"/>
  <sheetViews>
    <sheetView topLeftCell="A31" zoomScale="95" zoomScaleNormal="9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281</v>
      </c>
      <c r="O1" s="56" t="s">
        <v>14</v>
      </c>
      <c r="P1" s="56" t="s">
        <v>15</v>
      </c>
      <c r="Q1" s="3" t="s">
        <v>16</v>
      </c>
      <c r="R1" s="56" t="s">
        <v>17</v>
      </c>
      <c r="S1" s="56" t="s">
        <v>18</v>
      </c>
      <c r="T1" s="3" t="s">
        <v>19</v>
      </c>
      <c r="U1" s="58" t="s">
        <v>282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233</v>
      </c>
      <c r="C2" s="62">
        <v>2019</v>
      </c>
      <c r="D2" s="123" t="s">
        <v>166</v>
      </c>
      <c r="E2" s="53" t="s">
        <v>283</v>
      </c>
      <c r="F2" s="53" t="s">
        <v>284</v>
      </c>
      <c r="G2" s="53" t="s">
        <v>36</v>
      </c>
      <c r="H2" s="53" t="s">
        <v>160</v>
      </c>
      <c r="I2" s="53" t="s">
        <v>159</v>
      </c>
      <c r="J2" s="53" t="s">
        <v>38</v>
      </c>
      <c r="K2" s="53" t="s">
        <v>161</v>
      </c>
      <c r="L2" s="53">
        <v>1</v>
      </c>
      <c r="N2" s="53">
        <v>4</v>
      </c>
      <c r="O2" s="53">
        <v>0.44</v>
      </c>
      <c r="P2" s="53">
        <v>0.47</v>
      </c>
      <c r="Q2" s="75">
        <f>IF(OR(O2="",P2=""),"",AVERAGE(O2,P2))</f>
        <v>0.45499999999999996</v>
      </c>
      <c r="R2" s="53">
        <v>15.5</v>
      </c>
      <c r="S2" s="53">
        <v>105</v>
      </c>
      <c r="T2" s="16">
        <f t="shared" ref="T2:T64" si="0">IF(H2="","",IF(OR(H2="GREEN",H2="GK"),IF(S2&gt;=$AX$2,VLOOKUP(S2,$AX$2:$AY$12,2,1),""),IF(S2&gt;=$AZ$2,VLOOKUP(S2,$AZ$2:$BA$12,2,1),"")))</f>
        <v>33</v>
      </c>
      <c r="U2" s="53">
        <v>398</v>
      </c>
      <c r="V2" s="16">
        <f t="shared" ref="V2:V64" si="1">IF(J2="","",IF(OR(J2="GREEN",J2="GK"),IF(U2&gt;=$AX$2,VLOOKUP(U2,$AX$2:$AY$12,2,1),""),IF(U2&gt;=$AZ$2,VLOOKUP(U2,$AZ$2:$BA$12,2,1),"")))</f>
        <v>16</v>
      </c>
      <c r="W2" s="53">
        <v>2</v>
      </c>
      <c r="X2" s="53" t="s">
        <v>46</v>
      </c>
      <c r="Y2" s="53" t="s">
        <v>90</v>
      </c>
      <c r="Z2" s="53" t="s">
        <v>84</v>
      </c>
      <c r="AA2" s="53" t="s">
        <v>78</v>
      </c>
      <c r="AB2" s="53" t="s">
        <v>285</v>
      </c>
      <c r="AE2" s="64" t="s">
        <v>35</v>
      </c>
      <c r="AG2" s="124" t="s">
        <v>286</v>
      </c>
      <c r="AH2" s="125" t="s">
        <v>287</v>
      </c>
      <c r="AJ2" s="67" t="s">
        <v>36</v>
      </c>
      <c r="AL2" s="67" t="s">
        <v>127</v>
      </c>
      <c r="AN2" s="67" t="s">
        <v>288</v>
      </c>
      <c r="AP2" s="67" t="s">
        <v>38</v>
      </c>
      <c r="AR2" s="67" t="s">
        <v>120</v>
      </c>
      <c r="AT2" s="67" t="s">
        <v>39</v>
      </c>
      <c r="AV2" s="23" t="s">
        <v>55</v>
      </c>
      <c r="AX2" s="68">
        <v>1</v>
      </c>
      <c r="AY2" s="69">
        <v>50</v>
      </c>
      <c r="AZ2" s="69">
        <v>1</v>
      </c>
      <c r="BA2" s="70">
        <v>50</v>
      </c>
    </row>
    <row r="3" spans="1:53" x14ac:dyDescent="0.15">
      <c r="A3" s="53" t="s">
        <v>59</v>
      </c>
      <c r="B3" s="53" t="s">
        <v>233</v>
      </c>
      <c r="C3" s="62">
        <v>2019</v>
      </c>
      <c r="D3" s="123" t="s">
        <v>166</v>
      </c>
      <c r="E3" s="53" t="s">
        <v>283</v>
      </c>
      <c r="F3" s="53" t="s">
        <v>284</v>
      </c>
      <c r="G3" s="53" t="s">
        <v>36</v>
      </c>
      <c r="H3" s="53" t="s">
        <v>160</v>
      </c>
      <c r="I3" s="53" t="s">
        <v>159</v>
      </c>
      <c r="J3" s="53" t="s">
        <v>38</v>
      </c>
      <c r="K3" s="53" t="s">
        <v>161</v>
      </c>
      <c r="L3" s="53">
        <v>2</v>
      </c>
      <c r="N3" s="53">
        <v>4</v>
      </c>
      <c r="O3" s="53">
        <v>0.39</v>
      </c>
      <c r="P3" s="53">
        <v>0.35</v>
      </c>
      <c r="Q3" s="75">
        <f t="shared" ref="Q3:Q64" si="2">IF(OR(O3="",P3=""),"",AVERAGE(O3,P3))</f>
        <v>0.37</v>
      </c>
      <c r="R3" s="53">
        <v>14.9</v>
      </c>
      <c r="S3" s="53">
        <v>105</v>
      </c>
      <c r="T3" s="16">
        <f t="shared" si="0"/>
        <v>33</v>
      </c>
      <c r="U3" s="53">
        <v>398</v>
      </c>
      <c r="V3" s="16">
        <f t="shared" si="1"/>
        <v>16</v>
      </c>
      <c r="W3" s="53">
        <v>2</v>
      </c>
      <c r="X3" s="53" t="s">
        <v>46</v>
      </c>
      <c r="Y3" s="53" t="s">
        <v>90</v>
      </c>
      <c r="Z3" s="53" t="s">
        <v>84</v>
      </c>
      <c r="AA3" s="53" t="s">
        <v>78</v>
      </c>
      <c r="AB3" s="53" t="s">
        <v>285</v>
      </c>
      <c r="AE3" s="22" t="s">
        <v>41</v>
      </c>
      <c r="AG3" s="124" t="s">
        <v>289</v>
      </c>
      <c r="AH3" s="125" t="s">
        <v>284</v>
      </c>
      <c r="AJ3" s="23" t="s">
        <v>42</v>
      </c>
      <c r="AL3" s="23" t="s">
        <v>128</v>
      </c>
      <c r="AN3" s="23" t="s">
        <v>43</v>
      </c>
      <c r="AP3" s="23" t="s">
        <v>44</v>
      </c>
      <c r="AR3" s="23" t="s">
        <v>45</v>
      </c>
      <c r="AT3" s="23" t="s">
        <v>46</v>
      </c>
      <c r="AV3" s="23" t="s">
        <v>290</v>
      </c>
      <c r="AX3" s="24">
        <v>72</v>
      </c>
      <c r="AY3" s="25">
        <v>46</v>
      </c>
      <c r="AZ3" s="25">
        <v>71</v>
      </c>
      <c r="BA3" s="26">
        <v>42</v>
      </c>
    </row>
    <row r="4" spans="1:53" x14ac:dyDescent="0.15">
      <c r="A4" s="53" t="s">
        <v>59</v>
      </c>
      <c r="B4" s="53" t="s">
        <v>233</v>
      </c>
      <c r="C4" s="62">
        <v>2019</v>
      </c>
      <c r="D4" s="123" t="s">
        <v>166</v>
      </c>
      <c r="E4" s="53" t="s">
        <v>283</v>
      </c>
      <c r="F4" s="53" t="s">
        <v>284</v>
      </c>
      <c r="G4" s="53" t="s">
        <v>36</v>
      </c>
      <c r="H4" s="53" t="s">
        <v>160</v>
      </c>
      <c r="I4" s="53" t="s">
        <v>291</v>
      </c>
      <c r="J4" s="53" t="s">
        <v>38</v>
      </c>
      <c r="K4" s="53" t="s">
        <v>161</v>
      </c>
      <c r="L4" s="53">
        <v>3</v>
      </c>
      <c r="N4" s="53">
        <v>4</v>
      </c>
      <c r="O4" s="53">
        <v>0.43</v>
      </c>
      <c r="P4" s="53">
        <v>0.45</v>
      </c>
      <c r="Q4" s="75">
        <f t="shared" si="2"/>
        <v>0.44</v>
      </c>
      <c r="R4" s="53">
        <v>15.6</v>
      </c>
      <c r="S4" s="53">
        <v>94</v>
      </c>
      <c r="T4" s="16">
        <f t="shared" si="0"/>
        <v>36</v>
      </c>
      <c r="U4" s="53">
        <v>398</v>
      </c>
      <c r="V4" s="16">
        <f t="shared" si="1"/>
        <v>16</v>
      </c>
      <c r="W4" s="53">
        <v>2</v>
      </c>
      <c r="X4" s="53" t="s">
        <v>46</v>
      </c>
      <c r="Y4" s="53" t="s">
        <v>90</v>
      </c>
      <c r="Z4" s="53" t="s">
        <v>84</v>
      </c>
      <c r="AA4" s="53" t="s">
        <v>78</v>
      </c>
      <c r="AB4" s="53" t="s">
        <v>285</v>
      </c>
      <c r="AE4" s="22" t="s">
        <v>34</v>
      </c>
      <c r="AG4" s="124" t="s">
        <v>292</v>
      </c>
      <c r="AH4" s="125" t="s">
        <v>293</v>
      </c>
      <c r="AJ4" s="27" t="s">
        <v>48</v>
      </c>
      <c r="AL4" s="27" t="s">
        <v>129</v>
      </c>
      <c r="AN4" s="28" t="s">
        <v>49</v>
      </c>
      <c r="AP4" s="23" t="s">
        <v>93</v>
      </c>
      <c r="AR4" s="23" t="s">
        <v>294</v>
      </c>
      <c r="AT4" s="28"/>
      <c r="AV4" s="23" t="s">
        <v>295</v>
      </c>
      <c r="AX4" s="24">
        <v>75</v>
      </c>
      <c r="AY4" s="25">
        <v>42</v>
      </c>
      <c r="AZ4" s="25">
        <v>76</v>
      </c>
      <c r="BA4" s="26">
        <v>39</v>
      </c>
    </row>
    <row r="5" spans="1:53" x14ac:dyDescent="0.15">
      <c r="A5" s="53" t="s">
        <v>59</v>
      </c>
      <c r="B5" s="53" t="s">
        <v>233</v>
      </c>
      <c r="C5" s="62">
        <v>2019</v>
      </c>
      <c r="D5" s="123" t="s">
        <v>166</v>
      </c>
      <c r="E5" s="53" t="s">
        <v>283</v>
      </c>
      <c r="F5" s="53" t="s">
        <v>284</v>
      </c>
      <c r="G5" s="53" t="s">
        <v>36</v>
      </c>
      <c r="H5" s="53" t="s">
        <v>164</v>
      </c>
      <c r="I5" s="53" t="s">
        <v>159</v>
      </c>
      <c r="J5" s="53" t="s">
        <v>38</v>
      </c>
      <c r="K5" s="53" t="s">
        <v>161</v>
      </c>
      <c r="L5" s="53">
        <v>1</v>
      </c>
      <c r="N5" s="53">
        <v>5</v>
      </c>
      <c r="O5" s="53">
        <v>0.62</v>
      </c>
      <c r="P5" s="53">
        <v>0.63</v>
      </c>
      <c r="Q5" s="75">
        <f t="shared" si="2"/>
        <v>0.625</v>
      </c>
      <c r="R5" s="53">
        <v>15.3</v>
      </c>
      <c r="S5" s="53">
        <v>101</v>
      </c>
      <c r="T5" s="16">
        <f t="shared" si="0"/>
        <v>33</v>
      </c>
      <c r="U5" s="53">
        <v>348</v>
      </c>
      <c r="V5" s="16">
        <f t="shared" si="1"/>
        <v>16</v>
      </c>
      <c r="W5" s="53">
        <v>2</v>
      </c>
      <c r="X5" s="53" t="s">
        <v>46</v>
      </c>
      <c r="Y5" s="53" t="s">
        <v>90</v>
      </c>
      <c r="Z5" s="53" t="s">
        <v>84</v>
      </c>
      <c r="AA5" s="53" t="s">
        <v>78</v>
      </c>
      <c r="AB5" s="53" t="s">
        <v>285</v>
      </c>
      <c r="AE5" s="22" t="s">
        <v>51</v>
      </c>
      <c r="AG5" s="124" t="s">
        <v>296</v>
      </c>
      <c r="AH5" s="125" t="s">
        <v>297</v>
      </c>
      <c r="AJ5" s="28"/>
      <c r="AL5" s="73" t="s">
        <v>66</v>
      </c>
      <c r="AN5" s="73" t="s">
        <v>52</v>
      </c>
      <c r="AP5" s="23" t="s">
        <v>247</v>
      </c>
      <c r="AR5" s="23" t="s">
        <v>54</v>
      </c>
      <c r="AV5" s="23" t="s">
        <v>298</v>
      </c>
      <c r="AX5" s="24">
        <v>84</v>
      </c>
      <c r="AY5" s="25">
        <v>39</v>
      </c>
      <c r="AZ5" s="25">
        <v>84</v>
      </c>
      <c r="BA5" s="26">
        <v>36</v>
      </c>
    </row>
    <row r="6" spans="1:53" x14ac:dyDescent="0.15">
      <c r="A6" s="53" t="s">
        <v>59</v>
      </c>
      <c r="B6" s="53" t="s">
        <v>233</v>
      </c>
      <c r="C6" s="62">
        <v>2019</v>
      </c>
      <c r="D6" s="123" t="s">
        <v>166</v>
      </c>
      <c r="E6" s="53" t="s">
        <v>283</v>
      </c>
      <c r="F6" s="53" t="s">
        <v>284</v>
      </c>
      <c r="G6" s="53" t="s">
        <v>36</v>
      </c>
      <c r="H6" s="53" t="s">
        <v>164</v>
      </c>
      <c r="I6" s="53" t="s">
        <v>159</v>
      </c>
      <c r="J6" s="53" t="s">
        <v>38</v>
      </c>
      <c r="K6" s="53" t="s">
        <v>161</v>
      </c>
      <c r="L6" s="53">
        <v>2</v>
      </c>
      <c r="N6" s="53">
        <v>5</v>
      </c>
      <c r="O6" s="53">
        <v>0.55000000000000004</v>
      </c>
      <c r="P6" s="53">
        <v>0.63</v>
      </c>
      <c r="Q6" s="75">
        <f t="shared" si="2"/>
        <v>0.59000000000000008</v>
      </c>
      <c r="R6" s="53">
        <v>15</v>
      </c>
      <c r="S6" s="53">
        <v>105</v>
      </c>
      <c r="T6" s="16">
        <f t="shared" si="0"/>
        <v>33</v>
      </c>
      <c r="U6" s="53">
        <v>348</v>
      </c>
      <c r="V6" s="16">
        <f t="shared" si="1"/>
        <v>16</v>
      </c>
      <c r="W6" s="53">
        <v>2</v>
      </c>
      <c r="X6" s="53" t="s">
        <v>46</v>
      </c>
      <c r="Y6" s="53" t="s">
        <v>90</v>
      </c>
      <c r="Z6" s="53" t="s">
        <v>84</v>
      </c>
      <c r="AA6" s="53" t="s">
        <v>78</v>
      </c>
      <c r="AB6" s="53" t="s">
        <v>285</v>
      </c>
      <c r="AE6" s="22" t="s">
        <v>56</v>
      </c>
      <c r="AG6" s="124" t="s">
        <v>299</v>
      </c>
      <c r="AH6" s="125" t="s">
        <v>300</v>
      </c>
      <c r="AL6" s="73" t="s">
        <v>99</v>
      </c>
      <c r="AN6" s="73" t="s">
        <v>57</v>
      </c>
      <c r="AP6" s="23" t="s">
        <v>53</v>
      </c>
      <c r="AR6" s="23" t="s">
        <v>301</v>
      </c>
      <c r="AV6" s="23" t="s">
        <v>60</v>
      </c>
      <c r="AX6" s="24">
        <v>97</v>
      </c>
      <c r="AY6" s="25">
        <v>36</v>
      </c>
      <c r="AZ6" s="25">
        <v>99</v>
      </c>
      <c r="BA6" s="26">
        <v>33</v>
      </c>
    </row>
    <row r="7" spans="1:53" x14ac:dyDescent="0.15">
      <c r="A7" s="53" t="s">
        <v>59</v>
      </c>
      <c r="B7" s="53" t="s">
        <v>233</v>
      </c>
      <c r="C7" s="62">
        <v>2019</v>
      </c>
      <c r="D7" s="123" t="s">
        <v>166</v>
      </c>
      <c r="E7" s="53" t="s">
        <v>283</v>
      </c>
      <c r="F7" s="53" t="s">
        <v>284</v>
      </c>
      <c r="G7" s="53" t="s">
        <v>36</v>
      </c>
      <c r="H7" s="53" t="s">
        <v>164</v>
      </c>
      <c r="I7" s="53" t="s">
        <v>159</v>
      </c>
      <c r="J7" s="53" t="s">
        <v>38</v>
      </c>
      <c r="K7" s="53" t="s">
        <v>161</v>
      </c>
      <c r="L7" s="53">
        <v>3</v>
      </c>
      <c r="N7" s="53">
        <v>5</v>
      </c>
      <c r="O7" s="53">
        <v>0.59</v>
      </c>
      <c r="P7" s="53">
        <v>0.64</v>
      </c>
      <c r="Q7" s="75">
        <f t="shared" si="2"/>
        <v>0.61499999999999999</v>
      </c>
      <c r="R7" s="53">
        <v>15.1</v>
      </c>
      <c r="S7" s="53">
        <v>95</v>
      </c>
      <c r="T7" s="16">
        <f t="shared" si="0"/>
        <v>36</v>
      </c>
      <c r="U7" s="53">
        <v>348</v>
      </c>
      <c r="V7" s="16">
        <f t="shared" si="1"/>
        <v>16</v>
      </c>
      <c r="W7" s="53">
        <v>2</v>
      </c>
      <c r="X7" s="53" t="s">
        <v>46</v>
      </c>
      <c r="Y7" s="53" t="s">
        <v>90</v>
      </c>
      <c r="Z7" s="53" t="s">
        <v>84</v>
      </c>
      <c r="AA7" s="53" t="s">
        <v>78</v>
      </c>
      <c r="AB7" s="53" t="s">
        <v>285</v>
      </c>
      <c r="AE7" s="22" t="s">
        <v>61</v>
      </c>
      <c r="AG7" s="124" t="s">
        <v>302</v>
      </c>
      <c r="AH7" s="125" t="s">
        <v>303</v>
      </c>
      <c r="AL7" s="34" t="s">
        <v>109</v>
      </c>
      <c r="AP7" s="23" t="s">
        <v>58</v>
      </c>
      <c r="AR7" s="23" t="s">
        <v>304</v>
      </c>
      <c r="AV7" s="23" t="s">
        <v>64</v>
      </c>
      <c r="AX7" s="24">
        <v>109</v>
      </c>
      <c r="AY7" s="25">
        <v>33</v>
      </c>
      <c r="AZ7" s="25">
        <v>113</v>
      </c>
      <c r="BA7" s="26">
        <v>30</v>
      </c>
    </row>
    <row r="8" spans="1:53" x14ac:dyDescent="0.15">
      <c r="A8" s="53" t="s">
        <v>59</v>
      </c>
      <c r="B8" s="53" t="s">
        <v>233</v>
      </c>
      <c r="C8" s="62">
        <v>2019</v>
      </c>
      <c r="D8" s="123" t="s">
        <v>166</v>
      </c>
      <c r="E8" s="53" t="s">
        <v>286</v>
      </c>
      <c r="F8" s="53" t="s">
        <v>287</v>
      </c>
      <c r="G8" s="53" t="s">
        <v>36</v>
      </c>
      <c r="H8" s="53" t="s">
        <v>160</v>
      </c>
      <c r="I8" s="53" t="s">
        <v>159</v>
      </c>
      <c r="J8" s="53" t="s">
        <v>38</v>
      </c>
      <c r="K8" s="53" t="s">
        <v>161</v>
      </c>
      <c r="L8" s="53">
        <v>1</v>
      </c>
      <c r="N8" s="53">
        <v>4</v>
      </c>
      <c r="O8" s="53">
        <v>0.46</v>
      </c>
      <c r="P8" s="53">
        <v>0.46</v>
      </c>
      <c r="Q8" s="75">
        <f t="shared" si="2"/>
        <v>0.46</v>
      </c>
      <c r="R8" s="53">
        <v>14.9</v>
      </c>
      <c r="S8" s="53">
        <v>95</v>
      </c>
      <c r="T8" s="16">
        <f t="shared" si="0"/>
        <v>36</v>
      </c>
      <c r="U8" s="53">
        <v>377</v>
      </c>
      <c r="V8" s="16">
        <f t="shared" si="1"/>
        <v>16</v>
      </c>
      <c r="W8" s="53">
        <v>4</v>
      </c>
      <c r="X8" s="53" t="s">
        <v>46</v>
      </c>
      <c r="Y8" s="53" t="s">
        <v>90</v>
      </c>
      <c r="Z8" s="53" t="s">
        <v>84</v>
      </c>
      <c r="AA8" s="53" t="s">
        <v>78</v>
      </c>
      <c r="AB8" s="53" t="s">
        <v>285</v>
      </c>
      <c r="AE8" s="22" t="s">
        <v>59</v>
      </c>
      <c r="AG8" s="126" t="s">
        <v>162</v>
      </c>
      <c r="AH8" s="125" t="s">
        <v>305</v>
      </c>
      <c r="AL8" s="34" t="s">
        <v>134</v>
      </c>
      <c r="AP8" s="23" t="s">
        <v>62</v>
      </c>
      <c r="AR8" s="23" t="s">
        <v>81</v>
      </c>
      <c r="AV8" s="23" t="s">
        <v>97</v>
      </c>
      <c r="AX8" s="24">
        <v>119</v>
      </c>
      <c r="AY8" s="25">
        <v>30</v>
      </c>
      <c r="AZ8" s="25">
        <v>121</v>
      </c>
      <c r="BA8" s="26">
        <v>27</v>
      </c>
    </row>
    <row r="9" spans="1:53" x14ac:dyDescent="0.15">
      <c r="A9" s="53" t="s">
        <v>59</v>
      </c>
      <c r="B9" s="53" t="s">
        <v>233</v>
      </c>
      <c r="C9" s="62">
        <v>2019</v>
      </c>
      <c r="D9" s="123" t="s">
        <v>166</v>
      </c>
      <c r="E9" s="53" t="s">
        <v>286</v>
      </c>
      <c r="F9" s="53" t="s">
        <v>287</v>
      </c>
      <c r="G9" s="53" t="s">
        <v>36</v>
      </c>
      <c r="H9" s="53" t="s">
        <v>160</v>
      </c>
      <c r="I9" s="53" t="s">
        <v>159</v>
      </c>
      <c r="J9" s="53" t="s">
        <v>38</v>
      </c>
      <c r="K9" s="53" t="s">
        <v>161</v>
      </c>
      <c r="L9" s="53">
        <v>2</v>
      </c>
      <c r="N9" s="53">
        <v>4</v>
      </c>
      <c r="O9" s="53">
        <v>0.38</v>
      </c>
      <c r="P9" s="53">
        <v>0.42</v>
      </c>
      <c r="Q9" s="75">
        <f t="shared" si="2"/>
        <v>0.4</v>
      </c>
      <c r="R9" s="53">
        <v>15.4</v>
      </c>
      <c r="S9" s="53">
        <v>97</v>
      </c>
      <c r="T9" s="16">
        <f t="shared" si="0"/>
        <v>36</v>
      </c>
      <c r="U9" s="53">
        <v>377</v>
      </c>
      <c r="V9" s="16">
        <f t="shared" si="1"/>
        <v>16</v>
      </c>
      <c r="W9" s="53">
        <v>4</v>
      </c>
      <c r="X9" s="53" t="s">
        <v>46</v>
      </c>
      <c r="Y9" s="53" t="s">
        <v>90</v>
      </c>
      <c r="Z9" s="53" t="s">
        <v>84</v>
      </c>
      <c r="AA9" s="53" t="s">
        <v>78</v>
      </c>
      <c r="AB9" s="53" t="s">
        <v>285</v>
      </c>
      <c r="AE9" s="22" t="s">
        <v>98</v>
      </c>
      <c r="AG9" s="126" t="s">
        <v>306</v>
      </c>
      <c r="AH9" s="125" t="s">
        <v>305</v>
      </c>
      <c r="AL9" s="73"/>
      <c r="AP9" s="23" t="s">
        <v>307</v>
      </c>
      <c r="AR9" s="23" t="s">
        <v>89</v>
      </c>
      <c r="AV9" s="23" t="s">
        <v>102</v>
      </c>
      <c r="AX9" s="24">
        <v>128</v>
      </c>
      <c r="AY9" s="25">
        <v>27</v>
      </c>
      <c r="AZ9" s="25">
        <v>129</v>
      </c>
      <c r="BA9" s="26">
        <v>25</v>
      </c>
    </row>
    <row r="10" spans="1:53" x14ac:dyDescent="0.15">
      <c r="A10" s="53" t="s">
        <v>59</v>
      </c>
      <c r="B10" s="53" t="s">
        <v>233</v>
      </c>
      <c r="C10" s="62">
        <v>2019</v>
      </c>
      <c r="D10" s="123" t="s">
        <v>166</v>
      </c>
      <c r="E10" s="53" t="s">
        <v>286</v>
      </c>
      <c r="F10" s="53" t="s">
        <v>287</v>
      </c>
      <c r="G10" s="53" t="s">
        <v>36</v>
      </c>
      <c r="H10" s="53" t="s">
        <v>160</v>
      </c>
      <c r="I10" s="53" t="s">
        <v>159</v>
      </c>
      <c r="J10" s="53" t="s">
        <v>38</v>
      </c>
      <c r="K10" s="53" t="s">
        <v>161</v>
      </c>
      <c r="L10" s="53">
        <v>3</v>
      </c>
      <c r="N10" s="53">
        <v>4</v>
      </c>
      <c r="O10" s="53">
        <v>0.41</v>
      </c>
      <c r="P10" s="53">
        <v>0.44</v>
      </c>
      <c r="Q10" s="75">
        <f t="shared" si="2"/>
        <v>0.42499999999999999</v>
      </c>
      <c r="R10" s="53">
        <v>14.7</v>
      </c>
      <c r="S10" s="53">
        <v>103</v>
      </c>
      <c r="T10" s="16">
        <f t="shared" si="0"/>
        <v>33</v>
      </c>
      <c r="U10" s="53">
        <v>377</v>
      </c>
      <c r="V10" s="16">
        <f t="shared" si="1"/>
        <v>16</v>
      </c>
      <c r="W10" s="53">
        <v>4</v>
      </c>
      <c r="X10" s="53" t="s">
        <v>46</v>
      </c>
      <c r="Y10" s="53" t="s">
        <v>90</v>
      </c>
      <c r="Z10" s="53" t="s">
        <v>84</v>
      </c>
      <c r="AA10" s="53" t="s">
        <v>78</v>
      </c>
      <c r="AB10" s="53" t="s">
        <v>285</v>
      </c>
      <c r="AE10" s="22" t="s">
        <v>103</v>
      </c>
      <c r="AG10" s="124" t="s">
        <v>308</v>
      </c>
      <c r="AH10" s="125" t="s">
        <v>297</v>
      </c>
      <c r="AL10" s="83"/>
      <c r="AP10" s="23" t="s">
        <v>100</v>
      </c>
      <c r="AR10" s="23" t="s">
        <v>123</v>
      </c>
      <c r="AV10" s="23" t="s">
        <v>106</v>
      </c>
      <c r="AX10" s="24">
        <v>138</v>
      </c>
      <c r="AY10" s="25">
        <v>25</v>
      </c>
      <c r="AZ10" s="25">
        <v>138</v>
      </c>
      <c r="BA10" s="26">
        <v>22</v>
      </c>
    </row>
    <row r="11" spans="1:53" x14ac:dyDescent="0.15">
      <c r="A11" s="53" t="s">
        <v>59</v>
      </c>
      <c r="B11" s="53" t="s">
        <v>233</v>
      </c>
      <c r="C11" s="62">
        <v>2019</v>
      </c>
      <c r="D11" s="123" t="s">
        <v>166</v>
      </c>
      <c r="E11" s="53" t="s">
        <v>286</v>
      </c>
      <c r="F11" s="53" t="s">
        <v>287</v>
      </c>
      <c r="G11" s="53" t="s">
        <v>36</v>
      </c>
      <c r="H11" s="53" t="s">
        <v>164</v>
      </c>
      <c r="I11" s="53" t="s">
        <v>159</v>
      </c>
      <c r="J11" s="53" t="s">
        <v>38</v>
      </c>
      <c r="K11" s="53" t="s">
        <v>161</v>
      </c>
      <c r="L11" s="53">
        <v>1</v>
      </c>
      <c r="N11" s="53">
        <v>4</v>
      </c>
      <c r="O11" s="53">
        <v>0.32</v>
      </c>
      <c r="P11" s="53">
        <v>0.35</v>
      </c>
      <c r="Q11" s="75">
        <f t="shared" si="2"/>
        <v>0.33499999999999996</v>
      </c>
      <c r="R11" s="53">
        <v>13.9</v>
      </c>
      <c r="S11" s="53">
        <v>101</v>
      </c>
      <c r="T11" s="16">
        <f t="shared" si="0"/>
        <v>33</v>
      </c>
      <c r="U11" s="53">
        <v>297</v>
      </c>
      <c r="V11" s="16">
        <f t="shared" si="1"/>
        <v>16</v>
      </c>
      <c r="W11" s="53">
        <v>7</v>
      </c>
      <c r="X11" s="53" t="s">
        <v>39</v>
      </c>
      <c r="Y11" s="53" t="s">
        <v>90</v>
      </c>
      <c r="Z11" s="53" t="s">
        <v>84</v>
      </c>
      <c r="AA11" s="53" t="s">
        <v>78</v>
      </c>
      <c r="AB11" s="53" t="s">
        <v>285</v>
      </c>
      <c r="AE11" s="22" t="s">
        <v>65</v>
      </c>
      <c r="AG11" s="126" t="s">
        <v>309</v>
      </c>
      <c r="AH11" s="125" t="s">
        <v>310</v>
      </c>
      <c r="AL11" s="83"/>
      <c r="AP11" s="23" t="s">
        <v>311</v>
      </c>
      <c r="AR11" s="23" t="s">
        <v>312</v>
      </c>
      <c r="AV11" s="23" t="s">
        <v>313</v>
      </c>
      <c r="AX11" s="24">
        <v>151</v>
      </c>
      <c r="AY11" s="25">
        <v>22</v>
      </c>
      <c r="AZ11" s="25">
        <v>152</v>
      </c>
      <c r="BA11" s="26">
        <v>18</v>
      </c>
    </row>
    <row r="12" spans="1:53" x14ac:dyDescent="0.15">
      <c r="A12" s="53" t="s">
        <v>59</v>
      </c>
      <c r="B12" s="53" t="s">
        <v>233</v>
      </c>
      <c r="C12" s="62">
        <v>2019</v>
      </c>
      <c r="D12" s="123" t="s">
        <v>166</v>
      </c>
      <c r="E12" s="53" t="s">
        <v>286</v>
      </c>
      <c r="F12" s="53" t="s">
        <v>287</v>
      </c>
      <c r="G12" s="53" t="s">
        <v>36</v>
      </c>
      <c r="H12" s="53" t="s">
        <v>164</v>
      </c>
      <c r="I12" s="53" t="s">
        <v>159</v>
      </c>
      <c r="J12" s="53" t="s">
        <v>38</v>
      </c>
      <c r="K12" s="53" t="s">
        <v>161</v>
      </c>
      <c r="L12" s="53">
        <v>2</v>
      </c>
      <c r="N12" s="53">
        <v>4</v>
      </c>
      <c r="O12" s="53">
        <v>0.39</v>
      </c>
      <c r="P12" s="53">
        <v>0.37</v>
      </c>
      <c r="Q12" s="75">
        <f t="shared" si="2"/>
        <v>0.38</v>
      </c>
      <c r="R12" s="53">
        <v>15.1</v>
      </c>
      <c r="S12" s="53">
        <v>92</v>
      </c>
      <c r="T12" s="16">
        <f t="shared" si="0"/>
        <v>36</v>
      </c>
      <c r="U12" s="53">
        <v>297</v>
      </c>
      <c r="V12" s="16">
        <f t="shared" si="1"/>
        <v>16</v>
      </c>
      <c r="W12" s="53">
        <v>7</v>
      </c>
      <c r="X12" s="53" t="s">
        <v>39</v>
      </c>
      <c r="Y12" s="53" t="s">
        <v>90</v>
      </c>
      <c r="Z12" s="53" t="s">
        <v>84</v>
      </c>
      <c r="AA12" s="53" t="s">
        <v>78</v>
      </c>
      <c r="AB12" s="53" t="s">
        <v>285</v>
      </c>
      <c r="AE12" s="22" t="s">
        <v>70</v>
      </c>
      <c r="AG12" s="23"/>
      <c r="AH12" s="127"/>
      <c r="AL12" s="83"/>
      <c r="AP12" s="23" t="s">
        <v>67</v>
      </c>
      <c r="AR12" s="23" t="s">
        <v>124</v>
      </c>
      <c r="AV12" s="23" t="s">
        <v>72</v>
      </c>
      <c r="AX12" s="31">
        <v>180</v>
      </c>
      <c r="AY12" s="32">
        <v>18</v>
      </c>
      <c r="AZ12" s="32">
        <v>181</v>
      </c>
      <c r="BA12" s="33">
        <v>16</v>
      </c>
    </row>
    <row r="13" spans="1:53" x14ac:dyDescent="0.15">
      <c r="A13" s="53" t="s">
        <v>59</v>
      </c>
      <c r="B13" s="53" t="s">
        <v>233</v>
      </c>
      <c r="C13" s="62">
        <v>2019</v>
      </c>
      <c r="D13" s="123" t="s">
        <v>166</v>
      </c>
      <c r="E13" s="53" t="s">
        <v>286</v>
      </c>
      <c r="F13" s="53" t="s">
        <v>287</v>
      </c>
      <c r="G13" s="53" t="s">
        <v>36</v>
      </c>
      <c r="H13" s="53" t="s">
        <v>164</v>
      </c>
      <c r="I13" s="53" t="s">
        <v>159</v>
      </c>
      <c r="J13" s="53" t="s">
        <v>38</v>
      </c>
      <c r="K13" s="53" t="s">
        <v>161</v>
      </c>
      <c r="L13" s="53">
        <v>3</v>
      </c>
      <c r="N13" s="53">
        <v>4</v>
      </c>
      <c r="O13" s="53">
        <v>0.38</v>
      </c>
      <c r="P13" s="53">
        <v>0.37</v>
      </c>
      <c r="Q13" s="75">
        <f t="shared" si="2"/>
        <v>0.375</v>
      </c>
      <c r="R13" s="53">
        <v>14.4</v>
      </c>
      <c r="S13" s="53">
        <v>98</v>
      </c>
      <c r="T13" s="16">
        <f t="shared" si="0"/>
        <v>36</v>
      </c>
      <c r="U13" s="53">
        <v>297</v>
      </c>
      <c r="V13" s="16">
        <f t="shared" si="1"/>
        <v>16</v>
      </c>
      <c r="W13" s="53">
        <v>7</v>
      </c>
      <c r="X13" s="53" t="s">
        <v>39</v>
      </c>
      <c r="Y13" s="53" t="s">
        <v>90</v>
      </c>
      <c r="Z13" s="53" t="s">
        <v>84</v>
      </c>
      <c r="AA13" s="53" t="s">
        <v>78</v>
      </c>
      <c r="AB13" s="53" t="s">
        <v>285</v>
      </c>
      <c r="AE13" s="22" t="s">
        <v>73</v>
      </c>
      <c r="AG13" s="23"/>
      <c r="AH13" s="23"/>
      <c r="AP13" s="23" t="s">
        <v>71</v>
      </c>
      <c r="AR13" s="23" t="s">
        <v>103</v>
      </c>
      <c r="AV13" s="23" t="s">
        <v>75</v>
      </c>
    </row>
    <row r="14" spans="1:53" x14ac:dyDescent="0.15">
      <c r="A14" s="53" t="s">
        <v>59</v>
      </c>
      <c r="B14" s="53" t="s">
        <v>233</v>
      </c>
      <c r="C14" s="62">
        <v>2019</v>
      </c>
      <c r="D14" s="123" t="s">
        <v>166</v>
      </c>
      <c r="E14" s="53" t="s">
        <v>296</v>
      </c>
      <c r="F14" s="53" t="s">
        <v>297</v>
      </c>
      <c r="G14" s="53" t="s">
        <v>36</v>
      </c>
      <c r="H14" s="53" t="s">
        <v>160</v>
      </c>
      <c r="I14" s="53" t="s">
        <v>159</v>
      </c>
      <c r="J14" s="53" t="s">
        <v>38</v>
      </c>
      <c r="K14" s="53" t="s">
        <v>161</v>
      </c>
      <c r="L14" s="53">
        <v>1</v>
      </c>
      <c r="N14" s="53">
        <v>3</v>
      </c>
      <c r="O14" s="53">
        <v>0.43</v>
      </c>
      <c r="P14" s="53">
        <v>0.52</v>
      </c>
      <c r="Q14" s="75">
        <f t="shared" si="2"/>
        <v>0.47499999999999998</v>
      </c>
      <c r="R14" s="53">
        <v>15.1</v>
      </c>
      <c r="S14" s="53">
        <v>111</v>
      </c>
      <c r="T14" s="16">
        <f t="shared" si="0"/>
        <v>33</v>
      </c>
      <c r="U14" s="53">
        <v>399</v>
      </c>
      <c r="V14" s="16">
        <f t="shared" si="1"/>
        <v>16</v>
      </c>
      <c r="W14" s="53">
        <v>5</v>
      </c>
      <c r="X14" s="53" t="s">
        <v>39</v>
      </c>
      <c r="Y14" s="53" t="s">
        <v>90</v>
      </c>
      <c r="Z14" s="53" t="s">
        <v>84</v>
      </c>
      <c r="AA14" s="53" t="s">
        <v>55</v>
      </c>
      <c r="AB14" s="53" t="s">
        <v>285</v>
      </c>
      <c r="AE14" s="22" t="s">
        <v>76</v>
      </c>
      <c r="AG14" s="23"/>
      <c r="AH14" s="23"/>
      <c r="AP14" s="23" t="s">
        <v>314</v>
      </c>
      <c r="AR14" s="23" t="s">
        <v>125</v>
      </c>
      <c r="AV14" s="23" t="s">
        <v>78</v>
      </c>
    </row>
    <row r="15" spans="1:53" x14ac:dyDescent="0.15">
      <c r="A15" s="53" t="s">
        <v>59</v>
      </c>
      <c r="B15" s="53" t="s">
        <v>233</v>
      </c>
      <c r="C15" s="62">
        <v>2019</v>
      </c>
      <c r="D15" s="123" t="s">
        <v>166</v>
      </c>
      <c r="E15" s="53" t="s">
        <v>296</v>
      </c>
      <c r="F15" s="53" t="s">
        <v>297</v>
      </c>
      <c r="G15" s="53" t="s">
        <v>36</v>
      </c>
      <c r="H15" s="53" t="s">
        <v>160</v>
      </c>
      <c r="I15" s="53" t="s">
        <v>159</v>
      </c>
      <c r="J15" s="53" t="s">
        <v>38</v>
      </c>
      <c r="K15" s="53" t="s">
        <v>161</v>
      </c>
      <c r="L15" s="53">
        <v>2</v>
      </c>
      <c r="N15" s="53">
        <v>3</v>
      </c>
      <c r="O15" s="53">
        <v>0.38</v>
      </c>
      <c r="P15" s="53">
        <v>0.35</v>
      </c>
      <c r="Q15" s="75">
        <f t="shared" si="2"/>
        <v>0.36499999999999999</v>
      </c>
      <c r="R15" s="53">
        <v>15.3</v>
      </c>
      <c r="S15" s="53">
        <v>105</v>
      </c>
      <c r="T15" s="16">
        <f t="shared" si="0"/>
        <v>33</v>
      </c>
      <c r="U15" s="53">
        <v>399</v>
      </c>
      <c r="V15" s="16">
        <f t="shared" si="1"/>
        <v>16</v>
      </c>
      <c r="W15" s="53">
        <v>5</v>
      </c>
      <c r="X15" s="53" t="s">
        <v>39</v>
      </c>
      <c r="Y15" s="53" t="s">
        <v>90</v>
      </c>
      <c r="Z15" s="53" t="s">
        <v>84</v>
      </c>
      <c r="AA15" s="53" t="s">
        <v>55</v>
      </c>
      <c r="AB15" s="53" t="s">
        <v>285</v>
      </c>
      <c r="AE15" s="22" t="s">
        <v>79</v>
      </c>
      <c r="AG15" s="23"/>
      <c r="AH15" s="23"/>
      <c r="AP15" s="23" t="s">
        <v>315</v>
      </c>
      <c r="AR15" s="23" t="s">
        <v>94</v>
      </c>
      <c r="AV15" s="23" t="s">
        <v>107</v>
      </c>
    </row>
    <row r="16" spans="1:53" x14ac:dyDescent="0.15">
      <c r="A16" s="53" t="s">
        <v>59</v>
      </c>
      <c r="B16" s="53" t="s">
        <v>233</v>
      </c>
      <c r="C16" s="62">
        <v>2019</v>
      </c>
      <c r="D16" s="123" t="s">
        <v>166</v>
      </c>
      <c r="E16" s="53" t="s">
        <v>296</v>
      </c>
      <c r="F16" s="53" t="s">
        <v>297</v>
      </c>
      <c r="G16" s="53" t="s">
        <v>36</v>
      </c>
      <c r="H16" s="53" t="s">
        <v>160</v>
      </c>
      <c r="I16" s="53" t="s">
        <v>159</v>
      </c>
      <c r="J16" s="53" t="s">
        <v>38</v>
      </c>
      <c r="K16" s="53" t="s">
        <v>161</v>
      </c>
      <c r="L16" s="53">
        <v>3</v>
      </c>
      <c r="N16" s="53">
        <v>3</v>
      </c>
      <c r="O16" s="53">
        <v>0.41</v>
      </c>
      <c r="P16" s="53">
        <v>0.39</v>
      </c>
      <c r="Q16" s="75">
        <f t="shared" si="2"/>
        <v>0.4</v>
      </c>
      <c r="R16" s="53">
        <v>15</v>
      </c>
      <c r="S16" s="53">
        <v>112</v>
      </c>
      <c r="T16" s="16">
        <f t="shared" si="0"/>
        <v>33</v>
      </c>
      <c r="U16" s="53">
        <v>399</v>
      </c>
      <c r="V16" s="16">
        <f t="shared" si="1"/>
        <v>16</v>
      </c>
      <c r="W16" s="53">
        <v>5</v>
      </c>
      <c r="X16" s="53" t="s">
        <v>39</v>
      </c>
      <c r="Y16" s="53" t="s">
        <v>90</v>
      </c>
      <c r="Z16" s="53" t="s">
        <v>84</v>
      </c>
      <c r="AA16" s="53" t="s">
        <v>55</v>
      </c>
      <c r="AB16" s="53" t="s">
        <v>285</v>
      </c>
      <c r="AE16" s="22" t="s">
        <v>82</v>
      </c>
      <c r="AG16" s="28"/>
      <c r="AH16" s="28"/>
      <c r="AP16" s="23" t="s">
        <v>80</v>
      </c>
      <c r="AR16" s="23" t="s">
        <v>63</v>
      </c>
      <c r="AV16" s="23" t="s">
        <v>84</v>
      </c>
    </row>
    <row r="17" spans="1:48" x14ac:dyDescent="0.15">
      <c r="A17" s="53" t="s">
        <v>59</v>
      </c>
      <c r="B17" s="53" t="s">
        <v>233</v>
      </c>
      <c r="C17" s="62">
        <v>2019</v>
      </c>
      <c r="D17" s="123" t="s">
        <v>166</v>
      </c>
      <c r="E17" s="53" t="s">
        <v>296</v>
      </c>
      <c r="F17" s="53" t="s">
        <v>297</v>
      </c>
      <c r="G17" s="53" t="s">
        <v>36</v>
      </c>
      <c r="H17" s="53" t="s">
        <v>164</v>
      </c>
      <c r="I17" s="53" t="s">
        <v>159</v>
      </c>
      <c r="J17" s="53" t="s">
        <v>38</v>
      </c>
      <c r="K17" s="53" t="s">
        <v>161</v>
      </c>
      <c r="L17" s="53">
        <v>1</v>
      </c>
      <c r="N17" s="53">
        <v>2</v>
      </c>
      <c r="O17" s="53">
        <v>0.54</v>
      </c>
      <c r="P17" s="53">
        <v>0.5</v>
      </c>
      <c r="Q17" s="75">
        <f t="shared" si="2"/>
        <v>0.52</v>
      </c>
      <c r="R17" s="53">
        <v>15.2</v>
      </c>
      <c r="S17" s="53">
        <v>158</v>
      </c>
      <c r="T17" s="16">
        <f t="shared" si="0"/>
        <v>18</v>
      </c>
      <c r="U17" s="53">
        <v>299</v>
      </c>
      <c r="V17" s="16">
        <f t="shared" si="1"/>
        <v>16</v>
      </c>
      <c r="W17" s="53">
        <v>5</v>
      </c>
      <c r="X17" s="53" t="s">
        <v>39</v>
      </c>
      <c r="Y17" s="53" t="s">
        <v>90</v>
      </c>
      <c r="Z17" s="53" t="s">
        <v>84</v>
      </c>
      <c r="AA17" s="53" t="s">
        <v>55</v>
      </c>
      <c r="AB17" s="53" t="s">
        <v>285</v>
      </c>
      <c r="AE17" s="22" t="s">
        <v>85</v>
      </c>
      <c r="AP17" s="27" t="s">
        <v>110</v>
      </c>
      <c r="AR17" s="23" t="s">
        <v>96</v>
      </c>
      <c r="AV17" s="23" t="s">
        <v>86</v>
      </c>
    </row>
    <row r="18" spans="1:48" x14ac:dyDescent="0.15">
      <c r="A18" s="53" t="s">
        <v>59</v>
      </c>
      <c r="B18" s="53" t="s">
        <v>233</v>
      </c>
      <c r="C18" s="62">
        <v>2019</v>
      </c>
      <c r="D18" s="123" t="s">
        <v>166</v>
      </c>
      <c r="E18" s="53" t="s">
        <v>296</v>
      </c>
      <c r="F18" s="53" t="s">
        <v>297</v>
      </c>
      <c r="G18" s="53" t="s">
        <v>36</v>
      </c>
      <c r="H18" s="53" t="s">
        <v>164</v>
      </c>
      <c r="I18" s="53" t="s">
        <v>159</v>
      </c>
      <c r="J18" s="53" t="s">
        <v>38</v>
      </c>
      <c r="K18" s="53" t="s">
        <v>161</v>
      </c>
      <c r="L18" s="53">
        <v>2</v>
      </c>
      <c r="N18" s="53">
        <v>2</v>
      </c>
      <c r="O18" s="53">
        <v>0.59</v>
      </c>
      <c r="P18" s="53">
        <v>0.65</v>
      </c>
      <c r="Q18" s="75">
        <f t="shared" si="2"/>
        <v>0.62</v>
      </c>
      <c r="R18" s="53">
        <v>15.4</v>
      </c>
      <c r="S18" s="53">
        <v>175</v>
      </c>
      <c r="T18" s="16">
        <f t="shared" si="0"/>
        <v>18</v>
      </c>
      <c r="U18" s="53">
        <v>299</v>
      </c>
      <c r="V18" s="16">
        <f t="shared" si="1"/>
        <v>16</v>
      </c>
      <c r="W18" s="53">
        <v>5</v>
      </c>
      <c r="X18" s="53" t="s">
        <v>39</v>
      </c>
      <c r="Y18" s="53" t="s">
        <v>90</v>
      </c>
      <c r="Z18" s="53" t="s">
        <v>84</v>
      </c>
      <c r="AA18" s="53" t="s">
        <v>55</v>
      </c>
      <c r="AB18" s="53" t="s">
        <v>285</v>
      </c>
      <c r="AE18" s="22" t="s">
        <v>87</v>
      </c>
      <c r="AP18" s="27" t="s">
        <v>316</v>
      </c>
      <c r="AR18" s="23" t="s">
        <v>101</v>
      </c>
      <c r="AV18" s="23" t="s">
        <v>88</v>
      </c>
    </row>
    <row r="19" spans="1:48" x14ac:dyDescent="0.15">
      <c r="A19" s="53" t="s">
        <v>59</v>
      </c>
      <c r="B19" s="53" t="s">
        <v>233</v>
      </c>
      <c r="C19" s="62">
        <v>2019</v>
      </c>
      <c r="D19" s="123" t="s">
        <v>166</v>
      </c>
      <c r="E19" s="53" t="s">
        <v>296</v>
      </c>
      <c r="F19" s="53" t="s">
        <v>297</v>
      </c>
      <c r="G19" s="53" t="s">
        <v>36</v>
      </c>
      <c r="H19" s="53" t="s">
        <v>164</v>
      </c>
      <c r="I19" s="53" t="s">
        <v>159</v>
      </c>
      <c r="J19" s="53" t="s">
        <v>38</v>
      </c>
      <c r="K19" s="53" t="s">
        <v>161</v>
      </c>
      <c r="L19" s="53">
        <v>3</v>
      </c>
      <c r="N19" s="53">
        <v>2</v>
      </c>
      <c r="O19" s="53">
        <v>0.56999999999999995</v>
      </c>
      <c r="P19" s="53">
        <v>0.62</v>
      </c>
      <c r="Q19" s="75">
        <f t="shared" si="2"/>
        <v>0.59499999999999997</v>
      </c>
      <c r="R19" s="53">
        <v>15.9</v>
      </c>
      <c r="S19" s="53">
        <v>166</v>
      </c>
      <c r="T19" s="16">
        <f t="shared" si="0"/>
        <v>18</v>
      </c>
      <c r="U19" s="53">
        <v>299</v>
      </c>
      <c r="V19" s="16">
        <f t="shared" si="1"/>
        <v>16</v>
      </c>
      <c r="W19" s="53">
        <v>5</v>
      </c>
      <c r="X19" s="53" t="s">
        <v>39</v>
      </c>
      <c r="Y19" s="53" t="s">
        <v>90</v>
      </c>
      <c r="Z19" s="53" t="s">
        <v>84</v>
      </c>
      <c r="AA19" s="53" t="s">
        <v>55</v>
      </c>
      <c r="AB19" s="53" t="s">
        <v>285</v>
      </c>
      <c r="AE19" s="35" t="s">
        <v>89</v>
      </c>
      <c r="AP19" s="27" t="s">
        <v>112</v>
      </c>
      <c r="AR19" s="23" t="s">
        <v>126</v>
      </c>
      <c r="AV19" s="23" t="s">
        <v>317</v>
      </c>
    </row>
    <row r="20" spans="1:48" x14ac:dyDescent="0.15">
      <c r="A20" s="53" t="s">
        <v>59</v>
      </c>
      <c r="B20" s="53" t="s">
        <v>233</v>
      </c>
      <c r="C20" s="62">
        <v>2019</v>
      </c>
      <c r="D20" s="123" t="s">
        <v>166</v>
      </c>
      <c r="E20" s="53" t="s">
        <v>308</v>
      </c>
      <c r="F20" s="53" t="s">
        <v>297</v>
      </c>
      <c r="G20" s="53" t="s">
        <v>36</v>
      </c>
      <c r="H20" s="53" t="s">
        <v>160</v>
      </c>
      <c r="I20" s="53" t="s">
        <v>159</v>
      </c>
      <c r="J20" s="53" t="s">
        <v>38</v>
      </c>
      <c r="K20" s="53" t="s">
        <v>161</v>
      </c>
      <c r="L20" s="53">
        <v>1</v>
      </c>
      <c r="N20" s="53">
        <v>2</v>
      </c>
      <c r="O20" s="53">
        <v>0.35</v>
      </c>
      <c r="P20" s="53">
        <v>0.38</v>
      </c>
      <c r="Q20" s="75">
        <f t="shared" si="2"/>
        <v>0.36499999999999999</v>
      </c>
      <c r="R20" s="53">
        <v>15.1</v>
      </c>
      <c r="S20" s="53">
        <v>166</v>
      </c>
      <c r="T20" s="16">
        <f t="shared" si="0"/>
        <v>18</v>
      </c>
      <c r="U20" s="53">
        <v>429</v>
      </c>
      <c r="V20" s="16">
        <f t="shared" si="1"/>
        <v>16</v>
      </c>
      <c r="W20" s="53">
        <v>1</v>
      </c>
      <c r="X20" s="53" t="s">
        <v>46</v>
      </c>
      <c r="Y20" s="53" t="s">
        <v>84</v>
      </c>
      <c r="Z20" s="53" t="s">
        <v>90</v>
      </c>
      <c r="AA20" s="53" t="s">
        <v>78</v>
      </c>
      <c r="AB20" s="53" t="s">
        <v>285</v>
      </c>
      <c r="AE20" s="35"/>
      <c r="AP20" s="27" t="s">
        <v>113</v>
      </c>
      <c r="AR20" s="23" t="s">
        <v>105</v>
      </c>
      <c r="AV20" s="27" t="s">
        <v>135</v>
      </c>
    </row>
    <row r="21" spans="1:48" x14ac:dyDescent="0.15">
      <c r="A21" s="53" t="s">
        <v>59</v>
      </c>
      <c r="B21" s="53" t="s">
        <v>233</v>
      </c>
      <c r="C21" s="62">
        <v>2019</v>
      </c>
      <c r="D21" s="123" t="s">
        <v>166</v>
      </c>
      <c r="E21" s="53" t="s">
        <v>308</v>
      </c>
      <c r="F21" s="53" t="s">
        <v>297</v>
      </c>
      <c r="G21" s="53" t="s">
        <v>36</v>
      </c>
      <c r="H21" s="53" t="s">
        <v>160</v>
      </c>
      <c r="I21" s="53" t="s">
        <v>159</v>
      </c>
      <c r="J21" s="53" t="s">
        <v>38</v>
      </c>
      <c r="K21" s="53" t="s">
        <v>161</v>
      </c>
      <c r="L21" s="53">
        <v>2</v>
      </c>
      <c r="N21" s="53">
        <v>2</v>
      </c>
      <c r="O21" s="53">
        <v>0.41</v>
      </c>
      <c r="P21" s="53">
        <v>0.35</v>
      </c>
      <c r="Q21" s="75">
        <f t="shared" si="2"/>
        <v>0.38</v>
      </c>
      <c r="R21" s="53">
        <v>15.3</v>
      </c>
      <c r="S21" s="53">
        <v>153</v>
      </c>
      <c r="T21" s="16">
        <f t="shared" si="0"/>
        <v>18</v>
      </c>
      <c r="U21" s="53">
        <v>429</v>
      </c>
      <c r="V21" s="16">
        <f t="shared" si="1"/>
        <v>16</v>
      </c>
      <c r="W21" s="53">
        <v>1</v>
      </c>
      <c r="X21" s="53" t="s">
        <v>46</v>
      </c>
      <c r="Y21" s="53" t="s">
        <v>84</v>
      </c>
      <c r="Z21" s="53" t="s">
        <v>90</v>
      </c>
      <c r="AA21" s="53" t="s">
        <v>78</v>
      </c>
      <c r="AB21" s="53" t="s">
        <v>285</v>
      </c>
      <c r="AE21" s="28"/>
      <c r="AP21" s="27" t="s">
        <v>318</v>
      </c>
      <c r="AR21" s="23" t="s">
        <v>68</v>
      </c>
      <c r="AV21" s="27" t="s">
        <v>136</v>
      </c>
    </row>
    <row r="22" spans="1:48" x14ac:dyDescent="0.15">
      <c r="A22" s="53" t="s">
        <v>59</v>
      </c>
      <c r="B22" s="53" t="s">
        <v>233</v>
      </c>
      <c r="C22" s="62">
        <v>2019</v>
      </c>
      <c r="D22" s="123" t="s">
        <v>166</v>
      </c>
      <c r="E22" s="53" t="s">
        <v>308</v>
      </c>
      <c r="F22" s="53" t="s">
        <v>297</v>
      </c>
      <c r="G22" s="53" t="s">
        <v>36</v>
      </c>
      <c r="H22" s="53" t="s">
        <v>160</v>
      </c>
      <c r="I22" s="53" t="s">
        <v>159</v>
      </c>
      <c r="J22" s="53" t="s">
        <v>38</v>
      </c>
      <c r="K22" s="53" t="s">
        <v>161</v>
      </c>
      <c r="L22" s="53">
        <v>3</v>
      </c>
      <c r="N22" s="53">
        <v>2</v>
      </c>
      <c r="O22" s="53">
        <v>0.39</v>
      </c>
      <c r="P22" s="53">
        <v>0.42</v>
      </c>
      <c r="Q22" s="75">
        <f t="shared" si="2"/>
        <v>0.40500000000000003</v>
      </c>
      <c r="R22" s="53">
        <v>15.5</v>
      </c>
      <c r="S22" s="53">
        <v>162</v>
      </c>
      <c r="T22" s="16">
        <f t="shared" si="0"/>
        <v>18</v>
      </c>
      <c r="U22" s="53">
        <v>429</v>
      </c>
      <c r="V22" s="16">
        <f t="shared" si="1"/>
        <v>16</v>
      </c>
      <c r="W22" s="53">
        <v>1</v>
      </c>
      <c r="X22" s="53" t="s">
        <v>46</v>
      </c>
      <c r="Y22" s="53" t="s">
        <v>84</v>
      </c>
      <c r="Z22" s="53" t="s">
        <v>90</v>
      </c>
      <c r="AA22" s="53" t="s">
        <v>78</v>
      </c>
      <c r="AB22" s="53" t="s">
        <v>285</v>
      </c>
      <c r="AP22" s="27" t="s">
        <v>319</v>
      </c>
      <c r="AR22" s="23" t="s">
        <v>83</v>
      </c>
      <c r="AV22" s="27" t="s">
        <v>320</v>
      </c>
    </row>
    <row r="23" spans="1:48" x14ac:dyDescent="0.15">
      <c r="A23" s="53" t="s">
        <v>59</v>
      </c>
      <c r="B23" s="53" t="s">
        <v>233</v>
      </c>
      <c r="C23" s="62">
        <v>2019</v>
      </c>
      <c r="D23" s="123" t="s">
        <v>166</v>
      </c>
      <c r="E23" s="53" t="s">
        <v>308</v>
      </c>
      <c r="F23" s="53" t="s">
        <v>297</v>
      </c>
      <c r="G23" s="53" t="s">
        <v>36</v>
      </c>
      <c r="H23" s="53" t="s">
        <v>164</v>
      </c>
      <c r="I23" s="53" t="s">
        <v>159</v>
      </c>
      <c r="J23" s="53" t="s">
        <v>38</v>
      </c>
      <c r="K23" s="53" t="s">
        <v>161</v>
      </c>
      <c r="L23" s="53">
        <v>1</v>
      </c>
      <c r="N23" s="53">
        <v>1</v>
      </c>
      <c r="O23" s="53">
        <v>0.67</v>
      </c>
      <c r="P23" s="53">
        <v>0.65</v>
      </c>
      <c r="Q23" s="75">
        <f t="shared" si="2"/>
        <v>0.66</v>
      </c>
      <c r="R23" s="53">
        <v>12</v>
      </c>
      <c r="S23" s="53">
        <v>141</v>
      </c>
      <c r="T23" s="16">
        <f t="shared" si="0"/>
        <v>22</v>
      </c>
      <c r="U23" s="53">
        <v>162</v>
      </c>
      <c r="V23" s="16">
        <f t="shared" si="1"/>
        <v>18</v>
      </c>
      <c r="W23" s="53">
        <v>1</v>
      </c>
      <c r="X23" s="53" t="s">
        <v>46</v>
      </c>
      <c r="Y23" s="53" t="s">
        <v>84</v>
      </c>
      <c r="Z23" s="53" t="s">
        <v>90</v>
      </c>
      <c r="AA23" s="53" t="s">
        <v>78</v>
      </c>
      <c r="AB23" s="53" t="s">
        <v>285</v>
      </c>
      <c r="AP23" s="27" t="s">
        <v>137</v>
      </c>
      <c r="AR23" s="23" t="s">
        <v>61</v>
      </c>
      <c r="AV23" s="27" t="s">
        <v>321</v>
      </c>
    </row>
    <row r="24" spans="1:48" x14ac:dyDescent="0.15">
      <c r="A24" s="53" t="s">
        <v>59</v>
      </c>
      <c r="B24" s="53" t="s">
        <v>233</v>
      </c>
      <c r="C24" s="62">
        <v>2019</v>
      </c>
      <c r="D24" s="123" t="s">
        <v>166</v>
      </c>
      <c r="E24" s="53" t="s">
        <v>308</v>
      </c>
      <c r="F24" s="53" t="s">
        <v>297</v>
      </c>
      <c r="G24" s="53" t="s">
        <v>36</v>
      </c>
      <c r="H24" s="53" t="s">
        <v>164</v>
      </c>
      <c r="I24" s="53" t="s">
        <v>159</v>
      </c>
      <c r="J24" s="53" t="s">
        <v>38</v>
      </c>
      <c r="K24" s="53" t="s">
        <v>161</v>
      </c>
      <c r="L24" s="53">
        <v>2</v>
      </c>
      <c r="N24" s="53">
        <v>1</v>
      </c>
      <c r="O24" s="53">
        <v>0.54</v>
      </c>
      <c r="P24" s="53">
        <v>0.56000000000000005</v>
      </c>
      <c r="Q24" s="75">
        <f t="shared" si="2"/>
        <v>0.55000000000000004</v>
      </c>
      <c r="R24" s="53">
        <v>14.3</v>
      </c>
      <c r="S24" s="53">
        <v>140</v>
      </c>
      <c r="T24" s="16">
        <f t="shared" si="0"/>
        <v>22</v>
      </c>
      <c r="U24" s="53">
        <v>162</v>
      </c>
      <c r="V24" s="16">
        <f t="shared" si="1"/>
        <v>18</v>
      </c>
      <c r="W24" s="53">
        <v>1</v>
      </c>
      <c r="X24" s="53" t="s">
        <v>46</v>
      </c>
      <c r="Y24" s="53" t="s">
        <v>84</v>
      </c>
      <c r="Z24" s="53" t="s">
        <v>90</v>
      </c>
      <c r="AA24" s="53" t="s">
        <v>78</v>
      </c>
      <c r="AB24" s="53" t="s">
        <v>285</v>
      </c>
      <c r="AP24" s="27" t="s">
        <v>138</v>
      </c>
      <c r="AR24" s="23" t="s">
        <v>91</v>
      </c>
      <c r="AV24" s="27" t="s">
        <v>322</v>
      </c>
    </row>
    <row r="25" spans="1:48" x14ac:dyDescent="0.15">
      <c r="A25" s="53" t="s">
        <v>59</v>
      </c>
      <c r="B25" s="53" t="s">
        <v>233</v>
      </c>
      <c r="C25" s="62">
        <v>2019</v>
      </c>
      <c r="D25" s="123" t="s">
        <v>166</v>
      </c>
      <c r="E25" s="53" t="s">
        <v>308</v>
      </c>
      <c r="F25" s="53" t="s">
        <v>297</v>
      </c>
      <c r="G25" s="53" t="s">
        <v>36</v>
      </c>
      <c r="H25" s="53" t="s">
        <v>164</v>
      </c>
      <c r="I25" s="53" t="s">
        <v>159</v>
      </c>
      <c r="J25" s="53" t="s">
        <v>38</v>
      </c>
      <c r="K25" s="53" t="s">
        <v>161</v>
      </c>
      <c r="L25" s="53">
        <v>3</v>
      </c>
      <c r="N25" s="53">
        <v>1</v>
      </c>
      <c r="O25" s="53">
        <v>0.57999999999999996</v>
      </c>
      <c r="P25" s="53">
        <v>0.59</v>
      </c>
      <c r="Q25" s="75">
        <f t="shared" si="2"/>
        <v>0.58499999999999996</v>
      </c>
      <c r="R25" s="53">
        <v>14.4</v>
      </c>
      <c r="S25" s="53">
        <v>139</v>
      </c>
      <c r="T25" s="16">
        <f t="shared" si="0"/>
        <v>22</v>
      </c>
      <c r="U25" s="53">
        <v>162</v>
      </c>
      <c r="V25" s="16">
        <f t="shared" si="1"/>
        <v>18</v>
      </c>
      <c r="W25" s="53">
        <v>1</v>
      </c>
      <c r="X25" s="53" t="s">
        <v>46</v>
      </c>
      <c r="Y25" s="53" t="s">
        <v>84</v>
      </c>
      <c r="Z25" s="53" t="s">
        <v>90</v>
      </c>
      <c r="AA25" s="53" t="s">
        <v>78</v>
      </c>
      <c r="AB25" s="53" t="s">
        <v>285</v>
      </c>
      <c r="AP25" s="27" t="s">
        <v>116</v>
      </c>
      <c r="AR25" s="27" t="s">
        <v>92</v>
      </c>
      <c r="AV25" s="27" t="s">
        <v>323</v>
      </c>
    </row>
    <row r="26" spans="1:48" x14ac:dyDescent="0.15">
      <c r="A26" s="53" t="s">
        <v>59</v>
      </c>
      <c r="B26" s="53" t="s">
        <v>233</v>
      </c>
      <c r="C26" s="62">
        <v>2019</v>
      </c>
      <c r="D26" s="123" t="s">
        <v>166</v>
      </c>
      <c r="E26" s="53" t="s">
        <v>306</v>
      </c>
      <c r="F26" s="53" t="s">
        <v>305</v>
      </c>
      <c r="G26" s="53" t="s">
        <v>36</v>
      </c>
      <c r="H26" s="53" t="s">
        <v>164</v>
      </c>
      <c r="I26" s="53" t="s">
        <v>159</v>
      </c>
      <c r="J26" s="53" t="s">
        <v>38</v>
      </c>
      <c r="K26" s="53" t="s">
        <v>161</v>
      </c>
      <c r="L26" s="53">
        <v>1</v>
      </c>
      <c r="N26" s="53">
        <v>4</v>
      </c>
      <c r="O26" s="53">
        <v>0.27</v>
      </c>
      <c r="P26" s="53">
        <v>0.25</v>
      </c>
      <c r="Q26" s="75">
        <f t="shared" si="2"/>
        <v>0.26</v>
      </c>
      <c r="R26" s="53">
        <v>14.6</v>
      </c>
      <c r="S26" s="53">
        <v>104</v>
      </c>
      <c r="T26" s="16">
        <f t="shared" si="0"/>
        <v>33</v>
      </c>
      <c r="U26" s="53">
        <v>398</v>
      </c>
      <c r="V26" s="16">
        <f t="shared" si="1"/>
        <v>16</v>
      </c>
      <c r="W26" s="53">
        <v>4</v>
      </c>
      <c r="X26" s="53" t="s">
        <v>39</v>
      </c>
      <c r="Y26" s="53" t="s">
        <v>84</v>
      </c>
      <c r="Z26" s="53" t="s">
        <v>90</v>
      </c>
      <c r="AA26" s="53" t="s">
        <v>78</v>
      </c>
      <c r="AB26" s="53" t="s">
        <v>285</v>
      </c>
      <c r="AP26" s="27" t="s">
        <v>117</v>
      </c>
      <c r="AR26" s="27" t="s">
        <v>324</v>
      </c>
      <c r="AV26" s="27"/>
    </row>
    <row r="27" spans="1:48" x14ac:dyDescent="0.15">
      <c r="A27" s="53" t="s">
        <v>59</v>
      </c>
      <c r="B27" s="53" t="s">
        <v>233</v>
      </c>
      <c r="C27" s="62">
        <v>2019</v>
      </c>
      <c r="D27" s="123" t="s">
        <v>166</v>
      </c>
      <c r="E27" s="53" t="s">
        <v>306</v>
      </c>
      <c r="F27" s="53" t="s">
        <v>305</v>
      </c>
      <c r="G27" s="53" t="s">
        <v>36</v>
      </c>
      <c r="H27" s="53" t="s">
        <v>164</v>
      </c>
      <c r="I27" s="53" t="s">
        <v>159</v>
      </c>
      <c r="J27" s="53" t="s">
        <v>38</v>
      </c>
      <c r="K27" s="53" t="s">
        <v>161</v>
      </c>
      <c r="L27" s="53">
        <v>2</v>
      </c>
      <c r="N27" s="53">
        <v>4</v>
      </c>
      <c r="O27" s="53">
        <v>0.35</v>
      </c>
      <c r="P27" s="53">
        <v>0.25</v>
      </c>
      <c r="Q27" s="75">
        <f t="shared" si="2"/>
        <v>0.3</v>
      </c>
      <c r="R27" s="53">
        <v>14.7</v>
      </c>
      <c r="S27" s="53">
        <v>98</v>
      </c>
      <c r="T27" s="16">
        <f t="shared" si="0"/>
        <v>36</v>
      </c>
      <c r="U27" s="53">
        <v>398</v>
      </c>
      <c r="V27" s="16">
        <f t="shared" si="1"/>
        <v>16</v>
      </c>
      <c r="W27" s="53">
        <v>4</v>
      </c>
      <c r="X27" s="53" t="s">
        <v>39</v>
      </c>
      <c r="Y27" s="53" t="s">
        <v>84</v>
      </c>
      <c r="Z27" s="53" t="s">
        <v>90</v>
      </c>
      <c r="AA27" s="53" t="s">
        <v>78</v>
      </c>
      <c r="AB27" s="53" t="s">
        <v>285</v>
      </c>
      <c r="AP27" s="27" t="s">
        <v>118</v>
      </c>
      <c r="AR27" s="28" t="s">
        <v>153</v>
      </c>
      <c r="AV27" s="27"/>
    </row>
    <row r="28" spans="1:48" x14ac:dyDescent="0.15">
      <c r="A28" s="53" t="s">
        <v>59</v>
      </c>
      <c r="B28" s="53" t="s">
        <v>233</v>
      </c>
      <c r="C28" s="62">
        <v>2019</v>
      </c>
      <c r="D28" s="123" t="s">
        <v>166</v>
      </c>
      <c r="E28" s="53" t="s">
        <v>306</v>
      </c>
      <c r="F28" s="53" t="s">
        <v>305</v>
      </c>
      <c r="G28" s="53" t="s">
        <v>36</v>
      </c>
      <c r="H28" s="53" t="s">
        <v>164</v>
      </c>
      <c r="I28" s="53" t="s">
        <v>159</v>
      </c>
      <c r="J28" s="53" t="s">
        <v>38</v>
      </c>
      <c r="K28" s="53" t="s">
        <v>161</v>
      </c>
      <c r="L28" s="53">
        <v>3</v>
      </c>
      <c r="N28" s="53">
        <v>4</v>
      </c>
      <c r="O28" s="53">
        <v>0.33</v>
      </c>
      <c r="P28" s="53">
        <v>0.28000000000000003</v>
      </c>
      <c r="Q28" s="75">
        <f t="shared" si="2"/>
        <v>0.30500000000000005</v>
      </c>
      <c r="R28" s="53">
        <v>14.6</v>
      </c>
      <c r="S28" s="53">
        <v>96</v>
      </c>
      <c r="T28" s="16">
        <f t="shared" si="0"/>
        <v>36</v>
      </c>
      <c r="U28" s="53">
        <v>398</v>
      </c>
      <c r="V28" s="16">
        <f t="shared" si="1"/>
        <v>16</v>
      </c>
      <c r="W28" s="53">
        <v>4</v>
      </c>
      <c r="X28" s="53" t="s">
        <v>39</v>
      </c>
      <c r="Y28" s="53" t="s">
        <v>84</v>
      </c>
      <c r="Z28" s="53" t="s">
        <v>90</v>
      </c>
      <c r="AA28" s="53" t="s">
        <v>78</v>
      </c>
      <c r="AB28" s="53" t="s">
        <v>285</v>
      </c>
      <c r="AV28" s="27"/>
    </row>
    <row r="29" spans="1:48" x14ac:dyDescent="0.15">
      <c r="A29" s="53" t="s">
        <v>59</v>
      </c>
      <c r="B29" s="53" t="s">
        <v>233</v>
      </c>
      <c r="C29" s="62">
        <v>2019</v>
      </c>
      <c r="D29" s="123" t="s">
        <v>166</v>
      </c>
      <c r="E29" s="53" t="s">
        <v>162</v>
      </c>
      <c r="F29" s="53" t="s">
        <v>305</v>
      </c>
      <c r="G29" s="53" t="s">
        <v>36</v>
      </c>
      <c r="H29" s="53" t="s">
        <v>160</v>
      </c>
      <c r="I29" s="53" t="s">
        <v>159</v>
      </c>
      <c r="J29" s="53" t="s">
        <v>38</v>
      </c>
      <c r="K29" s="53" t="s">
        <v>161</v>
      </c>
      <c r="L29" s="53">
        <v>1</v>
      </c>
      <c r="N29" s="53">
        <v>4</v>
      </c>
      <c r="O29" s="53">
        <v>0.24</v>
      </c>
      <c r="P29" s="53">
        <v>0.26</v>
      </c>
      <c r="Q29" s="75">
        <f t="shared" si="2"/>
        <v>0.25</v>
      </c>
      <c r="R29" s="53">
        <v>16.100000000000001</v>
      </c>
      <c r="S29" s="53">
        <v>117</v>
      </c>
      <c r="T29" s="16">
        <f t="shared" si="0"/>
        <v>30</v>
      </c>
      <c r="U29" s="53">
        <v>498</v>
      </c>
      <c r="V29" s="16">
        <f t="shared" si="1"/>
        <v>16</v>
      </c>
      <c r="W29" s="53">
        <v>2</v>
      </c>
      <c r="X29" s="53" t="s">
        <v>46</v>
      </c>
      <c r="Y29" s="53" t="s">
        <v>84</v>
      </c>
      <c r="Z29" s="53" t="s">
        <v>90</v>
      </c>
      <c r="AA29" s="53" t="s">
        <v>317</v>
      </c>
      <c r="AB29" s="53" t="s">
        <v>285</v>
      </c>
      <c r="AP29" s="27" t="s">
        <v>117</v>
      </c>
      <c r="AR29" s="27" t="s">
        <v>324</v>
      </c>
      <c r="AV29" s="27"/>
    </row>
    <row r="30" spans="1:48" x14ac:dyDescent="0.15">
      <c r="A30" s="53" t="s">
        <v>59</v>
      </c>
      <c r="B30" s="53" t="s">
        <v>233</v>
      </c>
      <c r="C30" s="62">
        <v>2019</v>
      </c>
      <c r="D30" s="123" t="s">
        <v>166</v>
      </c>
      <c r="E30" s="53" t="s">
        <v>162</v>
      </c>
      <c r="F30" s="53" t="s">
        <v>305</v>
      </c>
      <c r="G30" s="53" t="s">
        <v>36</v>
      </c>
      <c r="H30" s="53" t="s">
        <v>160</v>
      </c>
      <c r="I30" s="53" t="s">
        <v>159</v>
      </c>
      <c r="J30" s="53" t="s">
        <v>38</v>
      </c>
      <c r="K30" s="53" t="s">
        <v>161</v>
      </c>
      <c r="L30" s="53">
        <v>2</v>
      </c>
      <c r="N30" s="53">
        <v>4</v>
      </c>
      <c r="O30" s="53">
        <v>0.27</v>
      </c>
      <c r="P30" s="53">
        <v>0.24</v>
      </c>
      <c r="Q30" s="75">
        <f t="shared" si="2"/>
        <v>0.255</v>
      </c>
      <c r="R30" s="53">
        <v>16.7</v>
      </c>
      <c r="S30" s="53">
        <v>107</v>
      </c>
      <c r="T30" s="16">
        <f t="shared" si="0"/>
        <v>33</v>
      </c>
      <c r="U30" s="53">
        <v>498</v>
      </c>
      <c r="V30" s="16">
        <f t="shared" si="1"/>
        <v>16</v>
      </c>
      <c r="W30" s="53">
        <v>2</v>
      </c>
      <c r="X30" s="53" t="s">
        <v>46</v>
      </c>
      <c r="Y30" s="53" t="s">
        <v>84</v>
      </c>
      <c r="Z30" s="53" t="s">
        <v>90</v>
      </c>
      <c r="AA30" s="53" t="s">
        <v>317</v>
      </c>
      <c r="AB30" s="53" t="s">
        <v>285</v>
      </c>
      <c r="AP30" s="27" t="s">
        <v>118</v>
      </c>
      <c r="AR30" s="28" t="s">
        <v>153</v>
      </c>
      <c r="AV30" s="27"/>
    </row>
    <row r="31" spans="1:48" x14ac:dyDescent="0.15">
      <c r="A31" s="53" t="s">
        <v>59</v>
      </c>
      <c r="B31" s="53" t="s">
        <v>233</v>
      </c>
      <c r="C31" s="62">
        <v>2019</v>
      </c>
      <c r="D31" s="123" t="s">
        <v>166</v>
      </c>
      <c r="E31" s="53" t="s">
        <v>162</v>
      </c>
      <c r="F31" s="53" t="s">
        <v>305</v>
      </c>
      <c r="G31" s="53" t="s">
        <v>36</v>
      </c>
      <c r="H31" s="53" t="s">
        <v>160</v>
      </c>
      <c r="I31" s="53" t="s">
        <v>159</v>
      </c>
      <c r="J31" s="53" t="s">
        <v>38</v>
      </c>
      <c r="K31" s="53" t="s">
        <v>161</v>
      </c>
      <c r="L31" s="53">
        <v>3</v>
      </c>
      <c r="N31" s="53">
        <v>4</v>
      </c>
      <c r="O31" s="53">
        <v>0.27</v>
      </c>
      <c r="P31" s="53">
        <v>0.25</v>
      </c>
      <c r="Q31" s="75">
        <f t="shared" si="2"/>
        <v>0.26</v>
      </c>
      <c r="R31" s="53">
        <v>16.8</v>
      </c>
      <c r="S31" s="53">
        <v>112</v>
      </c>
      <c r="T31" s="16">
        <f t="shared" si="0"/>
        <v>33</v>
      </c>
      <c r="U31" s="53">
        <v>498</v>
      </c>
      <c r="V31" s="16">
        <f t="shared" si="1"/>
        <v>16</v>
      </c>
      <c r="W31" s="53">
        <v>2</v>
      </c>
      <c r="X31" s="53" t="s">
        <v>46</v>
      </c>
      <c r="Y31" s="53" t="s">
        <v>84</v>
      </c>
      <c r="Z31" s="53" t="s">
        <v>90</v>
      </c>
      <c r="AA31" s="53" t="s">
        <v>317</v>
      </c>
      <c r="AB31" s="53" t="s">
        <v>285</v>
      </c>
      <c r="AV31" s="27"/>
    </row>
    <row r="32" spans="1:48" x14ac:dyDescent="0.15">
      <c r="A32" s="53" t="s">
        <v>59</v>
      </c>
      <c r="B32" s="53" t="s">
        <v>233</v>
      </c>
      <c r="C32" s="62">
        <v>2019</v>
      </c>
      <c r="D32" s="123" t="s">
        <v>166</v>
      </c>
      <c r="E32" s="53" t="s">
        <v>162</v>
      </c>
      <c r="F32" s="53" t="s">
        <v>305</v>
      </c>
      <c r="G32" s="53" t="s">
        <v>36</v>
      </c>
      <c r="H32" s="53" t="s">
        <v>164</v>
      </c>
      <c r="I32" s="53" t="s">
        <v>159</v>
      </c>
      <c r="J32" s="53" t="s">
        <v>38</v>
      </c>
      <c r="K32" s="53" t="s">
        <v>161</v>
      </c>
      <c r="L32" s="53">
        <v>1</v>
      </c>
      <c r="N32" s="53">
        <v>4</v>
      </c>
      <c r="O32" s="53">
        <v>0.54</v>
      </c>
      <c r="P32" s="53">
        <v>0.49</v>
      </c>
      <c r="Q32" s="75">
        <f t="shared" si="2"/>
        <v>0.51500000000000001</v>
      </c>
      <c r="R32" s="53">
        <v>14.7</v>
      </c>
      <c r="S32" s="53">
        <v>90</v>
      </c>
      <c r="T32" s="16">
        <f t="shared" si="0"/>
        <v>36</v>
      </c>
      <c r="U32" s="53">
        <v>398</v>
      </c>
      <c r="V32" s="16">
        <f t="shared" si="1"/>
        <v>16</v>
      </c>
      <c r="W32" s="53">
        <v>4</v>
      </c>
      <c r="X32" s="53" t="s">
        <v>46</v>
      </c>
      <c r="Y32" s="53" t="s">
        <v>84</v>
      </c>
      <c r="Z32" s="53" t="s">
        <v>90</v>
      </c>
      <c r="AA32" s="53" t="s">
        <v>317</v>
      </c>
      <c r="AB32" s="53" t="s">
        <v>285</v>
      </c>
      <c r="AV32" s="27"/>
    </row>
    <row r="33" spans="1:48" x14ac:dyDescent="0.15">
      <c r="A33" s="53" t="s">
        <v>59</v>
      </c>
      <c r="B33" s="53" t="s">
        <v>233</v>
      </c>
      <c r="C33" s="62">
        <v>2019</v>
      </c>
      <c r="D33" s="123" t="s">
        <v>166</v>
      </c>
      <c r="E33" s="53" t="s">
        <v>162</v>
      </c>
      <c r="F33" s="53" t="s">
        <v>305</v>
      </c>
      <c r="G33" s="53" t="s">
        <v>36</v>
      </c>
      <c r="H33" s="53" t="s">
        <v>164</v>
      </c>
      <c r="I33" s="53" t="s">
        <v>159</v>
      </c>
      <c r="J33" s="53" t="s">
        <v>38</v>
      </c>
      <c r="K33" s="53" t="s">
        <v>161</v>
      </c>
      <c r="L33" s="53">
        <v>2</v>
      </c>
      <c r="N33" s="53">
        <v>4</v>
      </c>
      <c r="O33" s="53">
        <v>0.54</v>
      </c>
      <c r="P33" s="53">
        <v>0.57999999999999996</v>
      </c>
      <c r="Q33" s="75">
        <f t="shared" si="2"/>
        <v>0.56000000000000005</v>
      </c>
      <c r="R33" s="53">
        <v>14.1</v>
      </c>
      <c r="S33" s="53">
        <v>86</v>
      </c>
      <c r="T33" s="16">
        <f t="shared" si="0"/>
        <v>36</v>
      </c>
      <c r="U33" s="53">
        <v>398</v>
      </c>
      <c r="V33" s="16">
        <f t="shared" si="1"/>
        <v>16</v>
      </c>
      <c r="W33" s="53">
        <v>4</v>
      </c>
      <c r="X33" s="53" t="s">
        <v>46</v>
      </c>
      <c r="Y33" s="53" t="s">
        <v>84</v>
      </c>
      <c r="Z33" s="53" t="s">
        <v>90</v>
      </c>
      <c r="AA33" s="53" t="s">
        <v>317</v>
      </c>
      <c r="AB33" s="53" t="s">
        <v>285</v>
      </c>
      <c r="AV33" s="27"/>
    </row>
    <row r="34" spans="1:48" x14ac:dyDescent="0.15">
      <c r="A34" s="53" t="s">
        <v>59</v>
      </c>
      <c r="B34" s="53" t="s">
        <v>233</v>
      </c>
      <c r="C34" s="62">
        <v>2019</v>
      </c>
      <c r="D34" s="123" t="s">
        <v>166</v>
      </c>
      <c r="E34" s="53" t="s">
        <v>162</v>
      </c>
      <c r="F34" s="53" t="s">
        <v>305</v>
      </c>
      <c r="G34" s="53" t="s">
        <v>36</v>
      </c>
      <c r="H34" s="53" t="s">
        <v>164</v>
      </c>
      <c r="I34" s="53" t="s">
        <v>159</v>
      </c>
      <c r="J34" s="53" t="s">
        <v>38</v>
      </c>
      <c r="K34" s="53" t="s">
        <v>161</v>
      </c>
      <c r="L34" s="53">
        <v>3</v>
      </c>
      <c r="N34" s="53">
        <v>4</v>
      </c>
      <c r="O34" s="53">
        <v>0.53</v>
      </c>
      <c r="P34" s="53">
        <v>0.42</v>
      </c>
      <c r="Q34" s="75">
        <f t="shared" si="2"/>
        <v>0.47499999999999998</v>
      </c>
      <c r="R34" s="53">
        <v>14.3</v>
      </c>
      <c r="S34" s="53">
        <v>81</v>
      </c>
      <c r="T34" s="16">
        <f t="shared" si="0"/>
        <v>39</v>
      </c>
      <c r="U34" s="53">
        <v>398</v>
      </c>
      <c r="V34" s="16">
        <f t="shared" si="1"/>
        <v>16</v>
      </c>
      <c r="W34" s="53">
        <v>4</v>
      </c>
      <c r="X34" s="53" t="s">
        <v>46</v>
      </c>
      <c r="Y34" s="53" t="s">
        <v>84</v>
      </c>
      <c r="Z34" s="53" t="s">
        <v>90</v>
      </c>
      <c r="AA34" s="53" t="s">
        <v>317</v>
      </c>
      <c r="AB34" s="53" t="s">
        <v>285</v>
      </c>
      <c r="AV34" s="27"/>
    </row>
    <row r="35" spans="1:48" x14ac:dyDescent="0.15">
      <c r="A35" s="53" t="s">
        <v>59</v>
      </c>
      <c r="B35" s="53" t="s">
        <v>233</v>
      </c>
      <c r="C35" s="62">
        <v>2019</v>
      </c>
      <c r="D35" s="123" t="s">
        <v>166</v>
      </c>
      <c r="E35" s="53" t="s">
        <v>162</v>
      </c>
      <c r="F35" s="53" t="s">
        <v>305</v>
      </c>
      <c r="G35" s="53" t="s">
        <v>36</v>
      </c>
      <c r="H35" s="53" t="s">
        <v>129</v>
      </c>
      <c r="I35" s="53" t="s">
        <v>159</v>
      </c>
      <c r="J35" s="53" t="s">
        <v>319</v>
      </c>
      <c r="K35" s="53" t="s">
        <v>294</v>
      </c>
      <c r="L35" s="53">
        <v>1</v>
      </c>
      <c r="N35" s="53">
        <v>4</v>
      </c>
      <c r="O35" s="53">
        <v>0.22</v>
      </c>
      <c r="P35" s="53">
        <v>0.22</v>
      </c>
      <c r="Q35" s="75">
        <f t="shared" si="2"/>
        <v>0.22</v>
      </c>
      <c r="R35" s="53">
        <v>18.5</v>
      </c>
      <c r="S35" s="53">
        <v>85</v>
      </c>
      <c r="T35" s="16">
        <f t="shared" si="0"/>
        <v>36</v>
      </c>
      <c r="U35" s="53">
        <v>398</v>
      </c>
      <c r="V35" s="16">
        <f t="shared" si="1"/>
        <v>16</v>
      </c>
      <c r="W35" s="53">
        <v>1</v>
      </c>
      <c r="X35" s="53" t="s">
        <v>46</v>
      </c>
      <c r="Y35" s="53" t="s">
        <v>84</v>
      </c>
      <c r="Z35" s="53" t="s">
        <v>90</v>
      </c>
      <c r="AA35" s="53" t="s">
        <v>317</v>
      </c>
      <c r="AB35" s="53" t="s">
        <v>285</v>
      </c>
      <c r="AV35" s="27"/>
    </row>
    <row r="36" spans="1:48" x14ac:dyDescent="0.15">
      <c r="A36" s="53" t="s">
        <v>59</v>
      </c>
      <c r="B36" s="53" t="s">
        <v>233</v>
      </c>
      <c r="C36" s="62">
        <v>2019</v>
      </c>
      <c r="D36" s="123" t="s">
        <v>166</v>
      </c>
      <c r="E36" s="53" t="s">
        <v>162</v>
      </c>
      <c r="F36" s="53" t="s">
        <v>305</v>
      </c>
      <c r="G36" s="53" t="s">
        <v>36</v>
      </c>
      <c r="H36" s="53" t="s">
        <v>129</v>
      </c>
      <c r="I36" s="53" t="s">
        <v>159</v>
      </c>
      <c r="J36" s="53" t="s">
        <v>319</v>
      </c>
      <c r="K36" s="53" t="s">
        <v>294</v>
      </c>
      <c r="L36" s="53">
        <v>2</v>
      </c>
      <c r="N36" s="53">
        <v>4</v>
      </c>
      <c r="O36" s="53">
        <v>0.24</v>
      </c>
      <c r="P36" s="53">
        <v>0.22</v>
      </c>
      <c r="Q36" s="75">
        <f t="shared" si="2"/>
        <v>0.22999999999999998</v>
      </c>
      <c r="R36" s="53">
        <v>17.7</v>
      </c>
      <c r="S36" s="53">
        <v>78</v>
      </c>
      <c r="T36" s="16">
        <f t="shared" si="0"/>
        <v>39</v>
      </c>
      <c r="U36" s="53">
        <v>398</v>
      </c>
      <c r="V36" s="16">
        <f t="shared" si="1"/>
        <v>16</v>
      </c>
      <c r="W36" s="53">
        <v>1</v>
      </c>
      <c r="X36" s="53" t="s">
        <v>46</v>
      </c>
      <c r="Y36" s="53" t="s">
        <v>84</v>
      </c>
      <c r="Z36" s="53" t="s">
        <v>90</v>
      </c>
      <c r="AA36" s="53" t="s">
        <v>317</v>
      </c>
      <c r="AB36" s="53" t="s">
        <v>285</v>
      </c>
      <c r="AV36" s="27"/>
    </row>
    <row r="37" spans="1:48" x14ac:dyDescent="0.15">
      <c r="A37" s="53" t="s">
        <v>59</v>
      </c>
      <c r="B37" s="53" t="s">
        <v>233</v>
      </c>
      <c r="C37" s="62">
        <v>2019</v>
      </c>
      <c r="D37" s="123" t="s">
        <v>166</v>
      </c>
      <c r="E37" s="53" t="s">
        <v>162</v>
      </c>
      <c r="F37" s="53" t="s">
        <v>305</v>
      </c>
      <c r="G37" s="53" t="s">
        <v>36</v>
      </c>
      <c r="H37" s="53" t="s">
        <v>129</v>
      </c>
      <c r="I37" s="53" t="s">
        <v>159</v>
      </c>
      <c r="J37" s="53" t="s">
        <v>319</v>
      </c>
      <c r="K37" s="53" t="s">
        <v>294</v>
      </c>
      <c r="L37" s="53">
        <v>3</v>
      </c>
      <c r="N37" s="53">
        <v>4</v>
      </c>
      <c r="O37" s="53">
        <v>0.23</v>
      </c>
      <c r="P37" s="53">
        <v>0.23</v>
      </c>
      <c r="Q37" s="75">
        <f t="shared" si="2"/>
        <v>0.23</v>
      </c>
      <c r="R37" s="53">
        <v>17.100000000000001</v>
      </c>
      <c r="S37" s="53">
        <v>75</v>
      </c>
      <c r="T37" s="16">
        <f t="shared" si="0"/>
        <v>42</v>
      </c>
      <c r="U37" s="53">
        <v>398</v>
      </c>
      <c r="V37" s="16">
        <f t="shared" si="1"/>
        <v>16</v>
      </c>
      <c r="W37" s="53">
        <v>1</v>
      </c>
      <c r="X37" s="53" t="s">
        <v>46</v>
      </c>
      <c r="Y37" s="53" t="s">
        <v>84</v>
      </c>
      <c r="Z37" s="53" t="s">
        <v>90</v>
      </c>
      <c r="AA37" s="53" t="s">
        <v>317</v>
      </c>
      <c r="AB37" s="53" t="s">
        <v>285</v>
      </c>
      <c r="AV37" s="27"/>
    </row>
    <row r="38" spans="1:48" x14ac:dyDescent="0.15">
      <c r="A38" s="53" t="s">
        <v>59</v>
      </c>
      <c r="B38" s="53" t="s">
        <v>233</v>
      </c>
      <c r="C38" s="62">
        <v>2019</v>
      </c>
      <c r="D38" s="123" t="s">
        <v>166</v>
      </c>
      <c r="E38" s="53" t="s">
        <v>302</v>
      </c>
      <c r="F38" s="53" t="s">
        <v>303</v>
      </c>
      <c r="G38" s="53" t="s">
        <v>36</v>
      </c>
      <c r="H38" s="53" t="s">
        <v>160</v>
      </c>
      <c r="I38" s="53" t="s">
        <v>159</v>
      </c>
      <c r="J38" s="53" t="s">
        <v>38</v>
      </c>
      <c r="K38" s="53" t="s">
        <v>161</v>
      </c>
      <c r="L38" s="53">
        <v>1</v>
      </c>
      <c r="N38" s="53">
        <v>3</v>
      </c>
      <c r="O38" s="53">
        <v>0.25</v>
      </c>
      <c r="P38" s="53">
        <v>0.24</v>
      </c>
      <c r="Q38" s="75">
        <f t="shared" si="2"/>
        <v>0.245</v>
      </c>
      <c r="R38" s="53">
        <v>16.100000000000001</v>
      </c>
      <c r="S38" s="53">
        <v>129</v>
      </c>
      <c r="T38" s="16">
        <f t="shared" si="0"/>
        <v>25</v>
      </c>
      <c r="U38" s="53">
        <v>399</v>
      </c>
      <c r="V38" s="16">
        <f t="shared" si="1"/>
        <v>16</v>
      </c>
      <c r="W38" s="53">
        <v>6</v>
      </c>
      <c r="X38" s="53" t="s">
        <v>39</v>
      </c>
      <c r="Y38" s="53" t="s">
        <v>78</v>
      </c>
      <c r="Z38" s="53" t="s">
        <v>84</v>
      </c>
      <c r="AA38" s="53" t="s">
        <v>90</v>
      </c>
      <c r="AB38" s="53" t="s">
        <v>285</v>
      </c>
      <c r="AV38" s="27"/>
    </row>
    <row r="39" spans="1:48" x14ac:dyDescent="0.15">
      <c r="A39" s="53" t="s">
        <v>59</v>
      </c>
      <c r="B39" s="53" t="s">
        <v>233</v>
      </c>
      <c r="C39" s="62">
        <v>2019</v>
      </c>
      <c r="D39" s="123" t="s">
        <v>166</v>
      </c>
      <c r="E39" s="53" t="s">
        <v>302</v>
      </c>
      <c r="F39" s="53" t="s">
        <v>303</v>
      </c>
      <c r="G39" s="53" t="s">
        <v>36</v>
      </c>
      <c r="H39" s="53" t="s">
        <v>160</v>
      </c>
      <c r="I39" s="53" t="s">
        <v>159</v>
      </c>
      <c r="J39" s="53" t="s">
        <v>38</v>
      </c>
      <c r="K39" s="53" t="s">
        <v>161</v>
      </c>
      <c r="L39" s="53">
        <v>2</v>
      </c>
      <c r="N39" s="53">
        <v>3</v>
      </c>
      <c r="O39" s="53">
        <v>0.23</v>
      </c>
      <c r="P39" s="53">
        <v>0.23</v>
      </c>
      <c r="Q39" s="75">
        <f t="shared" si="2"/>
        <v>0.23</v>
      </c>
      <c r="R39" s="53">
        <v>16.899999999999999</v>
      </c>
      <c r="S39" s="53">
        <v>134</v>
      </c>
      <c r="T39" s="16">
        <f t="shared" si="0"/>
        <v>25</v>
      </c>
      <c r="U39" s="53">
        <v>399</v>
      </c>
      <c r="V39" s="16">
        <f t="shared" si="1"/>
        <v>16</v>
      </c>
      <c r="W39" s="53">
        <v>6</v>
      </c>
      <c r="X39" s="53" t="s">
        <v>39</v>
      </c>
      <c r="Y39" s="53" t="s">
        <v>78</v>
      </c>
      <c r="Z39" s="53" t="s">
        <v>84</v>
      </c>
      <c r="AA39" s="53" t="s">
        <v>90</v>
      </c>
      <c r="AB39" s="53" t="s">
        <v>285</v>
      </c>
      <c r="AV39" s="27"/>
    </row>
    <row r="40" spans="1:48" x14ac:dyDescent="0.15">
      <c r="A40" s="53" t="s">
        <v>59</v>
      </c>
      <c r="B40" s="53" t="s">
        <v>233</v>
      </c>
      <c r="C40" s="62">
        <v>2019</v>
      </c>
      <c r="D40" s="123" t="s">
        <v>166</v>
      </c>
      <c r="E40" s="53" t="s">
        <v>302</v>
      </c>
      <c r="F40" s="53" t="s">
        <v>303</v>
      </c>
      <c r="G40" s="53" t="s">
        <v>36</v>
      </c>
      <c r="H40" s="53" t="s">
        <v>160</v>
      </c>
      <c r="I40" s="53" t="s">
        <v>159</v>
      </c>
      <c r="J40" s="53" t="s">
        <v>38</v>
      </c>
      <c r="K40" s="53" t="s">
        <v>161</v>
      </c>
      <c r="L40" s="53">
        <v>3</v>
      </c>
      <c r="N40" s="53">
        <v>3</v>
      </c>
      <c r="O40" s="53">
        <v>0.25</v>
      </c>
      <c r="P40" s="53">
        <v>0.23</v>
      </c>
      <c r="Q40" s="75">
        <f t="shared" si="2"/>
        <v>0.24</v>
      </c>
      <c r="R40" s="53">
        <v>16.5</v>
      </c>
      <c r="S40" s="53">
        <v>130</v>
      </c>
      <c r="T40" s="16">
        <f t="shared" si="0"/>
        <v>25</v>
      </c>
      <c r="U40" s="53">
        <v>399</v>
      </c>
      <c r="V40" s="16">
        <f t="shared" si="1"/>
        <v>16</v>
      </c>
      <c r="W40" s="53">
        <v>6</v>
      </c>
      <c r="X40" s="53" t="s">
        <v>39</v>
      </c>
      <c r="Y40" s="53" t="s">
        <v>78</v>
      </c>
      <c r="Z40" s="53" t="s">
        <v>84</v>
      </c>
      <c r="AA40" s="53" t="s">
        <v>90</v>
      </c>
      <c r="AB40" s="53" t="s">
        <v>285</v>
      </c>
      <c r="AV40" s="27"/>
    </row>
    <row r="41" spans="1:48" x14ac:dyDescent="0.15">
      <c r="A41" s="53" t="s">
        <v>59</v>
      </c>
      <c r="B41" s="53" t="s">
        <v>233</v>
      </c>
      <c r="C41" s="62">
        <v>2019</v>
      </c>
      <c r="D41" s="123" t="s">
        <v>166</v>
      </c>
      <c r="E41" s="53" t="s">
        <v>302</v>
      </c>
      <c r="F41" s="53" t="s">
        <v>303</v>
      </c>
      <c r="G41" s="53" t="s">
        <v>36</v>
      </c>
      <c r="H41" s="53" t="s">
        <v>164</v>
      </c>
      <c r="I41" s="53" t="s">
        <v>159</v>
      </c>
      <c r="J41" s="53" t="s">
        <v>38</v>
      </c>
      <c r="K41" s="53" t="s">
        <v>161</v>
      </c>
      <c r="L41" s="53">
        <v>1</v>
      </c>
      <c r="N41" s="53">
        <v>3</v>
      </c>
      <c r="O41" s="53">
        <v>0.22</v>
      </c>
      <c r="P41" s="53">
        <v>0.24</v>
      </c>
      <c r="Q41" s="75">
        <f t="shared" si="2"/>
        <v>0.22999999999999998</v>
      </c>
      <c r="R41" s="53">
        <v>15.2</v>
      </c>
      <c r="S41" s="53">
        <v>137</v>
      </c>
      <c r="T41" s="16">
        <f t="shared" si="0"/>
        <v>25</v>
      </c>
      <c r="U41" s="53">
        <v>350</v>
      </c>
      <c r="V41" s="16">
        <f t="shared" si="1"/>
        <v>16</v>
      </c>
      <c r="W41" s="53">
        <v>6</v>
      </c>
      <c r="X41" s="53" t="s">
        <v>39</v>
      </c>
      <c r="Y41" s="53" t="s">
        <v>78</v>
      </c>
      <c r="Z41" s="53" t="s">
        <v>84</v>
      </c>
      <c r="AA41" s="53" t="s">
        <v>90</v>
      </c>
      <c r="AB41" s="53" t="s">
        <v>285</v>
      </c>
      <c r="AV41" s="27"/>
    </row>
    <row r="42" spans="1:48" x14ac:dyDescent="0.15">
      <c r="A42" s="53" t="s">
        <v>59</v>
      </c>
      <c r="B42" s="53" t="s">
        <v>233</v>
      </c>
      <c r="C42" s="62">
        <v>2019</v>
      </c>
      <c r="D42" s="123" t="s">
        <v>166</v>
      </c>
      <c r="E42" s="53" t="s">
        <v>302</v>
      </c>
      <c r="F42" s="53" t="s">
        <v>303</v>
      </c>
      <c r="G42" s="53" t="s">
        <v>36</v>
      </c>
      <c r="H42" s="53" t="s">
        <v>164</v>
      </c>
      <c r="I42" s="53" t="s">
        <v>159</v>
      </c>
      <c r="J42" s="53" t="s">
        <v>38</v>
      </c>
      <c r="K42" s="53" t="s">
        <v>161</v>
      </c>
      <c r="L42" s="53">
        <v>2</v>
      </c>
      <c r="N42" s="53">
        <v>3</v>
      </c>
      <c r="O42" s="53">
        <v>0.24</v>
      </c>
      <c r="P42" s="53">
        <v>0.23</v>
      </c>
      <c r="Q42" s="75">
        <f t="shared" si="2"/>
        <v>0.23499999999999999</v>
      </c>
      <c r="R42" s="53">
        <v>15.6</v>
      </c>
      <c r="S42" s="53">
        <v>130</v>
      </c>
      <c r="T42" s="16">
        <f t="shared" si="0"/>
        <v>25</v>
      </c>
      <c r="U42" s="53">
        <v>350</v>
      </c>
      <c r="V42" s="16">
        <f t="shared" si="1"/>
        <v>16</v>
      </c>
      <c r="W42" s="53">
        <v>6</v>
      </c>
      <c r="X42" s="53" t="s">
        <v>39</v>
      </c>
      <c r="Y42" s="53" t="s">
        <v>78</v>
      </c>
      <c r="Z42" s="53" t="s">
        <v>84</v>
      </c>
      <c r="AA42" s="53" t="s">
        <v>90</v>
      </c>
      <c r="AB42" s="53" t="s">
        <v>285</v>
      </c>
      <c r="AV42" s="27"/>
    </row>
    <row r="43" spans="1:48" x14ac:dyDescent="0.15">
      <c r="A43" s="53" t="s">
        <v>59</v>
      </c>
      <c r="B43" s="53" t="s">
        <v>233</v>
      </c>
      <c r="C43" s="62">
        <v>2019</v>
      </c>
      <c r="D43" s="123" t="s">
        <v>166</v>
      </c>
      <c r="E43" s="53" t="s">
        <v>302</v>
      </c>
      <c r="F43" s="53" t="s">
        <v>303</v>
      </c>
      <c r="G43" s="53" t="s">
        <v>36</v>
      </c>
      <c r="H43" s="53" t="s">
        <v>164</v>
      </c>
      <c r="I43" s="53" t="s">
        <v>159</v>
      </c>
      <c r="J43" s="53" t="s">
        <v>38</v>
      </c>
      <c r="K43" s="53" t="s">
        <v>161</v>
      </c>
      <c r="L43" s="53">
        <v>3</v>
      </c>
      <c r="N43" s="53">
        <v>3</v>
      </c>
      <c r="O43" s="53">
        <v>0.28000000000000003</v>
      </c>
      <c r="P43" s="53">
        <v>0.26</v>
      </c>
      <c r="Q43" s="75">
        <f t="shared" si="2"/>
        <v>0.27</v>
      </c>
      <c r="R43" s="53">
        <v>15.3</v>
      </c>
      <c r="S43" s="53">
        <v>136</v>
      </c>
      <c r="T43" s="16">
        <f t="shared" si="0"/>
        <v>25</v>
      </c>
      <c r="U43" s="53">
        <v>350</v>
      </c>
      <c r="V43" s="16">
        <f t="shared" si="1"/>
        <v>16</v>
      </c>
      <c r="W43" s="53">
        <v>6</v>
      </c>
      <c r="X43" s="53" t="s">
        <v>39</v>
      </c>
      <c r="Y43" s="53" t="s">
        <v>78</v>
      </c>
      <c r="Z43" s="53" t="s">
        <v>84</v>
      </c>
      <c r="AA43" s="53" t="s">
        <v>90</v>
      </c>
      <c r="AB43" s="53" t="s">
        <v>285</v>
      </c>
      <c r="AV43" s="27"/>
    </row>
    <row r="44" spans="1:48" x14ac:dyDescent="0.15">
      <c r="A44" s="53" t="s">
        <v>59</v>
      </c>
      <c r="B44" s="53" t="s">
        <v>233</v>
      </c>
      <c r="C44" s="62">
        <v>2019</v>
      </c>
      <c r="D44" s="123" t="s">
        <v>166</v>
      </c>
      <c r="E44" s="53" t="s">
        <v>302</v>
      </c>
      <c r="F44" s="53" t="s">
        <v>303</v>
      </c>
      <c r="G44" s="53" t="s">
        <v>36</v>
      </c>
      <c r="H44" s="53" t="s">
        <v>164</v>
      </c>
      <c r="I44" s="53" t="s">
        <v>167</v>
      </c>
      <c r="J44" s="53" t="s">
        <v>38</v>
      </c>
      <c r="K44" s="53" t="s">
        <v>161</v>
      </c>
      <c r="L44" s="53">
        <v>1</v>
      </c>
      <c r="N44" s="53">
        <v>4</v>
      </c>
      <c r="O44" s="53">
        <v>0.31</v>
      </c>
      <c r="P44" s="53">
        <v>0.32</v>
      </c>
      <c r="Q44" s="75">
        <f t="shared" si="2"/>
        <v>0.315</v>
      </c>
      <c r="R44" s="53">
        <v>15.9</v>
      </c>
      <c r="S44" s="53">
        <v>100</v>
      </c>
      <c r="T44" s="16">
        <f t="shared" si="0"/>
        <v>33</v>
      </c>
      <c r="U44" s="53">
        <v>399</v>
      </c>
      <c r="V44" s="16">
        <f t="shared" si="1"/>
        <v>16</v>
      </c>
      <c r="W44" s="53">
        <v>1</v>
      </c>
      <c r="X44" s="53" t="s">
        <v>46</v>
      </c>
      <c r="Y44" s="53" t="s">
        <v>78</v>
      </c>
      <c r="Z44" s="53" t="s">
        <v>84</v>
      </c>
      <c r="AA44" s="53" t="s">
        <v>90</v>
      </c>
      <c r="AB44" s="53" t="s">
        <v>285</v>
      </c>
      <c r="AV44" s="27"/>
    </row>
    <row r="45" spans="1:48" x14ac:dyDescent="0.15">
      <c r="A45" s="53" t="s">
        <v>59</v>
      </c>
      <c r="B45" s="53" t="s">
        <v>233</v>
      </c>
      <c r="C45" s="62">
        <v>2019</v>
      </c>
      <c r="D45" s="123" t="s">
        <v>166</v>
      </c>
      <c r="E45" s="53" t="s">
        <v>302</v>
      </c>
      <c r="F45" s="53" t="s">
        <v>303</v>
      </c>
      <c r="G45" s="53" t="s">
        <v>36</v>
      </c>
      <c r="H45" s="53" t="s">
        <v>164</v>
      </c>
      <c r="I45" s="53" t="s">
        <v>167</v>
      </c>
      <c r="J45" s="53" t="s">
        <v>38</v>
      </c>
      <c r="K45" s="53" t="s">
        <v>161</v>
      </c>
      <c r="L45" s="53">
        <v>2</v>
      </c>
      <c r="N45" s="53">
        <v>4</v>
      </c>
      <c r="O45" s="53">
        <v>0.46</v>
      </c>
      <c r="P45" s="53">
        <v>0.5</v>
      </c>
      <c r="Q45" s="75">
        <f t="shared" si="2"/>
        <v>0.48</v>
      </c>
      <c r="R45" s="53">
        <v>15.6</v>
      </c>
      <c r="S45" s="53">
        <v>99</v>
      </c>
      <c r="T45" s="16">
        <f t="shared" si="0"/>
        <v>33</v>
      </c>
      <c r="U45" s="53">
        <v>399</v>
      </c>
      <c r="V45" s="16">
        <f t="shared" si="1"/>
        <v>16</v>
      </c>
      <c r="W45" s="53">
        <v>1</v>
      </c>
      <c r="X45" s="53" t="s">
        <v>46</v>
      </c>
      <c r="Y45" s="53" t="s">
        <v>78</v>
      </c>
      <c r="Z45" s="53" t="s">
        <v>84</v>
      </c>
      <c r="AA45" s="53" t="s">
        <v>90</v>
      </c>
      <c r="AB45" s="53" t="s">
        <v>285</v>
      </c>
      <c r="AV45" s="27"/>
    </row>
    <row r="46" spans="1:48" x14ac:dyDescent="0.15">
      <c r="A46" s="53" t="s">
        <v>59</v>
      </c>
      <c r="B46" s="53" t="s">
        <v>233</v>
      </c>
      <c r="C46" s="62">
        <v>2019</v>
      </c>
      <c r="D46" s="123" t="s">
        <v>166</v>
      </c>
      <c r="E46" s="53" t="s">
        <v>302</v>
      </c>
      <c r="F46" s="53" t="s">
        <v>303</v>
      </c>
      <c r="G46" s="53" t="s">
        <v>36</v>
      </c>
      <c r="H46" s="53" t="s">
        <v>164</v>
      </c>
      <c r="I46" s="53" t="s">
        <v>167</v>
      </c>
      <c r="J46" s="53" t="s">
        <v>38</v>
      </c>
      <c r="K46" s="53" t="s">
        <v>161</v>
      </c>
      <c r="L46" s="53">
        <v>3</v>
      </c>
      <c r="N46" s="53">
        <v>4</v>
      </c>
      <c r="O46" s="53">
        <v>0.52</v>
      </c>
      <c r="P46" s="53">
        <v>0.44</v>
      </c>
      <c r="Q46" s="75">
        <f t="shared" si="2"/>
        <v>0.48</v>
      </c>
      <c r="R46" s="53">
        <v>15.7</v>
      </c>
      <c r="S46" s="53">
        <v>106</v>
      </c>
      <c r="T46" s="16">
        <f t="shared" si="0"/>
        <v>33</v>
      </c>
      <c r="U46" s="53">
        <v>399</v>
      </c>
      <c r="V46" s="16">
        <f t="shared" si="1"/>
        <v>16</v>
      </c>
      <c r="W46" s="53">
        <v>1</v>
      </c>
      <c r="X46" s="53" t="s">
        <v>46</v>
      </c>
      <c r="Y46" s="53" t="s">
        <v>78</v>
      </c>
      <c r="Z46" s="53" t="s">
        <v>84</v>
      </c>
      <c r="AA46" s="53" t="s">
        <v>90</v>
      </c>
      <c r="AB46" s="53" t="s">
        <v>285</v>
      </c>
      <c r="AV46" s="27"/>
    </row>
    <row r="47" spans="1:48" x14ac:dyDescent="0.15">
      <c r="A47" s="53" t="s">
        <v>59</v>
      </c>
      <c r="B47" s="53" t="s">
        <v>233</v>
      </c>
      <c r="C47" s="62">
        <v>2019</v>
      </c>
      <c r="D47" s="123" t="s">
        <v>166</v>
      </c>
      <c r="E47" s="53" t="s">
        <v>292</v>
      </c>
      <c r="F47" s="53" t="s">
        <v>293</v>
      </c>
      <c r="G47" s="53" t="s">
        <v>36</v>
      </c>
      <c r="H47" s="53" t="s">
        <v>160</v>
      </c>
      <c r="I47" s="53" t="s">
        <v>159</v>
      </c>
      <c r="J47" s="53" t="s">
        <v>38</v>
      </c>
      <c r="K47" s="53" t="s">
        <v>161</v>
      </c>
      <c r="L47" s="53">
        <v>1</v>
      </c>
      <c r="N47" s="53">
        <v>4</v>
      </c>
      <c r="O47" s="53">
        <v>0.4</v>
      </c>
      <c r="P47" s="53">
        <v>0.38</v>
      </c>
      <c r="Q47" s="75">
        <f t="shared" si="2"/>
        <v>0.39</v>
      </c>
      <c r="R47" s="53">
        <v>15.4</v>
      </c>
      <c r="S47" s="53">
        <v>110</v>
      </c>
      <c r="T47" s="16">
        <f t="shared" si="0"/>
        <v>33</v>
      </c>
      <c r="U47" s="53">
        <v>450</v>
      </c>
      <c r="V47" s="16">
        <f t="shared" si="1"/>
        <v>16</v>
      </c>
      <c r="W47" s="53">
        <v>1</v>
      </c>
      <c r="X47" s="53" t="s">
        <v>39</v>
      </c>
      <c r="Y47" s="53" t="s">
        <v>84</v>
      </c>
      <c r="Z47" s="53" t="s">
        <v>90</v>
      </c>
      <c r="AA47" s="53" t="s">
        <v>69</v>
      </c>
      <c r="AB47" s="53" t="s">
        <v>285</v>
      </c>
      <c r="AV47" s="27"/>
    </row>
    <row r="48" spans="1:48" x14ac:dyDescent="0.15">
      <c r="A48" s="53" t="s">
        <v>59</v>
      </c>
      <c r="B48" s="53" t="s">
        <v>233</v>
      </c>
      <c r="C48" s="62">
        <v>2019</v>
      </c>
      <c r="D48" s="123" t="s">
        <v>166</v>
      </c>
      <c r="E48" s="53" t="s">
        <v>292</v>
      </c>
      <c r="F48" s="53" t="s">
        <v>293</v>
      </c>
      <c r="G48" s="53" t="s">
        <v>36</v>
      </c>
      <c r="H48" s="53" t="s">
        <v>160</v>
      </c>
      <c r="I48" s="53" t="s">
        <v>159</v>
      </c>
      <c r="J48" s="53" t="s">
        <v>38</v>
      </c>
      <c r="K48" s="53" t="s">
        <v>161</v>
      </c>
      <c r="L48" s="53">
        <v>2</v>
      </c>
      <c r="N48" s="53">
        <v>4</v>
      </c>
      <c r="O48" s="53">
        <v>0.23</v>
      </c>
      <c r="P48" s="53">
        <v>0.22</v>
      </c>
      <c r="Q48" s="75">
        <f t="shared" si="2"/>
        <v>0.22500000000000001</v>
      </c>
      <c r="R48" s="53">
        <v>15.3</v>
      </c>
      <c r="S48" s="53">
        <v>109</v>
      </c>
      <c r="T48" s="16">
        <f t="shared" si="0"/>
        <v>33</v>
      </c>
      <c r="U48" s="53">
        <v>450</v>
      </c>
      <c r="V48" s="16">
        <f t="shared" si="1"/>
        <v>16</v>
      </c>
      <c r="W48" s="53">
        <v>1</v>
      </c>
      <c r="X48" s="53" t="s">
        <v>39</v>
      </c>
      <c r="Y48" s="53" t="s">
        <v>84</v>
      </c>
      <c r="Z48" s="53" t="s">
        <v>90</v>
      </c>
      <c r="AA48" s="53" t="s">
        <v>69</v>
      </c>
      <c r="AB48" s="53" t="s">
        <v>285</v>
      </c>
      <c r="AV48" s="27"/>
    </row>
    <row r="49" spans="1:48" x14ac:dyDescent="0.15">
      <c r="A49" s="53" t="s">
        <v>59</v>
      </c>
      <c r="B49" s="53" t="s">
        <v>233</v>
      </c>
      <c r="C49" s="62">
        <v>2019</v>
      </c>
      <c r="D49" s="123" t="s">
        <v>166</v>
      </c>
      <c r="E49" s="53" t="s">
        <v>292</v>
      </c>
      <c r="F49" s="53" t="s">
        <v>293</v>
      </c>
      <c r="G49" s="53" t="s">
        <v>36</v>
      </c>
      <c r="H49" s="53" t="s">
        <v>160</v>
      </c>
      <c r="I49" s="53" t="s">
        <v>159</v>
      </c>
      <c r="J49" s="53" t="s">
        <v>38</v>
      </c>
      <c r="K49" s="53" t="s">
        <v>161</v>
      </c>
      <c r="L49" s="53">
        <v>3</v>
      </c>
      <c r="N49" s="53">
        <v>4</v>
      </c>
      <c r="O49" s="53">
        <v>0.35</v>
      </c>
      <c r="P49" s="53">
        <v>0.31</v>
      </c>
      <c r="Q49" s="75">
        <f t="shared" si="2"/>
        <v>0.32999999999999996</v>
      </c>
      <c r="R49" s="53">
        <v>15.8</v>
      </c>
      <c r="S49" s="53">
        <v>109</v>
      </c>
      <c r="T49" s="16">
        <f t="shared" si="0"/>
        <v>33</v>
      </c>
      <c r="U49" s="53">
        <v>450</v>
      </c>
      <c r="V49" s="16">
        <f t="shared" si="1"/>
        <v>16</v>
      </c>
      <c r="W49" s="53">
        <v>1</v>
      </c>
      <c r="X49" s="53" t="s">
        <v>39</v>
      </c>
      <c r="Y49" s="53" t="s">
        <v>84</v>
      </c>
      <c r="Z49" s="53" t="s">
        <v>90</v>
      </c>
      <c r="AA49" s="53" t="s">
        <v>69</v>
      </c>
      <c r="AB49" s="53" t="s">
        <v>285</v>
      </c>
      <c r="AV49" s="27"/>
    </row>
    <row r="50" spans="1:48" x14ac:dyDescent="0.15">
      <c r="A50" s="53" t="s">
        <v>59</v>
      </c>
      <c r="B50" s="53" t="s">
        <v>233</v>
      </c>
      <c r="C50" s="62">
        <v>2019</v>
      </c>
      <c r="D50" s="123" t="s">
        <v>166</v>
      </c>
      <c r="E50" s="53" t="s">
        <v>292</v>
      </c>
      <c r="F50" s="53" t="s">
        <v>293</v>
      </c>
      <c r="G50" s="53" t="s">
        <v>36</v>
      </c>
      <c r="H50" s="53" t="s">
        <v>164</v>
      </c>
      <c r="I50" s="53" t="s">
        <v>159</v>
      </c>
      <c r="J50" s="53" t="s">
        <v>38</v>
      </c>
      <c r="K50" s="53" t="s">
        <v>161</v>
      </c>
      <c r="L50" s="53">
        <v>1</v>
      </c>
      <c r="N50" s="53">
        <v>5</v>
      </c>
      <c r="O50" s="53">
        <v>0.8</v>
      </c>
      <c r="P50" s="53">
        <v>0.86</v>
      </c>
      <c r="Q50" s="75">
        <f t="shared" si="2"/>
        <v>0.83000000000000007</v>
      </c>
      <c r="R50" s="53">
        <v>14.3</v>
      </c>
      <c r="S50" s="53">
        <v>107</v>
      </c>
      <c r="T50" s="16">
        <f t="shared" si="0"/>
        <v>33</v>
      </c>
      <c r="U50" s="53">
        <v>350</v>
      </c>
      <c r="V50" s="16">
        <f t="shared" si="1"/>
        <v>16</v>
      </c>
      <c r="W50" s="53">
        <v>1</v>
      </c>
      <c r="X50" s="53" t="s">
        <v>39</v>
      </c>
      <c r="Y50" s="53" t="s">
        <v>84</v>
      </c>
      <c r="Z50" s="53" t="s">
        <v>90</v>
      </c>
      <c r="AA50" s="53" t="s">
        <v>69</v>
      </c>
      <c r="AB50" s="53" t="s">
        <v>285</v>
      </c>
      <c r="AV50" s="27"/>
    </row>
    <row r="51" spans="1:48" x14ac:dyDescent="0.15">
      <c r="A51" s="53" t="s">
        <v>59</v>
      </c>
      <c r="B51" s="53" t="s">
        <v>233</v>
      </c>
      <c r="C51" s="62">
        <v>2019</v>
      </c>
      <c r="D51" s="123" t="s">
        <v>166</v>
      </c>
      <c r="E51" s="53" t="s">
        <v>292</v>
      </c>
      <c r="F51" s="53" t="s">
        <v>293</v>
      </c>
      <c r="G51" s="53" t="s">
        <v>36</v>
      </c>
      <c r="H51" s="53" t="s">
        <v>164</v>
      </c>
      <c r="I51" s="53" t="s">
        <v>159</v>
      </c>
      <c r="J51" s="53" t="s">
        <v>38</v>
      </c>
      <c r="K51" s="53" t="s">
        <v>161</v>
      </c>
      <c r="L51" s="53">
        <v>2</v>
      </c>
      <c r="N51" s="53">
        <v>5</v>
      </c>
      <c r="O51" s="53">
        <v>0.64</v>
      </c>
      <c r="P51" s="53">
        <v>0.69</v>
      </c>
      <c r="Q51" s="75">
        <f t="shared" si="2"/>
        <v>0.66500000000000004</v>
      </c>
      <c r="R51" s="53">
        <v>13.7</v>
      </c>
      <c r="S51" s="53">
        <v>104</v>
      </c>
      <c r="T51" s="16">
        <f t="shared" si="0"/>
        <v>33</v>
      </c>
      <c r="U51" s="53">
        <v>350</v>
      </c>
      <c r="V51" s="16">
        <f t="shared" si="1"/>
        <v>16</v>
      </c>
      <c r="W51" s="53">
        <v>1</v>
      </c>
      <c r="X51" s="53" t="s">
        <v>39</v>
      </c>
      <c r="Y51" s="53" t="s">
        <v>84</v>
      </c>
      <c r="Z51" s="53" t="s">
        <v>90</v>
      </c>
      <c r="AA51" s="53" t="s">
        <v>69</v>
      </c>
      <c r="AB51" s="53" t="s">
        <v>285</v>
      </c>
      <c r="AV51" s="27"/>
    </row>
    <row r="52" spans="1:48" x14ac:dyDescent="0.15">
      <c r="A52" s="53" t="s">
        <v>59</v>
      </c>
      <c r="B52" s="53" t="s">
        <v>233</v>
      </c>
      <c r="C52" s="62">
        <v>2019</v>
      </c>
      <c r="D52" s="123" t="s">
        <v>166</v>
      </c>
      <c r="E52" s="53" t="s">
        <v>292</v>
      </c>
      <c r="F52" s="53" t="s">
        <v>293</v>
      </c>
      <c r="G52" s="53" t="s">
        <v>36</v>
      </c>
      <c r="H52" s="53" t="s">
        <v>164</v>
      </c>
      <c r="I52" s="53" t="s">
        <v>159</v>
      </c>
      <c r="J52" s="53" t="s">
        <v>38</v>
      </c>
      <c r="K52" s="53" t="s">
        <v>161</v>
      </c>
      <c r="L52" s="53">
        <v>3</v>
      </c>
      <c r="N52" s="53">
        <v>5</v>
      </c>
      <c r="O52" s="53">
        <v>0.77</v>
      </c>
      <c r="P52" s="53">
        <v>0.81</v>
      </c>
      <c r="Q52" s="75">
        <f t="shared" si="2"/>
        <v>0.79</v>
      </c>
      <c r="R52" s="53">
        <v>13.9</v>
      </c>
      <c r="S52" s="53">
        <v>100</v>
      </c>
      <c r="T52" s="16">
        <f t="shared" si="0"/>
        <v>33</v>
      </c>
      <c r="U52" s="53">
        <v>350</v>
      </c>
      <c r="V52" s="16">
        <f t="shared" si="1"/>
        <v>16</v>
      </c>
      <c r="W52" s="53">
        <v>1</v>
      </c>
      <c r="X52" s="53" t="s">
        <v>39</v>
      </c>
      <c r="Y52" s="53" t="s">
        <v>84</v>
      </c>
      <c r="Z52" s="53" t="s">
        <v>90</v>
      </c>
      <c r="AA52" s="53" t="s">
        <v>69</v>
      </c>
      <c r="AB52" s="53" t="s">
        <v>285</v>
      </c>
      <c r="AV52" s="27"/>
    </row>
    <row r="53" spans="1:48" x14ac:dyDescent="0.15">
      <c r="A53" s="53" t="s">
        <v>59</v>
      </c>
      <c r="B53" s="53" t="s">
        <v>233</v>
      </c>
      <c r="C53" s="62">
        <v>2019</v>
      </c>
      <c r="D53" s="123" t="s">
        <v>166</v>
      </c>
      <c r="E53" s="53" t="s">
        <v>309</v>
      </c>
      <c r="F53" s="53" t="s">
        <v>310</v>
      </c>
      <c r="G53" s="53" t="s">
        <v>36</v>
      </c>
      <c r="H53" s="53" t="s">
        <v>160</v>
      </c>
      <c r="I53" s="53" t="s">
        <v>159</v>
      </c>
      <c r="J53" s="53" t="s">
        <v>38</v>
      </c>
      <c r="K53" s="53" t="s">
        <v>161</v>
      </c>
      <c r="L53" s="53">
        <v>1</v>
      </c>
      <c r="N53" s="53">
        <v>4</v>
      </c>
      <c r="O53" s="53">
        <v>0.49</v>
      </c>
      <c r="P53" s="53">
        <v>0.52</v>
      </c>
      <c r="Q53" s="75">
        <f t="shared" si="2"/>
        <v>0.505</v>
      </c>
      <c r="R53" s="53">
        <v>15.5</v>
      </c>
      <c r="S53" s="53">
        <v>145</v>
      </c>
      <c r="T53" s="16">
        <f t="shared" si="0"/>
        <v>22</v>
      </c>
      <c r="U53" s="53">
        <v>398</v>
      </c>
      <c r="V53" s="16">
        <f t="shared" si="1"/>
        <v>16</v>
      </c>
      <c r="W53" s="53">
        <v>2</v>
      </c>
      <c r="X53" s="53" t="s">
        <v>39</v>
      </c>
      <c r="Y53" s="53" t="s">
        <v>84</v>
      </c>
      <c r="Z53" s="53" t="s">
        <v>90</v>
      </c>
      <c r="AA53" s="53" t="s">
        <v>78</v>
      </c>
      <c r="AB53" s="53" t="s">
        <v>285</v>
      </c>
      <c r="AV53" s="27"/>
    </row>
    <row r="54" spans="1:48" x14ac:dyDescent="0.15">
      <c r="A54" s="53" t="s">
        <v>59</v>
      </c>
      <c r="B54" s="53" t="s">
        <v>233</v>
      </c>
      <c r="C54" s="62">
        <v>2019</v>
      </c>
      <c r="D54" s="123" t="s">
        <v>166</v>
      </c>
      <c r="E54" s="53" t="s">
        <v>309</v>
      </c>
      <c r="F54" s="53" t="s">
        <v>310</v>
      </c>
      <c r="G54" s="53" t="s">
        <v>36</v>
      </c>
      <c r="H54" s="53" t="s">
        <v>160</v>
      </c>
      <c r="I54" s="53" t="s">
        <v>159</v>
      </c>
      <c r="J54" s="53" t="s">
        <v>38</v>
      </c>
      <c r="K54" s="53" t="s">
        <v>161</v>
      </c>
      <c r="L54" s="53">
        <v>2</v>
      </c>
      <c r="N54" s="53">
        <v>4</v>
      </c>
      <c r="O54" s="53">
        <v>0.35</v>
      </c>
      <c r="P54" s="53">
        <v>0.38</v>
      </c>
      <c r="Q54" s="75">
        <f t="shared" si="2"/>
        <v>0.36499999999999999</v>
      </c>
      <c r="R54" s="53">
        <v>14.9</v>
      </c>
      <c r="S54" s="53">
        <v>138</v>
      </c>
      <c r="T54" s="16">
        <f t="shared" si="0"/>
        <v>22</v>
      </c>
      <c r="U54" s="53">
        <v>398</v>
      </c>
      <c r="V54" s="16">
        <f t="shared" si="1"/>
        <v>16</v>
      </c>
      <c r="W54" s="53">
        <v>2</v>
      </c>
      <c r="X54" s="53" t="s">
        <v>39</v>
      </c>
      <c r="Y54" s="53" t="s">
        <v>84</v>
      </c>
      <c r="Z54" s="53" t="s">
        <v>90</v>
      </c>
      <c r="AA54" s="53" t="s">
        <v>78</v>
      </c>
      <c r="AB54" s="53" t="s">
        <v>285</v>
      </c>
      <c r="AV54" s="27"/>
    </row>
    <row r="55" spans="1:48" x14ac:dyDescent="0.15">
      <c r="A55" s="53" t="s">
        <v>59</v>
      </c>
      <c r="B55" s="53" t="s">
        <v>233</v>
      </c>
      <c r="C55" s="62">
        <v>2019</v>
      </c>
      <c r="D55" s="123" t="s">
        <v>166</v>
      </c>
      <c r="E55" s="53" t="s">
        <v>309</v>
      </c>
      <c r="F55" s="53" t="s">
        <v>310</v>
      </c>
      <c r="G55" s="53" t="s">
        <v>36</v>
      </c>
      <c r="H55" s="53" t="s">
        <v>160</v>
      </c>
      <c r="I55" s="53" t="s">
        <v>159</v>
      </c>
      <c r="J55" s="53" t="s">
        <v>38</v>
      </c>
      <c r="K55" s="53" t="s">
        <v>161</v>
      </c>
      <c r="L55" s="53">
        <v>3</v>
      </c>
      <c r="N55" s="53">
        <v>4</v>
      </c>
      <c r="O55" s="53">
        <v>0.48</v>
      </c>
      <c r="P55" s="53">
        <v>0.53</v>
      </c>
      <c r="Q55" s="75">
        <f t="shared" si="2"/>
        <v>0.505</v>
      </c>
      <c r="R55" s="53">
        <v>15.9</v>
      </c>
      <c r="S55" s="53">
        <v>141</v>
      </c>
      <c r="T55" s="16">
        <f t="shared" si="0"/>
        <v>22</v>
      </c>
      <c r="U55" s="53">
        <v>398</v>
      </c>
      <c r="V55" s="16">
        <f t="shared" si="1"/>
        <v>16</v>
      </c>
      <c r="W55" s="53">
        <v>2</v>
      </c>
      <c r="X55" s="53" t="s">
        <v>39</v>
      </c>
      <c r="Y55" s="53" t="s">
        <v>84</v>
      </c>
      <c r="Z55" s="53" t="s">
        <v>90</v>
      </c>
      <c r="AA55" s="53" t="s">
        <v>78</v>
      </c>
      <c r="AB55" s="53" t="s">
        <v>285</v>
      </c>
      <c r="AV55" s="27"/>
    </row>
    <row r="56" spans="1:48" x14ac:dyDescent="0.15">
      <c r="A56" s="53" t="s">
        <v>59</v>
      </c>
      <c r="B56" s="53" t="s">
        <v>233</v>
      </c>
      <c r="C56" s="62">
        <v>2019</v>
      </c>
      <c r="D56" s="123" t="s">
        <v>166</v>
      </c>
      <c r="E56" s="53" t="s">
        <v>309</v>
      </c>
      <c r="F56" s="53" t="s">
        <v>310</v>
      </c>
      <c r="G56" s="53" t="s">
        <v>36</v>
      </c>
      <c r="H56" s="53" t="s">
        <v>164</v>
      </c>
      <c r="I56" s="53" t="s">
        <v>159</v>
      </c>
      <c r="J56" s="53" t="s">
        <v>38</v>
      </c>
      <c r="K56" s="53" t="s">
        <v>161</v>
      </c>
      <c r="L56" s="53">
        <v>1</v>
      </c>
      <c r="N56" s="53">
        <v>4</v>
      </c>
      <c r="O56" s="53">
        <v>0.4</v>
      </c>
      <c r="P56" s="53">
        <v>0.43</v>
      </c>
      <c r="Q56" s="75">
        <f t="shared" si="2"/>
        <v>0.41500000000000004</v>
      </c>
      <c r="R56" s="53">
        <v>14.5</v>
      </c>
      <c r="S56" s="53">
        <v>145</v>
      </c>
      <c r="T56" s="16">
        <f t="shared" si="0"/>
        <v>22</v>
      </c>
      <c r="U56" s="53">
        <v>298</v>
      </c>
      <c r="V56" s="16">
        <f t="shared" si="1"/>
        <v>16</v>
      </c>
      <c r="W56" s="53">
        <v>2</v>
      </c>
      <c r="X56" s="53" t="s">
        <v>39</v>
      </c>
      <c r="Y56" s="53" t="s">
        <v>84</v>
      </c>
      <c r="Z56" s="53" t="s">
        <v>90</v>
      </c>
      <c r="AA56" s="53" t="s">
        <v>78</v>
      </c>
      <c r="AB56" s="53" t="s">
        <v>285</v>
      </c>
      <c r="AV56" s="27"/>
    </row>
    <row r="57" spans="1:48" x14ac:dyDescent="0.15">
      <c r="A57" s="53" t="s">
        <v>59</v>
      </c>
      <c r="B57" s="53" t="s">
        <v>233</v>
      </c>
      <c r="C57" s="62">
        <v>2019</v>
      </c>
      <c r="D57" s="123" t="s">
        <v>166</v>
      </c>
      <c r="E57" s="53" t="s">
        <v>309</v>
      </c>
      <c r="F57" s="53" t="s">
        <v>310</v>
      </c>
      <c r="G57" s="53" t="s">
        <v>36</v>
      </c>
      <c r="H57" s="53" t="s">
        <v>164</v>
      </c>
      <c r="I57" s="53" t="s">
        <v>159</v>
      </c>
      <c r="J57" s="53" t="s">
        <v>38</v>
      </c>
      <c r="K57" s="53" t="s">
        <v>161</v>
      </c>
      <c r="L57" s="53">
        <v>2</v>
      </c>
      <c r="N57" s="53">
        <v>4</v>
      </c>
      <c r="O57" s="53">
        <v>0.57999999999999996</v>
      </c>
      <c r="P57" s="53">
        <v>0.54</v>
      </c>
      <c r="Q57" s="75">
        <f t="shared" si="2"/>
        <v>0.56000000000000005</v>
      </c>
      <c r="R57" s="53">
        <v>14.2</v>
      </c>
      <c r="S57" s="53">
        <v>140</v>
      </c>
      <c r="T57" s="16">
        <f t="shared" si="0"/>
        <v>22</v>
      </c>
      <c r="U57" s="53">
        <v>298</v>
      </c>
      <c r="V57" s="16">
        <f t="shared" si="1"/>
        <v>16</v>
      </c>
      <c r="W57" s="53">
        <v>2</v>
      </c>
      <c r="X57" s="53" t="s">
        <v>39</v>
      </c>
      <c r="Y57" s="53" t="s">
        <v>84</v>
      </c>
      <c r="Z57" s="53" t="s">
        <v>90</v>
      </c>
      <c r="AA57" s="53" t="s">
        <v>78</v>
      </c>
      <c r="AB57" s="53" t="s">
        <v>285</v>
      </c>
      <c r="AV57" s="27"/>
    </row>
    <row r="58" spans="1:48" x14ac:dyDescent="0.15">
      <c r="A58" s="53" t="s">
        <v>59</v>
      </c>
      <c r="B58" s="53" t="s">
        <v>233</v>
      </c>
      <c r="C58" s="62">
        <v>2019</v>
      </c>
      <c r="D58" s="123" t="s">
        <v>166</v>
      </c>
      <c r="E58" s="53" t="s">
        <v>309</v>
      </c>
      <c r="F58" s="53" t="s">
        <v>310</v>
      </c>
      <c r="G58" s="53" t="s">
        <v>36</v>
      </c>
      <c r="H58" s="53" t="s">
        <v>164</v>
      </c>
      <c r="I58" s="53" t="s">
        <v>159</v>
      </c>
      <c r="J58" s="53" t="s">
        <v>38</v>
      </c>
      <c r="K58" s="53" t="s">
        <v>161</v>
      </c>
      <c r="L58" s="53">
        <v>3</v>
      </c>
      <c r="N58" s="53">
        <v>4</v>
      </c>
      <c r="O58" s="53">
        <v>0.52</v>
      </c>
      <c r="P58" s="53">
        <v>0.47</v>
      </c>
      <c r="Q58" s="75">
        <f t="shared" si="2"/>
        <v>0.495</v>
      </c>
      <c r="R58" s="53">
        <v>14.1</v>
      </c>
      <c r="S58" s="53">
        <v>139</v>
      </c>
      <c r="T58" s="16">
        <f t="shared" si="0"/>
        <v>22</v>
      </c>
      <c r="U58" s="53">
        <v>298</v>
      </c>
      <c r="V58" s="16">
        <f t="shared" si="1"/>
        <v>16</v>
      </c>
      <c r="W58" s="53">
        <v>2</v>
      </c>
      <c r="X58" s="53" t="s">
        <v>39</v>
      </c>
      <c r="Y58" s="53" t="s">
        <v>84</v>
      </c>
      <c r="Z58" s="53" t="s">
        <v>90</v>
      </c>
      <c r="AA58" s="53" t="s">
        <v>78</v>
      </c>
      <c r="AB58" s="53" t="s">
        <v>285</v>
      </c>
      <c r="AV58" s="27"/>
    </row>
    <row r="59" spans="1:48" x14ac:dyDescent="0.15">
      <c r="A59" s="53" t="s">
        <v>59</v>
      </c>
      <c r="B59" s="53" t="s">
        <v>233</v>
      </c>
      <c r="C59" s="62">
        <v>2019</v>
      </c>
      <c r="D59" s="123" t="s">
        <v>166</v>
      </c>
      <c r="E59" s="53" t="s">
        <v>299</v>
      </c>
      <c r="F59" s="53" t="s">
        <v>300</v>
      </c>
      <c r="G59" s="53" t="s">
        <v>36</v>
      </c>
      <c r="H59" s="53" t="s">
        <v>160</v>
      </c>
      <c r="I59" s="53" t="s">
        <v>159</v>
      </c>
      <c r="J59" s="53" t="s">
        <v>38</v>
      </c>
      <c r="K59" s="53" t="s">
        <v>161</v>
      </c>
      <c r="L59" s="53">
        <v>1</v>
      </c>
      <c r="N59" s="53">
        <v>4</v>
      </c>
      <c r="O59" s="53">
        <v>0.35</v>
      </c>
      <c r="P59" s="53">
        <v>0.33</v>
      </c>
      <c r="Q59" s="75">
        <f t="shared" si="2"/>
        <v>0.33999999999999997</v>
      </c>
      <c r="R59" s="53">
        <v>15.7</v>
      </c>
      <c r="S59" s="53">
        <v>112</v>
      </c>
      <c r="T59" s="16">
        <f t="shared" si="0"/>
        <v>33</v>
      </c>
      <c r="U59" s="53">
        <v>518</v>
      </c>
      <c r="V59" s="16">
        <f t="shared" si="1"/>
        <v>16</v>
      </c>
      <c r="W59" s="53">
        <v>2</v>
      </c>
      <c r="X59" s="53" t="s">
        <v>39</v>
      </c>
      <c r="Y59" s="53" t="s">
        <v>102</v>
      </c>
      <c r="Z59" s="53" t="s">
        <v>90</v>
      </c>
      <c r="AA59" s="53" t="s">
        <v>84</v>
      </c>
      <c r="AB59" s="53" t="s">
        <v>285</v>
      </c>
      <c r="AV59" s="27"/>
    </row>
    <row r="60" spans="1:48" x14ac:dyDescent="0.15">
      <c r="A60" s="53" t="s">
        <v>59</v>
      </c>
      <c r="B60" s="53" t="s">
        <v>233</v>
      </c>
      <c r="C60" s="62">
        <v>2019</v>
      </c>
      <c r="D60" s="123" t="s">
        <v>166</v>
      </c>
      <c r="E60" s="53" t="s">
        <v>299</v>
      </c>
      <c r="F60" s="53" t="s">
        <v>300</v>
      </c>
      <c r="G60" s="53" t="s">
        <v>36</v>
      </c>
      <c r="H60" s="53" t="s">
        <v>160</v>
      </c>
      <c r="I60" s="53" t="s">
        <v>159</v>
      </c>
      <c r="J60" s="53" t="s">
        <v>38</v>
      </c>
      <c r="K60" s="53" t="s">
        <v>161</v>
      </c>
      <c r="L60" s="53">
        <v>2</v>
      </c>
      <c r="N60" s="53">
        <v>4</v>
      </c>
      <c r="O60" s="53">
        <v>0.38</v>
      </c>
      <c r="P60" s="53">
        <v>0.4</v>
      </c>
      <c r="Q60" s="75">
        <f t="shared" si="2"/>
        <v>0.39</v>
      </c>
      <c r="R60" s="53">
        <v>15.6</v>
      </c>
      <c r="S60" s="53">
        <v>114</v>
      </c>
      <c r="T60" s="16">
        <f t="shared" si="0"/>
        <v>30</v>
      </c>
      <c r="U60" s="53">
        <v>518</v>
      </c>
      <c r="V60" s="16">
        <f t="shared" si="1"/>
        <v>16</v>
      </c>
      <c r="W60" s="53">
        <v>2</v>
      </c>
      <c r="X60" s="53" t="s">
        <v>39</v>
      </c>
      <c r="Y60" s="53" t="s">
        <v>102</v>
      </c>
      <c r="Z60" s="53" t="s">
        <v>90</v>
      </c>
      <c r="AA60" s="53" t="s">
        <v>84</v>
      </c>
      <c r="AB60" s="53" t="s">
        <v>285</v>
      </c>
      <c r="AV60" s="27"/>
    </row>
    <row r="61" spans="1:48" x14ac:dyDescent="0.15">
      <c r="A61" s="53" t="s">
        <v>59</v>
      </c>
      <c r="B61" s="53" t="s">
        <v>233</v>
      </c>
      <c r="C61" s="62">
        <v>2019</v>
      </c>
      <c r="D61" s="123" t="s">
        <v>166</v>
      </c>
      <c r="E61" s="53" t="s">
        <v>299</v>
      </c>
      <c r="F61" s="53" t="s">
        <v>300</v>
      </c>
      <c r="G61" s="53" t="s">
        <v>36</v>
      </c>
      <c r="H61" s="53" t="s">
        <v>160</v>
      </c>
      <c r="I61" s="53" t="s">
        <v>159</v>
      </c>
      <c r="J61" s="53" t="s">
        <v>38</v>
      </c>
      <c r="K61" s="53" t="s">
        <v>161</v>
      </c>
      <c r="L61" s="53">
        <v>3</v>
      </c>
      <c r="N61" s="53">
        <v>4</v>
      </c>
      <c r="O61" s="53">
        <v>0.39</v>
      </c>
      <c r="P61" s="53">
        <v>0.34</v>
      </c>
      <c r="Q61" s="75">
        <f t="shared" si="2"/>
        <v>0.36499999999999999</v>
      </c>
      <c r="R61" s="53">
        <v>15.7</v>
      </c>
      <c r="S61" s="53">
        <v>114</v>
      </c>
      <c r="T61" s="16">
        <f t="shared" si="0"/>
        <v>30</v>
      </c>
      <c r="U61" s="53">
        <v>518</v>
      </c>
      <c r="V61" s="16">
        <f t="shared" si="1"/>
        <v>16</v>
      </c>
      <c r="W61" s="53">
        <v>2</v>
      </c>
      <c r="X61" s="53" t="s">
        <v>39</v>
      </c>
      <c r="Y61" s="53" t="s">
        <v>102</v>
      </c>
      <c r="Z61" s="53" t="s">
        <v>90</v>
      </c>
      <c r="AA61" s="53" t="s">
        <v>84</v>
      </c>
      <c r="AB61" s="53" t="s">
        <v>285</v>
      </c>
      <c r="AV61" s="27"/>
    </row>
    <row r="62" spans="1:48" x14ac:dyDescent="0.15">
      <c r="A62" s="53" t="s">
        <v>59</v>
      </c>
      <c r="B62" s="53" t="s">
        <v>233</v>
      </c>
      <c r="C62" s="62">
        <v>2019</v>
      </c>
      <c r="D62" s="123" t="s">
        <v>166</v>
      </c>
      <c r="E62" s="53" t="s">
        <v>299</v>
      </c>
      <c r="F62" s="53" t="s">
        <v>300</v>
      </c>
      <c r="G62" s="53" t="s">
        <v>36</v>
      </c>
      <c r="H62" s="53" t="s">
        <v>164</v>
      </c>
      <c r="I62" s="53" t="s">
        <v>159</v>
      </c>
      <c r="J62" s="53" t="s">
        <v>38</v>
      </c>
      <c r="K62" s="53" t="s">
        <v>161</v>
      </c>
      <c r="L62" s="53">
        <v>1</v>
      </c>
      <c r="N62" s="53">
        <v>5</v>
      </c>
      <c r="O62" s="53">
        <v>0.45</v>
      </c>
      <c r="P62" s="53">
        <v>0.5</v>
      </c>
      <c r="Q62" s="75">
        <f t="shared" si="2"/>
        <v>0.47499999999999998</v>
      </c>
      <c r="R62" s="53">
        <v>13.8</v>
      </c>
      <c r="S62" s="53">
        <v>90</v>
      </c>
      <c r="T62" s="16">
        <f t="shared" si="0"/>
        <v>36</v>
      </c>
      <c r="U62" s="53">
        <v>321</v>
      </c>
      <c r="V62" s="16">
        <f t="shared" si="1"/>
        <v>16</v>
      </c>
      <c r="W62" s="53">
        <v>2</v>
      </c>
      <c r="X62" s="53" t="s">
        <v>39</v>
      </c>
      <c r="Y62" s="53" t="s">
        <v>102</v>
      </c>
      <c r="Z62" s="53" t="s">
        <v>90</v>
      </c>
      <c r="AA62" s="53" t="s">
        <v>84</v>
      </c>
      <c r="AB62" s="53" t="s">
        <v>285</v>
      </c>
      <c r="AV62" s="27"/>
    </row>
    <row r="63" spans="1:48" x14ac:dyDescent="0.15">
      <c r="A63" s="53" t="s">
        <v>59</v>
      </c>
      <c r="B63" s="53" t="s">
        <v>233</v>
      </c>
      <c r="C63" s="62">
        <v>2019</v>
      </c>
      <c r="D63" s="123" t="s">
        <v>166</v>
      </c>
      <c r="E63" s="53" t="s">
        <v>299</v>
      </c>
      <c r="F63" s="53" t="s">
        <v>300</v>
      </c>
      <c r="G63" s="53" t="s">
        <v>36</v>
      </c>
      <c r="H63" s="53" t="s">
        <v>164</v>
      </c>
      <c r="I63" s="53" t="s">
        <v>159</v>
      </c>
      <c r="J63" s="53" t="s">
        <v>38</v>
      </c>
      <c r="K63" s="53" t="s">
        <v>161</v>
      </c>
      <c r="L63" s="53">
        <v>2</v>
      </c>
      <c r="N63" s="53">
        <v>5</v>
      </c>
      <c r="O63" s="53">
        <v>0.49</v>
      </c>
      <c r="P63" s="53">
        <v>0.4</v>
      </c>
      <c r="Q63" s="75">
        <f t="shared" si="2"/>
        <v>0.44500000000000001</v>
      </c>
      <c r="R63" s="53">
        <v>12.8</v>
      </c>
      <c r="S63" s="53">
        <v>84</v>
      </c>
      <c r="T63" s="16">
        <f t="shared" si="0"/>
        <v>36</v>
      </c>
      <c r="U63" s="53">
        <v>321</v>
      </c>
      <c r="V63" s="16">
        <f t="shared" si="1"/>
        <v>16</v>
      </c>
      <c r="W63" s="53">
        <v>2</v>
      </c>
      <c r="X63" s="53" t="s">
        <v>39</v>
      </c>
      <c r="Y63" s="53" t="s">
        <v>102</v>
      </c>
      <c r="Z63" s="53" t="s">
        <v>90</v>
      </c>
      <c r="AA63" s="53" t="s">
        <v>84</v>
      </c>
      <c r="AB63" s="53" t="s">
        <v>285</v>
      </c>
      <c r="AV63" s="27"/>
    </row>
    <row r="64" spans="1:48" x14ac:dyDescent="0.15">
      <c r="A64" s="53" t="s">
        <v>59</v>
      </c>
      <c r="B64" s="53" t="s">
        <v>233</v>
      </c>
      <c r="C64" s="62">
        <v>2019</v>
      </c>
      <c r="D64" s="123" t="s">
        <v>166</v>
      </c>
      <c r="E64" s="53" t="s">
        <v>299</v>
      </c>
      <c r="F64" s="53" t="s">
        <v>300</v>
      </c>
      <c r="G64" s="53" t="s">
        <v>36</v>
      </c>
      <c r="H64" s="53" t="s">
        <v>164</v>
      </c>
      <c r="I64" s="53" t="s">
        <v>159</v>
      </c>
      <c r="J64" s="53" t="s">
        <v>38</v>
      </c>
      <c r="K64" s="53" t="s">
        <v>161</v>
      </c>
      <c r="L64" s="53">
        <v>3</v>
      </c>
      <c r="N64" s="53">
        <v>5</v>
      </c>
      <c r="O64" s="53">
        <v>0.48</v>
      </c>
      <c r="P64" s="53">
        <v>0.42</v>
      </c>
      <c r="Q64" s="75">
        <f t="shared" si="2"/>
        <v>0.44999999999999996</v>
      </c>
      <c r="R64" s="53">
        <v>12.9</v>
      </c>
      <c r="S64" s="53">
        <v>91</v>
      </c>
      <c r="T64" s="16">
        <f t="shared" si="0"/>
        <v>36</v>
      </c>
      <c r="U64" s="53">
        <v>321</v>
      </c>
      <c r="V64" s="16">
        <f t="shared" si="1"/>
        <v>16</v>
      </c>
      <c r="W64" s="53">
        <v>2</v>
      </c>
      <c r="X64" s="53" t="s">
        <v>39</v>
      </c>
      <c r="Y64" s="53" t="s">
        <v>102</v>
      </c>
      <c r="Z64" s="53" t="s">
        <v>90</v>
      </c>
      <c r="AA64" s="53" t="s">
        <v>84</v>
      </c>
      <c r="AB64" s="53" t="s">
        <v>285</v>
      </c>
      <c r="AV64" s="27"/>
    </row>
    <row r="65" spans="3:48" x14ac:dyDescent="0.15">
      <c r="C65" s="62"/>
      <c r="D65" s="123"/>
      <c r="Q65" s="75"/>
      <c r="AV65" s="27"/>
    </row>
    <row r="66" spans="3:48" x14ac:dyDescent="0.15">
      <c r="C66" s="62"/>
      <c r="D66" s="123"/>
      <c r="Q66" s="75"/>
      <c r="AV66" s="27"/>
    </row>
    <row r="67" spans="3:48" x14ac:dyDescent="0.15">
      <c r="C67" s="62"/>
      <c r="D67" s="123"/>
      <c r="Q67" s="75"/>
      <c r="AV67" s="27"/>
    </row>
    <row r="68" spans="3:48" x14ac:dyDescent="0.15">
      <c r="C68" s="62"/>
      <c r="D68" s="123"/>
      <c r="Q68" s="75"/>
      <c r="AV68" s="27"/>
    </row>
    <row r="69" spans="3:48" x14ac:dyDescent="0.15">
      <c r="C69" s="62"/>
      <c r="D69" s="123"/>
      <c r="Q69" s="75"/>
      <c r="AV69" s="27"/>
    </row>
    <row r="70" spans="3:48" x14ac:dyDescent="0.15">
      <c r="C70" s="62"/>
      <c r="D70" s="123"/>
      <c r="Q70" s="75"/>
    </row>
    <row r="71" spans="3:48" x14ac:dyDescent="0.15">
      <c r="C71" s="62"/>
      <c r="D71" s="123"/>
      <c r="Q71" s="75"/>
    </row>
    <row r="72" spans="3:48" x14ac:dyDescent="0.15">
      <c r="C72" s="62"/>
      <c r="D72" s="123"/>
      <c r="Q72" s="75"/>
    </row>
    <row r="73" spans="3:48" x14ac:dyDescent="0.15">
      <c r="C73" s="62"/>
      <c r="Q73" s="75"/>
    </row>
    <row r="74" spans="3:48" x14ac:dyDescent="0.15">
      <c r="C74" s="62"/>
      <c r="Q74" s="75"/>
    </row>
    <row r="75" spans="3:48" x14ac:dyDescent="0.15">
      <c r="C75" s="62"/>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row>
    <row r="90" spans="3:22" x14ac:dyDescent="0.15">
      <c r="C90" s="62"/>
    </row>
    <row r="91" spans="3:22" x14ac:dyDescent="0.15">
      <c r="Q91" s="16" t="str">
        <f t="shared" ref="Q91:Q142" si="3">IF(OR(O91="",P91=""),"",AVERAGE(O91,P91))</f>
        <v/>
      </c>
      <c r="T91" s="16" t="str">
        <f t="shared" ref="T91:T142" si="4">IF(H91="","",IF(OR(H91="GREEN",H91="GK"),IF(S91&gt;=$AX$2,VLOOKUP(S91,$AX$2:$AY$12,2,1),""),IF(S91&gt;=$AZ$2,VLOOKUP(S91,$AZ$2:$BA$12,2,1),"")))</f>
        <v/>
      </c>
      <c r="V91" s="16" t="str">
        <f t="shared" ref="V91:V142" si="5">IF(J91="","",IF(OR(J91="GREEN",J91="GK"),IF(U91&gt;=$AX$2,VLOOKUP(U91,$AX$2:$AY$12,2,1),""),IF(U91&gt;=$AZ$2,VLOOKUP(U91,$AZ$2:$BA$12,2,1),"")))</f>
        <v/>
      </c>
    </row>
    <row r="92" spans="3:22" x14ac:dyDescent="0.15">
      <c r="Q92" s="16" t="str">
        <f t="shared" si="3"/>
        <v/>
      </c>
      <c r="T92" s="16" t="str">
        <f t="shared" si="4"/>
        <v/>
      </c>
      <c r="V92" s="16" t="str">
        <f t="shared" si="5"/>
        <v/>
      </c>
    </row>
    <row r="93" spans="3:22" x14ac:dyDescent="0.15">
      <c r="Q93" s="16" t="str">
        <f t="shared" si="3"/>
        <v/>
      </c>
      <c r="T93" s="16" t="str">
        <f t="shared" si="4"/>
        <v/>
      </c>
      <c r="V93" s="16" t="str">
        <f t="shared" si="5"/>
        <v/>
      </c>
    </row>
    <row r="94" spans="3:22" x14ac:dyDescent="0.15">
      <c r="Q94" s="16" t="str">
        <f t="shared" si="3"/>
        <v/>
      </c>
      <c r="T94" s="16" t="str">
        <f t="shared" si="4"/>
        <v/>
      </c>
      <c r="V94" s="16" t="str">
        <f t="shared" si="5"/>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sheetData>
  <autoFilter ref="A1:BA142" xr:uid="{00000000-0009-0000-0000-000000000000}"/>
  <phoneticPr fontId="3"/>
  <dataValidations count="19">
    <dataValidation type="list" allowBlank="1" showInputMessage="1" showErrorMessage="1" sqref="K2:K424" xr:uid="{394467FB-A5DD-4780-B5E1-BA004731458D}">
      <formula1>$AR$2:$AR$27</formula1>
    </dataValidation>
    <dataValidation type="list" allowBlank="1" showInputMessage="1" showErrorMessage="1" sqref="E2:E482" xr:uid="{FBE23322-902C-4118-8D8B-37C498229E1D}">
      <formula1>$AG$2:$AG$11</formula1>
    </dataValidation>
    <dataValidation type="list" allowBlank="1" showInputMessage="1" showErrorMessage="1" sqref="H2:H482" xr:uid="{517F0F49-45CE-4954-A163-DDF07A21910A}">
      <formula1>$AL$2:$AL$8</formula1>
    </dataValidation>
    <dataValidation type="decimal" allowBlank="1" showInputMessage="1" showErrorMessage="1" error="硬度を正しく入力して下さい。" sqref="O2:P482" xr:uid="{2392307A-DFD8-429D-B470-695110B87688}">
      <formula1>0</formula1>
      <formula2>7</formula2>
    </dataValidation>
    <dataValidation type="list" allowBlank="1" showInputMessage="1" showErrorMessage="1" sqref="F2:F1436" xr:uid="{D312CA68-8BC9-4E69-8340-7D2A9987C64C}">
      <formula1>$AH$2:$AH$11</formula1>
    </dataValidation>
    <dataValidation type="list" allowBlank="1" showInputMessage="1" showErrorMessage="1" sqref="Y2:AA573" xr:uid="{AEF7A479-CC68-4D02-835F-2346E603ACC7}">
      <formula1>$AV$2:$AV$38</formula1>
    </dataValidation>
    <dataValidation type="list" allowBlank="1" showInputMessage="1" showErrorMessage="1" sqref="J2:J69" xr:uid="{B5B32516-2C0E-433D-ADAA-30E49A84DE86}">
      <formula1>$AP$2:$AP$38</formula1>
    </dataValidation>
    <dataValidation type="list" allowBlank="1" showInputMessage="1" showErrorMessage="1" sqref="WVS983024:WVS983089 K65520:K65585 JG65520:JG65585 TC65520:TC65585 ACY65520:ACY65585 AMU65520:AMU65585 AWQ65520:AWQ65585 BGM65520:BGM65585 BQI65520:BQI65585 CAE65520:CAE65585 CKA65520:CKA65585 CTW65520:CTW65585 DDS65520:DDS65585 DNO65520:DNO65585 DXK65520:DXK65585 EHG65520:EHG65585 ERC65520:ERC65585 FAY65520:FAY65585 FKU65520:FKU65585 FUQ65520:FUQ65585 GEM65520:GEM65585 GOI65520:GOI65585 GYE65520:GYE65585 HIA65520:HIA65585 HRW65520:HRW65585 IBS65520:IBS65585 ILO65520:ILO65585 IVK65520:IVK65585 JFG65520:JFG65585 JPC65520:JPC65585 JYY65520:JYY65585 KIU65520:KIU65585 KSQ65520:KSQ65585 LCM65520:LCM65585 LMI65520:LMI65585 LWE65520:LWE65585 MGA65520:MGA65585 MPW65520:MPW65585 MZS65520:MZS65585 NJO65520:NJO65585 NTK65520:NTK65585 ODG65520:ODG65585 ONC65520:ONC65585 OWY65520:OWY65585 PGU65520:PGU65585 PQQ65520:PQQ65585 QAM65520:QAM65585 QKI65520:QKI65585 QUE65520:QUE65585 REA65520:REA65585 RNW65520:RNW65585 RXS65520:RXS65585 SHO65520:SHO65585 SRK65520:SRK65585 TBG65520:TBG65585 TLC65520:TLC65585 TUY65520:TUY65585 UEU65520:UEU65585 UOQ65520:UOQ65585 UYM65520:UYM65585 VII65520:VII65585 VSE65520:VSE65585 WCA65520:WCA65585 WLW65520:WLW65585 WVS65520:WVS65585 K131056:K131121 JG131056:JG131121 TC131056:TC131121 ACY131056:ACY131121 AMU131056:AMU131121 AWQ131056:AWQ131121 BGM131056:BGM131121 BQI131056:BQI131121 CAE131056:CAE131121 CKA131056:CKA131121 CTW131056:CTW131121 DDS131056:DDS131121 DNO131056:DNO131121 DXK131056:DXK131121 EHG131056:EHG131121 ERC131056:ERC131121 FAY131056:FAY131121 FKU131056:FKU131121 FUQ131056:FUQ131121 GEM131056:GEM131121 GOI131056:GOI131121 GYE131056:GYE131121 HIA131056:HIA131121 HRW131056:HRW131121 IBS131056:IBS131121 ILO131056:ILO131121 IVK131056:IVK131121 JFG131056:JFG131121 JPC131056:JPC131121 JYY131056:JYY131121 KIU131056:KIU131121 KSQ131056:KSQ131121 LCM131056:LCM131121 LMI131056:LMI131121 LWE131056:LWE131121 MGA131056:MGA131121 MPW131056:MPW131121 MZS131056:MZS131121 NJO131056:NJO131121 NTK131056:NTK131121 ODG131056:ODG131121 ONC131056:ONC131121 OWY131056:OWY131121 PGU131056:PGU131121 PQQ131056:PQQ131121 QAM131056:QAM131121 QKI131056:QKI131121 QUE131056:QUE131121 REA131056:REA131121 RNW131056:RNW131121 RXS131056:RXS131121 SHO131056:SHO131121 SRK131056:SRK131121 TBG131056:TBG131121 TLC131056:TLC131121 TUY131056:TUY131121 UEU131056:UEU131121 UOQ131056:UOQ131121 UYM131056:UYM131121 VII131056:VII131121 VSE131056:VSE131121 WCA131056:WCA131121 WLW131056:WLW131121 WVS131056:WVS131121 K196592:K196657 JG196592:JG196657 TC196592:TC196657 ACY196592:ACY196657 AMU196592:AMU196657 AWQ196592:AWQ196657 BGM196592:BGM196657 BQI196592:BQI196657 CAE196592:CAE196657 CKA196592:CKA196657 CTW196592:CTW196657 DDS196592:DDS196657 DNO196592:DNO196657 DXK196592:DXK196657 EHG196592:EHG196657 ERC196592:ERC196657 FAY196592:FAY196657 FKU196592:FKU196657 FUQ196592:FUQ196657 GEM196592:GEM196657 GOI196592:GOI196657 GYE196592:GYE196657 HIA196592:HIA196657 HRW196592:HRW196657 IBS196592:IBS196657 ILO196592:ILO196657 IVK196592:IVK196657 JFG196592:JFG196657 JPC196592:JPC196657 JYY196592:JYY196657 KIU196592:KIU196657 KSQ196592:KSQ196657 LCM196592:LCM196657 LMI196592:LMI196657 LWE196592:LWE196657 MGA196592:MGA196657 MPW196592:MPW196657 MZS196592:MZS196657 NJO196592:NJO196657 NTK196592:NTK196657 ODG196592:ODG196657 ONC196592:ONC196657 OWY196592:OWY196657 PGU196592:PGU196657 PQQ196592:PQQ196657 QAM196592:QAM196657 QKI196592:QKI196657 QUE196592:QUE196657 REA196592:REA196657 RNW196592:RNW196657 RXS196592:RXS196657 SHO196592:SHO196657 SRK196592:SRK196657 TBG196592:TBG196657 TLC196592:TLC196657 TUY196592:TUY196657 UEU196592:UEU196657 UOQ196592:UOQ196657 UYM196592:UYM196657 VII196592:VII196657 VSE196592:VSE196657 WCA196592:WCA196657 WLW196592:WLW196657 WVS196592:WVS196657 K262128:K262193 JG262128:JG262193 TC262128:TC262193 ACY262128:ACY262193 AMU262128:AMU262193 AWQ262128:AWQ262193 BGM262128:BGM262193 BQI262128:BQI262193 CAE262128:CAE262193 CKA262128:CKA262193 CTW262128:CTW262193 DDS262128:DDS262193 DNO262128:DNO262193 DXK262128:DXK262193 EHG262128:EHG262193 ERC262128:ERC262193 FAY262128:FAY262193 FKU262128:FKU262193 FUQ262128:FUQ262193 GEM262128:GEM262193 GOI262128:GOI262193 GYE262128:GYE262193 HIA262128:HIA262193 HRW262128:HRW262193 IBS262128:IBS262193 ILO262128:ILO262193 IVK262128:IVK262193 JFG262128:JFG262193 JPC262128:JPC262193 JYY262128:JYY262193 KIU262128:KIU262193 KSQ262128:KSQ262193 LCM262128:LCM262193 LMI262128:LMI262193 LWE262128:LWE262193 MGA262128:MGA262193 MPW262128:MPW262193 MZS262128:MZS262193 NJO262128:NJO262193 NTK262128:NTK262193 ODG262128:ODG262193 ONC262128:ONC262193 OWY262128:OWY262193 PGU262128:PGU262193 PQQ262128:PQQ262193 QAM262128:QAM262193 QKI262128:QKI262193 QUE262128:QUE262193 REA262128:REA262193 RNW262128:RNW262193 RXS262128:RXS262193 SHO262128:SHO262193 SRK262128:SRK262193 TBG262128:TBG262193 TLC262128:TLC262193 TUY262128:TUY262193 UEU262128:UEU262193 UOQ262128:UOQ262193 UYM262128:UYM262193 VII262128:VII262193 VSE262128:VSE262193 WCA262128:WCA262193 WLW262128:WLW262193 WVS262128:WVS262193 K327664:K327729 JG327664:JG327729 TC327664:TC327729 ACY327664:ACY327729 AMU327664:AMU327729 AWQ327664:AWQ327729 BGM327664:BGM327729 BQI327664:BQI327729 CAE327664:CAE327729 CKA327664:CKA327729 CTW327664:CTW327729 DDS327664:DDS327729 DNO327664:DNO327729 DXK327664:DXK327729 EHG327664:EHG327729 ERC327664:ERC327729 FAY327664:FAY327729 FKU327664:FKU327729 FUQ327664:FUQ327729 GEM327664:GEM327729 GOI327664:GOI327729 GYE327664:GYE327729 HIA327664:HIA327729 HRW327664:HRW327729 IBS327664:IBS327729 ILO327664:ILO327729 IVK327664:IVK327729 JFG327664:JFG327729 JPC327664:JPC327729 JYY327664:JYY327729 KIU327664:KIU327729 KSQ327664:KSQ327729 LCM327664:LCM327729 LMI327664:LMI327729 LWE327664:LWE327729 MGA327664:MGA327729 MPW327664:MPW327729 MZS327664:MZS327729 NJO327664:NJO327729 NTK327664:NTK327729 ODG327664:ODG327729 ONC327664:ONC327729 OWY327664:OWY327729 PGU327664:PGU327729 PQQ327664:PQQ327729 QAM327664:QAM327729 QKI327664:QKI327729 QUE327664:QUE327729 REA327664:REA327729 RNW327664:RNW327729 RXS327664:RXS327729 SHO327664:SHO327729 SRK327664:SRK327729 TBG327664:TBG327729 TLC327664:TLC327729 TUY327664:TUY327729 UEU327664:UEU327729 UOQ327664:UOQ327729 UYM327664:UYM327729 VII327664:VII327729 VSE327664:VSE327729 WCA327664:WCA327729 WLW327664:WLW327729 WVS327664:WVS327729 K393200:K393265 JG393200:JG393265 TC393200:TC393265 ACY393200:ACY393265 AMU393200:AMU393265 AWQ393200:AWQ393265 BGM393200:BGM393265 BQI393200:BQI393265 CAE393200:CAE393265 CKA393200:CKA393265 CTW393200:CTW393265 DDS393200:DDS393265 DNO393200:DNO393265 DXK393200:DXK393265 EHG393200:EHG393265 ERC393200:ERC393265 FAY393200:FAY393265 FKU393200:FKU393265 FUQ393200:FUQ393265 GEM393200:GEM393265 GOI393200:GOI393265 GYE393200:GYE393265 HIA393200:HIA393265 HRW393200:HRW393265 IBS393200:IBS393265 ILO393200:ILO393265 IVK393200:IVK393265 JFG393200:JFG393265 JPC393200:JPC393265 JYY393200:JYY393265 KIU393200:KIU393265 KSQ393200:KSQ393265 LCM393200:LCM393265 LMI393200:LMI393265 LWE393200:LWE393265 MGA393200:MGA393265 MPW393200:MPW393265 MZS393200:MZS393265 NJO393200:NJO393265 NTK393200:NTK393265 ODG393200:ODG393265 ONC393200:ONC393265 OWY393200:OWY393265 PGU393200:PGU393265 PQQ393200:PQQ393265 QAM393200:QAM393265 QKI393200:QKI393265 QUE393200:QUE393265 REA393200:REA393265 RNW393200:RNW393265 RXS393200:RXS393265 SHO393200:SHO393265 SRK393200:SRK393265 TBG393200:TBG393265 TLC393200:TLC393265 TUY393200:TUY393265 UEU393200:UEU393265 UOQ393200:UOQ393265 UYM393200:UYM393265 VII393200:VII393265 VSE393200:VSE393265 WCA393200:WCA393265 WLW393200:WLW393265 WVS393200:WVS393265 K458736:K458801 JG458736:JG458801 TC458736:TC458801 ACY458736:ACY458801 AMU458736:AMU458801 AWQ458736:AWQ458801 BGM458736:BGM458801 BQI458736:BQI458801 CAE458736:CAE458801 CKA458736:CKA458801 CTW458736:CTW458801 DDS458736:DDS458801 DNO458736:DNO458801 DXK458736:DXK458801 EHG458736:EHG458801 ERC458736:ERC458801 FAY458736:FAY458801 FKU458736:FKU458801 FUQ458736:FUQ458801 GEM458736:GEM458801 GOI458736:GOI458801 GYE458736:GYE458801 HIA458736:HIA458801 HRW458736:HRW458801 IBS458736:IBS458801 ILO458736:ILO458801 IVK458736:IVK458801 JFG458736:JFG458801 JPC458736:JPC458801 JYY458736:JYY458801 KIU458736:KIU458801 KSQ458736:KSQ458801 LCM458736:LCM458801 LMI458736:LMI458801 LWE458736:LWE458801 MGA458736:MGA458801 MPW458736:MPW458801 MZS458736:MZS458801 NJO458736:NJO458801 NTK458736:NTK458801 ODG458736:ODG458801 ONC458736:ONC458801 OWY458736:OWY458801 PGU458736:PGU458801 PQQ458736:PQQ458801 QAM458736:QAM458801 QKI458736:QKI458801 QUE458736:QUE458801 REA458736:REA458801 RNW458736:RNW458801 RXS458736:RXS458801 SHO458736:SHO458801 SRK458736:SRK458801 TBG458736:TBG458801 TLC458736:TLC458801 TUY458736:TUY458801 UEU458736:UEU458801 UOQ458736:UOQ458801 UYM458736:UYM458801 VII458736:VII458801 VSE458736:VSE458801 WCA458736:WCA458801 WLW458736:WLW458801 WVS458736:WVS458801 K524272:K524337 JG524272:JG524337 TC524272:TC524337 ACY524272:ACY524337 AMU524272:AMU524337 AWQ524272:AWQ524337 BGM524272:BGM524337 BQI524272:BQI524337 CAE524272:CAE524337 CKA524272:CKA524337 CTW524272:CTW524337 DDS524272:DDS524337 DNO524272:DNO524337 DXK524272:DXK524337 EHG524272:EHG524337 ERC524272:ERC524337 FAY524272:FAY524337 FKU524272:FKU524337 FUQ524272:FUQ524337 GEM524272:GEM524337 GOI524272:GOI524337 GYE524272:GYE524337 HIA524272:HIA524337 HRW524272:HRW524337 IBS524272:IBS524337 ILO524272:ILO524337 IVK524272:IVK524337 JFG524272:JFG524337 JPC524272:JPC524337 JYY524272:JYY524337 KIU524272:KIU524337 KSQ524272:KSQ524337 LCM524272:LCM524337 LMI524272:LMI524337 LWE524272:LWE524337 MGA524272:MGA524337 MPW524272:MPW524337 MZS524272:MZS524337 NJO524272:NJO524337 NTK524272:NTK524337 ODG524272:ODG524337 ONC524272:ONC524337 OWY524272:OWY524337 PGU524272:PGU524337 PQQ524272:PQQ524337 QAM524272:QAM524337 QKI524272:QKI524337 QUE524272:QUE524337 REA524272:REA524337 RNW524272:RNW524337 RXS524272:RXS524337 SHO524272:SHO524337 SRK524272:SRK524337 TBG524272:TBG524337 TLC524272:TLC524337 TUY524272:TUY524337 UEU524272:UEU524337 UOQ524272:UOQ524337 UYM524272:UYM524337 VII524272:VII524337 VSE524272:VSE524337 WCA524272:WCA524337 WLW524272:WLW524337 WVS524272:WVS524337 K589808:K589873 JG589808:JG589873 TC589808:TC589873 ACY589808:ACY589873 AMU589808:AMU589873 AWQ589808:AWQ589873 BGM589808:BGM589873 BQI589808:BQI589873 CAE589808:CAE589873 CKA589808:CKA589873 CTW589808:CTW589873 DDS589808:DDS589873 DNO589808:DNO589873 DXK589808:DXK589873 EHG589808:EHG589873 ERC589808:ERC589873 FAY589808:FAY589873 FKU589808:FKU589873 FUQ589808:FUQ589873 GEM589808:GEM589873 GOI589808:GOI589873 GYE589808:GYE589873 HIA589808:HIA589873 HRW589808:HRW589873 IBS589808:IBS589873 ILO589808:ILO589873 IVK589808:IVK589873 JFG589808:JFG589873 JPC589808:JPC589873 JYY589808:JYY589873 KIU589808:KIU589873 KSQ589808:KSQ589873 LCM589808:LCM589873 LMI589808:LMI589873 LWE589808:LWE589873 MGA589808:MGA589873 MPW589808:MPW589873 MZS589808:MZS589873 NJO589808:NJO589873 NTK589808:NTK589873 ODG589808:ODG589873 ONC589808:ONC589873 OWY589808:OWY589873 PGU589808:PGU589873 PQQ589808:PQQ589873 QAM589808:QAM589873 QKI589808:QKI589873 QUE589808:QUE589873 REA589808:REA589873 RNW589808:RNW589873 RXS589808:RXS589873 SHO589808:SHO589873 SRK589808:SRK589873 TBG589808:TBG589873 TLC589808:TLC589873 TUY589808:TUY589873 UEU589808:UEU589873 UOQ589808:UOQ589873 UYM589808:UYM589873 VII589808:VII589873 VSE589808:VSE589873 WCA589808:WCA589873 WLW589808:WLW589873 WVS589808:WVS589873 K655344:K655409 JG655344:JG655409 TC655344:TC655409 ACY655344:ACY655409 AMU655344:AMU655409 AWQ655344:AWQ655409 BGM655344:BGM655409 BQI655344:BQI655409 CAE655344:CAE655409 CKA655344:CKA655409 CTW655344:CTW655409 DDS655344:DDS655409 DNO655344:DNO655409 DXK655344:DXK655409 EHG655344:EHG655409 ERC655344:ERC655409 FAY655344:FAY655409 FKU655344:FKU655409 FUQ655344:FUQ655409 GEM655344:GEM655409 GOI655344:GOI655409 GYE655344:GYE655409 HIA655344:HIA655409 HRW655344:HRW655409 IBS655344:IBS655409 ILO655344:ILO655409 IVK655344:IVK655409 JFG655344:JFG655409 JPC655344:JPC655409 JYY655344:JYY655409 KIU655344:KIU655409 KSQ655344:KSQ655409 LCM655344:LCM655409 LMI655344:LMI655409 LWE655344:LWE655409 MGA655344:MGA655409 MPW655344:MPW655409 MZS655344:MZS655409 NJO655344:NJO655409 NTK655344:NTK655409 ODG655344:ODG655409 ONC655344:ONC655409 OWY655344:OWY655409 PGU655344:PGU655409 PQQ655344:PQQ655409 QAM655344:QAM655409 QKI655344:QKI655409 QUE655344:QUE655409 REA655344:REA655409 RNW655344:RNW655409 RXS655344:RXS655409 SHO655344:SHO655409 SRK655344:SRK655409 TBG655344:TBG655409 TLC655344:TLC655409 TUY655344:TUY655409 UEU655344:UEU655409 UOQ655344:UOQ655409 UYM655344:UYM655409 VII655344:VII655409 VSE655344:VSE655409 WCA655344:WCA655409 WLW655344:WLW655409 WVS655344:WVS655409 K720880:K720945 JG720880:JG720945 TC720880:TC720945 ACY720880:ACY720945 AMU720880:AMU720945 AWQ720880:AWQ720945 BGM720880:BGM720945 BQI720880:BQI720945 CAE720880:CAE720945 CKA720880:CKA720945 CTW720880:CTW720945 DDS720880:DDS720945 DNO720880:DNO720945 DXK720880:DXK720945 EHG720880:EHG720945 ERC720880:ERC720945 FAY720880:FAY720945 FKU720880:FKU720945 FUQ720880:FUQ720945 GEM720880:GEM720945 GOI720880:GOI720945 GYE720880:GYE720945 HIA720880:HIA720945 HRW720880:HRW720945 IBS720880:IBS720945 ILO720880:ILO720945 IVK720880:IVK720945 JFG720880:JFG720945 JPC720880:JPC720945 JYY720880:JYY720945 KIU720880:KIU720945 KSQ720880:KSQ720945 LCM720880:LCM720945 LMI720880:LMI720945 LWE720880:LWE720945 MGA720880:MGA720945 MPW720880:MPW720945 MZS720880:MZS720945 NJO720880:NJO720945 NTK720880:NTK720945 ODG720880:ODG720945 ONC720880:ONC720945 OWY720880:OWY720945 PGU720880:PGU720945 PQQ720880:PQQ720945 QAM720880:QAM720945 QKI720880:QKI720945 QUE720880:QUE720945 REA720880:REA720945 RNW720880:RNW720945 RXS720880:RXS720945 SHO720880:SHO720945 SRK720880:SRK720945 TBG720880:TBG720945 TLC720880:TLC720945 TUY720880:TUY720945 UEU720880:UEU720945 UOQ720880:UOQ720945 UYM720880:UYM720945 VII720880:VII720945 VSE720880:VSE720945 WCA720880:WCA720945 WLW720880:WLW720945 WVS720880:WVS720945 K786416:K786481 JG786416:JG786481 TC786416:TC786481 ACY786416:ACY786481 AMU786416:AMU786481 AWQ786416:AWQ786481 BGM786416:BGM786481 BQI786416:BQI786481 CAE786416:CAE786481 CKA786416:CKA786481 CTW786416:CTW786481 DDS786416:DDS786481 DNO786416:DNO786481 DXK786416:DXK786481 EHG786416:EHG786481 ERC786416:ERC786481 FAY786416:FAY786481 FKU786416:FKU786481 FUQ786416:FUQ786481 GEM786416:GEM786481 GOI786416:GOI786481 GYE786416:GYE786481 HIA786416:HIA786481 HRW786416:HRW786481 IBS786416:IBS786481 ILO786416:ILO786481 IVK786416:IVK786481 JFG786416:JFG786481 JPC786416:JPC786481 JYY786416:JYY786481 KIU786416:KIU786481 KSQ786416:KSQ786481 LCM786416:LCM786481 LMI786416:LMI786481 LWE786416:LWE786481 MGA786416:MGA786481 MPW786416:MPW786481 MZS786416:MZS786481 NJO786416:NJO786481 NTK786416:NTK786481 ODG786416:ODG786481 ONC786416:ONC786481 OWY786416:OWY786481 PGU786416:PGU786481 PQQ786416:PQQ786481 QAM786416:QAM786481 QKI786416:QKI786481 QUE786416:QUE786481 REA786416:REA786481 RNW786416:RNW786481 RXS786416:RXS786481 SHO786416:SHO786481 SRK786416:SRK786481 TBG786416:TBG786481 TLC786416:TLC786481 TUY786416:TUY786481 UEU786416:UEU786481 UOQ786416:UOQ786481 UYM786416:UYM786481 VII786416:VII786481 VSE786416:VSE786481 WCA786416:WCA786481 WLW786416:WLW786481 WVS786416:WVS786481 K851952:K852017 JG851952:JG852017 TC851952:TC852017 ACY851952:ACY852017 AMU851952:AMU852017 AWQ851952:AWQ852017 BGM851952:BGM852017 BQI851952:BQI852017 CAE851952:CAE852017 CKA851952:CKA852017 CTW851952:CTW852017 DDS851952:DDS852017 DNO851952:DNO852017 DXK851952:DXK852017 EHG851952:EHG852017 ERC851952:ERC852017 FAY851952:FAY852017 FKU851952:FKU852017 FUQ851952:FUQ852017 GEM851952:GEM852017 GOI851952:GOI852017 GYE851952:GYE852017 HIA851952:HIA852017 HRW851952:HRW852017 IBS851952:IBS852017 ILO851952:ILO852017 IVK851952:IVK852017 JFG851952:JFG852017 JPC851952:JPC852017 JYY851952:JYY852017 KIU851952:KIU852017 KSQ851952:KSQ852017 LCM851952:LCM852017 LMI851952:LMI852017 LWE851952:LWE852017 MGA851952:MGA852017 MPW851952:MPW852017 MZS851952:MZS852017 NJO851952:NJO852017 NTK851952:NTK852017 ODG851952:ODG852017 ONC851952:ONC852017 OWY851952:OWY852017 PGU851952:PGU852017 PQQ851952:PQQ852017 QAM851952:QAM852017 QKI851952:QKI852017 QUE851952:QUE852017 REA851952:REA852017 RNW851952:RNW852017 RXS851952:RXS852017 SHO851952:SHO852017 SRK851952:SRK852017 TBG851952:TBG852017 TLC851952:TLC852017 TUY851952:TUY852017 UEU851952:UEU852017 UOQ851952:UOQ852017 UYM851952:UYM852017 VII851952:VII852017 VSE851952:VSE852017 WCA851952:WCA852017 WLW851952:WLW852017 WVS851952:WVS852017 K917488:K917553 JG917488:JG917553 TC917488:TC917553 ACY917488:ACY917553 AMU917488:AMU917553 AWQ917488:AWQ917553 BGM917488:BGM917553 BQI917488:BQI917553 CAE917488:CAE917553 CKA917488:CKA917553 CTW917488:CTW917553 DDS917488:DDS917553 DNO917488:DNO917553 DXK917488:DXK917553 EHG917488:EHG917553 ERC917488:ERC917553 FAY917488:FAY917553 FKU917488:FKU917553 FUQ917488:FUQ917553 GEM917488:GEM917553 GOI917488:GOI917553 GYE917488:GYE917553 HIA917488:HIA917553 HRW917488:HRW917553 IBS917488:IBS917553 ILO917488:ILO917553 IVK917488:IVK917553 JFG917488:JFG917553 JPC917488:JPC917553 JYY917488:JYY917553 KIU917488:KIU917553 KSQ917488:KSQ917553 LCM917488:LCM917553 LMI917488:LMI917553 LWE917488:LWE917553 MGA917488:MGA917553 MPW917488:MPW917553 MZS917488:MZS917553 NJO917488:NJO917553 NTK917488:NTK917553 ODG917488:ODG917553 ONC917488:ONC917553 OWY917488:OWY917553 PGU917488:PGU917553 PQQ917488:PQQ917553 QAM917488:QAM917553 QKI917488:QKI917553 QUE917488:QUE917553 REA917488:REA917553 RNW917488:RNW917553 RXS917488:RXS917553 SHO917488:SHO917553 SRK917488:SRK917553 TBG917488:TBG917553 TLC917488:TLC917553 TUY917488:TUY917553 UEU917488:UEU917553 UOQ917488:UOQ917553 UYM917488:UYM917553 VII917488:VII917553 VSE917488:VSE917553 WCA917488:WCA917553 WLW917488:WLW917553 WVS917488:WVS917553 K983024:K983089 JG983024:JG983089 TC983024:TC983089 ACY983024:ACY983089 AMU983024:AMU983089 AWQ983024:AWQ983089 BGM983024:BGM983089 BQI983024:BQI983089 CAE983024:CAE983089 CKA983024:CKA983089 CTW983024:CTW983089 DDS983024:DDS983089 DNO983024:DNO983089 DXK983024:DXK983089 EHG983024:EHG983089 ERC983024:ERC983089 FAY983024:FAY983089 FKU983024:FKU983089 FUQ983024:FUQ983089 GEM983024:GEM983089 GOI983024:GOI983089 GYE983024:GYE983089 HIA983024:HIA983089 HRW983024:HRW983089 IBS983024:IBS983089 ILO983024:ILO983089 IVK983024:IVK983089 JFG983024:JFG983089 JPC983024:JPC983089 JYY983024:JYY983089 KIU983024:KIU983089 KSQ983024:KSQ983089 LCM983024:LCM983089 LMI983024:LMI983089 LWE983024:LWE983089 MGA983024:MGA983089 MPW983024:MPW983089 MZS983024:MZS983089 NJO983024:NJO983089 NTK983024:NTK983089 ODG983024:ODG983089 ONC983024:ONC983089 OWY983024:OWY983089 PGU983024:PGU983089 PQQ983024:PQQ983089 QAM983024:QAM983089 QKI983024:QKI983089 QUE983024:QUE983089 REA983024:REA983089 RNW983024:RNW983089 RXS983024:RXS983089 SHO983024:SHO983089 SRK983024:SRK983089 TBG983024:TBG983089 TLC983024:TLC983089 TUY983024:TUY983089 UEU983024:UEU983089 UOQ983024:UOQ983089 UYM983024:UYM983089 VII983024:VII983089 VSE983024:VSE983089 WCA983024:WCA983089 WLW983024:WLW983089 K425:K482 JG2:JG69 TC2:TC69 ACY2:ACY69 AMU2:AMU69 AWQ2:AWQ69 BGM2:BGM69 BQI2:BQI69 CAE2:CAE69 CKA2:CKA69 CTW2:CTW69 DDS2:DDS69 DNO2:DNO69 DXK2:DXK69 EHG2:EHG69 ERC2:ERC69 FAY2:FAY69 FKU2:FKU69 FUQ2:FUQ69 GEM2:GEM69 GOI2:GOI69 GYE2:GYE69 HIA2:HIA69 HRW2:HRW69 IBS2:IBS69 ILO2:ILO69 IVK2:IVK69 JFG2:JFG69 JPC2:JPC69 JYY2:JYY69 KIU2:KIU69 KSQ2:KSQ69 LCM2:LCM69 LMI2:LMI69 LWE2:LWE69 MGA2:MGA69 MPW2:MPW69 MZS2:MZS69 NJO2:NJO69 NTK2:NTK69 ODG2:ODG69 ONC2:ONC69 OWY2:OWY69 PGU2:PGU69 PQQ2:PQQ69 QAM2:QAM69 QKI2:QKI69 QUE2:QUE69 REA2:REA69 RNW2:RNW69 RXS2:RXS69 SHO2:SHO69 SRK2:SRK69 TBG2:TBG69 TLC2:TLC69 TUY2:TUY69 UEU2:UEU69 UOQ2:UOQ69 UYM2:UYM69 VII2:VII69 VSE2:VSE69 WCA2:WCA69 WLW2:WLW69 WVS2:WVS69" xr:uid="{FA89DF0E-D670-4365-B0A2-42FE2136CB20}">
      <formula1>$AR$2:$AR$25</formula1>
    </dataValidation>
    <dataValidation type="list" allowBlank="1" showInputMessage="1" showErrorMessage="1" sqref="WVR983024:WVR983089 J65520:J65585 JF65520:JF65585 TB65520:TB65585 ACX65520:ACX65585 AMT65520:AMT65585 AWP65520:AWP65585 BGL65520:BGL65585 BQH65520:BQH65585 CAD65520:CAD65585 CJZ65520:CJZ65585 CTV65520:CTV65585 DDR65520:DDR65585 DNN65520:DNN65585 DXJ65520:DXJ65585 EHF65520:EHF65585 ERB65520:ERB65585 FAX65520:FAX65585 FKT65520:FKT65585 FUP65520:FUP65585 GEL65520:GEL65585 GOH65520:GOH65585 GYD65520:GYD65585 HHZ65520:HHZ65585 HRV65520:HRV65585 IBR65520:IBR65585 ILN65520:ILN65585 IVJ65520:IVJ65585 JFF65520:JFF65585 JPB65520:JPB65585 JYX65520:JYX65585 KIT65520:KIT65585 KSP65520:KSP65585 LCL65520:LCL65585 LMH65520:LMH65585 LWD65520:LWD65585 MFZ65520:MFZ65585 MPV65520:MPV65585 MZR65520:MZR65585 NJN65520:NJN65585 NTJ65520:NTJ65585 ODF65520:ODF65585 ONB65520:ONB65585 OWX65520:OWX65585 PGT65520:PGT65585 PQP65520:PQP65585 QAL65520:QAL65585 QKH65520:QKH65585 QUD65520:QUD65585 RDZ65520:RDZ65585 RNV65520:RNV65585 RXR65520:RXR65585 SHN65520:SHN65585 SRJ65520:SRJ65585 TBF65520:TBF65585 TLB65520:TLB65585 TUX65520:TUX65585 UET65520:UET65585 UOP65520:UOP65585 UYL65520:UYL65585 VIH65520:VIH65585 VSD65520:VSD65585 WBZ65520:WBZ65585 WLV65520:WLV65585 WVR65520:WVR65585 J131056:J131121 JF131056:JF131121 TB131056:TB131121 ACX131056:ACX131121 AMT131056:AMT131121 AWP131056:AWP131121 BGL131056:BGL131121 BQH131056:BQH131121 CAD131056:CAD131121 CJZ131056:CJZ131121 CTV131056:CTV131121 DDR131056:DDR131121 DNN131056:DNN131121 DXJ131056:DXJ131121 EHF131056:EHF131121 ERB131056:ERB131121 FAX131056:FAX131121 FKT131056:FKT131121 FUP131056:FUP131121 GEL131056:GEL131121 GOH131056:GOH131121 GYD131056:GYD131121 HHZ131056:HHZ131121 HRV131056:HRV131121 IBR131056:IBR131121 ILN131056:ILN131121 IVJ131056:IVJ131121 JFF131056:JFF131121 JPB131056:JPB131121 JYX131056:JYX131121 KIT131056:KIT131121 KSP131056:KSP131121 LCL131056:LCL131121 LMH131056:LMH131121 LWD131056:LWD131121 MFZ131056:MFZ131121 MPV131056:MPV131121 MZR131056:MZR131121 NJN131056:NJN131121 NTJ131056:NTJ131121 ODF131056:ODF131121 ONB131056:ONB131121 OWX131056:OWX131121 PGT131056:PGT131121 PQP131056:PQP131121 QAL131056:QAL131121 QKH131056:QKH131121 QUD131056:QUD131121 RDZ131056:RDZ131121 RNV131056:RNV131121 RXR131056:RXR131121 SHN131056:SHN131121 SRJ131056:SRJ131121 TBF131056:TBF131121 TLB131056:TLB131121 TUX131056:TUX131121 UET131056:UET131121 UOP131056:UOP131121 UYL131056:UYL131121 VIH131056:VIH131121 VSD131056:VSD131121 WBZ131056:WBZ131121 WLV131056:WLV131121 WVR131056:WVR131121 J196592:J196657 JF196592:JF196657 TB196592:TB196657 ACX196592:ACX196657 AMT196592:AMT196657 AWP196592:AWP196657 BGL196592:BGL196657 BQH196592:BQH196657 CAD196592:CAD196657 CJZ196592:CJZ196657 CTV196592:CTV196657 DDR196592:DDR196657 DNN196592:DNN196657 DXJ196592:DXJ196657 EHF196592:EHF196657 ERB196592:ERB196657 FAX196592:FAX196657 FKT196592:FKT196657 FUP196592:FUP196657 GEL196592:GEL196657 GOH196592:GOH196657 GYD196592:GYD196657 HHZ196592:HHZ196657 HRV196592:HRV196657 IBR196592:IBR196657 ILN196592:ILN196657 IVJ196592:IVJ196657 JFF196592:JFF196657 JPB196592:JPB196657 JYX196592:JYX196657 KIT196592:KIT196657 KSP196592:KSP196657 LCL196592:LCL196657 LMH196592:LMH196657 LWD196592:LWD196657 MFZ196592:MFZ196657 MPV196592:MPV196657 MZR196592:MZR196657 NJN196592:NJN196657 NTJ196592:NTJ196657 ODF196592:ODF196657 ONB196592:ONB196657 OWX196592:OWX196657 PGT196592:PGT196657 PQP196592:PQP196657 QAL196592:QAL196657 QKH196592:QKH196657 QUD196592:QUD196657 RDZ196592:RDZ196657 RNV196592:RNV196657 RXR196592:RXR196657 SHN196592:SHN196657 SRJ196592:SRJ196657 TBF196592:TBF196657 TLB196592:TLB196657 TUX196592:TUX196657 UET196592:UET196657 UOP196592:UOP196657 UYL196592:UYL196657 VIH196592:VIH196657 VSD196592:VSD196657 WBZ196592:WBZ196657 WLV196592:WLV196657 WVR196592:WVR196657 J262128:J262193 JF262128:JF262193 TB262128:TB262193 ACX262128:ACX262193 AMT262128:AMT262193 AWP262128:AWP262193 BGL262128:BGL262193 BQH262128:BQH262193 CAD262128:CAD262193 CJZ262128:CJZ262193 CTV262128:CTV262193 DDR262128:DDR262193 DNN262128:DNN262193 DXJ262128:DXJ262193 EHF262128:EHF262193 ERB262128:ERB262193 FAX262128:FAX262193 FKT262128:FKT262193 FUP262128:FUP262193 GEL262128:GEL262193 GOH262128:GOH262193 GYD262128:GYD262193 HHZ262128:HHZ262193 HRV262128:HRV262193 IBR262128:IBR262193 ILN262128:ILN262193 IVJ262128:IVJ262193 JFF262128:JFF262193 JPB262128:JPB262193 JYX262128:JYX262193 KIT262128:KIT262193 KSP262128:KSP262193 LCL262128:LCL262193 LMH262128:LMH262193 LWD262128:LWD262193 MFZ262128:MFZ262193 MPV262128:MPV262193 MZR262128:MZR262193 NJN262128:NJN262193 NTJ262128:NTJ262193 ODF262128:ODF262193 ONB262128:ONB262193 OWX262128:OWX262193 PGT262128:PGT262193 PQP262128:PQP262193 QAL262128:QAL262193 QKH262128:QKH262193 QUD262128:QUD262193 RDZ262128:RDZ262193 RNV262128:RNV262193 RXR262128:RXR262193 SHN262128:SHN262193 SRJ262128:SRJ262193 TBF262128:TBF262193 TLB262128:TLB262193 TUX262128:TUX262193 UET262128:UET262193 UOP262128:UOP262193 UYL262128:UYL262193 VIH262128:VIH262193 VSD262128:VSD262193 WBZ262128:WBZ262193 WLV262128:WLV262193 WVR262128:WVR262193 J327664:J327729 JF327664:JF327729 TB327664:TB327729 ACX327664:ACX327729 AMT327664:AMT327729 AWP327664:AWP327729 BGL327664:BGL327729 BQH327664:BQH327729 CAD327664:CAD327729 CJZ327664:CJZ327729 CTV327664:CTV327729 DDR327664:DDR327729 DNN327664:DNN327729 DXJ327664:DXJ327729 EHF327664:EHF327729 ERB327664:ERB327729 FAX327664:FAX327729 FKT327664:FKT327729 FUP327664:FUP327729 GEL327664:GEL327729 GOH327664:GOH327729 GYD327664:GYD327729 HHZ327664:HHZ327729 HRV327664:HRV327729 IBR327664:IBR327729 ILN327664:ILN327729 IVJ327664:IVJ327729 JFF327664:JFF327729 JPB327664:JPB327729 JYX327664:JYX327729 KIT327664:KIT327729 KSP327664:KSP327729 LCL327664:LCL327729 LMH327664:LMH327729 LWD327664:LWD327729 MFZ327664:MFZ327729 MPV327664:MPV327729 MZR327664:MZR327729 NJN327664:NJN327729 NTJ327664:NTJ327729 ODF327664:ODF327729 ONB327664:ONB327729 OWX327664:OWX327729 PGT327664:PGT327729 PQP327664:PQP327729 QAL327664:QAL327729 QKH327664:QKH327729 QUD327664:QUD327729 RDZ327664:RDZ327729 RNV327664:RNV327729 RXR327664:RXR327729 SHN327664:SHN327729 SRJ327664:SRJ327729 TBF327664:TBF327729 TLB327664:TLB327729 TUX327664:TUX327729 UET327664:UET327729 UOP327664:UOP327729 UYL327664:UYL327729 VIH327664:VIH327729 VSD327664:VSD327729 WBZ327664:WBZ327729 WLV327664:WLV327729 WVR327664:WVR327729 J393200:J393265 JF393200:JF393265 TB393200:TB393265 ACX393200:ACX393265 AMT393200:AMT393265 AWP393200:AWP393265 BGL393200:BGL393265 BQH393200:BQH393265 CAD393200:CAD393265 CJZ393200:CJZ393265 CTV393200:CTV393265 DDR393200:DDR393265 DNN393200:DNN393265 DXJ393200:DXJ393265 EHF393200:EHF393265 ERB393200:ERB393265 FAX393200:FAX393265 FKT393200:FKT393265 FUP393200:FUP393265 GEL393200:GEL393265 GOH393200:GOH393265 GYD393200:GYD393265 HHZ393200:HHZ393265 HRV393200:HRV393265 IBR393200:IBR393265 ILN393200:ILN393265 IVJ393200:IVJ393265 JFF393200:JFF393265 JPB393200:JPB393265 JYX393200:JYX393265 KIT393200:KIT393265 KSP393200:KSP393265 LCL393200:LCL393265 LMH393200:LMH393265 LWD393200:LWD393265 MFZ393200:MFZ393265 MPV393200:MPV393265 MZR393200:MZR393265 NJN393200:NJN393265 NTJ393200:NTJ393265 ODF393200:ODF393265 ONB393200:ONB393265 OWX393200:OWX393265 PGT393200:PGT393265 PQP393200:PQP393265 QAL393200:QAL393265 QKH393200:QKH393265 QUD393200:QUD393265 RDZ393200:RDZ393265 RNV393200:RNV393265 RXR393200:RXR393265 SHN393200:SHN393265 SRJ393200:SRJ393265 TBF393200:TBF393265 TLB393200:TLB393265 TUX393200:TUX393265 UET393200:UET393265 UOP393200:UOP393265 UYL393200:UYL393265 VIH393200:VIH393265 VSD393200:VSD393265 WBZ393200:WBZ393265 WLV393200:WLV393265 WVR393200:WVR393265 J458736:J458801 JF458736:JF458801 TB458736:TB458801 ACX458736:ACX458801 AMT458736:AMT458801 AWP458736:AWP458801 BGL458736:BGL458801 BQH458736:BQH458801 CAD458736:CAD458801 CJZ458736:CJZ458801 CTV458736:CTV458801 DDR458736:DDR458801 DNN458736:DNN458801 DXJ458736:DXJ458801 EHF458736:EHF458801 ERB458736:ERB458801 FAX458736:FAX458801 FKT458736:FKT458801 FUP458736:FUP458801 GEL458736:GEL458801 GOH458736:GOH458801 GYD458736:GYD458801 HHZ458736:HHZ458801 HRV458736:HRV458801 IBR458736:IBR458801 ILN458736:ILN458801 IVJ458736:IVJ458801 JFF458736:JFF458801 JPB458736:JPB458801 JYX458736:JYX458801 KIT458736:KIT458801 KSP458736:KSP458801 LCL458736:LCL458801 LMH458736:LMH458801 LWD458736:LWD458801 MFZ458736:MFZ458801 MPV458736:MPV458801 MZR458736:MZR458801 NJN458736:NJN458801 NTJ458736:NTJ458801 ODF458736:ODF458801 ONB458736:ONB458801 OWX458736:OWX458801 PGT458736:PGT458801 PQP458736:PQP458801 QAL458736:QAL458801 QKH458736:QKH458801 QUD458736:QUD458801 RDZ458736:RDZ458801 RNV458736:RNV458801 RXR458736:RXR458801 SHN458736:SHN458801 SRJ458736:SRJ458801 TBF458736:TBF458801 TLB458736:TLB458801 TUX458736:TUX458801 UET458736:UET458801 UOP458736:UOP458801 UYL458736:UYL458801 VIH458736:VIH458801 VSD458736:VSD458801 WBZ458736:WBZ458801 WLV458736:WLV458801 WVR458736:WVR458801 J524272:J524337 JF524272:JF524337 TB524272:TB524337 ACX524272:ACX524337 AMT524272:AMT524337 AWP524272:AWP524337 BGL524272:BGL524337 BQH524272:BQH524337 CAD524272:CAD524337 CJZ524272:CJZ524337 CTV524272:CTV524337 DDR524272:DDR524337 DNN524272:DNN524337 DXJ524272:DXJ524337 EHF524272:EHF524337 ERB524272:ERB524337 FAX524272:FAX524337 FKT524272:FKT524337 FUP524272:FUP524337 GEL524272:GEL524337 GOH524272:GOH524337 GYD524272:GYD524337 HHZ524272:HHZ524337 HRV524272:HRV524337 IBR524272:IBR524337 ILN524272:ILN524337 IVJ524272:IVJ524337 JFF524272:JFF524337 JPB524272:JPB524337 JYX524272:JYX524337 KIT524272:KIT524337 KSP524272:KSP524337 LCL524272:LCL524337 LMH524272:LMH524337 LWD524272:LWD524337 MFZ524272:MFZ524337 MPV524272:MPV524337 MZR524272:MZR524337 NJN524272:NJN524337 NTJ524272:NTJ524337 ODF524272:ODF524337 ONB524272:ONB524337 OWX524272:OWX524337 PGT524272:PGT524337 PQP524272:PQP524337 QAL524272:QAL524337 QKH524272:QKH524337 QUD524272:QUD524337 RDZ524272:RDZ524337 RNV524272:RNV524337 RXR524272:RXR524337 SHN524272:SHN524337 SRJ524272:SRJ524337 TBF524272:TBF524337 TLB524272:TLB524337 TUX524272:TUX524337 UET524272:UET524337 UOP524272:UOP524337 UYL524272:UYL524337 VIH524272:VIH524337 VSD524272:VSD524337 WBZ524272:WBZ524337 WLV524272:WLV524337 WVR524272:WVR524337 J589808:J589873 JF589808:JF589873 TB589808:TB589873 ACX589808:ACX589873 AMT589808:AMT589873 AWP589808:AWP589873 BGL589808:BGL589873 BQH589808:BQH589873 CAD589808:CAD589873 CJZ589808:CJZ589873 CTV589808:CTV589873 DDR589808:DDR589873 DNN589808:DNN589873 DXJ589808:DXJ589873 EHF589808:EHF589873 ERB589808:ERB589873 FAX589808:FAX589873 FKT589808:FKT589873 FUP589808:FUP589873 GEL589808:GEL589873 GOH589808:GOH589873 GYD589808:GYD589873 HHZ589808:HHZ589873 HRV589808:HRV589873 IBR589808:IBR589873 ILN589808:ILN589873 IVJ589808:IVJ589873 JFF589808:JFF589873 JPB589808:JPB589873 JYX589808:JYX589873 KIT589808:KIT589873 KSP589808:KSP589873 LCL589808:LCL589873 LMH589808:LMH589873 LWD589808:LWD589873 MFZ589808:MFZ589873 MPV589808:MPV589873 MZR589808:MZR589873 NJN589808:NJN589873 NTJ589808:NTJ589873 ODF589808:ODF589873 ONB589808:ONB589873 OWX589808:OWX589873 PGT589808:PGT589873 PQP589808:PQP589873 QAL589808:QAL589873 QKH589808:QKH589873 QUD589808:QUD589873 RDZ589808:RDZ589873 RNV589808:RNV589873 RXR589808:RXR589873 SHN589808:SHN589873 SRJ589808:SRJ589873 TBF589808:TBF589873 TLB589808:TLB589873 TUX589808:TUX589873 UET589808:UET589873 UOP589808:UOP589873 UYL589808:UYL589873 VIH589808:VIH589873 VSD589808:VSD589873 WBZ589808:WBZ589873 WLV589808:WLV589873 WVR589808:WVR589873 J655344:J655409 JF655344:JF655409 TB655344:TB655409 ACX655344:ACX655409 AMT655344:AMT655409 AWP655344:AWP655409 BGL655344:BGL655409 BQH655344:BQH655409 CAD655344:CAD655409 CJZ655344:CJZ655409 CTV655344:CTV655409 DDR655344:DDR655409 DNN655344:DNN655409 DXJ655344:DXJ655409 EHF655344:EHF655409 ERB655344:ERB655409 FAX655344:FAX655409 FKT655344:FKT655409 FUP655344:FUP655409 GEL655344:GEL655409 GOH655344:GOH655409 GYD655344:GYD655409 HHZ655344:HHZ655409 HRV655344:HRV655409 IBR655344:IBR655409 ILN655344:ILN655409 IVJ655344:IVJ655409 JFF655344:JFF655409 JPB655344:JPB655409 JYX655344:JYX655409 KIT655344:KIT655409 KSP655344:KSP655409 LCL655344:LCL655409 LMH655344:LMH655409 LWD655344:LWD655409 MFZ655344:MFZ655409 MPV655344:MPV655409 MZR655344:MZR655409 NJN655344:NJN655409 NTJ655344:NTJ655409 ODF655344:ODF655409 ONB655344:ONB655409 OWX655344:OWX655409 PGT655344:PGT655409 PQP655344:PQP655409 QAL655344:QAL655409 QKH655344:QKH655409 QUD655344:QUD655409 RDZ655344:RDZ655409 RNV655344:RNV655409 RXR655344:RXR655409 SHN655344:SHN655409 SRJ655344:SRJ655409 TBF655344:TBF655409 TLB655344:TLB655409 TUX655344:TUX655409 UET655344:UET655409 UOP655344:UOP655409 UYL655344:UYL655409 VIH655344:VIH655409 VSD655344:VSD655409 WBZ655344:WBZ655409 WLV655344:WLV655409 WVR655344:WVR655409 J720880:J720945 JF720880:JF720945 TB720880:TB720945 ACX720880:ACX720945 AMT720880:AMT720945 AWP720880:AWP720945 BGL720880:BGL720945 BQH720880:BQH720945 CAD720880:CAD720945 CJZ720880:CJZ720945 CTV720880:CTV720945 DDR720880:DDR720945 DNN720880:DNN720945 DXJ720880:DXJ720945 EHF720880:EHF720945 ERB720880:ERB720945 FAX720880:FAX720945 FKT720880:FKT720945 FUP720880:FUP720945 GEL720880:GEL720945 GOH720880:GOH720945 GYD720880:GYD720945 HHZ720880:HHZ720945 HRV720880:HRV720945 IBR720880:IBR720945 ILN720880:ILN720945 IVJ720880:IVJ720945 JFF720880:JFF720945 JPB720880:JPB720945 JYX720880:JYX720945 KIT720880:KIT720945 KSP720880:KSP720945 LCL720880:LCL720945 LMH720880:LMH720945 LWD720880:LWD720945 MFZ720880:MFZ720945 MPV720880:MPV720945 MZR720880:MZR720945 NJN720880:NJN720945 NTJ720880:NTJ720945 ODF720880:ODF720945 ONB720880:ONB720945 OWX720880:OWX720945 PGT720880:PGT720945 PQP720880:PQP720945 QAL720880:QAL720945 QKH720880:QKH720945 QUD720880:QUD720945 RDZ720880:RDZ720945 RNV720880:RNV720945 RXR720880:RXR720945 SHN720880:SHN720945 SRJ720880:SRJ720945 TBF720880:TBF720945 TLB720880:TLB720945 TUX720880:TUX720945 UET720880:UET720945 UOP720880:UOP720945 UYL720880:UYL720945 VIH720880:VIH720945 VSD720880:VSD720945 WBZ720880:WBZ720945 WLV720880:WLV720945 WVR720880:WVR720945 J786416:J786481 JF786416:JF786481 TB786416:TB786481 ACX786416:ACX786481 AMT786416:AMT786481 AWP786416:AWP786481 BGL786416:BGL786481 BQH786416:BQH786481 CAD786416:CAD786481 CJZ786416:CJZ786481 CTV786416:CTV786481 DDR786416:DDR786481 DNN786416:DNN786481 DXJ786416:DXJ786481 EHF786416:EHF786481 ERB786416:ERB786481 FAX786416:FAX786481 FKT786416:FKT786481 FUP786416:FUP786481 GEL786416:GEL786481 GOH786416:GOH786481 GYD786416:GYD786481 HHZ786416:HHZ786481 HRV786416:HRV786481 IBR786416:IBR786481 ILN786416:ILN786481 IVJ786416:IVJ786481 JFF786416:JFF786481 JPB786416:JPB786481 JYX786416:JYX786481 KIT786416:KIT786481 KSP786416:KSP786481 LCL786416:LCL786481 LMH786416:LMH786481 LWD786416:LWD786481 MFZ786416:MFZ786481 MPV786416:MPV786481 MZR786416:MZR786481 NJN786416:NJN786481 NTJ786416:NTJ786481 ODF786416:ODF786481 ONB786416:ONB786481 OWX786416:OWX786481 PGT786416:PGT786481 PQP786416:PQP786481 QAL786416:QAL786481 QKH786416:QKH786481 QUD786416:QUD786481 RDZ786416:RDZ786481 RNV786416:RNV786481 RXR786416:RXR786481 SHN786416:SHN786481 SRJ786416:SRJ786481 TBF786416:TBF786481 TLB786416:TLB786481 TUX786416:TUX786481 UET786416:UET786481 UOP786416:UOP786481 UYL786416:UYL786481 VIH786416:VIH786481 VSD786416:VSD786481 WBZ786416:WBZ786481 WLV786416:WLV786481 WVR786416:WVR786481 J851952:J852017 JF851952:JF852017 TB851952:TB852017 ACX851952:ACX852017 AMT851952:AMT852017 AWP851952:AWP852017 BGL851952:BGL852017 BQH851952:BQH852017 CAD851952:CAD852017 CJZ851952:CJZ852017 CTV851952:CTV852017 DDR851952:DDR852017 DNN851952:DNN852017 DXJ851952:DXJ852017 EHF851952:EHF852017 ERB851952:ERB852017 FAX851952:FAX852017 FKT851952:FKT852017 FUP851952:FUP852017 GEL851952:GEL852017 GOH851952:GOH852017 GYD851952:GYD852017 HHZ851952:HHZ852017 HRV851952:HRV852017 IBR851952:IBR852017 ILN851952:ILN852017 IVJ851952:IVJ852017 JFF851952:JFF852017 JPB851952:JPB852017 JYX851952:JYX852017 KIT851952:KIT852017 KSP851952:KSP852017 LCL851952:LCL852017 LMH851952:LMH852017 LWD851952:LWD852017 MFZ851952:MFZ852017 MPV851952:MPV852017 MZR851952:MZR852017 NJN851952:NJN852017 NTJ851952:NTJ852017 ODF851952:ODF852017 ONB851952:ONB852017 OWX851952:OWX852017 PGT851952:PGT852017 PQP851952:PQP852017 QAL851952:QAL852017 QKH851952:QKH852017 QUD851952:QUD852017 RDZ851952:RDZ852017 RNV851952:RNV852017 RXR851952:RXR852017 SHN851952:SHN852017 SRJ851952:SRJ852017 TBF851952:TBF852017 TLB851952:TLB852017 TUX851952:TUX852017 UET851952:UET852017 UOP851952:UOP852017 UYL851952:UYL852017 VIH851952:VIH852017 VSD851952:VSD852017 WBZ851952:WBZ852017 WLV851952:WLV852017 WVR851952:WVR852017 J917488:J917553 JF917488:JF917553 TB917488:TB917553 ACX917488:ACX917553 AMT917488:AMT917553 AWP917488:AWP917553 BGL917488:BGL917553 BQH917488:BQH917553 CAD917488:CAD917553 CJZ917488:CJZ917553 CTV917488:CTV917553 DDR917488:DDR917553 DNN917488:DNN917553 DXJ917488:DXJ917553 EHF917488:EHF917553 ERB917488:ERB917553 FAX917488:FAX917553 FKT917488:FKT917553 FUP917488:FUP917553 GEL917488:GEL917553 GOH917488:GOH917553 GYD917488:GYD917553 HHZ917488:HHZ917553 HRV917488:HRV917553 IBR917488:IBR917553 ILN917488:ILN917553 IVJ917488:IVJ917553 JFF917488:JFF917553 JPB917488:JPB917553 JYX917488:JYX917553 KIT917488:KIT917553 KSP917488:KSP917553 LCL917488:LCL917553 LMH917488:LMH917553 LWD917488:LWD917553 MFZ917488:MFZ917553 MPV917488:MPV917553 MZR917488:MZR917553 NJN917488:NJN917553 NTJ917488:NTJ917553 ODF917488:ODF917553 ONB917488:ONB917553 OWX917488:OWX917553 PGT917488:PGT917553 PQP917488:PQP917553 QAL917488:QAL917553 QKH917488:QKH917553 QUD917488:QUD917553 RDZ917488:RDZ917553 RNV917488:RNV917553 RXR917488:RXR917553 SHN917488:SHN917553 SRJ917488:SRJ917553 TBF917488:TBF917553 TLB917488:TLB917553 TUX917488:TUX917553 UET917488:UET917553 UOP917488:UOP917553 UYL917488:UYL917553 VIH917488:VIH917553 VSD917488:VSD917553 WBZ917488:WBZ917553 WLV917488:WLV917553 WVR917488:WVR917553 J983024:J983089 JF983024:JF983089 TB983024:TB983089 ACX983024:ACX983089 AMT983024:AMT983089 AWP983024:AWP983089 BGL983024:BGL983089 BQH983024:BQH983089 CAD983024:CAD983089 CJZ983024:CJZ983089 CTV983024:CTV983089 DDR983024:DDR983089 DNN983024:DNN983089 DXJ983024:DXJ983089 EHF983024:EHF983089 ERB983024:ERB983089 FAX983024:FAX983089 FKT983024:FKT983089 FUP983024:FUP983089 GEL983024:GEL983089 GOH983024:GOH983089 GYD983024:GYD983089 HHZ983024:HHZ983089 HRV983024:HRV983089 IBR983024:IBR983089 ILN983024:ILN983089 IVJ983024:IVJ983089 JFF983024:JFF983089 JPB983024:JPB983089 JYX983024:JYX983089 KIT983024:KIT983089 KSP983024:KSP983089 LCL983024:LCL983089 LMH983024:LMH983089 LWD983024:LWD983089 MFZ983024:MFZ983089 MPV983024:MPV983089 MZR983024:MZR983089 NJN983024:NJN983089 NTJ983024:NTJ983089 ODF983024:ODF983089 ONB983024:ONB983089 OWX983024:OWX983089 PGT983024:PGT983089 PQP983024:PQP983089 QAL983024:QAL983089 QKH983024:QKH983089 QUD983024:QUD983089 RDZ983024:RDZ983089 RNV983024:RNV983089 RXR983024:RXR983089 SHN983024:SHN983089 SRJ983024:SRJ983089 TBF983024:TBF983089 TLB983024:TLB983089 TUX983024:TUX983089 UET983024:UET983089 UOP983024:UOP983089 UYL983024:UYL983089 VIH983024:VIH983089 VSD983024:VSD983089 WBZ983024:WBZ983089 WLV983024:WLV983089 J70:J482 WVR2:WVR69 JF2:JF69 TB2:TB69 ACX2:ACX69 AMT2:AMT69 AWP2:AWP69 BGL2:BGL69 BQH2:BQH69 CAD2:CAD69 CJZ2:CJZ69 CTV2:CTV69 DDR2:DDR69 DNN2:DNN69 DXJ2:DXJ69 EHF2:EHF69 ERB2:ERB69 FAX2:FAX69 FKT2:FKT69 FUP2:FUP69 GEL2:GEL69 GOH2:GOH69 GYD2:GYD69 HHZ2:HHZ69 HRV2:HRV69 IBR2:IBR69 ILN2:ILN69 IVJ2:IVJ69 JFF2:JFF69 JPB2:JPB69 JYX2:JYX69 KIT2:KIT69 KSP2:KSP69 LCL2:LCL69 LMH2:LMH69 LWD2:LWD69 MFZ2:MFZ69 MPV2:MPV69 MZR2:MZR69 NJN2:NJN69 NTJ2:NTJ69 ODF2:ODF69 ONB2:ONB69 OWX2:OWX69 PGT2:PGT69 PQP2:PQP69 QAL2:QAL69 QKH2:QKH69 QUD2:QUD69 RDZ2:RDZ69 RNV2:RNV69 RXR2:RXR69 SHN2:SHN69 SRJ2:SRJ69 TBF2:TBF69 TLB2:TLB69 TUX2:TUX69 UET2:UET69 UOP2:UOP69 UYL2:UYL69 VIH2:VIH69 VSD2:VSD69 WBZ2:WBZ69 WLV2:WLV69" xr:uid="{BC3D5E2C-34D3-4DC8-90F1-37081592B101}">
      <formula1>$AP$2:$AP$27</formula1>
    </dataValidation>
    <dataValidation type="list" allowBlank="1" showInputMessage="1" showErrorMessage="1" sqref="WVP983024:WVP983089 H65520:H65585 JD65520:JD65585 SZ65520:SZ65585 ACV65520:ACV65585 AMR65520:AMR65585 AWN65520:AWN65585 BGJ65520:BGJ65585 BQF65520:BQF65585 CAB65520:CAB65585 CJX65520:CJX65585 CTT65520:CTT65585 DDP65520:DDP65585 DNL65520:DNL65585 DXH65520:DXH65585 EHD65520:EHD65585 EQZ65520:EQZ65585 FAV65520:FAV65585 FKR65520:FKR65585 FUN65520:FUN65585 GEJ65520:GEJ65585 GOF65520:GOF65585 GYB65520:GYB65585 HHX65520:HHX65585 HRT65520:HRT65585 IBP65520:IBP65585 ILL65520:ILL65585 IVH65520:IVH65585 JFD65520:JFD65585 JOZ65520:JOZ65585 JYV65520:JYV65585 KIR65520:KIR65585 KSN65520:KSN65585 LCJ65520:LCJ65585 LMF65520:LMF65585 LWB65520:LWB65585 MFX65520:MFX65585 MPT65520:MPT65585 MZP65520:MZP65585 NJL65520:NJL65585 NTH65520:NTH65585 ODD65520:ODD65585 OMZ65520:OMZ65585 OWV65520:OWV65585 PGR65520:PGR65585 PQN65520:PQN65585 QAJ65520:QAJ65585 QKF65520:QKF65585 QUB65520:QUB65585 RDX65520:RDX65585 RNT65520:RNT65585 RXP65520:RXP65585 SHL65520:SHL65585 SRH65520:SRH65585 TBD65520:TBD65585 TKZ65520:TKZ65585 TUV65520:TUV65585 UER65520:UER65585 UON65520:UON65585 UYJ65520:UYJ65585 VIF65520:VIF65585 VSB65520:VSB65585 WBX65520:WBX65585 WLT65520:WLT65585 WVP65520:WVP65585 H131056:H131121 JD131056:JD131121 SZ131056:SZ131121 ACV131056:ACV131121 AMR131056:AMR131121 AWN131056:AWN131121 BGJ131056:BGJ131121 BQF131056:BQF131121 CAB131056:CAB131121 CJX131056:CJX131121 CTT131056:CTT131121 DDP131056:DDP131121 DNL131056:DNL131121 DXH131056:DXH131121 EHD131056:EHD131121 EQZ131056:EQZ131121 FAV131056:FAV131121 FKR131056:FKR131121 FUN131056:FUN131121 GEJ131056:GEJ131121 GOF131056:GOF131121 GYB131056:GYB131121 HHX131056:HHX131121 HRT131056:HRT131121 IBP131056:IBP131121 ILL131056:ILL131121 IVH131056:IVH131121 JFD131056:JFD131121 JOZ131056:JOZ131121 JYV131056:JYV131121 KIR131056:KIR131121 KSN131056:KSN131121 LCJ131056:LCJ131121 LMF131056:LMF131121 LWB131056:LWB131121 MFX131056:MFX131121 MPT131056:MPT131121 MZP131056:MZP131121 NJL131056:NJL131121 NTH131056:NTH131121 ODD131056:ODD131121 OMZ131056:OMZ131121 OWV131056:OWV131121 PGR131056:PGR131121 PQN131056:PQN131121 QAJ131056:QAJ131121 QKF131056:QKF131121 QUB131056:QUB131121 RDX131056:RDX131121 RNT131056:RNT131121 RXP131056:RXP131121 SHL131056:SHL131121 SRH131056:SRH131121 TBD131056:TBD131121 TKZ131056:TKZ131121 TUV131056:TUV131121 UER131056:UER131121 UON131056:UON131121 UYJ131056:UYJ131121 VIF131056:VIF131121 VSB131056:VSB131121 WBX131056:WBX131121 WLT131056:WLT131121 WVP131056:WVP131121 H196592:H196657 JD196592:JD196657 SZ196592:SZ196657 ACV196592:ACV196657 AMR196592:AMR196657 AWN196592:AWN196657 BGJ196592:BGJ196657 BQF196592:BQF196657 CAB196592:CAB196657 CJX196592:CJX196657 CTT196592:CTT196657 DDP196592:DDP196657 DNL196592:DNL196657 DXH196592:DXH196657 EHD196592:EHD196657 EQZ196592:EQZ196657 FAV196592:FAV196657 FKR196592:FKR196657 FUN196592:FUN196657 GEJ196592:GEJ196657 GOF196592:GOF196657 GYB196592:GYB196657 HHX196592:HHX196657 HRT196592:HRT196657 IBP196592:IBP196657 ILL196592:ILL196657 IVH196592:IVH196657 JFD196592:JFD196657 JOZ196592:JOZ196657 JYV196592:JYV196657 KIR196592:KIR196657 KSN196592:KSN196657 LCJ196592:LCJ196657 LMF196592:LMF196657 LWB196592:LWB196657 MFX196592:MFX196657 MPT196592:MPT196657 MZP196592:MZP196657 NJL196592:NJL196657 NTH196592:NTH196657 ODD196592:ODD196657 OMZ196592:OMZ196657 OWV196592:OWV196657 PGR196592:PGR196657 PQN196592:PQN196657 QAJ196592:QAJ196657 QKF196592:QKF196657 QUB196592:QUB196657 RDX196592:RDX196657 RNT196592:RNT196657 RXP196592:RXP196657 SHL196592:SHL196657 SRH196592:SRH196657 TBD196592:TBD196657 TKZ196592:TKZ196657 TUV196592:TUV196657 UER196592:UER196657 UON196592:UON196657 UYJ196592:UYJ196657 VIF196592:VIF196657 VSB196592:VSB196657 WBX196592:WBX196657 WLT196592:WLT196657 WVP196592:WVP196657 H262128:H262193 JD262128:JD262193 SZ262128:SZ262193 ACV262128:ACV262193 AMR262128:AMR262193 AWN262128:AWN262193 BGJ262128:BGJ262193 BQF262128:BQF262193 CAB262128:CAB262193 CJX262128:CJX262193 CTT262128:CTT262193 DDP262128:DDP262193 DNL262128:DNL262193 DXH262128:DXH262193 EHD262128:EHD262193 EQZ262128:EQZ262193 FAV262128:FAV262193 FKR262128:FKR262193 FUN262128:FUN262193 GEJ262128:GEJ262193 GOF262128:GOF262193 GYB262128:GYB262193 HHX262128:HHX262193 HRT262128:HRT262193 IBP262128:IBP262193 ILL262128:ILL262193 IVH262128:IVH262193 JFD262128:JFD262193 JOZ262128:JOZ262193 JYV262128:JYV262193 KIR262128:KIR262193 KSN262128:KSN262193 LCJ262128:LCJ262193 LMF262128:LMF262193 LWB262128:LWB262193 MFX262128:MFX262193 MPT262128:MPT262193 MZP262128:MZP262193 NJL262128:NJL262193 NTH262128:NTH262193 ODD262128:ODD262193 OMZ262128:OMZ262193 OWV262128:OWV262193 PGR262128:PGR262193 PQN262128:PQN262193 QAJ262128:QAJ262193 QKF262128:QKF262193 QUB262128:QUB262193 RDX262128:RDX262193 RNT262128:RNT262193 RXP262128:RXP262193 SHL262128:SHL262193 SRH262128:SRH262193 TBD262128:TBD262193 TKZ262128:TKZ262193 TUV262128:TUV262193 UER262128:UER262193 UON262128:UON262193 UYJ262128:UYJ262193 VIF262128:VIF262193 VSB262128:VSB262193 WBX262128:WBX262193 WLT262128:WLT262193 WVP262128:WVP262193 H327664:H327729 JD327664:JD327729 SZ327664:SZ327729 ACV327664:ACV327729 AMR327664:AMR327729 AWN327664:AWN327729 BGJ327664:BGJ327729 BQF327664:BQF327729 CAB327664:CAB327729 CJX327664:CJX327729 CTT327664:CTT327729 DDP327664:DDP327729 DNL327664:DNL327729 DXH327664:DXH327729 EHD327664:EHD327729 EQZ327664:EQZ327729 FAV327664:FAV327729 FKR327664:FKR327729 FUN327664:FUN327729 GEJ327664:GEJ327729 GOF327664:GOF327729 GYB327664:GYB327729 HHX327664:HHX327729 HRT327664:HRT327729 IBP327664:IBP327729 ILL327664:ILL327729 IVH327664:IVH327729 JFD327664:JFD327729 JOZ327664:JOZ327729 JYV327664:JYV327729 KIR327664:KIR327729 KSN327664:KSN327729 LCJ327664:LCJ327729 LMF327664:LMF327729 LWB327664:LWB327729 MFX327664:MFX327729 MPT327664:MPT327729 MZP327664:MZP327729 NJL327664:NJL327729 NTH327664:NTH327729 ODD327664:ODD327729 OMZ327664:OMZ327729 OWV327664:OWV327729 PGR327664:PGR327729 PQN327664:PQN327729 QAJ327664:QAJ327729 QKF327664:QKF327729 QUB327664:QUB327729 RDX327664:RDX327729 RNT327664:RNT327729 RXP327664:RXP327729 SHL327664:SHL327729 SRH327664:SRH327729 TBD327664:TBD327729 TKZ327664:TKZ327729 TUV327664:TUV327729 UER327664:UER327729 UON327664:UON327729 UYJ327664:UYJ327729 VIF327664:VIF327729 VSB327664:VSB327729 WBX327664:WBX327729 WLT327664:WLT327729 WVP327664:WVP327729 H393200:H393265 JD393200:JD393265 SZ393200:SZ393265 ACV393200:ACV393265 AMR393200:AMR393265 AWN393200:AWN393265 BGJ393200:BGJ393265 BQF393200:BQF393265 CAB393200:CAB393265 CJX393200:CJX393265 CTT393200:CTT393265 DDP393200:DDP393265 DNL393200:DNL393265 DXH393200:DXH393265 EHD393200:EHD393265 EQZ393200:EQZ393265 FAV393200:FAV393265 FKR393200:FKR393265 FUN393200:FUN393265 GEJ393200:GEJ393265 GOF393200:GOF393265 GYB393200:GYB393265 HHX393200:HHX393265 HRT393200:HRT393265 IBP393200:IBP393265 ILL393200:ILL393265 IVH393200:IVH393265 JFD393200:JFD393265 JOZ393200:JOZ393265 JYV393200:JYV393265 KIR393200:KIR393265 KSN393200:KSN393265 LCJ393200:LCJ393265 LMF393200:LMF393265 LWB393200:LWB393265 MFX393200:MFX393265 MPT393200:MPT393265 MZP393200:MZP393265 NJL393200:NJL393265 NTH393200:NTH393265 ODD393200:ODD393265 OMZ393200:OMZ393265 OWV393200:OWV393265 PGR393200:PGR393265 PQN393200:PQN393265 QAJ393200:QAJ393265 QKF393200:QKF393265 QUB393200:QUB393265 RDX393200:RDX393265 RNT393200:RNT393265 RXP393200:RXP393265 SHL393200:SHL393265 SRH393200:SRH393265 TBD393200:TBD393265 TKZ393200:TKZ393265 TUV393200:TUV393265 UER393200:UER393265 UON393200:UON393265 UYJ393200:UYJ393265 VIF393200:VIF393265 VSB393200:VSB393265 WBX393200:WBX393265 WLT393200:WLT393265 WVP393200:WVP393265 H458736:H458801 JD458736:JD458801 SZ458736:SZ458801 ACV458736:ACV458801 AMR458736:AMR458801 AWN458736:AWN458801 BGJ458736:BGJ458801 BQF458736:BQF458801 CAB458736:CAB458801 CJX458736:CJX458801 CTT458736:CTT458801 DDP458736:DDP458801 DNL458736:DNL458801 DXH458736:DXH458801 EHD458736:EHD458801 EQZ458736:EQZ458801 FAV458736:FAV458801 FKR458736:FKR458801 FUN458736:FUN458801 GEJ458736:GEJ458801 GOF458736:GOF458801 GYB458736:GYB458801 HHX458736:HHX458801 HRT458736:HRT458801 IBP458736:IBP458801 ILL458736:ILL458801 IVH458736:IVH458801 JFD458736:JFD458801 JOZ458736:JOZ458801 JYV458736:JYV458801 KIR458736:KIR458801 KSN458736:KSN458801 LCJ458736:LCJ458801 LMF458736:LMF458801 LWB458736:LWB458801 MFX458736:MFX458801 MPT458736:MPT458801 MZP458736:MZP458801 NJL458736:NJL458801 NTH458736:NTH458801 ODD458736:ODD458801 OMZ458736:OMZ458801 OWV458736:OWV458801 PGR458736:PGR458801 PQN458736:PQN458801 QAJ458736:QAJ458801 QKF458736:QKF458801 QUB458736:QUB458801 RDX458736:RDX458801 RNT458736:RNT458801 RXP458736:RXP458801 SHL458736:SHL458801 SRH458736:SRH458801 TBD458736:TBD458801 TKZ458736:TKZ458801 TUV458736:TUV458801 UER458736:UER458801 UON458736:UON458801 UYJ458736:UYJ458801 VIF458736:VIF458801 VSB458736:VSB458801 WBX458736:WBX458801 WLT458736:WLT458801 WVP458736:WVP458801 H524272:H524337 JD524272:JD524337 SZ524272:SZ524337 ACV524272:ACV524337 AMR524272:AMR524337 AWN524272:AWN524337 BGJ524272:BGJ524337 BQF524272:BQF524337 CAB524272:CAB524337 CJX524272:CJX524337 CTT524272:CTT524337 DDP524272:DDP524337 DNL524272:DNL524337 DXH524272:DXH524337 EHD524272:EHD524337 EQZ524272:EQZ524337 FAV524272:FAV524337 FKR524272:FKR524337 FUN524272:FUN524337 GEJ524272:GEJ524337 GOF524272:GOF524337 GYB524272:GYB524337 HHX524272:HHX524337 HRT524272:HRT524337 IBP524272:IBP524337 ILL524272:ILL524337 IVH524272:IVH524337 JFD524272:JFD524337 JOZ524272:JOZ524337 JYV524272:JYV524337 KIR524272:KIR524337 KSN524272:KSN524337 LCJ524272:LCJ524337 LMF524272:LMF524337 LWB524272:LWB524337 MFX524272:MFX524337 MPT524272:MPT524337 MZP524272:MZP524337 NJL524272:NJL524337 NTH524272:NTH524337 ODD524272:ODD524337 OMZ524272:OMZ524337 OWV524272:OWV524337 PGR524272:PGR524337 PQN524272:PQN524337 QAJ524272:QAJ524337 QKF524272:QKF524337 QUB524272:QUB524337 RDX524272:RDX524337 RNT524272:RNT524337 RXP524272:RXP524337 SHL524272:SHL524337 SRH524272:SRH524337 TBD524272:TBD524337 TKZ524272:TKZ524337 TUV524272:TUV524337 UER524272:UER524337 UON524272:UON524337 UYJ524272:UYJ524337 VIF524272:VIF524337 VSB524272:VSB524337 WBX524272:WBX524337 WLT524272:WLT524337 WVP524272:WVP524337 H589808:H589873 JD589808:JD589873 SZ589808:SZ589873 ACV589808:ACV589873 AMR589808:AMR589873 AWN589808:AWN589873 BGJ589808:BGJ589873 BQF589808:BQF589873 CAB589808:CAB589873 CJX589808:CJX589873 CTT589808:CTT589873 DDP589808:DDP589873 DNL589808:DNL589873 DXH589808:DXH589873 EHD589808:EHD589873 EQZ589808:EQZ589873 FAV589808:FAV589873 FKR589808:FKR589873 FUN589808:FUN589873 GEJ589808:GEJ589873 GOF589808:GOF589873 GYB589808:GYB589873 HHX589808:HHX589873 HRT589808:HRT589873 IBP589808:IBP589873 ILL589808:ILL589873 IVH589808:IVH589873 JFD589808:JFD589873 JOZ589808:JOZ589873 JYV589808:JYV589873 KIR589808:KIR589873 KSN589808:KSN589873 LCJ589808:LCJ589873 LMF589808:LMF589873 LWB589808:LWB589873 MFX589808:MFX589873 MPT589808:MPT589873 MZP589808:MZP589873 NJL589808:NJL589873 NTH589808:NTH589873 ODD589808:ODD589873 OMZ589808:OMZ589873 OWV589808:OWV589873 PGR589808:PGR589873 PQN589808:PQN589873 QAJ589808:QAJ589873 QKF589808:QKF589873 QUB589808:QUB589873 RDX589808:RDX589873 RNT589808:RNT589873 RXP589808:RXP589873 SHL589808:SHL589873 SRH589808:SRH589873 TBD589808:TBD589873 TKZ589808:TKZ589873 TUV589808:TUV589873 UER589808:UER589873 UON589808:UON589873 UYJ589808:UYJ589873 VIF589808:VIF589873 VSB589808:VSB589873 WBX589808:WBX589873 WLT589808:WLT589873 WVP589808:WVP589873 H655344:H655409 JD655344:JD655409 SZ655344:SZ655409 ACV655344:ACV655409 AMR655344:AMR655409 AWN655344:AWN655409 BGJ655344:BGJ655409 BQF655344:BQF655409 CAB655344:CAB655409 CJX655344:CJX655409 CTT655344:CTT655409 DDP655344:DDP655409 DNL655344:DNL655409 DXH655344:DXH655409 EHD655344:EHD655409 EQZ655344:EQZ655409 FAV655344:FAV655409 FKR655344:FKR655409 FUN655344:FUN655409 GEJ655344:GEJ655409 GOF655344:GOF655409 GYB655344:GYB655409 HHX655344:HHX655409 HRT655344:HRT655409 IBP655344:IBP655409 ILL655344:ILL655409 IVH655344:IVH655409 JFD655344:JFD655409 JOZ655344:JOZ655409 JYV655344:JYV655409 KIR655344:KIR655409 KSN655344:KSN655409 LCJ655344:LCJ655409 LMF655344:LMF655409 LWB655344:LWB655409 MFX655344:MFX655409 MPT655344:MPT655409 MZP655344:MZP655409 NJL655344:NJL655409 NTH655344:NTH655409 ODD655344:ODD655409 OMZ655344:OMZ655409 OWV655344:OWV655409 PGR655344:PGR655409 PQN655344:PQN655409 QAJ655344:QAJ655409 QKF655344:QKF655409 QUB655344:QUB655409 RDX655344:RDX655409 RNT655344:RNT655409 RXP655344:RXP655409 SHL655344:SHL655409 SRH655344:SRH655409 TBD655344:TBD655409 TKZ655344:TKZ655409 TUV655344:TUV655409 UER655344:UER655409 UON655344:UON655409 UYJ655344:UYJ655409 VIF655344:VIF655409 VSB655344:VSB655409 WBX655344:WBX655409 WLT655344:WLT655409 WVP655344:WVP655409 H720880:H720945 JD720880:JD720945 SZ720880:SZ720945 ACV720880:ACV720945 AMR720880:AMR720945 AWN720880:AWN720945 BGJ720880:BGJ720945 BQF720880:BQF720945 CAB720880:CAB720945 CJX720880:CJX720945 CTT720880:CTT720945 DDP720880:DDP720945 DNL720880:DNL720945 DXH720880:DXH720945 EHD720880:EHD720945 EQZ720880:EQZ720945 FAV720880:FAV720945 FKR720880:FKR720945 FUN720880:FUN720945 GEJ720880:GEJ720945 GOF720880:GOF720945 GYB720880:GYB720945 HHX720880:HHX720945 HRT720880:HRT720945 IBP720880:IBP720945 ILL720880:ILL720945 IVH720880:IVH720945 JFD720880:JFD720945 JOZ720880:JOZ720945 JYV720880:JYV720945 KIR720880:KIR720945 KSN720880:KSN720945 LCJ720880:LCJ720945 LMF720880:LMF720945 LWB720880:LWB720945 MFX720880:MFX720945 MPT720880:MPT720945 MZP720880:MZP720945 NJL720880:NJL720945 NTH720880:NTH720945 ODD720880:ODD720945 OMZ720880:OMZ720945 OWV720880:OWV720945 PGR720880:PGR720945 PQN720880:PQN720945 QAJ720880:QAJ720945 QKF720880:QKF720945 QUB720880:QUB720945 RDX720880:RDX720945 RNT720880:RNT720945 RXP720880:RXP720945 SHL720880:SHL720945 SRH720880:SRH720945 TBD720880:TBD720945 TKZ720880:TKZ720945 TUV720880:TUV720945 UER720880:UER720945 UON720880:UON720945 UYJ720880:UYJ720945 VIF720880:VIF720945 VSB720880:VSB720945 WBX720880:WBX720945 WLT720880:WLT720945 WVP720880:WVP720945 H786416:H786481 JD786416:JD786481 SZ786416:SZ786481 ACV786416:ACV786481 AMR786416:AMR786481 AWN786416:AWN786481 BGJ786416:BGJ786481 BQF786416:BQF786481 CAB786416:CAB786481 CJX786416:CJX786481 CTT786416:CTT786481 DDP786416:DDP786481 DNL786416:DNL786481 DXH786416:DXH786481 EHD786416:EHD786481 EQZ786416:EQZ786481 FAV786416:FAV786481 FKR786416:FKR786481 FUN786416:FUN786481 GEJ786416:GEJ786481 GOF786416:GOF786481 GYB786416:GYB786481 HHX786416:HHX786481 HRT786416:HRT786481 IBP786416:IBP786481 ILL786416:ILL786481 IVH786416:IVH786481 JFD786416:JFD786481 JOZ786416:JOZ786481 JYV786416:JYV786481 KIR786416:KIR786481 KSN786416:KSN786481 LCJ786416:LCJ786481 LMF786416:LMF786481 LWB786416:LWB786481 MFX786416:MFX786481 MPT786416:MPT786481 MZP786416:MZP786481 NJL786416:NJL786481 NTH786416:NTH786481 ODD786416:ODD786481 OMZ786416:OMZ786481 OWV786416:OWV786481 PGR786416:PGR786481 PQN786416:PQN786481 QAJ786416:QAJ786481 QKF786416:QKF786481 QUB786416:QUB786481 RDX786416:RDX786481 RNT786416:RNT786481 RXP786416:RXP786481 SHL786416:SHL786481 SRH786416:SRH786481 TBD786416:TBD786481 TKZ786416:TKZ786481 TUV786416:TUV786481 UER786416:UER786481 UON786416:UON786481 UYJ786416:UYJ786481 VIF786416:VIF786481 VSB786416:VSB786481 WBX786416:WBX786481 WLT786416:WLT786481 WVP786416:WVP786481 H851952:H852017 JD851952:JD852017 SZ851952:SZ852017 ACV851952:ACV852017 AMR851952:AMR852017 AWN851952:AWN852017 BGJ851952:BGJ852017 BQF851952:BQF852017 CAB851952:CAB852017 CJX851952:CJX852017 CTT851952:CTT852017 DDP851952:DDP852017 DNL851952:DNL852017 DXH851952:DXH852017 EHD851952:EHD852017 EQZ851952:EQZ852017 FAV851952:FAV852017 FKR851952:FKR852017 FUN851952:FUN852017 GEJ851952:GEJ852017 GOF851952:GOF852017 GYB851952:GYB852017 HHX851952:HHX852017 HRT851952:HRT852017 IBP851952:IBP852017 ILL851952:ILL852017 IVH851952:IVH852017 JFD851952:JFD852017 JOZ851952:JOZ852017 JYV851952:JYV852017 KIR851952:KIR852017 KSN851952:KSN852017 LCJ851952:LCJ852017 LMF851952:LMF852017 LWB851952:LWB852017 MFX851952:MFX852017 MPT851952:MPT852017 MZP851952:MZP852017 NJL851952:NJL852017 NTH851952:NTH852017 ODD851952:ODD852017 OMZ851952:OMZ852017 OWV851952:OWV852017 PGR851952:PGR852017 PQN851952:PQN852017 QAJ851952:QAJ852017 QKF851952:QKF852017 QUB851952:QUB852017 RDX851952:RDX852017 RNT851952:RNT852017 RXP851952:RXP852017 SHL851952:SHL852017 SRH851952:SRH852017 TBD851952:TBD852017 TKZ851952:TKZ852017 TUV851952:TUV852017 UER851952:UER852017 UON851952:UON852017 UYJ851952:UYJ852017 VIF851952:VIF852017 VSB851952:VSB852017 WBX851952:WBX852017 WLT851952:WLT852017 WVP851952:WVP852017 H917488:H917553 JD917488:JD917553 SZ917488:SZ917553 ACV917488:ACV917553 AMR917488:AMR917553 AWN917488:AWN917553 BGJ917488:BGJ917553 BQF917488:BQF917553 CAB917488:CAB917553 CJX917488:CJX917553 CTT917488:CTT917553 DDP917488:DDP917553 DNL917488:DNL917553 DXH917488:DXH917553 EHD917488:EHD917553 EQZ917488:EQZ917553 FAV917488:FAV917553 FKR917488:FKR917553 FUN917488:FUN917553 GEJ917488:GEJ917553 GOF917488:GOF917553 GYB917488:GYB917553 HHX917488:HHX917553 HRT917488:HRT917553 IBP917488:IBP917553 ILL917488:ILL917553 IVH917488:IVH917553 JFD917488:JFD917553 JOZ917488:JOZ917553 JYV917488:JYV917553 KIR917488:KIR917553 KSN917488:KSN917553 LCJ917488:LCJ917553 LMF917488:LMF917553 LWB917488:LWB917553 MFX917488:MFX917553 MPT917488:MPT917553 MZP917488:MZP917553 NJL917488:NJL917553 NTH917488:NTH917553 ODD917488:ODD917553 OMZ917488:OMZ917553 OWV917488:OWV917553 PGR917488:PGR917553 PQN917488:PQN917553 QAJ917488:QAJ917553 QKF917488:QKF917553 QUB917488:QUB917553 RDX917488:RDX917553 RNT917488:RNT917553 RXP917488:RXP917553 SHL917488:SHL917553 SRH917488:SRH917553 TBD917488:TBD917553 TKZ917488:TKZ917553 TUV917488:TUV917553 UER917488:UER917553 UON917488:UON917553 UYJ917488:UYJ917553 VIF917488:VIF917553 VSB917488:VSB917553 WBX917488:WBX917553 WLT917488:WLT917553 WVP917488:WVP917553 H983024:H983089 JD983024:JD983089 SZ983024:SZ983089 ACV983024:ACV983089 AMR983024:AMR983089 AWN983024:AWN983089 BGJ983024:BGJ983089 BQF983024:BQF983089 CAB983024:CAB983089 CJX983024:CJX983089 CTT983024:CTT983089 DDP983024:DDP983089 DNL983024:DNL983089 DXH983024:DXH983089 EHD983024:EHD983089 EQZ983024:EQZ983089 FAV983024:FAV983089 FKR983024:FKR983089 FUN983024:FUN983089 GEJ983024:GEJ983089 GOF983024:GOF983089 GYB983024:GYB983089 HHX983024:HHX983089 HRT983024:HRT983089 IBP983024:IBP983089 ILL983024:ILL983089 IVH983024:IVH983089 JFD983024:JFD983089 JOZ983024:JOZ983089 JYV983024:JYV983089 KIR983024:KIR983089 KSN983024:KSN983089 LCJ983024:LCJ983089 LMF983024:LMF983089 LWB983024:LWB983089 MFX983024:MFX983089 MPT983024:MPT983089 MZP983024:MZP983089 NJL983024:NJL983089 NTH983024:NTH983089 ODD983024:ODD983089 OMZ983024:OMZ983089 OWV983024:OWV983089 PGR983024:PGR983089 PQN983024:PQN983089 QAJ983024:QAJ983089 QKF983024:QKF983089 QUB983024:QUB983089 RDX983024:RDX983089 RNT983024:RNT983089 RXP983024:RXP983089 SHL983024:SHL983089 SRH983024:SRH983089 TBD983024:TBD983089 TKZ983024:TKZ983089 TUV983024:TUV983089 UER983024:UER983089 UON983024:UON983089 UYJ983024:UYJ983089 VIF983024:VIF983089 VSB983024:VSB983089 WBX983024:WBX983089 WLT983024:WLT983089 WVP2:WVP69 JD2:JD69 SZ2:SZ69 ACV2:ACV69 AMR2:AMR69 AWN2:AWN69 BGJ2:BGJ69 BQF2:BQF69 CAB2:CAB69 CJX2:CJX69 CTT2:CTT69 DDP2:DDP69 DNL2:DNL69 DXH2:DXH69 EHD2:EHD69 EQZ2:EQZ69 FAV2:FAV69 FKR2:FKR69 FUN2:FUN69 GEJ2:GEJ69 GOF2:GOF69 GYB2:GYB69 HHX2:HHX69 HRT2:HRT69 IBP2:IBP69 ILL2:ILL69 IVH2:IVH69 JFD2:JFD69 JOZ2:JOZ69 JYV2:JYV69 KIR2:KIR69 KSN2:KSN69 LCJ2:LCJ69 LMF2:LMF69 LWB2:LWB69 MFX2:MFX69 MPT2:MPT69 MZP2:MZP69 NJL2:NJL69 NTH2:NTH69 ODD2:ODD69 OMZ2:OMZ69 OWV2:OWV69 PGR2:PGR69 PQN2:PQN69 QAJ2:QAJ69 QKF2:QKF69 QUB2:QUB69 RDX2:RDX69 RNT2:RNT69 RXP2:RXP69 SHL2:SHL69 SRH2:SRH69 TBD2:TBD69 TKZ2:TKZ69 TUV2:TUV69 UER2:UER69 UON2:UON69 UYJ2:UYJ69 VIF2:VIF69 VSB2:VSB69 WBX2:WBX69 WLT2:WLT69" xr:uid="{5154A5F2-1BE9-4633-A4D5-9A47B1B39C80}">
      <formula1>$AL$4:$AL$12</formula1>
    </dataValidation>
    <dataValidation type="list" allowBlank="1" showInputMessage="1" showErrorMessage="1" sqref="A64345:A64410 IW64345:IW64410 SS64345:SS64410 ACO64345:ACO64410 AMK64345:AMK64410 AWG64345:AWG64410 BGC64345:BGC64410 BPY64345:BPY64410 BZU64345:BZU64410 CJQ64345:CJQ64410 CTM64345:CTM64410 DDI64345:DDI64410 DNE64345:DNE64410 DXA64345:DXA64410 EGW64345:EGW64410 EQS64345:EQS64410 FAO64345:FAO64410 FKK64345:FKK64410 FUG64345:FUG64410 GEC64345:GEC64410 GNY64345:GNY64410 GXU64345:GXU64410 HHQ64345:HHQ64410 HRM64345:HRM64410 IBI64345:IBI64410 ILE64345:ILE64410 IVA64345:IVA64410 JEW64345:JEW64410 JOS64345:JOS64410 JYO64345:JYO64410 KIK64345:KIK64410 KSG64345:KSG64410 LCC64345:LCC64410 LLY64345:LLY64410 LVU64345:LVU64410 MFQ64345:MFQ64410 MPM64345:MPM64410 MZI64345:MZI64410 NJE64345:NJE64410 NTA64345:NTA64410 OCW64345:OCW64410 OMS64345:OMS64410 OWO64345:OWO64410 PGK64345:PGK64410 PQG64345:PQG64410 QAC64345:QAC64410 QJY64345:QJY64410 QTU64345:QTU64410 RDQ64345:RDQ64410 RNM64345:RNM64410 RXI64345:RXI64410 SHE64345:SHE64410 SRA64345:SRA64410 TAW64345:TAW64410 TKS64345:TKS64410 TUO64345:TUO64410 UEK64345:UEK64410 UOG64345:UOG64410 UYC64345:UYC64410 VHY64345:VHY64410 VRU64345:VRU64410 WBQ64345:WBQ64410 WLM64345:WLM64410 WVI64345:WVI64410 A129881:A129946 IW129881:IW129946 SS129881:SS129946 ACO129881:ACO129946 AMK129881:AMK129946 AWG129881:AWG129946 BGC129881:BGC129946 BPY129881:BPY129946 BZU129881:BZU129946 CJQ129881:CJQ129946 CTM129881:CTM129946 DDI129881:DDI129946 DNE129881:DNE129946 DXA129881:DXA129946 EGW129881:EGW129946 EQS129881:EQS129946 FAO129881:FAO129946 FKK129881:FKK129946 FUG129881:FUG129946 GEC129881:GEC129946 GNY129881:GNY129946 GXU129881:GXU129946 HHQ129881:HHQ129946 HRM129881:HRM129946 IBI129881:IBI129946 ILE129881:ILE129946 IVA129881:IVA129946 JEW129881:JEW129946 JOS129881:JOS129946 JYO129881:JYO129946 KIK129881:KIK129946 KSG129881:KSG129946 LCC129881:LCC129946 LLY129881:LLY129946 LVU129881:LVU129946 MFQ129881:MFQ129946 MPM129881:MPM129946 MZI129881:MZI129946 NJE129881:NJE129946 NTA129881:NTA129946 OCW129881:OCW129946 OMS129881:OMS129946 OWO129881:OWO129946 PGK129881:PGK129946 PQG129881:PQG129946 QAC129881:QAC129946 QJY129881:QJY129946 QTU129881:QTU129946 RDQ129881:RDQ129946 RNM129881:RNM129946 RXI129881:RXI129946 SHE129881:SHE129946 SRA129881:SRA129946 TAW129881:TAW129946 TKS129881:TKS129946 TUO129881:TUO129946 UEK129881:UEK129946 UOG129881:UOG129946 UYC129881:UYC129946 VHY129881:VHY129946 VRU129881:VRU129946 WBQ129881:WBQ129946 WLM129881:WLM129946 WVI129881:WVI129946 A195417:A195482 IW195417:IW195482 SS195417:SS195482 ACO195417:ACO195482 AMK195417:AMK195482 AWG195417:AWG195482 BGC195417:BGC195482 BPY195417:BPY195482 BZU195417:BZU195482 CJQ195417:CJQ195482 CTM195417:CTM195482 DDI195417:DDI195482 DNE195417:DNE195482 DXA195417:DXA195482 EGW195417:EGW195482 EQS195417:EQS195482 FAO195417:FAO195482 FKK195417:FKK195482 FUG195417:FUG195482 GEC195417:GEC195482 GNY195417:GNY195482 GXU195417:GXU195482 HHQ195417:HHQ195482 HRM195417:HRM195482 IBI195417:IBI195482 ILE195417:ILE195482 IVA195417:IVA195482 JEW195417:JEW195482 JOS195417:JOS195482 JYO195417:JYO195482 KIK195417:KIK195482 KSG195417:KSG195482 LCC195417:LCC195482 LLY195417:LLY195482 LVU195417:LVU195482 MFQ195417:MFQ195482 MPM195417:MPM195482 MZI195417:MZI195482 NJE195417:NJE195482 NTA195417:NTA195482 OCW195417:OCW195482 OMS195417:OMS195482 OWO195417:OWO195482 PGK195417:PGK195482 PQG195417:PQG195482 QAC195417:QAC195482 QJY195417:QJY195482 QTU195417:QTU195482 RDQ195417:RDQ195482 RNM195417:RNM195482 RXI195417:RXI195482 SHE195417:SHE195482 SRA195417:SRA195482 TAW195417:TAW195482 TKS195417:TKS195482 TUO195417:TUO195482 UEK195417:UEK195482 UOG195417:UOG195482 UYC195417:UYC195482 VHY195417:VHY195482 VRU195417:VRU195482 WBQ195417:WBQ195482 WLM195417:WLM195482 WVI195417:WVI195482 A260953:A261018 IW260953:IW261018 SS260953:SS261018 ACO260953:ACO261018 AMK260953:AMK261018 AWG260953:AWG261018 BGC260953:BGC261018 BPY260953:BPY261018 BZU260953:BZU261018 CJQ260953:CJQ261018 CTM260953:CTM261018 DDI260953:DDI261018 DNE260953:DNE261018 DXA260953:DXA261018 EGW260953:EGW261018 EQS260953:EQS261018 FAO260953:FAO261018 FKK260953:FKK261018 FUG260953:FUG261018 GEC260953:GEC261018 GNY260953:GNY261018 GXU260953:GXU261018 HHQ260953:HHQ261018 HRM260953:HRM261018 IBI260953:IBI261018 ILE260953:ILE261018 IVA260953:IVA261018 JEW260953:JEW261018 JOS260953:JOS261018 JYO260953:JYO261018 KIK260953:KIK261018 KSG260953:KSG261018 LCC260953:LCC261018 LLY260953:LLY261018 LVU260953:LVU261018 MFQ260953:MFQ261018 MPM260953:MPM261018 MZI260953:MZI261018 NJE260953:NJE261018 NTA260953:NTA261018 OCW260953:OCW261018 OMS260953:OMS261018 OWO260953:OWO261018 PGK260953:PGK261018 PQG260953:PQG261018 QAC260953:QAC261018 QJY260953:QJY261018 QTU260953:QTU261018 RDQ260953:RDQ261018 RNM260953:RNM261018 RXI260953:RXI261018 SHE260953:SHE261018 SRA260953:SRA261018 TAW260953:TAW261018 TKS260953:TKS261018 TUO260953:TUO261018 UEK260953:UEK261018 UOG260953:UOG261018 UYC260953:UYC261018 VHY260953:VHY261018 VRU260953:VRU261018 WBQ260953:WBQ261018 WLM260953:WLM261018 WVI260953:WVI261018 A326489:A326554 IW326489:IW326554 SS326489:SS326554 ACO326489:ACO326554 AMK326489:AMK326554 AWG326489:AWG326554 BGC326489:BGC326554 BPY326489:BPY326554 BZU326489:BZU326554 CJQ326489:CJQ326554 CTM326489:CTM326554 DDI326489:DDI326554 DNE326489:DNE326554 DXA326489:DXA326554 EGW326489:EGW326554 EQS326489:EQS326554 FAO326489:FAO326554 FKK326489:FKK326554 FUG326489:FUG326554 GEC326489:GEC326554 GNY326489:GNY326554 GXU326489:GXU326554 HHQ326489:HHQ326554 HRM326489:HRM326554 IBI326489:IBI326554 ILE326489:ILE326554 IVA326489:IVA326554 JEW326489:JEW326554 JOS326489:JOS326554 JYO326489:JYO326554 KIK326489:KIK326554 KSG326489:KSG326554 LCC326489:LCC326554 LLY326489:LLY326554 LVU326489:LVU326554 MFQ326489:MFQ326554 MPM326489:MPM326554 MZI326489:MZI326554 NJE326489:NJE326554 NTA326489:NTA326554 OCW326489:OCW326554 OMS326489:OMS326554 OWO326489:OWO326554 PGK326489:PGK326554 PQG326489:PQG326554 QAC326489:QAC326554 QJY326489:QJY326554 QTU326489:QTU326554 RDQ326489:RDQ326554 RNM326489:RNM326554 RXI326489:RXI326554 SHE326489:SHE326554 SRA326489:SRA326554 TAW326489:TAW326554 TKS326489:TKS326554 TUO326489:TUO326554 UEK326489:UEK326554 UOG326489:UOG326554 UYC326489:UYC326554 VHY326489:VHY326554 VRU326489:VRU326554 WBQ326489:WBQ326554 WLM326489:WLM326554 WVI326489:WVI326554 A392025:A392090 IW392025:IW392090 SS392025:SS392090 ACO392025:ACO392090 AMK392025:AMK392090 AWG392025:AWG392090 BGC392025:BGC392090 BPY392025:BPY392090 BZU392025:BZU392090 CJQ392025:CJQ392090 CTM392025:CTM392090 DDI392025:DDI392090 DNE392025:DNE392090 DXA392025:DXA392090 EGW392025:EGW392090 EQS392025:EQS392090 FAO392025:FAO392090 FKK392025:FKK392090 FUG392025:FUG392090 GEC392025:GEC392090 GNY392025:GNY392090 GXU392025:GXU392090 HHQ392025:HHQ392090 HRM392025:HRM392090 IBI392025:IBI392090 ILE392025:ILE392090 IVA392025:IVA392090 JEW392025:JEW392090 JOS392025:JOS392090 JYO392025:JYO392090 KIK392025:KIK392090 KSG392025:KSG392090 LCC392025:LCC392090 LLY392025:LLY392090 LVU392025:LVU392090 MFQ392025:MFQ392090 MPM392025:MPM392090 MZI392025:MZI392090 NJE392025:NJE392090 NTA392025:NTA392090 OCW392025:OCW392090 OMS392025:OMS392090 OWO392025:OWO392090 PGK392025:PGK392090 PQG392025:PQG392090 QAC392025:QAC392090 QJY392025:QJY392090 QTU392025:QTU392090 RDQ392025:RDQ392090 RNM392025:RNM392090 RXI392025:RXI392090 SHE392025:SHE392090 SRA392025:SRA392090 TAW392025:TAW392090 TKS392025:TKS392090 TUO392025:TUO392090 UEK392025:UEK392090 UOG392025:UOG392090 UYC392025:UYC392090 VHY392025:VHY392090 VRU392025:VRU392090 WBQ392025:WBQ392090 WLM392025:WLM392090 WVI392025:WVI392090 A457561:A457626 IW457561:IW457626 SS457561:SS457626 ACO457561:ACO457626 AMK457561:AMK457626 AWG457561:AWG457626 BGC457561:BGC457626 BPY457561:BPY457626 BZU457561:BZU457626 CJQ457561:CJQ457626 CTM457561:CTM457626 DDI457561:DDI457626 DNE457561:DNE457626 DXA457561:DXA457626 EGW457561:EGW457626 EQS457561:EQS457626 FAO457561:FAO457626 FKK457561:FKK457626 FUG457561:FUG457626 GEC457561:GEC457626 GNY457561:GNY457626 GXU457561:GXU457626 HHQ457561:HHQ457626 HRM457561:HRM457626 IBI457561:IBI457626 ILE457561:ILE457626 IVA457561:IVA457626 JEW457561:JEW457626 JOS457561:JOS457626 JYO457561:JYO457626 KIK457561:KIK457626 KSG457561:KSG457626 LCC457561:LCC457626 LLY457561:LLY457626 LVU457561:LVU457626 MFQ457561:MFQ457626 MPM457561:MPM457626 MZI457561:MZI457626 NJE457561:NJE457626 NTA457561:NTA457626 OCW457561:OCW457626 OMS457561:OMS457626 OWO457561:OWO457626 PGK457561:PGK457626 PQG457561:PQG457626 QAC457561:QAC457626 QJY457561:QJY457626 QTU457561:QTU457626 RDQ457561:RDQ457626 RNM457561:RNM457626 RXI457561:RXI457626 SHE457561:SHE457626 SRA457561:SRA457626 TAW457561:TAW457626 TKS457561:TKS457626 TUO457561:TUO457626 UEK457561:UEK457626 UOG457561:UOG457626 UYC457561:UYC457626 VHY457561:VHY457626 VRU457561:VRU457626 WBQ457561:WBQ457626 WLM457561:WLM457626 WVI457561:WVI457626 A523097:A523162 IW523097:IW523162 SS523097:SS523162 ACO523097:ACO523162 AMK523097:AMK523162 AWG523097:AWG523162 BGC523097:BGC523162 BPY523097:BPY523162 BZU523097:BZU523162 CJQ523097:CJQ523162 CTM523097:CTM523162 DDI523097:DDI523162 DNE523097:DNE523162 DXA523097:DXA523162 EGW523097:EGW523162 EQS523097:EQS523162 FAO523097:FAO523162 FKK523097:FKK523162 FUG523097:FUG523162 GEC523097:GEC523162 GNY523097:GNY523162 GXU523097:GXU523162 HHQ523097:HHQ523162 HRM523097:HRM523162 IBI523097:IBI523162 ILE523097:ILE523162 IVA523097:IVA523162 JEW523097:JEW523162 JOS523097:JOS523162 JYO523097:JYO523162 KIK523097:KIK523162 KSG523097:KSG523162 LCC523097:LCC523162 LLY523097:LLY523162 LVU523097:LVU523162 MFQ523097:MFQ523162 MPM523097:MPM523162 MZI523097:MZI523162 NJE523097:NJE523162 NTA523097:NTA523162 OCW523097:OCW523162 OMS523097:OMS523162 OWO523097:OWO523162 PGK523097:PGK523162 PQG523097:PQG523162 QAC523097:QAC523162 QJY523097:QJY523162 QTU523097:QTU523162 RDQ523097:RDQ523162 RNM523097:RNM523162 RXI523097:RXI523162 SHE523097:SHE523162 SRA523097:SRA523162 TAW523097:TAW523162 TKS523097:TKS523162 TUO523097:TUO523162 UEK523097:UEK523162 UOG523097:UOG523162 UYC523097:UYC523162 VHY523097:VHY523162 VRU523097:VRU523162 WBQ523097:WBQ523162 WLM523097:WLM523162 WVI523097:WVI523162 A588633:A588698 IW588633:IW588698 SS588633:SS588698 ACO588633:ACO588698 AMK588633:AMK588698 AWG588633:AWG588698 BGC588633:BGC588698 BPY588633:BPY588698 BZU588633:BZU588698 CJQ588633:CJQ588698 CTM588633:CTM588698 DDI588633:DDI588698 DNE588633:DNE588698 DXA588633:DXA588698 EGW588633:EGW588698 EQS588633:EQS588698 FAO588633:FAO588698 FKK588633:FKK588698 FUG588633:FUG588698 GEC588633:GEC588698 GNY588633:GNY588698 GXU588633:GXU588698 HHQ588633:HHQ588698 HRM588633:HRM588698 IBI588633:IBI588698 ILE588633:ILE588698 IVA588633:IVA588698 JEW588633:JEW588698 JOS588633:JOS588698 JYO588633:JYO588698 KIK588633:KIK588698 KSG588633:KSG588698 LCC588633:LCC588698 LLY588633:LLY588698 LVU588633:LVU588698 MFQ588633:MFQ588698 MPM588633:MPM588698 MZI588633:MZI588698 NJE588633:NJE588698 NTA588633:NTA588698 OCW588633:OCW588698 OMS588633:OMS588698 OWO588633:OWO588698 PGK588633:PGK588698 PQG588633:PQG588698 QAC588633:QAC588698 QJY588633:QJY588698 QTU588633:QTU588698 RDQ588633:RDQ588698 RNM588633:RNM588698 RXI588633:RXI588698 SHE588633:SHE588698 SRA588633:SRA588698 TAW588633:TAW588698 TKS588633:TKS588698 TUO588633:TUO588698 UEK588633:UEK588698 UOG588633:UOG588698 UYC588633:UYC588698 VHY588633:VHY588698 VRU588633:VRU588698 WBQ588633:WBQ588698 WLM588633:WLM588698 WVI588633:WVI588698 A654169:A654234 IW654169:IW654234 SS654169:SS654234 ACO654169:ACO654234 AMK654169:AMK654234 AWG654169:AWG654234 BGC654169:BGC654234 BPY654169:BPY654234 BZU654169:BZU654234 CJQ654169:CJQ654234 CTM654169:CTM654234 DDI654169:DDI654234 DNE654169:DNE654234 DXA654169:DXA654234 EGW654169:EGW654234 EQS654169:EQS654234 FAO654169:FAO654234 FKK654169:FKK654234 FUG654169:FUG654234 GEC654169:GEC654234 GNY654169:GNY654234 GXU654169:GXU654234 HHQ654169:HHQ654234 HRM654169:HRM654234 IBI654169:IBI654234 ILE654169:ILE654234 IVA654169:IVA654234 JEW654169:JEW654234 JOS654169:JOS654234 JYO654169:JYO654234 KIK654169:KIK654234 KSG654169:KSG654234 LCC654169:LCC654234 LLY654169:LLY654234 LVU654169:LVU654234 MFQ654169:MFQ654234 MPM654169:MPM654234 MZI654169:MZI654234 NJE654169:NJE654234 NTA654169:NTA654234 OCW654169:OCW654234 OMS654169:OMS654234 OWO654169:OWO654234 PGK654169:PGK654234 PQG654169:PQG654234 QAC654169:QAC654234 QJY654169:QJY654234 QTU654169:QTU654234 RDQ654169:RDQ654234 RNM654169:RNM654234 RXI654169:RXI654234 SHE654169:SHE654234 SRA654169:SRA654234 TAW654169:TAW654234 TKS654169:TKS654234 TUO654169:TUO654234 UEK654169:UEK654234 UOG654169:UOG654234 UYC654169:UYC654234 VHY654169:VHY654234 VRU654169:VRU654234 WBQ654169:WBQ654234 WLM654169:WLM654234 WVI654169:WVI654234 A719705:A719770 IW719705:IW719770 SS719705:SS719770 ACO719705:ACO719770 AMK719705:AMK719770 AWG719705:AWG719770 BGC719705:BGC719770 BPY719705:BPY719770 BZU719705:BZU719770 CJQ719705:CJQ719770 CTM719705:CTM719770 DDI719705:DDI719770 DNE719705:DNE719770 DXA719705:DXA719770 EGW719705:EGW719770 EQS719705:EQS719770 FAO719705:FAO719770 FKK719705:FKK719770 FUG719705:FUG719770 GEC719705:GEC719770 GNY719705:GNY719770 GXU719705:GXU719770 HHQ719705:HHQ719770 HRM719705:HRM719770 IBI719705:IBI719770 ILE719705:ILE719770 IVA719705:IVA719770 JEW719705:JEW719770 JOS719705:JOS719770 JYO719705:JYO719770 KIK719705:KIK719770 KSG719705:KSG719770 LCC719705:LCC719770 LLY719705:LLY719770 LVU719705:LVU719770 MFQ719705:MFQ719770 MPM719705:MPM719770 MZI719705:MZI719770 NJE719705:NJE719770 NTA719705:NTA719770 OCW719705:OCW719770 OMS719705:OMS719770 OWO719705:OWO719770 PGK719705:PGK719770 PQG719705:PQG719770 QAC719705:QAC719770 QJY719705:QJY719770 QTU719705:QTU719770 RDQ719705:RDQ719770 RNM719705:RNM719770 RXI719705:RXI719770 SHE719705:SHE719770 SRA719705:SRA719770 TAW719705:TAW719770 TKS719705:TKS719770 TUO719705:TUO719770 UEK719705:UEK719770 UOG719705:UOG719770 UYC719705:UYC719770 VHY719705:VHY719770 VRU719705:VRU719770 WBQ719705:WBQ719770 WLM719705:WLM719770 WVI719705:WVI719770 A785241:A785306 IW785241:IW785306 SS785241:SS785306 ACO785241:ACO785306 AMK785241:AMK785306 AWG785241:AWG785306 BGC785241:BGC785306 BPY785241:BPY785306 BZU785241:BZU785306 CJQ785241:CJQ785306 CTM785241:CTM785306 DDI785241:DDI785306 DNE785241:DNE785306 DXA785241:DXA785306 EGW785241:EGW785306 EQS785241:EQS785306 FAO785241:FAO785306 FKK785241:FKK785306 FUG785241:FUG785306 GEC785241:GEC785306 GNY785241:GNY785306 GXU785241:GXU785306 HHQ785241:HHQ785306 HRM785241:HRM785306 IBI785241:IBI785306 ILE785241:ILE785306 IVA785241:IVA785306 JEW785241:JEW785306 JOS785241:JOS785306 JYO785241:JYO785306 KIK785241:KIK785306 KSG785241:KSG785306 LCC785241:LCC785306 LLY785241:LLY785306 LVU785241:LVU785306 MFQ785241:MFQ785306 MPM785241:MPM785306 MZI785241:MZI785306 NJE785241:NJE785306 NTA785241:NTA785306 OCW785241:OCW785306 OMS785241:OMS785306 OWO785241:OWO785306 PGK785241:PGK785306 PQG785241:PQG785306 QAC785241:QAC785306 QJY785241:QJY785306 QTU785241:QTU785306 RDQ785241:RDQ785306 RNM785241:RNM785306 RXI785241:RXI785306 SHE785241:SHE785306 SRA785241:SRA785306 TAW785241:TAW785306 TKS785241:TKS785306 TUO785241:TUO785306 UEK785241:UEK785306 UOG785241:UOG785306 UYC785241:UYC785306 VHY785241:VHY785306 VRU785241:VRU785306 WBQ785241:WBQ785306 WLM785241:WLM785306 WVI785241:WVI785306 A850777:A850842 IW850777:IW850842 SS850777:SS850842 ACO850777:ACO850842 AMK850777:AMK850842 AWG850777:AWG850842 BGC850777:BGC850842 BPY850777:BPY850842 BZU850777:BZU850842 CJQ850777:CJQ850842 CTM850777:CTM850842 DDI850777:DDI850842 DNE850777:DNE850842 DXA850777:DXA850842 EGW850777:EGW850842 EQS850777:EQS850842 FAO850777:FAO850842 FKK850777:FKK850842 FUG850777:FUG850842 GEC850777:GEC850842 GNY850777:GNY850842 GXU850777:GXU850842 HHQ850777:HHQ850842 HRM850777:HRM850842 IBI850777:IBI850842 ILE850777:ILE850842 IVA850777:IVA850842 JEW850777:JEW850842 JOS850777:JOS850842 JYO850777:JYO850842 KIK850777:KIK850842 KSG850777:KSG850842 LCC850777:LCC850842 LLY850777:LLY850842 LVU850777:LVU850842 MFQ850777:MFQ850842 MPM850777:MPM850842 MZI850777:MZI850842 NJE850777:NJE850842 NTA850777:NTA850842 OCW850777:OCW850842 OMS850777:OMS850842 OWO850777:OWO850842 PGK850777:PGK850842 PQG850777:PQG850842 QAC850777:QAC850842 QJY850777:QJY850842 QTU850777:QTU850842 RDQ850777:RDQ850842 RNM850777:RNM850842 RXI850777:RXI850842 SHE850777:SHE850842 SRA850777:SRA850842 TAW850777:TAW850842 TKS850777:TKS850842 TUO850777:TUO850842 UEK850777:UEK850842 UOG850777:UOG850842 UYC850777:UYC850842 VHY850777:VHY850842 VRU850777:VRU850842 WBQ850777:WBQ850842 WLM850777:WLM850842 WVI850777:WVI850842 A916313:A916378 IW916313:IW916378 SS916313:SS916378 ACO916313:ACO916378 AMK916313:AMK916378 AWG916313:AWG916378 BGC916313:BGC916378 BPY916313:BPY916378 BZU916313:BZU916378 CJQ916313:CJQ916378 CTM916313:CTM916378 DDI916313:DDI916378 DNE916313:DNE916378 DXA916313:DXA916378 EGW916313:EGW916378 EQS916313:EQS916378 FAO916313:FAO916378 FKK916313:FKK916378 FUG916313:FUG916378 GEC916313:GEC916378 GNY916313:GNY916378 GXU916313:GXU916378 HHQ916313:HHQ916378 HRM916313:HRM916378 IBI916313:IBI916378 ILE916313:ILE916378 IVA916313:IVA916378 JEW916313:JEW916378 JOS916313:JOS916378 JYO916313:JYO916378 KIK916313:KIK916378 KSG916313:KSG916378 LCC916313:LCC916378 LLY916313:LLY916378 LVU916313:LVU916378 MFQ916313:MFQ916378 MPM916313:MPM916378 MZI916313:MZI916378 NJE916313:NJE916378 NTA916313:NTA916378 OCW916313:OCW916378 OMS916313:OMS916378 OWO916313:OWO916378 PGK916313:PGK916378 PQG916313:PQG916378 QAC916313:QAC916378 QJY916313:QJY916378 QTU916313:QTU916378 RDQ916313:RDQ916378 RNM916313:RNM916378 RXI916313:RXI916378 SHE916313:SHE916378 SRA916313:SRA916378 TAW916313:TAW916378 TKS916313:TKS916378 TUO916313:TUO916378 UEK916313:UEK916378 UOG916313:UOG916378 UYC916313:UYC916378 VHY916313:VHY916378 VRU916313:VRU916378 WBQ916313:WBQ916378 WLM916313:WLM916378 WVI916313:WVI916378 A981849:A981914 IW981849:IW981914 SS981849:SS981914 ACO981849:ACO981914 AMK981849:AMK981914 AWG981849:AWG981914 BGC981849:BGC981914 BPY981849:BPY981914 BZU981849:BZU981914 CJQ981849:CJQ981914 CTM981849:CTM981914 DDI981849:DDI981914 DNE981849:DNE981914 DXA981849:DXA981914 EGW981849:EGW981914 EQS981849:EQS981914 FAO981849:FAO981914 FKK981849:FKK981914 FUG981849:FUG981914 GEC981849:GEC981914 GNY981849:GNY981914 GXU981849:GXU981914 HHQ981849:HHQ981914 HRM981849:HRM981914 IBI981849:IBI981914 ILE981849:ILE981914 IVA981849:IVA981914 JEW981849:JEW981914 JOS981849:JOS981914 JYO981849:JYO981914 KIK981849:KIK981914 KSG981849:KSG981914 LCC981849:LCC981914 LLY981849:LLY981914 LVU981849:LVU981914 MFQ981849:MFQ981914 MPM981849:MPM981914 MZI981849:MZI981914 NJE981849:NJE981914 NTA981849:NTA981914 OCW981849:OCW981914 OMS981849:OMS981914 OWO981849:OWO981914 PGK981849:PGK981914 PQG981849:PQG981914 QAC981849:QAC981914 QJY981849:QJY981914 QTU981849:QTU981914 RDQ981849:RDQ981914 RNM981849:RNM981914 RXI981849:RXI981914 SHE981849:SHE981914 SRA981849:SRA981914 TAW981849:TAW981914 TKS981849:TKS981914 TUO981849:TUO981914 UEK981849:UEK981914 UOG981849:UOG981914 UYC981849:UYC981914 VHY981849:VHY981914 VRU981849:VRU981914 WBQ981849:WBQ981914 WLM981849:WLM981914 WVI981849:WVI981914 A1047385:A1047450 IW1047385:IW1047450 SS1047385:SS1047450 ACO1047385:ACO1047450 AMK1047385:AMK1047450 AWG1047385:AWG1047450 BGC1047385:BGC1047450 BPY1047385:BPY1047450 BZU1047385:BZU1047450 CJQ1047385:CJQ1047450 CTM1047385:CTM1047450 DDI1047385:DDI1047450 DNE1047385:DNE1047450 DXA1047385:DXA1047450 EGW1047385:EGW1047450 EQS1047385:EQS1047450 FAO1047385:FAO1047450 FKK1047385:FKK1047450 FUG1047385:FUG1047450 GEC1047385:GEC1047450 GNY1047385:GNY1047450 GXU1047385:GXU1047450 HHQ1047385:HHQ1047450 HRM1047385:HRM1047450 IBI1047385:IBI1047450 ILE1047385:ILE1047450 IVA1047385:IVA1047450 JEW1047385:JEW1047450 JOS1047385:JOS1047450 JYO1047385:JYO1047450 KIK1047385:KIK1047450 KSG1047385:KSG1047450 LCC1047385:LCC1047450 LLY1047385:LLY1047450 LVU1047385:LVU1047450 MFQ1047385:MFQ1047450 MPM1047385:MPM1047450 MZI1047385:MZI1047450 NJE1047385:NJE1047450 NTA1047385:NTA1047450 OCW1047385:OCW1047450 OMS1047385:OMS1047450 OWO1047385:OWO1047450 PGK1047385:PGK1047450 PQG1047385:PQG1047450 QAC1047385:QAC1047450 QJY1047385:QJY1047450 QTU1047385:QTU1047450 RDQ1047385:RDQ1047450 RNM1047385:RNM1047450 RXI1047385:RXI1047450 SHE1047385:SHE1047450 SRA1047385:SRA1047450 TAW1047385:TAW1047450 TKS1047385:TKS1047450 TUO1047385:TUO1047450 UEK1047385:UEK1047450 UOG1047385:UOG1047450 UYC1047385:UYC1047450 VHY1047385:VHY1047450 VRU1047385:VRU1047450 WBQ1047385:WBQ1047450 WLM1047385:WLM1047450 WVI1047385:WVI1047450 WVI983024:WVI983095 A65520:A65591 IW65520:IW65591 SS65520:SS65591 ACO65520:ACO65591 AMK65520:AMK65591 AWG65520:AWG65591 BGC65520:BGC65591 BPY65520:BPY65591 BZU65520:BZU65591 CJQ65520:CJQ65591 CTM65520:CTM65591 DDI65520:DDI65591 DNE65520:DNE65591 DXA65520:DXA65591 EGW65520:EGW65591 EQS65520:EQS65591 FAO65520:FAO65591 FKK65520:FKK65591 FUG65520:FUG65591 GEC65520:GEC65591 GNY65520:GNY65591 GXU65520:GXU65591 HHQ65520:HHQ65591 HRM65520:HRM65591 IBI65520:IBI65591 ILE65520:ILE65591 IVA65520:IVA65591 JEW65520:JEW65591 JOS65520:JOS65591 JYO65520:JYO65591 KIK65520:KIK65591 KSG65520:KSG65591 LCC65520:LCC65591 LLY65520:LLY65591 LVU65520:LVU65591 MFQ65520:MFQ65591 MPM65520:MPM65591 MZI65520:MZI65591 NJE65520:NJE65591 NTA65520:NTA65591 OCW65520:OCW65591 OMS65520:OMS65591 OWO65520:OWO65591 PGK65520:PGK65591 PQG65520:PQG65591 QAC65520:QAC65591 QJY65520:QJY65591 QTU65520:QTU65591 RDQ65520:RDQ65591 RNM65520:RNM65591 RXI65520:RXI65591 SHE65520:SHE65591 SRA65520:SRA65591 TAW65520:TAW65591 TKS65520:TKS65591 TUO65520:TUO65591 UEK65520:UEK65591 UOG65520:UOG65591 UYC65520:UYC65591 VHY65520:VHY65591 VRU65520:VRU65591 WBQ65520:WBQ65591 WLM65520:WLM65591 WVI65520:WVI65591 A131056:A131127 IW131056:IW131127 SS131056:SS131127 ACO131056:ACO131127 AMK131056:AMK131127 AWG131056:AWG131127 BGC131056:BGC131127 BPY131056:BPY131127 BZU131056:BZU131127 CJQ131056:CJQ131127 CTM131056:CTM131127 DDI131056:DDI131127 DNE131056:DNE131127 DXA131056:DXA131127 EGW131056:EGW131127 EQS131056:EQS131127 FAO131056:FAO131127 FKK131056:FKK131127 FUG131056:FUG131127 GEC131056:GEC131127 GNY131056:GNY131127 GXU131056:GXU131127 HHQ131056:HHQ131127 HRM131056:HRM131127 IBI131056:IBI131127 ILE131056:ILE131127 IVA131056:IVA131127 JEW131056:JEW131127 JOS131056:JOS131127 JYO131056:JYO131127 KIK131056:KIK131127 KSG131056:KSG131127 LCC131056:LCC131127 LLY131056:LLY131127 LVU131056:LVU131127 MFQ131056:MFQ131127 MPM131056:MPM131127 MZI131056:MZI131127 NJE131056:NJE131127 NTA131056:NTA131127 OCW131056:OCW131127 OMS131056:OMS131127 OWO131056:OWO131127 PGK131056:PGK131127 PQG131056:PQG131127 QAC131056:QAC131127 QJY131056:QJY131127 QTU131056:QTU131127 RDQ131056:RDQ131127 RNM131056:RNM131127 RXI131056:RXI131127 SHE131056:SHE131127 SRA131056:SRA131127 TAW131056:TAW131127 TKS131056:TKS131127 TUO131056:TUO131127 UEK131056:UEK131127 UOG131056:UOG131127 UYC131056:UYC131127 VHY131056:VHY131127 VRU131056:VRU131127 WBQ131056:WBQ131127 WLM131056:WLM131127 WVI131056:WVI131127 A196592:A196663 IW196592:IW196663 SS196592:SS196663 ACO196592:ACO196663 AMK196592:AMK196663 AWG196592:AWG196663 BGC196592:BGC196663 BPY196592:BPY196663 BZU196592:BZU196663 CJQ196592:CJQ196663 CTM196592:CTM196663 DDI196592:DDI196663 DNE196592:DNE196663 DXA196592:DXA196663 EGW196592:EGW196663 EQS196592:EQS196663 FAO196592:FAO196663 FKK196592:FKK196663 FUG196592:FUG196663 GEC196592:GEC196663 GNY196592:GNY196663 GXU196592:GXU196663 HHQ196592:HHQ196663 HRM196592:HRM196663 IBI196592:IBI196663 ILE196592:ILE196663 IVA196592:IVA196663 JEW196592:JEW196663 JOS196592:JOS196663 JYO196592:JYO196663 KIK196592:KIK196663 KSG196592:KSG196663 LCC196592:LCC196663 LLY196592:LLY196663 LVU196592:LVU196663 MFQ196592:MFQ196663 MPM196592:MPM196663 MZI196592:MZI196663 NJE196592:NJE196663 NTA196592:NTA196663 OCW196592:OCW196663 OMS196592:OMS196663 OWO196592:OWO196663 PGK196592:PGK196663 PQG196592:PQG196663 QAC196592:QAC196663 QJY196592:QJY196663 QTU196592:QTU196663 RDQ196592:RDQ196663 RNM196592:RNM196663 RXI196592:RXI196663 SHE196592:SHE196663 SRA196592:SRA196663 TAW196592:TAW196663 TKS196592:TKS196663 TUO196592:TUO196663 UEK196592:UEK196663 UOG196592:UOG196663 UYC196592:UYC196663 VHY196592:VHY196663 VRU196592:VRU196663 WBQ196592:WBQ196663 WLM196592:WLM196663 WVI196592:WVI196663 A262128:A262199 IW262128:IW262199 SS262128:SS262199 ACO262128:ACO262199 AMK262128:AMK262199 AWG262128:AWG262199 BGC262128:BGC262199 BPY262128:BPY262199 BZU262128:BZU262199 CJQ262128:CJQ262199 CTM262128:CTM262199 DDI262128:DDI262199 DNE262128:DNE262199 DXA262128:DXA262199 EGW262128:EGW262199 EQS262128:EQS262199 FAO262128:FAO262199 FKK262128:FKK262199 FUG262128:FUG262199 GEC262128:GEC262199 GNY262128:GNY262199 GXU262128:GXU262199 HHQ262128:HHQ262199 HRM262128:HRM262199 IBI262128:IBI262199 ILE262128:ILE262199 IVA262128:IVA262199 JEW262128:JEW262199 JOS262128:JOS262199 JYO262128:JYO262199 KIK262128:KIK262199 KSG262128:KSG262199 LCC262128:LCC262199 LLY262128:LLY262199 LVU262128:LVU262199 MFQ262128:MFQ262199 MPM262128:MPM262199 MZI262128:MZI262199 NJE262128:NJE262199 NTA262128:NTA262199 OCW262128:OCW262199 OMS262128:OMS262199 OWO262128:OWO262199 PGK262128:PGK262199 PQG262128:PQG262199 QAC262128:QAC262199 QJY262128:QJY262199 QTU262128:QTU262199 RDQ262128:RDQ262199 RNM262128:RNM262199 RXI262128:RXI262199 SHE262128:SHE262199 SRA262128:SRA262199 TAW262128:TAW262199 TKS262128:TKS262199 TUO262128:TUO262199 UEK262128:UEK262199 UOG262128:UOG262199 UYC262128:UYC262199 VHY262128:VHY262199 VRU262128:VRU262199 WBQ262128:WBQ262199 WLM262128:WLM262199 WVI262128:WVI262199 A327664:A327735 IW327664:IW327735 SS327664:SS327735 ACO327664:ACO327735 AMK327664:AMK327735 AWG327664:AWG327735 BGC327664:BGC327735 BPY327664:BPY327735 BZU327664:BZU327735 CJQ327664:CJQ327735 CTM327664:CTM327735 DDI327664:DDI327735 DNE327664:DNE327735 DXA327664:DXA327735 EGW327664:EGW327735 EQS327664:EQS327735 FAO327664:FAO327735 FKK327664:FKK327735 FUG327664:FUG327735 GEC327664:GEC327735 GNY327664:GNY327735 GXU327664:GXU327735 HHQ327664:HHQ327735 HRM327664:HRM327735 IBI327664:IBI327735 ILE327664:ILE327735 IVA327664:IVA327735 JEW327664:JEW327735 JOS327664:JOS327735 JYO327664:JYO327735 KIK327664:KIK327735 KSG327664:KSG327735 LCC327664:LCC327735 LLY327664:LLY327735 LVU327664:LVU327735 MFQ327664:MFQ327735 MPM327664:MPM327735 MZI327664:MZI327735 NJE327664:NJE327735 NTA327664:NTA327735 OCW327664:OCW327735 OMS327664:OMS327735 OWO327664:OWO327735 PGK327664:PGK327735 PQG327664:PQG327735 QAC327664:QAC327735 QJY327664:QJY327735 QTU327664:QTU327735 RDQ327664:RDQ327735 RNM327664:RNM327735 RXI327664:RXI327735 SHE327664:SHE327735 SRA327664:SRA327735 TAW327664:TAW327735 TKS327664:TKS327735 TUO327664:TUO327735 UEK327664:UEK327735 UOG327664:UOG327735 UYC327664:UYC327735 VHY327664:VHY327735 VRU327664:VRU327735 WBQ327664:WBQ327735 WLM327664:WLM327735 WVI327664:WVI327735 A393200:A393271 IW393200:IW393271 SS393200:SS393271 ACO393200:ACO393271 AMK393200:AMK393271 AWG393200:AWG393271 BGC393200:BGC393271 BPY393200:BPY393271 BZU393200:BZU393271 CJQ393200:CJQ393271 CTM393200:CTM393271 DDI393200:DDI393271 DNE393200:DNE393271 DXA393200:DXA393271 EGW393200:EGW393271 EQS393200:EQS393271 FAO393200:FAO393271 FKK393200:FKK393271 FUG393200:FUG393271 GEC393200:GEC393271 GNY393200:GNY393271 GXU393200:GXU393271 HHQ393200:HHQ393271 HRM393200:HRM393271 IBI393200:IBI393271 ILE393200:ILE393271 IVA393200:IVA393271 JEW393200:JEW393271 JOS393200:JOS393271 JYO393200:JYO393271 KIK393200:KIK393271 KSG393200:KSG393271 LCC393200:LCC393271 LLY393200:LLY393271 LVU393200:LVU393271 MFQ393200:MFQ393271 MPM393200:MPM393271 MZI393200:MZI393271 NJE393200:NJE393271 NTA393200:NTA393271 OCW393200:OCW393271 OMS393200:OMS393271 OWO393200:OWO393271 PGK393200:PGK393271 PQG393200:PQG393271 QAC393200:QAC393271 QJY393200:QJY393271 QTU393200:QTU393271 RDQ393200:RDQ393271 RNM393200:RNM393271 RXI393200:RXI393271 SHE393200:SHE393271 SRA393200:SRA393271 TAW393200:TAW393271 TKS393200:TKS393271 TUO393200:TUO393271 UEK393200:UEK393271 UOG393200:UOG393271 UYC393200:UYC393271 VHY393200:VHY393271 VRU393200:VRU393271 WBQ393200:WBQ393271 WLM393200:WLM393271 WVI393200:WVI393271 A458736:A458807 IW458736:IW458807 SS458736:SS458807 ACO458736:ACO458807 AMK458736:AMK458807 AWG458736:AWG458807 BGC458736:BGC458807 BPY458736:BPY458807 BZU458736:BZU458807 CJQ458736:CJQ458807 CTM458736:CTM458807 DDI458736:DDI458807 DNE458736:DNE458807 DXA458736:DXA458807 EGW458736:EGW458807 EQS458736:EQS458807 FAO458736:FAO458807 FKK458736:FKK458807 FUG458736:FUG458807 GEC458736:GEC458807 GNY458736:GNY458807 GXU458736:GXU458807 HHQ458736:HHQ458807 HRM458736:HRM458807 IBI458736:IBI458807 ILE458736:ILE458807 IVA458736:IVA458807 JEW458736:JEW458807 JOS458736:JOS458807 JYO458736:JYO458807 KIK458736:KIK458807 KSG458736:KSG458807 LCC458736:LCC458807 LLY458736:LLY458807 LVU458736:LVU458807 MFQ458736:MFQ458807 MPM458736:MPM458807 MZI458736:MZI458807 NJE458736:NJE458807 NTA458736:NTA458807 OCW458736:OCW458807 OMS458736:OMS458807 OWO458736:OWO458807 PGK458736:PGK458807 PQG458736:PQG458807 QAC458736:QAC458807 QJY458736:QJY458807 QTU458736:QTU458807 RDQ458736:RDQ458807 RNM458736:RNM458807 RXI458736:RXI458807 SHE458736:SHE458807 SRA458736:SRA458807 TAW458736:TAW458807 TKS458736:TKS458807 TUO458736:TUO458807 UEK458736:UEK458807 UOG458736:UOG458807 UYC458736:UYC458807 VHY458736:VHY458807 VRU458736:VRU458807 WBQ458736:WBQ458807 WLM458736:WLM458807 WVI458736:WVI458807 A524272:A524343 IW524272:IW524343 SS524272:SS524343 ACO524272:ACO524343 AMK524272:AMK524343 AWG524272:AWG524343 BGC524272:BGC524343 BPY524272:BPY524343 BZU524272:BZU524343 CJQ524272:CJQ524343 CTM524272:CTM524343 DDI524272:DDI524343 DNE524272:DNE524343 DXA524272:DXA524343 EGW524272:EGW524343 EQS524272:EQS524343 FAO524272:FAO524343 FKK524272:FKK524343 FUG524272:FUG524343 GEC524272:GEC524343 GNY524272:GNY524343 GXU524272:GXU524343 HHQ524272:HHQ524343 HRM524272:HRM524343 IBI524272:IBI524343 ILE524272:ILE524343 IVA524272:IVA524343 JEW524272:JEW524343 JOS524272:JOS524343 JYO524272:JYO524343 KIK524272:KIK524343 KSG524272:KSG524343 LCC524272:LCC524343 LLY524272:LLY524343 LVU524272:LVU524343 MFQ524272:MFQ524343 MPM524272:MPM524343 MZI524272:MZI524343 NJE524272:NJE524343 NTA524272:NTA524343 OCW524272:OCW524343 OMS524272:OMS524343 OWO524272:OWO524343 PGK524272:PGK524343 PQG524272:PQG524343 QAC524272:QAC524343 QJY524272:QJY524343 QTU524272:QTU524343 RDQ524272:RDQ524343 RNM524272:RNM524343 RXI524272:RXI524343 SHE524272:SHE524343 SRA524272:SRA524343 TAW524272:TAW524343 TKS524272:TKS524343 TUO524272:TUO524343 UEK524272:UEK524343 UOG524272:UOG524343 UYC524272:UYC524343 VHY524272:VHY524343 VRU524272:VRU524343 WBQ524272:WBQ524343 WLM524272:WLM524343 WVI524272:WVI524343 A589808:A589879 IW589808:IW589879 SS589808:SS589879 ACO589808:ACO589879 AMK589808:AMK589879 AWG589808:AWG589879 BGC589808:BGC589879 BPY589808:BPY589879 BZU589808:BZU589879 CJQ589808:CJQ589879 CTM589808:CTM589879 DDI589808:DDI589879 DNE589808:DNE589879 DXA589808:DXA589879 EGW589808:EGW589879 EQS589808:EQS589879 FAO589808:FAO589879 FKK589808:FKK589879 FUG589808:FUG589879 GEC589808:GEC589879 GNY589808:GNY589879 GXU589808:GXU589879 HHQ589808:HHQ589879 HRM589808:HRM589879 IBI589808:IBI589879 ILE589808:ILE589879 IVA589808:IVA589879 JEW589808:JEW589879 JOS589808:JOS589879 JYO589808:JYO589879 KIK589808:KIK589879 KSG589808:KSG589879 LCC589808:LCC589879 LLY589808:LLY589879 LVU589808:LVU589879 MFQ589808:MFQ589879 MPM589808:MPM589879 MZI589808:MZI589879 NJE589808:NJE589879 NTA589808:NTA589879 OCW589808:OCW589879 OMS589808:OMS589879 OWO589808:OWO589879 PGK589808:PGK589879 PQG589808:PQG589879 QAC589808:QAC589879 QJY589808:QJY589879 QTU589808:QTU589879 RDQ589808:RDQ589879 RNM589808:RNM589879 RXI589808:RXI589879 SHE589808:SHE589879 SRA589808:SRA589879 TAW589808:TAW589879 TKS589808:TKS589879 TUO589808:TUO589879 UEK589808:UEK589879 UOG589808:UOG589879 UYC589808:UYC589879 VHY589808:VHY589879 VRU589808:VRU589879 WBQ589808:WBQ589879 WLM589808:WLM589879 WVI589808:WVI589879 A655344:A655415 IW655344:IW655415 SS655344:SS655415 ACO655344:ACO655415 AMK655344:AMK655415 AWG655344:AWG655415 BGC655344:BGC655415 BPY655344:BPY655415 BZU655344:BZU655415 CJQ655344:CJQ655415 CTM655344:CTM655415 DDI655344:DDI655415 DNE655344:DNE655415 DXA655344:DXA655415 EGW655344:EGW655415 EQS655344:EQS655415 FAO655344:FAO655415 FKK655344:FKK655415 FUG655344:FUG655415 GEC655344:GEC655415 GNY655344:GNY655415 GXU655344:GXU655415 HHQ655344:HHQ655415 HRM655344:HRM655415 IBI655344:IBI655415 ILE655344:ILE655415 IVA655344:IVA655415 JEW655344:JEW655415 JOS655344:JOS655415 JYO655344:JYO655415 KIK655344:KIK655415 KSG655344:KSG655415 LCC655344:LCC655415 LLY655344:LLY655415 LVU655344:LVU655415 MFQ655344:MFQ655415 MPM655344:MPM655415 MZI655344:MZI655415 NJE655344:NJE655415 NTA655344:NTA655415 OCW655344:OCW655415 OMS655344:OMS655415 OWO655344:OWO655415 PGK655344:PGK655415 PQG655344:PQG655415 QAC655344:QAC655415 QJY655344:QJY655415 QTU655344:QTU655415 RDQ655344:RDQ655415 RNM655344:RNM655415 RXI655344:RXI655415 SHE655344:SHE655415 SRA655344:SRA655415 TAW655344:TAW655415 TKS655344:TKS655415 TUO655344:TUO655415 UEK655344:UEK655415 UOG655344:UOG655415 UYC655344:UYC655415 VHY655344:VHY655415 VRU655344:VRU655415 WBQ655344:WBQ655415 WLM655344:WLM655415 WVI655344:WVI655415 A720880:A720951 IW720880:IW720951 SS720880:SS720951 ACO720880:ACO720951 AMK720880:AMK720951 AWG720880:AWG720951 BGC720880:BGC720951 BPY720880:BPY720951 BZU720880:BZU720951 CJQ720880:CJQ720951 CTM720880:CTM720951 DDI720880:DDI720951 DNE720880:DNE720951 DXA720880:DXA720951 EGW720880:EGW720951 EQS720880:EQS720951 FAO720880:FAO720951 FKK720880:FKK720951 FUG720880:FUG720951 GEC720880:GEC720951 GNY720880:GNY720951 GXU720880:GXU720951 HHQ720880:HHQ720951 HRM720880:HRM720951 IBI720880:IBI720951 ILE720880:ILE720951 IVA720880:IVA720951 JEW720880:JEW720951 JOS720880:JOS720951 JYO720880:JYO720951 KIK720880:KIK720951 KSG720880:KSG720951 LCC720880:LCC720951 LLY720880:LLY720951 LVU720880:LVU720951 MFQ720880:MFQ720951 MPM720880:MPM720951 MZI720880:MZI720951 NJE720880:NJE720951 NTA720880:NTA720951 OCW720880:OCW720951 OMS720880:OMS720951 OWO720880:OWO720951 PGK720880:PGK720951 PQG720880:PQG720951 QAC720880:QAC720951 QJY720880:QJY720951 QTU720880:QTU720951 RDQ720880:RDQ720951 RNM720880:RNM720951 RXI720880:RXI720951 SHE720880:SHE720951 SRA720880:SRA720951 TAW720880:TAW720951 TKS720880:TKS720951 TUO720880:TUO720951 UEK720880:UEK720951 UOG720880:UOG720951 UYC720880:UYC720951 VHY720880:VHY720951 VRU720880:VRU720951 WBQ720880:WBQ720951 WLM720880:WLM720951 WVI720880:WVI720951 A786416:A786487 IW786416:IW786487 SS786416:SS786487 ACO786416:ACO786487 AMK786416:AMK786487 AWG786416:AWG786487 BGC786416:BGC786487 BPY786416:BPY786487 BZU786416:BZU786487 CJQ786416:CJQ786487 CTM786416:CTM786487 DDI786416:DDI786487 DNE786416:DNE786487 DXA786416:DXA786487 EGW786416:EGW786487 EQS786416:EQS786487 FAO786416:FAO786487 FKK786416:FKK786487 FUG786416:FUG786487 GEC786416:GEC786487 GNY786416:GNY786487 GXU786416:GXU786487 HHQ786416:HHQ786487 HRM786416:HRM786487 IBI786416:IBI786487 ILE786416:ILE786487 IVA786416:IVA786487 JEW786416:JEW786487 JOS786416:JOS786487 JYO786416:JYO786487 KIK786416:KIK786487 KSG786416:KSG786487 LCC786416:LCC786487 LLY786416:LLY786487 LVU786416:LVU786487 MFQ786416:MFQ786487 MPM786416:MPM786487 MZI786416:MZI786487 NJE786416:NJE786487 NTA786416:NTA786487 OCW786416:OCW786487 OMS786416:OMS786487 OWO786416:OWO786487 PGK786416:PGK786487 PQG786416:PQG786487 QAC786416:QAC786487 QJY786416:QJY786487 QTU786416:QTU786487 RDQ786416:RDQ786487 RNM786416:RNM786487 RXI786416:RXI786487 SHE786416:SHE786487 SRA786416:SRA786487 TAW786416:TAW786487 TKS786416:TKS786487 TUO786416:TUO786487 UEK786416:UEK786487 UOG786416:UOG786487 UYC786416:UYC786487 VHY786416:VHY786487 VRU786416:VRU786487 WBQ786416:WBQ786487 WLM786416:WLM786487 WVI786416:WVI786487 A851952:A852023 IW851952:IW852023 SS851952:SS852023 ACO851952:ACO852023 AMK851952:AMK852023 AWG851952:AWG852023 BGC851952:BGC852023 BPY851952:BPY852023 BZU851952:BZU852023 CJQ851952:CJQ852023 CTM851952:CTM852023 DDI851952:DDI852023 DNE851952:DNE852023 DXA851952:DXA852023 EGW851952:EGW852023 EQS851952:EQS852023 FAO851952:FAO852023 FKK851952:FKK852023 FUG851952:FUG852023 GEC851952:GEC852023 GNY851952:GNY852023 GXU851952:GXU852023 HHQ851952:HHQ852023 HRM851952:HRM852023 IBI851952:IBI852023 ILE851952:ILE852023 IVA851952:IVA852023 JEW851952:JEW852023 JOS851952:JOS852023 JYO851952:JYO852023 KIK851952:KIK852023 KSG851952:KSG852023 LCC851952:LCC852023 LLY851952:LLY852023 LVU851952:LVU852023 MFQ851952:MFQ852023 MPM851952:MPM852023 MZI851952:MZI852023 NJE851952:NJE852023 NTA851952:NTA852023 OCW851952:OCW852023 OMS851952:OMS852023 OWO851952:OWO852023 PGK851952:PGK852023 PQG851952:PQG852023 QAC851952:QAC852023 QJY851952:QJY852023 QTU851952:QTU852023 RDQ851952:RDQ852023 RNM851952:RNM852023 RXI851952:RXI852023 SHE851952:SHE852023 SRA851952:SRA852023 TAW851952:TAW852023 TKS851952:TKS852023 TUO851952:TUO852023 UEK851952:UEK852023 UOG851952:UOG852023 UYC851952:UYC852023 VHY851952:VHY852023 VRU851952:VRU852023 WBQ851952:WBQ852023 WLM851952:WLM852023 WVI851952:WVI852023 A917488:A917559 IW917488:IW917559 SS917488:SS917559 ACO917488:ACO917559 AMK917488:AMK917559 AWG917488:AWG917559 BGC917488:BGC917559 BPY917488:BPY917559 BZU917488:BZU917559 CJQ917488:CJQ917559 CTM917488:CTM917559 DDI917488:DDI917559 DNE917488:DNE917559 DXA917488:DXA917559 EGW917488:EGW917559 EQS917488:EQS917559 FAO917488:FAO917559 FKK917488:FKK917559 FUG917488:FUG917559 GEC917488:GEC917559 GNY917488:GNY917559 GXU917488:GXU917559 HHQ917488:HHQ917559 HRM917488:HRM917559 IBI917488:IBI917559 ILE917488:ILE917559 IVA917488:IVA917559 JEW917488:JEW917559 JOS917488:JOS917559 JYO917488:JYO917559 KIK917488:KIK917559 KSG917488:KSG917559 LCC917488:LCC917559 LLY917488:LLY917559 LVU917488:LVU917559 MFQ917488:MFQ917559 MPM917488:MPM917559 MZI917488:MZI917559 NJE917488:NJE917559 NTA917488:NTA917559 OCW917488:OCW917559 OMS917488:OMS917559 OWO917488:OWO917559 PGK917488:PGK917559 PQG917488:PQG917559 QAC917488:QAC917559 QJY917488:QJY917559 QTU917488:QTU917559 RDQ917488:RDQ917559 RNM917488:RNM917559 RXI917488:RXI917559 SHE917488:SHE917559 SRA917488:SRA917559 TAW917488:TAW917559 TKS917488:TKS917559 TUO917488:TUO917559 UEK917488:UEK917559 UOG917488:UOG917559 UYC917488:UYC917559 VHY917488:VHY917559 VRU917488:VRU917559 WBQ917488:WBQ917559 WLM917488:WLM917559 WVI917488:WVI917559 A983024:A983095 IW983024:IW983095 SS983024:SS983095 ACO983024:ACO983095 AMK983024:AMK983095 AWG983024:AWG983095 BGC983024:BGC983095 BPY983024:BPY983095 BZU983024:BZU983095 CJQ983024:CJQ983095 CTM983024:CTM983095 DDI983024:DDI983095 DNE983024:DNE983095 DXA983024:DXA983095 EGW983024:EGW983095 EQS983024:EQS983095 FAO983024:FAO983095 FKK983024:FKK983095 FUG983024:FUG983095 GEC983024:GEC983095 GNY983024:GNY983095 GXU983024:GXU983095 HHQ983024:HHQ983095 HRM983024:HRM983095 IBI983024:IBI983095 ILE983024:ILE983095 IVA983024:IVA983095 JEW983024:JEW983095 JOS983024:JOS983095 JYO983024:JYO983095 KIK983024:KIK983095 KSG983024:KSG983095 LCC983024:LCC983095 LLY983024:LLY983095 LVU983024:LVU983095 MFQ983024:MFQ983095 MPM983024:MPM983095 MZI983024:MZI983095 NJE983024:NJE983095 NTA983024:NTA983095 OCW983024:OCW983095 OMS983024:OMS983095 OWO983024:OWO983095 PGK983024:PGK983095 PQG983024:PQG983095 QAC983024:QAC983095 QJY983024:QJY983095 QTU983024:QTU983095 RDQ983024:RDQ983095 RNM983024:RNM983095 RXI983024:RXI983095 SHE983024:SHE983095 SRA983024:SRA983095 TAW983024:TAW983095 TKS983024:TKS983095 TUO983024:TUO983095 UEK983024:UEK983095 UOG983024:UOG983095 UYC983024:UYC983095 VHY983024:VHY983095 VRU983024:VRU983095 WBQ983024:WBQ983095 WLM983024:WLM983095 A2:A482 IW2:IW69 WVI2:WVI69 WLM2:WLM69 WBQ2:WBQ69 VRU2:VRU69 VHY2:VHY69 UYC2:UYC69 UOG2:UOG69 UEK2:UEK69 TUO2:TUO69 TKS2:TKS69 TAW2:TAW69 SRA2:SRA69 SHE2:SHE69 RXI2:RXI69 RNM2:RNM69 RDQ2:RDQ69 QTU2:QTU69 QJY2:QJY69 QAC2:QAC69 PQG2:PQG69 PGK2:PGK69 OWO2:OWO69 OMS2:OMS69 OCW2:OCW69 NTA2:NTA69 NJE2:NJE69 MZI2:MZI69 MPM2:MPM69 MFQ2:MFQ69 LVU2:LVU69 LLY2:LLY69 LCC2:LCC69 KSG2:KSG69 KIK2:KIK69 JYO2:JYO69 JOS2:JOS69 JEW2:JEW69 IVA2:IVA69 ILE2:ILE69 IBI2:IBI69 HRM2:HRM69 HHQ2:HHQ69 GXU2:GXU69 GNY2:GNY69 GEC2:GEC69 FUG2:FUG69 FKK2:FKK69 FAO2:FAO69 EQS2:EQS69 EGW2:EGW69 DXA2:DXA69 DNE2:DNE69 DDI2:DDI69 CTM2:CTM69 CJQ2:CJQ69 BZU2:BZU69 BPY2:BPY69 BGC2:BGC69 AWG2:AWG69 AMK2:AMK69 ACO2:ACO69 SS2:SS69" xr:uid="{92492B5B-9543-42AC-A269-16ECE98BA16C}">
      <formula1>$AE$2:$AE$19</formula1>
    </dataValidation>
    <dataValidation type="list" allowBlank="1" showInputMessage="1" showErrorMessage="1" sqref="X64345:X64410 JT64345:JT64410 TP64345:TP64410 ADL64345:ADL64410 ANH64345:ANH64410 AXD64345:AXD64410 BGZ64345:BGZ64410 BQV64345:BQV64410 CAR64345:CAR64410 CKN64345:CKN64410 CUJ64345:CUJ64410 DEF64345:DEF64410 DOB64345:DOB64410 DXX64345:DXX64410 EHT64345:EHT64410 ERP64345:ERP64410 FBL64345:FBL64410 FLH64345:FLH64410 FVD64345:FVD64410 GEZ64345:GEZ64410 GOV64345:GOV64410 GYR64345:GYR64410 HIN64345:HIN64410 HSJ64345:HSJ64410 ICF64345:ICF64410 IMB64345:IMB64410 IVX64345:IVX64410 JFT64345:JFT64410 JPP64345:JPP64410 JZL64345:JZL64410 KJH64345:KJH64410 KTD64345:KTD64410 LCZ64345:LCZ64410 LMV64345:LMV64410 LWR64345:LWR64410 MGN64345:MGN64410 MQJ64345:MQJ64410 NAF64345:NAF64410 NKB64345:NKB64410 NTX64345:NTX64410 ODT64345:ODT64410 ONP64345:ONP64410 OXL64345:OXL64410 PHH64345:PHH64410 PRD64345:PRD64410 QAZ64345:QAZ64410 QKV64345:QKV64410 QUR64345:QUR64410 REN64345:REN64410 ROJ64345:ROJ64410 RYF64345:RYF64410 SIB64345:SIB64410 SRX64345:SRX64410 TBT64345:TBT64410 TLP64345:TLP64410 TVL64345:TVL64410 UFH64345:UFH64410 UPD64345:UPD64410 UYZ64345:UYZ64410 VIV64345:VIV64410 VSR64345:VSR64410 WCN64345:WCN64410 WMJ64345:WMJ64410 WWF64345:WWF64410 X129881:X129946 JT129881:JT129946 TP129881:TP129946 ADL129881:ADL129946 ANH129881:ANH129946 AXD129881:AXD129946 BGZ129881:BGZ129946 BQV129881:BQV129946 CAR129881:CAR129946 CKN129881:CKN129946 CUJ129881:CUJ129946 DEF129881:DEF129946 DOB129881:DOB129946 DXX129881:DXX129946 EHT129881:EHT129946 ERP129881:ERP129946 FBL129881:FBL129946 FLH129881:FLH129946 FVD129881:FVD129946 GEZ129881:GEZ129946 GOV129881:GOV129946 GYR129881:GYR129946 HIN129881:HIN129946 HSJ129881:HSJ129946 ICF129881:ICF129946 IMB129881:IMB129946 IVX129881:IVX129946 JFT129881:JFT129946 JPP129881:JPP129946 JZL129881:JZL129946 KJH129881:KJH129946 KTD129881:KTD129946 LCZ129881:LCZ129946 LMV129881:LMV129946 LWR129881:LWR129946 MGN129881:MGN129946 MQJ129881:MQJ129946 NAF129881:NAF129946 NKB129881:NKB129946 NTX129881:NTX129946 ODT129881:ODT129946 ONP129881:ONP129946 OXL129881:OXL129946 PHH129881:PHH129946 PRD129881:PRD129946 QAZ129881:QAZ129946 QKV129881:QKV129946 QUR129881:QUR129946 REN129881:REN129946 ROJ129881:ROJ129946 RYF129881:RYF129946 SIB129881:SIB129946 SRX129881:SRX129946 TBT129881:TBT129946 TLP129881:TLP129946 TVL129881:TVL129946 UFH129881:UFH129946 UPD129881:UPD129946 UYZ129881:UYZ129946 VIV129881:VIV129946 VSR129881:VSR129946 WCN129881:WCN129946 WMJ129881:WMJ129946 WWF129881:WWF129946 X195417:X195482 JT195417:JT195482 TP195417:TP195482 ADL195417:ADL195482 ANH195417:ANH195482 AXD195417:AXD195482 BGZ195417:BGZ195482 BQV195417:BQV195482 CAR195417:CAR195482 CKN195417:CKN195482 CUJ195417:CUJ195482 DEF195417:DEF195482 DOB195417:DOB195482 DXX195417:DXX195482 EHT195417:EHT195482 ERP195417:ERP195482 FBL195417:FBL195482 FLH195417:FLH195482 FVD195417:FVD195482 GEZ195417:GEZ195482 GOV195417:GOV195482 GYR195417:GYR195482 HIN195417:HIN195482 HSJ195417:HSJ195482 ICF195417:ICF195482 IMB195417:IMB195482 IVX195417:IVX195482 JFT195417:JFT195482 JPP195417:JPP195482 JZL195417:JZL195482 KJH195417:KJH195482 KTD195417:KTD195482 LCZ195417:LCZ195482 LMV195417:LMV195482 LWR195417:LWR195482 MGN195417:MGN195482 MQJ195417:MQJ195482 NAF195417:NAF195482 NKB195417:NKB195482 NTX195417:NTX195482 ODT195417:ODT195482 ONP195417:ONP195482 OXL195417:OXL195482 PHH195417:PHH195482 PRD195417:PRD195482 QAZ195417:QAZ195482 QKV195417:QKV195482 QUR195417:QUR195482 REN195417:REN195482 ROJ195417:ROJ195482 RYF195417:RYF195482 SIB195417:SIB195482 SRX195417:SRX195482 TBT195417:TBT195482 TLP195417:TLP195482 TVL195417:TVL195482 UFH195417:UFH195482 UPD195417:UPD195482 UYZ195417:UYZ195482 VIV195417:VIV195482 VSR195417:VSR195482 WCN195417:WCN195482 WMJ195417:WMJ195482 WWF195417:WWF195482 X260953:X261018 JT260953:JT261018 TP260953:TP261018 ADL260953:ADL261018 ANH260953:ANH261018 AXD260953:AXD261018 BGZ260953:BGZ261018 BQV260953:BQV261018 CAR260953:CAR261018 CKN260953:CKN261018 CUJ260953:CUJ261018 DEF260953:DEF261018 DOB260953:DOB261018 DXX260953:DXX261018 EHT260953:EHT261018 ERP260953:ERP261018 FBL260953:FBL261018 FLH260953:FLH261018 FVD260953:FVD261018 GEZ260953:GEZ261018 GOV260953:GOV261018 GYR260953:GYR261018 HIN260953:HIN261018 HSJ260953:HSJ261018 ICF260953:ICF261018 IMB260953:IMB261018 IVX260953:IVX261018 JFT260953:JFT261018 JPP260953:JPP261018 JZL260953:JZL261018 KJH260953:KJH261018 KTD260953:KTD261018 LCZ260953:LCZ261018 LMV260953:LMV261018 LWR260953:LWR261018 MGN260953:MGN261018 MQJ260953:MQJ261018 NAF260953:NAF261018 NKB260953:NKB261018 NTX260953:NTX261018 ODT260953:ODT261018 ONP260953:ONP261018 OXL260953:OXL261018 PHH260953:PHH261018 PRD260953:PRD261018 QAZ260953:QAZ261018 QKV260953:QKV261018 QUR260953:QUR261018 REN260953:REN261018 ROJ260953:ROJ261018 RYF260953:RYF261018 SIB260953:SIB261018 SRX260953:SRX261018 TBT260953:TBT261018 TLP260953:TLP261018 TVL260953:TVL261018 UFH260953:UFH261018 UPD260953:UPD261018 UYZ260953:UYZ261018 VIV260953:VIV261018 VSR260953:VSR261018 WCN260953:WCN261018 WMJ260953:WMJ261018 WWF260953:WWF261018 X326489:X326554 JT326489:JT326554 TP326489:TP326554 ADL326489:ADL326554 ANH326489:ANH326554 AXD326489:AXD326554 BGZ326489:BGZ326554 BQV326489:BQV326554 CAR326489:CAR326554 CKN326489:CKN326554 CUJ326489:CUJ326554 DEF326489:DEF326554 DOB326489:DOB326554 DXX326489:DXX326554 EHT326489:EHT326554 ERP326489:ERP326554 FBL326489:FBL326554 FLH326489:FLH326554 FVD326489:FVD326554 GEZ326489:GEZ326554 GOV326489:GOV326554 GYR326489:GYR326554 HIN326489:HIN326554 HSJ326489:HSJ326554 ICF326489:ICF326554 IMB326489:IMB326554 IVX326489:IVX326554 JFT326489:JFT326554 JPP326489:JPP326554 JZL326489:JZL326554 KJH326489:KJH326554 KTD326489:KTD326554 LCZ326489:LCZ326554 LMV326489:LMV326554 LWR326489:LWR326554 MGN326489:MGN326554 MQJ326489:MQJ326554 NAF326489:NAF326554 NKB326489:NKB326554 NTX326489:NTX326554 ODT326489:ODT326554 ONP326489:ONP326554 OXL326489:OXL326554 PHH326489:PHH326554 PRD326489:PRD326554 QAZ326489:QAZ326554 QKV326489:QKV326554 QUR326489:QUR326554 REN326489:REN326554 ROJ326489:ROJ326554 RYF326489:RYF326554 SIB326489:SIB326554 SRX326489:SRX326554 TBT326489:TBT326554 TLP326489:TLP326554 TVL326489:TVL326554 UFH326489:UFH326554 UPD326489:UPD326554 UYZ326489:UYZ326554 VIV326489:VIV326554 VSR326489:VSR326554 WCN326489:WCN326554 WMJ326489:WMJ326554 WWF326489:WWF326554 X392025:X392090 JT392025:JT392090 TP392025:TP392090 ADL392025:ADL392090 ANH392025:ANH392090 AXD392025:AXD392090 BGZ392025:BGZ392090 BQV392025:BQV392090 CAR392025:CAR392090 CKN392025:CKN392090 CUJ392025:CUJ392090 DEF392025:DEF392090 DOB392025:DOB392090 DXX392025:DXX392090 EHT392025:EHT392090 ERP392025:ERP392090 FBL392025:FBL392090 FLH392025:FLH392090 FVD392025:FVD392090 GEZ392025:GEZ392090 GOV392025:GOV392090 GYR392025:GYR392090 HIN392025:HIN392090 HSJ392025:HSJ392090 ICF392025:ICF392090 IMB392025:IMB392090 IVX392025:IVX392090 JFT392025:JFT392090 JPP392025:JPP392090 JZL392025:JZL392090 KJH392025:KJH392090 KTD392025:KTD392090 LCZ392025:LCZ392090 LMV392025:LMV392090 LWR392025:LWR392090 MGN392025:MGN392090 MQJ392025:MQJ392090 NAF392025:NAF392090 NKB392025:NKB392090 NTX392025:NTX392090 ODT392025:ODT392090 ONP392025:ONP392090 OXL392025:OXL392090 PHH392025:PHH392090 PRD392025:PRD392090 QAZ392025:QAZ392090 QKV392025:QKV392090 QUR392025:QUR392090 REN392025:REN392090 ROJ392025:ROJ392090 RYF392025:RYF392090 SIB392025:SIB392090 SRX392025:SRX392090 TBT392025:TBT392090 TLP392025:TLP392090 TVL392025:TVL392090 UFH392025:UFH392090 UPD392025:UPD392090 UYZ392025:UYZ392090 VIV392025:VIV392090 VSR392025:VSR392090 WCN392025:WCN392090 WMJ392025:WMJ392090 WWF392025:WWF392090 X457561:X457626 JT457561:JT457626 TP457561:TP457626 ADL457561:ADL457626 ANH457561:ANH457626 AXD457561:AXD457626 BGZ457561:BGZ457626 BQV457561:BQV457626 CAR457561:CAR457626 CKN457561:CKN457626 CUJ457561:CUJ457626 DEF457561:DEF457626 DOB457561:DOB457626 DXX457561:DXX457626 EHT457561:EHT457626 ERP457561:ERP457626 FBL457561:FBL457626 FLH457561:FLH457626 FVD457561:FVD457626 GEZ457561:GEZ457626 GOV457561:GOV457626 GYR457561:GYR457626 HIN457561:HIN457626 HSJ457561:HSJ457626 ICF457561:ICF457626 IMB457561:IMB457626 IVX457561:IVX457626 JFT457561:JFT457626 JPP457561:JPP457626 JZL457561:JZL457626 KJH457561:KJH457626 KTD457561:KTD457626 LCZ457561:LCZ457626 LMV457561:LMV457626 LWR457561:LWR457626 MGN457561:MGN457626 MQJ457561:MQJ457626 NAF457561:NAF457626 NKB457561:NKB457626 NTX457561:NTX457626 ODT457561:ODT457626 ONP457561:ONP457626 OXL457561:OXL457626 PHH457561:PHH457626 PRD457561:PRD457626 QAZ457561:QAZ457626 QKV457561:QKV457626 QUR457561:QUR457626 REN457561:REN457626 ROJ457561:ROJ457626 RYF457561:RYF457626 SIB457561:SIB457626 SRX457561:SRX457626 TBT457561:TBT457626 TLP457561:TLP457626 TVL457561:TVL457626 UFH457561:UFH457626 UPD457561:UPD457626 UYZ457561:UYZ457626 VIV457561:VIV457626 VSR457561:VSR457626 WCN457561:WCN457626 WMJ457561:WMJ457626 WWF457561:WWF457626 X523097:X523162 JT523097:JT523162 TP523097:TP523162 ADL523097:ADL523162 ANH523097:ANH523162 AXD523097:AXD523162 BGZ523097:BGZ523162 BQV523097:BQV523162 CAR523097:CAR523162 CKN523097:CKN523162 CUJ523097:CUJ523162 DEF523097:DEF523162 DOB523097:DOB523162 DXX523097:DXX523162 EHT523097:EHT523162 ERP523097:ERP523162 FBL523097:FBL523162 FLH523097:FLH523162 FVD523097:FVD523162 GEZ523097:GEZ523162 GOV523097:GOV523162 GYR523097:GYR523162 HIN523097:HIN523162 HSJ523097:HSJ523162 ICF523097:ICF523162 IMB523097:IMB523162 IVX523097:IVX523162 JFT523097:JFT523162 JPP523097:JPP523162 JZL523097:JZL523162 KJH523097:KJH523162 KTD523097:KTD523162 LCZ523097:LCZ523162 LMV523097:LMV523162 LWR523097:LWR523162 MGN523097:MGN523162 MQJ523097:MQJ523162 NAF523097:NAF523162 NKB523097:NKB523162 NTX523097:NTX523162 ODT523097:ODT523162 ONP523097:ONP523162 OXL523097:OXL523162 PHH523097:PHH523162 PRD523097:PRD523162 QAZ523097:QAZ523162 QKV523097:QKV523162 QUR523097:QUR523162 REN523097:REN523162 ROJ523097:ROJ523162 RYF523097:RYF523162 SIB523097:SIB523162 SRX523097:SRX523162 TBT523097:TBT523162 TLP523097:TLP523162 TVL523097:TVL523162 UFH523097:UFH523162 UPD523097:UPD523162 UYZ523097:UYZ523162 VIV523097:VIV523162 VSR523097:VSR523162 WCN523097:WCN523162 WMJ523097:WMJ523162 WWF523097:WWF523162 X588633:X588698 JT588633:JT588698 TP588633:TP588698 ADL588633:ADL588698 ANH588633:ANH588698 AXD588633:AXD588698 BGZ588633:BGZ588698 BQV588633:BQV588698 CAR588633:CAR588698 CKN588633:CKN588698 CUJ588633:CUJ588698 DEF588633:DEF588698 DOB588633:DOB588698 DXX588633:DXX588698 EHT588633:EHT588698 ERP588633:ERP588698 FBL588633:FBL588698 FLH588633:FLH588698 FVD588633:FVD588698 GEZ588633:GEZ588698 GOV588633:GOV588698 GYR588633:GYR588698 HIN588633:HIN588698 HSJ588633:HSJ588698 ICF588633:ICF588698 IMB588633:IMB588698 IVX588633:IVX588698 JFT588633:JFT588698 JPP588633:JPP588698 JZL588633:JZL588698 KJH588633:KJH588698 KTD588633:KTD588698 LCZ588633:LCZ588698 LMV588633:LMV588698 LWR588633:LWR588698 MGN588633:MGN588698 MQJ588633:MQJ588698 NAF588633:NAF588698 NKB588633:NKB588698 NTX588633:NTX588698 ODT588633:ODT588698 ONP588633:ONP588698 OXL588633:OXL588698 PHH588633:PHH588698 PRD588633:PRD588698 QAZ588633:QAZ588698 QKV588633:QKV588698 QUR588633:QUR588698 REN588633:REN588698 ROJ588633:ROJ588698 RYF588633:RYF588698 SIB588633:SIB588698 SRX588633:SRX588698 TBT588633:TBT588698 TLP588633:TLP588698 TVL588633:TVL588698 UFH588633:UFH588698 UPD588633:UPD588698 UYZ588633:UYZ588698 VIV588633:VIV588698 VSR588633:VSR588698 WCN588633:WCN588698 WMJ588633:WMJ588698 WWF588633:WWF588698 X654169:X654234 JT654169:JT654234 TP654169:TP654234 ADL654169:ADL654234 ANH654169:ANH654234 AXD654169:AXD654234 BGZ654169:BGZ654234 BQV654169:BQV654234 CAR654169:CAR654234 CKN654169:CKN654234 CUJ654169:CUJ654234 DEF654169:DEF654234 DOB654169:DOB654234 DXX654169:DXX654234 EHT654169:EHT654234 ERP654169:ERP654234 FBL654169:FBL654234 FLH654169:FLH654234 FVD654169:FVD654234 GEZ654169:GEZ654234 GOV654169:GOV654234 GYR654169:GYR654234 HIN654169:HIN654234 HSJ654169:HSJ654234 ICF654169:ICF654234 IMB654169:IMB654234 IVX654169:IVX654234 JFT654169:JFT654234 JPP654169:JPP654234 JZL654169:JZL654234 KJH654169:KJH654234 KTD654169:KTD654234 LCZ654169:LCZ654234 LMV654169:LMV654234 LWR654169:LWR654234 MGN654169:MGN654234 MQJ654169:MQJ654234 NAF654169:NAF654234 NKB654169:NKB654234 NTX654169:NTX654234 ODT654169:ODT654234 ONP654169:ONP654234 OXL654169:OXL654234 PHH654169:PHH654234 PRD654169:PRD654234 QAZ654169:QAZ654234 QKV654169:QKV654234 QUR654169:QUR654234 REN654169:REN654234 ROJ654169:ROJ654234 RYF654169:RYF654234 SIB654169:SIB654234 SRX654169:SRX654234 TBT654169:TBT654234 TLP654169:TLP654234 TVL654169:TVL654234 UFH654169:UFH654234 UPD654169:UPD654234 UYZ654169:UYZ654234 VIV654169:VIV654234 VSR654169:VSR654234 WCN654169:WCN654234 WMJ654169:WMJ654234 WWF654169:WWF654234 X719705:X719770 JT719705:JT719770 TP719705:TP719770 ADL719705:ADL719770 ANH719705:ANH719770 AXD719705:AXD719770 BGZ719705:BGZ719770 BQV719705:BQV719770 CAR719705:CAR719770 CKN719705:CKN719770 CUJ719705:CUJ719770 DEF719705:DEF719770 DOB719705:DOB719770 DXX719705:DXX719770 EHT719705:EHT719770 ERP719705:ERP719770 FBL719705:FBL719770 FLH719705:FLH719770 FVD719705:FVD719770 GEZ719705:GEZ719770 GOV719705:GOV719770 GYR719705:GYR719770 HIN719705:HIN719770 HSJ719705:HSJ719770 ICF719705:ICF719770 IMB719705:IMB719770 IVX719705:IVX719770 JFT719705:JFT719770 JPP719705:JPP719770 JZL719705:JZL719770 KJH719705:KJH719770 KTD719705:KTD719770 LCZ719705:LCZ719770 LMV719705:LMV719770 LWR719705:LWR719770 MGN719705:MGN719770 MQJ719705:MQJ719770 NAF719705:NAF719770 NKB719705:NKB719770 NTX719705:NTX719770 ODT719705:ODT719770 ONP719705:ONP719770 OXL719705:OXL719770 PHH719705:PHH719770 PRD719705:PRD719770 QAZ719705:QAZ719770 QKV719705:QKV719770 QUR719705:QUR719770 REN719705:REN719770 ROJ719705:ROJ719770 RYF719705:RYF719770 SIB719705:SIB719770 SRX719705:SRX719770 TBT719705:TBT719770 TLP719705:TLP719770 TVL719705:TVL719770 UFH719705:UFH719770 UPD719705:UPD719770 UYZ719705:UYZ719770 VIV719705:VIV719770 VSR719705:VSR719770 WCN719705:WCN719770 WMJ719705:WMJ719770 WWF719705:WWF719770 X785241:X785306 JT785241:JT785306 TP785241:TP785306 ADL785241:ADL785306 ANH785241:ANH785306 AXD785241:AXD785306 BGZ785241:BGZ785306 BQV785241:BQV785306 CAR785241:CAR785306 CKN785241:CKN785306 CUJ785241:CUJ785306 DEF785241:DEF785306 DOB785241:DOB785306 DXX785241:DXX785306 EHT785241:EHT785306 ERP785241:ERP785306 FBL785241:FBL785306 FLH785241:FLH785306 FVD785241:FVD785306 GEZ785241:GEZ785306 GOV785241:GOV785306 GYR785241:GYR785306 HIN785241:HIN785306 HSJ785241:HSJ785306 ICF785241:ICF785306 IMB785241:IMB785306 IVX785241:IVX785306 JFT785241:JFT785306 JPP785241:JPP785306 JZL785241:JZL785306 KJH785241:KJH785306 KTD785241:KTD785306 LCZ785241:LCZ785306 LMV785241:LMV785306 LWR785241:LWR785306 MGN785241:MGN785306 MQJ785241:MQJ785306 NAF785241:NAF785306 NKB785241:NKB785306 NTX785241:NTX785306 ODT785241:ODT785306 ONP785241:ONP785306 OXL785241:OXL785306 PHH785241:PHH785306 PRD785241:PRD785306 QAZ785241:QAZ785306 QKV785241:QKV785306 QUR785241:QUR785306 REN785241:REN785306 ROJ785241:ROJ785306 RYF785241:RYF785306 SIB785241:SIB785306 SRX785241:SRX785306 TBT785241:TBT785306 TLP785241:TLP785306 TVL785241:TVL785306 UFH785241:UFH785306 UPD785241:UPD785306 UYZ785241:UYZ785306 VIV785241:VIV785306 VSR785241:VSR785306 WCN785241:WCN785306 WMJ785241:WMJ785306 WWF785241:WWF785306 X850777:X850842 JT850777:JT850842 TP850777:TP850842 ADL850777:ADL850842 ANH850777:ANH850842 AXD850777:AXD850842 BGZ850777:BGZ850842 BQV850777:BQV850842 CAR850777:CAR850842 CKN850777:CKN850842 CUJ850777:CUJ850842 DEF850777:DEF850842 DOB850777:DOB850842 DXX850777:DXX850842 EHT850777:EHT850842 ERP850777:ERP850842 FBL850777:FBL850842 FLH850777:FLH850842 FVD850777:FVD850842 GEZ850777:GEZ850842 GOV850777:GOV850842 GYR850777:GYR850842 HIN850777:HIN850842 HSJ850777:HSJ850842 ICF850777:ICF850842 IMB850777:IMB850842 IVX850777:IVX850842 JFT850777:JFT850842 JPP850777:JPP850842 JZL850777:JZL850842 KJH850777:KJH850842 KTD850777:KTD850842 LCZ850777:LCZ850842 LMV850777:LMV850842 LWR850777:LWR850842 MGN850777:MGN850842 MQJ850777:MQJ850842 NAF850777:NAF850842 NKB850777:NKB850842 NTX850777:NTX850842 ODT850777:ODT850842 ONP850777:ONP850842 OXL850777:OXL850842 PHH850777:PHH850842 PRD850777:PRD850842 QAZ850777:QAZ850842 QKV850777:QKV850842 QUR850777:QUR850842 REN850777:REN850842 ROJ850777:ROJ850842 RYF850777:RYF850842 SIB850777:SIB850842 SRX850777:SRX850842 TBT850777:TBT850842 TLP850777:TLP850842 TVL850777:TVL850842 UFH850777:UFH850842 UPD850777:UPD850842 UYZ850777:UYZ850842 VIV850777:VIV850842 VSR850777:VSR850842 WCN850777:WCN850842 WMJ850777:WMJ850842 WWF850777:WWF850842 X916313:X916378 JT916313:JT916378 TP916313:TP916378 ADL916313:ADL916378 ANH916313:ANH916378 AXD916313:AXD916378 BGZ916313:BGZ916378 BQV916313:BQV916378 CAR916313:CAR916378 CKN916313:CKN916378 CUJ916313:CUJ916378 DEF916313:DEF916378 DOB916313:DOB916378 DXX916313:DXX916378 EHT916313:EHT916378 ERP916313:ERP916378 FBL916313:FBL916378 FLH916313:FLH916378 FVD916313:FVD916378 GEZ916313:GEZ916378 GOV916313:GOV916378 GYR916313:GYR916378 HIN916313:HIN916378 HSJ916313:HSJ916378 ICF916313:ICF916378 IMB916313:IMB916378 IVX916313:IVX916378 JFT916313:JFT916378 JPP916313:JPP916378 JZL916313:JZL916378 KJH916313:KJH916378 KTD916313:KTD916378 LCZ916313:LCZ916378 LMV916313:LMV916378 LWR916313:LWR916378 MGN916313:MGN916378 MQJ916313:MQJ916378 NAF916313:NAF916378 NKB916313:NKB916378 NTX916313:NTX916378 ODT916313:ODT916378 ONP916313:ONP916378 OXL916313:OXL916378 PHH916313:PHH916378 PRD916313:PRD916378 QAZ916313:QAZ916378 QKV916313:QKV916378 QUR916313:QUR916378 REN916313:REN916378 ROJ916313:ROJ916378 RYF916313:RYF916378 SIB916313:SIB916378 SRX916313:SRX916378 TBT916313:TBT916378 TLP916313:TLP916378 TVL916313:TVL916378 UFH916313:UFH916378 UPD916313:UPD916378 UYZ916313:UYZ916378 VIV916313:VIV916378 VSR916313:VSR916378 WCN916313:WCN916378 WMJ916313:WMJ916378 WWF916313:WWF916378 X981849:X981914 JT981849:JT981914 TP981849:TP981914 ADL981849:ADL981914 ANH981849:ANH981914 AXD981849:AXD981914 BGZ981849:BGZ981914 BQV981849:BQV981914 CAR981849:CAR981914 CKN981849:CKN981914 CUJ981849:CUJ981914 DEF981849:DEF981914 DOB981849:DOB981914 DXX981849:DXX981914 EHT981849:EHT981914 ERP981849:ERP981914 FBL981849:FBL981914 FLH981849:FLH981914 FVD981849:FVD981914 GEZ981849:GEZ981914 GOV981849:GOV981914 GYR981849:GYR981914 HIN981849:HIN981914 HSJ981849:HSJ981914 ICF981849:ICF981914 IMB981849:IMB981914 IVX981849:IVX981914 JFT981849:JFT981914 JPP981849:JPP981914 JZL981849:JZL981914 KJH981849:KJH981914 KTD981849:KTD981914 LCZ981849:LCZ981914 LMV981849:LMV981914 LWR981849:LWR981914 MGN981849:MGN981914 MQJ981849:MQJ981914 NAF981849:NAF981914 NKB981849:NKB981914 NTX981849:NTX981914 ODT981849:ODT981914 ONP981849:ONP981914 OXL981849:OXL981914 PHH981849:PHH981914 PRD981849:PRD981914 QAZ981849:QAZ981914 QKV981849:QKV981914 QUR981849:QUR981914 REN981849:REN981914 ROJ981849:ROJ981914 RYF981849:RYF981914 SIB981849:SIB981914 SRX981849:SRX981914 TBT981849:TBT981914 TLP981849:TLP981914 TVL981849:TVL981914 UFH981849:UFH981914 UPD981849:UPD981914 UYZ981849:UYZ981914 VIV981849:VIV981914 VSR981849:VSR981914 WCN981849:WCN981914 WMJ981849:WMJ981914 WWF981849:WWF981914 X1047385:X1047450 JT1047385:JT1047450 TP1047385:TP1047450 ADL1047385:ADL1047450 ANH1047385:ANH1047450 AXD1047385:AXD1047450 BGZ1047385:BGZ1047450 BQV1047385:BQV1047450 CAR1047385:CAR1047450 CKN1047385:CKN1047450 CUJ1047385:CUJ1047450 DEF1047385:DEF1047450 DOB1047385:DOB1047450 DXX1047385:DXX1047450 EHT1047385:EHT1047450 ERP1047385:ERP1047450 FBL1047385:FBL1047450 FLH1047385:FLH1047450 FVD1047385:FVD1047450 GEZ1047385:GEZ1047450 GOV1047385:GOV1047450 GYR1047385:GYR1047450 HIN1047385:HIN1047450 HSJ1047385:HSJ1047450 ICF1047385:ICF1047450 IMB1047385:IMB1047450 IVX1047385:IVX1047450 JFT1047385:JFT1047450 JPP1047385:JPP1047450 JZL1047385:JZL1047450 KJH1047385:KJH1047450 KTD1047385:KTD1047450 LCZ1047385:LCZ1047450 LMV1047385:LMV1047450 LWR1047385:LWR1047450 MGN1047385:MGN1047450 MQJ1047385:MQJ1047450 NAF1047385:NAF1047450 NKB1047385:NKB1047450 NTX1047385:NTX1047450 ODT1047385:ODT1047450 ONP1047385:ONP1047450 OXL1047385:OXL1047450 PHH1047385:PHH1047450 PRD1047385:PRD1047450 QAZ1047385:QAZ1047450 QKV1047385:QKV1047450 QUR1047385:QUR1047450 REN1047385:REN1047450 ROJ1047385:ROJ1047450 RYF1047385:RYF1047450 SIB1047385:SIB1047450 SRX1047385:SRX1047450 TBT1047385:TBT1047450 TLP1047385:TLP1047450 TVL1047385:TVL1047450 UFH1047385:UFH1047450 UPD1047385:UPD1047450 UYZ1047385:UYZ1047450 VIV1047385:VIV1047450 VSR1047385:VSR1047450 WCN1047385:WCN1047450 WMJ1047385:WMJ1047450 WWF1047385:WWF1047450 WWF983024:WWF983089 X65520:X65585 JT65520:JT65585 TP65520:TP65585 ADL65520:ADL65585 ANH65520:ANH65585 AXD65520:AXD65585 BGZ65520:BGZ65585 BQV65520:BQV65585 CAR65520:CAR65585 CKN65520:CKN65585 CUJ65520:CUJ65585 DEF65520:DEF65585 DOB65520:DOB65585 DXX65520:DXX65585 EHT65520:EHT65585 ERP65520:ERP65585 FBL65520:FBL65585 FLH65520:FLH65585 FVD65520:FVD65585 GEZ65520:GEZ65585 GOV65520:GOV65585 GYR65520:GYR65585 HIN65520:HIN65585 HSJ65520:HSJ65585 ICF65520:ICF65585 IMB65520:IMB65585 IVX65520:IVX65585 JFT65520:JFT65585 JPP65520:JPP65585 JZL65520:JZL65585 KJH65520:KJH65585 KTD65520:KTD65585 LCZ65520:LCZ65585 LMV65520:LMV65585 LWR65520:LWR65585 MGN65520:MGN65585 MQJ65520:MQJ65585 NAF65520:NAF65585 NKB65520:NKB65585 NTX65520:NTX65585 ODT65520:ODT65585 ONP65520:ONP65585 OXL65520:OXL65585 PHH65520:PHH65585 PRD65520:PRD65585 QAZ65520:QAZ65585 QKV65520:QKV65585 QUR65520:QUR65585 REN65520:REN65585 ROJ65520:ROJ65585 RYF65520:RYF65585 SIB65520:SIB65585 SRX65520:SRX65585 TBT65520:TBT65585 TLP65520:TLP65585 TVL65520:TVL65585 UFH65520:UFH65585 UPD65520:UPD65585 UYZ65520:UYZ65585 VIV65520:VIV65585 VSR65520:VSR65585 WCN65520:WCN65585 WMJ65520:WMJ65585 WWF65520:WWF65585 X131056:X131121 JT131056:JT131121 TP131056:TP131121 ADL131056:ADL131121 ANH131056:ANH131121 AXD131056:AXD131121 BGZ131056:BGZ131121 BQV131056:BQV131121 CAR131056:CAR131121 CKN131056:CKN131121 CUJ131056:CUJ131121 DEF131056:DEF131121 DOB131056:DOB131121 DXX131056:DXX131121 EHT131056:EHT131121 ERP131056:ERP131121 FBL131056:FBL131121 FLH131056:FLH131121 FVD131056:FVD131121 GEZ131056:GEZ131121 GOV131056:GOV131121 GYR131056:GYR131121 HIN131056:HIN131121 HSJ131056:HSJ131121 ICF131056:ICF131121 IMB131056:IMB131121 IVX131056:IVX131121 JFT131056:JFT131121 JPP131056:JPP131121 JZL131056:JZL131121 KJH131056:KJH131121 KTD131056:KTD131121 LCZ131056:LCZ131121 LMV131056:LMV131121 LWR131056:LWR131121 MGN131056:MGN131121 MQJ131056:MQJ131121 NAF131056:NAF131121 NKB131056:NKB131121 NTX131056:NTX131121 ODT131056:ODT131121 ONP131056:ONP131121 OXL131056:OXL131121 PHH131056:PHH131121 PRD131056:PRD131121 QAZ131056:QAZ131121 QKV131056:QKV131121 QUR131056:QUR131121 REN131056:REN131121 ROJ131056:ROJ131121 RYF131056:RYF131121 SIB131056:SIB131121 SRX131056:SRX131121 TBT131056:TBT131121 TLP131056:TLP131121 TVL131056:TVL131121 UFH131056:UFH131121 UPD131056:UPD131121 UYZ131056:UYZ131121 VIV131056:VIV131121 VSR131056:VSR131121 WCN131056:WCN131121 WMJ131056:WMJ131121 WWF131056:WWF131121 X196592:X196657 JT196592:JT196657 TP196592:TP196657 ADL196592:ADL196657 ANH196592:ANH196657 AXD196592:AXD196657 BGZ196592:BGZ196657 BQV196592:BQV196657 CAR196592:CAR196657 CKN196592:CKN196657 CUJ196592:CUJ196657 DEF196592:DEF196657 DOB196592:DOB196657 DXX196592:DXX196657 EHT196592:EHT196657 ERP196592:ERP196657 FBL196592:FBL196657 FLH196592:FLH196657 FVD196592:FVD196657 GEZ196592:GEZ196657 GOV196592:GOV196657 GYR196592:GYR196657 HIN196592:HIN196657 HSJ196592:HSJ196657 ICF196592:ICF196657 IMB196592:IMB196657 IVX196592:IVX196657 JFT196592:JFT196657 JPP196592:JPP196657 JZL196592:JZL196657 KJH196592:KJH196657 KTD196592:KTD196657 LCZ196592:LCZ196657 LMV196592:LMV196657 LWR196592:LWR196657 MGN196592:MGN196657 MQJ196592:MQJ196657 NAF196592:NAF196657 NKB196592:NKB196657 NTX196592:NTX196657 ODT196592:ODT196657 ONP196592:ONP196657 OXL196592:OXL196657 PHH196592:PHH196657 PRD196592:PRD196657 QAZ196592:QAZ196657 QKV196592:QKV196657 QUR196592:QUR196657 REN196592:REN196657 ROJ196592:ROJ196657 RYF196592:RYF196657 SIB196592:SIB196657 SRX196592:SRX196657 TBT196592:TBT196657 TLP196592:TLP196657 TVL196592:TVL196657 UFH196592:UFH196657 UPD196592:UPD196657 UYZ196592:UYZ196657 VIV196592:VIV196657 VSR196592:VSR196657 WCN196592:WCN196657 WMJ196592:WMJ196657 WWF196592:WWF196657 X262128:X262193 JT262128:JT262193 TP262128:TP262193 ADL262128:ADL262193 ANH262128:ANH262193 AXD262128:AXD262193 BGZ262128:BGZ262193 BQV262128:BQV262193 CAR262128:CAR262193 CKN262128:CKN262193 CUJ262128:CUJ262193 DEF262128:DEF262193 DOB262128:DOB262193 DXX262128:DXX262193 EHT262128:EHT262193 ERP262128:ERP262193 FBL262128:FBL262193 FLH262128:FLH262193 FVD262128:FVD262193 GEZ262128:GEZ262193 GOV262128:GOV262193 GYR262128:GYR262193 HIN262128:HIN262193 HSJ262128:HSJ262193 ICF262128:ICF262193 IMB262128:IMB262193 IVX262128:IVX262193 JFT262128:JFT262193 JPP262128:JPP262193 JZL262128:JZL262193 KJH262128:KJH262193 KTD262128:KTD262193 LCZ262128:LCZ262193 LMV262128:LMV262193 LWR262128:LWR262193 MGN262128:MGN262193 MQJ262128:MQJ262193 NAF262128:NAF262193 NKB262128:NKB262193 NTX262128:NTX262193 ODT262128:ODT262193 ONP262128:ONP262193 OXL262128:OXL262193 PHH262128:PHH262193 PRD262128:PRD262193 QAZ262128:QAZ262193 QKV262128:QKV262193 QUR262128:QUR262193 REN262128:REN262193 ROJ262128:ROJ262193 RYF262128:RYF262193 SIB262128:SIB262193 SRX262128:SRX262193 TBT262128:TBT262193 TLP262128:TLP262193 TVL262128:TVL262193 UFH262128:UFH262193 UPD262128:UPD262193 UYZ262128:UYZ262193 VIV262128:VIV262193 VSR262128:VSR262193 WCN262128:WCN262193 WMJ262128:WMJ262193 WWF262128:WWF262193 X327664:X327729 JT327664:JT327729 TP327664:TP327729 ADL327664:ADL327729 ANH327664:ANH327729 AXD327664:AXD327729 BGZ327664:BGZ327729 BQV327664:BQV327729 CAR327664:CAR327729 CKN327664:CKN327729 CUJ327664:CUJ327729 DEF327664:DEF327729 DOB327664:DOB327729 DXX327664:DXX327729 EHT327664:EHT327729 ERP327664:ERP327729 FBL327664:FBL327729 FLH327664:FLH327729 FVD327664:FVD327729 GEZ327664:GEZ327729 GOV327664:GOV327729 GYR327664:GYR327729 HIN327664:HIN327729 HSJ327664:HSJ327729 ICF327664:ICF327729 IMB327664:IMB327729 IVX327664:IVX327729 JFT327664:JFT327729 JPP327664:JPP327729 JZL327664:JZL327729 KJH327664:KJH327729 KTD327664:KTD327729 LCZ327664:LCZ327729 LMV327664:LMV327729 LWR327664:LWR327729 MGN327664:MGN327729 MQJ327664:MQJ327729 NAF327664:NAF327729 NKB327664:NKB327729 NTX327664:NTX327729 ODT327664:ODT327729 ONP327664:ONP327729 OXL327664:OXL327729 PHH327664:PHH327729 PRD327664:PRD327729 QAZ327664:QAZ327729 QKV327664:QKV327729 QUR327664:QUR327729 REN327664:REN327729 ROJ327664:ROJ327729 RYF327664:RYF327729 SIB327664:SIB327729 SRX327664:SRX327729 TBT327664:TBT327729 TLP327664:TLP327729 TVL327664:TVL327729 UFH327664:UFH327729 UPD327664:UPD327729 UYZ327664:UYZ327729 VIV327664:VIV327729 VSR327664:VSR327729 WCN327664:WCN327729 WMJ327664:WMJ327729 WWF327664:WWF327729 X393200:X393265 JT393200:JT393265 TP393200:TP393265 ADL393200:ADL393265 ANH393200:ANH393265 AXD393200:AXD393265 BGZ393200:BGZ393265 BQV393200:BQV393265 CAR393200:CAR393265 CKN393200:CKN393265 CUJ393200:CUJ393265 DEF393200:DEF393265 DOB393200:DOB393265 DXX393200:DXX393265 EHT393200:EHT393265 ERP393200:ERP393265 FBL393200:FBL393265 FLH393200:FLH393265 FVD393200:FVD393265 GEZ393200:GEZ393265 GOV393200:GOV393265 GYR393200:GYR393265 HIN393200:HIN393265 HSJ393200:HSJ393265 ICF393200:ICF393265 IMB393200:IMB393265 IVX393200:IVX393265 JFT393200:JFT393265 JPP393200:JPP393265 JZL393200:JZL393265 KJH393200:KJH393265 KTD393200:KTD393265 LCZ393200:LCZ393265 LMV393200:LMV393265 LWR393200:LWR393265 MGN393200:MGN393265 MQJ393200:MQJ393265 NAF393200:NAF393265 NKB393200:NKB393265 NTX393200:NTX393265 ODT393200:ODT393265 ONP393200:ONP393265 OXL393200:OXL393265 PHH393200:PHH393265 PRD393200:PRD393265 QAZ393200:QAZ393265 QKV393200:QKV393265 QUR393200:QUR393265 REN393200:REN393265 ROJ393200:ROJ393265 RYF393200:RYF393265 SIB393200:SIB393265 SRX393200:SRX393265 TBT393200:TBT393265 TLP393200:TLP393265 TVL393200:TVL393265 UFH393200:UFH393265 UPD393200:UPD393265 UYZ393200:UYZ393265 VIV393200:VIV393265 VSR393200:VSR393265 WCN393200:WCN393265 WMJ393200:WMJ393265 WWF393200:WWF393265 X458736:X458801 JT458736:JT458801 TP458736:TP458801 ADL458736:ADL458801 ANH458736:ANH458801 AXD458736:AXD458801 BGZ458736:BGZ458801 BQV458736:BQV458801 CAR458736:CAR458801 CKN458736:CKN458801 CUJ458736:CUJ458801 DEF458736:DEF458801 DOB458736:DOB458801 DXX458736:DXX458801 EHT458736:EHT458801 ERP458736:ERP458801 FBL458736:FBL458801 FLH458736:FLH458801 FVD458736:FVD458801 GEZ458736:GEZ458801 GOV458736:GOV458801 GYR458736:GYR458801 HIN458736:HIN458801 HSJ458736:HSJ458801 ICF458736:ICF458801 IMB458736:IMB458801 IVX458736:IVX458801 JFT458736:JFT458801 JPP458736:JPP458801 JZL458736:JZL458801 KJH458736:KJH458801 KTD458736:KTD458801 LCZ458736:LCZ458801 LMV458736:LMV458801 LWR458736:LWR458801 MGN458736:MGN458801 MQJ458736:MQJ458801 NAF458736:NAF458801 NKB458736:NKB458801 NTX458736:NTX458801 ODT458736:ODT458801 ONP458736:ONP458801 OXL458736:OXL458801 PHH458736:PHH458801 PRD458736:PRD458801 QAZ458736:QAZ458801 QKV458736:QKV458801 QUR458736:QUR458801 REN458736:REN458801 ROJ458736:ROJ458801 RYF458736:RYF458801 SIB458736:SIB458801 SRX458736:SRX458801 TBT458736:TBT458801 TLP458736:TLP458801 TVL458736:TVL458801 UFH458736:UFH458801 UPD458736:UPD458801 UYZ458736:UYZ458801 VIV458736:VIV458801 VSR458736:VSR458801 WCN458736:WCN458801 WMJ458736:WMJ458801 WWF458736:WWF458801 X524272:X524337 JT524272:JT524337 TP524272:TP524337 ADL524272:ADL524337 ANH524272:ANH524337 AXD524272:AXD524337 BGZ524272:BGZ524337 BQV524272:BQV524337 CAR524272:CAR524337 CKN524272:CKN524337 CUJ524272:CUJ524337 DEF524272:DEF524337 DOB524272:DOB524337 DXX524272:DXX524337 EHT524272:EHT524337 ERP524272:ERP524337 FBL524272:FBL524337 FLH524272:FLH524337 FVD524272:FVD524337 GEZ524272:GEZ524337 GOV524272:GOV524337 GYR524272:GYR524337 HIN524272:HIN524337 HSJ524272:HSJ524337 ICF524272:ICF524337 IMB524272:IMB524337 IVX524272:IVX524337 JFT524272:JFT524337 JPP524272:JPP524337 JZL524272:JZL524337 KJH524272:KJH524337 KTD524272:KTD524337 LCZ524272:LCZ524337 LMV524272:LMV524337 LWR524272:LWR524337 MGN524272:MGN524337 MQJ524272:MQJ524337 NAF524272:NAF524337 NKB524272:NKB524337 NTX524272:NTX524337 ODT524272:ODT524337 ONP524272:ONP524337 OXL524272:OXL524337 PHH524272:PHH524337 PRD524272:PRD524337 QAZ524272:QAZ524337 QKV524272:QKV524337 QUR524272:QUR524337 REN524272:REN524337 ROJ524272:ROJ524337 RYF524272:RYF524337 SIB524272:SIB524337 SRX524272:SRX524337 TBT524272:TBT524337 TLP524272:TLP524337 TVL524272:TVL524337 UFH524272:UFH524337 UPD524272:UPD524337 UYZ524272:UYZ524337 VIV524272:VIV524337 VSR524272:VSR524337 WCN524272:WCN524337 WMJ524272:WMJ524337 WWF524272:WWF524337 X589808:X589873 JT589808:JT589873 TP589808:TP589873 ADL589808:ADL589873 ANH589808:ANH589873 AXD589808:AXD589873 BGZ589808:BGZ589873 BQV589808:BQV589873 CAR589808:CAR589873 CKN589808:CKN589873 CUJ589808:CUJ589873 DEF589808:DEF589873 DOB589808:DOB589873 DXX589808:DXX589873 EHT589808:EHT589873 ERP589808:ERP589873 FBL589808:FBL589873 FLH589808:FLH589873 FVD589808:FVD589873 GEZ589808:GEZ589873 GOV589808:GOV589873 GYR589808:GYR589873 HIN589808:HIN589873 HSJ589808:HSJ589873 ICF589808:ICF589873 IMB589808:IMB589873 IVX589808:IVX589873 JFT589808:JFT589873 JPP589808:JPP589873 JZL589808:JZL589873 KJH589808:KJH589873 KTD589808:KTD589873 LCZ589808:LCZ589873 LMV589808:LMV589873 LWR589808:LWR589873 MGN589808:MGN589873 MQJ589808:MQJ589873 NAF589808:NAF589873 NKB589808:NKB589873 NTX589808:NTX589873 ODT589808:ODT589873 ONP589808:ONP589873 OXL589808:OXL589873 PHH589808:PHH589873 PRD589808:PRD589873 QAZ589808:QAZ589873 QKV589808:QKV589873 QUR589808:QUR589873 REN589808:REN589873 ROJ589808:ROJ589873 RYF589808:RYF589873 SIB589808:SIB589873 SRX589808:SRX589873 TBT589808:TBT589873 TLP589808:TLP589873 TVL589808:TVL589873 UFH589808:UFH589873 UPD589808:UPD589873 UYZ589808:UYZ589873 VIV589808:VIV589873 VSR589808:VSR589873 WCN589808:WCN589873 WMJ589808:WMJ589873 WWF589808:WWF589873 X655344:X655409 JT655344:JT655409 TP655344:TP655409 ADL655344:ADL655409 ANH655344:ANH655409 AXD655344:AXD655409 BGZ655344:BGZ655409 BQV655344:BQV655409 CAR655344:CAR655409 CKN655344:CKN655409 CUJ655344:CUJ655409 DEF655344:DEF655409 DOB655344:DOB655409 DXX655344:DXX655409 EHT655344:EHT655409 ERP655344:ERP655409 FBL655344:FBL655409 FLH655344:FLH655409 FVD655344:FVD655409 GEZ655344:GEZ655409 GOV655344:GOV655409 GYR655344:GYR655409 HIN655344:HIN655409 HSJ655344:HSJ655409 ICF655344:ICF655409 IMB655344:IMB655409 IVX655344:IVX655409 JFT655344:JFT655409 JPP655344:JPP655409 JZL655344:JZL655409 KJH655344:KJH655409 KTD655344:KTD655409 LCZ655344:LCZ655409 LMV655344:LMV655409 LWR655344:LWR655409 MGN655344:MGN655409 MQJ655344:MQJ655409 NAF655344:NAF655409 NKB655344:NKB655409 NTX655344:NTX655409 ODT655344:ODT655409 ONP655344:ONP655409 OXL655344:OXL655409 PHH655344:PHH655409 PRD655344:PRD655409 QAZ655344:QAZ655409 QKV655344:QKV655409 QUR655344:QUR655409 REN655344:REN655409 ROJ655344:ROJ655409 RYF655344:RYF655409 SIB655344:SIB655409 SRX655344:SRX655409 TBT655344:TBT655409 TLP655344:TLP655409 TVL655344:TVL655409 UFH655344:UFH655409 UPD655344:UPD655409 UYZ655344:UYZ655409 VIV655344:VIV655409 VSR655344:VSR655409 WCN655344:WCN655409 WMJ655344:WMJ655409 WWF655344:WWF655409 X720880:X720945 JT720880:JT720945 TP720880:TP720945 ADL720880:ADL720945 ANH720880:ANH720945 AXD720880:AXD720945 BGZ720880:BGZ720945 BQV720880:BQV720945 CAR720880:CAR720945 CKN720880:CKN720945 CUJ720880:CUJ720945 DEF720880:DEF720945 DOB720880:DOB720945 DXX720880:DXX720945 EHT720880:EHT720945 ERP720880:ERP720945 FBL720880:FBL720945 FLH720880:FLH720945 FVD720880:FVD720945 GEZ720880:GEZ720945 GOV720880:GOV720945 GYR720880:GYR720945 HIN720880:HIN720945 HSJ720880:HSJ720945 ICF720880:ICF720945 IMB720880:IMB720945 IVX720880:IVX720945 JFT720880:JFT720945 JPP720880:JPP720945 JZL720880:JZL720945 KJH720880:KJH720945 KTD720880:KTD720945 LCZ720880:LCZ720945 LMV720880:LMV720945 LWR720880:LWR720945 MGN720880:MGN720945 MQJ720880:MQJ720945 NAF720880:NAF720945 NKB720880:NKB720945 NTX720880:NTX720945 ODT720880:ODT720945 ONP720880:ONP720945 OXL720880:OXL720945 PHH720880:PHH720945 PRD720880:PRD720945 QAZ720880:QAZ720945 QKV720880:QKV720945 QUR720880:QUR720945 REN720880:REN720945 ROJ720880:ROJ720945 RYF720880:RYF720945 SIB720880:SIB720945 SRX720880:SRX720945 TBT720880:TBT720945 TLP720880:TLP720945 TVL720880:TVL720945 UFH720880:UFH720945 UPD720880:UPD720945 UYZ720880:UYZ720945 VIV720880:VIV720945 VSR720880:VSR720945 WCN720880:WCN720945 WMJ720880:WMJ720945 WWF720880:WWF720945 X786416:X786481 JT786416:JT786481 TP786416:TP786481 ADL786416:ADL786481 ANH786416:ANH786481 AXD786416:AXD786481 BGZ786416:BGZ786481 BQV786416:BQV786481 CAR786416:CAR786481 CKN786416:CKN786481 CUJ786416:CUJ786481 DEF786416:DEF786481 DOB786416:DOB786481 DXX786416:DXX786481 EHT786416:EHT786481 ERP786416:ERP786481 FBL786416:FBL786481 FLH786416:FLH786481 FVD786416:FVD786481 GEZ786416:GEZ786481 GOV786416:GOV786481 GYR786416:GYR786481 HIN786416:HIN786481 HSJ786416:HSJ786481 ICF786416:ICF786481 IMB786416:IMB786481 IVX786416:IVX786481 JFT786416:JFT786481 JPP786416:JPP786481 JZL786416:JZL786481 KJH786416:KJH786481 KTD786416:KTD786481 LCZ786416:LCZ786481 LMV786416:LMV786481 LWR786416:LWR786481 MGN786416:MGN786481 MQJ786416:MQJ786481 NAF786416:NAF786481 NKB786416:NKB786481 NTX786416:NTX786481 ODT786416:ODT786481 ONP786416:ONP786481 OXL786416:OXL786481 PHH786416:PHH786481 PRD786416:PRD786481 QAZ786416:QAZ786481 QKV786416:QKV786481 QUR786416:QUR786481 REN786416:REN786481 ROJ786416:ROJ786481 RYF786416:RYF786481 SIB786416:SIB786481 SRX786416:SRX786481 TBT786416:TBT786481 TLP786416:TLP786481 TVL786416:TVL786481 UFH786416:UFH786481 UPD786416:UPD786481 UYZ786416:UYZ786481 VIV786416:VIV786481 VSR786416:VSR786481 WCN786416:WCN786481 WMJ786416:WMJ786481 WWF786416:WWF786481 X851952:X852017 JT851952:JT852017 TP851952:TP852017 ADL851952:ADL852017 ANH851952:ANH852017 AXD851952:AXD852017 BGZ851952:BGZ852017 BQV851952:BQV852017 CAR851952:CAR852017 CKN851952:CKN852017 CUJ851952:CUJ852017 DEF851952:DEF852017 DOB851952:DOB852017 DXX851952:DXX852017 EHT851952:EHT852017 ERP851952:ERP852017 FBL851952:FBL852017 FLH851952:FLH852017 FVD851952:FVD852017 GEZ851952:GEZ852017 GOV851952:GOV852017 GYR851952:GYR852017 HIN851952:HIN852017 HSJ851952:HSJ852017 ICF851952:ICF852017 IMB851952:IMB852017 IVX851952:IVX852017 JFT851952:JFT852017 JPP851952:JPP852017 JZL851952:JZL852017 KJH851952:KJH852017 KTD851952:KTD852017 LCZ851952:LCZ852017 LMV851952:LMV852017 LWR851952:LWR852017 MGN851952:MGN852017 MQJ851952:MQJ852017 NAF851952:NAF852017 NKB851952:NKB852017 NTX851952:NTX852017 ODT851952:ODT852017 ONP851952:ONP852017 OXL851952:OXL852017 PHH851952:PHH852017 PRD851952:PRD852017 QAZ851952:QAZ852017 QKV851952:QKV852017 QUR851952:QUR852017 REN851952:REN852017 ROJ851952:ROJ852017 RYF851952:RYF852017 SIB851952:SIB852017 SRX851952:SRX852017 TBT851952:TBT852017 TLP851952:TLP852017 TVL851952:TVL852017 UFH851952:UFH852017 UPD851952:UPD852017 UYZ851952:UYZ852017 VIV851952:VIV852017 VSR851952:VSR852017 WCN851952:WCN852017 WMJ851952:WMJ852017 WWF851952:WWF852017 X917488:X917553 JT917488:JT917553 TP917488:TP917553 ADL917488:ADL917553 ANH917488:ANH917553 AXD917488:AXD917553 BGZ917488:BGZ917553 BQV917488:BQV917553 CAR917488:CAR917553 CKN917488:CKN917553 CUJ917488:CUJ917553 DEF917488:DEF917553 DOB917488:DOB917553 DXX917488:DXX917553 EHT917488:EHT917553 ERP917488:ERP917553 FBL917488:FBL917553 FLH917488:FLH917553 FVD917488:FVD917553 GEZ917488:GEZ917553 GOV917488:GOV917553 GYR917488:GYR917553 HIN917488:HIN917553 HSJ917488:HSJ917553 ICF917488:ICF917553 IMB917488:IMB917553 IVX917488:IVX917553 JFT917488:JFT917553 JPP917488:JPP917553 JZL917488:JZL917553 KJH917488:KJH917553 KTD917488:KTD917553 LCZ917488:LCZ917553 LMV917488:LMV917553 LWR917488:LWR917553 MGN917488:MGN917553 MQJ917488:MQJ917553 NAF917488:NAF917553 NKB917488:NKB917553 NTX917488:NTX917553 ODT917488:ODT917553 ONP917488:ONP917553 OXL917488:OXL917553 PHH917488:PHH917553 PRD917488:PRD917553 QAZ917488:QAZ917553 QKV917488:QKV917553 QUR917488:QUR917553 REN917488:REN917553 ROJ917488:ROJ917553 RYF917488:RYF917553 SIB917488:SIB917553 SRX917488:SRX917553 TBT917488:TBT917553 TLP917488:TLP917553 TVL917488:TVL917553 UFH917488:UFH917553 UPD917488:UPD917553 UYZ917488:UYZ917553 VIV917488:VIV917553 VSR917488:VSR917553 WCN917488:WCN917553 WMJ917488:WMJ917553 WWF917488:WWF917553 X983024:X983089 JT983024:JT983089 TP983024:TP983089 ADL983024:ADL983089 ANH983024:ANH983089 AXD983024:AXD983089 BGZ983024:BGZ983089 BQV983024:BQV983089 CAR983024:CAR983089 CKN983024:CKN983089 CUJ983024:CUJ983089 DEF983024:DEF983089 DOB983024:DOB983089 DXX983024:DXX983089 EHT983024:EHT983089 ERP983024:ERP983089 FBL983024:FBL983089 FLH983024:FLH983089 FVD983024:FVD983089 GEZ983024:GEZ983089 GOV983024:GOV983089 GYR983024:GYR983089 HIN983024:HIN983089 HSJ983024:HSJ983089 ICF983024:ICF983089 IMB983024:IMB983089 IVX983024:IVX983089 JFT983024:JFT983089 JPP983024:JPP983089 JZL983024:JZL983089 KJH983024:KJH983089 KTD983024:KTD983089 LCZ983024:LCZ983089 LMV983024:LMV983089 LWR983024:LWR983089 MGN983024:MGN983089 MQJ983024:MQJ983089 NAF983024:NAF983089 NKB983024:NKB983089 NTX983024:NTX983089 ODT983024:ODT983089 ONP983024:ONP983089 OXL983024:OXL983089 PHH983024:PHH983089 PRD983024:PRD983089 QAZ983024:QAZ983089 QKV983024:QKV983089 QUR983024:QUR983089 REN983024:REN983089 ROJ983024:ROJ983089 RYF983024:RYF983089 SIB983024:SIB983089 SRX983024:SRX983089 TBT983024:TBT983089 TLP983024:TLP983089 TVL983024:TVL983089 UFH983024:UFH983089 UPD983024:UPD983089 UYZ983024:UYZ983089 VIV983024:VIV983089 VSR983024:VSR983089 WCN983024:WCN983089 WMJ983024:WMJ983089 WWF2:WWF69 JT2:JT69 TP2:TP69 ADL2:ADL69 ANH2:ANH69 AXD2:AXD69 BGZ2:BGZ69 BQV2:BQV69 CAR2:CAR69 CKN2:CKN69 CUJ2:CUJ69 DEF2:DEF69 DOB2:DOB69 DXX2:DXX69 EHT2:EHT69 ERP2:ERP69 FBL2:FBL69 FLH2:FLH69 FVD2:FVD69 GEZ2:GEZ69 GOV2:GOV69 GYR2:GYR69 HIN2:HIN69 HSJ2:HSJ69 ICF2:ICF69 IMB2:IMB69 IVX2:IVX69 JFT2:JFT69 JPP2:JPP69 JZL2:JZL69 KJH2:KJH69 KTD2:KTD69 LCZ2:LCZ69 LMV2:LMV69 LWR2:LWR69 MGN2:MGN69 MQJ2:MQJ69 NAF2:NAF69 NKB2:NKB69 NTX2:NTX69 ODT2:ODT69 ONP2:ONP69 OXL2:OXL69 PHH2:PHH69 PRD2:PRD69 QAZ2:QAZ69 QKV2:QKV69 QUR2:QUR69 REN2:REN69 ROJ2:ROJ69 RYF2:RYF69 SIB2:SIB69 SRX2:SRX69 TBT2:TBT69 TLP2:TLP69 TVL2:TVL69 UFH2:UFH69 UPD2:UPD69 UYZ2:UYZ69 VIV2:VIV69 VSR2:VSR69 WCN2:WCN69 WMJ2:WMJ69 X2:X482" xr:uid="{B1687FEC-C428-4FE6-9AED-2EB54F4F41C6}">
      <formula1>$AT$2:$AT$3</formula1>
    </dataValidation>
    <dataValidation type="list" allowBlank="1" showInputMessage="1" showErrorMessage="1" sqref="G64345:G64412 JC64345:JC64412 SY64345:SY64412 ACU64345:ACU64412 AMQ64345:AMQ64412 AWM64345:AWM64412 BGI64345:BGI64412 BQE64345:BQE64412 CAA64345:CAA64412 CJW64345:CJW64412 CTS64345:CTS64412 DDO64345:DDO64412 DNK64345:DNK64412 DXG64345:DXG64412 EHC64345:EHC64412 EQY64345:EQY64412 FAU64345:FAU64412 FKQ64345:FKQ64412 FUM64345:FUM64412 GEI64345:GEI64412 GOE64345:GOE64412 GYA64345:GYA64412 HHW64345:HHW64412 HRS64345:HRS64412 IBO64345:IBO64412 ILK64345:ILK64412 IVG64345:IVG64412 JFC64345:JFC64412 JOY64345:JOY64412 JYU64345:JYU64412 KIQ64345:KIQ64412 KSM64345:KSM64412 LCI64345:LCI64412 LME64345:LME64412 LWA64345:LWA64412 MFW64345:MFW64412 MPS64345:MPS64412 MZO64345:MZO64412 NJK64345:NJK64412 NTG64345:NTG64412 ODC64345:ODC64412 OMY64345:OMY64412 OWU64345:OWU64412 PGQ64345:PGQ64412 PQM64345:PQM64412 QAI64345:QAI64412 QKE64345:QKE64412 QUA64345:QUA64412 RDW64345:RDW64412 RNS64345:RNS64412 RXO64345:RXO64412 SHK64345:SHK64412 SRG64345:SRG64412 TBC64345:TBC64412 TKY64345:TKY64412 TUU64345:TUU64412 UEQ64345:UEQ64412 UOM64345:UOM64412 UYI64345:UYI64412 VIE64345:VIE64412 VSA64345:VSA64412 WBW64345:WBW64412 WLS64345:WLS64412 WVO64345:WVO64412 G129881:G129948 JC129881:JC129948 SY129881:SY129948 ACU129881:ACU129948 AMQ129881:AMQ129948 AWM129881:AWM129948 BGI129881:BGI129948 BQE129881:BQE129948 CAA129881:CAA129948 CJW129881:CJW129948 CTS129881:CTS129948 DDO129881:DDO129948 DNK129881:DNK129948 DXG129881:DXG129948 EHC129881:EHC129948 EQY129881:EQY129948 FAU129881:FAU129948 FKQ129881:FKQ129948 FUM129881:FUM129948 GEI129881:GEI129948 GOE129881:GOE129948 GYA129881:GYA129948 HHW129881:HHW129948 HRS129881:HRS129948 IBO129881:IBO129948 ILK129881:ILK129948 IVG129881:IVG129948 JFC129881:JFC129948 JOY129881:JOY129948 JYU129881:JYU129948 KIQ129881:KIQ129948 KSM129881:KSM129948 LCI129881:LCI129948 LME129881:LME129948 LWA129881:LWA129948 MFW129881:MFW129948 MPS129881:MPS129948 MZO129881:MZO129948 NJK129881:NJK129948 NTG129881:NTG129948 ODC129881:ODC129948 OMY129881:OMY129948 OWU129881:OWU129948 PGQ129881:PGQ129948 PQM129881:PQM129948 QAI129881:QAI129948 QKE129881:QKE129948 QUA129881:QUA129948 RDW129881:RDW129948 RNS129881:RNS129948 RXO129881:RXO129948 SHK129881:SHK129948 SRG129881:SRG129948 TBC129881:TBC129948 TKY129881:TKY129948 TUU129881:TUU129948 UEQ129881:UEQ129948 UOM129881:UOM129948 UYI129881:UYI129948 VIE129881:VIE129948 VSA129881:VSA129948 WBW129881:WBW129948 WLS129881:WLS129948 WVO129881:WVO129948 G195417:G195484 JC195417:JC195484 SY195417:SY195484 ACU195417:ACU195484 AMQ195417:AMQ195484 AWM195417:AWM195484 BGI195417:BGI195484 BQE195417:BQE195484 CAA195417:CAA195484 CJW195417:CJW195484 CTS195417:CTS195484 DDO195417:DDO195484 DNK195417:DNK195484 DXG195417:DXG195484 EHC195417:EHC195484 EQY195417:EQY195484 FAU195417:FAU195484 FKQ195417:FKQ195484 FUM195417:FUM195484 GEI195417:GEI195484 GOE195417:GOE195484 GYA195417:GYA195484 HHW195417:HHW195484 HRS195417:HRS195484 IBO195417:IBO195484 ILK195417:ILK195484 IVG195417:IVG195484 JFC195417:JFC195484 JOY195417:JOY195484 JYU195417:JYU195484 KIQ195417:KIQ195484 KSM195417:KSM195484 LCI195417:LCI195484 LME195417:LME195484 LWA195417:LWA195484 MFW195417:MFW195484 MPS195417:MPS195484 MZO195417:MZO195484 NJK195417:NJK195484 NTG195417:NTG195484 ODC195417:ODC195484 OMY195417:OMY195484 OWU195417:OWU195484 PGQ195417:PGQ195484 PQM195417:PQM195484 QAI195417:QAI195484 QKE195417:QKE195484 QUA195417:QUA195484 RDW195417:RDW195484 RNS195417:RNS195484 RXO195417:RXO195484 SHK195417:SHK195484 SRG195417:SRG195484 TBC195417:TBC195484 TKY195417:TKY195484 TUU195417:TUU195484 UEQ195417:UEQ195484 UOM195417:UOM195484 UYI195417:UYI195484 VIE195417:VIE195484 VSA195417:VSA195484 WBW195417:WBW195484 WLS195417:WLS195484 WVO195417:WVO195484 G260953:G261020 JC260953:JC261020 SY260953:SY261020 ACU260953:ACU261020 AMQ260953:AMQ261020 AWM260953:AWM261020 BGI260953:BGI261020 BQE260953:BQE261020 CAA260953:CAA261020 CJW260953:CJW261020 CTS260953:CTS261020 DDO260953:DDO261020 DNK260953:DNK261020 DXG260953:DXG261020 EHC260953:EHC261020 EQY260953:EQY261020 FAU260953:FAU261020 FKQ260953:FKQ261020 FUM260953:FUM261020 GEI260953:GEI261020 GOE260953:GOE261020 GYA260953:GYA261020 HHW260953:HHW261020 HRS260953:HRS261020 IBO260953:IBO261020 ILK260953:ILK261020 IVG260953:IVG261020 JFC260953:JFC261020 JOY260953:JOY261020 JYU260953:JYU261020 KIQ260953:KIQ261020 KSM260953:KSM261020 LCI260953:LCI261020 LME260953:LME261020 LWA260953:LWA261020 MFW260953:MFW261020 MPS260953:MPS261020 MZO260953:MZO261020 NJK260953:NJK261020 NTG260953:NTG261020 ODC260953:ODC261020 OMY260953:OMY261020 OWU260953:OWU261020 PGQ260953:PGQ261020 PQM260953:PQM261020 QAI260953:QAI261020 QKE260953:QKE261020 QUA260953:QUA261020 RDW260953:RDW261020 RNS260953:RNS261020 RXO260953:RXO261020 SHK260953:SHK261020 SRG260953:SRG261020 TBC260953:TBC261020 TKY260953:TKY261020 TUU260953:TUU261020 UEQ260953:UEQ261020 UOM260953:UOM261020 UYI260953:UYI261020 VIE260953:VIE261020 VSA260953:VSA261020 WBW260953:WBW261020 WLS260953:WLS261020 WVO260953:WVO261020 G326489:G326556 JC326489:JC326556 SY326489:SY326556 ACU326489:ACU326556 AMQ326489:AMQ326556 AWM326489:AWM326556 BGI326489:BGI326556 BQE326489:BQE326556 CAA326489:CAA326556 CJW326489:CJW326556 CTS326489:CTS326556 DDO326489:DDO326556 DNK326489:DNK326556 DXG326489:DXG326556 EHC326489:EHC326556 EQY326489:EQY326556 FAU326489:FAU326556 FKQ326489:FKQ326556 FUM326489:FUM326556 GEI326489:GEI326556 GOE326489:GOE326556 GYA326489:GYA326556 HHW326489:HHW326556 HRS326489:HRS326556 IBO326489:IBO326556 ILK326489:ILK326556 IVG326489:IVG326556 JFC326489:JFC326556 JOY326489:JOY326556 JYU326489:JYU326556 KIQ326489:KIQ326556 KSM326489:KSM326556 LCI326489:LCI326556 LME326489:LME326556 LWA326489:LWA326556 MFW326489:MFW326556 MPS326489:MPS326556 MZO326489:MZO326556 NJK326489:NJK326556 NTG326489:NTG326556 ODC326489:ODC326556 OMY326489:OMY326556 OWU326489:OWU326556 PGQ326489:PGQ326556 PQM326489:PQM326556 QAI326489:QAI326556 QKE326489:QKE326556 QUA326489:QUA326556 RDW326489:RDW326556 RNS326489:RNS326556 RXO326489:RXO326556 SHK326489:SHK326556 SRG326489:SRG326556 TBC326489:TBC326556 TKY326489:TKY326556 TUU326489:TUU326556 UEQ326489:UEQ326556 UOM326489:UOM326556 UYI326489:UYI326556 VIE326489:VIE326556 VSA326489:VSA326556 WBW326489:WBW326556 WLS326489:WLS326556 WVO326489:WVO326556 G392025:G392092 JC392025:JC392092 SY392025:SY392092 ACU392025:ACU392092 AMQ392025:AMQ392092 AWM392025:AWM392092 BGI392025:BGI392092 BQE392025:BQE392092 CAA392025:CAA392092 CJW392025:CJW392092 CTS392025:CTS392092 DDO392025:DDO392092 DNK392025:DNK392092 DXG392025:DXG392092 EHC392025:EHC392092 EQY392025:EQY392092 FAU392025:FAU392092 FKQ392025:FKQ392092 FUM392025:FUM392092 GEI392025:GEI392092 GOE392025:GOE392092 GYA392025:GYA392092 HHW392025:HHW392092 HRS392025:HRS392092 IBO392025:IBO392092 ILK392025:ILK392092 IVG392025:IVG392092 JFC392025:JFC392092 JOY392025:JOY392092 JYU392025:JYU392092 KIQ392025:KIQ392092 KSM392025:KSM392092 LCI392025:LCI392092 LME392025:LME392092 LWA392025:LWA392092 MFW392025:MFW392092 MPS392025:MPS392092 MZO392025:MZO392092 NJK392025:NJK392092 NTG392025:NTG392092 ODC392025:ODC392092 OMY392025:OMY392092 OWU392025:OWU392092 PGQ392025:PGQ392092 PQM392025:PQM392092 QAI392025:QAI392092 QKE392025:QKE392092 QUA392025:QUA392092 RDW392025:RDW392092 RNS392025:RNS392092 RXO392025:RXO392092 SHK392025:SHK392092 SRG392025:SRG392092 TBC392025:TBC392092 TKY392025:TKY392092 TUU392025:TUU392092 UEQ392025:UEQ392092 UOM392025:UOM392092 UYI392025:UYI392092 VIE392025:VIE392092 VSA392025:VSA392092 WBW392025:WBW392092 WLS392025:WLS392092 WVO392025:WVO392092 G457561:G457628 JC457561:JC457628 SY457561:SY457628 ACU457561:ACU457628 AMQ457561:AMQ457628 AWM457561:AWM457628 BGI457561:BGI457628 BQE457561:BQE457628 CAA457561:CAA457628 CJW457561:CJW457628 CTS457561:CTS457628 DDO457561:DDO457628 DNK457561:DNK457628 DXG457561:DXG457628 EHC457561:EHC457628 EQY457561:EQY457628 FAU457561:FAU457628 FKQ457561:FKQ457628 FUM457561:FUM457628 GEI457561:GEI457628 GOE457561:GOE457628 GYA457561:GYA457628 HHW457561:HHW457628 HRS457561:HRS457628 IBO457561:IBO457628 ILK457561:ILK457628 IVG457561:IVG457628 JFC457561:JFC457628 JOY457561:JOY457628 JYU457561:JYU457628 KIQ457561:KIQ457628 KSM457561:KSM457628 LCI457561:LCI457628 LME457561:LME457628 LWA457561:LWA457628 MFW457561:MFW457628 MPS457561:MPS457628 MZO457561:MZO457628 NJK457561:NJK457628 NTG457561:NTG457628 ODC457561:ODC457628 OMY457561:OMY457628 OWU457561:OWU457628 PGQ457561:PGQ457628 PQM457561:PQM457628 QAI457561:QAI457628 QKE457561:QKE457628 QUA457561:QUA457628 RDW457561:RDW457628 RNS457561:RNS457628 RXO457561:RXO457628 SHK457561:SHK457628 SRG457561:SRG457628 TBC457561:TBC457628 TKY457561:TKY457628 TUU457561:TUU457628 UEQ457561:UEQ457628 UOM457561:UOM457628 UYI457561:UYI457628 VIE457561:VIE457628 VSA457561:VSA457628 WBW457561:WBW457628 WLS457561:WLS457628 WVO457561:WVO457628 G523097:G523164 JC523097:JC523164 SY523097:SY523164 ACU523097:ACU523164 AMQ523097:AMQ523164 AWM523097:AWM523164 BGI523097:BGI523164 BQE523097:BQE523164 CAA523097:CAA523164 CJW523097:CJW523164 CTS523097:CTS523164 DDO523097:DDO523164 DNK523097:DNK523164 DXG523097:DXG523164 EHC523097:EHC523164 EQY523097:EQY523164 FAU523097:FAU523164 FKQ523097:FKQ523164 FUM523097:FUM523164 GEI523097:GEI523164 GOE523097:GOE523164 GYA523097:GYA523164 HHW523097:HHW523164 HRS523097:HRS523164 IBO523097:IBO523164 ILK523097:ILK523164 IVG523097:IVG523164 JFC523097:JFC523164 JOY523097:JOY523164 JYU523097:JYU523164 KIQ523097:KIQ523164 KSM523097:KSM523164 LCI523097:LCI523164 LME523097:LME523164 LWA523097:LWA523164 MFW523097:MFW523164 MPS523097:MPS523164 MZO523097:MZO523164 NJK523097:NJK523164 NTG523097:NTG523164 ODC523097:ODC523164 OMY523097:OMY523164 OWU523097:OWU523164 PGQ523097:PGQ523164 PQM523097:PQM523164 QAI523097:QAI523164 QKE523097:QKE523164 QUA523097:QUA523164 RDW523097:RDW523164 RNS523097:RNS523164 RXO523097:RXO523164 SHK523097:SHK523164 SRG523097:SRG523164 TBC523097:TBC523164 TKY523097:TKY523164 TUU523097:TUU523164 UEQ523097:UEQ523164 UOM523097:UOM523164 UYI523097:UYI523164 VIE523097:VIE523164 VSA523097:VSA523164 WBW523097:WBW523164 WLS523097:WLS523164 WVO523097:WVO523164 G588633:G588700 JC588633:JC588700 SY588633:SY588700 ACU588633:ACU588700 AMQ588633:AMQ588700 AWM588633:AWM588700 BGI588633:BGI588700 BQE588633:BQE588700 CAA588633:CAA588700 CJW588633:CJW588700 CTS588633:CTS588700 DDO588633:DDO588700 DNK588633:DNK588700 DXG588633:DXG588700 EHC588633:EHC588700 EQY588633:EQY588700 FAU588633:FAU588700 FKQ588633:FKQ588700 FUM588633:FUM588700 GEI588633:GEI588700 GOE588633:GOE588700 GYA588633:GYA588700 HHW588633:HHW588700 HRS588633:HRS588700 IBO588633:IBO588700 ILK588633:ILK588700 IVG588633:IVG588700 JFC588633:JFC588700 JOY588633:JOY588700 JYU588633:JYU588700 KIQ588633:KIQ588700 KSM588633:KSM588700 LCI588633:LCI588700 LME588633:LME588700 LWA588633:LWA588700 MFW588633:MFW588700 MPS588633:MPS588700 MZO588633:MZO588700 NJK588633:NJK588700 NTG588633:NTG588700 ODC588633:ODC588700 OMY588633:OMY588700 OWU588633:OWU588700 PGQ588633:PGQ588700 PQM588633:PQM588700 QAI588633:QAI588700 QKE588633:QKE588700 QUA588633:QUA588700 RDW588633:RDW588700 RNS588633:RNS588700 RXO588633:RXO588700 SHK588633:SHK588700 SRG588633:SRG588700 TBC588633:TBC588700 TKY588633:TKY588700 TUU588633:TUU588700 UEQ588633:UEQ588700 UOM588633:UOM588700 UYI588633:UYI588700 VIE588633:VIE588700 VSA588633:VSA588700 WBW588633:WBW588700 WLS588633:WLS588700 WVO588633:WVO588700 G654169:G654236 JC654169:JC654236 SY654169:SY654236 ACU654169:ACU654236 AMQ654169:AMQ654236 AWM654169:AWM654236 BGI654169:BGI654236 BQE654169:BQE654236 CAA654169:CAA654236 CJW654169:CJW654236 CTS654169:CTS654236 DDO654169:DDO654236 DNK654169:DNK654236 DXG654169:DXG654236 EHC654169:EHC654236 EQY654169:EQY654236 FAU654169:FAU654236 FKQ654169:FKQ654236 FUM654169:FUM654236 GEI654169:GEI654236 GOE654169:GOE654236 GYA654169:GYA654236 HHW654169:HHW654236 HRS654169:HRS654236 IBO654169:IBO654236 ILK654169:ILK654236 IVG654169:IVG654236 JFC654169:JFC654236 JOY654169:JOY654236 JYU654169:JYU654236 KIQ654169:KIQ654236 KSM654169:KSM654236 LCI654169:LCI654236 LME654169:LME654236 LWA654169:LWA654236 MFW654169:MFW654236 MPS654169:MPS654236 MZO654169:MZO654236 NJK654169:NJK654236 NTG654169:NTG654236 ODC654169:ODC654236 OMY654169:OMY654236 OWU654169:OWU654236 PGQ654169:PGQ654236 PQM654169:PQM654236 QAI654169:QAI654236 QKE654169:QKE654236 QUA654169:QUA654236 RDW654169:RDW654236 RNS654169:RNS654236 RXO654169:RXO654236 SHK654169:SHK654236 SRG654169:SRG654236 TBC654169:TBC654236 TKY654169:TKY654236 TUU654169:TUU654236 UEQ654169:UEQ654236 UOM654169:UOM654236 UYI654169:UYI654236 VIE654169:VIE654236 VSA654169:VSA654236 WBW654169:WBW654236 WLS654169:WLS654236 WVO654169:WVO654236 G719705:G719772 JC719705:JC719772 SY719705:SY719772 ACU719705:ACU719772 AMQ719705:AMQ719772 AWM719705:AWM719772 BGI719705:BGI719772 BQE719705:BQE719772 CAA719705:CAA719772 CJW719705:CJW719772 CTS719705:CTS719772 DDO719705:DDO719772 DNK719705:DNK719772 DXG719705:DXG719772 EHC719705:EHC719772 EQY719705:EQY719772 FAU719705:FAU719772 FKQ719705:FKQ719772 FUM719705:FUM719772 GEI719705:GEI719772 GOE719705:GOE719772 GYA719705:GYA719772 HHW719705:HHW719772 HRS719705:HRS719772 IBO719705:IBO719772 ILK719705:ILK719772 IVG719705:IVG719772 JFC719705:JFC719772 JOY719705:JOY719772 JYU719705:JYU719772 KIQ719705:KIQ719772 KSM719705:KSM719772 LCI719705:LCI719772 LME719705:LME719772 LWA719705:LWA719772 MFW719705:MFW719772 MPS719705:MPS719772 MZO719705:MZO719772 NJK719705:NJK719772 NTG719705:NTG719772 ODC719705:ODC719772 OMY719705:OMY719772 OWU719705:OWU719772 PGQ719705:PGQ719772 PQM719705:PQM719772 QAI719705:QAI719772 QKE719705:QKE719772 QUA719705:QUA719772 RDW719705:RDW719772 RNS719705:RNS719772 RXO719705:RXO719772 SHK719705:SHK719772 SRG719705:SRG719772 TBC719705:TBC719772 TKY719705:TKY719772 TUU719705:TUU719772 UEQ719705:UEQ719772 UOM719705:UOM719772 UYI719705:UYI719772 VIE719705:VIE719772 VSA719705:VSA719772 WBW719705:WBW719772 WLS719705:WLS719772 WVO719705:WVO719772 G785241:G785308 JC785241:JC785308 SY785241:SY785308 ACU785241:ACU785308 AMQ785241:AMQ785308 AWM785241:AWM785308 BGI785241:BGI785308 BQE785241:BQE785308 CAA785241:CAA785308 CJW785241:CJW785308 CTS785241:CTS785308 DDO785241:DDO785308 DNK785241:DNK785308 DXG785241:DXG785308 EHC785241:EHC785308 EQY785241:EQY785308 FAU785241:FAU785308 FKQ785241:FKQ785308 FUM785241:FUM785308 GEI785241:GEI785308 GOE785241:GOE785308 GYA785241:GYA785308 HHW785241:HHW785308 HRS785241:HRS785308 IBO785241:IBO785308 ILK785241:ILK785308 IVG785241:IVG785308 JFC785241:JFC785308 JOY785241:JOY785308 JYU785241:JYU785308 KIQ785241:KIQ785308 KSM785241:KSM785308 LCI785241:LCI785308 LME785241:LME785308 LWA785241:LWA785308 MFW785241:MFW785308 MPS785241:MPS785308 MZO785241:MZO785308 NJK785241:NJK785308 NTG785241:NTG785308 ODC785241:ODC785308 OMY785241:OMY785308 OWU785241:OWU785308 PGQ785241:PGQ785308 PQM785241:PQM785308 QAI785241:QAI785308 QKE785241:QKE785308 QUA785241:QUA785308 RDW785241:RDW785308 RNS785241:RNS785308 RXO785241:RXO785308 SHK785241:SHK785308 SRG785241:SRG785308 TBC785241:TBC785308 TKY785241:TKY785308 TUU785241:TUU785308 UEQ785241:UEQ785308 UOM785241:UOM785308 UYI785241:UYI785308 VIE785241:VIE785308 VSA785241:VSA785308 WBW785241:WBW785308 WLS785241:WLS785308 WVO785241:WVO785308 G850777:G850844 JC850777:JC850844 SY850777:SY850844 ACU850777:ACU850844 AMQ850777:AMQ850844 AWM850777:AWM850844 BGI850777:BGI850844 BQE850777:BQE850844 CAA850777:CAA850844 CJW850777:CJW850844 CTS850777:CTS850844 DDO850777:DDO850844 DNK850777:DNK850844 DXG850777:DXG850844 EHC850777:EHC850844 EQY850777:EQY850844 FAU850777:FAU850844 FKQ850777:FKQ850844 FUM850777:FUM850844 GEI850777:GEI850844 GOE850777:GOE850844 GYA850777:GYA850844 HHW850777:HHW850844 HRS850777:HRS850844 IBO850777:IBO850844 ILK850777:ILK850844 IVG850777:IVG850844 JFC850777:JFC850844 JOY850777:JOY850844 JYU850777:JYU850844 KIQ850777:KIQ850844 KSM850777:KSM850844 LCI850777:LCI850844 LME850777:LME850844 LWA850777:LWA850844 MFW850777:MFW850844 MPS850777:MPS850844 MZO850777:MZO850844 NJK850777:NJK850844 NTG850777:NTG850844 ODC850777:ODC850844 OMY850777:OMY850844 OWU850777:OWU850844 PGQ850777:PGQ850844 PQM850777:PQM850844 QAI850777:QAI850844 QKE850777:QKE850844 QUA850777:QUA850844 RDW850777:RDW850844 RNS850777:RNS850844 RXO850777:RXO850844 SHK850777:SHK850844 SRG850777:SRG850844 TBC850777:TBC850844 TKY850777:TKY850844 TUU850777:TUU850844 UEQ850777:UEQ850844 UOM850777:UOM850844 UYI850777:UYI850844 VIE850777:VIE850844 VSA850777:VSA850844 WBW850777:WBW850844 WLS850777:WLS850844 WVO850777:WVO850844 G916313:G916380 JC916313:JC916380 SY916313:SY916380 ACU916313:ACU916380 AMQ916313:AMQ916380 AWM916313:AWM916380 BGI916313:BGI916380 BQE916313:BQE916380 CAA916313:CAA916380 CJW916313:CJW916380 CTS916313:CTS916380 DDO916313:DDO916380 DNK916313:DNK916380 DXG916313:DXG916380 EHC916313:EHC916380 EQY916313:EQY916380 FAU916313:FAU916380 FKQ916313:FKQ916380 FUM916313:FUM916380 GEI916313:GEI916380 GOE916313:GOE916380 GYA916313:GYA916380 HHW916313:HHW916380 HRS916313:HRS916380 IBO916313:IBO916380 ILK916313:ILK916380 IVG916313:IVG916380 JFC916313:JFC916380 JOY916313:JOY916380 JYU916313:JYU916380 KIQ916313:KIQ916380 KSM916313:KSM916380 LCI916313:LCI916380 LME916313:LME916380 LWA916313:LWA916380 MFW916313:MFW916380 MPS916313:MPS916380 MZO916313:MZO916380 NJK916313:NJK916380 NTG916313:NTG916380 ODC916313:ODC916380 OMY916313:OMY916380 OWU916313:OWU916380 PGQ916313:PGQ916380 PQM916313:PQM916380 QAI916313:QAI916380 QKE916313:QKE916380 QUA916313:QUA916380 RDW916313:RDW916380 RNS916313:RNS916380 RXO916313:RXO916380 SHK916313:SHK916380 SRG916313:SRG916380 TBC916313:TBC916380 TKY916313:TKY916380 TUU916313:TUU916380 UEQ916313:UEQ916380 UOM916313:UOM916380 UYI916313:UYI916380 VIE916313:VIE916380 VSA916313:VSA916380 WBW916313:WBW916380 WLS916313:WLS916380 WVO916313:WVO916380 G981849:G981916 JC981849:JC981916 SY981849:SY981916 ACU981849:ACU981916 AMQ981849:AMQ981916 AWM981849:AWM981916 BGI981849:BGI981916 BQE981849:BQE981916 CAA981849:CAA981916 CJW981849:CJW981916 CTS981849:CTS981916 DDO981849:DDO981916 DNK981849:DNK981916 DXG981849:DXG981916 EHC981849:EHC981916 EQY981849:EQY981916 FAU981849:FAU981916 FKQ981849:FKQ981916 FUM981849:FUM981916 GEI981849:GEI981916 GOE981849:GOE981916 GYA981849:GYA981916 HHW981849:HHW981916 HRS981849:HRS981916 IBO981849:IBO981916 ILK981849:ILK981916 IVG981849:IVG981916 JFC981849:JFC981916 JOY981849:JOY981916 JYU981849:JYU981916 KIQ981849:KIQ981916 KSM981849:KSM981916 LCI981849:LCI981916 LME981849:LME981916 LWA981849:LWA981916 MFW981849:MFW981916 MPS981849:MPS981916 MZO981849:MZO981916 NJK981849:NJK981916 NTG981849:NTG981916 ODC981849:ODC981916 OMY981849:OMY981916 OWU981849:OWU981916 PGQ981849:PGQ981916 PQM981849:PQM981916 QAI981849:QAI981916 QKE981849:QKE981916 QUA981849:QUA981916 RDW981849:RDW981916 RNS981849:RNS981916 RXO981849:RXO981916 SHK981849:SHK981916 SRG981849:SRG981916 TBC981849:TBC981916 TKY981849:TKY981916 TUU981849:TUU981916 UEQ981849:UEQ981916 UOM981849:UOM981916 UYI981849:UYI981916 VIE981849:VIE981916 VSA981849:VSA981916 WBW981849:WBW981916 WLS981849:WLS981916 WVO981849:WVO981916 G1047385:G1047452 JC1047385:JC1047452 SY1047385:SY1047452 ACU1047385:ACU1047452 AMQ1047385:AMQ1047452 AWM1047385:AWM1047452 BGI1047385:BGI1047452 BQE1047385:BQE1047452 CAA1047385:CAA1047452 CJW1047385:CJW1047452 CTS1047385:CTS1047452 DDO1047385:DDO1047452 DNK1047385:DNK1047452 DXG1047385:DXG1047452 EHC1047385:EHC1047452 EQY1047385:EQY1047452 FAU1047385:FAU1047452 FKQ1047385:FKQ1047452 FUM1047385:FUM1047452 GEI1047385:GEI1047452 GOE1047385:GOE1047452 GYA1047385:GYA1047452 HHW1047385:HHW1047452 HRS1047385:HRS1047452 IBO1047385:IBO1047452 ILK1047385:ILK1047452 IVG1047385:IVG1047452 JFC1047385:JFC1047452 JOY1047385:JOY1047452 JYU1047385:JYU1047452 KIQ1047385:KIQ1047452 KSM1047385:KSM1047452 LCI1047385:LCI1047452 LME1047385:LME1047452 LWA1047385:LWA1047452 MFW1047385:MFW1047452 MPS1047385:MPS1047452 MZO1047385:MZO1047452 NJK1047385:NJK1047452 NTG1047385:NTG1047452 ODC1047385:ODC1047452 OMY1047385:OMY1047452 OWU1047385:OWU1047452 PGQ1047385:PGQ1047452 PQM1047385:PQM1047452 QAI1047385:QAI1047452 QKE1047385:QKE1047452 QUA1047385:QUA1047452 RDW1047385:RDW1047452 RNS1047385:RNS1047452 RXO1047385:RXO1047452 SHK1047385:SHK1047452 SRG1047385:SRG1047452 TBC1047385:TBC1047452 TKY1047385:TKY1047452 TUU1047385:TUU1047452 UEQ1047385:UEQ1047452 UOM1047385:UOM1047452 UYI1047385:UYI1047452 VIE1047385:VIE1047452 VSA1047385:VSA1047452 WBW1047385:WBW1047452 WLS1047385:WLS1047452 WVO1047385:WVO1047452 WVO983024:WVO983095 G65520:G65591 JC65520:JC65591 SY65520:SY65591 ACU65520:ACU65591 AMQ65520:AMQ65591 AWM65520:AWM65591 BGI65520:BGI65591 BQE65520:BQE65591 CAA65520:CAA65591 CJW65520:CJW65591 CTS65520:CTS65591 DDO65520:DDO65591 DNK65520:DNK65591 DXG65520:DXG65591 EHC65520:EHC65591 EQY65520:EQY65591 FAU65520:FAU65591 FKQ65520:FKQ65591 FUM65520:FUM65591 GEI65520:GEI65591 GOE65520:GOE65591 GYA65520:GYA65591 HHW65520:HHW65591 HRS65520:HRS65591 IBO65520:IBO65591 ILK65520:ILK65591 IVG65520:IVG65591 JFC65520:JFC65591 JOY65520:JOY65591 JYU65520:JYU65591 KIQ65520:KIQ65591 KSM65520:KSM65591 LCI65520:LCI65591 LME65520:LME65591 LWA65520:LWA65591 MFW65520:MFW65591 MPS65520:MPS65591 MZO65520:MZO65591 NJK65520:NJK65591 NTG65520:NTG65591 ODC65520:ODC65591 OMY65520:OMY65591 OWU65520:OWU65591 PGQ65520:PGQ65591 PQM65520:PQM65591 QAI65520:QAI65591 QKE65520:QKE65591 QUA65520:QUA65591 RDW65520:RDW65591 RNS65520:RNS65591 RXO65520:RXO65591 SHK65520:SHK65591 SRG65520:SRG65591 TBC65520:TBC65591 TKY65520:TKY65591 TUU65520:TUU65591 UEQ65520:UEQ65591 UOM65520:UOM65591 UYI65520:UYI65591 VIE65520:VIE65591 VSA65520:VSA65591 WBW65520:WBW65591 WLS65520:WLS65591 WVO65520:WVO65591 G131056:G131127 JC131056:JC131127 SY131056:SY131127 ACU131056:ACU131127 AMQ131056:AMQ131127 AWM131056:AWM131127 BGI131056:BGI131127 BQE131056:BQE131127 CAA131056:CAA131127 CJW131056:CJW131127 CTS131056:CTS131127 DDO131056:DDO131127 DNK131056:DNK131127 DXG131056:DXG131127 EHC131056:EHC131127 EQY131056:EQY131127 FAU131056:FAU131127 FKQ131056:FKQ131127 FUM131056:FUM131127 GEI131056:GEI131127 GOE131056:GOE131127 GYA131056:GYA131127 HHW131056:HHW131127 HRS131056:HRS131127 IBO131056:IBO131127 ILK131056:ILK131127 IVG131056:IVG131127 JFC131056:JFC131127 JOY131056:JOY131127 JYU131056:JYU131127 KIQ131056:KIQ131127 KSM131056:KSM131127 LCI131056:LCI131127 LME131056:LME131127 LWA131056:LWA131127 MFW131056:MFW131127 MPS131056:MPS131127 MZO131056:MZO131127 NJK131056:NJK131127 NTG131056:NTG131127 ODC131056:ODC131127 OMY131056:OMY131127 OWU131056:OWU131127 PGQ131056:PGQ131127 PQM131056:PQM131127 QAI131056:QAI131127 QKE131056:QKE131127 QUA131056:QUA131127 RDW131056:RDW131127 RNS131056:RNS131127 RXO131056:RXO131127 SHK131056:SHK131127 SRG131056:SRG131127 TBC131056:TBC131127 TKY131056:TKY131127 TUU131056:TUU131127 UEQ131056:UEQ131127 UOM131056:UOM131127 UYI131056:UYI131127 VIE131056:VIE131127 VSA131056:VSA131127 WBW131056:WBW131127 WLS131056:WLS131127 WVO131056:WVO131127 G196592:G196663 JC196592:JC196663 SY196592:SY196663 ACU196592:ACU196663 AMQ196592:AMQ196663 AWM196592:AWM196663 BGI196592:BGI196663 BQE196592:BQE196663 CAA196592:CAA196663 CJW196592:CJW196663 CTS196592:CTS196663 DDO196592:DDO196663 DNK196592:DNK196663 DXG196592:DXG196663 EHC196592:EHC196663 EQY196592:EQY196663 FAU196592:FAU196663 FKQ196592:FKQ196663 FUM196592:FUM196663 GEI196592:GEI196663 GOE196592:GOE196663 GYA196592:GYA196663 HHW196592:HHW196663 HRS196592:HRS196663 IBO196592:IBO196663 ILK196592:ILK196663 IVG196592:IVG196663 JFC196592:JFC196663 JOY196592:JOY196663 JYU196592:JYU196663 KIQ196592:KIQ196663 KSM196592:KSM196663 LCI196592:LCI196663 LME196592:LME196663 LWA196592:LWA196663 MFW196592:MFW196663 MPS196592:MPS196663 MZO196592:MZO196663 NJK196592:NJK196663 NTG196592:NTG196663 ODC196592:ODC196663 OMY196592:OMY196663 OWU196592:OWU196663 PGQ196592:PGQ196663 PQM196592:PQM196663 QAI196592:QAI196663 QKE196592:QKE196663 QUA196592:QUA196663 RDW196592:RDW196663 RNS196592:RNS196663 RXO196592:RXO196663 SHK196592:SHK196663 SRG196592:SRG196663 TBC196592:TBC196663 TKY196592:TKY196663 TUU196592:TUU196663 UEQ196592:UEQ196663 UOM196592:UOM196663 UYI196592:UYI196663 VIE196592:VIE196663 VSA196592:VSA196663 WBW196592:WBW196663 WLS196592:WLS196663 WVO196592:WVO196663 G262128:G262199 JC262128:JC262199 SY262128:SY262199 ACU262128:ACU262199 AMQ262128:AMQ262199 AWM262128:AWM262199 BGI262128:BGI262199 BQE262128:BQE262199 CAA262128:CAA262199 CJW262128:CJW262199 CTS262128:CTS262199 DDO262128:DDO262199 DNK262128:DNK262199 DXG262128:DXG262199 EHC262128:EHC262199 EQY262128:EQY262199 FAU262128:FAU262199 FKQ262128:FKQ262199 FUM262128:FUM262199 GEI262128:GEI262199 GOE262128:GOE262199 GYA262128:GYA262199 HHW262128:HHW262199 HRS262128:HRS262199 IBO262128:IBO262199 ILK262128:ILK262199 IVG262128:IVG262199 JFC262128:JFC262199 JOY262128:JOY262199 JYU262128:JYU262199 KIQ262128:KIQ262199 KSM262128:KSM262199 LCI262128:LCI262199 LME262128:LME262199 LWA262128:LWA262199 MFW262128:MFW262199 MPS262128:MPS262199 MZO262128:MZO262199 NJK262128:NJK262199 NTG262128:NTG262199 ODC262128:ODC262199 OMY262128:OMY262199 OWU262128:OWU262199 PGQ262128:PGQ262199 PQM262128:PQM262199 QAI262128:QAI262199 QKE262128:QKE262199 QUA262128:QUA262199 RDW262128:RDW262199 RNS262128:RNS262199 RXO262128:RXO262199 SHK262128:SHK262199 SRG262128:SRG262199 TBC262128:TBC262199 TKY262128:TKY262199 TUU262128:TUU262199 UEQ262128:UEQ262199 UOM262128:UOM262199 UYI262128:UYI262199 VIE262128:VIE262199 VSA262128:VSA262199 WBW262128:WBW262199 WLS262128:WLS262199 WVO262128:WVO262199 G327664:G327735 JC327664:JC327735 SY327664:SY327735 ACU327664:ACU327735 AMQ327664:AMQ327735 AWM327664:AWM327735 BGI327664:BGI327735 BQE327664:BQE327735 CAA327664:CAA327735 CJW327664:CJW327735 CTS327664:CTS327735 DDO327664:DDO327735 DNK327664:DNK327735 DXG327664:DXG327735 EHC327664:EHC327735 EQY327664:EQY327735 FAU327664:FAU327735 FKQ327664:FKQ327735 FUM327664:FUM327735 GEI327664:GEI327735 GOE327664:GOE327735 GYA327664:GYA327735 HHW327664:HHW327735 HRS327664:HRS327735 IBO327664:IBO327735 ILK327664:ILK327735 IVG327664:IVG327735 JFC327664:JFC327735 JOY327664:JOY327735 JYU327664:JYU327735 KIQ327664:KIQ327735 KSM327664:KSM327735 LCI327664:LCI327735 LME327664:LME327735 LWA327664:LWA327735 MFW327664:MFW327735 MPS327664:MPS327735 MZO327664:MZO327735 NJK327664:NJK327735 NTG327664:NTG327735 ODC327664:ODC327735 OMY327664:OMY327735 OWU327664:OWU327735 PGQ327664:PGQ327735 PQM327664:PQM327735 QAI327664:QAI327735 QKE327664:QKE327735 QUA327664:QUA327735 RDW327664:RDW327735 RNS327664:RNS327735 RXO327664:RXO327735 SHK327664:SHK327735 SRG327664:SRG327735 TBC327664:TBC327735 TKY327664:TKY327735 TUU327664:TUU327735 UEQ327664:UEQ327735 UOM327664:UOM327735 UYI327664:UYI327735 VIE327664:VIE327735 VSA327664:VSA327735 WBW327664:WBW327735 WLS327664:WLS327735 WVO327664:WVO327735 G393200:G393271 JC393200:JC393271 SY393200:SY393271 ACU393200:ACU393271 AMQ393200:AMQ393271 AWM393200:AWM393271 BGI393200:BGI393271 BQE393200:BQE393271 CAA393200:CAA393271 CJW393200:CJW393271 CTS393200:CTS393271 DDO393200:DDO393271 DNK393200:DNK393271 DXG393200:DXG393271 EHC393200:EHC393271 EQY393200:EQY393271 FAU393200:FAU393271 FKQ393200:FKQ393271 FUM393200:FUM393271 GEI393200:GEI393271 GOE393200:GOE393271 GYA393200:GYA393271 HHW393200:HHW393271 HRS393200:HRS393271 IBO393200:IBO393271 ILK393200:ILK393271 IVG393200:IVG393271 JFC393200:JFC393271 JOY393200:JOY393271 JYU393200:JYU393271 KIQ393200:KIQ393271 KSM393200:KSM393271 LCI393200:LCI393271 LME393200:LME393271 LWA393200:LWA393271 MFW393200:MFW393271 MPS393200:MPS393271 MZO393200:MZO393271 NJK393200:NJK393271 NTG393200:NTG393271 ODC393200:ODC393271 OMY393200:OMY393271 OWU393200:OWU393271 PGQ393200:PGQ393271 PQM393200:PQM393271 QAI393200:QAI393271 QKE393200:QKE393271 QUA393200:QUA393271 RDW393200:RDW393271 RNS393200:RNS393271 RXO393200:RXO393271 SHK393200:SHK393271 SRG393200:SRG393271 TBC393200:TBC393271 TKY393200:TKY393271 TUU393200:TUU393271 UEQ393200:UEQ393271 UOM393200:UOM393271 UYI393200:UYI393271 VIE393200:VIE393271 VSA393200:VSA393271 WBW393200:WBW393271 WLS393200:WLS393271 WVO393200:WVO393271 G458736:G458807 JC458736:JC458807 SY458736:SY458807 ACU458736:ACU458807 AMQ458736:AMQ458807 AWM458736:AWM458807 BGI458736:BGI458807 BQE458736:BQE458807 CAA458736:CAA458807 CJW458736:CJW458807 CTS458736:CTS458807 DDO458736:DDO458807 DNK458736:DNK458807 DXG458736:DXG458807 EHC458736:EHC458807 EQY458736:EQY458807 FAU458736:FAU458807 FKQ458736:FKQ458807 FUM458736:FUM458807 GEI458736:GEI458807 GOE458736:GOE458807 GYA458736:GYA458807 HHW458736:HHW458807 HRS458736:HRS458807 IBO458736:IBO458807 ILK458736:ILK458807 IVG458736:IVG458807 JFC458736:JFC458807 JOY458736:JOY458807 JYU458736:JYU458807 KIQ458736:KIQ458807 KSM458736:KSM458807 LCI458736:LCI458807 LME458736:LME458807 LWA458736:LWA458807 MFW458736:MFW458807 MPS458736:MPS458807 MZO458736:MZO458807 NJK458736:NJK458807 NTG458736:NTG458807 ODC458736:ODC458807 OMY458736:OMY458807 OWU458736:OWU458807 PGQ458736:PGQ458807 PQM458736:PQM458807 QAI458736:QAI458807 QKE458736:QKE458807 QUA458736:QUA458807 RDW458736:RDW458807 RNS458736:RNS458807 RXO458736:RXO458807 SHK458736:SHK458807 SRG458736:SRG458807 TBC458736:TBC458807 TKY458736:TKY458807 TUU458736:TUU458807 UEQ458736:UEQ458807 UOM458736:UOM458807 UYI458736:UYI458807 VIE458736:VIE458807 VSA458736:VSA458807 WBW458736:WBW458807 WLS458736:WLS458807 WVO458736:WVO458807 G524272:G524343 JC524272:JC524343 SY524272:SY524343 ACU524272:ACU524343 AMQ524272:AMQ524343 AWM524272:AWM524343 BGI524272:BGI524343 BQE524272:BQE524343 CAA524272:CAA524343 CJW524272:CJW524343 CTS524272:CTS524343 DDO524272:DDO524343 DNK524272:DNK524343 DXG524272:DXG524343 EHC524272:EHC524343 EQY524272:EQY524343 FAU524272:FAU524343 FKQ524272:FKQ524343 FUM524272:FUM524343 GEI524272:GEI524343 GOE524272:GOE524343 GYA524272:GYA524343 HHW524272:HHW524343 HRS524272:HRS524343 IBO524272:IBO524343 ILK524272:ILK524343 IVG524272:IVG524343 JFC524272:JFC524343 JOY524272:JOY524343 JYU524272:JYU524343 KIQ524272:KIQ524343 KSM524272:KSM524343 LCI524272:LCI524343 LME524272:LME524343 LWA524272:LWA524343 MFW524272:MFW524343 MPS524272:MPS524343 MZO524272:MZO524343 NJK524272:NJK524343 NTG524272:NTG524343 ODC524272:ODC524343 OMY524272:OMY524343 OWU524272:OWU524343 PGQ524272:PGQ524343 PQM524272:PQM524343 QAI524272:QAI524343 QKE524272:QKE524343 QUA524272:QUA524343 RDW524272:RDW524343 RNS524272:RNS524343 RXO524272:RXO524343 SHK524272:SHK524343 SRG524272:SRG524343 TBC524272:TBC524343 TKY524272:TKY524343 TUU524272:TUU524343 UEQ524272:UEQ524343 UOM524272:UOM524343 UYI524272:UYI524343 VIE524272:VIE524343 VSA524272:VSA524343 WBW524272:WBW524343 WLS524272:WLS524343 WVO524272:WVO524343 G589808:G589879 JC589808:JC589879 SY589808:SY589879 ACU589808:ACU589879 AMQ589808:AMQ589879 AWM589808:AWM589879 BGI589808:BGI589879 BQE589808:BQE589879 CAA589808:CAA589879 CJW589808:CJW589879 CTS589808:CTS589879 DDO589808:DDO589879 DNK589808:DNK589879 DXG589808:DXG589879 EHC589808:EHC589879 EQY589808:EQY589879 FAU589808:FAU589879 FKQ589808:FKQ589879 FUM589808:FUM589879 GEI589808:GEI589879 GOE589808:GOE589879 GYA589808:GYA589879 HHW589808:HHW589879 HRS589808:HRS589879 IBO589808:IBO589879 ILK589808:ILK589879 IVG589808:IVG589879 JFC589808:JFC589879 JOY589808:JOY589879 JYU589808:JYU589879 KIQ589808:KIQ589879 KSM589808:KSM589879 LCI589808:LCI589879 LME589808:LME589879 LWA589808:LWA589879 MFW589808:MFW589879 MPS589808:MPS589879 MZO589808:MZO589879 NJK589808:NJK589879 NTG589808:NTG589879 ODC589808:ODC589879 OMY589808:OMY589879 OWU589808:OWU589879 PGQ589808:PGQ589879 PQM589808:PQM589879 QAI589808:QAI589879 QKE589808:QKE589879 QUA589808:QUA589879 RDW589808:RDW589879 RNS589808:RNS589879 RXO589808:RXO589879 SHK589808:SHK589879 SRG589808:SRG589879 TBC589808:TBC589879 TKY589808:TKY589879 TUU589808:TUU589879 UEQ589808:UEQ589879 UOM589808:UOM589879 UYI589808:UYI589879 VIE589808:VIE589879 VSA589808:VSA589879 WBW589808:WBW589879 WLS589808:WLS589879 WVO589808:WVO589879 G655344:G655415 JC655344:JC655415 SY655344:SY655415 ACU655344:ACU655415 AMQ655344:AMQ655415 AWM655344:AWM655415 BGI655344:BGI655415 BQE655344:BQE655415 CAA655344:CAA655415 CJW655344:CJW655415 CTS655344:CTS655415 DDO655344:DDO655415 DNK655344:DNK655415 DXG655344:DXG655415 EHC655344:EHC655415 EQY655344:EQY655415 FAU655344:FAU655415 FKQ655344:FKQ655415 FUM655344:FUM655415 GEI655344:GEI655415 GOE655344:GOE655415 GYA655344:GYA655415 HHW655344:HHW655415 HRS655344:HRS655415 IBO655344:IBO655415 ILK655344:ILK655415 IVG655344:IVG655415 JFC655344:JFC655415 JOY655344:JOY655415 JYU655344:JYU655415 KIQ655344:KIQ655415 KSM655344:KSM655415 LCI655344:LCI655415 LME655344:LME655415 LWA655344:LWA655415 MFW655344:MFW655415 MPS655344:MPS655415 MZO655344:MZO655415 NJK655344:NJK655415 NTG655344:NTG655415 ODC655344:ODC655415 OMY655344:OMY655415 OWU655344:OWU655415 PGQ655344:PGQ655415 PQM655344:PQM655415 QAI655344:QAI655415 QKE655344:QKE655415 QUA655344:QUA655415 RDW655344:RDW655415 RNS655344:RNS655415 RXO655344:RXO655415 SHK655344:SHK655415 SRG655344:SRG655415 TBC655344:TBC655415 TKY655344:TKY655415 TUU655344:TUU655415 UEQ655344:UEQ655415 UOM655344:UOM655415 UYI655344:UYI655415 VIE655344:VIE655415 VSA655344:VSA655415 WBW655344:WBW655415 WLS655344:WLS655415 WVO655344:WVO655415 G720880:G720951 JC720880:JC720951 SY720880:SY720951 ACU720880:ACU720951 AMQ720880:AMQ720951 AWM720880:AWM720951 BGI720880:BGI720951 BQE720880:BQE720951 CAA720880:CAA720951 CJW720880:CJW720951 CTS720880:CTS720951 DDO720880:DDO720951 DNK720880:DNK720951 DXG720880:DXG720951 EHC720880:EHC720951 EQY720880:EQY720951 FAU720880:FAU720951 FKQ720880:FKQ720951 FUM720880:FUM720951 GEI720880:GEI720951 GOE720880:GOE720951 GYA720880:GYA720951 HHW720880:HHW720951 HRS720880:HRS720951 IBO720880:IBO720951 ILK720880:ILK720951 IVG720880:IVG720951 JFC720880:JFC720951 JOY720880:JOY720951 JYU720880:JYU720951 KIQ720880:KIQ720951 KSM720880:KSM720951 LCI720880:LCI720951 LME720880:LME720951 LWA720880:LWA720951 MFW720880:MFW720951 MPS720880:MPS720951 MZO720880:MZO720951 NJK720880:NJK720951 NTG720880:NTG720951 ODC720880:ODC720951 OMY720880:OMY720951 OWU720880:OWU720951 PGQ720880:PGQ720951 PQM720880:PQM720951 QAI720880:QAI720951 QKE720880:QKE720951 QUA720880:QUA720951 RDW720880:RDW720951 RNS720880:RNS720951 RXO720880:RXO720951 SHK720880:SHK720951 SRG720880:SRG720951 TBC720880:TBC720951 TKY720880:TKY720951 TUU720880:TUU720951 UEQ720880:UEQ720951 UOM720880:UOM720951 UYI720880:UYI720951 VIE720880:VIE720951 VSA720880:VSA720951 WBW720880:WBW720951 WLS720880:WLS720951 WVO720880:WVO720951 G786416:G786487 JC786416:JC786487 SY786416:SY786487 ACU786416:ACU786487 AMQ786416:AMQ786487 AWM786416:AWM786487 BGI786416:BGI786487 BQE786416:BQE786487 CAA786416:CAA786487 CJW786416:CJW786487 CTS786416:CTS786487 DDO786416:DDO786487 DNK786416:DNK786487 DXG786416:DXG786487 EHC786416:EHC786487 EQY786416:EQY786487 FAU786416:FAU786487 FKQ786416:FKQ786487 FUM786416:FUM786487 GEI786416:GEI786487 GOE786416:GOE786487 GYA786416:GYA786487 HHW786416:HHW786487 HRS786416:HRS786487 IBO786416:IBO786487 ILK786416:ILK786487 IVG786416:IVG786487 JFC786416:JFC786487 JOY786416:JOY786487 JYU786416:JYU786487 KIQ786416:KIQ786487 KSM786416:KSM786487 LCI786416:LCI786487 LME786416:LME786487 LWA786416:LWA786487 MFW786416:MFW786487 MPS786416:MPS786487 MZO786416:MZO786487 NJK786416:NJK786487 NTG786416:NTG786487 ODC786416:ODC786487 OMY786416:OMY786487 OWU786416:OWU786487 PGQ786416:PGQ786487 PQM786416:PQM786487 QAI786416:QAI786487 QKE786416:QKE786487 QUA786416:QUA786487 RDW786416:RDW786487 RNS786416:RNS786487 RXO786416:RXO786487 SHK786416:SHK786487 SRG786416:SRG786487 TBC786416:TBC786487 TKY786416:TKY786487 TUU786416:TUU786487 UEQ786416:UEQ786487 UOM786416:UOM786487 UYI786416:UYI786487 VIE786416:VIE786487 VSA786416:VSA786487 WBW786416:WBW786487 WLS786416:WLS786487 WVO786416:WVO786487 G851952:G852023 JC851952:JC852023 SY851952:SY852023 ACU851952:ACU852023 AMQ851952:AMQ852023 AWM851952:AWM852023 BGI851952:BGI852023 BQE851952:BQE852023 CAA851952:CAA852023 CJW851952:CJW852023 CTS851952:CTS852023 DDO851952:DDO852023 DNK851952:DNK852023 DXG851952:DXG852023 EHC851952:EHC852023 EQY851952:EQY852023 FAU851952:FAU852023 FKQ851952:FKQ852023 FUM851952:FUM852023 GEI851952:GEI852023 GOE851952:GOE852023 GYA851952:GYA852023 HHW851952:HHW852023 HRS851952:HRS852023 IBO851952:IBO852023 ILK851952:ILK852023 IVG851952:IVG852023 JFC851952:JFC852023 JOY851952:JOY852023 JYU851952:JYU852023 KIQ851952:KIQ852023 KSM851952:KSM852023 LCI851952:LCI852023 LME851952:LME852023 LWA851952:LWA852023 MFW851952:MFW852023 MPS851952:MPS852023 MZO851952:MZO852023 NJK851952:NJK852023 NTG851952:NTG852023 ODC851952:ODC852023 OMY851952:OMY852023 OWU851952:OWU852023 PGQ851952:PGQ852023 PQM851952:PQM852023 QAI851952:QAI852023 QKE851952:QKE852023 QUA851952:QUA852023 RDW851952:RDW852023 RNS851952:RNS852023 RXO851952:RXO852023 SHK851952:SHK852023 SRG851952:SRG852023 TBC851952:TBC852023 TKY851952:TKY852023 TUU851952:TUU852023 UEQ851952:UEQ852023 UOM851952:UOM852023 UYI851952:UYI852023 VIE851952:VIE852023 VSA851952:VSA852023 WBW851952:WBW852023 WLS851952:WLS852023 WVO851952:WVO852023 G917488:G917559 JC917488:JC917559 SY917488:SY917559 ACU917488:ACU917559 AMQ917488:AMQ917559 AWM917488:AWM917559 BGI917488:BGI917559 BQE917488:BQE917559 CAA917488:CAA917559 CJW917488:CJW917559 CTS917488:CTS917559 DDO917488:DDO917559 DNK917488:DNK917559 DXG917488:DXG917559 EHC917488:EHC917559 EQY917488:EQY917559 FAU917488:FAU917559 FKQ917488:FKQ917559 FUM917488:FUM917559 GEI917488:GEI917559 GOE917488:GOE917559 GYA917488:GYA917559 HHW917488:HHW917559 HRS917488:HRS917559 IBO917488:IBO917559 ILK917488:ILK917559 IVG917488:IVG917559 JFC917488:JFC917559 JOY917488:JOY917559 JYU917488:JYU917559 KIQ917488:KIQ917559 KSM917488:KSM917559 LCI917488:LCI917559 LME917488:LME917559 LWA917488:LWA917559 MFW917488:MFW917559 MPS917488:MPS917559 MZO917488:MZO917559 NJK917488:NJK917559 NTG917488:NTG917559 ODC917488:ODC917559 OMY917488:OMY917559 OWU917488:OWU917559 PGQ917488:PGQ917559 PQM917488:PQM917559 QAI917488:QAI917559 QKE917488:QKE917559 QUA917488:QUA917559 RDW917488:RDW917559 RNS917488:RNS917559 RXO917488:RXO917559 SHK917488:SHK917559 SRG917488:SRG917559 TBC917488:TBC917559 TKY917488:TKY917559 TUU917488:TUU917559 UEQ917488:UEQ917559 UOM917488:UOM917559 UYI917488:UYI917559 VIE917488:VIE917559 VSA917488:VSA917559 WBW917488:WBW917559 WLS917488:WLS917559 WVO917488:WVO917559 G983024:G983095 JC983024:JC983095 SY983024:SY983095 ACU983024:ACU983095 AMQ983024:AMQ983095 AWM983024:AWM983095 BGI983024:BGI983095 BQE983024:BQE983095 CAA983024:CAA983095 CJW983024:CJW983095 CTS983024:CTS983095 DDO983024:DDO983095 DNK983024:DNK983095 DXG983024:DXG983095 EHC983024:EHC983095 EQY983024:EQY983095 FAU983024:FAU983095 FKQ983024:FKQ983095 FUM983024:FUM983095 GEI983024:GEI983095 GOE983024:GOE983095 GYA983024:GYA983095 HHW983024:HHW983095 HRS983024:HRS983095 IBO983024:IBO983095 ILK983024:ILK983095 IVG983024:IVG983095 JFC983024:JFC983095 JOY983024:JOY983095 JYU983024:JYU983095 KIQ983024:KIQ983095 KSM983024:KSM983095 LCI983024:LCI983095 LME983024:LME983095 LWA983024:LWA983095 MFW983024:MFW983095 MPS983024:MPS983095 MZO983024:MZO983095 NJK983024:NJK983095 NTG983024:NTG983095 ODC983024:ODC983095 OMY983024:OMY983095 OWU983024:OWU983095 PGQ983024:PGQ983095 PQM983024:PQM983095 QAI983024:QAI983095 QKE983024:QKE983095 QUA983024:QUA983095 RDW983024:RDW983095 RNS983024:RNS983095 RXO983024:RXO983095 SHK983024:SHK983095 SRG983024:SRG983095 TBC983024:TBC983095 TKY983024:TKY983095 TUU983024:TUU983095 UEQ983024:UEQ983095 UOM983024:UOM983095 UYI983024:UYI983095 VIE983024:VIE983095 VSA983024:VSA983095 WBW983024:WBW983095 WLS983024:WLS983095 G2:G482 JC2:JC69 WVO2:WVO69 WLS2:WLS69 WBW2:WBW69 VSA2:VSA69 VIE2:VIE69 UYI2:UYI69 UOM2:UOM69 UEQ2:UEQ69 TUU2:TUU69 TKY2:TKY69 TBC2:TBC69 SRG2:SRG69 SHK2:SHK69 RXO2:RXO69 RNS2:RNS69 RDW2:RDW69 QUA2:QUA69 QKE2:QKE69 QAI2:QAI69 PQM2:PQM69 PGQ2:PGQ69 OWU2:OWU69 OMY2:OMY69 ODC2:ODC69 NTG2:NTG69 NJK2:NJK69 MZO2:MZO69 MPS2:MPS69 MFW2:MFW69 LWA2:LWA69 LME2:LME69 LCI2:LCI69 KSM2:KSM69 KIQ2:KIQ69 JYU2:JYU69 JOY2:JOY69 JFC2:JFC69 IVG2:IVG69 ILK2:ILK69 IBO2:IBO69 HRS2:HRS69 HHW2:HHW69 GYA2:GYA69 GOE2:GOE69 GEI2:GEI69 FUM2:FUM69 FKQ2:FKQ69 FAU2:FAU69 EQY2:EQY69 EHC2:EHC69 DXG2:DXG69 DNK2:DNK69 DDO2:DDO69 CTS2:CTS69 CJW2:CJW69 CAA2:CAA69 BQE2:BQE69 BGI2:BGI69 AWM2:AWM69 AMQ2:AMQ69 ACU2:ACU69 SY2:SY69" xr:uid="{98F7F015-126C-4C0F-A5BB-643F0885ED6D}">
      <formula1>$AJ$2:$AJ$4</formula1>
    </dataValidation>
    <dataValidation type="list" allowBlank="1" showInputMessage="1" showErrorMessage="1" sqref="I64345:I64410 JE64345:JE64410 TA64345:TA64410 ACW64345:ACW64410 AMS64345:AMS64410 AWO64345:AWO64410 BGK64345:BGK64410 BQG64345:BQG64410 CAC64345:CAC64410 CJY64345:CJY64410 CTU64345:CTU64410 DDQ64345:DDQ64410 DNM64345:DNM64410 DXI64345:DXI64410 EHE64345:EHE64410 ERA64345:ERA64410 FAW64345:FAW64410 FKS64345:FKS64410 FUO64345:FUO64410 GEK64345:GEK64410 GOG64345:GOG64410 GYC64345:GYC64410 HHY64345:HHY64410 HRU64345:HRU64410 IBQ64345:IBQ64410 ILM64345:ILM64410 IVI64345:IVI64410 JFE64345:JFE64410 JPA64345:JPA64410 JYW64345:JYW64410 KIS64345:KIS64410 KSO64345:KSO64410 LCK64345:LCK64410 LMG64345:LMG64410 LWC64345:LWC64410 MFY64345:MFY64410 MPU64345:MPU64410 MZQ64345:MZQ64410 NJM64345:NJM64410 NTI64345:NTI64410 ODE64345:ODE64410 ONA64345:ONA64410 OWW64345:OWW64410 PGS64345:PGS64410 PQO64345:PQO64410 QAK64345:QAK64410 QKG64345:QKG64410 QUC64345:QUC64410 RDY64345:RDY64410 RNU64345:RNU64410 RXQ64345:RXQ64410 SHM64345:SHM64410 SRI64345:SRI64410 TBE64345:TBE64410 TLA64345:TLA64410 TUW64345:TUW64410 UES64345:UES64410 UOO64345:UOO64410 UYK64345:UYK64410 VIG64345:VIG64410 VSC64345:VSC64410 WBY64345:WBY64410 WLU64345:WLU64410 WVQ64345:WVQ64410 I129881:I129946 JE129881:JE129946 TA129881:TA129946 ACW129881:ACW129946 AMS129881:AMS129946 AWO129881:AWO129946 BGK129881:BGK129946 BQG129881:BQG129946 CAC129881:CAC129946 CJY129881:CJY129946 CTU129881:CTU129946 DDQ129881:DDQ129946 DNM129881:DNM129946 DXI129881:DXI129946 EHE129881:EHE129946 ERA129881:ERA129946 FAW129881:FAW129946 FKS129881:FKS129946 FUO129881:FUO129946 GEK129881:GEK129946 GOG129881:GOG129946 GYC129881:GYC129946 HHY129881:HHY129946 HRU129881:HRU129946 IBQ129881:IBQ129946 ILM129881:ILM129946 IVI129881:IVI129946 JFE129881:JFE129946 JPA129881:JPA129946 JYW129881:JYW129946 KIS129881:KIS129946 KSO129881:KSO129946 LCK129881:LCK129946 LMG129881:LMG129946 LWC129881:LWC129946 MFY129881:MFY129946 MPU129881:MPU129946 MZQ129881:MZQ129946 NJM129881:NJM129946 NTI129881:NTI129946 ODE129881:ODE129946 ONA129881:ONA129946 OWW129881:OWW129946 PGS129881:PGS129946 PQO129881:PQO129946 QAK129881:QAK129946 QKG129881:QKG129946 QUC129881:QUC129946 RDY129881:RDY129946 RNU129881:RNU129946 RXQ129881:RXQ129946 SHM129881:SHM129946 SRI129881:SRI129946 TBE129881:TBE129946 TLA129881:TLA129946 TUW129881:TUW129946 UES129881:UES129946 UOO129881:UOO129946 UYK129881:UYK129946 VIG129881:VIG129946 VSC129881:VSC129946 WBY129881:WBY129946 WLU129881:WLU129946 WVQ129881:WVQ129946 I195417:I195482 JE195417:JE195482 TA195417:TA195482 ACW195417:ACW195482 AMS195417:AMS195482 AWO195417:AWO195482 BGK195417:BGK195482 BQG195417:BQG195482 CAC195417:CAC195482 CJY195417:CJY195482 CTU195417:CTU195482 DDQ195417:DDQ195482 DNM195417:DNM195482 DXI195417:DXI195482 EHE195417:EHE195482 ERA195417:ERA195482 FAW195417:FAW195482 FKS195417:FKS195482 FUO195417:FUO195482 GEK195417:GEK195482 GOG195417:GOG195482 GYC195417:GYC195482 HHY195417:HHY195482 HRU195417:HRU195482 IBQ195417:IBQ195482 ILM195417:ILM195482 IVI195417:IVI195482 JFE195417:JFE195482 JPA195417:JPA195482 JYW195417:JYW195482 KIS195417:KIS195482 KSO195417:KSO195482 LCK195417:LCK195482 LMG195417:LMG195482 LWC195417:LWC195482 MFY195417:MFY195482 MPU195417:MPU195482 MZQ195417:MZQ195482 NJM195417:NJM195482 NTI195417:NTI195482 ODE195417:ODE195482 ONA195417:ONA195482 OWW195417:OWW195482 PGS195417:PGS195482 PQO195417:PQO195482 QAK195417:QAK195482 QKG195417:QKG195482 QUC195417:QUC195482 RDY195417:RDY195482 RNU195417:RNU195482 RXQ195417:RXQ195482 SHM195417:SHM195482 SRI195417:SRI195482 TBE195417:TBE195482 TLA195417:TLA195482 TUW195417:TUW195482 UES195417:UES195482 UOO195417:UOO195482 UYK195417:UYK195482 VIG195417:VIG195482 VSC195417:VSC195482 WBY195417:WBY195482 WLU195417:WLU195482 WVQ195417:WVQ195482 I260953:I261018 JE260953:JE261018 TA260953:TA261018 ACW260953:ACW261018 AMS260953:AMS261018 AWO260953:AWO261018 BGK260953:BGK261018 BQG260953:BQG261018 CAC260953:CAC261018 CJY260953:CJY261018 CTU260953:CTU261018 DDQ260953:DDQ261018 DNM260953:DNM261018 DXI260953:DXI261018 EHE260953:EHE261018 ERA260953:ERA261018 FAW260953:FAW261018 FKS260953:FKS261018 FUO260953:FUO261018 GEK260953:GEK261018 GOG260953:GOG261018 GYC260953:GYC261018 HHY260953:HHY261018 HRU260953:HRU261018 IBQ260953:IBQ261018 ILM260953:ILM261018 IVI260953:IVI261018 JFE260953:JFE261018 JPA260953:JPA261018 JYW260953:JYW261018 KIS260953:KIS261018 KSO260953:KSO261018 LCK260953:LCK261018 LMG260953:LMG261018 LWC260953:LWC261018 MFY260953:MFY261018 MPU260953:MPU261018 MZQ260953:MZQ261018 NJM260953:NJM261018 NTI260953:NTI261018 ODE260953:ODE261018 ONA260953:ONA261018 OWW260953:OWW261018 PGS260953:PGS261018 PQO260953:PQO261018 QAK260953:QAK261018 QKG260953:QKG261018 QUC260953:QUC261018 RDY260953:RDY261018 RNU260953:RNU261018 RXQ260953:RXQ261018 SHM260953:SHM261018 SRI260953:SRI261018 TBE260953:TBE261018 TLA260953:TLA261018 TUW260953:TUW261018 UES260953:UES261018 UOO260953:UOO261018 UYK260953:UYK261018 VIG260953:VIG261018 VSC260953:VSC261018 WBY260953:WBY261018 WLU260953:WLU261018 WVQ260953:WVQ261018 I326489:I326554 JE326489:JE326554 TA326489:TA326554 ACW326489:ACW326554 AMS326489:AMS326554 AWO326489:AWO326554 BGK326489:BGK326554 BQG326489:BQG326554 CAC326489:CAC326554 CJY326489:CJY326554 CTU326489:CTU326554 DDQ326489:DDQ326554 DNM326489:DNM326554 DXI326489:DXI326554 EHE326489:EHE326554 ERA326489:ERA326554 FAW326489:FAW326554 FKS326489:FKS326554 FUO326489:FUO326554 GEK326489:GEK326554 GOG326489:GOG326554 GYC326489:GYC326554 HHY326489:HHY326554 HRU326489:HRU326554 IBQ326489:IBQ326554 ILM326489:ILM326554 IVI326489:IVI326554 JFE326489:JFE326554 JPA326489:JPA326554 JYW326489:JYW326554 KIS326489:KIS326554 KSO326489:KSO326554 LCK326489:LCK326554 LMG326489:LMG326554 LWC326489:LWC326554 MFY326489:MFY326554 MPU326489:MPU326554 MZQ326489:MZQ326554 NJM326489:NJM326554 NTI326489:NTI326554 ODE326489:ODE326554 ONA326489:ONA326554 OWW326489:OWW326554 PGS326489:PGS326554 PQO326489:PQO326554 QAK326489:QAK326554 QKG326489:QKG326554 QUC326489:QUC326554 RDY326489:RDY326554 RNU326489:RNU326554 RXQ326489:RXQ326554 SHM326489:SHM326554 SRI326489:SRI326554 TBE326489:TBE326554 TLA326489:TLA326554 TUW326489:TUW326554 UES326489:UES326554 UOO326489:UOO326554 UYK326489:UYK326554 VIG326489:VIG326554 VSC326489:VSC326554 WBY326489:WBY326554 WLU326489:WLU326554 WVQ326489:WVQ326554 I392025:I392090 JE392025:JE392090 TA392025:TA392090 ACW392025:ACW392090 AMS392025:AMS392090 AWO392025:AWO392090 BGK392025:BGK392090 BQG392025:BQG392090 CAC392025:CAC392090 CJY392025:CJY392090 CTU392025:CTU392090 DDQ392025:DDQ392090 DNM392025:DNM392090 DXI392025:DXI392090 EHE392025:EHE392090 ERA392025:ERA392090 FAW392025:FAW392090 FKS392025:FKS392090 FUO392025:FUO392090 GEK392025:GEK392090 GOG392025:GOG392090 GYC392025:GYC392090 HHY392025:HHY392090 HRU392025:HRU392090 IBQ392025:IBQ392090 ILM392025:ILM392090 IVI392025:IVI392090 JFE392025:JFE392090 JPA392025:JPA392090 JYW392025:JYW392090 KIS392025:KIS392090 KSO392025:KSO392090 LCK392025:LCK392090 LMG392025:LMG392090 LWC392025:LWC392090 MFY392025:MFY392090 MPU392025:MPU392090 MZQ392025:MZQ392090 NJM392025:NJM392090 NTI392025:NTI392090 ODE392025:ODE392090 ONA392025:ONA392090 OWW392025:OWW392090 PGS392025:PGS392090 PQO392025:PQO392090 QAK392025:QAK392090 QKG392025:QKG392090 QUC392025:QUC392090 RDY392025:RDY392090 RNU392025:RNU392090 RXQ392025:RXQ392090 SHM392025:SHM392090 SRI392025:SRI392090 TBE392025:TBE392090 TLA392025:TLA392090 TUW392025:TUW392090 UES392025:UES392090 UOO392025:UOO392090 UYK392025:UYK392090 VIG392025:VIG392090 VSC392025:VSC392090 WBY392025:WBY392090 WLU392025:WLU392090 WVQ392025:WVQ392090 I457561:I457626 JE457561:JE457626 TA457561:TA457626 ACW457561:ACW457626 AMS457561:AMS457626 AWO457561:AWO457626 BGK457561:BGK457626 BQG457561:BQG457626 CAC457561:CAC457626 CJY457561:CJY457626 CTU457561:CTU457626 DDQ457561:DDQ457626 DNM457561:DNM457626 DXI457561:DXI457626 EHE457561:EHE457626 ERA457561:ERA457626 FAW457561:FAW457626 FKS457561:FKS457626 FUO457561:FUO457626 GEK457561:GEK457626 GOG457561:GOG457626 GYC457561:GYC457626 HHY457561:HHY457626 HRU457561:HRU457626 IBQ457561:IBQ457626 ILM457561:ILM457626 IVI457561:IVI457626 JFE457561:JFE457626 JPA457561:JPA457626 JYW457561:JYW457626 KIS457561:KIS457626 KSO457561:KSO457626 LCK457561:LCK457626 LMG457561:LMG457626 LWC457561:LWC457626 MFY457561:MFY457626 MPU457561:MPU457626 MZQ457561:MZQ457626 NJM457561:NJM457626 NTI457561:NTI457626 ODE457561:ODE457626 ONA457561:ONA457626 OWW457561:OWW457626 PGS457561:PGS457626 PQO457561:PQO457626 QAK457561:QAK457626 QKG457561:QKG457626 QUC457561:QUC457626 RDY457561:RDY457626 RNU457561:RNU457626 RXQ457561:RXQ457626 SHM457561:SHM457626 SRI457561:SRI457626 TBE457561:TBE457626 TLA457561:TLA457626 TUW457561:TUW457626 UES457561:UES457626 UOO457561:UOO457626 UYK457561:UYK457626 VIG457561:VIG457626 VSC457561:VSC457626 WBY457561:WBY457626 WLU457561:WLU457626 WVQ457561:WVQ457626 I523097:I523162 JE523097:JE523162 TA523097:TA523162 ACW523097:ACW523162 AMS523097:AMS523162 AWO523097:AWO523162 BGK523097:BGK523162 BQG523097:BQG523162 CAC523097:CAC523162 CJY523097:CJY523162 CTU523097:CTU523162 DDQ523097:DDQ523162 DNM523097:DNM523162 DXI523097:DXI523162 EHE523097:EHE523162 ERA523097:ERA523162 FAW523097:FAW523162 FKS523097:FKS523162 FUO523097:FUO523162 GEK523097:GEK523162 GOG523097:GOG523162 GYC523097:GYC523162 HHY523097:HHY523162 HRU523097:HRU523162 IBQ523097:IBQ523162 ILM523097:ILM523162 IVI523097:IVI523162 JFE523097:JFE523162 JPA523097:JPA523162 JYW523097:JYW523162 KIS523097:KIS523162 KSO523097:KSO523162 LCK523097:LCK523162 LMG523097:LMG523162 LWC523097:LWC523162 MFY523097:MFY523162 MPU523097:MPU523162 MZQ523097:MZQ523162 NJM523097:NJM523162 NTI523097:NTI523162 ODE523097:ODE523162 ONA523097:ONA523162 OWW523097:OWW523162 PGS523097:PGS523162 PQO523097:PQO523162 QAK523097:QAK523162 QKG523097:QKG523162 QUC523097:QUC523162 RDY523097:RDY523162 RNU523097:RNU523162 RXQ523097:RXQ523162 SHM523097:SHM523162 SRI523097:SRI523162 TBE523097:TBE523162 TLA523097:TLA523162 TUW523097:TUW523162 UES523097:UES523162 UOO523097:UOO523162 UYK523097:UYK523162 VIG523097:VIG523162 VSC523097:VSC523162 WBY523097:WBY523162 WLU523097:WLU523162 WVQ523097:WVQ523162 I588633:I588698 JE588633:JE588698 TA588633:TA588698 ACW588633:ACW588698 AMS588633:AMS588698 AWO588633:AWO588698 BGK588633:BGK588698 BQG588633:BQG588698 CAC588633:CAC588698 CJY588633:CJY588698 CTU588633:CTU588698 DDQ588633:DDQ588698 DNM588633:DNM588698 DXI588633:DXI588698 EHE588633:EHE588698 ERA588633:ERA588698 FAW588633:FAW588698 FKS588633:FKS588698 FUO588633:FUO588698 GEK588633:GEK588698 GOG588633:GOG588698 GYC588633:GYC588698 HHY588633:HHY588698 HRU588633:HRU588698 IBQ588633:IBQ588698 ILM588633:ILM588698 IVI588633:IVI588698 JFE588633:JFE588698 JPA588633:JPA588698 JYW588633:JYW588698 KIS588633:KIS588698 KSO588633:KSO588698 LCK588633:LCK588698 LMG588633:LMG588698 LWC588633:LWC588698 MFY588633:MFY588698 MPU588633:MPU588698 MZQ588633:MZQ588698 NJM588633:NJM588698 NTI588633:NTI588698 ODE588633:ODE588698 ONA588633:ONA588698 OWW588633:OWW588698 PGS588633:PGS588698 PQO588633:PQO588698 QAK588633:QAK588698 QKG588633:QKG588698 QUC588633:QUC588698 RDY588633:RDY588698 RNU588633:RNU588698 RXQ588633:RXQ588698 SHM588633:SHM588698 SRI588633:SRI588698 TBE588633:TBE588698 TLA588633:TLA588698 TUW588633:TUW588698 UES588633:UES588698 UOO588633:UOO588698 UYK588633:UYK588698 VIG588633:VIG588698 VSC588633:VSC588698 WBY588633:WBY588698 WLU588633:WLU588698 WVQ588633:WVQ588698 I654169:I654234 JE654169:JE654234 TA654169:TA654234 ACW654169:ACW654234 AMS654169:AMS654234 AWO654169:AWO654234 BGK654169:BGK654234 BQG654169:BQG654234 CAC654169:CAC654234 CJY654169:CJY654234 CTU654169:CTU654234 DDQ654169:DDQ654234 DNM654169:DNM654234 DXI654169:DXI654234 EHE654169:EHE654234 ERA654169:ERA654234 FAW654169:FAW654234 FKS654169:FKS654234 FUO654169:FUO654234 GEK654169:GEK654234 GOG654169:GOG654234 GYC654169:GYC654234 HHY654169:HHY654234 HRU654169:HRU654234 IBQ654169:IBQ654234 ILM654169:ILM654234 IVI654169:IVI654234 JFE654169:JFE654234 JPA654169:JPA654234 JYW654169:JYW654234 KIS654169:KIS654234 KSO654169:KSO654234 LCK654169:LCK654234 LMG654169:LMG654234 LWC654169:LWC654234 MFY654169:MFY654234 MPU654169:MPU654234 MZQ654169:MZQ654234 NJM654169:NJM654234 NTI654169:NTI654234 ODE654169:ODE654234 ONA654169:ONA654234 OWW654169:OWW654234 PGS654169:PGS654234 PQO654169:PQO654234 QAK654169:QAK654234 QKG654169:QKG654234 QUC654169:QUC654234 RDY654169:RDY654234 RNU654169:RNU654234 RXQ654169:RXQ654234 SHM654169:SHM654234 SRI654169:SRI654234 TBE654169:TBE654234 TLA654169:TLA654234 TUW654169:TUW654234 UES654169:UES654234 UOO654169:UOO654234 UYK654169:UYK654234 VIG654169:VIG654234 VSC654169:VSC654234 WBY654169:WBY654234 WLU654169:WLU654234 WVQ654169:WVQ654234 I719705:I719770 JE719705:JE719770 TA719705:TA719770 ACW719705:ACW719770 AMS719705:AMS719770 AWO719705:AWO719770 BGK719705:BGK719770 BQG719705:BQG719770 CAC719705:CAC719770 CJY719705:CJY719770 CTU719705:CTU719770 DDQ719705:DDQ719770 DNM719705:DNM719770 DXI719705:DXI719770 EHE719705:EHE719770 ERA719705:ERA719770 FAW719705:FAW719770 FKS719705:FKS719770 FUO719705:FUO719770 GEK719705:GEK719770 GOG719705:GOG719770 GYC719705:GYC719770 HHY719705:HHY719770 HRU719705:HRU719770 IBQ719705:IBQ719770 ILM719705:ILM719770 IVI719705:IVI719770 JFE719705:JFE719770 JPA719705:JPA719770 JYW719705:JYW719770 KIS719705:KIS719770 KSO719705:KSO719770 LCK719705:LCK719770 LMG719705:LMG719770 LWC719705:LWC719770 MFY719705:MFY719770 MPU719705:MPU719770 MZQ719705:MZQ719770 NJM719705:NJM719770 NTI719705:NTI719770 ODE719705:ODE719770 ONA719705:ONA719770 OWW719705:OWW719770 PGS719705:PGS719770 PQO719705:PQO719770 QAK719705:QAK719770 QKG719705:QKG719770 QUC719705:QUC719770 RDY719705:RDY719770 RNU719705:RNU719770 RXQ719705:RXQ719770 SHM719705:SHM719770 SRI719705:SRI719770 TBE719705:TBE719770 TLA719705:TLA719770 TUW719705:TUW719770 UES719705:UES719770 UOO719705:UOO719770 UYK719705:UYK719770 VIG719705:VIG719770 VSC719705:VSC719770 WBY719705:WBY719770 WLU719705:WLU719770 WVQ719705:WVQ719770 I785241:I785306 JE785241:JE785306 TA785241:TA785306 ACW785241:ACW785306 AMS785241:AMS785306 AWO785241:AWO785306 BGK785241:BGK785306 BQG785241:BQG785306 CAC785241:CAC785306 CJY785241:CJY785306 CTU785241:CTU785306 DDQ785241:DDQ785306 DNM785241:DNM785306 DXI785241:DXI785306 EHE785241:EHE785306 ERA785241:ERA785306 FAW785241:FAW785306 FKS785241:FKS785306 FUO785241:FUO785306 GEK785241:GEK785306 GOG785241:GOG785306 GYC785241:GYC785306 HHY785241:HHY785306 HRU785241:HRU785306 IBQ785241:IBQ785306 ILM785241:ILM785306 IVI785241:IVI785306 JFE785241:JFE785306 JPA785241:JPA785306 JYW785241:JYW785306 KIS785241:KIS785306 KSO785241:KSO785306 LCK785241:LCK785306 LMG785241:LMG785306 LWC785241:LWC785306 MFY785241:MFY785306 MPU785241:MPU785306 MZQ785241:MZQ785306 NJM785241:NJM785306 NTI785241:NTI785306 ODE785241:ODE785306 ONA785241:ONA785306 OWW785241:OWW785306 PGS785241:PGS785306 PQO785241:PQO785306 QAK785241:QAK785306 QKG785241:QKG785306 QUC785241:QUC785306 RDY785241:RDY785306 RNU785241:RNU785306 RXQ785241:RXQ785306 SHM785241:SHM785306 SRI785241:SRI785306 TBE785241:TBE785306 TLA785241:TLA785306 TUW785241:TUW785306 UES785241:UES785306 UOO785241:UOO785306 UYK785241:UYK785306 VIG785241:VIG785306 VSC785241:VSC785306 WBY785241:WBY785306 WLU785241:WLU785306 WVQ785241:WVQ785306 I850777:I850842 JE850777:JE850842 TA850777:TA850842 ACW850777:ACW850842 AMS850777:AMS850842 AWO850777:AWO850842 BGK850777:BGK850842 BQG850777:BQG850842 CAC850777:CAC850842 CJY850777:CJY850842 CTU850777:CTU850842 DDQ850777:DDQ850842 DNM850777:DNM850842 DXI850777:DXI850842 EHE850777:EHE850842 ERA850777:ERA850842 FAW850777:FAW850842 FKS850777:FKS850842 FUO850777:FUO850842 GEK850777:GEK850842 GOG850777:GOG850842 GYC850777:GYC850842 HHY850777:HHY850842 HRU850777:HRU850842 IBQ850777:IBQ850842 ILM850777:ILM850842 IVI850777:IVI850842 JFE850777:JFE850842 JPA850777:JPA850842 JYW850777:JYW850842 KIS850777:KIS850842 KSO850777:KSO850842 LCK850777:LCK850842 LMG850777:LMG850842 LWC850777:LWC850842 MFY850777:MFY850842 MPU850777:MPU850842 MZQ850777:MZQ850842 NJM850777:NJM850842 NTI850777:NTI850842 ODE850777:ODE850842 ONA850777:ONA850842 OWW850777:OWW850842 PGS850777:PGS850842 PQO850777:PQO850842 QAK850777:QAK850842 QKG850777:QKG850842 QUC850777:QUC850842 RDY850777:RDY850842 RNU850777:RNU850842 RXQ850777:RXQ850842 SHM850777:SHM850842 SRI850777:SRI850842 TBE850777:TBE850842 TLA850777:TLA850842 TUW850777:TUW850842 UES850777:UES850842 UOO850777:UOO850842 UYK850777:UYK850842 VIG850777:VIG850842 VSC850777:VSC850842 WBY850777:WBY850842 WLU850777:WLU850842 WVQ850777:WVQ850842 I916313:I916378 JE916313:JE916378 TA916313:TA916378 ACW916313:ACW916378 AMS916313:AMS916378 AWO916313:AWO916378 BGK916313:BGK916378 BQG916313:BQG916378 CAC916313:CAC916378 CJY916313:CJY916378 CTU916313:CTU916378 DDQ916313:DDQ916378 DNM916313:DNM916378 DXI916313:DXI916378 EHE916313:EHE916378 ERA916313:ERA916378 FAW916313:FAW916378 FKS916313:FKS916378 FUO916313:FUO916378 GEK916313:GEK916378 GOG916313:GOG916378 GYC916313:GYC916378 HHY916313:HHY916378 HRU916313:HRU916378 IBQ916313:IBQ916378 ILM916313:ILM916378 IVI916313:IVI916378 JFE916313:JFE916378 JPA916313:JPA916378 JYW916313:JYW916378 KIS916313:KIS916378 KSO916313:KSO916378 LCK916313:LCK916378 LMG916313:LMG916378 LWC916313:LWC916378 MFY916313:MFY916378 MPU916313:MPU916378 MZQ916313:MZQ916378 NJM916313:NJM916378 NTI916313:NTI916378 ODE916313:ODE916378 ONA916313:ONA916378 OWW916313:OWW916378 PGS916313:PGS916378 PQO916313:PQO916378 QAK916313:QAK916378 QKG916313:QKG916378 QUC916313:QUC916378 RDY916313:RDY916378 RNU916313:RNU916378 RXQ916313:RXQ916378 SHM916313:SHM916378 SRI916313:SRI916378 TBE916313:TBE916378 TLA916313:TLA916378 TUW916313:TUW916378 UES916313:UES916378 UOO916313:UOO916378 UYK916313:UYK916378 VIG916313:VIG916378 VSC916313:VSC916378 WBY916313:WBY916378 WLU916313:WLU916378 WVQ916313:WVQ916378 I981849:I981914 JE981849:JE981914 TA981849:TA981914 ACW981849:ACW981914 AMS981849:AMS981914 AWO981849:AWO981914 BGK981849:BGK981914 BQG981849:BQG981914 CAC981849:CAC981914 CJY981849:CJY981914 CTU981849:CTU981914 DDQ981849:DDQ981914 DNM981849:DNM981914 DXI981849:DXI981914 EHE981849:EHE981914 ERA981849:ERA981914 FAW981849:FAW981914 FKS981849:FKS981914 FUO981849:FUO981914 GEK981849:GEK981914 GOG981849:GOG981914 GYC981849:GYC981914 HHY981849:HHY981914 HRU981849:HRU981914 IBQ981849:IBQ981914 ILM981849:ILM981914 IVI981849:IVI981914 JFE981849:JFE981914 JPA981849:JPA981914 JYW981849:JYW981914 KIS981849:KIS981914 KSO981849:KSO981914 LCK981849:LCK981914 LMG981849:LMG981914 LWC981849:LWC981914 MFY981849:MFY981914 MPU981849:MPU981914 MZQ981849:MZQ981914 NJM981849:NJM981914 NTI981849:NTI981914 ODE981849:ODE981914 ONA981849:ONA981914 OWW981849:OWW981914 PGS981849:PGS981914 PQO981849:PQO981914 QAK981849:QAK981914 QKG981849:QKG981914 QUC981849:QUC981914 RDY981849:RDY981914 RNU981849:RNU981914 RXQ981849:RXQ981914 SHM981849:SHM981914 SRI981849:SRI981914 TBE981849:TBE981914 TLA981849:TLA981914 TUW981849:TUW981914 UES981849:UES981914 UOO981849:UOO981914 UYK981849:UYK981914 VIG981849:VIG981914 VSC981849:VSC981914 WBY981849:WBY981914 WLU981849:WLU981914 WVQ981849:WVQ981914 I1047385:I1047450 JE1047385:JE1047450 TA1047385:TA1047450 ACW1047385:ACW1047450 AMS1047385:AMS1047450 AWO1047385:AWO1047450 BGK1047385:BGK1047450 BQG1047385:BQG1047450 CAC1047385:CAC1047450 CJY1047385:CJY1047450 CTU1047385:CTU1047450 DDQ1047385:DDQ1047450 DNM1047385:DNM1047450 DXI1047385:DXI1047450 EHE1047385:EHE1047450 ERA1047385:ERA1047450 FAW1047385:FAW1047450 FKS1047385:FKS1047450 FUO1047385:FUO1047450 GEK1047385:GEK1047450 GOG1047385:GOG1047450 GYC1047385:GYC1047450 HHY1047385:HHY1047450 HRU1047385:HRU1047450 IBQ1047385:IBQ1047450 ILM1047385:ILM1047450 IVI1047385:IVI1047450 JFE1047385:JFE1047450 JPA1047385:JPA1047450 JYW1047385:JYW1047450 KIS1047385:KIS1047450 KSO1047385:KSO1047450 LCK1047385:LCK1047450 LMG1047385:LMG1047450 LWC1047385:LWC1047450 MFY1047385:MFY1047450 MPU1047385:MPU1047450 MZQ1047385:MZQ1047450 NJM1047385:NJM1047450 NTI1047385:NTI1047450 ODE1047385:ODE1047450 ONA1047385:ONA1047450 OWW1047385:OWW1047450 PGS1047385:PGS1047450 PQO1047385:PQO1047450 QAK1047385:QAK1047450 QKG1047385:QKG1047450 QUC1047385:QUC1047450 RDY1047385:RDY1047450 RNU1047385:RNU1047450 RXQ1047385:RXQ1047450 SHM1047385:SHM1047450 SRI1047385:SRI1047450 TBE1047385:TBE1047450 TLA1047385:TLA1047450 TUW1047385:TUW1047450 UES1047385:UES1047450 UOO1047385:UOO1047450 UYK1047385:UYK1047450 VIG1047385:VIG1047450 VSC1047385:VSC1047450 WBY1047385:WBY1047450 WLU1047385:WLU1047450 WVQ1047385:WVQ1047450 WVQ983024:WVQ983089 I65520:I65585 JE65520:JE65585 TA65520:TA65585 ACW65520:ACW65585 AMS65520:AMS65585 AWO65520:AWO65585 BGK65520:BGK65585 BQG65520:BQG65585 CAC65520:CAC65585 CJY65520:CJY65585 CTU65520:CTU65585 DDQ65520:DDQ65585 DNM65520:DNM65585 DXI65520:DXI65585 EHE65520:EHE65585 ERA65520:ERA65585 FAW65520:FAW65585 FKS65520:FKS65585 FUO65520:FUO65585 GEK65520:GEK65585 GOG65520:GOG65585 GYC65520:GYC65585 HHY65520:HHY65585 HRU65520:HRU65585 IBQ65520:IBQ65585 ILM65520:ILM65585 IVI65520:IVI65585 JFE65520:JFE65585 JPA65520:JPA65585 JYW65520:JYW65585 KIS65520:KIS65585 KSO65520:KSO65585 LCK65520:LCK65585 LMG65520:LMG65585 LWC65520:LWC65585 MFY65520:MFY65585 MPU65520:MPU65585 MZQ65520:MZQ65585 NJM65520:NJM65585 NTI65520:NTI65585 ODE65520:ODE65585 ONA65520:ONA65585 OWW65520:OWW65585 PGS65520:PGS65585 PQO65520:PQO65585 QAK65520:QAK65585 QKG65520:QKG65585 QUC65520:QUC65585 RDY65520:RDY65585 RNU65520:RNU65585 RXQ65520:RXQ65585 SHM65520:SHM65585 SRI65520:SRI65585 TBE65520:TBE65585 TLA65520:TLA65585 TUW65520:TUW65585 UES65520:UES65585 UOO65520:UOO65585 UYK65520:UYK65585 VIG65520:VIG65585 VSC65520:VSC65585 WBY65520:WBY65585 WLU65520:WLU65585 WVQ65520:WVQ65585 I131056:I131121 JE131056:JE131121 TA131056:TA131121 ACW131056:ACW131121 AMS131056:AMS131121 AWO131056:AWO131121 BGK131056:BGK131121 BQG131056:BQG131121 CAC131056:CAC131121 CJY131056:CJY131121 CTU131056:CTU131121 DDQ131056:DDQ131121 DNM131056:DNM131121 DXI131056:DXI131121 EHE131056:EHE131121 ERA131056:ERA131121 FAW131056:FAW131121 FKS131056:FKS131121 FUO131056:FUO131121 GEK131056:GEK131121 GOG131056:GOG131121 GYC131056:GYC131121 HHY131056:HHY131121 HRU131056:HRU131121 IBQ131056:IBQ131121 ILM131056:ILM131121 IVI131056:IVI131121 JFE131056:JFE131121 JPA131056:JPA131121 JYW131056:JYW131121 KIS131056:KIS131121 KSO131056:KSO131121 LCK131056:LCK131121 LMG131056:LMG131121 LWC131056:LWC131121 MFY131056:MFY131121 MPU131056:MPU131121 MZQ131056:MZQ131121 NJM131056:NJM131121 NTI131056:NTI131121 ODE131056:ODE131121 ONA131056:ONA131121 OWW131056:OWW131121 PGS131056:PGS131121 PQO131056:PQO131121 QAK131056:QAK131121 QKG131056:QKG131121 QUC131056:QUC131121 RDY131056:RDY131121 RNU131056:RNU131121 RXQ131056:RXQ131121 SHM131056:SHM131121 SRI131056:SRI131121 TBE131056:TBE131121 TLA131056:TLA131121 TUW131056:TUW131121 UES131056:UES131121 UOO131056:UOO131121 UYK131056:UYK131121 VIG131056:VIG131121 VSC131056:VSC131121 WBY131056:WBY131121 WLU131056:WLU131121 WVQ131056:WVQ131121 I196592:I196657 JE196592:JE196657 TA196592:TA196657 ACW196592:ACW196657 AMS196592:AMS196657 AWO196592:AWO196657 BGK196592:BGK196657 BQG196592:BQG196657 CAC196592:CAC196657 CJY196592:CJY196657 CTU196592:CTU196657 DDQ196592:DDQ196657 DNM196592:DNM196657 DXI196592:DXI196657 EHE196592:EHE196657 ERA196592:ERA196657 FAW196592:FAW196657 FKS196592:FKS196657 FUO196592:FUO196657 GEK196592:GEK196657 GOG196592:GOG196657 GYC196592:GYC196657 HHY196592:HHY196657 HRU196592:HRU196657 IBQ196592:IBQ196657 ILM196592:ILM196657 IVI196592:IVI196657 JFE196592:JFE196657 JPA196592:JPA196657 JYW196592:JYW196657 KIS196592:KIS196657 KSO196592:KSO196657 LCK196592:LCK196657 LMG196592:LMG196657 LWC196592:LWC196657 MFY196592:MFY196657 MPU196592:MPU196657 MZQ196592:MZQ196657 NJM196592:NJM196657 NTI196592:NTI196657 ODE196592:ODE196657 ONA196592:ONA196657 OWW196592:OWW196657 PGS196592:PGS196657 PQO196592:PQO196657 QAK196592:QAK196657 QKG196592:QKG196657 QUC196592:QUC196657 RDY196592:RDY196657 RNU196592:RNU196657 RXQ196592:RXQ196657 SHM196592:SHM196657 SRI196592:SRI196657 TBE196592:TBE196657 TLA196592:TLA196657 TUW196592:TUW196657 UES196592:UES196657 UOO196592:UOO196657 UYK196592:UYK196657 VIG196592:VIG196657 VSC196592:VSC196657 WBY196592:WBY196657 WLU196592:WLU196657 WVQ196592:WVQ196657 I262128:I262193 JE262128:JE262193 TA262128:TA262193 ACW262128:ACW262193 AMS262128:AMS262193 AWO262128:AWO262193 BGK262128:BGK262193 BQG262128:BQG262193 CAC262128:CAC262193 CJY262128:CJY262193 CTU262128:CTU262193 DDQ262128:DDQ262193 DNM262128:DNM262193 DXI262128:DXI262193 EHE262128:EHE262193 ERA262128:ERA262193 FAW262128:FAW262193 FKS262128:FKS262193 FUO262128:FUO262193 GEK262128:GEK262193 GOG262128:GOG262193 GYC262128:GYC262193 HHY262128:HHY262193 HRU262128:HRU262193 IBQ262128:IBQ262193 ILM262128:ILM262193 IVI262128:IVI262193 JFE262128:JFE262193 JPA262128:JPA262193 JYW262128:JYW262193 KIS262128:KIS262193 KSO262128:KSO262193 LCK262128:LCK262193 LMG262128:LMG262193 LWC262128:LWC262193 MFY262128:MFY262193 MPU262128:MPU262193 MZQ262128:MZQ262193 NJM262128:NJM262193 NTI262128:NTI262193 ODE262128:ODE262193 ONA262128:ONA262193 OWW262128:OWW262193 PGS262128:PGS262193 PQO262128:PQO262193 QAK262128:QAK262193 QKG262128:QKG262193 QUC262128:QUC262193 RDY262128:RDY262193 RNU262128:RNU262193 RXQ262128:RXQ262193 SHM262128:SHM262193 SRI262128:SRI262193 TBE262128:TBE262193 TLA262128:TLA262193 TUW262128:TUW262193 UES262128:UES262193 UOO262128:UOO262193 UYK262128:UYK262193 VIG262128:VIG262193 VSC262128:VSC262193 WBY262128:WBY262193 WLU262128:WLU262193 WVQ262128:WVQ262193 I327664:I327729 JE327664:JE327729 TA327664:TA327729 ACW327664:ACW327729 AMS327664:AMS327729 AWO327664:AWO327729 BGK327664:BGK327729 BQG327664:BQG327729 CAC327664:CAC327729 CJY327664:CJY327729 CTU327664:CTU327729 DDQ327664:DDQ327729 DNM327664:DNM327729 DXI327664:DXI327729 EHE327664:EHE327729 ERA327664:ERA327729 FAW327664:FAW327729 FKS327664:FKS327729 FUO327664:FUO327729 GEK327664:GEK327729 GOG327664:GOG327729 GYC327664:GYC327729 HHY327664:HHY327729 HRU327664:HRU327729 IBQ327664:IBQ327729 ILM327664:ILM327729 IVI327664:IVI327729 JFE327664:JFE327729 JPA327664:JPA327729 JYW327664:JYW327729 KIS327664:KIS327729 KSO327664:KSO327729 LCK327664:LCK327729 LMG327664:LMG327729 LWC327664:LWC327729 MFY327664:MFY327729 MPU327664:MPU327729 MZQ327664:MZQ327729 NJM327664:NJM327729 NTI327664:NTI327729 ODE327664:ODE327729 ONA327664:ONA327729 OWW327664:OWW327729 PGS327664:PGS327729 PQO327664:PQO327729 QAK327664:QAK327729 QKG327664:QKG327729 QUC327664:QUC327729 RDY327664:RDY327729 RNU327664:RNU327729 RXQ327664:RXQ327729 SHM327664:SHM327729 SRI327664:SRI327729 TBE327664:TBE327729 TLA327664:TLA327729 TUW327664:TUW327729 UES327664:UES327729 UOO327664:UOO327729 UYK327664:UYK327729 VIG327664:VIG327729 VSC327664:VSC327729 WBY327664:WBY327729 WLU327664:WLU327729 WVQ327664:WVQ327729 I393200:I393265 JE393200:JE393265 TA393200:TA393265 ACW393200:ACW393265 AMS393200:AMS393265 AWO393200:AWO393265 BGK393200:BGK393265 BQG393200:BQG393265 CAC393200:CAC393265 CJY393200:CJY393265 CTU393200:CTU393265 DDQ393200:DDQ393265 DNM393200:DNM393265 DXI393200:DXI393265 EHE393200:EHE393265 ERA393200:ERA393265 FAW393200:FAW393265 FKS393200:FKS393265 FUO393200:FUO393265 GEK393200:GEK393265 GOG393200:GOG393265 GYC393200:GYC393265 HHY393200:HHY393265 HRU393200:HRU393265 IBQ393200:IBQ393265 ILM393200:ILM393265 IVI393200:IVI393265 JFE393200:JFE393265 JPA393200:JPA393265 JYW393200:JYW393265 KIS393200:KIS393265 KSO393200:KSO393265 LCK393200:LCK393265 LMG393200:LMG393265 LWC393200:LWC393265 MFY393200:MFY393265 MPU393200:MPU393265 MZQ393200:MZQ393265 NJM393200:NJM393265 NTI393200:NTI393265 ODE393200:ODE393265 ONA393200:ONA393265 OWW393200:OWW393265 PGS393200:PGS393265 PQO393200:PQO393265 QAK393200:QAK393265 QKG393200:QKG393265 QUC393200:QUC393265 RDY393200:RDY393265 RNU393200:RNU393265 RXQ393200:RXQ393265 SHM393200:SHM393265 SRI393200:SRI393265 TBE393200:TBE393265 TLA393200:TLA393265 TUW393200:TUW393265 UES393200:UES393265 UOO393200:UOO393265 UYK393200:UYK393265 VIG393200:VIG393265 VSC393200:VSC393265 WBY393200:WBY393265 WLU393200:WLU393265 WVQ393200:WVQ393265 I458736:I458801 JE458736:JE458801 TA458736:TA458801 ACW458736:ACW458801 AMS458736:AMS458801 AWO458736:AWO458801 BGK458736:BGK458801 BQG458736:BQG458801 CAC458736:CAC458801 CJY458736:CJY458801 CTU458736:CTU458801 DDQ458736:DDQ458801 DNM458736:DNM458801 DXI458736:DXI458801 EHE458736:EHE458801 ERA458736:ERA458801 FAW458736:FAW458801 FKS458736:FKS458801 FUO458736:FUO458801 GEK458736:GEK458801 GOG458736:GOG458801 GYC458736:GYC458801 HHY458736:HHY458801 HRU458736:HRU458801 IBQ458736:IBQ458801 ILM458736:ILM458801 IVI458736:IVI458801 JFE458736:JFE458801 JPA458736:JPA458801 JYW458736:JYW458801 KIS458736:KIS458801 KSO458736:KSO458801 LCK458736:LCK458801 LMG458736:LMG458801 LWC458736:LWC458801 MFY458736:MFY458801 MPU458736:MPU458801 MZQ458736:MZQ458801 NJM458736:NJM458801 NTI458736:NTI458801 ODE458736:ODE458801 ONA458736:ONA458801 OWW458736:OWW458801 PGS458736:PGS458801 PQO458736:PQO458801 QAK458736:QAK458801 QKG458736:QKG458801 QUC458736:QUC458801 RDY458736:RDY458801 RNU458736:RNU458801 RXQ458736:RXQ458801 SHM458736:SHM458801 SRI458736:SRI458801 TBE458736:TBE458801 TLA458736:TLA458801 TUW458736:TUW458801 UES458736:UES458801 UOO458736:UOO458801 UYK458736:UYK458801 VIG458736:VIG458801 VSC458736:VSC458801 WBY458736:WBY458801 WLU458736:WLU458801 WVQ458736:WVQ458801 I524272:I524337 JE524272:JE524337 TA524272:TA524337 ACW524272:ACW524337 AMS524272:AMS524337 AWO524272:AWO524337 BGK524272:BGK524337 BQG524272:BQG524337 CAC524272:CAC524337 CJY524272:CJY524337 CTU524272:CTU524337 DDQ524272:DDQ524337 DNM524272:DNM524337 DXI524272:DXI524337 EHE524272:EHE524337 ERA524272:ERA524337 FAW524272:FAW524337 FKS524272:FKS524337 FUO524272:FUO524337 GEK524272:GEK524337 GOG524272:GOG524337 GYC524272:GYC524337 HHY524272:HHY524337 HRU524272:HRU524337 IBQ524272:IBQ524337 ILM524272:ILM524337 IVI524272:IVI524337 JFE524272:JFE524337 JPA524272:JPA524337 JYW524272:JYW524337 KIS524272:KIS524337 KSO524272:KSO524337 LCK524272:LCK524337 LMG524272:LMG524337 LWC524272:LWC524337 MFY524272:MFY524337 MPU524272:MPU524337 MZQ524272:MZQ524337 NJM524272:NJM524337 NTI524272:NTI524337 ODE524272:ODE524337 ONA524272:ONA524337 OWW524272:OWW524337 PGS524272:PGS524337 PQO524272:PQO524337 QAK524272:QAK524337 QKG524272:QKG524337 QUC524272:QUC524337 RDY524272:RDY524337 RNU524272:RNU524337 RXQ524272:RXQ524337 SHM524272:SHM524337 SRI524272:SRI524337 TBE524272:TBE524337 TLA524272:TLA524337 TUW524272:TUW524337 UES524272:UES524337 UOO524272:UOO524337 UYK524272:UYK524337 VIG524272:VIG524337 VSC524272:VSC524337 WBY524272:WBY524337 WLU524272:WLU524337 WVQ524272:WVQ524337 I589808:I589873 JE589808:JE589873 TA589808:TA589873 ACW589808:ACW589873 AMS589808:AMS589873 AWO589808:AWO589873 BGK589808:BGK589873 BQG589808:BQG589873 CAC589808:CAC589873 CJY589808:CJY589873 CTU589808:CTU589873 DDQ589808:DDQ589873 DNM589808:DNM589873 DXI589808:DXI589873 EHE589808:EHE589873 ERA589808:ERA589873 FAW589808:FAW589873 FKS589808:FKS589873 FUO589808:FUO589873 GEK589808:GEK589873 GOG589808:GOG589873 GYC589808:GYC589873 HHY589808:HHY589873 HRU589808:HRU589873 IBQ589808:IBQ589873 ILM589808:ILM589873 IVI589808:IVI589873 JFE589808:JFE589873 JPA589808:JPA589873 JYW589808:JYW589873 KIS589808:KIS589873 KSO589808:KSO589873 LCK589808:LCK589873 LMG589808:LMG589873 LWC589808:LWC589873 MFY589808:MFY589873 MPU589808:MPU589873 MZQ589808:MZQ589873 NJM589808:NJM589873 NTI589808:NTI589873 ODE589808:ODE589873 ONA589808:ONA589873 OWW589808:OWW589873 PGS589808:PGS589873 PQO589808:PQO589873 QAK589808:QAK589873 QKG589808:QKG589873 QUC589808:QUC589873 RDY589808:RDY589873 RNU589808:RNU589873 RXQ589808:RXQ589873 SHM589808:SHM589873 SRI589808:SRI589873 TBE589808:TBE589873 TLA589808:TLA589873 TUW589808:TUW589873 UES589808:UES589873 UOO589808:UOO589873 UYK589808:UYK589873 VIG589808:VIG589873 VSC589808:VSC589873 WBY589808:WBY589873 WLU589808:WLU589873 WVQ589808:WVQ589873 I655344:I655409 JE655344:JE655409 TA655344:TA655409 ACW655344:ACW655409 AMS655344:AMS655409 AWO655344:AWO655409 BGK655344:BGK655409 BQG655344:BQG655409 CAC655344:CAC655409 CJY655344:CJY655409 CTU655344:CTU655409 DDQ655344:DDQ655409 DNM655344:DNM655409 DXI655344:DXI655409 EHE655344:EHE655409 ERA655344:ERA655409 FAW655344:FAW655409 FKS655344:FKS655409 FUO655344:FUO655409 GEK655344:GEK655409 GOG655344:GOG655409 GYC655344:GYC655409 HHY655344:HHY655409 HRU655344:HRU655409 IBQ655344:IBQ655409 ILM655344:ILM655409 IVI655344:IVI655409 JFE655344:JFE655409 JPA655344:JPA655409 JYW655344:JYW655409 KIS655344:KIS655409 KSO655344:KSO655409 LCK655344:LCK655409 LMG655344:LMG655409 LWC655344:LWC655409 MFY655344:MFY655409 MPU655344:MPU655409 MZQ655344:MZQ655409 NJM655344:NJM655409 NTI655344:NTI655409 ODE655344:ODE655409 ONA655344:ONA655409 OWW655344:OWW655409 PGS655344:PGS655409 PQO655344:PQO655409 QAK655344:QAK655409 QKG655344:QKG655409 QUC655344:QUC655409 RDY655344:RDY655409 RNU655344:RNU655409 RXQ655344:RXQ655409 SHM655344:SHM655409 SRI655344:SRI655409 TBE655344:TBE655409 TLA655344:TLA655409 TUW655344:TUW655409 UES655344:UES655409 UOO655344:UOO655409 UYK655344:UYK655409 VIG655344:VIG655409 VSC655344:VSC655409 WBY655344:WBY655409 WLU655344:WLU655409 WVQ655344:WVQ655409 I720880:I720945 JE720880:JE720945 TA720880:TA720945 ACW720880:ACW720945 AMS720880:AMS720945 AWO720880:AWO720945 BGK720880:BGK720945 BQG720880:BQG720945 CAC720880:CAC720945 CJY720880:CJY720945 CTU720880:CTU720945 DDQ720880:DDQ720945 DNM720880:DNM720945 DXI720880:DXI720945 EHE720880:EHE720945 ERA720880:ERA720945 FAW720880:FAW720945 FKS720880:FKS720945 FUO720880:FUO720945 GEK720880:GEK720945 GOG720880:GOG720945 GYC720880:GYC720945 HHY720880:HHY720945 HRU720880:HRU720945 IBQ720880:IBQ720945 ILM720880:ILM720945 IVI720880:IVI720945 JFE720880:JFE720945 JPA720880:JPA720945 JYW720880:JYW720945 KIS720880:KIS720945 KSO720880:KSO720945 LCK720880:LCK720945 LMG720880:LMG720945 LWC720880:LWC720945 MFY720880:MFY720945 MPU720880:MPU720945 MZQ720880:MZQ720945 NJM720880:NJM720945 NTI720880:NTI720945 ODE720880:ODE720945 ONA720880:ONA720945 OWW720880:OWW720945 PGS720880:PGS720945 PQO720880:PQO720945 QAK720880:QAK720945 QKG720880:QKG720945 QUC720880:QUC720945 RDY720880:RDY720945 RNU720880:RNU720945 RXQ720880:RXQ720945 SHM720880:SHM720945 SRI720880:SRI720945 TBE720880:TBE720945 TLA720880:TLA720945 TUW720880:TUW720945 UES720880:UES720945 UOO720880:UOO720945 UYK720880:UYK720945 VIG720880:VIG720945 VSC720880:VSC720945 WBY720880:WBY720945 WLU720880:WLU720945 WVQ720880:WVQ720945 I786416:I786481 JE786416:JE786481 TA786416:TA786481 ACW786416:ACW786481 AMS786416:AMS786481 AWO786416:AWO786481 BGK786416:BGK786481 BQG786416:BQG786481 CAC786416:CAC786481 CJY786416:CJY786481 CTU786416:CTU786481 DDQ786416:DDQ786481 DNM786416:DNM786481 DXI786416:DXI786481 EHE786416:EHE786481 ERA786416:ERA786481 FAW786416:FAW786481 FKS786416:FKS786481 FUO786416:FUO786481 GEK786416:GEK786481 GOG786416:GOG786481 GYC786416:GYC786481 HHY786416:HHY786481 HRU786416:HRU786481 IBQ786416:IBQ786481 ILM786416:ILM786481 IVI786416:IVI786481 JFE786416:JFE786481 JPA786416:JPA786481 JYW786416:JYW786481 KIS786416:KIS786481 KSO786416:KSO786481 LCK786416:LCK786481 LMG786416:LMG786481 LWC786416:LWC786481 MFY786416:MFY786481 MPU786416:MPU786481 MZQ786416:MZQ786481 NJM786416:NJM786481 NTI786416:NTI786481 ODE786416:ODE786481 ONA786416:ONA786481 OWW786416:OWW786481 PGS786416:PGS786481 PQO786416:PQO786481 QAK786416:QAK786481 QKG786416:QKG786481 QUC786416:QUC786481 RDY786416:RDY786481 RNU786416:RNU786481 RXQ786416:RXQ786481 SHM786416:SHM786481 SRI786416:SRI786481 TBE786416:TBE786481 TLA786416:TLA786481 TUW786416:TUW786481 UES786416:UES786481 UOO786416:UOO786481 UYK786416:UYK786481 VIG786416:VIG786481 VSC786416:VSC786481 WBY786416:WBY786481 WLU786416:WLU786481 WVQ786416:WVQ786481 I851952:I852017 JE851952:JE852017 TA851952:TA852017 ACW851952:ACW852017 AMS851952:AMS852017 AWO851952:AWO852017 BGK851952:BGK852017 BQG851952:BQG852017 CAC851952:CAC852017 CJY851952:CJY852017 CTU851952:CTU852017 DDQ851952:DDQ852017 DNM851952:DNM852017 DXI851952:DXI852017 EHE851952:EHE852017 ERA851952:ERA852017 FAW851952:FAW852017 FKS851952:FKS852017 FUO851952:FUO852017 GEK851952:GEK852017 GOG851952:GOG852017 GYC851952:GYC852017 HHY851952:HHY852017 HRU851952:HRU852017 IBQ851952:IBQ852017 ILM851952:ILM852017 IVI851952:IVI852017 JFE851952:JFE852017 JPA851952:JPA852017 JYW851952:JYW852017 KIS851952:KIS852017 KSO851952:KSO852017 LCK851952:LCK852017 LMG851952:LMG852017 LWC851952:LWC852017 MFY851952:MFY852017 MPU851952:MPU852017 MZQ851952:MZQ852017 NJM851952:NJM852017 NTI851952:NTI852017 ODE851952:ODE852017 ONA851952:ONA852017 OWW851952:OWW852017 PGS851952:PGS852017 PQO851952:PQO852017 QAK851952:QAK852017 QKG851952:QKG852017 QUC851952:QUC852017 RDY851952:RDY852017 RNU851952:RNU852017 RXQ851952:RXQ852017 SHM851952:SHM852017 SRI851952:SRI852017 TBE851952:TBE852017 TLA851952:TLA852017 TUW851952:TUW852017 UES851952:UES852017 UOO851952:UOO852017 UYK851952:UYK852017 VIG851952:VIG852017 VSC851952:VSC852017 WBY851952:WBY852017 WLU851952:WLU852017 WVQ851952:WVQ852017 I917488:I917553 JE917488:JE917553 TA917488:TA917553 ACW917488:ACW917553 AMS917488:AMS917553 AWO917488:AWO917553 BGK917488:BGK917553 BQG917488:BQG917553 CAC917488:CAC917553 CJY917488:CJY917553 CTU917488:CTU917553 DDQ917488:DDQ917553 DNM917488:DNM917553 DXI917488:DXI917553 EHE917488:EHE917553 ERA917488:ERA917553 FAW917488:FAW917553 FKS917488:FKS917553 FUO917488:FUO917553 GEK917488:GEK917553 GOG917488:GOG917553 GYC917488:GYC917553 HHY917488:HHY917553 HRU917488:HRU917553 IBQ917488:IBQ917553 ILM917488:ILM917553 IVI917488:IVI917553 JFE917488:JFE917553 JPA917488:JPA917553 JYW917488:JYW917553 KIS917488:KIS917553 KSO917488:KSO917553 LCK917488:LCK917553 LMG917488:LMG917553 LWC917488:LWC917553 MFY917488:MFY917553 MPU917488:MPU917553 MZQ917488:MZQ917553 NJM917488:NJM917553 NTI917488:NTI917553 ODE917488:ODE917553 ONA917488:ONA917553 OWW917488:OWW917553 PGS917488:PGS917553 PQO917488:PQO917553 QAK917488:QAK917553 QKG917488:QKG917553 QUC917488:QUC917553 RDY917488:RDY917553 RNU917488:RNU917553 RXQ917488:RXQ917553 SHM917488:SHM917553 SRI917488:SRI917553 TBE917488:TBE917553 TLA917488:TLA917553 TUW917488:TUW917553 UES917488:UES917553 UOO917488:UOO917553 UYK917488:UYK917553 VIG917488:VIG917553 VSC917488:VSC917553 WBY917488:WBY917553 WLU917488:WLU917553 WVQ917488:WVQ917553 I983024:I983089 JE983024:JE983089 TA983024:TA983089 ACW983024:ACW983089 AMS983024:AMS983089 AWO983024:AWO983089 BGK983024:BGK983089 BQG983024:BQG983089 CAC983024:CAC983089 CJY983024:CJY983089 CTU983024:CTU983089 DDQ983024:DDQ983089 DNM983024:DNM983089 DXI983024:DXI983089 EHE983024:EHE983089 ERA983024:ERA983089 FAW983024:FAW983089 FKS983024:FKS983089 FUO983024:FUO983089 GEK983024:GEK983089 GOG983024:GOG983089 GYC983024:GYC983089 HHY983024:HHY983089 HRU983024:HRU983089 IBQ983024:IBQ983089 ILM983024:ILM983089 IVI983024:IVI983089 JFE983024:JFE983089 JPA983024:JPA983089 JYW983024:JYW983089 KIS983024:KIS983089 KSO983024:KSO983089 LCK983024:LCK983089 LMG983024:LMG983089 LWC983024:LWC983089 MFY983024:MFY983089 MPU983024:MPU983089 MZQ983024:MZQ983089 NJM983024:NJM983089 NTI983024:NTI983089 ODE983024:ODE983089 ONA983024:ONA983089 OWW983024:OWW983089 PGS983024:PGS983089 PQO983024:PQO983089 QAK983024:QAK983089 QKG983024:QKG983089 QUC983024:QUC983089 RDY983024:RDY983089 RNU983024:RNU983089 RXQ983024:RXQ983089 SHM983024:SHM983089 SRI983024:SRI983089 TBE983024:TBE983089 TLA983024:TLA983089 TUW983024:TUW983089 UES983024:UES983089 UOO983024:UOO983089 UYK983024:UYK983089 VIG983024:VIG983089 VSC983024:VSC983089 WBY983024:WBY983089 WLU983024:WLU983089 I2:I482 JE2:JE69 TA2:TA69 ACW2:ACW69 AMS2:AMS69 AWO2:AWO69 BGK2:BGK69 BQG2:BQG69 CAC2:CAC69 CJY2:CJY69 CTU2:CTU69 DDQ2:DDQ69 DNM2:DNM69 DXI2:DXI69 EHE2:EHE69 ERA2:ERA69 FAW2:FAW69 FKS2:FKS69 FUO2:FUO69 GEK2:GEK69 GOG2:GOG69 GYC2:GYC69 HHY2:HHY69 HRU2:HRU69 IBQ2:IBQ69 ILM2:ILM69 IVI2:IVI69 JFE2:JFE69 JPA2:JPA69 JYW2:JYW69 KIS2:KIS69 KSO2:KSO69 LCK2:LCK69 LMG2:LMG69 LWC2:LWC69 MFY2:MFY69 MPU2:MPU69 MZQ2:MZQ69 NJM2:NJM69 NTI2:NTI69 ODE2:ODE69 ONA2:ONA69 OWW2:OWW69 PGS2:PGS69 PQO2:PQO69 QAK2:QAK69 QKG2:QKG69 QUC2:QUC69 RDY2:RDY69 RNU2:RNU69 RXQ2:RXQ69 SHM2:SHM69 SRI2:SRI69 TBE2:TBE69 TLA2:TLA69 TUW2:TUW69 UES2:UES69 UOO2:UOO69 UYK2:UYK69 VIG2:VIG69 VSC2:VSC69 WBY2:WBY69 WLU2:WLU69 WVQ2:WVQ69" xr:uid="{871A67F4-BC92-45A9-8153-067F2A6216DE}">
      <formula1>$AN$5:$AN$6</formula1>
    </dataValidation>
    <dataValidation type="list" allowBlank="1" showInputMessage="1" showErrorMessage="1" sqref="J64345:J64410 JF64345:JF64410 TB64345:TB64410 ACX64345:ACX64410 AMT64345:AMT64410 AWP64345:AWP64410 BGL64345:BGL64410 BQH64345:BQH64410 CAD64345:CAD64410 CJZ64345:CJZ64410 CTV64345:CTV64410 DDR64345:DDR64410 DNN64345:DNN64410 DXJ64345:DXJ64410 EHF64345:EHF64410 ERB64345:ERB64410 FAX64345:FAX64410 FKT64345:FKT64410 FUP64345:FUP64410 GEL64345:GEL64410 GOH64345:GOH64410 GYD64345:GYD64410 HHZ64345:HHZ64410 HRV64345:HRV64410 IBR64345:IBR64410 ILN64345:ILN64410 IVJ64345:IVJ64410 JFF64345:JFF64410 JPB64345:JPB64410 JYX64345:JYX64410 KIT64345:KIT64410 KSP64345:KSP64410 LCL64345:LCL64410 LMH64345:LMH64410 LWD64345:LWD64410 MFZ64345:MFZ64410 MPV64345:MPV64410 MZR64345:MZR64410 NJN64345:NJN64410 NTJ64345:NTJ64410 ODF64345:ODF64410 ONB64345:ONB64410 OWX64345:OWX64410 PGT64345:PGT64410 PQP64345:PQP64410 QAL64345:QAL64410 QKH64345:QKH64410 QUD64345:QUD64410 RDZ64345:RDZ64410 RNV64345:RNV64410 RXR64345:RXR64410 SHN64345:SHN64410 SRJ64345:SRJ64410 TBF64345:TBF64410 TLB64345:TLB64410 TUX64345:TUX64410 UET64345:UET64410 UOP64345:UOP64410 UYL64345:UYL64410 VIH64345:VIH64410 VSD64345:VSD64410 WBZ64345:WBZ64410 WLV64345:WLV64410 WVR64345:WVR64410 J129881:J129946 JF129881:JF129946 TB129881:TB129946 ACX129881:ACX129946 AMT129881:AMT129946 AWP129881:AWP129946 BGL129881:BGL129946 BQH129881:BQH129946 CAD129881:CAD129946 CJZ129881:CJZ129946 CTV129881:CTV129946 DDR129881:DDR129946 DNN129881:DNN129946 DXJ129881:DXJ129946 EHF129881:EHF129946 ERB129881:ERB129946 FAX129881:FAX129946 FKT129881:FKT129946 FUP129881:FUP129946 GEL129881:GEL129946 GOH129881:GOH129946 GYD129881:GYD129946 HHZ129881:HHZ129946 HRV129881:HRV129946 IBR129881:IBR129946 ILN129881:ILN129946 IVJ129881:IVJ129946 JFF129881:JFF129946 JPB129881:JPB129946 JYX129881:JYX129946 KIT129881:KIT129946 KSP129881:KSP129946 LCL129881:LCL129946 LMH129881:LMH129946 LWD129881:LWD129946 MFZ129881:MFZ129946 MPV129881:MPV129946 MZR129881:MZR129946 NJN129881:NJN129946 NTJ129881:NTJ129946 ODF129881:ODF129946 ONB129881:ONB129946 OWX129881:OWX129946 PGT129881:PGT129946 PQP129881:PQP129946 QAL129881:QAL129946 QKH129881:QKH129946 QUD129881:QUD129946 RDZ129881:RDZ129946 RNV129881:RNV129946 RXR129881:RXR129946 SHN129881:SHN129946 SRJ129881:SRJ129946 TBF129881:TBF129946 TLB129881:TLB129946 TUX129881:TUX129946 UET129881:UET129946 UOP129881:UOP129946 UYL129881:UYL129946 VIH129881:VIH129946 VSD129881:VSD129946 WBZ129881:WBZ129946 WLV129881:WLV129946 WVR129881:WVR129946 J195417:J195482 JF195417:JF195482 TB195417:TB195482 ACX195417:ACX195482 AMT195417:AMT195482 AWP195417:AWP195482 BGL195417:BGL195482 BQH195417:BQH195482 CAD195417:CAD195482 CJZ195417:CJZ195482 CTV195417:CTV195482 DDR195417:DDR195482 DNN195417:DNN195482 DXJ195417:DXJ195482 EHF195417:EHF195482 ERB195417:ERB195482 FAX195417:FAX195482 FKT195417:FKT195482 FUP195417:FUP195482 GEL195417:GEL195482 GOH195417:GOH195482 GYD195417:GYD195482 HHZ195417:HHZ195482 HRV195417:HRV195482 IBR195417:IBR195482 ILN195417:ILN195482 IVJ195417:IVJ195482 JFF195417:JFF195482 JPB195417:JPB195482 JYX195417:JYX195482 KIT195417:KIT195482 KSP195417:KSP195482 LCL195417:LCL195482 LMH195417:LMH195482 LWD195417:LWD195482 MFZ195417:MFZ195482 MPV195417:MPV195482 MZR195417:MZR195482 NJN195417:NJN195482 NTJ195417:NTJ195482 ODF195417:ODF195482 ONB195417:ONB195482 OWX195417:OWX195482 PGT195417:PGT195482 PQP195417:PQP195482 QAL195417:QAL195482 QKH195417:QKH195482 QUD195417:QUD195482 RDZ195417:RDZ195482 RNV195417:RNV195482 RXR195417:RXR195482 SHN195417:SHN195482 SRJ195417:SRJ195482 TBF195417:TBF195482 TLB195417:TLB195482 TUX195417:TUX195482 UET195417:UET195482 UOP195417:UOP195482 UYL195417:UYL195482 VIH195417:VIH195482 VSD195417:VSD195482 WBZ195417:WBZ195482 WLV195417:WLV195482 WVR195417:WVR195482 J260953:J261018 JF260953:JF261018 TB260953:TB261018 ACX260953:ACX261018 AMT260953:AMT261018 AWP260953:AWP261018 BGL260953:BGL261018 BQH260953:BQH261018 CAD260953:CAD261018 CJZ260953:CJZ261018 CTV260953:CTV261018 DDR260953:DDR261018 DNN260953:DNN261018 DXJ260953:DXJ261018 EHF260953:EHF261018 ERB260953:ERB261018 FAX260953:FAX261018 FKT260953:FKT261018 FUP260953:FUP261018 GEL260953:GEL261018 GOH260953:GOH261018 GYD260953:GYD261018 HHZ260953:HHZ261018 HRV260953:HRV261018 IBR260953:IBR261018 ILN260953:ILN261018 IVJ260953:IVJ261018 JFF260953:JFF261018 JPB260953:JPB261018 JYX260953:JYX261018 KIT260953:KIT261018 KSP260953:KSP261018 LCL260953:LCL261018 LMH260953:LMH261018 LWD260953:LWD261018 MFZ260953:MFZ261018 MPV260953:MPV261018 MZR260953:MZR261018 NJN260953:NJN261018 NTJ260953:NTJ261018 ODF260953:ODF261018 ONB260953:ONB261018 OWX260953:OWX261018 PGT260953:PGT261018 PQP260953:PQP261018 QAL260953:QAL261018 QKH260953:QKH261018 QUD260953:QUD261018 RDZ260953:RDZ261018 RNV260953:RNV261018 RXR260953:RXR261018 SHN260953:SHN261018 SRJ260953:SRJ261018 TBF260953:TBF261018 TLB260953:TLB261018 TUX260953:TUX261018 UET260953:UET261018 UOP260953:UOP261018 UYL260953:UYL261018 VIH260953:VIH261018 VSD260953:VSD261018 WBZ260953:WBZ261018 WLV260953:WLV261018 WVR260953:WVR261018 J326489:J326554 JF326489:JF326554 TB326489:TB326554 ACX326489:ACX326554 AMT326489:AMT326554 AWP326489:AWP326554 BGL326489:BGL326554 BQH326489:BQH326554 CAD326489:CAD326554 CJZ326489:CJZ326554 CTV326489:CTV326554 DDR326489:DDR326554 DNN326489:DNN326554 DXJ326489:DXJ326554 EHF326489:EHF326554 ERB326489:ERB326554 FAX326489:FAX326554 FKT326489:FKT326554 FUP326489:FUP326554 GEL326489:GEL326554 GOH326489:GOH326554 GYD326489:GYD326554 HHZ326489:HHZ326554 HRV326489:HRV326554 IBR326489:IBR326554 ILN326489:ILN326554 IVJ326489:IVJ326554 JFF326489:JFF326554 JPB326489:JPB326554 JYX326489:JYX326554 KIT326489:KIT326554 KSP326489:KSP326554 LCL326489:LCL326554 LMH326489:LMH326554 LWD326489:LWD326554 MFZ326489:MFZ326554 MPV326489:MPV326554 MZR326489:MZR326554 NJN326489:NJN326554 NTJ326489:NTJ326554 ODF326489:ODF326554 ONB326489:ONB326554 OWX326489:OWX326554 PGT326489:PGT326554 PQP326489:PQP326554 QAL326489:QAL326554 QKH326489:QKH326554 QUD326489:QUD326554 RDZ326489:RDZ326554 RNV326489:RNV326554 RXR326489:RXR326554 SHN326489:SHN326554 SRJ326489:SRJ326554 TBF326489:TBF326554 TLB326489:TLB326554 TUX326489:TUX326554 UET326489:UET326554 UOP326489:UOP326554 UYL326489:UYL326554 VIH326489:VIH326554 VSD326489:VSD326554 WBZ326489:WBZ326554 WLV326489:WLV326554 WVR326489:WVR326554 J392025:J392090 JF392025:JF392090 TB392025:TB392090 ACX392025:ACX392090 AMT392025:AMT392090 AWP392025:AWP392090 BGL392025:BGL392090 BQH392025:BQH392090 CAD392025:CAD392090 CJZ392025:CJZ392090 CTV392025:CTV392090 DDR392025:DDR392090 DNN392025:DNN392090 DXJ392025:DXJ392090 EHF392025:EHF392090 ERB392025:ERB392090 FAX392025:FAX392090 FKT392025:FKT392090 FUP392025:FUP392090 GEL392025:GEL392090 GOH392025:GOH392090 GYD392025:GYD392090 HHZ392025:HHZ392090 HRV392025:HRV392090 IBR392025:IBR392090 ILN392025:ILN392090 IVJ392025:IVJ392090 JFF392025:JFF392090 JPB392025:JPB392090 JYX392025:JYX392090 KIT392025:KIT392090 KSP392025:KSP392090 LCL392025:LCL392090 LMH392025:LMH392090 LWD392025:LWD392090 MFZ392025:MFZ392090 MPV392025:MPV392090 MZR392025:MZR392090 NJN392025:NJN392090 NTJ392025:NTJ392090 ODF392025:ODF392090 ONB392025:ONB392090 OWX392025:OWX392090 PGT392025:PGT392090 PQP392025:PQP392090 QAL392025:QAL392090 QKH392025:QKH392090 QUD392025:QUD392090 RDZ392025:RDZ392090 RNV392025:RNV392090 RXR392025:RXR392090 SHN392025:SHN392090 SRJ392025:SRJ392090 TBF392025:TBF392090 TLB392025:TLB392090 TUX392025:TUX392090 UET392025:UET392090 UOP392025:UOP392090 UYL392025:UYL392090 VIH392025:VIH392090 VSD392025:VSD392090 WBZ392025:WBZ392090 WLV392025:WLV392090 WVR392025:WVR392090 J457561:J457626 JF457561:JF457626 TB457561:TB457626 ACX457561:ACX457626 AMT457561:AMT457626 AWP457561:AWP457626 BGL457561:BGL457626 BQH457561:BQH457626 CAD457561:CAD457626 CJZ457561:CJZ457626 CTV457561:CTV457626 DDR457561:DDR457626 DNN457561:DNN457626 DXJ457561:DXJ457626 EHF457561:EHF457626 ERB457561:ERB457626 FAX457561:FAX457626 FKT457561:FKT457626 FUP457561:FUP457626 GEL457561:GEL457626 GOH457561:GOH457626 GYD457561:GYD457626 HHZ457561:HHZ457626 HRV457561:HRV457626 IBR457561:IBR457626 ILN457561:ILN457626 IVJ457561:IVJ457626 JFF457561:JFF457626 JPB457561:JPB457626 JYX457561:JYX457626 KIT457561:KIT457626 KSP457561:KSP457626 LCL457561:LCL457626 LMH457561:LMH457626 LWD457561:LWD457626 MFZ457561:MFZ457626 MPV457561:MPV457626 MZR457561:MZR457626 NJN457561:NJN457626 NTJ457561:NTJ457626 ODF457561:ODF457626 ONB457561:ONB457626 OWX457561:OWX457626 PGT457561:PGT457626 PQP457561:PQP457626 QAL457561:QAL457626 QKH457561:QKH457626 QUD457561:QUD457626 RDZ457561:RDZ457626 RNV457561:RNV457626 RXR457561:RXR457626 SHN457561:SHN457626 SRJ457561:SRJ457626 TBF457561:TBF457626 TLB457561:TLB457626 TUX457561:TUX457626 UET457561:UET457626 UOP457561:UOP457626 UYL457561:UYL457626 VIH457561:VIH457626 VSD457561:VSD457626 WBZ457561:WBZ457626 WLV457561:WLV457626 WVR457561:WVR457626 J523097:J523162 JF523097:JF523162 TB523097:TB523162 ACX523097:ACX523162 AMT523097:AMT523162 AWP523097:AWP523162 BGL523097:BGL523162 BQH523097:BQH523162 CAD523097:CAD523162 CJZ523097:CJZ523162 CTV523097:CTV523162 DDR523097:DDR523162 DNN523097:DNN523162 DXJ523097:DXJ523162 EHF523097:EHF523162 ERB523097:ERB523162 FAX523097:FAX523162 FKT523097:FKT523162 FUP523097:FUP523162 GEL523097:GEL523162 GOH523097:GOH523162 GYD523097:GYD523162 HHZ523097:HHZ523162 HRV523097:HRV523162 IBR523097:IBR523162 ILN523097:ILN523162 IVJ523097:IVJ523162 JFF523097:JFF523162 JPB523097:JPB523162 JYX523097:JYX523162 KIT523097:KIT523162 KSP523097:KSP523162 LCL523097:LCL523162 LMH523097:LMH523162 LWD523097:LWD523162 MFZ523097:MFZ523162 MPV523097:MPV523162 MZR523097:MZR523162 NJN523097:NJN523162 NTJ523097:NTJ523162 ODF523097:ODF523162 ONB523097:ONB523162 OWX523097:OWX523162 PGT523097:PGT523162 PQP523097:PQP523162 QAL523097:QAL523162 QKH523097:QKH523162 QUD523097:QUD523162 RDZ523097:RDZ523162 RNV523097:RNV523162 RXR523097:RXR523162 SHN523097:SHN523162 SRJ523097:SRJ523162 TBF523097:TBF523162 TLB523097:TLB523162 TUX523097:TUX523162 UET523097:UET523162 UOP523097:UOP523162 UYL523097:UYL523162 VIH523097:VIH523162 VSD523097:VSD523162 WBZ523097:WBZ523162 WLV523097:WLV523162 WVR523097:WVR523162 J588633:J588698 JF588633:JF588698 TB588633:TB588698 ACX588633:ACX588698 AMT588633:AMT588698 AWP588633:AWP588698 BGL588633:BGL588698 BQH588633:BQH588698 CAD588633:CAD588698 CJZ588633:CJZ588698 CTV588633:CTV588698 DDR588633:DDR588698 DNN588633:DNN588698 DXJ588633:DXJ588698 EHF588633:EHF588698 ERB588633:ERB588698 FAX588633:FAX588698 FKT588633:FKT588698 FUP588633:FUP588698 GEL588633:GEL588698 GOH588633:GOH588698 GYD588633:GYD588698 HHZ588633:HHZ588698 HRV588633:HRV588698 IBR588633:IBR588698 ILN588633:ILN588698 IVJ588633:IVJ588698 JFF588633:JFF588698 JPB588633:JPB588698 JYX588633:JYX588698 KIT588633:KIT588698 KSP588633:KSP588698 LCL588633:LCL588698 LMH588633:LMH588698 LWD588633:LWD588698 MFZ588633:MFZ588698 MPV588633:MPV588698 MZR588633:MZR588698 NJN588633:NJN588698 NTJ588633:NTJ588698 ODF588633:ODF588698 ONB588633:ONB588698 OWX588633:OWX588698 PGT588633:PGT588698 PQP588633:PQP588698 QAL588633:QAL588698 QKH588633:QKH588698 QUD588633:QUD588698 RDZ588633:RDZ588698 RNV588633:RNV588698 RXR588633:RXR588698 SHN588633:SHN588698 SRJ588633:SRJ588698 TBF588633:TBF588698 TLB588633:TLB588698 TUX588633:TUX588698 UET588633:UET588698 UOP588633:UOP588698 UYL588633:UYL588698 VIH588633:VIH588698 VSD588633:VSD588698 WBZ588633:WBZ588698 WLV588633:WLV588698 WVR588633:WVR588698 J654169:J654234 JF654169:JF654234 TB654169:TB654234 ACX654169:ACX654234 AMT654169:AMT654234 AWP654169:AWP654234 BGL654169:BGL654234 BQH654169:BQH654234 CAD654169:CAD654234 CJZ654169:CJZ654234 CTV654169:CTV654234 DDR654169:DDR654234 DNN654169:DNN654234 DXJ654169:DXJ654234 EHF654169:EHF654234 ERB654169:ERB654234 FAX654169:FAX654234 FKT654169:FKT654234 FUP654169:FUP654234 GEL654169:GEL654234 GOH654169:GOH654234 GYD654169:GYD654234 HHZ654169:HHZ654234 HRV654169:HRV654234 IBR654169:IBR654234 ILN654169:ILN654234 IVJ654169:IVJ654234 JFF654169:JFF654234 JPB654169:JPB654234 JYX654169:JYX654234 KIT654169:KIT654234 KSP654169:KSP654234 LCL654169:LCL654234 LMH654169:LMH654234 LWD654169:LWD654234 MFZ654169:MFZ654234 MPV654169:MPV654234 MZR654169:MZR654234 NJN654169:NJN654234 NTJ654169:NTJ654234 ODF654169:ODF654234 ONB654169:ONB654234 OWX654169:OWX654234 PGT654169:PGT654234 PQP654169:PQP654234 QAL654169:QAL654234 QKH654169:QKH654234 QUD654169:QUD654234 RDZ654169:RDZ654234 RNV654169:RNV654234 RXR654169:RXR654234 SHN654169:SHN654234 SRJ654169:SRJ654234 TBF654169:TBF654234 TLB654169:TLB654234 TUX654169:TUX654234 UET654169:UET654234 UOP654169:UOP654234 UYL654169:UYL654234 VIH654169:VIH654234 VSD654169:VSD654234 WBZ654169:WBZ654234 WLV654169:WLV654234 WVR654169:WVR654234 J719705:J719770 JF719705:JF719770 TB719705:TB719770 ACX719705:ACX719770 AMT719705:AMT719770 AWP719705:AWP719770 BGL719705:BGL719770 BQH719705:BQH719770 CAD719705:CAD719770 CJZ719705:CJZ719770 CTV719705:CTV719770 DDR719705:DDR719770 DNN719705:DNN719770 DXJ719705:DXJ719770 EHF719705:EHF719770 ERB719705:ERB719770 FAX719705:FAX719770 FKT719705:FKT719770 FUP719705:FUP719770 GEL719705:GEL719770 GOH719705:GOH719770 GYD719705:GYD719770 HHZ719705:HHZ719770 HRV719705:HRV719770 IBR719705:IBR719770 ILN719705:ILN719770 IVJ719705:IVJ719770 JFF719705:JFF719770 JPB719705:JPB719770 JYX719705:JYX719770 KIT719705:KIT719770 KSP719705:KSP719770 LCL719705:LCL719770 LMH719705:LMH719770 LWD719705:LWD719770 MFZ719705:MFZ719770 MPV719705:MPV719770 MZR719705:MZR719770 NJN719705:NJN719770 NTJ719705:NTJ719770 ODF719705:ODF719770 ONB719705:ONB719770 OWX719705:OWX719770 PGT719705:PGT719770 PQP719705:PQP719770 QAL719705:QAL719770 QKH719705:QKH719770 QUD719705:QUD719770 RDZ719705:RDZ719770 RNV719705:RNV719770 RXR719705:RXR719770 SHN719705:SHN719770 SRJ719705:SRJ719770 TBF719705:TBF719770 TLB719705:TLB719770 TUX719705:TUX719770 UET719705:UET719770 UOP719705:UOP719770 UYL719705:UYL719770 VIH719705:VIH719770 VSD719705:VSD719770 WBZ719705:WBZ719770 WLV719705:WLV719770 WVR719705:WVR719770 J785241:J785306 JF785241:JF785306 TB785241:TB785306 ACX785241:ACX785306 AMT785241:AMT785306 AWP785241:AWP785306 BGL785241:BGL785306 BQH785241:BQH785306 CAD785241:CAD785306 CJZ785241:CJZ785306 CTV785241:CTV785306 DDR785241:DDR785306 DNN785241:DNN785306 DXJ785241:DXJ785306 EHF785241:EHF785306 ERB785241:ERB785306 FAX785241:FAX785306 FKT785241:FKT785306 FUP785241:FUP785306 GEL785241:GEL785306 GOH785241:GOH785306 GYD785241:GYD785306 HHZ785241:HHZ785306 HRV785241:HRV785306 IBR785241:IBR785306 ILN785241:ILN785306 IVJ785241:IVJ785306 JFF785241:JFF785306 JPB785241:JPB785306 JYX785241:JYX785306 KIT785241:KIT785306 KSP785241:KSP785306 LCL785241:LCL785306 LMH785241:LMH785306 LWD785241:LWD785306 MFZ785241:MFZ785306 MPV785241:MPV785306 MZR785241:MZR785306 NJN785241:NJN785306 NTJ785241:NTJ785306 ODF785241:ODF785306 ONB785241:ONB785306 OWX785241:OWX785306 PGT785241:PGT785306 PQP785241:PQP785306 QAL785241:QAL785306 QKH785241:QKH785306 QUD785241:QUD785306 RDZ785241:RDZ785306 RNV785241:RNV785306 RXR785241:RXR785306 SHN785241:SHN785306 SRJ785241:SRJ785306 TBF785241:TBF785306 TLB785241:TLB785306 TUX785241:TUX785306 UET785241:UET785306 UOP785241:UOP785306 UYL785241:UYL785306 VIH785241:VIH785306 VSD785241:VSD785306 WBZ785241:WBZ785306 WLV785241:WLV785306 WVR785241:WVR785306 J850777:J850842 JF850777:JF850842 TB850777:TB850842 ACX850777:ACX850842 AMT850777:AMT850842 AWP850777:AWP850842 BGL850777:BGL850842 BQH850777:BQH850842 CAD850777:CAD850842 CJZ850777:CJZ850842 CTV850777:CTV850842 DDR850777:DDR850842 DNN850777:DNN850842 DXJ850777:DXJ850842 EHF850777:EHF850842 ERB850777:ERB850842 FAX850777:FAX850842 FKT850777:FKT850842 FUP850777:FUP850842 GEL850777:GEL850842 GOH850777:GOH850842 GYD850777:GYD850842 HHZ850777:HHZ850842 HRV850777:HRV850842 IBR850777:IBR850842 ILN850777:ILN850842 IVJ850777:IVJ850842 JFF850777:JFF850842 JPB850777:JPB850842 JYX850777:JYX850842 KIT850777:KIT850842 KSP850777:KSP850842 LCL850777:LCL850842 LMH850777:LMH850842 LWD850777:LWD850842 MFZ850777:MFZ850842 MPV850777:MPV850842 MZR850777:MZR850842 NJN850777:NJN850842 NTJ850777:NTJ850842 ODF850777:ODF850842 ONB850777:ONB850842 OWX850777:OWX850842 PGT850777:PGT850842 PQP850777:PQP850842 QAL850777:QAL850842 QKH850777:QKH850842 QUD850777:QUD850842 RDZ850777:RDZ850842 RNV850777:RNV850842 RXR850777:RXR850842 SHN850777:SHN850842 SRJ850777:SRJ850842 TBF850777:TBF850842 TLB850777:TLB850842 TUX850777:TUX850842 UET850777:UET850842 UOP850777:UOP850842 UYL850777:UYL850842 VIH850777:VIH850842 VSD850777:VSD850842 WBZ850777:WBZ850842 WLV850777:WLV850842 WVR850777:WVR850842 J916313:J916378 JF916313:JF916378 TB916313:TB916378 ACX916313:ACX916378 AMT916313:AMT916378 AWP916313:AWP916378 BGL916313:BGL916378 BQH916313:BQH916378 CAD916313:CAD916378 CJZ916313:CJZ916378 CTV916313:CTV916378 DDR916313:DDR916378 DNN916313:DNN916378 DXJ916313:DXJ916378 EHF916313:EHF916378 ERB916313:ERB916378 FAX916313:FAX916378 FKT916313:FKT916378 FUP916313:FUP916378 GEL916313:GEL916378 GOH916313:GOH916378 GYD916313:GYD916378 HHZ916313:HHZ916378 HRV916313:HRV916378 IBR916313:IBR916378 ILN916313:ILN916378 IVJ916313:IVJ916378 JFF916313:JFF916378 JPB916313:JPB916378 JYX916313:JYX916378 KIT916313:KIT916378 KSP916313:KSP916378 LCL916313:LCL916378 LMH916313:LMH916378 LWD916313:LWD916378 MFZ916313:MFZ916378 MPV916313:MPV916378 MZR916313:MZR916378 NJN916313:NJN916378 NTJ916313:NTJ916378 ODF916313:ODF916378 ONB916313:ONB916378 OWX916313:OWX916378 PGT916313:PGT916378 PQP916313:PQP916378 QAL916313:QAL916378 QKH916313:QKH916378 QUD916313:QUD916378 RDZ916313:RDZ916378 RNV916313:RNV916378 RXR916313:RXR916378 SHN916313:SHN916378 SRJ916313:SRJ916378 TBF916313:TBF916378 TLB916313:TLB916378 TUX916313:TUX916378 UET916313:UET916378 UOP916313:UOP916378 UYL916313:UYL916378 VIH916313:VIH916378 VSD916313:VSD916378 WBZ916313:WBZ916378 WLV916313:WLV916378 WVR916313:WVR916378 J981849:J981914 JF981849:JF981914 TB981849:TB981914 ACX981849:ACX981914 AMT981849:AMT981914 AWP981849:AWP981914 BGL981849:BGL981914 BQH981849:BQH981914 CAD981849:CAD981914 CJZ981849:CJZ981914 CTV981849:CTV981914 DDR981849:DDR981914 DNN981849:DNN981914 DXJ981849:DXJ981914 EHF981849:EHF981914 ERB981849:ERB981914 FAX981849:FAX981914 FKT981849:FKT981914 FUP981849:FUP981914 GEL981849:GEL981914 GOH981849:GOH981914 GYD981849:GYD981914 HHZ981849:HHZ981914 HRV981849:HRV981914 IBR981849:IBR981914 ILN981849:ILN981914 IVJ981849:IVJ981914 JFF981849:JFF981914 JPB981849:JPB981914 JYX981849:JYX981914 KIT981849:KIT981914 KSP981849:KSP981914 LCL981849:LCL981914 LMH981849:LMH981914 LWD981849:LWD981914 MFZ981849:MFZ981914 MPV981849:MPV981914 MZR981849:MZR981914 NJN981849:NJN981914 NTJ981849:NTJ981914 ODF981849:ODF981914 ONB981849:ONB981914 OWX981849:OWX981914 PGT981849:PGT981914 PQP981849:PQP981914 QAL981849:QAL981914 QKH981849:QKH981914 QUD981849:QUD981914 RDZ981849:RDZ981914 RNV981849:RNV981914 RXR981849:RXR981914 SHN981849:SHN981914 SRJ981849:SRJ981914 TBF981849:TBF981914 TLB981849:TLB981914 TUX981849:TUX981914 UET981849:UET981914 UOP981849:UOP981914 UYL981849:UYL981914 VIH981849:VIH981914 VSD981849:VSD981914 WBZ981849:WBZ981914 WLV981849:WLV981914 WVR981849:WVR981914 J1047385:J1047450 JF1047385:JF1047450 TB1047385:TB1047450 ACX1047385:ACX1047450 AMT1047385:AMT1047450 AWP1047385:AWP1047450 BGL1047385:BGL1047450 BQH1047385:BQH1047450 CAD1047385:CAD1047450 CJZ1047385:CJZ1047450 CTV1047385:CTV1047450 DDR1047385:DDR1047450 DNN1047385:DNN1047450 DXJ1047385:DXJ1047450 EHF1047385:EHF1047450 ERB1047385:ERB1047450 FAX1047385:FAX1047450 FKT1047385:FKT1047450 FUP1047385:FUP1047450 GEL1047385:GEL1047450 GOH1047385:GOH1047450 GYD1047385:GYD1047450 HHZ1047385:HHZ1047450 HRV1047385:HRV1047450 IBR1047385:IBR1047450 ILN1047385:ILN1047450 IVJ1047385:IVJ1047450 JFF1047385:JFF1047450 JPB1047385:JPB1047450 JYX1047385:JYX1047450 KIT1047385:KIT1047450 KSP1047385:KSP1047450 LCL1047385:LCL1047450 LMH1047385:LMH1047450 LWD1047385:LWD1047450 MFZ1047385:MFZ1047450 MPV1047385:MPV1047450 MZR1047385:MZR1047450 NJN1047385:NJN1047450 NTJ1047385:NTJ1047450 ODF1047385:ODF1047450 ONB1047385:ONB1047450 OWX1047385:OWX1047450 PGT1047385:PGT1047450 PQP1047385:PQP1047450 QAL1047385:QAL1047450 QKH1047385:QKH1047450 QUD1047385:QUD1047450 RDZ1047385:RDZ1047450 RNV1047385:RNV1047450 RXR1047385:RXR1047450 SHN1047385:SHN1047450 SRJ1047385:SRJ1047450 TBF1047385:TBF1047450 TLB1047385:TLB1047450 TUX1047385:TUX1047450 UET1047385:UET1047450 UOP1047385:UOP1047450 UYL1047385:UYL1047450 VIH1047385:VIH1047450 VSD1047385:VSD1047450 WBZ1047385:WBZ1047450 WLV1047385:WLV1047450 WVR1047385:WVR1047450" xr:uid="{4AE825F1-3CBC-48B5-A81B-87EBF371ED13}">
      <formula1>$AP$2:$AP$15</formula1>
    </dataValidation>
    <dataValidation type="list" allowBlank="1" showInputMessage="1" showErrorMessage="1" sqref="K64345:K64410 JG64345:JG64410 TC64345:TC64410 ACY64345:ACY64410 AMU64345:AMU64410 AWQ64345:AWQ64410 BGM64345:BGM64410 BQI64345:BQI64410 CAE64345:CAE64410 CKA64345:CKA64410 CTW64345:CTW64410 DDS64345:DDS64410 DNO64345:DNO64410 DXK64345:DXK64410 EHG64345:EHG64410 ERC64345:ERC64410 FAY64345:FAY64410 FKU64345:FKU64410 FUQ64345:FUQ64410 GEM64345:GEM64410 GOI64345:GOI64410 GYE64345:GYE64410 HIA64345:HIA64410 HRW64345:HRW64410 IBS64345:IBS64410 ILO64345:ILO64410 IVK64345:IVK64410 JFG64345:JFG64410 JPC64345:JPC64410 JYY64345:JYY64410 KIU64345:KIU64410 KSQ64345:KSQ64410 LCM64345:LCM64410 LMI64345:LMI64410 LWE64345:LWE64410 MGA64345:MGA64410 MPW64345:MPW64410 MZS64345:MZS64410 NJO64345:NJO64410 NTK64345:NTK64410 ODG64345:ODG64410 ONC64345:ONC64410 OWY64345:OWY64410 PGU64345:PGU64410 PQQ64345:PQQ64410 QAM64345:QAM64410 QKI64345:QKI64410 QUE64345:QUE64410 REA64345:REA64410 RNW64345:RNW64410 RXS64345:RXS64410 SHO64345:SHO64410 SRK64345:SRK64410 TBG64345:TBG64410 TLC64345:TLC64410 TUY64345:TUY64410 UEU64345:UEU64410 UOQ64345:UOQ64410 UYM64345:UYM64410 VII64345:VII64410 VSE64345:VSE64410 WCA64345:WCA64410 WLW64345:WLW64410 WVS64345:WVS64410 K129881:K129946 JG129881:JG129946 TC129881:TC129946 ACY129881:ACY129946 AMU129881:AMU129946 AWQ129881:AWQ129946 BGM129881:BGM129946 BQI129881:BQI129946 CAE129881:CAE129946 CKA129881:CKA129946 CTW129881:CTW129946 DDS129881:DDS129946 DNO129881:DNO129946 DXK129881:DXK129946 EHG129881:EHG129946 ERC129881:ERC129946 FAY129881:FAY129946 FKU129881:FKU129946 FUQ129881:FUQ129946 GEM129881:GEM129946 GOI129881:GOI129946 GYE129881:GYE129946 HIA129881:HIA129946 HRW129881:HRW129946 IBS129881:IBS129946 ILO129881:ILO129946 IVK129881:IVK129946 JFG129881:JFG129946 JPC129881:JPC129946 JYY129881:JYY129946 KIU129881:KIU129946 KSQ129881:KSQ129946 LCM129881:LCM129946 LMI129881:LMI129946 LWE129881:LWE129946 MGA129881:MGA129946 MPW129881:MPW129946 MZS129881:MZS129946 NJO129881:NJO129946 NTK129881:NTK129946 ODG129881:ODG129946 ONC129881:ONC129946 OWY129881:OWY129946 PGU129881:PGU129946 PQQ129881:PQQ129946 QAM129881:QAM129946 QKI129881:QKI129946 QUE129881:QUE129946 REA129881:REA129946 RNW129881:RNW129946 RXS129881:RXS129946 SHO129881:SHO129946 SRK129881:SRK129946 TBG129881:TBG129946 TLC129881:TLC129946 TUY129881:TUY129946 UEU129881:UEU129946 UOQ129881:UOQ129946 UYM129881:UYM129946 VII129881:VII129946 VSE129881:VSE129946 WCA129881:WCA129946 WLW129881:WLW129946 WVS129881:WVS129946 K195417:K195482 JG195417:JG195482 TC195417:TC195482 ACY195417:ACY195482 AMU195417:AMU195482 AWQ195417:AWQ195482 BGM195417:BGM195482 BQI195417:BQI195482 CAE195417:CAE195482 CKA195417:CKA195482 CTW195417:CTW195482 DDS195417:DDS195482 DNO195417:DNO195482 DXK195417:DXK195482 EHG195417:EHG195482 ERC195417:ERC195482 FAY195417:FAY195482 FKU195417:FKU195482 FUQ195417:FUQ195482 GEM195417:GEM195482 GOI195417:GOI195482 GYE195417:GYE195482 HIA195417:HIA195482 HRW195417:HRW195482 IBS195417:IBS195482 ILO195417:ILO195482 IVK195417:IVK195482 JFG195417:JFG195482 JPC195417:JPC195482 JYY195417:JYY195482 KIU195417:KIU195482 KSQ195417:KSQ195482 LCM195417:LCM195482 LMI195417:LMI195482 LWE195417:LWE195482 MGA195417:MGA195482 MPW195417:MPW195482 MZS195417:MZS195482 NJO195417:NJO195482 NTK195417:NTK195482 ODG195417:ODG195482 ONC195417:ONC195482 OWY195417:OWY195482 PGU195417:PGU195482 PQQ195417:PQQ195482 QAM195417:QAM195482 QKI195417:QKI195482 QUE195417:QUE195482 REA195417:REA195482 RNW195417:RNW195482 RXS195417:RXS195482 SHO195417:SHO195482 SRK195417:SRK195482 TBG195417:TBG195482 TLC195417:TLC195482 TUY195417:TUY195482 UEU195417:UEU195482 UOQ195417:UOQ195482 UYM195417:UYM195482 VII195417:VII195482 VSE195417:VSE195482 WCA195417:WCA195482 WLW195417:WLW195482 WVS195417:WVS195482 K260953:K261018 JG260953:JG261018 TC260953:TC261018 ACY260953:ACY261018 AMU260953:AMU261018 AWQ260953:AWQ261018 BGM260953:BGM261018 BQI260953:BQI261018 CAE260953:CAE261018 CKA260953:CKA261018 CTW260953:CTW261018 DDS260953:DDS261018 DNO260953:DNO261018 DXK260953:DXK261018 EHG260953:EHG261018 ERC260953:ERC261018 FAY260953:FAY261018 FKU260953:FKU261018 FUQ260953:FUQ261018 GEM260953:GEM261018 GOI260953:GOI261018 GYE260953:GYE261018 HIA260953:HIA261018 HRW260953:HRW261018 IBS260953:IBS261018 ILO260953:ILO261018 IVK260953:IVK261018 JFG260953:JFG261018 JPC260953:JPC261018 JYY260953:JYY261018 KIU260953:KIU261018 KSQ260953:KSQ261018 LCM260953:LCM261018 LMI260953:LMI261018 LWE260953:LWE261018 MGA260953:MGA261018 MPW260953:MPW261018 MZS260953:MZS261018 NJO260953:NJO261018 NTK260953:NTK261018 ODG260953:ODG261018 ONC260953:ONC261018 OWY260953:OWY261018 PGU260953:PGU261018 PQQ260953:PQQ261018 QAM260953:QAM261018 QKI260953:QKI261018 QUE260953:QUE261018 REA260953:REA261018 RNW260953:RNW261018 RXS260953:RXS261018 SHO260953:SHO261018 SRK260953:SRK261018 TBG260953:TBG261018 TLC260953:TLC261018 TUY260953:TUY261018 UEU260953:UEU261018 UOQ260953:UOQ261018 UYM260953:UYM261018 VII260953:VII261018 VSE260953:VSE261018 WCA260953:WCA261018 WLW260953:WLW261018 WVS260953:WVS261018 K326489:K326554 JG326489:JG326554 TC326489:TC326554 ACY326489:ACY326554 AMU326489:AMU326554 AWQ326489:AWQ326554 BGM326489:BGM326554 BQI326489:BQI326554 CAE326489:CAE326554 CKA326489:CKA326554 CTW326489:CTW326554 DDS326489:DDS326554 DNO326489:DNO326554 DXK326489:DXK326554 EHG326489:EHG326554 ERC326489:ERC326554 FAY326489:FAY326554 FKU326489:FKU326554 FUQ326489:FUQ326554 GEM326489:GEM326554 GOI326489:GOI326554 GYE326489:GYE326554 HIA326489:HIA326554 HRW326489:HRW326554 IBS326489:IBS326554 ILO326489:ILO326554 IVK326489:IVK326554 JFG326489:JFG326554 JPC326489:JPC326554 JYY326489:JYY326554 KIU326489:KIU326554 KSQ326489:KSQ326554 LCM326489:LCM326554 LMI326489:LMI326554 LWE326489:LWE326554 MGA326489:MGA326554 MPW326489:MPW326554 MZS326489:MZS326554 NJO326489:NJO326554 NTK326489:NTK326554 ODG326489:ODG326554 ONC326489:ONC326554 OWY326489:OWY326554 PGU326489:PGU326554 PQQ326489:PQQ326554 QAM326489:QAM326554 QKI326489:QKI326554 QUE326489:QUE326554 REA326489:REA326554 RNW326489:RNW326554 RXS326489:RXS326554 SHO326489:SHO326554 SRK326489:SRK326554 TBG326489:TBG326554 TLC326489:TLC326554 TUY326489:TUY326554 UEU326489:UEU326554 UOQ326489:UOQ326554 UYM326489:UYM326554 VII326489:VII326554 VSE326489:VSE326554 WCA326489:WCA326554 WLW326489:WLW326554 WVS326489:WVS326554 K392025:K392090 JG392025:JG392090 TC392025:TC392090 ACY392025:ACY392090 AMU392025:AMU392090 AWQ392025:AWQ392090 BGM392025:BGM392090 BQI392025:BQI392090 CAE392025:CAE392090 CKA392025:CKA392090 CTW392025:CTW392090 DDS392025:DDS392090 DNO392025:DNO392090 DXK392025:DXK392090 EHG392025:EHG392090 ERC392025:ERC392090 FAY392025:FAY392090 FKU392025:FKU392090 FUQ392025:FUQ392090 GEM392025:GEM392090 GOI392025:GOI392090 GYE392025:GYE392090 HIA392025:HIA392090 HRW392025:HRW392090 IBS392025:IBS392090 ILO392025:ILO392090 IVK392025:IVK392090 JFG392025:JFG392090 JPC392025:JPC392090 JYY392025:JYY392090 KIU392025:KIU392090 KSQ392025:KSQ392090 LCM392025:LCM392090 LMI392025:LMI392090 LWE392025:LWE392090 MGA392025:MGA392090 MPW392025:MPW392090 MZS392025:MZS392090 NJO392025:NJO392090 NTK392025:NTK392090 ODG392025:ODG392090 ONC392025:ONC392090 OWY392025:OWY392090 PGU392025:PGU392090 PQQ392025:PQQ392090 QAM392025:QAM392090 QKI392025:QKI392090 QUE392025:QUE392090 REA392025:REA392090 RNW392025:RNW392090 RXS392025:RXS392090 SHO392025:SHO392090 SRK392025:SRK392090 TBG392025:TBG392090 TLC392025:TLC392090 TUY392025:TUY392090 UEU392025:UEU392090 UOQ392025:UOQ392090 UYM392025:UYM392090 VII392025:VII392090 VSE392025:VSE392090 WCA392025:WCA392090 WLW392025:WLW392090 WVS392025:WVS392090 K457561:K457626 JG457561:JG457626 TC457561:TC457626 ACY457561:ACY457626 AMU457561:AMU457626 AWQ457561:AWQ457626 BGM457561:BGM457626 BQI457561:BQI457626 CAE457561:CAE457626 CKA457561:CKA457626 CTW457561:CTW457626 DDS457561:DDS457626 DNO457561:DNO457626 DXK457561:DXK457626 EHG457561:EHG457626 ERC457561:ERC457626 FAY457561:FAY457626 FKU457561:FKU457626 FUQ457561:FUQ457626 GEM457561:GEM457626 GOI457561:GOI457626 GYE457561:GYE457626 HIA457561:HIA457626 HRW457561:HRW457626 IBS457561:IBS457626 ILO457561:ILO457626 IVK457561:IVK457626 JFG457561:JFG457626 JPC457561:JPC457626 JYY457561:JYY457626 KIU457561:KIU457626 KSQ457561:KSQ457626 LCM457561:LCM457626 LMI457561:LMI457626 LWE457561:LWE457626 MGA457561:MGA457626 MPW457561:MPW457626 MZS457561:MZS457626 NJO457561:NJO457626 NTK457561:NTK457626 ODG457561:ODG457626 ONC457561:ONC457626 OWY457561:OWY457626 PGU457561:PGU457626 PQQ457561:PQQ457626 QAM457561:QAM457626 QKI457561:QKI457626 QUE457561:QUE457626 REA457561:REA457626 RNW457561:RNW457626 RXS457561:RXS457626 SHO457561:SHO457626 SRK457561:SRK457626 TBG457561:TBG457626 TLC457561:TLC457626 TUY457561:TUY457626 UEU457561:UEU457626 UOQ457561:UOQ457626 UYM457561:UYM457626 VII457561:VII457626 VSE457561:VSE457626 WCA457561:WCA457626 WLW457561:WLW457626 WVS457561:WVS457626 K523097:K523162 JG523097:JG523162 TC523097:TC523162 ACY523097:ACY523162 AMU523097:AMU523162 AWQ523097:AWQ523162 BGM523097:BGM523162 BQI523097:BQI523162 CAE523097:CAE523162 CKA523097:CKA523162 CTW523097:CTW523162 DDS523097:DDS523162 DNO523097:DNO523162 DXK523097:DXK523162 EHG523097:EHG523162 ERC523097:ERC523162 FAY523097:FAY523162 FKU523097:FKU523162 FUQ523097:FUQ523162 GEM523097:GEM523162 GOI523097:GOI523162 GYE523097:GYE523162 HIA523097:HIA523162 HRW523097:HRW523162 IBS523097:IBS523162 ILO523097:ILO523162 IVK523097:IVK523162 JFG523097:JFG523162 JPC523097:JPC523162 JYY523097:JYY523162 KIU523097:KIU523162 KSQ523097:KSQ523162 LCM523097:LCM523162 LMI523097:LMI523162 LWE523097:LWE523162 MGA523097:MGA523162 MPW523097:MPW523162 MZS523097:MZS523162 NJO523097:NJO523162 NTK523097:NTK523162 ODG523097:ODG523162 ONC523097:ONC523162 OWY523097:OWY523162 PGU523097:PGU523162 PQQ523097:PQQ523162 QAM523097:QAM523162 QKI523097:QKI523162 QUE523097:QUE523162 REA523097:REA523162 RNW523097:RNW523162 RXS523097:RXS523162 SHO523097:SHO523162 SRK523097:SRK523162 TBG523097:TBG523162 TLC523097:TLC523162 TUY523097:TUY523162 UEU523097:UEU523162 UOQ523097:UOQ523162 UYM523097:UYM523162 VII523097:VII523162 VSE523097:VSE523162 WCA523097:WCA523162 WLW523097:WLW523162 WVS523097:WVS523162 K588633:K588698 JG588633:JG588698 TC588633:TC588698 ACY588633:ACY588698 AMU588633:AMU588698 AWQ588633:AWQ588698 BGM588633:BGM588698 BQI588633:BQI588698 CAE588633:CAE588698 CKA588633:CKA588698 CTW588633:CTW588698 DDS588633:DDS588698 DNO588633:DNO588698 DXK588633:DXK588698 EHG588633:EHG588698 ERC588633:ERC588698 FAY588633:FAY588698 FKU588633:FKU588698 FUQ588633:FUQ588698 GEM588633:GEM588698 GOI588633:GOI588698 GYE588633:GYE588698 HIA588633:HIA588698 HRW588633:HRW588698 IBS588633:IBS588698 ILO588633:ILO588698 IVK588633:IVK588698 JFG588633:JFG588698 JPC588633:JPC588698 JYY588633:JYY588698 KIU588633:KIU588698 KSQ588633:KSQ588698 LCM588633:LCM588698 LMI588633:LMI588698 LWE588633:LWE588698 MGA588633:MGA588698 MPW588633:MPW588698 MZS588633:MZS588698 NJO588633:NJO588698 NTK588633:NTK588698 ODG588633:ODG588698 ONC588633:ONC588698 OWY588633:OWY588698 PGU588633:PGU588698 PQQ588633:PQQ588698 QAM588633:QAM588698 QKI588633:QKI588698 QUE588633:QUE588698 REA588633:REA588698 RNW588633:RNW588698 RXS588633:RXS588698 SHO588633:SHO588698 SRK588633:SRK588698 TBG588633:TBG588698 TLC588633:TLC588698 TUY588633:TUY588698 UEU588633:UEU588698 UOQ588633:UOQ588698 UYM588633:UYM588698 VII588633:VII588698 VSE588633:VSE588698 WCA588633:WCA588698 WLW588633:WLW588698 WVS588633:WVS588698 K654169:K654234 JG654169:JG654234 TC654169:TC654234 ACY654169:ACY654234 AMU654169:AMU654234 AWQ654169:AWQ654234 BGM654169:BGM654234 BQI654169:BQI654234 CAE654169:CAE654234 CKA654169:CKA654234 CTW654169:CTW654234 DDS654169:DDS654234 DNO654169:DNO654234 DXK654169:DXK654234 EHG654169:EHG654234 ERC654169:ERC654234 FAY654169:FAY654234 FKU654169:FKU654234 FUQ654169:FUQ654234 GEM654169:GEM654234 GOI654169:GOI654234 GYE654169:GYE654234 HIA654169:HIA654234 HRW654169:HRW654234 IBS654169:IBS654234 ILO654169:ILO654234 IVK654169:IVK654234 JFG654169:JFG654234 JPC654169:JPC654234 JYY654169:JYY654234 KIU654169:KIU654234 KSQ654169:KSQ654234 LCM654169:LCM654234 LMI654169:LMI654234 LWE654169:LWE654234 MGA654169:MGA654234 MPW654169:MPW654234 MZS654169:MZS654234 NJO654169:NJO654234 NTK654169:NTK654234 ODG654169:ODG654234 ONC654169:ONC654234 OWY654169:OWY654234 PGU654169:PGU654234 PQQ654169:PQQ654234 QAM654169:QAM654234 QKI654169:QKI654234 QUE654169:QUE654234 REA654169:REA654234 RNW654169:RNW654234 RXS654169:RXS654234 SHO654169:SHO654234 SRK654169:SRK654234 TBG654169:TBG654234 TLC654169:TLC654234 TUY654169:TUY654234 UEU654169:UEU654234 UOQ654169:UOQ654234 UYM654169:UYM654234 VII654169:VII654234 VSE654169:VSE654234 WCA654169:WCA654234 WLW654169:WLW654234 WVS654169:WVS654234 K719705:K719770 JG719705:JG719770 TC719705:TC719770 ACY719705:ACY719770 AMU719705:AMU719770 AWQ719705:AWQ719770 BGM719705:BGM719770 BQI719705:BQI719770 CAE719705:CAE719770 CKA719705:CKA719770 CTW719705:CTW719770 DDS719705:DDS719770 DNO719705:DNO719770 DXK719705:DXK719770 EHG719705:EHG719770 ERC719705:ERC719770 FAY719705:FAY719770 FKU719705:FKU719770 FUQ719705:FUQ719770 GEM719705:GEM719770 GOI719705:GOI719770 GYE719705:GYE719770 HIA719705:HIA719770 HRW719705:HRW719770 IBS719705:IBS719770 ILO719705:ILO719770 IVK719705:IVK719770 JFG719705:JFG719770 JPC719705:JPC719770 JYY719705:JYY719770 KIU719705:KIU719770 KSQ719705:KSQ719770 LCM719705:LCM719770 LMI719705:LMI719770 LWE719705:LWE719770 MGA719705:MGA719770 MPW719705:MPW719770 MZS719705:MZS719770 NJO719705:NJO719770 NTK719705:NTK719770 ODG719705:ODG719770 ONC719705:ONC719770 OWY719705:OWY719770 PGU719705:PGU719770 PQQ719705:PQQ719770 QAM719705:QAM719770 QKI719705:QKI719770 QUE719705:QUE719770 REA719705:REA719770 RNW719705:RNW719770 RXS719705:RXS719770 SHO719705:SHO719770 SRK719705:SRK719770 TBG719705:TBG719770 TLC719705:TLC719770 TUY719705:TUY719770 UEU719705:UEU719770 UOQ719705:UOQ719770 UYM719705:UYM719770 VII719705:VII719770 VSE719705:VSE719770 WCA719705:WCA719770 WLW719705:WLW719770 WVS719705:WVS719770 K785241:K785306 JG785241:JG785306 TC785241:TC785306 ACY785241:ACY785306 AMU785241:AMU785306 AWQ785241:AWQ785306 BGM785241:BGM785306 BQI785241:BQI785306 CAE785241:CAE785306 CKA785241:CKA785306 CTW785241:CTW785306 DDS785241:DDS785306 DNO785241:DNO785306 DXK785241:DXK785306 EHG785241:EHG785306 ERC785241:ERC785306 FAY785241:FAY785306 FKU785241:FKU785306 FUQ785241:FUQ785306 GEM785241:GEM785306 GOI785241:GOI785306 GYE785241:GYE785306 HIA785241:HIA785306 HRW785241:HRW785306 IBS785241:IBS785306 ILO785241:ILO785306 IVK785241:IVK785306 JFG785241:JFG785306 JPC785241:JPC785306 JYY785241:JYY785306 KIU785241:KIU785306 KSQ785241:KSQ785306 LCM785241:LCM785306 LMI785241:LMI785306 LWE785241:LWE785306 MGA785241:MGA785306 MPW785241:MPW785306 MZS785241:MZS785306 NJO785241:NJO785306 NTK785241:NTK785306 ODG785241:ODG785306 ONC785241:ONC785306 OWY785241:OWY785306 PGU785241:PGU785306 PQQ785241:PQQ785306 QAM785241:QAM785306 QKI785241:QKI785306 QUE785241:QUE785306 REA785241:REA785306 RNW785241:RNW785306 RXS785241:RXS785306 SHO785241:SHO785306 SRK785241:SRK785306 TBG785241:TBG785306 TLC785241:TLC785306 TUY785241:TUY785306 UEU785241:UEU785306 UOQ785241:UOQ785306 UYM785241:UYM785306 VII785241:VII785306 VSE785241:VSE785306 WCA785241:WCA785306 WLW785241:WLW785306 WVS785241:WVS785306 K850777:K850842 JG850777:JG850842 TC850777:TC850842 ACY850777:ACY850842 AMU850777:AMU850842 AWQ850777:AWQ850842 BGM850777:BGM850842 BQI850777:BQI850842 CAE850777:CAE850842 CKA850777:CKA850842 CTW850777:CTW850842 DDS850777:DDS850842 DNO850777:DNO850842 DXK850777:DXK850842 EHG850777:EHG850842 ERC850777:ERC850842 FAY850777:FAY850842 FKU850777:FKU850842 FUQ850777:FUQ850842 GEM850777:GEM850842 GOI850777:GOI850842 GYE850777:GYE850842 HIA850777:HIA850842 HRW850777:HRW850842 IBS850777:IBS850842 ILO850777:ILO850842 IVK850777:IVK850842 JFG850777:JFG850842 JPC850777:JPC850842 JYY850777:JYY850842 KIU850777:KIU850842 KSQ850777:KSQ850842 LCM850777:LCM850842 LMI850777:LMI850842 LWE850777:LWE850842 MGA850777:MGA850842 MPW850777:MPW850842 MZS850777:MZS850842 NJO850777:NJO850842 NTK850777:NTK850842 ODG850777:ODG850842 ONC850777:ONC850842 OWY850777:OWY850842 PGU850777:PGU850842 PQQ850777:PQQ850842 QAM850777:QAM850842 QKI850777:QKI850842 QUE850777:QUE850842 REA850777:REA850842 RNW850777:RNW850842 RXS850777:RXS850842 SHO850777:SHO850842 SRK850777:SRK850842 TBG850777:TBG850842 TLC850777:TLC850842 TUY850777:TUY850842 UEU850777:UEU850842 UOQ850777:UOQ850842 UYM850777:UYM850842 VII850777:VII850842 VSE850777:VSE850842 WCA850777:WCA850842 WLW850777:WLW850842 WVS850777:WVS850842 K916313:K916378 JG916313:JG916378 TC916313:TC916378 ACY916313:ACY916378 AMU916313:AMU916378 AWQ916313:AWQ916378 BGM916313:BGM916378 BQI916313:BQI916378 CAE916313:CAE916378 CKA916313:CKA916378 CTW916313:CTW916378 DDS916313:DDS916378 DNO916313:DNO916378 DXK916313:DXK916378 EHG916313:EHG916378 ERC916313:ERC916378 FAY916313:FAY916378 FKU916313:FKU916378 FUQ916313:FUQ916378 GEM916313:GEM916378 GOI916313:GOI916378 GYE916313:GYE916378 HIA916313:HIA916378 HRW916313:HRW916378 IBS916313:IBS916378 ILO916313:ILO916378 IVK916313:IVK916378 JFG916313:JFG916378 JPC916313:JPC916378 JYY916313:JYY916378 KIU916313:KIU916378 KSQ916313:KSQ916378 LCM916313:LCM916378 LMI916313:LMI916378 LWE916313:LWE916378 MGA916313:MGA916378 MPW916313:MPW916378 MZS916313:MZS916378 NJO916313:NJO916378 NTK916313:NTK916378 ODG916313:ODG916378 ONC916313:ONC916378 OWY916313:OWY916378 PGU916313:PGU916378 PQQ916313:PQQ916378 QAM916313:QAM916378 QKI916313:QKI916378 QUE916313:QUE916378 REA916313:REA916378 RNW916313:RNW916378 RXS916313:RXS916378 SHO916313:SHO916378 SRK916313:SRK916378 TBG916313:TBG916378 TLC916313:TLC916378 TUY916313:TUY916378 UEU916313:UEU916378 UOQ916313:UOQ916378 UYM916313:UYM916378 VII916313:VII916378 VSE916313:VSE916378 WCA916313:WCA916378 WLW916313:WLW916378 WVS916313:WVS916378 K981849:K981914 JG981849:JG981914 TC981849:TC981914 ACY981849:ACY981914 AMU981849:AMU981914 AWQ981849:AWQ981914 BGM981849:BGM981914 BQI981849:BQI981914 CAE981849:CAE981914 CKA981849:CKA981914 CTW981849:CTW981914 DDS981849:DDS981914 DNO981849:DNO981914 DXK981849:DXK981914 EHG981849:EHG981914 ERC981849:ERC981914 FAY981849:FAY981914 FKU981849:FKU981914 FUQ981849:FUQ981914 GEM981849:GEM981914 GOI981849:GOI981914 GYE981849:GYE981914 HIA981849:HIA981914 HRW981849:HRW981914 IBS981849:IBS981914 ILO981849:ILO981914 IVK981849:IVK981914 JFG981849:JFG981914 JPC981849:JPC981914 JYY981849:JYY981914 KIU981849:KIU981914 KSQ981849:KSQ981914 LCM981849:LCM981914 LMI981849:LMI981914 LWE981849:LWE981914 MGA981849:MGA981914 MPW981849:MPW981914 MZS981849:MZS981914 NJO981849:NJO981914 NTK981849:NTK981914 ODG981849:ODG981914 ONC981849:ONC981914 OWY981849:OWY981914 PGU981849:PGU981914 PQQ981849:PQQ981914 QAM981849:QAM981914 QKI981849:QKI981914 QUE981849:QUE981914 REA981849:REA981914 RNW981849:RNW981914 RXS981849:RXS981914 SHO981849:SHO981914 SRK981849:SRK981914 TBG981849:TBG981914 TLC981849:TLC981914 TUY981849:TUY981914 UEU981849:UEU981914 UOQ981849:UOQ981914 UYM981849:UYM981914 VII981849:VII981914 VSE981849:VSE981914 WCA981849:WCA981914 WLW981849:WLW981914 WVS981849:WVS981914 K1047385:K1047450 JG1047385:JG1047450 TC1047385:TC1047450 ACY1047385:ACY1047450 AMU1047385:AMU1047450 AWQ1047385:AWQ1047450 BGM1047385:BGM1047450 BQI1047385:BQI1047450 CAE1047385:CAE1047450 CKA1047385:CKA1047450 CTW1047385:CTW1047450 DDS1047385:DDS1047450 DNO1047385:DNO1047450 DXK1047385:DXK1047450 EHG1047385:EHG1047450 ERC1047385:ERC1047450 FAY1047385:FAY1047450 FKU1047385:FKU1047450 FUQ1047385:FUQ1047450 GEM1047385:GEM1047450 GOI1047385:GOI1047450 GYE1047385:GYE1047450 HIA1047385:HIA1047450 HRW1047385:HRW1047450 IBS1047385:IBS1047450 ILO1047385:ILO1047450 IVK1047385:IVK1047450 JFG1047385:JFG1047450 JPC1047385:JPC1047450 JYY1047385:JYY1047450 KIU1047385:KIU1047450 KSQ1047385:KSQ1047450 LCM1047385:LCM1047450 LMI1047385:LMI1047450 LWE1047385:LWE1047450 MGA1047385:MGA1047450 MPW1047385:MPW1047450 MZS1047385:MZS1047450 NJO1047385:NJO1047450 NTK1047385:NTK1047450 ODG1047385:ODG1047450 ONC1047385:ONC1047450 OWY1047385:OWY1047450 PGU1047385:PGU1047450 PQQ1047385:PQQ1047450 QAM1047385:QAM1047450 QKI1047385:QKI1047450 QUE1047385:QUE1047450 REA1047385:REA1047450 RNW1047385:RNW1047450 RXS1047385:RXS1047450 SHO1047385:SHO1047450 SRK1047385:SRK1047450 TBG1047385:TBG1047450 TLC1047385:TLC1047450 TUY1047385:TUY1047450 UEU1047385:UEU1047450 UOQ1047385:UOQ1047450 UYM1047385:UYM1047450 VII1047385:VII1047450 VSE1047385:VSE1047450 WCA1047385:WCA1047450 WLW1047385:WLW1047450 WVS1047385:WVS1047450" xr:uid="{0DE198D6-5040-472C-8B17-C982825819F3}">
      <formula1>$AR$2:$AR$24</formula1>
    </dataValidation>
    <dataValidation type="list" allowBlank="1" showInputMessage="1" showErrorMessage="1" sqref="Y64345:AA64410 JU64345:JW64410 TQ64345:TS64410 ADM64345:ADO64410 ANI64345:ANK64410 AXE64345:AXG64410 BHA64345:BHC64410 BQW64345:BQY64410 CAS64345:CAU64410 CKO64345:CKQ64410 CUK64345:CUM64410 DEG64345:DEI64410 DOC64345:DOE64410 DXY64345:DYA64410 EHU64345:EHW64410 ERQ64345:ERS64410 FBM64345:FBO64410 FLI64345:FLK64410 FVE64345:FVG64410 GFA64345:GFC64410 GOW64345:GOY64410 GYS64345:GYU64410 HIO64345:HIQ64410 HSK64345:HSM64410 ICG64345:ICI64410 IMC64345:IME64410 IVY64345:IWA64410 JFU64345:JFW64410 JPQ64345:JPS64410 JZM64345:JZO64410 KJI64345:KJK64410 KTE64345:KTG64410 LDA64345:LDC64410 LMW64345:LMY64410 LWS64345:LWU64410 MGO64345:MGQ64410 MQK64345:MQM64410 NAG64345:NAI64410 NKC64345:NKE64410 NTY64345:NUA64410 ODU64345:ODW64410 ONQ64345:ONS64410 OXM64345:OXO64410 PHI64345:PHK64410 PRE64345:PRG64410 QBA64345:QBC64410 QKW64345:QKY64410 QUS64345:QUU64410 REO64345:REQ64410 ROK64345:ROM64410 RYG64345:RYI64410 SIC64345:SIE64410 SRY64345:SSA64410 TBU64345:TBW64410 TLQ64345:TLS64410 TVM64345:TVO64410 UFI64345:UFK64410 UPE64345:UPG64410 UZA64345:UZC64410 VIW64345:VIY64410 VSS64345:VSU64410 WCO64345:WCQ64410 WMK64345:WMM64410 WWG64345:WWI64410 Y129881:AA129946 JU129881:JW129946 TQ129881:TS129946 ADM129881:ADO129946 ANI129881:ANK129946 AXE129881:AXG129946 BHA129881:BHC129946 BQW129881:BQY129946 CAS129881:CAU129946 CKO129881:CKQ129946 CUK129881:CUM129946 DEG129881:DEI129946 DOC129881:DOE129946 DXY129881:DYA129946 EHU129881:EHW129946 ERQ129881:ERS129946 FBM129881:FBO129946 FLI129881:FLK129946 FVE129881:FVG129946 GFA129881:GFC129946 GOW129881:GOY129946 GYS129881:GYU129946 HIO129881:HIQ129946 HSK129881:HSM129946 ICG129881:ICI129946 IMC129881:IME129946 IVY129881:IWA129946 JFU129881:JFW129946 JPQ129881:JPS129946 JZM129881:JZO129946 KJI129881:KJK129946 KTE129881:KTG129946 LDA129881:LDC129946 LMW129881:LMY129946 LWS129881:LWU129946 MGO129881:MGQ129946 MQK129881:MQM129946 NAG129881:NAI129946 NKC129881:NKE129946 NTY129881:NUA129946 ODU129881:ODW129946 ONQ129881:ONS129946 OXM129881:OXO129946 PHI129881:PHK129946 PRE129881:PRG129946 QBA129881:QBC129946 QKW129881:QKY129946 QUS129881:QUU129946 REO129881:REQ129946 ROK129881:ROM129946 RYG129881:RYI129946 SIC129881:SIE129946 SRY129881:SSA129946 TBU129881:TBW129946 TLQ129881:TLS129946 TVM129881:TVO129946 UFI129881:UFK129946 UPE129881:UPG129946 UZA129881:UZC129946 VIW129881:VIY129946 VSS129881:VSU129946 WCO129881:WCQ129946 WMK129881:WMM129946 WWG129881:WWI129946 Y195417:AA195482 JU195417:JW195482 TQ195417:TS195482 ADM195417:ADO195482 ANI195417:ANK195482 AXE195417:AXG195482 BHA195417:BHC195482 BQW195417:BQY195482 CAS195417:CAU195482 CKO195417:CKQ195482 CUK195417:CUM195482 DEG195417:DEI195482 DOC195417:DOE195482 DXY195417:DYA195482 EHU195417:EHW195482 ERQ195417:ERS195482 FBM195417:FBO195482 FLI195417:FLK195482 FVE195417:FVG195482 GFA195417:GFC195482 GOW195417:GOY195482 GYS195417:GYU195482 HIO195417:HIQ195482 HSK195417:HSM195482 ICG195417:ICI195482 IMC195417:IME195482 IVY195417:IWA195482 JFU195417:JFW195482 JPQ195417:JPS195482 JZM195417:JZO195482 KJI195417:KJK195482 KTE195417:KTG195482 LDA195417:LDC195482 LMW195417:LMY195482 LWS195417:LWU195482 MGO195417:MGQ195482 MQK195417:MQM195482 NAG195417:NAI195482 NKC195417:NKE195482 NTY195417:NUA195482 ODU195417:ODW195482 ONQ195417:ONS195482 OXM195417:OXO195482 PHI195417:PHK195482 PRE195417:PRG195482 QBA195417:QBC195482 QKW195417:QKY195482 QUS195417:QUU195482 REO195417:REQ195482 ROK195417:ROM195482 RYG195417:RYI195482 SIC195417:SIE195482 SRY195417:SSA195482 TBU195417:TBW195482 TLQ195417:TLS195482 TVM195417:TVO195482 UFI195417:UFK195482 UPE195417:UPG195482 UZA195417:UZC195482 VIW195417:VIY195482 VSS195417:VSU195482 WCO195417:WCQ195482 WMK195417:WMM195482 WWG195417:WWI195482 Y260953:AA261018 JU260953:JW261018 TQ260953:TS261018 ADM260953:ADO261018 ANI260953:ANK261018 AXE260953:AXG261018 BHA260953:BHC261018 BQW260953:BQY261018 CAS260953:CAU261018 CKO260953:CKQ261018 CUK260953:CUM261018 DEG260953:DEI261018 DOC260953:DOE261018 DXY260953:DYA261018 EHU260953:EHW261018 ERQ260953:ERS261018 FBM260953:FBO261018 FLI260953:FLK261018 FVE260953:FVG261018 GFA260953:GFC261018 GOW260953:GOY261018 GYS260953:GYU261018 HIO260953:HIQ261018 HSK260953:HSM261018 ICG260953:ICI261018 IMC260953:IME261018 IVY260953:IWA261018 JFU260953:JFW261018 JPQ260953:JPS261018 JZM260953:JZO261018 KJI260953:KJK261018 KTE260953:KTG261018 LDA260953:LDC261018 LMW260953:LMY261018 LWS260953:LWU261018 MGO260953:MGQ261018 MQK260953:MQM261018 NAG260953:NAI261018 NKC260953:NKE261018 NTY260953:NUA261018 ODU260953:ODW261018 ONQ260953:ONS261018 OXM260953:OXO261018 PHI260953:PHK261018 PRE260953:PRG261018 QBA260953:QBC261018 QKW260953:QKY261018 QUS260953:QUU261018 REO260953:REQ261018 ROK260953:ROM261018 RYG260953:RYI261018 SIC260953:SIE261018 SRY260953:SSA261018 TBU260953:TBW261018 TLQ260953:TLS261018 TVM260953:TVO261018 UFI260953:UFK261018 UPE260953:UPG261018 UZA260953:UZC261018 VIW260953:VIY261018 VSS260953:VSU261018 WCO260953:WCQ261018 WMK260953:WMM261018 WWG260953:WWI261018 Y326489:AA326554 JU326489:JW326554 TQ326489:TS326554 ADM326489:ADO326554 ANI326489:ANK326554 AXE326489:AXG326554 BHA326489:BHC326554 BQW326489:BQY326554 CAS326489:CAU326554 CKO326489:CKQ326554 CUK326489:CUM326554 DEG326489:DEI326554 DOC326489:DOE326554 DXY326489:DYA326554 EHU326489:EHW326554 ERQ326489:ERS326554 FBM326489:FBO326554 FLI326489:FLK326554 FVE326489:FVG326554 GFA326489:GFC326554 GOW326489:GOY326554 GYS326489:GYU326554 HIO326489:HIQ326554 HSK326489:HSM326554 ICG326489:ICI326554 IMC326489:IME326554 IVY326489:IWA326554 JFU326489:JFW326554 JPQ326489:JPS326554 JZM326489:JZO326554 KJI326489:KJK326554 KTE326489:KTG326554 LDA326489:LDC326554 LMW326489:LMY326554 LWS326489:LWU326554 MGO326489:MGQ326554 MQK326489:MQM326554 NAG326489:NAI326554 NKC326489:NKE326554 NTY326489:NUA326554 ODU326489:ODW326554 ONQ326489:ONS326554 OXM326489:OXO326554 PHI326489:PHK326554 PRE326489:PRG326554 QBA326489:QBC326554 QKW326489:QKY326554 QUS326489:QUU326554 REO326489:REQ326554 ROK326489:ROM326554 RYG326489:RYI326554 SIC326489:SIE326554 SRY326489:SSA326554 TBU326489:TBW326554 TLQ326489:TLS326554 TVM326489:TVO326554 UFI326489:UFK326554 UPE326489:UPG326554 UZA326489:UZC326554 VIW326489:VIY326554 VSS326489:VSU326554 WCO326489:WCQ326554 WMK326489:WMM326554 WWG326489:WWI326554 Y392025:AA392090 JU392025:JW392090 TQ392025:TS392090 ADM392025:ADO392090 ANI392025:ANK392090 AXE392025:AXG392090 BHA392025:BHC392090 BQW392025:BQY392090 CAS392025:CAU392090 CKO392025:CKQ392090 CUK392025:CUM392090 DEG392025:DEI392090 DOC392025:DOE392090 DXY392025:DYA392090 EHU392025:EHW392090 ERQ392025:ERS392090 FBM392025:FBO392090 FLI392025:FLK392090 FVE392025:FVG392090 GFA392025:GFC392090 GOW392025:GOY392090 GYS392025:GYU392090 HIO392025:HIQ392090 HSK392025:HSM392090 ICG392025:ICI392090 IMC392025:IME392090 IVY392025:IWA392090 JFU392025:JFW392090 JPQ392025:JPS392090 JZM392025:JZO392090 KJI392025:KJK392090 KTE392025:KTG392090 LDA392025:LDC392090 LMW392025:LMY392090 LWS392025:LWU392090 MGO392025:MGQ392090 MQK392025:MQM392090 NAG392025:NAI392090 NKC392025:NKE392090 NTY392025:NUA392090 ODU392025:ODW392090 ONQ392025:ONS392090 OXM392025:OXO392090 PHI392025:PHK392090 PRE392025:PRG392090 QBA392025:QBC392090 QKW392025:QKY392090 QUS392025:QUU392090 REO392025:REQ392090 ROK392025:ROM392090 RYG392025:RYI392090 SIC392025:SIE392090 SRY392025:SSA392090 TBU392025:TBW392090 TLQ392025:TLS392090 TVM392025:TVO392090 UFI392025:UFK392090 UPE392025:UPG392090 UZA392025:UZC392090 VIW392025:VIY392090 VSS392025:VSU392090 WCO392025:WCQ392090 WMK392025:WMM392090 WWG392025:WWI392090 Y457561:AA457626 JU457561:JW457626 TQ457561:TS457626 ADM457561:ADO457626 ANI457561:ANK457626 AXE457561:AXG457626 BHA457561:BHC457626 BQW457561:BQY457626 CAS457561:CAU457626 CKO457561:CKQ457626 CUK457561:CUM457626 DEG457561:DEI457626 DOC457561:DOE457626 DXY457561:DYA457626 EHU457561:EHW457626 ERQ457561:ERS457626 FBM457561:FBO457626 FLI457561:FLK457626 FVE457561:FVG457626 GFA457561:GFC457626 GOW457561:GOY457626 GYS457561:GYU457626 HIO457561:HIQ457626 HSK457561:HSM457626 ICG457561:ICI457626 IMC457561:IME457626 IVY457561:IWA457626 JFU457561:JFW457626 JPQ457561:JPS457626 JZM457561:JZO457626 KJI457561:KJK457626 KTE457561:KTG457626 LDA457561:LDC457626 LMW457561:LMY457626 LWS457561:LWU457626 MGO457561:MGQ457626 MQK457561:MQM457626 NAG457561:NAI457626 NKC457561:NKE457626 NTY457561:NUA457626 ODU457561:ODW457626 ONQ457561:ONS457626 OXM457561:OXO457626 PHI457561:PHK457626 PRE457561:PRG457626 QBA457561:QBC457626 QKW457561:QKY457626 QUS457561:QUU457626 REO457561:REQ457626 ROK457561:ROM457626 RYG457561:RYI457626 SIC457561:SIE457626 SRY457561:SSA457626 TBU457561:TBW457626 TLQ457561:TLS457626 TVM457561:TVO457626 UFI457561:UFK457626 UPE457561:UPG457626 UZA457561:UZC457626 VIW457561:VIY457626 VSS457561:VSU457626 WCO457561:WCQ457626 WMK457561:WMM457626 WWG457561:WWI457626 Y523097:AA523162 JU523097:JW523162 TQ523097:TS523162 ADM523097:ADO523162 ANI523097:ANK523162 AXE523097:AXG523162 BHA523097:BHC523162 BQW523097:BQY523162 CAS523097:CAU523162 CKO523097:CKQ523162 CUK523097:CUM523162 DEG523097:DEI523162 DOC523097:DOE523162 DXY523097:DYA523162 EHU523097:EHW523162 ERQ523097:ERS523162 FBM523097:FBO523162 FLI523097:FLK523162 FVE523097:FVG523162 GFA523097:GFC523162 GOW523097:GOY523162 GYS523097:GYU523162 HIO523097:HIQ523162 HSK523097:HSM523162 ICG523097:ICI523162 IMC523097:IME523162 IVY523097:IWA523162 JFU523097:JFW523162 JPQ523097:JPS523162 JZM523097:JZO523162 KJI523097:KJK523162 KTE523097:KTG523162 LDA523097:LDC523162 LMW523097:LMY523162 LWS523097:LWU523162 MGO523097:MGQ523162 MQK523097:MQM523162 NAG523097:NAI523162 NKC523097:NKE523162 NTY523097:NUA523162 ODU523097:ODW523162 ONQ523097:ONS523162 OXM523097:OXO523162 PHI523097:PHK523162 PRE523097:PRG523162 QBA523097:QBC523162 QKW523097:QKY523162 QUS523097:QUU523162 REO523097:REQ523162 ROK523097:ROM523162 RYG523097:RYI523162 SIC523097:SIE523162 SRY523097:SSA523162 TBU523097:TBW523162 TLQ523097:TLS523162 TVM523097:TVO523162 UFI523097:UFK523162 UPE523097:UPG523162 UZA523097:UZC523162 VIW523097:VIY523162 VSS523097:VSU523162 WCO523097:WCQ523162 WMK523097:WMM523162 WWG523097:WWI523162 Y588633:AA588698 JU588633:JW588698 TQ588633:TS588698 ADM588633:ADO588698 ANI588633:ANK588698 AXE588633:AXG588698 BHA588633:BHC588698 BQW588633:BQY588698 CAS588633:CAU588698 CKO588633:CKQ588698 CUK588633:CUM588698 DEG588633:DEI588698 DOC588633:DOE588698 DXY588633:DYA588698 EHU588633:EHW588698 ERQ588633:ERS588698 FBM588633:FBO588698 FLI588633:FLK588698 FVE588633:FVG588698 GFA588633:GFC588698 GOW588633:GOY588698 GYS588633:GYU588698 HIO588633:HIQ588698 HSK588633:HSM588698 ICG588633:ICI588698 IMC588633:IME588698 IVY588633:IWA588698 JFU588633:JFW588698 JPQ588633:JPS588698 JZM588633:JZO588698 KJI588633:KJK588698 KTE588633:KTG588698 LDA588633:LDC588698 LMW588633:LMY588698 LWS588633:LWU588698 MGO588633:MGQ588698 MQK588633:MQM588698 NAG588633:NAI588698 NKC588633:NKE588698 NTY588633:NUA588698 ODU588633:ODW588698 ONQ588633:ONS588698 OXM588633:OXO588698 PHI588633:PHK588698 PRE588633:PRG588698 QBA588633:QBC588698 QKW588633:QKY588698 QUS588633:QUU588698 REO588633:REQ588698 ROK588633:ROM588698 RYG588633:RYI588698 SIC588633:SIE588698 SRY588633:SSA588698 TBU588633:TBW588698 TLQ588633:TLS588698 TVM588633:TVO588698 UFI588633:UFK588698 UPE588633:UPG588698 UZA588633:UZC588698 VIW588633:VIY588698 VSS588633:VSU588698 WCO588633:WCQ588698 WMK588633:WMM588698 WWG588633:WWI588698 Y654169:AA654234 JU654169:JW654234 TQ654169:TS654234 ADM654169:ADO654234 ANI654169:ANK654234 AXE654169:AXG654234 BHA654169:BHC654234 BQW654169:BQY654234 CAS654169:CAU654234 CKO654169:CKQ654234 CUK654169:CUM654234 DEG654169:DEI654234 DOC654169:DOE654234 DXY654169:DYA654234 EHU654169:EHW654234 ERQ654169:ERS654234 FBM654169:FBO654234 FLI654169:FLK654234 FVE654169:FVG654234 GFA654169:GFC654234 GOW654169:GOY654234 GYS654169:GYU654234 HIO654169:HIQ654234 HSK654169:HSM654234 ICG654169:ICI654234 IMC654169:IME654234 IVY654169:IWA654234 JFU654169:JFW654234 JPQ654169:JPS654234 JZM654169:JZO654234 KJI654169:KJK654234 KTE654169:KTG654234 LDA654169:LDC654234 LMW654169:LMY654234 LWS654169:LWU654234 MGO654169:MGQ654234 MQK654169:MQM654234 NAG654169:NAI654234 NKC654169:NKE654234 NTY654169:NUA654234 ODU654169:ODW654234 ONQ654169:ONS654234 OXM654169:OXO654234 PHI654169:PHK654234 PRE654169:PRG654234 QBA654169:QBC654234 QKW654169:QKY654234 QUS654169:QUU654234 REO654169:REQ654234 ROK654169:ROM654234 RYG654169:RYI654234 SIC654169:SIE654234 SRY654169:SSA654234 TBU654169:TBW654234 TLQ654169:TLS654234 TVM654169:TVO654234 UFI654169:UFK654234 UPE654169:UPG654234 UZA654169:UZC654234 VIW654169:VIY654234 VSS654169:VSU654234 WCO654169:WCQ654234 WMK654169:WMM654234 WWG654169:WWI654234 Y719705:AA719770 JU719705:JW719770 TQ719705:TS719770 ADM719705:ADO719770 ANI719705:ANK719770 AXE719705:AXG719770 BHA719705:BHC719770 BQW719705:BQY719770 CAS719705:CAU719770 CKO719705:CKQ719770 CUK719705:CUM719770 DEG719705:DEI719770 DOC719705:DOE719770 DXY719705:DYA719770 EHU719705:EHW719770 ERQ719705:ERS719770 FBM719705:FBO719770 FLI719705:FLK719770 FVE719705:FVG719770 GFA719705:GFC719770 GOW719705:GOY719770 GYS719705:GYU719770 HIO719705:HIQ719770 HSK719705:HSM719770 ICG719705:ICI719770 IMC719705:IME719770 IVY719705:IWA719770 JFU719705:JFW719770 JPQ719705:JPS719770 JZM719705:JZO719770 KJI719705:KJK719770 KTE719705:KTG719770 LDA719705:LDC719770 LMW719705:LMY719770 LWS719705:LWU719770 MGO719705:MGQ719770 MQK719705:MQM719770 NAG719705:NAI719770 NKC719705:NKE719770 NTY719705:NUA719770 ODU719705:ODW719770 ONQ719705:ONS719770 OXM719705:OXO719770 PHI719705:PHK719770 PRE719705:PRG719770 QBA719705:QBC719770 QKW719705:QKY719770 QUS719705:QUU719770 REO719705:REQ719770 ROK719705:ROM719770 RYG719705:RYI719770 SIC719705:SIE719770 SRY719705:SSA719770 TBU719705:TBW719770 TLQ719705:TLS719770 TVM719705:TVO719770 UFI719705:UFK719770 UPE719705:UPG719770 UZA719705:UZC719770 VIW719705:VIY719770 VSS719705:VSU719770 WCO719705:WCQ719770 WMK719705:WMM719770 WWG719705:WWI719770 Y785241:AA785306 JU785241:JW785306 TQ785241:TS785306 ADM785241:ADO785306 ANI785241:ANK785306 AXE785241:AXG785306 BHA785241:BHC785306 BQW785241:BQY785306 CAS785241:CAU785306 CKO785241:CKQ785306 CUK785241:CUM785306 DEG785241:DEI785306 DOC785241:DOE785306 DXY785241:DYA785306 EHU785241:EHW785306 ERQ785241:ERS785306 FBM785241:FBO785306 FLI785241:FLK785306 FVE785241:FVG785306 GFA785241:GFC785306 GOW785241:GOY785306 GYS785241:GYU785306 HIO785241:HIQ785306 HSK785241:HSM785306 ICG785241:ICI785306 IMC785241:IME785306 IVY785241:IWA785306 JFU785241:JFW785306 JPQ785241:JPS785306 JZM785241:JZO785306 KJI785241:KJK785306 KTE785241:KTG785306 LDA785241:LDC785306 LMW785241:LMY785306 LWS785241:LWU785306 MGO785241:MGQ785306 MQK785241:MQM785306 NAG785241:NAI785306 NKC785241:NKE785306 NTY785241:NUA785306 ODU785241:ODW785306 ONQ785241:ONS785306 OXM785241:OXO785306 PHI785241:PHK785306 PRE785241:PRG785306 QBA785241:QBC785306 QKW785241:QKY785306 QUS785241:QUU785306 REO785241:REQ785306 ROK785241:ROM785306 RYG785241:RYI785306 SIC785241:SIE785306 SRY785241:SSA785306 TBU785241:TBW785306 TLQ785241:TLS785306 TVM785241:TVO785306 UFI785241:UFK785306 UPE785241:UPG785306 UZA785241:UZC785306 VIW785241:VIY785306 VSS785241:VSU785306 WCO785241:WCQ785306 WMK785241:WMM785306 WWG785241:WWI785306 Y850777:AA850842 JU850777:JW850842 TQ850777:TS850842 ADM850777:ADO850842 ANI850777:ANK850842 AXE850777:AXG850842 BHA850777:BHC850842 BQW850777:BQY850842 CAS850777:CAU850842 CKO850777:CKQ850842 CUK850777:CUM850842 DEG850777:DEI850842 DOC850777:DOE850842 DXY850777:DYA850842 EHU850777:EHW850842 ERQ850777:ERS850842 FBM850777:FBO850842 FLI850777:FLK850842 FVE850777:FVG850842 GFA850777:GFC850842 GOW850777:GOY850842 GYS850777:GYU850842 HIO850777:HIQ850842 HSK850777:HSM850842 ICG850777:ICI850842 IMC850777:IME850842 IVY850777:IWA850842 JFU850777:JFW850842 JPQ850777:JPS850842 JZM850777:JZO850842 KJI850777:KJK850842 KTE850777:KTG850842 LDA850777:LDC850842 LMW850777:LMY850842 LWS850777:LWU850842 MGO850777:MGQ850842 MQK850777:MQM850842 NAG850777:NAI850842 NKC850777:NKE850842 NTY850777:NUA850842 ODU850777:ODW850842 ONQ850777:ONS850842 OXM850777:OXO850842 PHI850777:PHK850842 PRE850777:PRG850842 QBA850777:QBC850842 QKW850777:QKY850842 QUS850777:QUU850842 REO850777:REQ850842 ROK850777:ROM850842 RYG850777:RYI850842 SIC850777:SIE850842 SRY850777:SSA850842 TBU850777:TBW850842 TLQ850777:TLS850842 TVM850777:TVO850842 UFI850777:UFK850842 UPE850777:UPG850842 UZA850777:UZC850842 VIW850777:VIY850842 VSS850777:VSU850842 WCO850777:WCQ850842 WMK850777:WMM850842 WWG850777:WWI850842 Y916313:AA916378 JU916313:JW916378 TQ916313:TS916378 ADM916313:ADO916378 ANI916313:ANK916378 AXE916313:AXG916378 BHA916313:BHC916378 BQW916313:BQY916378 CAS916313:CAU916378 CKO916313:CKQ916378 CUK916313:CUM916378 DEG916313:DEI916378 DOC916313:DOE916378 DXY916313:DYA916378 EHU916313:EHW916378 ERQ916313:ERS916378 FBM916313:FBO916378 FLI916313:FLK916378 FVE916313:FVG916378 GFA916313:GFC916378 GOW916313:GOY916378 GYS916313:GYU916378 HIO916313:HIQ916378 HSK916313:HSM916378 ICG916313:ICI916378 IMC916313:IME916378 IVY916313:IWA916378 JFU916313:JFW916378 JPQ916313:JPS916378 JZM916313:JZO916378 KJI916313:KJK916378 KTE916313:KTG916378 LDA916313:LDC916378 LMW916313:LMY916378 LWS916313:LWU916378 MGO916313:MGQ916378 MQK916313:MQM916378 NAG916313:NAI916378 NKC916313:NKE916378 NTY916313:NUA916378 ODU916313:ODW916378 ONQ916313:ONS916378 OXM916313:OXO916378 PHI916313:PHK916378 PRE916313:PRG916378 QBA916313:QBC916378 QKW916313:QKY916378 QUS916313:QUU916378 REO916313:REQ916378 ROK916313:ROM916378 RYG916313:RYI916378 SIC916313:SIE916378 SRY916313:SSA916378 TBU916313:TBW916378 TLQ916313:TLS916378 TVM916313:TVO916378 UFI916313:UFK916378 UPE916313:UPG916378 UZA916313:UZC916378 VIW916313:VIY916378 VSS916313:VSU916378 WCO916313:WCQ916378 WMK916313:WMM916378 WWG916313:WWI916378 Y981849:AA981914 JU981849:JW981914 TQ981849:TS981914 ADM981849:ADO981914 ANI981849:ANK981914 AXE981849:AXG981914 BHA981849:BHC981914 BQW981849:BQY981914 CAS981849:CAU981914 CKO981849:CKQ981914 CUK981849:CUM981914 DEG981849:DEI981914 DOC981849:DOE981914 DXY981849:DYA981914 EHU981849:EHW981914 ERQ981849:ERS981914 FBM981849:FBO981914 FLI981849:FLK981914 FVE981849:FVG981914 GFA981849:GFC981914 GOW981849:GOY981914 GYS981849:GYU981914 HIO981849:HIQ981914 HSK981849:HSM981914 ICG981849:ICI981914 IMC981849:IME981914 IVY981849:IWA981914 JFU981849:JFW981914 JPQ981849:JPS981914 JZM981849:JZO981914 KJI981849:KJK981914 KTE981849:KTG981914 LDA981849:LDC981914 LMW981849:LMY981914 LWS981849:LWU981914 MGO981849:MGQ981914 MQK981849:MQM981914 NAG981849:NAI981914 NKC981849:NKE981914 NTY981849:NUA981914 ODU981849:ODW981914 ONQ981849:ONS981914 OXM981849:OXO981914 PHI981849:PHK981914 PRE981849:PRG981914 QBA981849:QBC981914 QKW981849:QKY981914 QUS981849:QUU981914 REO981849:REQ981914 ROK981849:ROM981914 RYG981849:RYI981914 SIC981849:SIE981914 SRY981849:SSA981914 TBU981849:TBW981914 TLQ981849:TLS981914 TVM981849:TVO981914 UFI981849:UFK981914 UPE981849:UPG981914 UZA981849:UZC981914 VIW981849:VIY981914 VSS981849:VSU981914 WCO981849:WCQ981914 WMK981849:WMM981914 WWG981849:WWI981914 Y1047385:AA1047450 JU1047385:JW1047450 TQ1047385:TS1047450 ADM1047385:ADO1047450 ANI1047385:ANK1047450 AXE1047385:AXG1047450 BHA1047385:BHC1047450 BQW1047385:BQY1047450 CAS1047385:CAU1047450 CKO1047385:CKQ1047450 CUK1047385:CUM1047450 DEG1047385:DEI1047450 DOC1047385:DOE1047450 DXY1047385:DYA1047450 EHU1047385:EHW1047450 ERQ1047385:ERS1047450 FBM1047385:FBO1047450 FLI1047385:FLK1047450 FVE1047385:FVG1047450 GFA1047385:GFC1047450 GOW1047385:GOY1047450 GYS1047385:GYU1047450 HIO1047385:HIQ1047450 HSK1047385:HSM1047450 ICG1047385:ICI1047450 IMC1047385:IME1047450 IVY1047385:IWA1047450 JFU1047385:JFW1047450 JPQ1047385:JPS1047450 JZM1047385:JZO1047450 KJI1047385:KJK1047450 KTE1047385:KTG1047450 LDA1047385:LDC1047450 LMW1047385:LMY1047450 LWS1047385:LWU1047450 MGO1047385:MGQ1047450 MQK1047385:MQM1047450 NAG1047385:NAI1047450 NKC1047385:NKE1047450 NTY1047385:NUA1047450 ODU1047385:ODW1047450 ONQ1047385:ONS1047450 OXM1047385:OXO1047450 PHI1047385:PHK1047450 PRE1047385:PRG1047450 QBA1047385:QBC1047450 QKW1047385:QKY1047450 QUS1047385:QUU1047450 REO1047385:REQ1047450 ROK1047385:ROM1047450 RYG1047385:RYI1047450 SIC1047385:SIE1047450 SRY1047385:SSA1047450 TBU1047385:TBW1047450 TLQ1047385:TLS1047450 TVM1047385:TVO1047450 UFI1047385:UFK1047450 UPE1047385:UPG1047450 UZA1047385:UZC1047450 VIW1047385:VIY1047450 VSS1047385:VSU1047450 WCO1047385:WCQ1047450 WMK1047385:WMM1047450 WWG1047385:WWI1047450 WWG983024:WWI983089 Y65520:AA65585 JU65520:JW65585 TQ65520:TS65585 ADM65520:ADO65585 ANI65520:ANK65585 AXE65520:AXG65585 BHA65520:BHC65585 BQW65520:BQY65585 CAS65520:CAU65585 CKO65520:CKQ65585 CUK65520:CUM65585 DEG65520:DEI65585 DOC65520:DOE65585 DXY65520:DYA65585 EHU65520:EHW65585 ERQ65520:ERS65585 FBM65520:FBO65585 FLI65520:FLK65585 FVE65520:FVG65585 GFA65520:GFC65585 GOW65520:GOY65585 GYS65520:GYU65585 HIO65520:HIQ65585 HSK65520:HSM65585 ICG65520:ICI65585 IMC65520:IME65585 IVY65520:IWA65585 JFU65520:JFW65585 JPQ65520:JPS65585 JZM65520:JZO65585 KJI65520:KJK65585 KTE65520:KTG65585 LDA65520:LDC65585 LMW65520:LMY65585 LWS65520:LWU65585 MGO65520:MGQ65585 MQK65520:MQM65585 NAG65520:NAI65585 NKC65520:NKE65585 NTY65520:NUA65585 ODU65520:ODW65585 ONQ65520:ONS65585 OXM65520:OXO65585 PHI65520:PHK65585 PRE65520:PRG65585 QBA65520:QBC65585 QKW65520:QKY65585 QUS65520:QUU65585 REO65520:REQ65585 ROK65520:ROM65585 RYG65520:RYI65585 SIC65520:SIE65585 SRY65520:SSA65585 TBU65520:TBW65585 TLQ65520:TLS65585 TVM65520:TVO65585 UFI65520:UFK65585 UPE65520:UPG65585 UZA65520:UZC65585 VIW65520:VIY65585 VSS65520:VSU65585 WCO65520:WCQ65585 WMK65520:WMM65585 WWG65520:WWI65585 Y131056:AA131121 JU131056:JW131121 TQ131056:TS131121 ADM131056:ADO131121 ANI131056:ANK131121 AXE131056:AXG131121 BHA131056:BHC131121 BQW131056:BQY131121 CAS131056:CAU131121 CKO131056:CKQ131121 CUK131056:CUM131121 DEG131056:DEI131121 DOC131056:DOE131121 DXY131056:DYA131121 EHU131056:EHW131121 ERQ131056:ERS131121 FBM131056:FBO131121 FLI131056:FLK131121 FVE131056:FVG131121 GFA131056:GFC131121 GOW131056:GOY131121 GYS131056:GYU131121 HIO131056:HIQ131121 HSK131056:HSM131121 ICG131056:ICI131121 IMC131056:IME131121 IVY131056:IWA131121 JFU131056:JFW131121 JPQ131056:JPS131121 JZM131056:JZO131121 KJI131056:KJK131121 KTE131056:KTG131121 LDA131056:LDC131121 LMW131056:LMY131121 LWS131056:LWU131121 MGO131056:MGQ131121 MQK131056:MQM131121 NAG131056:NAI131121 NKC131056:NKE131121 NTY131056:NUA131121 ODU131056:ODW131121 ONQ131056:ONS131121 OXM131056:OXO131121 PHI131056:PHK131121 PRE131056:PRG131121 QBA131056:QBC131121 QKW131056:QKY131121 QUS131056:QUU131121 REO131056:REQ131121 ROK131056:ROM131121 RYG131056:RYI131121 SIC131056:SIE131121 SRY131056:SSA131121 TBU131056:TBW131121 TLQ131056:TLS131121 TVM131056:TVO131121 UFI131056:UFK131121 UPE131056:UPG131121 UZA131056:UZC131121 VIW131056:VIY131121 VSS131056:VSU131121 WCO131056:WCQ131121 WMK131056:WMM131121 WWG131056:WWI131121 Y196592:AA196657 JU196592:JW196657 TQ196592:TS196657 ADM196592:ADO196657 ANI196592:ANK196657 AXE196592:AXG196657 BHA196592:BHC196657 BQW196592:BQY196657 CAS196592:CAU196657 CKO196592:CKQ196657 CUK196592:CUM196657 DEG196592:DEI196657 DOC196592:DOE196657 DXY196592:DYA196657 EHU196592:EHW196657 ERQ196592:ERS196657 FBM196592:FBO196657 FLI196592:FLK196657 FVE196592:FVG196657 GFA196592:GFC196657 GOW196592:GOY196657 GYS196592:GYU196657 HIO196592:HIQ196657 HSK196592:HSM196657 ICG196592:ICI196657 IMC196592:IME196657 IVY196592:IWA196657 JFU196592:JFW196657 JPQ196592:JPS196657 JZM196592:JZO196657 KJI196592:KJK196657 KTE196592:KTG196657 LDA196592:LDC196657 LMW196592:LMY196657 LWS196592:LWU196657 MGO196592:MGQ196657 MQK196592:MQM196657 NAG196592:NAI196657 NKC196592:NKE196657 NTY196592:NUA196657 ODU196592:ODW196657 ONQ196592:ONS196657 OXM196592:OXO196657 PHI196592:PHK196657 PRE196592:PRG196657 QBA196592:QBC196657 QKW196592:QKY196657 QUS196592:QUU196657 REO196592:REQ196657 ROK196592:ROM196657 RYG196592:RYI196657 SIC196592:SIE196657 SRY196592:SSA196657 TBU196592:TBW196657 TLQ196592:TLS196657 TVM196592:TVO196657 UFI196592:UFK196657 UPE196592:UPG196657 UZA196592:UZC196657 VIW196592:VIY196657 VSS196592:VSU196657 WCO196592:WCQ196657 WMK196592:WMM196657 WWG196592:WWI196657 Y262128:AA262193 JU262128:JW262193 TQ262128:TS262193 ADM262128:ADO262193 ANI262128:ANK262193 AXE262128:AXG262193 BHA262128:BHC262193 BQW262128:BQY262193 CAS262128:CAU262193 CKO262128:CKQ262193 CUK262128:CUM262193 DEG262128:DEI262193 DOC262128:DOE262193 DXY262128:DYA262193 EHU262128:EHW262193 ERQ262128:ERS262193 FBM262128:FBO262193 FLI262128:FLK262193 FVE262128:FVG262193 GFA262128:GFC262193 GOW262128:GOY262193 GYS262128:GYU262193 HIO262128:HIQ262193 HSK262128:HSM262193 ICG262128:ICI262193 IMC262128:IME262193 IVY262128:IWA262193 JFU262128:JFW262193 JPQ262128:JPS262193 JZM262128:JZO262193 KJI262128:KJK262193 KTE262128:KTG262193 LDA262128:LDC262193 LMW262128:LMY262193 LWS262128:LWU262193 MGO262128:MGQ262193 MQK262128:MQM262193 NAG262128:NAI262193 NKC262128:NKE262193 NTY262128:NUA262193 ODU262128:ODW262193 ONQ262128:ONS262193 OXM262128:OXO262193 PHI262128:PHK262193 PRE262128:PRG262193 QBA262128:QBC262193 QKW262128:QKY262193 QUS262128:QUU262193 REO262128:REQ262193 ROK262128:ROM262193 RYG262128:RYI262193 SIC262128:SIE262193 SRY262128:SSA262193 TBU262128:TBW262193 TLQ262128:TLS262193 TVM262128:TVO262193 UFI262128:UFK262193 UPE262128:UPG262193 UZA262128:UZC262193 VIW262128:VIY262193 VSS262128:VSU262193 WCO262128:WCQ262193 WMK262128:WMM262193 WWG262128:WWI262193 Y327664:AA327729 JU327664:JW327729 TQ327664:TS327729 ADM327664:ADO327729 ANI327664:ANK327729 AXE327664:AXG327729 BHA327664:BHC327729 BQW327664:BQY327729 CAS327664:CAU327729 CKO327664:CKQ327729 CUK327664:CUM327729 DEG327664:DEI327729 DOC327664:DOE327729 DXY327664:DYA327729 EHU327664:EHW327729 ERQ327664:ERS327729 FBM327664:FBO327729 FLI327664:FLK327729 FVE327664:FVG327729 GFA327664:GFC327729 GOW327664:GOY327729 GYS327664:GYU327729 HIO327664:HIQ327729 HSK327664:HSM327729 ICG327664:ICI327729 IMC327664:IME327729 IVY327664:IWA327729 JFU327664:JFW327729 JPQ327664:JPS327729 JZM327664:JZO327729 KJI327664:KJK327729 KTE327664:KTG327729 LDA327664:LDC327729 LMW327664:LMY327729 LWS327664:LWU327729 MGO327664:MGQ327729 MQK327664:MQM327729 NAG327664:NAI327729 NKC327664:NKE327729 NTY327664:NUA327729 ODU327664:ODW327729 ONQ327664:ONS327729 OXM327664:OXO327729 PHI327664:PHK327729 PRE327664:PRG327729 QBA327664:QBC327729 QKW327664:QKY327729 QUS327664:QUU327729 REO327664:REQ327729 ROK327664:ROM327729 RYG327664:RYI327729 SIC327664:SIE327729 SRY327664:SSA327729 TBU327664:TBW327729 TLQ327664:TLS327729 TVM327664:TVO327729 UFI327664:UFK327729 UPE327664:UPG327729 UZA327664:UZC327729 VIW327664:VIY327729 VSS327664:VSU327729 WCO327664:WCQ327729 WMK327664:WMM327729 WWG327664:WWI327729 Y393200:AA393265 JU393200:JW393265 TQ393200:TS393265 ADM393200:ADO393265 ANI393200:ANK393265 AXE393200:AXG393265 BHA393200:BHC393265 BQW393200:BQY393265 CAS393200:CAU393265 CKO393200:CKQ393265 CUK393200:CUM393265 DEG393200:DEI393265 DOC393200:DOE393265 DXY393200:DYA393265 EHU393200:EHW393265 ERQ393200:ERS393265 FBM393200:FBO393265 FLI393200:FLK393265 FVE393200:FVG393265 GFA393200:GFC393265 GOW393200:GOY393265 GYS393200:GYU393265 HIO393200:HIQ393265 HSK393200:HSM393265 ICG393200:ICI393265 IMC393200:IME393265 IVY393200:IWA393265 JFU393200:JFW393265 JPQ393200:JPS393265 JZM393200:JZO393265 KJI393200:KJK393265 KTE393200:KTG393265 LDA393200:LDC393265 LMW393200:LMY393265 LWS393200:LWU393265 MGO393200:MGQ393265 MQK393200:MQM393265 NAG393200:NAI393265 NKC393200:NKE393265 NTY393200:NUA393265 ODU393200:ODW393265 ONQ393200:ONS393265 OXM393200:OXO393265 PHI393200:PHK393265 PRE393200:PRG393265 QBA393200:QBC393265 QKW393200:QKY393265 QUS393200:QUU393265 REO393200:REQ393265 ROK393200:ROM393265 RYG393200:RYI393265 SIC393200:SIE393265 SRY393200:SSA393265 TBU393200:TBW393265 TLQ393200:TLS393265 TVM393200:TVO393265 UFI393200:UFK393265 UPE393200:UPG393265 UZA393200:UZC393265 VIW393200:VIY393265 VSS393200:VSU393265 WCO393200:WCQ393265 WMK393200:WMM393265 WWG393200:WWI393265 Y458736:AA458801 JU458736:JW458801 TQ458736:TS458801 ADM458736:ADO458801 ANI458736:ANK458801 AXE458736:AXG458801 BHA458736:BHC458801 BQW458736:BQY458801 CAS458736:CAU458801 CKO458736:CKQ458801 CUK458736:CUM458801 DEG458736:DEI458801 DOC458736:DOE458801 DXY458736:DYA458801 EHU458736:EHW458801 ERQ458736:ERS458801 FBM458736:FBO458801 FLI458736:FLK458801 FVE458736:FVG458801 GFA458736:GFC458801 GOW458736:GOY458801 GYS458736:GYU458801 HIO458736:HIQ458801 HSK458736:HSM458801 ICG458736:ICI458801 IMC458736:IME458801 IVY458736:IWA458801 JFU458736:JFW458801 JPQ458736:JPS458801 JZM458736:JZO458801 KJI458736:KJK458801 KTE458736:KTG458801 LDA458736:LDC458801 LMW458736:LMY458801 LWS458736:LWU458801 MGO458736:MGQ458801 MQK458736:MQM458801 NAG458736:NAI458801 NKC458736:NKE458801 NTY458736:NUA458801 ODU458736:ODW458801 ONQ458736:ONS458801 OXM458736:OXO458801 PHI458736:PHK458801 PRE458736:PRG458801 QBA458736:QBC458801 QKW458736:QKY458801 QUS458736:QUU458801 REO458736:REQ458801 ROK458736:ROM458801 RYG458736:RYI458801 SIC458736:SIE458801 SRY458736:SSA458801 TBU458736:TBW458801 TLQ458736:TLS458801 TVM458736:TVO458801 UFI458736:UFK458801 UPE458736:UPG458801 UZA458736:UZC458801 VIW458736:VIY458801 VSS458736:VSU458801 WCO458736:WCQ458801 WMK458736:WMM458801 WWG458736:WWI458801 Y524272:AA524337 JU524272:JW524337 TQ524272:TS524337 ADM524272:ADO524337 ANI524272:ANK524337 AXE524272:AXG524337 BHA524272:BHC524337 BQW524272:BQY524337 CAS524272:CAU524337 CKO524272:CKQ524337 CUK524272:CUM524337 DEG524272:DEI524337 DOC524272:DOE524337 DXY524272:DYA524337 EHU524272:EHW524337 ERQ524272:ERS524337 FBM524272:FBO524337 FLI524272:FLK524337 FVE524272:FVG524337 GFA524272:GFC524337 GOW524272:GOY524337 GYS524272:GYU524337 HIO524272:HIQ524337 HSK524272:HSM524337 ICG524272:ICI524337 IMC524272:IME524337 IVY524272:IWA524337 JFU524272:JFW524337 JPQ524272:JPS524337 JZM524272:JZO524337 KJI524272:KJK524337 KTE524272:KTG524337 LDA524272:LDC524337 LMW524272:LMY524337 LWS524272:LWU524337 MGO524272:MGQ524337 MQK524272:MQM524337 NAG524272:NAI524337 NKC524272:NKE524337 NTY524272:NUA524337 ODU524272:ODW524337 ONQ524272:ONS524337 OXM524272:OXO524337 PHI524272:PHK524337 PRE524272:PRG524337 QBA524272:QBC524337 QKW524272:QKY524337 QUS524272:QUU524337 REO524272:REQ524337 ROK524272:ROM524337 RYG524272:RYI524337 SIC524272:SIE524337 SRY524272:SSA524337 TBU524272:TBW524337 TLQ524272:TLS524337 TVM524272:TVO524337 UFI524272:UFK524337 UPE524272:UPG524337 UZA524272:UZC524337 VIW524272:VIY524337 VSS524272:VSU524337 WCO524272:WCQ524337 WMK524272:WMM524337 WWG524272:WWI524337 Y589808:AA589873 JU589808:JW589873 TQ589808:TS589873 ADM589808:ADO589873 ANI589808:ANK589873 AXE589808:AXG589873 BHA589808:BHC589873 BQW589808:BQY589873 CAS589808:CAU589873 CKO589808:CKQ589873 CUK589808:CUM589873 DEG589808:DEI589873 DOC589808:DOE589873 DXY589808:DYA589873 EHU589808:EHW589873 ERQ589808:ERS589873 FBM589808:FBO589873 FLI589808:FLK589873 FVE589808:FVG589873 GFA589808:GFC589873 GOW589808:GOY589873 GYS589808:GYU589873 HIO589808:HIQ589873 HSK589808:HSM589873 ICG589808:ICI589873 IMC589808:IME589873 IVY589808:IWA589873 JFU589808:JFW589873 JPQ589808:JPS589873 JZM589808:JZO589873 KJI589808:KJK589873 KTE589808:KTG589873 LDA589808:LDC589873 LMW589808:LMY589873 LWS589808:LWU589873 MGO589808:MGQ589873 MQK589808:MQM589873 NAG589808:NAI589873 NKC589808:NKE589873 NTY589808:NUA589873 ODU589808:ODW589873 ONQ589808:ONS589873 OXM589808:OXO589873 PHI589808:PHK589873 PRE589808:PRG589873 QBA589808:QBC589873 QKW589808:QKY589873 QUS589808:QUU589873 REO589808:REQ589873 ROK589808:ROM589873 RYG589808:RYI589873 SIC589808:SIE589873 SRY589808:SSA589873 TBU589808:TBW589873 TLQ589808:TLS589873 TVM589808:TVO589873 UFI589808:UFK589873 UPE589808:UPG589873 UZA589808:UZC589873 VIW589808:VIY589873 VSS589808:VSU589873 WCO589808:WCQ589873 WMK589808:WMM589873 WWG589808:WWI589873 Y655344:AA655409 JU655344:JW655409 TQ655344:TS655409 ADM655344:ADO655409 ANI655344:ANK655409 AXE655344:AXG655409 BHA655344:BHC655409 BQW655344:BQY655409 CAS655344:CAU655409 CKO655344:CKQ655409 CUK655344:CUM655409 DEG655344:DEI655409 DOC655344:DOE655409 DXY655344:DYA655409 EHU655344:EHW655409 ERQ655344:ERS655409 FBM655344:FBO655409 FLI655344:FLK655409 FVE655344:FVG655409 GFA655344:GFC655409 GOW655344:GOY655409 GYS655344:GYU655409 HIO655344:HIQ655409 HSK655344:HSM655409 ICG655344:ICI655409 IMC655344:IME655409 IVY655344:IWA655409 JFU655344:JFW655409 JPQ655344:JPS655409 JZM655344:JZO655409 KJI655344:KJK655409 KTE655344:KTG655409 LDA655344:LDC655409 LMW655344:LMY655409 LWS655344:LWU655409 MGO655344:MGQ655409 MQK655344:MQM655409 NAG655344:NAI655409 NKC655344:NKE655409 NTY655344:NUA655409 ODU655344:ODW655409 ONQ655344:ONS655409 OXM655344:OXO655409 PHI655344:PHK655409 PRE655344:PRG655409 QBA655344:QBC655409 QKW655344:QKY655409 QUS655344:QUU655409 REO655344:REQ655409 ROK655344:ROM655409 RYG655344:RYI655409 SIC655344:SIE655409 SRY655344:SSA655409 TBU655344:TBW655409 TLQ655344:TLS655409 TVM655344:TVO655409 UFI655344:UFK655409 UPE655344:UPG655409 UZA655344:UZC655409 VIW655344:VIY655409 VSS655344:VSU655409 WCO655344:WCQ655409 WMK655344:WMM655409 WWG655344:WWI655409 Y720880:AA720945 JU720880:JW720945 TQ720880:TS720945 ADM720880:ADO720945 ANI720880:ANK720945 AXE720880:AXG720945 BHA720880:BHC720945 BQW720880:BQY720945 CAS720880:CAU720945 CKO720880:CKQ720945 CUK720880:CUM720945 DEG720880:DEI720945 DOC720880:DOE720945 DXY720880:DYA720945 EHU720880:EHW720945 ERQ720880:ERS720945 FBM720880:FBO720945 FLI720880:FLK720945 FVE720880:FVG720945 GFA720880:GFC720945 GOW720880:GOY720945 GYS720880:GYU720945 HIO720880:HIQ720945 HSK720880:HSM720945 ICG720880:ICI720945 IMC720880:IME720945 IVY720880:IWA720945 JFU720880:JFW720945 JPQ720880:JPS720945 JZM720880:JZO720945 KJI720880:KJK720945 KTE720880:KTG720945 LDA720880:LDC720945 LMW720880:LMY720945 LWS720880:LWU720945 MGO720880:MGQ720945 MQK720880:MQM720945 NAG720880:NAI720945 NKC720880:NKE720945 NTY720880:NUA720945 ODU720880:ODW720945 ONQ720880:ONS720945 OXM720880:OXO720945 PHI720880:PHK720945 PRE720880:PRG720945 QBA720880:QBC720945 QKW720880:QKY720945 QUS720880:QUU720945 REO720880:REQ720945 ROK720880:ROM720945 RYG720880:RYI720945 SIC720880:SIE720945 SRY720880:SSA720945 TBU720880:TBW720945 TLQ720880:TLS720945 TVM720880:TVO720945 UFI720880:UFK720945 UPE720880:UPG720945 UZA720880:UZC720945 VIW720880:VIY720945 VSS720880:VSU720945 WCO720880:WCQ720945 WMK720880:WMM720945 WWG720880:WWI720945 Y786416:AA786481 JU786416:JW786481 TQ786416:TS786481 ADM786416:ADO786481 ANI786416:ANK786481 AXE786416:AXG786481 BHA786416:BHC786481 BQW786416:BQY786481 CAS786416:CAU786481 CKO786416:CKQ786481 CUK786416:CUM786481 DEG786416:DEI786481 DOC786416:DOE786481 DXY786416:DYA786481 EHU786416:EHW786481 ERQ786416:ERS786481 FBM786416:FBO786481 FLI786416:FLK786481 FVE786416:FVG786481 GFA786416:GFC786481 GOW786416:GOY786481 GYS786416:GYU786481 HIO786416:HIQ786481 HSK786416:HSM786481 ICG786416:ICI786481 IMC786416:IME786481 IVY786416:IWA786481 JFU786416:JFW786481 JPQ786416:JPS786481 JZM786416:JZO786481 KJI786416:KJK786481 KTE786416:KTG786481 LDA786416:LDC786481 LMW786416:LMY786481 LWS786416:LWU786481 MGO786416:MGQ786481 MQK786416:MQM786481 NAG786416:NAI786481 NKC786416:NKE786481 NTY786416:NUA786481 ODU786416:ODW786481 ONQ786416:ONS786481 OXM786416:OXO786481 PHI786416:PHK786481 PRE786416:PRG786481 QBA786416:QBC786481 QKW786416:QKY786481 QUS786416:QUU786481 REO786416:REQ786481 ROK786416:ROM786481 RYG786416:RYI786481 SIC786416:SIE786481 SRY786416:SSA786481 TBU786416:TBW786481 TLQ786416:TLS786481 TVM786416:TVO786481 UFI786416:UFK786481 UPE786416:UPG786481 UZA786416:UZC786481 VIW786416:VIY786481 VSS786416:VSU786481 WCO786416:WCQ786481 WMK786416:WMM786481 WWG786416:WWI786481 Y851952:AA852017 JU851952:JW852017 TQ851952:TS852017 ADM851952:ADO852017 ANI851952:ANK852017 AXE851952:AXG852017 BHA851952:BHC852017 BQW851952:BQY852017 CAS851952:CAU852017 CKO851952:CKQ852017 CUK851952:CUM852017 DEG851952:DEI852017 DOC851952:DOE852017 DXY851952:DYA852017 EHU851952:EHW852017 ERQ851952:ERS852017 FBM851952:FBO852017 FLI851952:FLK852017 FVE851952:FVG852017 GFA851952:GFC852017 GOW851952:GOY852017 GYS851952:GYU852017 HIO851952:HIQ852017 HSK851952:HSM852017 ICG851952:ICI852017 IMC851952:IME852017 IVY851952:IWA852017 JFU851952:JFW852017 JPQ851952:JPS852017 JZM851952:JZO852017 KJI851952:KJK852017 KTE851952:KTG852017 LDA851952:LDC852017 LMW851952:LMY852017 LWS851952:LWU852017 MGO851952:MGQ852017 MQK851952:MQM852017 NAG851952:NAI852017 NKC851952:NKE852017 NTY851952:NUA852017 ODU851952:ODW852017 ONQ851952:ONS852017 OXM851952:OXO852017 PHI851952:PHK852017 PRE851952:PRG852017 QBA851952:QBC852017 QKW851952:QKY852017 QUS851952:QUU852017 REO851952:REQ852017 ROK851952:ROM852017 RYG851952:RYI852017 SIC851952:SIE852017 SRY851952:SSA852017 TBU851952:TBW852017 TLQ851952:TLS852017 TVM851952:TVO852017 UFI851952:UFK852017 UPE851952:UPG852017 UZA851952:UZC852017 VIW851952:VIY852017 VSS851952:VSU852017 WCO851952:WCQ852017 WMK851952:WMM852017 WWG851952:WWI852017 Y917488:AA917553 JU917488:JW917553 TQ917488:TS917553 ADM917488:ADO917553 ANI917488:ANK917553 AXE917488:AXG917553 BHA917488:BHC917553 BQW917488:BQY917553 CAS917488:CAU917553 CKO917488:CKQ917553 CUK917488:CUM917553 DEG917488:DEI917553 DOC917488:DOE917553 DXY917488:DYA917553 EHU917488:EHW917553 ERQ917488:ERS917553 FBM917488:FBO917553 FLI917488:FLK917553 FVE917488:FVG917553 GFA917488:GFC917553 GOW917488:GOY917553 GYS917488:GYU917553 HIO917488:HIQ917553 HSK917488:HSM917553 ICG917488:ICI917553 IMC917488:IME917553 IVY917488:IWA917553 JFU917488:JFW917553 JPQ917488:JPS917553 JZM917488:JZO917553 KJI917488:KJK917553 KTE917488:KTG917553 LDA917488:LDC917553 LMW917488:LMY917553 LWS917488:LWU917553 MGO917488:MGQ917553 MQK917488:MQM917553 NAG917488:NAI917553 NKC917488:NKE917553 NTY917488:NUA917553 ODU917488:ODW917553 ONQ917488:ONS917553 OXM917488:OXO917553 PHI917488:PHK917553 PRE917488:PRG917553 QBA917488:QBC917553 QKW917488:QKY917553 QUS917488:QUU917553 REO917488:REQ917553 ROK917488:ROM917553 RYG917488:RYI917553 SIC917488:SIE917553 SRY917488:SSA917553 TBU917488:TBW917553 TLQ917488:TLS917553 TVM917488:TVO917553 UFI917488:UFK917553 UPE917488:UPG917553 UZA917488:UZC917553 VIW917488:VIY917553 VSS917488:VSU917553 WCO917488:WCQ917553 WMK917488:WMM917553 WWG917488:WWI917553 Y983024:AA983089 JU983024:JW983089 TQ983024:TS983089 ADM983024:ADO983089 ANI983024:ANK983089 AXE983024:AXG983089 BHA983024:BHC983089 BQW983024:BQY983089 CAS983024:CAU983089 CKO983024:CKQ983089 CUK983024:CUM983089 DEG983024:DEI983089 DOC983024:DOE983089 DXY983024:DYA983089 EHU983024:EHW983089 ERQ983024:ERS983089 FBM983024:FBO983089 FLI983024:FLK983089 FVE983024:FVG983089 GFA983024:GFC983089 GOW983024:GOY983089 GYS983024:GYU983089 HIO983024:HIQ983089 HSK983024:HSM983089 ICG983024:ICI983089 IMC983024:IME983089 IVY983024:IWA983089 JFU983024:JFW983089 JPQ983024:JPS983089 JZM983024:JZO983089 KJI983024:KJK983089 KTE983024:KTG983089 LDA983024:LDC983089 LMW983024:LMY983089 LWS983024:LWU983089 MGO983024:MGQ983089 MQK983024:MQM983089 NAG983024:NAI983089 NKC983024:NKE983089 NTY983024:NUA983089 ODU983024:ODW983089 ONQ983024:ONS983089 OXM983024:OXO983089 PHI983024:PHK983089 PRE983024:PRG983089 QBA983024:QBC983089 QKW983024:QKY983089 QUS983024:QUU983089 REO983024:REQ983089 ROK983024:ROM983089 RYG983024:RYI983089 SIC983024:SIE983089 SRY983024:SSA983089 TBU983024:TBW983089 TLQ983024:TLS983089 TVM983024:TVO983089 UFI983024:UFK983089 UPE983024:UPG983089 UZA983024:UZC983089 VIW983024:VIY983089 VSS983024:VSU983089 WCO983024:WCQ983089 WMK983024:WMM983089 WWG2:WWI69 JU2:JW69 TQ2:TS69 ADM2:ADO69 ANI2:ANK69 AXE2:AXG69 BHA2:BHC69 BQW2:BQY69 CAS2:CAU69 CKO2:CKQ69 CUK2:CUM69 DEG2:DEI69 DOC2:DOE69 DXY2:DYA69 EHU2:EHW69 ERQ2:ERS69 FBM2:FBO69 FLI2:FLK69 FVE2:FVG69 GFA2:GFC69 GOW2:GOY69 GYS2:GYU69 HIO2:HIQ69 HSK2:HSM69 ICG2:ICI69 IMC2:IME69 IVY2:IWA69 JFU2:JFW69 JPQ2:JPS69 JZM2:JZO69 KJI2:KJK69 KTE2:KTG69 LDA2:LDC69 LMW2:LMY69 LWS2:LWU69 MGO2:MGQ69 MQK2:MQM69 NAG2:NAI69 NKC2:NKE69 NTY2:NUA69 ODU2:ODW69 ONQ2:ONS69 OXM2:OXO69 PHI2:PHK69 PRE2:PRG69 QBA2:QBC69 QKW2:QKY69 QUS2:QUU69 REO2:REQ69 ROK2:ROM69 RYG2:RYI69 SIC2:SIE69 SRY2:SSA69 TBU2:TBW69 TLQ2:TLS69 TVM2:TVO69 UFI2:UFK69 UPE2:UPG69 UZA2:UZC69 VIW2:VIY69 VSS2:VSU69 WCO2:WCQ69 WMK2:WMM69" xr:uid="{DFEC923A-D3FD-4E4A-9057-AEEB833877E3}">
      <formula1>$AV$2:$AV$20</formula1>
    </dataValidation>
    <dataValidation type="list" allowBlank="1" showInputMessage="1" showErrorMessage="1" sqref="H64345:H64410 JD64345:JD64410 SZ64345:SZ64410 ACV64345:ACV64410 AMR64345:AMR64410 AWN64345:AWN64410 BGJ64345:BGJ64410 BQF64345:BQF64410 CAB64345:CAB64410 CJX64345:CJX64410 CTT64345:CTT64410 DDP64345:DDP64410 DNL64345:DNL64410 DXH64345:DXH64410 EHD64345:EHD64410 EQZ64345:EQZ64410 FAV64345:FAV64410 FKR64345:FKR64410 FUN64345:FUN64410 GEJ64345:GEJ64410 GOF64345:GOF64410 GYB64345:GYB64410 HHX64345:HHX64410 HRT64345:HRT64410 IBP64345:IBP64410 ILL64345:ILL64410 IVH64345:IVH64410 JFD64345:JFD64410 JOZ64345:JOZ64410 JYV64345:JYV64410 KIR64345:KIR64410 KSN64345:KSN64410 LCJ64345:LCJ64410 LMF64345:LMF64410 LWB64345:LWB64410 MFX64345:MFX64410 MPT64345:MPT64410 MZP64345:MZP64410 NJL64345:NJL64410 NTH64345:NTH64410 ODD64345:ODD64410 OMZ64345:OMZ64410 OWV64345:OWV64410 PGR64345:PGR64410 PQN64345:PQN64410 QAJ64345:QAJ64410 QKF64345:QKF64410 QUB64345:QUB64410 RDX64345:RDX64410 RNT64345:RNT64410 RXP64345:RXP64410 SHL64345:SHL64410 SRH64345:SRH64410 TBD64345:TBD64410 TKZ64345:TKZ64410 TUV64345:TUV64410 UER64345:UER64410 UON64345:UON64410 UYJ64345:UYJ64410 VIF64345:VIF64410 VSB64345:VSB64410 WBX64345:WBX64410 WLT64345:WLT64410 WVP64345:WVP64410 H129881:H129946 JD129881:JD129946 SZ129881:SZ129946 ACV129881:ACV129946 AMR129881:AMR129946 AWN129881:AWN129946 BGJ129881:BGJ129946 BQF129881:BQF129946 CAB129881:CAB129946 CJX129881:CJX129946 CTT129881:CTT129946 DDP129881:DDP129946 DNL129881:DNL129946 DXH129881:DXH129946 EHD129881:EHD129946 EQZ129881:EQZ129946 FAV129881:FAV129946 FKR129881:FKR129946 FUN129881:FUN129946 GEJ129881:GEJ129946 GOF129881:GOF129946 GYB129881:GYB129946 HHX129881:HHX129946 HRT129881:HRT129946 IBP129881:IBP129946 ILL129881:ILL129946 IVH129881:IVH129946 JFD129881:JFD129946 JOZ129881:JOZ129946 JYV129881:JYV129946 KIR129881:KIR129946 KSN129881:KSN129946 LCJ129881:LCJ129946 LMF129881:LMF129946 LWB129881:LWB129946 MFX129881:MFX129946 MPT129881:MPT129946 MZP129881:MZP129946 NJL129881:NJL129946 NTH129881:NTH129946 ODD129881:ODD129946 OMZ129881:OMZ129946 OWV129881:OWV129946 PGR129881:PGR129946 PQN129881:PQN129946 QAJ129881:QAJ129946 QKF129881:QKF129946 QUB129881:QUB129946 RDX129881:RDX129946 RNT129881:RNT129946 RXP129881:RXP129946 SHL129881:SHL129946 SRH129881:SRH129946 TBD129881:TBD129946 TKZ129881:TKZ129946 TUV129881:TUV129946 UER129881:UER129946 UON129881:UON129946 UYJ129881:UYJ129946 VIF129881:VIF129946 VSB129881:VSB129946 WBX129881:WBX129946 WLT129881:WLT129946 WVP129881:WVP129946 H195417:H195482 JD195417:JD195482 SZ195417:SZ195482 ACV195417:ACV195482 AMR195417:AMR195482 AWN195417:AWN195482 BGJ195417:BGJ195482 BQF195417:BQF195482 CAB195417:CAB195482 CJX195417:CJX195482 CTT195417:CTT195482 DDP195417:DDP195482 DNL195417:DNL195482 DXH195417:DXH195482 EHD195417:EHD195482 EQZ195417:EQZ195482 FAV195417:FAV195482 FKR195417:FKR195482 FUN195417:FUN195482 GEJ195417:GEJ195482 GOF195417:GOF195482 GYB195417:GYB195482 HHX195417:HHX195482 HRT195417:HRT195482 IBP195417:IBP195482 ILL195417:ILL195482 IVH195417:IVH195482 JFD195417:JFD195482 JOZ195417:JOZ195482 JYV195417:JYV195482 KIR195417:KIR195482 KSN195417:KSN195482 LCJ195417:LCJ195482 LMF195417:LMF195482 LWB195417:LWB195482 MFX195417:MFX195482 MPT195417:MPT195482 MZP195417:MZP195482 NJL195417:NJL195482 NTH195417:NTH195482 ODD195417:ODD195482 OMZ195417:OMZ195482 OWV195417:OWV195482 PGR195417:PGR195482 PQN195417:PQN195482 QAJ195417:QAJ195482 QKF195417:QKF195482 QUB195417:QUB195482 RDX195417:RDX195482 RNT195417:RNT195482 RXP195417:RXP195482 SHL195417:SHL195482 SRH195417:SRH195482 TBD195417:TBD195482 TKZ195417:TKZ195482 TUV195417:TUV195482 UER195417:UER195482 UON195417:UON195482 UYJ195417:UYJ195482 VIF195417:VIF195482 VSB195417:VSB195482 WBX195417:WBX195482 WLT195417:WLT195482 WVP195417:WVP195482 H260953:H261018 JD260953:JD261018 SZ260953:SZ261018 ACV260953:ACV261018 AMR260953:AMR261018 AWN260953:AWN261018 BGJ260953:BGJ261018 BQF260953:BQF261018 CAB260953:CAB261018 CJX260953:CJX261018 CTT260953:CTT261018 DDP260953:DDP261018 DNL260953:DNL261018 DXH260953:DXH261018 EHD260953:EHD261018 EQZ260953:EQZ261018 FAV260953:FAV261018 FKR260953:FKR261018 FUN260953:FUN261018 GEJ260953:GEJ261018 GOF260953:GOF261018 GYB260953:GYB261018 HHX260953:HHX261018 HRT260953:HRT261018 IBP260953:IBP261018 ILL260953:ILL261018 IVH260953:IVH261018 JFD260953:JFD261018 JOZ260953:JOZ261018 JYV260953:JYV261018 KIR260953:KIR261018 KSN260953:KSN261018 LCJ260953:LCJ261018 LMF260953:LMF261018 LWB260953:LWB261018 MFX260953:MFX261018 MPT260953:MPT261018 MZP260953:MZP261018 NJL260953:NJL261018 NTH260953:NTH261018 ODD260953:ODD261018 OMZ260953:OMZ261018 OWV260953:OWV261018 PGR260953:PGR261018 PQN260953:PQN261018 QAJ260953:QAJ261018 QKF260953:QKF261018 QUB260953:QUB261018 RDX260953:RDX261018 RNT260953:RNT261018 RXP260953:RXP261018 SHL260953:SHL261018 SRH260953:SRH261018 TBD260953:TBD261018 TKZ260953:TKZ261018 TUV260953:TUV261018 UER260953:UER261018 UON260953:UON261018 UYJ260953:UYJ261018 VIF260953:VIF261018 VSB260953:VSB261018 WBX260953:WBX261018 WLT260953:WLT261018 WVP260953:WVP261018 H326489:H326554 JD326489:JD326554 SZ326489:SZ326554 ACV326489:ACV326554 AMR326489:AMR326554 AWN326489:AWN326554 BGJ326489:BGJ326554 BQF326489:BQF326554 CAB326489:CAB326554 CJX326489:CJX326554 CTT326489:CTT326554 DDP326489:DDP326554 DNL326489:DNL326554 DXH326489:DXH326554 EHD326489:EHD326554 EQZ326489:EQZ326554 FAV326489:FAV326554 FKR326489:FKR326554 FUN326489:FUN326554 GEJ326489:GEJ326554 GOF326489:GOF326554 GYB326489:GYB326554 HHX326489:HHX326554 HRT326489:HRT326554 IBP326489:IBP326554 ILL326489:ILL326554 IVH326489:IVH326554 JFD326489:JFD326554 JOZ326489:JOZ326554 JYV326489:JYV326554 KIR326489:KIR326554 KSN326489:KSN326554 LCJ326489:LCJ326554 LMF326489:LMF326554 LWB326489:LWB326554 MFX326489:MFX326554 MPT326489:MPT326554 MZP326489:MZP326554 NJL326489:NJL326554 NTH326489:NTH326554 ODD326489:ODD326554 OMZ326489:OMZ326554 OWV326489:OWV326554 PGR326489:PGR326554 PQN326489:PQN326554 QAJ326489:QAJ326554 QKF326489:QKF326554 QUB326489:QUB326554 RDX326489:RDX326554 RNT326489:RNT326554 RXP326489:RXP326554 SHL326489:SHL326554 SRH326489:SRH326554 TBD326489:TBD326554 TKZ326489:TKZ326554 TUV326489:TUV326554 UER326489:UER326554 UON326489:UON326554 UYJ326489:UYJ326554 VIF326489:VIF326554 VSB326489:VSB326554 WBX326489:WBX326554 WLT326489:WLT326554 WVP326489:WVP326554 H392025:H392090 JD392025:JD392090 SZ392025:SZ392090 ACV392025:ACV392090 AMR392025:AMR392090 AWN392025:AWN392090 BGJ392025:BGJ392090 BQF392025:BQF392090 CAB392025:CAB392090 CJX392025:CJX392090 CTT392025:CTT392090 DDP392025:DDP392090 DNL392025:DNL392090 DXH392025:DXH392090 EHD392025:EHD392090 EQZ392025:EQZ392090 FAV392025:FAV392090 FKR392025:FKR392090 FUN392025:FUN392090 GEJ392025:GEJ392090 GOF392025:GOF392090 GYB392025:GYB392090 HHX392025:HHX392090 HRT392025:HRT392090 IBP392025:IBP392090 ILL392025:ILL392090 IVH392025:IVH392090 JFD392025:JFD392090 JOZ392025:JOZ392090 JYV392025:JYV392090 KIR392025:KIR392090 KSN392025:KSN392090 LCJ392025:LCJ392090 LMF392025:LMF392090 LWB392025:LWB392090 MFX392025:MFX392090 MPT392025:MPT392090 MZP392025:MZP392090 NJL392025:NJL392090 NTH392025:NTH392090 ODD392025:ODD392090 OMZ392025:OMZ392090 OWV392025:OWV392090 PGR392025:PGR392090 PQN392025:PQN392090 QAJ392025:QAJ392090 QKF392025:QKF392090 QUB392025:QUB392090 RDX392025:RDX392090 RNT392025:RNT392090 RXP392025:RXP392090 SHL392025:SHL392090 SRH392025:SRH392090 TBD392025:TBD392090 TKZ392025:TKZ392090 TUV392025:TUV392090 UER392025:UER392090 UON392025:UON392090 UYJ392025:UYJ392090 VIF392025:VIF392090 VSB392025:VSB392090 WBX392025:WBX392090 WLT392025:WLT392090 WVP392025:WVP392090 H457561:H457626 JD457561:JD457626 SZ457561:SZ457626 ACV457561:ACV457626 AMR457561:AMR457626 AWN457561:AWN457626 BGJ457561:BGJ457626 BQF457561:BQF457626 CAB457561:CAB457626 CJX457561:CJX457626 CTT457561:CTT457626 DDP457561:DDP457626 DNL457561:DNL457626 DXH457561:DXH457626 EHD457561:EHD457626 EQZ457561:EQZ457626 FAV457561:FAV457626 FKR457561:FKR457626 FUN457561:FUN457626 GEJ457561:GEJ457626 GOF457561:GOF457626 GYB457561:GYB457626 HHX457561:HHX457626 HRT457561:HRT457626 IBP457561:IBP457626 ILL457561:ILL457626 IVH457561:IVH457626 JFD457561:JFD457626 JOZ457561:JOZ457626 JYV457561:JYV457626 KIR457561:KIR457626 KSN457561:KSN457626 LCJ457561:LCJ457626 LMF457561:LMF457626 LWB457561:LWB457626 MFX457561:MFX457626 MPT457561:MPT457626 MZP457561:MZP457626 NJL457561:NJL457626 NTH457561:NTH457626 ODD457561:ODD457626 OMZ457561:OMZ457626 OWV457561:OWV457626 PGR457561:PGR457626 PQN457561:PQN457626 QAJ457561:QAJ457626 QKF457561:QKF457626 QUB457561:QUB457626 RDX457561:RDX457626 RNT457561:RNT457626 RXP457561:RXP457626 SHL457561:SHL457626 SRH457561:SRH457626 TBD457561:TBD457626 TKZ457561:TKZ457626 TUV457561:TUV457626 UER457561:UER457626 UON457561:UON457626 UYJ457561:UYJ457626 VIF457561:VIF457626 VSB457561:VSB457626 WBX457561:WBX457626 WLT457561:WLT457626 WVP457561:WVP457626 H523097:H523162 JD523097:JD523162 SZ523097:SZ523162 ACV523097:ACV523162 AMR523097:AMR523162 AWN523097:AWN523162 BGJ523097:BGJ523162 BQF523097:BQF523162 CAB523097:CAB523162 CJX523097:CJX523162 CTT523097:CTT523162 DDP523097:DDP523162 DNL523097:DNL523162 DXH523097:DXH523162 EHD523097:EHD523162 EQZ523097:EQZ523162 FAV523097:FAV523162 FKR523097:FKR523162 FUN523097:FUN523162 GEJ523097:GEJ523162 GOF523097:GOF523162 GYB523097:GYB523162 HHX523097:HHX523162 HRT523097:HRT523162 IBP523097:IBP523162 ILL523097:ILL523162 IVH523097:IVH523162 JFD523097:JFD523162 JOZ523097:JOZ523162 JYV523097:JYV523162 KIR523097:KIR523162 KSN523097:KSN523162 LCJ523097:LCJ523162 LMF523097:LMF523162 LWB523097:LWB523162 MFX523097:MFX523162 MPT523097:MPT523162 MZP523097:MZP523162 NJL523097:NJL523162 NTH523097:NTH523162 ODD523097:ODD523162 OMZ523097:OMZ523162 OWV523097:OWV523162 PGR523097:PGR523162 PQN523097:PQN523162 QAJ523097:QAJ523162 QKF523097:QKF523162 QUB523097:QUB523162 RDX523097:RDX523162 RNT523097:RNT523162 RXP523097:RXP523162 SHL523097:SHL523162 SRH523097:SRH523162 TBD523097:TBD523162 TKZ523097:TKZ523162 TUV523097:TUV523162 UER523097:UER523162 UON523097:UON523162 UYJ523097:UYJ523162 VIF523097:VIF523162 VSB523097:VSB523162 WBX523097:WBX523162 WLT523097:WLT523162 WVP523097:WVP523162 H588633:H588698 JD588633:JD588698 SZ588633:SZ588698 ACV588633:ACV588698 AMR588633:AMR588698 AWN588633:AWN588698 BGJ588633:BGJ588698 BQF588633:BQF588698 CAB588633:CAB588698 CJX588633:CJX588698 CTT588633:CTT588698 DDP588633:DDP588698 DNL588633:DNL588698 DXH588633:DXH588698 EHD588633:EHD588698 EQZ588633:EQZ588698 FAV588633:FAV588698 FKR588633:FKR588698 FUN588633:FUN588698 GEJ588633:GEJ588698 GOF588633:GOF588698 GYB588633:GYB588698 HHX588633:HHX588698 HRT588633:HRT588698 IBP588633:IBP588698 ILL588633:ILL588698 IVH588633:IVH588698 JFD588633:JFD588698 JOZ588633:JOZ588698 JYV588633:JYV588698 KIR588633:KIR588698 KSN588633:KSN588698 LCJ588633:LCJ588698 LMF588633:LMF588698 LWB588633:LWB588698 MFX588633:MFX588698 MPT588633:MPT588698 MZP588633:MZP588698 NJL588633:NJL588698 NTH588633:NTH588698 ODD588633:ODD588698 OMZ588633:OMZ588698 OWV588633:OWV588698 PGR588633:PGR588698 PQN588633:PQN588698 QAJ588633:QAJ588698 QKF588633:QKF588698 QUB588633:QUB588698 RDX588633:RDX588698 RNT588633:RNT588698 RXP588633:RXP588698 SHL588633:SHL588698 SRH588633:SRH588698 TBD588633:TBD588698 TKZ588633:TKZ588698 TUV588633:TUV588698 UER588633:UER588698 UON588633:UON588698 UYJ588633:UYJ588698 VIF588633:VIF588698 VSB588633:VSB588698 WBX588633:WBX588698 WLT588633:WLT588698 WVP588633:WVP588698 H654169:H654234 JD654169:JD654234 SZ654169:SZ654234 ACV654169:ACV654234 AMR654169:AMR654234 AWN654169:AWN654234 BGJ654169:BGJ654234 BQF654169:BQF654234 CAB654169:CAB654234 CJX654169:CJX654234 CTT654169:CTT654234 DDP654169:DDP654234 DNL654169:DNL654234 DXH654169:DXH654234 EHD654169:EHD654234 EQZ654169:EQZ654234 FAV654169:FAV654234 FKR654169:FKR654234 FUN654169:FUN654234 GEJ654169:GEJ654234 GOF654169:GOF654234 GYB654169:GYB654234 HHX654169:HHX654234 HRT654169:HRT654234 IBP654169:IBP654234 ILL654169:ILL654234 IVH654169:IVH654234 JFD654169:JFD654234 JOZ654169:JOZ654234 JYV654169:JYV654234 KIR654169:KIR654234 KSN654169:KSN654234 LCJ654169:LCJ654234 LMF654169:LMF654234 LWB654169:LWB654234 MFX654169:MFX654234 MPT654169:MPT654234 MZP654169:MZP654234 NJL654169:NJL654234 NTH654169:NTH654234 ODD654169:ODD654234 OMZ654169:OMZ654234 OWV654169:OWV654234 PGR654169:PGR654234 PQN654169:PQN654234 QAJ654169:QAJ654234 QKF654169:QKF654234 QUB654169:QUB654234 RDX654169:RDX654234 RNT654169:RNT654234 RXP654169:RXP654234 SHL654169:SHL654234 SRH654169:SRH654234 TBD654169:TBD654234 TKZ654169:TKZ654234 TUV654169:TUV654234 UER654169:UER654234 UON654169:UON654234 UYJ654169:UYJ654234 VIF654169:VIF654234 VSB654169:VSB654234 WBX654169:WBX654234 WLT654169:WLT654234 WVP654169:WVP654234 H719705:H719770 JD719705:JD719770 SZ719705:SZ719770 ACV719705:ACV719770 AMR719705:AMR719770 AWN719705:AWN719770 BGJ719705:BGJ719770 BQF719705:BQF719770 CAB719705:CAB719770 CJX719705:CJX719770 CTT719705:CTT719770 DDP719705:DDP719770 DNL719705:DNL719770 DXH719705:DXH719770 EHD719705:EHD719770 EQZ719705:EQZ719770 FAV719705:FAV719770 FKR719705:FKR719770 FUN719705:FUN719770 GEJ719705:GEJ719770 GOF719705:GOF719770 GYB719705:GYB719770 HHX719705:HHX719770 HRT719705:HRT719770 IBP719705:IBP719770 ILL719705:ILL719770 IVH719705:IVH719770 JFD719705:JFD719770 JOZ719705:JOZ719770 JYV719705:JYV719770 KIR719705:KIR719770 KSN719705:KSN719770 LCJ719705:LCJ719770 LMF719705:LMF719770 LWB719705:LWB719770 MFX719705:MFX719770 MPT719705:MPT719770 MZP719705:MZP719770 NJL719705:NJL719770 NTH719705:NTH719770 ODD719705:ODD719770 OMZ719705:OMZ719770 OWV719705:OWV719770 PGR719705:PGR719770 PQN719705:PQN719770 QAJ719705:QAJ719770 QKF719705:QKF719770 QUB719705:QUB719770 RDX719705:RDX719770 RNT719705:RNT719770 RXP719705:RXP719770 SHL719705:SHL719770 SRH719705:SRH719770 TBD719705:TBD719770 TKZ719705:TKZ719770 TUV719705:TUV719770 UER719705:UER719770 UON719705:UON719770 UYJ719705:UYJ719770 VIF719705:VIF719770 VSB719705:VSB719770 WBX719705:WBX719770 WLT719705:WLT719770 WVP719705:WVP719770 H785241:H785306 JD785241:JD785306 SZ785241:SZ785306 ACV785241:ACV785306 AMR785241:AMR785306 AWN785241:AWN785306 BGJ785241:BGJ785306 BQF785241:BQF785306 CAB785241:CAB785306 CJX785241:CJX785306 CTT785241:CTT785306 DDP785241:DDP785306 DNL785241:DNL785306 DXH785241:DXH785306 EHD785241:EHD785306 EQZ785241:EQZ785306 FAV785241:FAV785306 FKR785241:FKR785306 FUN785241:FUN785306 GEJ785241:GEJ785306 GOF785241:GOF785306 GYB785241:GYB785306 HHX785241:HHX785306 HRT785241:HRT785306 IBP785241:IBP785306 ILL785241:ILL785306 IVH785241:IVH785306 JFD785241:JFD785306 JOZ785241:JOZ785306 JYV785241:JYV785306 KIR785241:KIR785306 KSN785241:KSN785306 LCJ785241:LCJ785306 LMF785241:LMF785306 LWB785241:LWB785306 MFX785241:MFX785306 MPT785241:MPT785306 MZP785241:MZP785306 NJL785241:NJL785306 NTH785241:NTH785306 ODD785241:ODD785306 OMZ785241:OMZ785306 OWV785241:OWV785306 PGR785241:PGR785306 PQN785241:PQN785306 QAJ785241:QAJ785306 QKF785241:QKF785306 QUB785241:QUB785306 RDX785241:RDX785306 RNT785241:RNT785306 RXP785241:RXP785306 SHL785241:SHL785306 SRH785241:SRH785306 TBD785241:TBD785306 TKZ785241:TKZ785306 TUV785241:TUV785306 UER785241:UER785306 UON785241:UON785306 UYJ785241:UYJ785306 VIF785241:VIF785306 VSB785241:VSB785306 WBX785241:WBX785306 WLT785241:WLT785306 WVP785241:WVP785306 H850777:H850842 JD850777:JD850842 SZ850777:SZ850842 ACV850777:ACV850842 AMR850777:AMR850842 AWN850777:AWN850842 BGJ850777:BGJ850842 BQF850777:BQF850842 CAB850777:CAB850842 CJX850777:CJX850842 CTT850777:CTT850842 DDP850777:DDP850842 DNL850777:DNL850842 DXH850777:DXH850842 EHD850777:EHD850842 EQZ850777:EQZ850842 FAV850777:FAV850842 FKR850777:FKR850842 FUN850777:FUN850842 GEJ850777:GEJ850842 GOF850777:GOF850842 GYB850777:GYB850842 HHX850777:HHX850842 HRT850777:HRT850842 IBP850777:IBP850842 ILL850777:ILL850842 IVH850777:IVH850842 JFD850777:JFD850842 JOZ850777:JOZ850842 JYV850777:JYV850842 KIR850777:KIR850842 KSN850777:KSN850842 LCJ850777:LCJ850842 LMF850777:LMF850842 LWB850777:LWB850842 MFX850777:MFX850842 MPT850777:MPT850842 MZP850777:MZP850842 NJL850777:NJL850842 NTH850777:NTH850842 ODD850777:ODD850842 OMZ850777:OMZ850842 OWV850777:OWV850842 PGR850777:PGR850842 PQN850777:PQN850842 QAJ850777:QAJ850842 QKF850777:QKF850842 QUB850777:QUB850842 RDX850777:RDX850842 RNT850777:RNT850842 RXP850777:RXP850842 SHL850777:SHL850842 SRH850777:SRH850842 TBD850777:TBD850842 TKZ850777:TKZ850842 TUV850777:TUV850842 UER850777:UER850842 UON850777:UON850842 UYJ850777:UYJ850842 VIF850777:VIF850842 VSB850777:VSB850842 WBX850777:WBX850842 WLT850777:WLT850842 WVP850777:WVP850842 H916313:H916378 JD916313:JD916378 SZ916313:SZ916378 ACV916313:ACV916378 AMR916313:AMR916378 AWN916313:AWN916378 BGJ916313:BGJ916378 BQF916313:BQF916378 CAB916313:CAB916378 CJX916313:CJX916378 CTT916313:CTT916378 DDP916313:DDP916378 DNL916313:DNL916378 DXH916313:DXH916378 EHD916313:EHD916378 EQZ916313:EQZ916378 FAV916313:FAV916378 FKR916313:FKR916378 FUN916313:FUN916378 GEJ916313:GEJ916378 GOF916313:GOF916378 GYB916313:GYB916378 HHX916313:HHX916378 HRT916313:HRT916378 IBP916313:IBP916378 ILL916313:ILL916378 IVH916313:IVH916378 JFD916313:JFD916378 JOZ916313:JOZ916378 JYV916313:JYV916378 KIR916313:KIR916378 KSN916313:KSN916378 LCJ916313:LCJ916378 LMF916313:LMF916378 LWB916313:LWB916378 MFX916313:MFX916378 MPT916313:MPT916378 MZP916313:MZP916378 NJL916313:NJL916378 NTH916313:NTH916378 ODD916313:ODD916378 OMZ916313:OMZ916378 OWV916313:OWV916378 PGR916313:PGR916378 PQN916313:PQN916378 QAJ916313:QAJ916378 QKF916313:QKF916378 QUB916313:QUB916378 RDX916313:RDX916378 RNT916313:RNT916378 RXP916313:RXP916378 SHL916313:SHL916378 SRH916313:SRH916378 TBD916313:TBD916378 TKZ916313:TKZ916378 TUV916313:TUV916378 UER916313:UER916378 UON916313:UON916378 UYJ916313:UYJ916378 VIF916313:VIF916378 VSB916313:VSB916378 WBX916313:WBX916378 WLT916313:WLT916378 WVP916313:WVP916378 H981849:H981914 JD981849:JD981914 SZ981849:SZ981914 ACV981849:ACV981914 AMR981849:AMR981914 AWN981849:AWN981914 BGJ981849:BGJ981914 BQF981849:BQF981914 CAB981849:CAB981914 CJX981849:CJX981914 CTT981849:CTT981914 DDP981849:DDP981914 DNL981849:DNL981914 DXH981849:DXH981914 EHD981849:EHD981914 EQZ981849:EQZ981914 FAV981849:FAV981914 FKR981849:FKR981914 FUN981849:FUN981914 GEJ981849:GEJ981914 GOF981849:GOF981914 GYB981849:GYB981914 HHX981849:HHX981914 HRT981849:HRT981914 IBP981849:IBP981914 ILL981849:ILL981914 IVH981849:IVH981914 JFD981849:JFD981914 JOZ981849:JOZ981914 JYV981849:JYV981914 KIR981849:KIR981914 KSN981849:KSN981914 LCJ981849:LCJ981914 LMF981849:LMF981914 LWB981849:LWB981914 MFX981849:MFX981914 MPT981849:MPT981914 MZP981849:MZP981914 NJL981849:NJL981914 NTH981849:NTH981914 ODD981849:ODD981914 OMZ981849:OMZ981914 OWV981849:OWV981914 PGR981849:PGR981914 PQN981849:PQN981914 QAJ981849:QAJ981914 QKF981849:QKF981914 QUB981849:QUB981914 RDX981849:RDX981914 RNT981849:RNT981914 RXP981849:RXP981914 SHL981849:SHL981914 SRH981849:SRH981914 TBD981849:TBD981914 TKZ981849:TKZ981914 TUV981849:TUV981914 UER981849:UER981914 UON981849:UON981914 UYJ981849:UYJ981914 VIF981849:VIF981914 VSB981849:VSB981914 WBX981849:WBX981914 WLT981849:WLT981914 WVP981849:WVP981914 H1047385:H1047450 JD1047385:JD1047450 SZ1047385:SZ1047450 ACV1047385:ACV1047450 AMR1047385:AMR1047450 AWN1047385:AWN1047450 BGJ1047385:BGJ1047450 BQF1047385:BQF1047450 CAB1047385:CAB1047450 CJX1047385:CJX1047450 CTT1047385:CTT1047450 DDP1047385:DDP1047450 DNL1047385:DNL1047450 DXH1047385:DXH1047450 EHD1047385:EHD1047450 EQZ1047385:EQZ1047450 FAV1047385:FAV1047450 FKR1047385:FKR1047450 FUN1047385:FUN1047450 GEJ1047385:GEJ1047450 GOF1047385:GOF1047450 GYB1047385:GYB1047450 HHX1047385:HHX1047450 HRT1047385:HRT1047450 IBP1047385:IBP1047450 ILL1047385:ILL1047450 IVH1047385:IVH1047450 JFD1047385:JFD1047450 JOZ1047385:JOZ1047450 JYV1047385:JYV1047450 KIR1047385:KIR1047450 KSN1047385:KSN1047450 LCJ1047385:LCJ1047450 LMF1047385:LMF1047450 LWB1047385:LWB1047450 MFX1047385:MFX1047450 MPT1047385:MPT1047450 MZP1047385:MZP1047450 NJL1047385:NJL1047450 NTH1047385:NTH1047450 ODD1047385:ODD1047450 OMZ1047385:OMZ1047450 OWV1047385:OWV1047450 PGR1047385:PGR1047450 PQN1047385:PQN1047450 QAJ1047385:QAJ1047450 QKF1047385:QKF1047450 QUB1047385:QUB1047450 RDX1047385:RDX1047450 RNT1047385:RNT1047450 RXP1047385:RXP1047450 SHL1047385:SHL1047450 SRH1047385:SRH1047450 TBD1047385:TBD1047450 TKZ1047385:TKZ1047450 TUV1047385:TUV1047450 UER1047385:UER1047450 UON1047385:UON1047450 UYJ1047385:UYJ1047450 VIF1047385:VIF1047450 VSB1047385:VSB1047450 WBX1047385:WBX1047450 WLT1047385:WLT1047450 WVP1047385:WVP1047450" xr:uid="{3D3BC2DE-A979-48B6-8289-7F83D7A052CC}">
      <formula1>$AL$5:$AL$12</formula1>
    </dataValidation>
    <dataValidation type="list" allowBlank="1" showInputMessage="1" showErrorMessage="1" sqref="E64345:F64410 WVM983024:WVN983095 WLQ983024:WLR983095 WBU983024:WBV983095 VRY983024:VRZ983095 VIC983024:VID983095 UYG983024:UYH983095 UOK983024:UOL983095 UEO983024:UEP983095 TUS983024:TUT983095 TKW983024:TKX983095 TBA983024:TBB983095 SRE983024:SRF983095 SHI983024:SHJ983095 RXM983024:RXN983095 RNQ983024:RNR983095 RDU983024:RDV983095 QTY983024:QTZ983095 QKC983024:QKD983095 QAG983024:QAH983095 PQK983024:PQL983095 PGO983024:PGP983095 OWS983024:OWT983095 OMW983024:OMX983095 ODA983024:ODB983095 NTE983024:NTF983095 NJI983024:NJJ983095 MZM983024:MZN983095 MPQ983024:MPR983095 MFU983024:MFV983095 LVY983024:LVZ983095 LMC983024:LMD983095 LCG983024:LCH983095 KSK983024:KSL983095 KIO983024:KIP983095 JYS983024:JYT983095 JOW983024:JOX983095 JFA983024:JFB983095 IVE983024:IVF983095 ILI983024:ILJ983095 IBM983024:IBN983095 HRQ983024:HRR983095 HHU983024:HHV983095 GXY983024:GXZ983095 GOC983024:GOD983095 GEG983024:GEH983095 FUK983024:FUL983095 FKO983024:FKP983095 FAS983024:FAT983095 EQW983024:EQX983095 EHA983024:EHB983095 DXE983024:DXF983095 DNI983024:DNJ983095 DDM983024:DDN983095 CTQ983024:CTR983095 CJU983024:CJV983095 BZY983024:BZZ983095 BQC983024:BQD983095 BGG983024:BGH983095 AWK983024:AWL983095 AMO983024:AMP983095 ACS983024:ACT983095 SW983024:SX983095 JA983024:JB983095 E983024:F983095 WVM917488:WVN917559 WLQ917488:WLR917559 WBU917488:WBV917559 VRY917488:VRZ917559 VIC917488:VID917559 UYG917488:UYH917559 UOK917488:UOL917559 UEO917488:UEP917559 TUS917488:TUT917559 TKW917488:TKX917559 TBA917488:TBB917559 SRE917488:SRF917559 SHI917488:SHJ917559 RXM917488:RXN917559 RNQ917488:RNR917559 RDU917488:RDV917559 QTY917488:QTZ917559 QKC917488:QKD917559 QAG917488:QAH917559 PQK917488:PQL917559 PGO917488:PGP917559 OWS917488:OWT917559 OMW917488:OMX917559 ODA917488:ODB917559 NTE917488:NTF917559 NJI917488:NJJ917559 MZM917488:MZN917559 MPQ917488:MPR917559 MFU917488:MFV917559 LVY917488:LVZ917559 LMC917488:LMD917559 LCG917488:LCH917559 KSK917488:KSL917559 KIO917488:KIP917559 JYS917488:JYT917559 JOW917488:JOX917559 JFA917488:JFB917559 IVE917488:IVF917559 ILI917488:ILJ917559 IBM917488:IBN917559 HRQ917488:HRR917559 HHU917488:HHV917559 GXY917488:GXZ917559 GOC917488:GOD917559 GEG917488:GEH917559 FUK917488:FUL917559 FKO917488:FKP917559 FAS917488:FAT917559 EQW917488:EQX917559 EHA917488:EHB917559 DXE917488:DXF917559 DNI917488:DNJ917559 DDM917488:DDN917559 CTQ917488:CTR917559 CJU917488:CJV917559 BZY917488:BZZ917559 BQC917488:BQD917559 BGG917488:BGH917559 AWK917488:AWL917559 AMO917488:AMP917559 ACS917488:ACT917559 SW917488:SX917559 JA917488:JB917559 E917488:F917559 WVM851952:WVN852023 WLQ851952:WLR852023 WBU851952:WBV852023 VRY851952:VRZ852023 VIC851952:VID852023 UYG851952:UYH852023 UOK851952:UOL852023 UEO851952:UEP852023 TUS851952:TUT852023 TKW851952:TKX852023 TBA851952:TBB852023 SRE851952:SRF852023 SHI851952:SHJ852023 RXM851952:RXN852023 RNQ851952:RNR852023 RDU851952:RDV852023 QTY851952:QTZ852023 QKC851952:QKD852023 QAG851952:QAH852023 PQK851952:PQL852023 PGO851952:PGP852023 OWS851952:OWT852023 OMW851952:OMX852023 ODA851952:ODB852023 NTE851952:NTF852023 NJI851952:NJJ852023 MZM851952:MZN852023 MPQ851952:MPR852023 MFU851952:MFV852023 LVY851952:LVZ852023 LMC851952:LMD852023 LCG851952:LCH852023 KSK851952:KSL852023 KIO851952:KIP852023 JYS851952:JYT852023 JOW851952:JOX852023 JFA851952:JFB852023 IVE851952:IVF852023 ILI851952:ILJ852023 IBM851952:IBN852023 HRQ851952:HRR852023 HHU851952:HHV852023 GXY851952:GXZ852023 GOC851952:GOD852023 GEG851952:GEH852023 FUK851952:FUL852023 FKO851952:FKP852023 FAS851952:FAT852023 EQW851952:EQX852023 EHA851952:EHB852023 DXE851952:DXF852023 DNI851952:DNJ852023 DDM851952:DDN852023 CTQ851952:CTR852023 CJU851952:CJV852023 BZY851952:BZZ852023 BQC851952:BQD852023 BGG851952:BGH852023 AWK851952:AWL852023 AMO851952:AMP852023 ACS851952:ACT852023 SW851952:SX852023 JA851952:JB852023 E851952:F852023 WVM786416:WVN786487 WLQ786416:WLR786487 WBU786416:WBV786487 VRY786416:VRZ786487 VIC786416:VID786487 UYG786416:UYH786487 UOK786416:UOL786487 UEO786416:UEP786487 TUS786416:TUT786487 TKW786416:TKX786487 TBA786416:TBB786487 SRE786416:SRF786487 SHI786416:SHJ786487 RXM786416:RXN786487 RNQ786416:RNR786487 RDU786416:RDV786487 QTY786416:QTZ786487 QKC786416:QKD786487 QAG786416:QAH786487 PQK786416:PQL786487 PGO786416:PGP786487 OWS786416:OWT786487 OMW786416:OMX786487 ODA786416:ODB786487 NTE786416:NTF786487 NJI786416:NJJ786487 MZM786416:MZN786487 MPQ786416:MPR786487 MFU786416:MFV786487 LVY786416:LVZ786487 LMC786416:LMD786487 LCG786416:LCH786487 KSK786416:KSL786487 KIO786416:KIP786487 JYS786416:JYT786487 JOW786416:JOX786487 JFA786416:JFB786487 IVE786416:IVF786487 ILI786416:ILJ786487 IBM786416:IBN786487 HRQ786416:HRR786487 HHU786416:HHV786487 GXY786416:GXZ786487 GOC786416:GOD786487 GEG786416:GEH786487 FUK786416:FUL786487 FKO786416:FKP786487 FAS786416:FAT786487 EQW786416:EQX786487 EHA786416:EHB786487 DXE786416:DXF786487 DNI786416:DNJ786487 DDM786416:DDN786487 CTQ786416:CTR786487 CJU786416:CJV786487 BZY786416:BZZ786487 BQC786416:BQD786487 BGG786416:BGH786487 AWK786416:AWL786487 AMO786416:AMP786487 ACS786416:ACT786487 SW786416:SX786487 JA786416:JB786487 E786416:F786487 WVM720880:WVN720951 WLQ720880:WLR720951 WBU720880:WBV720951 VRY720880:VRZ720951 VIC720880:VID720951 UYG720880:UYH720951 UOK720880:UOL720951 UEO720880:UEP720951 TUS720880:TUT720951 TKW720880:TKX720951 TBA720880:TBB720951 SRE720880:SRF720951 SHI720880:SHJ720951 RXM720880:RXN720951 RNQ720880:RNR720951 RDU720880:RDV720951 QTY720880:QTZ720951 QKC720880:QKD720951 QAG720880:QAH720951 PQK720880:PQL720951 PGO720880:PGP720951 OWS720880:OWT720951 OMW720880:OMX720951 ODA720880:ODB720951 NTE720880:NTF720951 NJI720880:NJJ720951 MZM720880:MZN720951 MPQ720880:MPR720951 MFU720880:MFV720951 LVY720880:LVZ720951 LMC720880:LMD720951 LCG720880:LCH720951 KSK720880:KSL720951 KIO720880:KIP720951 JYS720880:JYT720951 JOW720880:JOX720951 JFA720880:JFB720951 IVE720880:IVF720951 ILI720880:ILJ720951 IBM720880:IBN720951 HRQ720880:HRR720951 HHU720880:HHV720951 GXY720880:GXZ720951 GOC720880:GOD720951 GEG720880:GEH720951 FUK720880:FUL720951 FKO720880:FKP720951 FAS720880:FAT720951 EQW720880:EQX720951 EHA720880:EHB720951 DXE720880:DXF720951 DNI720880:DNJ720951 DDM720880:DDN720951 CTQ720880:CTR720951 CJU720880:CJV720951 BZY720880:BZZ720951 BQC720880:BQD720951 BGG720880:BGH720951 AWK720880:AWL720951 AMO720880:AMP720951 ACS720880:ACT720951 SW720880:SX720951 JA720880:JB720951 E720880:F720951 WVM655344:WVN655415 WLQ655344:WLR655415 WBU655344:WBV655415 VRY655344:VRZ655415 VIC655344:VID655415 UYG655344:UYH655415 UOK655344:UOL655415 UEO655344:UEP655415 TUS655344:TUT655415 TKW655344:TKX655415 TBA655344:TBB655415 SRE655344:SRF655415 SHI655344:SHJ655415 RXM655344:RXN655415 RNQ655344:RNR655415 RDU655344:RDV655415 QTY655344:QTZ655415 QKC655344:QKD655415 QAG655344:QAH655415 PQK655344:PQL655415 PGO655344:PGP655415 OWS655344:OWT655415 OMW655344:OMX655415 ODA655344:ODB655415 NTE655344:NTF655415 NJI655344:NJJ655415 MZM655344:MZN655415 MPQ655344:MPR655415 MFU655344:MFV655415 LVY655344:LVZ655415 LMC655344:LMD655415 LCG655344:LCH655415 KSK655344:KSL655415 KIO655344:KIP655415 JYS655344:JYT655415 JOW655344:JOX655415 JFA655344:JFB655415 IVE655344:IVF655415 ILI655344:ILJ655415 IBM655344:IBN655415 HRQ655344:HRR655415 HHU655344:HHV655415 GXY655344:GXZ655415 GOC655344:GOD655415 GEG655344:GEH655415 FUK655344:FUL655415 FKO655344:FKP655415 FAS655344:FAT655415 EQW655344:EQX655415 EHA655344:EHB655415 DXE655344:DXF655415 DNI655344:DNJ655415 DDM655344:DDN655415 CTQ655344:CTR655415 CJU655344:CJV655415 BZY655344:BZZ655415 BQC655344:BQD655415 BGG655344:BGH655415 AWK655344:AWL655415 AMO655344:AMP655415 ACS655344:ACT655415 SW655344:SX655415 JA655344:JB655415 E655344:F655415 WVM589808:WVN589879 WLQ589808:WLR589879 WBU589808:WBV589879 VRY589808:VRZ589879 VIC589808:VID589879 UYG589808:UYH589879 UOK589808:UOL589879 UEO589808:UEP589879 TUS589808:TUT589879 TKW589808:TKX589879 TBA589808:TBB589879 SRE589808:SRF589879 SHI589808:SHJ589879 RXM589808:RXN589879 RNQ589808:RNR589879 RDU589808:RDV589879 QTY589808:QTZ589879 QKC589808:QKD589879 QAG589808:QAH589879 PQK589808:PQL589879 PGO589808:PGP589879 OWS589808:OWT589879 OMW589808:OMX589879 ODA589808:ODB589879 NTE589808:NTF589879 NJI589808:NJJ589879 MZM589808:MZN589879 MPQ589808:MPR589879 MFU589808:MFV589879 LVY589808:LVZ589879 LMC589808:LMD589879 LCG589808:LCH589879 KSK589808:KSL589879 KIO589808:KIP589879 JYS589808:JYT589879 JOW589808:JOX589879 JFA589808:JFB589879 IVE589808:IVF589879 ILI589808:ILJ589879 IBM589808:IBN589879 HRQ589808:HRR589879 HHU589808:HHV589879 GXY589808:GXZ589879 GOC589808:GOD589879 GEG589808:GEH589879 FUK589808:FUL589879 FKO589808:FKP589879 FAS589808:FAT589879 EQW589808:EQX589879 EHA589808:EHB589879 DXE589808:DXF589879 DNI589808:DNJ589879 DDM589808:DDN589879 CTQ589808:CTR589879 CJU589808:CJV589879 BZY589808:BZZ589879 BQC589808:BQD589879 BGG589808:BGH589879 AWK589808:AWL589879 AMO589808:AMP589879 ACS589808:ACT589879 SW589808:SX589879 JA589808:JB589879 E589808:F589879 WVM524272:WVN524343 WLQ524272:WLR524343 WBU524272:WBV524343 VRY524272:VRZ524343 VIC524272:VID524343 UYG524272:UYH524343 UOK524272:UOL524343 UEO524272:UEP524343 TUS524272:TUT524343 TKW524272:TKX524343 TBA524272:TBB524343 SRE524272:SRF524343 SHI524272:SHJ524343 RXM524272:RXN524343 RNQ524272:RNR524343 RDU524272:RDV524343 QTY524272:QTZ524343 QKC524272:QKD524343 QAG524272:QAH524343 PQK524272:PQL524343 PGO524272:PGP524343 OWS524272:OWT524343 OMW524272:OMX524343 ODA524272:ODB524343 NTE524272:NTF524343 NJI524272:NJJ524343 MZM524272:MZN524343 MPQ524272:MPR524343 MFU524272:MFV524343 LVY524272:LVZ524343 LMC524272:LMD524343 LCG524272:LCH524343 KSK524272:KSL524343 KIO524272:KIP524343 JYS524272:JYT524343 JOW524272:JOX524343 JFA524272:JFB524343 IVE524272:IVF524343 ILI524272:ILJ524343 IBM524272:IBN524343 HRQ524272:HRR524343 HHU524272:HHV524343 GXY524272:GXZ524343 GOC524272:GOD524343 GEG524272:GEH524343 FUK524272:FUL524343 FKO524272:FKP524343 FAS524272:FAT524343 EQW524272:EQX524343 EHA524272:EHB524343 DXE524272:DXF524343 DNI524272:DNJ524343 DDM524272:DDN524343 CTQ524272:CTR524343 CJU524272:CJV524343 BZY524272:BZZ524343 BQC524272:BQD524343 BGG524272:BGH524343 AWK524272:AWL524343 AMO524272:AMP524343 ACS524272:ACT524343 SW524272:SX524343 JA524272:JB524343 E524272:F524343 WVM458736:WVN458807 WLQ458736:WLR458807 WBU458736:WBV458807 VRY458736:VRZ458807 VIC458736:VID458807 UYG458736:UYH458807 UOK458736:UOL458807 UEO458736:UEP458807 TUS458736:TUT458807 TKW458736:TKX458807 TBA458736:TBB458807 SRE458736:SRF458807 SHI458736:SHJ458807 RXM458736:RXN458807 RNQ458736:RNR458807 RDU458736:RDV458807 QTY458736:QTZ458807 QKC458736:QKD458807 QAG458736:QAH458807 PQK458736:PQL458807 PGO458736:PGP458807 OWS458736:OWT458807 OMW458736:OMX458807 ODA458736:ODB458807 NTE458736:NTF458807 NJI458736:NJJ458807 MZM458736:MZN458807 MPQ458736:MPR458807 MFU458736:MFV458807 LVY458736:LVZ458807 LMC458736:LMD458807 LCG458736:LCH458807 KSK458736:KSL458807 KIO458736:KIP458807 JYS458736:JYT458807 JOW458736:JOX458807 JFA458736:JFB458807 IVE458736:IVF458807 ILI458736:ILJ458807 IBM458736:IBN458807 HRQ458736:HRR458807 HHU458736:HHV458807 GXY458736:GXZ458807 GOC458736:GOD458807 GEG458736:GEH458807 FUK458736:FUL458807 FKO458736:FKP458807 FAS458736:FAT458807 EQW458736:EQX458807 EHA458736:EHB458807 DXE458736:DXF458807 DNI458736:DNJ458807 DDM458736:DDN458807 CTQ458736:CTR458807 CJU458736:CJV458807 BZY458736:BZZ458807 BQC458736:BQD458807 BGG458736:BGH458807 AWK458736:AWL458807 AMO458736:AMP458807 ACS458736:ACT458807 SW458736:SX458807 JA458736:JB458807 E458736:F458807 WVM393200:WVN393271 WLQ393200:WLR393271 WBU393200:WBV393271 VRY393200:VRZ393271 VIC393200:VID393271 UYG393200:UYH393271 UOK393200:UOL393271 UEO393200:UEP393271 TUS393200:TUT393271 TKW393200:TKX393271 TBA393200:TBB393271 SRE393200:SRF393271 SHI393200:SHJ393271 RXM393200:RXN393271 RNQ393200:RNR393271 RDU393200:RDV393271 QTY393200:QTZ393271 QKC393200:QKD393271 QAG393200:QAH393271 PQK393200:PQL393271 PGO393200:PGP393271 OWS393200:OWT393271 OMW393200:OMX393271 ODA393200:ODB393271 NTE393200:NTF393271 NJI393200:NJJ393271 MZM393200:MZN393271 MPQ393200:MPR393271 MFU393200:MFV393271 LVY393200:LVZ393271 LMC393200:LMD393271 LCG393200:LCH393271 KSK393200:KSL393271 KIO393200:KIP393271 JYS393200:JYT393271 JOW393200:JOX393271 JFA393200:JFB393271 IVE393200:IVF393271 ILI393200:ILJ393271 IBM393200:IBN393271 HRQ393200:HRR393271 HHU393200:HHV393271 GXY393200:GXZ393271 GOC393200:GOD393271 GEG393200:GEH393271 FUK393200:FUL393271 FKO393200:FKP393271 FAS393200:FAT393271 EQW393200:EQX393271 EHA393200:EHB393271 DXE393200:DXF393271 DNI393200:DNJ393271 DDM393200:DDN393271 CTQ393200:CTR393271 CJU393200:CJV393271 BZY393200:BZZ393271 BQC393200:BQD393271 BGG393200:BGH393271 AWK393200:AWL393271 AMO393200:AMP393271 ACS393200:ACT393271 SW393200:SX393271 JA393200:JB393271 E393200:F393271 WVM327664:WVN327735 WLQ327664:WLR327735 WBU327664:WBV327735 VRY327664:VRZ327735 VIC327664:VID327735 UYG327664:UYH327735 UOK327664:UOL327735 UEO327664:UEP327735 TUS327664:TUT327735 TKW327664:TKX327735 TBA327664:TBB327735 SRE327664:SRF327735 SHI327664:SHJ327735 RXM327664:RXN327735 RNQ327664:RNR327735 RDU327664:RDV327735 QTY327664:QTZ327735 QKC327664:QKD327735 QAG327664:QAH327735 PQK327664:PQL327735 PGO327664:PGP327735 OWS327664:OWT327735 OMW327664:OMX327735 ODA327664:ODB327735 NTE327664:NTF327735 NJI327664:NJJ327735 MZM327664:MZN327735 MPQ327664:MPR327735 MFU327664:MFV327735 LVY327664:LVZ327735 LMC327664:LMD327735 LCG327664:LCH327735 KSK327664:KSL327735 KIO327664:KIP327735 JYS327664:JYT327735 JOW327664:JOX327735 JFA327664:JFB327735 IVE327664:IVF327735 ILI327664:ILJ327735 IBM327664:IBN327735 HRQ327664:HRR327735 HHU327664:HHV327735 GXY327664:GXZ327735 GOC327664:GOD327735 GEG327664:GEH327735 FUK327664:FUL327735 FKO327664:FKP327735 FAS327664:FAT327735 EQW327664:EQX327735 EHA327664:EHB327735 DXE327664:DXF327735 DNI327664:DNJ327735 DDM327664:DDN327735 CTQ327664:CTR327735 CJU327664:CJV327735 BZY327664:BZZ327735 BQC327664:BQD327735 BGG327664:BGH327735 AWK327664:AWL327735 AMO327664:AMP327735 ACS327664:ACT327735 SW327664:SX327735 JA327664:JB327735 E327664:F327735 WVM262128:WVN262199 WLQ262128:WLR262199 WBU262128:WBV262199 VRY262128:VRZ262199 VIC262128:VID262199 UYG262128:UYH262199 UOK262128:UOL262199 UEO262128:UEP262199 TUS262128:TUT262199 TKW262128:TKX262199 TBA262128:TBB262199 SRE262128:SRF262199 SHI262128:SHJ262199 RXM262128:RXN262199 RNQ262128:RNR262199 RDU262128:RDV262199 QTY262128:QTZ262199 QKC262128:QKD262199 QAG262128:QAH262199 PQK262128:PQL262199 PGO262128:PGP262199 OWS262128:OWT262199 OMW262128:OMX262199 ODA262128:ODB262199 NTE262128:NTF262199 NJI262128:NJJ262199 MZM262128:MZN262199 MPQ262128:MPR262199 MFU262128:MFV262199 LVY262128:LVZ262199 LMC262128:LMD262199 LCG262128:LCH262199 KSK262128:KSL262199 KIO262128:KIP262199 JYS262128:JYT262199 JOW262128:JOX262199 JFA262128:JFB262199 IVE262128:IVF262199 ILI262128:ILJ262199 IBM262128:IBN262199 HRQ262128:HRR262199 HHU262128:HHV262199 GXY262128:GXZ262199 GOC262128:GOD262199 GEG262128:GEH262199 FUK262128:FUL262199 FKO262128:FKP262199 FAS262128:FAT262199 EQW262128:EQX262199 EHA262128:EHB262199 DXE262128:DXF262199 DNI262128:DNJ262199 DDM262128:DDN262199 CTQ262128:CTR262199 CJU262128:CJV262199 BZY262128:BZZ262199 BQC262128:BQD262199 BGG262128:BGH262199 AWK262128:AWL262199 AMO262128:AMP262199 ACS262128:ACT262199 SW262128:SX262199 JA262128:JB262199 E262128:F262199 WVM196592:WVN196663 WLQ196592:WLR196663 WBU196592:WBV196663 VRY196592:VRZ196663 VIC196592:VID196663 UYG196592:UYH196663 UOK196592:UOL196663 UEO196592:UEP196663 TUS196592:TUT196663 TKW196592:TKX196663 TBA196592:TBB196663 SRE196592:SRF196663 SHI196592:SHJ196663 RXM196592:RXN196663 RNQ196592:RNR196663 RDU196592:RDV196663 QTY196592:QTZ196663 QKC196592:QKD196663 QAG196592:QAH196663 PQK196592:PQL196663 PGO196592:PGP196663 OWS196592:OWT196663 OMW196592:OMX196663 ODA196592:ODB196663 NTE196592:NTF196663 NJI196592:NJJ196663 MZM196592:MZN196663 MPQ196592:MPR196663 MFU196592:MFV196663 LVY196592:LVZ196663 LMC196592:LMD196663 LCG196592:LCH196663 KSK196592:KSL196663 KIO196592:KIP196663 JYS196592:JYT196663 JOW196592:JOX196663 JFA196592:JFB196663 IVE196592:IVF196663 ILI196592:ILJ196663 IBM196592:IBN196663 HRQ196592:HRR196663 HHU196592:HHV196663 GXY196592:GXZ196663 GOC196592:GOD196663 GEG196592:GEH196663 FUK196592:FUL196663 FKO196592:FKP196663 FAS196592:FAT196663 EQW196592:EQX196663 EHA196592:EHB196663 DXE196592:DXF196663 DNI196592:DNJ196663 DDM196592:DDN196663 CTQ196592:CTR196663 CJU196592:CJV196663 BZY196592:BZZ196663 BQC196592:BQD196663 BGG196592:BGH196663 AWK196592:AWL196663 AMO196592:AMP196663 ACS196592:ACT196663 SW196592:SX196663 JA196592:JB196663 E196592:F196663 WVM131056:WVN131127 WLQ131056:WLR131127 WBU131056:WBV131127 VRY131056:VRZ131127 VIC131056:VID131127 UYG131056:UYH131127 UOK131056:UOL131127 UEO131056:UEP131127 TUS131056:TUT131127 TKW131056:TKX131127 TBA131056:TBB131127 SRE131056:SRF131127 SHI131056:SHJ131127 RXM131056:RXN131127 RNQ131056:RNR131127 RDU131056:RDV131127 QTY131056:QTZ131127 QKC131056:QKD131127 QAG131056:QAH131127 PQK131056:PQL131127 PGO131056:PGP131127 OWS131056:OWT131127 OMW131056:OMX131127 ODA131056:ODB131127 NTE131056:NTF131127 NJI131056:NJJ131127 MZM131056:MZN131127 MPQ131056:MPR131127 MFU131056:MFV131127 LVY131056:LVZ131127 LMC131056:LMD131127 LCG131056:LCH131127 KSK131056:KSL131127 KIO131056:KIP131127 JYS131056:JYT131127 JOW131056:JOX131127 JFA131056:JFB131127 IVE131056:IVF131127 ILI131056:ILJ131127 IBM131056:IBN131127 HRQ131056:HRR131127 HHU131056:HHV131127 GXY131056:GXZ131127 GOC131056:GOD131127 GEG131056:GEH131127 FUK131056:FUL131127 FKO131056:FKP131127 FAS131056:FAT131127 EQW131056:EQX131127 EHA131056:EHB131127 DXE131056:DXF131127 DNI131056:DNJ131127 DDM131056:DDN131127 CTQ131056:CTR131127 CJU131056:CJV131127 BZY131056:BZZ131127 BQC131056:BQD131127 BGG131056:BGH131127 AWK131056:AWL131127 AMO131056:AMP131127 ACS131056:ACT131127 SW131056:SX131127 JA131056:JB131127 E131056:F131127 WVM65520:WVN65591 WLQ65520:WLR65591 WBU65520:WBV65591 VRY65520:VRZ65591 VIC65520:VID65591 UYG65520:UYH65591 UOK65520:UOL65591 UEO65520:UEP65591 TUS65520:TUT65591 TKW65520:TKX65591 TBA65520:TBB65591 SRE65520:SRF65591 SHI65520:SHJ65591 RXM65520:RXN65591 RNQ65520:RNR65591 RDU65520:RDV65591 QTY65520:QTZ65591 QKC65520:QKD65591 QAG65520:QAH65591 PQK65520:PQL65591 PGO65520:PGP65591 OWS65520:OWT65591 OMW65520:OMX65591 ODA65520:ODB65591 NTE65520:NTF65591 NJI65520:NJJ65591 MZM65520:MZN65591 MPQ65520:MPR65591 MFU65520:MFV65591 LVY65520:LVZ65591 LMC65520:LMD65591 LCG65520:LCH65591 KSK65520:KSL65591 KIO65520:KIP65591 JYS65520:JYT65591 JOW65520:JOX65591 JFA65520:JFB65591 IVE65520:IVF65591 ILI65520:ILJ65591 IBM65520:IBN65591 HRQ65520:HRR65591 HHU65520:HHV65591 GXY65520:GXZ65591 GOC65520:GOD65591 GEG65520:GEH65591 FUK65520:FUL65591 FKO65520:FKP65591 FAS65520:FAT65591 EQW65520:EQX65591 EHA65520:EHB65591 DXE65520:DXF65591 DNI65520:DNJ65591 DDM65520:DDN65591 CTQ65520:CTR65591 CJU65520:CJV65591 BZY65520:BZZ65591 BQC65520:BQD65591 BGG65520:BGH65591 AWK65520:AWL65591 AMO65520:AMP65591 ACS65520:ACT65591 SW65520:SX65591 JA65520:JB65591 E65520:F65591 JA64345:JB64410 WVM1047385:WVN1047450 WLQ1047385:WLR1047450 WBU1047385:WBV1047450 VRY1047385:VRZ1047450 VIC1047385:VID1047450 UYG1047385:UYH1047450 UOK1047385:UOL1047450 UEO1047385:UEP1047450 TUS1047385:TUT1047450 TKW1047385:TKX1047450 TBA1047385:TBB1047450 SRE1047385:SRF1047450 SHI1047385:SHJ1047450 RXM1047385:RXN1047450 RNQ1047385:RNR1047450 RDU1047385:RDV1047450 QTY1047385:QTZ1047450 QKC1047385:QKD1047450 QAG1047385:QAH1047450 PQK1047385:PQL1047450 PGO1047385:PGP1047450 OWS1047385:OWT1047450 OMW1047385:OMX1047450 ODA1047385:ODB1047450 NTE1047385:NTF1047450 NJI1047385:NJJ1047450 MZM1047385:MZN1047450 MPQ1047385:MPR1047450 MFU1047385:MFV1047450 LVY1047385:LVZ1047450 LMC1047385:LMD1047450 LCG1047385:LCH1047450 KSK1047385:KSL1047450 KIO1047385:KIP1047450 JYS1047385:JYT1047450 JOW1047385:JOX1047450 JFA1047385:JFB1047450 IVE1047385:IVF1047450 ILI1047385:ILJ1047450 IBM1047385:IBN1047450 HRQ1047385:HRR1047450 HHU1047385:HHV1047450 GXY1047385:GXZ1047450 GOC1047385:GOD1047450 GEG1047385:GEH1047450 FUK1047385:FUL1047450 FKO1047385:FKP1047450 FAS1047385:FAT1047450 EQW1047385:EQX1047450 EHA1047385:EHB1047450 DXE1047385:DXF1047450 DNI1047385:DNJ1047450 DDM1047385:DDN1047450 CTQ1047385:CTR1047450 CJU1047385:CJV1047450 BZY1047385:BZZ1047450 BQC1047385:BQD1047450 BGG1047385:BGH1047450 AWK1047385:AWL1047450 AMO1047385:AMP1047450 ACS1047385:ACT1047450 SW1047385:SX1047450 JA1047385:JB1047450 E1047385:F1047450 WVM981849:WVN981914 WLQ981849:WLR981914 WBU981849:WBV981914 VRY981849:VRZ981914 VIC981849:VID981914 UYG981849:UYH981914 UOK981849:UOL981914 UEO981849:UEP981914 TUS981849:TUT981914 TKW981849:TKX981914 TBA981849:TBB981914 SRE981849:SRF981914 SHI981849:SHJ981914 RXM981849:RXN981914 RNQ981849:RNR981914 RDU981849:RDV981914 QTY981849:QTZ981914 QKC981849:QKD981914 QAG981849:QAH981914 PQK981849:PQL981914 PGO981849:PGP981914 OWS981849:OWT981914 OMW981849:OMX981914 ODA981849:ODB981914 NTE981849:NTF981914 NJI981849:NJJ981914 MZM981849:MZN981914 MPQ981849:MPR981914 MFU981849:MFV981914 LVY981849:LVZ981914 LMC981849:LMD981914 LCG981849:LCH981914 KSK981849:KSL981914 KIO981849:KIP981914 JYS981849:JYT981914 JOW981849:JOX981914 JFA981849:JFB981914 IVE981849:IVF981914 ILI981849:ILJ981914 IBM981849:IBN981914 HRQ981849:HRR981914 HHU981849:HHV981914 GXY981849:GXZ981914 GOC981849:GOD981914 GEG981849:GEH981914 FUK981849:FUL981914 FKO981849:FKP981914 FAS981849:FAT981914 EQW981849:EQX981914 EHA981849:EHB981914 DXE981849:DXF981914 DNI981849:DNJ981914 DDM981849:DDN981914 CTQ981849:CTR981914 CJU981849:CJV981914 BZY981849:BZZ981914 BQC981849:BQD981914 BGG981849:BGH981914 AWK981849:AWL981914 AMO981849:AMP981914 ACS981849:ACT981914 SW981849:SX981914 JA981849:JB981914 E981849:F981914 WVM916313:WVN916378 WLQ916313:WLR916378 WBU916313:WBV916378 VRY916313:VRZ916378 VIC916313:VID916378 UYG916313:UYH916378 UOK916313:UOL916378 UEO916313:UEP916378 TUS916313:TUT916378 TKW916313:TKX916378 TBA916313:TBB916378 SRE916313:SRF916378 SHI916313:SHJ916378 RXM916313:RXN916378 RNQ916313:RNR916378 RDU916313:RDV916378 QTY916313:QTZ916378 QKC916313:QKD916378 QAG916313:QAH916378 PQK916313:PQL916378 PGO916313:PGP916378 OWS916313:OWT916378 OMW916313:OMX916378 ODA916313:ODB916378 NTE916313:NTF916378 NJI916313:NJJ916378 MZM916313:MZN916378 MPQ916313:MPR916378 MFU916313:MFV916378 LVY916313:LVZ916378 LMC916313:LMD916378 LCG916313:LCH916378 KSK916313:KSL916378 KIO916313:KIP916378 JYS916313:JYT916378 JOW916313:JOX916378 JFA916313:JFB916378 IVE916313:IVF916378 ILI916313:ILJ916378 IBM916313:IBN916378 HRQ916313:HRR916378 HHU916313:HHV916378 GXY916313:GXZ916378 GOC916313:GOD916378 GEG916313:GEH916378 FUK916313:FUL916378 FKO916313:FKP916378 FAS916313:FAT916378 EQW916313:EQX916378 EHA916313:EHB916378 DXE916313:DXF916378 DNI916313:DNJ916378 DDM916313:DDN916378 CTQ916313:CTR916378 CJU916313:CJV916378 BZY916313:BZZ916378 BQC916313:BQD916378 BGG916313:BGH916378 AWK916313:AWL916378 AMO916313:AMP916378 ACS916313:ACT916378 SW916313:SX916378 JA916313:JB916378 E916313:F916378 WVM850777:WVN850842 WLQ850777:WLR850842 WBU850777:WBV850842 VRY850777:VRZ850842 VIC850777:VID850842 UYG850777:UYH850842 UOK850777:UOL850842 UEO850777:UEP850842 TUS850777:TUT850842 TKW850777:TKX850842 TBA850777:TBB850842 SRE850777:SRF850842 SHI850777:SHJ850842 RXM850777:RXN850842 RNQ850777:RNR850842 RDU850777:RDV850842 QTY850777:QTZ850842 QKC850777:QKD850842 QAG850777:QAH850842 PQK850777:PQL850842 PGO850777:PGP850842 OWS850777:OWT850842 OMW850777:OMX850842 ODA850777:ODB850842 NTE850777:NTF850842 NJI850777:NJJ850842 MZM850777:MZN850842 MPQ850777:MPR850842 MFU850777:MFV850842 LVY850777:LVZ850842 LMC850777:LMD850842 LCG850777:LCH850842 KSK850777:KSL850842 KIO850777:KIP850842 JYS850777:JYT850842 JOW850777:JOX850842 JFA850777:JFB850842 IVE850777:IVF850842 ILI850777:ILJ850842 IBM850777:IBN850842 HRQ850777:HRR850842 HHU850777:HHV850842 GXY850777:GXZ850842 GOC850777:GOD850842 GEG850777:GEH850842 FUK850777:FUL850842 FKO850777:FKP850842 FAS850777:FAT850842 EQW850777:EQX850842 EHA850777:EHB850842 DXE850777:DXF850842 DNI850777:DNJ850842 DDM850777:DDN850842 CTQ850777:CTR850842 CJU850777:CJV850842 BZY850777:BZZ850842 BQC850777:BQD850842 BGG850777:BGH850842 AWK850777:AWL850842 AMO850777:AMP850842 ACS850777:ACT850842 SW850777:SX850842 JA850777:JB850842 E850777:F850842 WVM785241:WVN785306 WLQ785241:WLR785306 WBU785241:WBV785306 VRY785241:VRZ785306 VIC785241:VID785306 UYG785241:UYH785306 UOK785241:UOL785306 UEO785241:UEP785306 TUS785241:TUT785306 TKW785241:TKX785306 TBA785241:TBB785306 SRE785241:SRF785306 SHI785241:SHJ785306 RXM785241:RXN785306 RNQ785241:RNR785306 RDU785241:RDV785306 QTY785241:QTZ785306 QKC785241:QKD785306 QAG785241:QAH785306 PQK785241:PQL785306 PGO785241:PGP785306 OWS785241:OWT785306 OMW785241:OMX785306 ODA785241:ODB785306 NTE785241:NTF785306 NJI785241:NJJ785306 MZM785241:MZN785306 MPQ785241:MPR785306 MFU785241:MFV785306 LVY785241:LVZ785306 LMC785241:LMD785306 LCG785241:LCH785306 KSK785241:KSL785306 KIO785241:KIP785306 JYS785241:JYT785306 JOW785241:JOX785306 JFA785241:JFB785306 IVE785241:IVF785306 ILI785241:ILJ785306 IBM785241:IBN785306 HRQ785241:HRR785306 HHU785241:HHV785306 GXY785241:GXZ785306 GOC785241:GOD785306 GEG785241:GEH785306 FUK785241:FUL785306 FKO785241:FKP785306 FAS785241:FAT785306 EQW785241:EQX785306 EHA785241:EHB785306 DXE785241:DXF785306 DNI785241:DNJ785306 DDM785241:DDN785306 CTQ785241:CTR785306 CJU785241:CJV785306 BZY785241:BZZ785306 BQC785241:BQD785306 BGG785241:BGH785306 AWK785241:AWL785306 AMO785241:AMP785306 ACS785241:ACT785306 SW785241:SX785306 JA785241:JB785306 E785241:F785306 WVM719705:WVN719770 WLQ719705:WLR719770 WBU719705:WBV719770 VRY719705:VRZ719770 VIC719705:VID719770 UYG719705:UYH719770 UOK719705:UOL719770 UEO719705:UEP719770 TUS719705:TUT719770 TKW719705:TKX719770 TBA719705:TBB719770 SRE719705:SRF719770 SHI719705:SHJ719770 RXM719705:RXN719770 RNQ719705:RNR719770 RDU719705:RDV719770 QTY719705:QTZ719770 QKC719705:QKD719770 QAG719705:QAH719770 PQK719705:PQL719770 PGO719705:PGP719770 OWS719705:OWT719770 OMW719705:OMX719770 ODA719705:ODB719770 NTE719705:NTF719770 NJI719705:NJJ719770 MZM719705:MZN719770 MPQ719705:MPR719770 MFU719705:MFV719770 LVY719705:LVZ719770 LMC719705:LMD719770 LCG719705:LCH719770 KSK719705:KSL719770 KIO719705:KIP719770 JYS719705:JYT719770 JOW719705:JOX719770 JFA719705:JFB719770 IVE719705:IVF719770 ILI719705:ILJ719770 IBM719705:IBN719770 HRQ719705:HRR719770 HHU719705:HHV719770 GXY719705:GXZ719770 GOC719705:GOD719770 GEG719705:GEH719770 FUK719705:FUL719770 FKO719705:FKP719770 FAS719705:FAT719770 EQW719705:EQX719770 EHA719705:EHB719770 DXE719705:DXF719770 DNI719705:DNJ719770 DDM719705:DDN719770 CTQ719705:CTR719770 CJU719705:CJV719770 BZY719705:BZZ719770 BQC719705:BQD719770 BGG719705:BGH719770 AWK719705:AWL719770 AMO719705:AMP719770 ACS719705:ACT719770 SW719705:SX719770 JA719705:JB719770 E719705:F719770 WVM654169:WVN654234 WLQ654169:WLR654234 WBU654169:WBV654234 VRY654169:VRZ654234 VIC654169:VID654234 UYG654169:UYH654234 UOK654169:UOL654234 UEO654169:UEP654234 TUS654169:TUT654234 TKW654169:TKX654234 TBA654169:TBB654234 SRE654169:SRF654234 SHI654169:SHJ654234 RXM654169:RXN654234 RNQ654169:RNR654234 RDU654169:RDV654234 QTY654169:QTZ654234 QKC654169:QKD654234 QAG654169:QAH654234 PQK654169:PQL654234 PGO654169:PGP654234 OWS654169:OWT654234 OMW654169:OMX654234 ODA654169:ODB654234 NTE654169:NTF654234 NJI654169:NJJ654234 MZM654169:MZN654234 MPQ654169:MPR654234 MFU654169:MFV654234 LVY654169:LVZ654234 LMC654169:LMD654234 LCG654169:LCH654234 KSK654169:KSL654234 KIO654169:KIP654234 JYS654169:JYT654234 JOW654169:JOX654234 JFA654169:JFB654234 IVE654169:IVF654234 ILI654169:ILJ654234 IBM654169:IBN654234 HRQ654169:HRR654234 HHU654169:HHV654234 GXY654169:GXZ654234 GOC654169:GOD654234 GEG654169:GEH654234 FUK654169:FUL654234 FKO654169:FKP654234 FAS654169:FAT654234 EQW654169:EQX654234 EHA654169:EHB654234 DXE654169:DXF654234 DNI654169:DNJ654234 DDM654169:DDN654234 CTQ654169:CTR654234 CJU654169:CJV654234 BZY654169:BZZ654234 BQC654169:BQD654234 BGG654169:BGH654234 AWK654169:AWL654234 AMO654169:AMP654234 ACS654169:ACT654234 SW654169:SX654234 JA654169:JB654234 E654169:F654234 WVM588633:WVN588698 WLQ588633:WLR588698 WBU588633:WBV588698 VRY588633:VRZ588698 VIC588633:VID588698 UYG588633:UYH588698 UOK588633:UOL588698 UEO588633:UEP588698 TUS588633:TUT588698 TKW588633:TKX588698 TBA588633:TBB588698 SRE588633:SRF588698 SHI588633:SHJ588698 RXM588633:RXN588698 RNQ588633:RNR588698 RDU588633:RDV588698 QTY588633:QTZ588698 QKC588633:QKD588698 QAG588633:QAH588698 PQK588633:PQL588698 PGO588633:PGP588698 OWS588633:OWT588698 OMW588633:OMX588698 ODA588633:ODB588698 NTE588633:NTF588698 NJI588633:NJJ588698 MZM588633:MZN588698 MPQ588633:MPR588698 MFU588633:MFV588698 LVY588633:LVZ588698 LMC588633:LMD588698 LCG588633:LCH588698 KSK588633:KSL588698 KIO588633:KIP588698 JYS588633:JYT588698 JOW588633:JOX588698 JFA588633:JFB588698 IVE588633:IVF588698 ILI588633:ILJ588698 IBM588633:IBN588698 HRQ588633:HRR588698 HHU588633:HHV588698 GXY588633:GXZ588698 GOC588633:GOD588698 GEG588633:GEH588698 FUK588633:FUL588698 FKO588633:FKP588698 FAS588633:FAT588698 EQW588633:EQX588698 EHA588633:EHB588698 DXE588633:DXF588698 DNI588633:DNJ588698 DDM588633:DDN588698 CTQ588633:CTR588698 CJU588633:CJV588698 BZY588633:BZZ588698 BQC588633:BQD588698 BGG588633:BGH588698 AWK588633:AWL588698 AMO588633:AMP588698 ACS588633:ACT588698 SW588633:SX588698 JA588633:JB588698 E588633:F588698 WVM523097:WVN523162 WLQ523097:WLR523162 WBU523097:WBV523162 VRY523097:VRZ523162 VIC523097:VID523162 UYG523097:UYH523162 UOK523097:UOL523162 UEO523097:UEP523162 TUS523097:TUT523162 TKW523097:TKX523162 TBA523097:TBB523162 SRE523097:SRF523162 SHI523097:SHJ523162 RXM523097:RXN523162 RNQ523097:RNR523162 RDU523097:RDV523162 QTY523097:QTZ523162 QKC523097:QKD523162 QAG523097:QAH523162 PQK523097:PQL523162 PGO523097:PGP523162 OWS523097:OWT523162 OMW523097:OMX523162 ODA523097:ODB523162 NTE523097:NTF523162 NJI523097:NJJ523162 MZM523097:MZN523162 MPQ523097:MPR523162 MFU523097:MFV523162 LVY523097:LVZ523162 LMC523097:LMD523162 LCG523097:LCH523162 KSK523097:KSL523162 KIO523097:KIP523162 JYS523097:JYT523162 JOW523097:JOX523162 JFA523097:JFB523162 IVE523097:IVF523162 ILI523097:ILJ523162 IBM523097:IBN523162 HRQ523097:HRR523162 HHU523097:HHV523162 GXY523097:GXZ523162 GOC523097:GOD523162 GEG523097:GEH523162 FUK523097:FUL523162 FKO523097:FKP523162 FAS523097:FAT523162 EQW523097:EQX523162 EHA523097:EHB523162 DXE523097:DXF523162 DNI523097:DNJ523162 DDM523097:DDN523162 CTQ523097:CTR523162 CJU523097:CJV523162 BZY523097:BZZ523162 BQC523097:BQD523162 BGG523097:BGH523162 AWK523097:AWL523162 AMO523097:AMP523162 ACS523097:ACT523162 SW523097:SX523162 JA523097:JB523162 E523097:F523162 WVM457561:WVN457626 WLQ457561:WLR457626 WBU457561:WBV457626 VRY457561:VRZ457626 VIC457561:VID457626 UYG457561:UYH457626 UOK457561:UOL457626 UEO457561:UEP457626 TUS457561:TUT457626 TKW457561:TKX457626 TBA457561:TBB457626 SRE457561:SRF457626 SHI457561:SHJ457626 RXM457561:RXN457626 RNQ457561:RNR457626 RDU457561:RDV457626 QTY457561:QTZ457626 QKC457561:QKD457626 QAG457561:QAH457626 PQK457561:PQL457626 PGO457561:PGP457626 OWS457561:OWT457626 OMW457561:OMX457626 ODA457561:ODB457626 NTE457561:NTF457626 NJI457561:NJJ457626 MZM457561:MZN457626 MPQ457561:MPR457626 MFU457561:MFV457626 LVY457561:LVZ457626 LMC457561:LMD457626 LCG457561:LCH457626 KSK457561:KSL457626 KIO457561:KIP457626 JYS457561:JYT457626 JOW457561:JOX457626 JFA457561:JFB457626 IVE457561:IVF457626 ILI457561:ILJ457626 IBM457561:IBN457626 HRQ457561:HRR457626 HHU457561:HHV457626 GXY457561:GXZ457626 GOC457561:GOD457626 GEG457561:GEH457626 FUK457561:FUL457626 FKO457561:FKP457626 FAS457561:FAT457626 EQW457561:EQX457626 EHA457561:EHB457626 DXE457561:DXF457626 DNI457561:DNJ457626 DDM457561:DDN457626 CTQ457561:CTR457626 CJU457561:CJV457626 BZY457561:BZZ457626 BQC457561:BQD457626 BGG457561:BGH457626 AWK457561:AWL457626 AMO457561:AMP457626 ACS457561:ACT457626 SW457561:SX457626 JA457561:JB457626 E457561:F457626 WVM392025:WVN392090 WLQ392025:WLR392090 WBU392025:WBV392090 VRY392025:VRZ392090 VIC392025:VID392090 UYG392025:UYH392090 UOK392025:UOL392090 UEO392025:UEP392090 TUS392025:TUT392090 TKW392025:TKX392090 TBA392025:TBB392090 SRE392025:SRF392090 SHI392025:SHJ392090 RXM392025:RXN392090 RNQ392025:RNR392090 RDU392025:RDV392090 QTY392025:QTZ392090 QKC392025:QKD392090 QAG392025:QAH392090 PQK392025:PQL392090 PGO392025:PGP392090 OWS392025:OWT392090 OMW392025:OMX392090 ODA392025:ODB392090 NTE392025:NTF392090 NJI392025:NJJ392090 MZM392025:MZN392090 MPQ392025:MPR392090 MFU392025:MFV392090 LVY392025:LVZ392090 LMC392025:LMD392090 LCG392025:LCH392090 KSK392025:KSL392090 KIO392025:KIP392090 JYS392025:JYT392090 JOW392025:JOX392090 JFA392025:JFB392090 IVE392025:IVF392090 ILI392025:ILJ392090 IBM392025:IBN392090 HRQ392025:HRR392090 HHU392025:HHV392090 GXY392025:GXZ392090 GOC392025:GOD392090 GEG392025:GEH392090 FUK392025:FUL392090 FKO392025:FKP392090 FAS392025:FAT392090 EQW392025:EQX392090 EHA392025:EHB392090 DXE392025:DXF392090 DNI392025:DNJ392090 DDM392025:DDN392090 CTQ392025:CTR392090 CJU392025:CJV392090 BZY392025:BZZ392090 BQC392025:BQD392090 BGG392025:BGH392090 AWK392025:AWL392090 AMO392025:AMP392090 ACS392025:ACT392090 SW392025:SX392090 JA392025:JB392090 E392025:F392090 WVM326489:WVN326554 WLQ326489:WLR326554 WBU326489:WBV326554 VRY326489:VRZ326554 VIC326489:VID326554 UYG326489:UYH326554 UOK326489:UOL326554 UEO326489:UEP326554 TUS326489:TUT326554 TKW326489:TKX326554 TBA326489:TBB326554 SRE326489:SRF326554 SHI326489:SHJ326554 RXM326489:RXN326554 RNQ326489:RNR326554 RDU326489:RDV326554 QTY326489:QTZ326554 QKC326489:QKD326554 QAG326489:QAH326554 PQK326489:PQL326554 PGO326489:PGP326554 OWS326489:OWT326554 OMW326489:OMX326554 ODA326489:ODB326554 NTE326489:NTF326554 NJI326489:NJJ326554 MZM326489:MZN326554 MPQ326489:MPR326554 MFU326489:MFV326554 LVY326489:LVZ326554 LMC326489:LMD326554 LCG326489:LCH326554 KSK326489:KSL326554 KIO326489:KIP326554 JYS326489:JYT326554 JOW326489:JOX326554 JFA326489:JFB326554 IVE326489:IVF326554 ILI326489:ILJ326554 IBM326489:IBN326554 HRQ326489:HRR326554 HHU326489:HHV326554 GXY326489:GXZ326554 GOC326489:GOD326554 GEG326489:GEH326554 FUK326489:FUL326554 FKO326489:FKP326554 FAS326489:FAT326554 EQW326489:EQX326554 EHA326489:EHB326554 DXE326489:DXF326554 DNI326489:DNJ326554 DDM326489:DDN326554 CTQ326489:CTR326554 CJU326489:CJV326554 BZY326489:BZZ326554 BQC326489:BQD326554 BGG326489:BGH326554 AWK326489:AWL326554 AMO326489:AMP326554 ACS326489:ACT326554 SW326489:SX326554 JA326489:JB326554 E326489:F326554 WVM260953:WVN261018 WLQ260953:WLR261018 WBU260953:WBV261018 VRY260953:VRZ261018 VIC260953:VID261018 UYG260953:UYH261018 UOK260953:UOL261018 UEO260953:UEP261018 TUS260953:TUT261018 TKW260953:TKX261018 TBA260953:TBB261018 SRE260953:SRF261018 SHI260953:SHJ261018 RXM260953:RXN261018 RNQ260953:RNR261018 RDU260953:RDV261018 QTY260953:QTZ261018 QKC260953:QKD261018 QAG260953:QAH261018 PQK260953:PQL261018 PGO260953:PGP261018 OWS260953:OWT261018 OMW260953:OMX261018 ODA260953:ODB261018 NTE260953:NTF261018 NJI260953:NJJ261018 MZM260953:MZN261018 MPQ260953:MPR261018 MFU260953:MFV261018 LVY260953:LVZ261018 LMC260953:LMD261018 LCG260953:LCH261018 KSK260953:KSL261018 KIO260953:KIP261018 JYS260953:JYT261018 JOW260953:JOX261018 JFA260953:JFB261018 IVE260953:IVF261018 ILI260953:ILJ261018 IBM260953:IBN261018 HRQ260953:HRR261018 HHU260953:HHV261018 GXY260953:GXZ261018 GOC260953:GOD261018 GEG260953:GEH261018 FUK260953:FUL261018 FKO260953:FKP261018 FAS260953:FAT261018 EQW260953:EQX261018 EHA260953:EHB261018 DXE260953:DXF261018 DNI260953:DNJ261018 DDM260953:DDN261018 CTQ260953:CTR261018 CJU260953:CJV261018 BZY260953:BZZ261018 BQC260953:BQD261018 BGG260953:BGH261018 AWK260953:AWL261018 AMO260953:AMP261018 ACS260953:ACT261018 SW260953:SX261018 JA260953:JB261018 E260953:F261018 WVM195417:WVN195482 WLQ195417:WLR195482 WBU195417:WBV195482 VRY195417:VRZ195482 VIC195417:VID195482 UYG195417:UYH195482 UOK195417:UOL195482 UEO195417:UEP195482 TUS195417:TUT195482 TKW195417:TKX195482 TBA195417:TBB195482 SRE195417:SRF195482 SHI195417:SHJ195482 RXM195417:RXN195482 RNQ195417:RNR195482 RDU195417:RDV195482 QTY195417:QTZ195482 QKC195417:QKD195482 QAG195417:QAH195482 PQK195417:PQL195482 PGO195417:PGP195482 OWS195417:OWT195482 OMW195417:OMX195482 ODA195417:ODB195482 NTE195417:NTF195482 NJI195417:NJJ195482 MZM195417:MZN195482 MPQ195417:MPR195482 MFU195417:MFV195482 LVY195417:LVZ195482 LMC195417:LMD195482 LCG195417:LCH195482 KSK195417:KSL195482 KIO195417:KIP195482 JYS195417:JYT195482 JOW195417:JOX195482 JFA195417:JFB195482 IVE195417:IVF195482 ILI195417:ILJ195482 IBM195417:IBN195482 HRQ195417:HRR195482 HHU195417:HHV195482 GXY195417:GXZ195482 GOC195417:GOD195482 GEG195417:GEH195482 FUK195417:FUL195482 FKO195417:FKP195482 FAS195417:FAT195482 EQW195417:EQX195482 EHA195417:EHB195482 DXE195417:DXF195482 DNI195417:DNJ195482 DDM195417:DDN195482 CTQ195417:CTR195482 CJU195417:CJV195482 BZY195417:BZZ195482 BQC195417:BQD195482 BGG195417:BGH195482 AWK195417:AWL195482 AMO195417:AMP195482 ACS195417:ACT195482 SW195417:SX195482 JA195417:JB195482 E195417:F195482 WVM129881:WVN129946 WLQ129881:WLR129946 WBU129881:WBV129946 VRY129881:VRZ129946 VIC129881:VID129946 UYG129881:UYH129946 UOK129881:UOL129946 UEO129881:UEP129946 TUS129881:TUT129946 TKW129881:TKX129946 TBA129881:TBB129946 SRE129881:SRF129946 SHI129881:SHJ129946 RXM129881:RXN129946 RNQ129881:RNR129946 RDU129881:RDV129946 QTY129881:QTZ129946 QKC129881:QKD129946 QAG129881:QAH129946 PQK129881:PQL129946 PGO129881:PGP129946 OWS129881:OWT129946 OMW129881:OMX129946 ODA129881:ODB129946 NTE129881:NTF129946 NJI129881:NJJ129946 MZM129881:MZN129946 MPQ129881:MPR129946 MFU129881:MFV129946 LVY129881:LVZ129946 LMC129881:LMD129946 LCG129881:LCH129946 KSK129881:KSL129946 KIO129881:KIP129946 JYS129881:JYT129946 JOW129881:JOX129946 JFA129881:JFB129946 IVE129881:IVF129946 ILI129881:ILJ129946 IBM129881:IBN129946 HRQ129881:HRR129946 HHU129881:HHV129946 GXY129881:GXZ129946 GOC129881:GOD129946 GEG129881:GEH129946 FUK129881:FUL129946 FKO129881:FKP129946 FAS129881:FAT129946 EQW129881:EQX129946 EHA129881:EHB129946 DXE129881:DXF129946 DNI129881:DNJ129946 DDM129881:DDN129946 CTQ129881:CTR129946 CJU129881:CJV129946 BZY129881:BZZ129946 BQC129881:BQD129946 BGG129881:BGH129946 AWK129881:AWL129946 AMO129881:AMP129946 ACS129881:ACT129946 SW129881:SX129946 JA129881:JB129946 E129881:F129946 WVM64345:WVN64410 WLQ64345:WLR64410 WBU64345:WBV64410 VRY64345:VRZ64410 VIC64345:VID64410 UYG64345:UYH64410 UOK64345:UOL64410 UEO64345:UEP64410 TUS64345:TUT64410 TKW64345:TKX64410 TBA64345:TBB64410 SRE64345:SRF64410 SHI64345:SHJ64410 RXM64345:RXN64410 RNQ64345:RNR64410 RDU64345:RDV64410 QTY64345:QTZ64410 QKC64345:QKD64410 QAG64345:QAH64410 PQK64345:PQL64410 PGO64345:PGP64410 OWS64345:OWT64410 OMW64345:OMX64410 ODA64345:ODB64410 NTE64345:NTF64410 NJI64345:NJJ64410 MZM64345:MZN64410 MPQ64345:MPR64410 MFU64345:MFV64410 LVY64345:LVZ64410 LMC64345:LMD64410 LCG64345:LCH64410 KSK64345:KSL64410 KIO64345:KIP64410 JYS64345:JYT64410 JOW64345:JOX64410 JFA64345:JFB64410 IVE64345:IVF64410 ILI64345:ILJ64410 IBM64345:IBN64410 HRQ64345:HRR64410 HHU64345:HHV64410 GXY64345:GXZ64410 GOC64345:GOD64410 GEG64345:GEH64410 FUK64345:FUL64410 FKO64345:FKP64410 FAS64345:FAT64410 EQW64345:EQX64410 EHA64345:EHB64410 DXE64345:DXF64410 DNI64345:DNJ64410 DDM64345:DDN64410 CTQ64345:CTR64410 CJU64345:CJV64410 BZY64345:BZZ64410 BQC64345:BQD64410 BGG64345:BGH64410 AWK64345:AWL64410 AMO64345:AMP64410 ACS64345:ACT64410 SW64345:SX64410 WVM2:WVN69 JA2:JB69 SW2:SX69 ACS2:ACT69 AMO2:AMP69 AWK2:AWL69 BGG2:BGH69 BQC2:BQD69 BZY2:BZZ69 CJU2:CJV69 CTQ2:CTR69 DDM2:DDN69 DNI2:DNJ69 DXE2:DXF69 EHA2:EHB69 EQW2:EQX69 FAS2:FAT69 FKO2:FKP69 FUK2:FUL69 GEG2:GEH69 GOC2:GOD69 GXY2:GXZ69 HHU2:HHV69 HRQ2:HRR69 IBM2:IBN69 ILI2:ILJ69 IVE2:IVF69 JFA2:JFB69 JOW2:JOX69 JYS2:JYT69 KIO2:KIP69 KSK2:KSL69 LCG2:LCH69 LMC2:LMD69 LVY2:LVZ69 MFU2:MFV69 MPQ2:MPR69 MZM2:MZN69 NJI2:NJJ69 NTE2:NTF69 ODA2:ODB69 OMW2:OMX69 OWS2:OWT69 PGO2:PGP69 PQK2:PQL69 QAG2:QAH69 QKC2:QKD69 QTY2:QTZ69 RDU2:RDV69 RNQ2:RNR69 RXM2:RXN69 SHI2:SHJ69 SRE2:SRF69 TBA2:TBB69 TKW2:TKX69 TUS2:TUT69 UEO2:UEP69 UOK2:UOL69 UYG2:UYH69 VIC2:VID69 VRY2:VRZ69 WBU2:WBV69 WLQ2:WLR69" xr:uid="{D89166B3-4E7B-4919-8A4A-26E92B4F286B}">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E9A4-EE5C-4850-86E7-B4B63B4BCE1B}">
  <dimension ref="A1:BA443"/>
  <sheetViews>
    <sheetView topLeftCell="A19" zoomScaleNormal="100" zoomScaleSheetLayoutView="100" workbookViewId="0">
      <selection activeCell="E56" sqref="E5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32"/>
    <col min="40" max="16384" width="9" style="53"/>
  </cols>
  <sheetData>
    <row r="1" spans="1:53" ht="45" x14ac:dyDescent="0.15">
      <c r="A1" s="44" t="s">
        <v>0</v>
      </c>
      <c r="B1" s="55" t="s">
        <v>1</v>
      </c>
      <c r="C1" s="55" t="s">
        <v>2</v>
      </c>
      <c r="D1" s="56" t="s">
        <v>3</v>
      </c>
      <c r="E1" s="45" t="s">
        <v>4</v>
      </c>
      <c r="F1" s="45" t="s">
        <v>356</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233</v>
      </c>
      <c r="C2" s="146">
        <v>2019</v>
      </c>
      <c r="D2" s="147" t="s">
        <v>234</v>
      </c>
      <c r="E2" s="146" t="s">
        <v>357</v>
      </c>
      <c r="F2" s="146" t="s">
        <v>358</v>
      </c>
      <c r="G2" s="148" t="s">
        <v>36</v>
      </c>
      <c r="H2" s="149" t="s">
        <v>164</v>
      </c>
      <c r="I2" s="132" t="s">
        <v>159</v>
      </c>
      <c r="J2" s="150" t="s">
        <v>38</v>
      </c>
      <c r="K2" s="132" t="s">
        <v>161</v>
      </c>
      <c r="L2" s="151">
        <v>1</v>
      </c>
      <c r="M2" s="152"/>
      <c r="N2" s="152">
        <v>1</v>
      </c>
      <c r="O2" s="152">
        <v>0.85</v>
      </c>
      <c r="P2" s="152">
        <v>0.9</v>
      </c>
      <c r="Q2" s="153">
        <f>IF(OR(O2="",P2=""),"",AVERAGE(O2,P2))</f>
        <v>0.875</v>
      </c>
      <c r="R2" s="154">
        <v>14.7</v>
      </c>
      <c r="S2" s="149">
        <v>115</v>
      </c>
      <c r="T2" s="155">
        <f t="shared" ref="T2:T65" si="0">IF(H2="","",IF(OR(H2="GREEN",H2="GK"),IF(S2&gt;=$AX$2,VLOOKUP(S2,$AX$2:$AY$7,2,1),""),IF(S2&gt;=$AZ$2,VLOOKUP(S2,$AZ$2:$BA$7,2,1),"")))</f>
        <v>30</v>
      </c>
      <c r="U2" s="132">
        <v>84</v>
      </c>
      <c r="V2" s="155">
        <f t="shared" ref="V2:V65" si="1">IF(OR(N2="",U2="",T2=""),"",U2/N2*T2)</f>
        <v>2520</v>
      </c>
      <c r="W2" s="156">
        <v>6</v>
      </c>
      <c r="X2" s="157" t="s">
        <v>46</v>
      </c>
      <c r="Y2" s="157" t="s">
        <v>50</v>
      </c>
      <c r="Z2" s="157" t="s">
        <v>78</v>
      </c>
      <c r="AA2" s="157" t="s">
        <v>102</v>
      </c>
      <c r="AB2" s="53" t="s">
        <v>237</v>
      </c>
      <c r="AE2" s="64" t="s">
        <v>35</v>
      </c>
      <c r="AG2" s="67" t="s">
        <v>357</v>
      </c>
      <c r="AH2" s="67" t="s">
        <v>358</v>
      </c>
      <c r="AJ2" s="135"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359</v>
      </c>
      <c r="E3" s="158" t="s">
        <v>357</v>
      </c>
      <c r="F3" s="158" t="s">
        <v>358</v>
      </c>
      <c r="G3" s="161" t="s">
        <v>36</v>
      </c>
      <c r="H3" s="132" t="s">
        <v>164</v>
      </c>
      <c r="I3" s="132" t="s">
        <v>159</v>
      </c>
      <c r="J3" s="132" t="s">
        <v>38</v>
      </c>
      <c r="K3" s="132" t="s">
        <v>161</v>
      </c>
      <c r="L3" s="53">
        <v>2</v>
      </c>
      <c r="N3" s="53">
        <v>1</v>
      </c>
      <c r="O3" s="53">
        <v>1.05</v>
      </c>
      <c r="P3" s="34">
        <v>0.95</v>
      </c>
      <c r="Q3" s="162">
        <f t="shared" ref="Q3:Q55" si="2">IF(OR(O3="",P3=""),"",AVERAGE(O3,P3))</f>
        <v>1</v>
      </c>
      <c r="R3" s="163">
        <v>14.3</v>
      </c>
      <c r="S3" s="163">
        <v>119</v>
      </c>
      <c r="T3" s="16">
        <f t="shared" si="0"/>
        <v>30</v>
      </c>
      <c r="U3" s="164">
        <v>84</v>
      </c>
      <c r="V3" s="38">
        <f t="shared" si="1"/>
        <v>2520</v>
      </c>
      <c r="W3" s="165">
        <v>6</v>
      </c>
      <c r="X3" s="166" t="s">
        <v>46</v>
      </c>
      <c r="Y3" s="166" t="s">
        <v>50</v>
      </c>
      <c r="Z3" s="166" t="s">
        <v>78</v>
      </c>
      <c r="AA3" s="157" t="s">
        <v>102</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359</v>
      </c>
      <c r="E4" s="158" t="s">
        <v>357</v>
      </c>
      <c r="F4" s="158" t="s">
        <v>358</v>
      </c>
      <c r="G4" s="161" t="s">
        <v>36</v>
      </c>
      <c r="H4" s="132" t="s">
        <v>164</v>
      </c>
      <c r="I4" s="132" t="s">
        <v>159</v>
      </c>
      <c r="J4" s="132" t="s">
        <v>38</v>
      </c>
      <c r="K4" s="132" t="s">
        <v>161</v>
      </c>
      <c r="L4" s="53">
        <v>3</v>
      </c>
      <c r="N4" s="53">
        <v>1</v>
      </c>
      <c r="O4" s="53">
        <v>0.9</v>
      </c>
      <c r="P4" s="34">
        <v>0.95</v>
      </c>
      <c r="Q4" s="75">
        <f t="shared" si="2"/>
        <v>0.92500000000000004</v>
      </c>
      <c r="R4" s="168">
        <v>13.6</v>
      </c>
      <c r="S4" s="168">
        <v>115</v>
      </c>
      <c r="T4" s="16">
        <f t="shared" si="0"/>
        <v>30</v>
      </c>
      <c r="U4" s="169">
        <v>84</v>
      </c>
      <c r="V4" s="38">
        <f t="shared" si="1"/>
        <v>2520</v>
      </c>
      <c r="W4" s="165">
        <v>6</v>
      </c>
      <c r="X4" s="166" t="s">
        <v>46</v>
      </c>
      <c r="Y4" s="166" t="s">
        <v>50</v>
      </c>
      <c r="Z4" s="166" t="s">
        <v>78</v>
      </c>
      <c r="AA4" s="157" t="s">
        <v>102</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359</v>
      </c>
      <c r="E5" s="158" t="s">
        <v>357</v>
      </c>
      <c r="F5" s="158" t="s">
        <v>358</v>
      </c>
      <c r="G5" s="161" t="s">
        <v>36</v>
      </c>
      <c r="H5" s="132" t="s">
        <v>160</v>
      </c>
      <c r="I5" s="132" t="s">
        <v>159</v>
      </c>
      <c r="J5" s="132" t="s">
        <v>38</v>
      </c>
      <c r="K5" s="132" t="s">
        <v>161</v>
      </c>
      <c r="L5" s="53">
        <v>1</v>
      </c>
      <c r="N5" s="53">
        <v>1</v>
      </c>
      <c r="O5" s="53">
        <v>0.5</v>
      </c>
      <c r="P5" s="53">
        <v>0.55000000000000004</v>
      </c>
      <c r="Q5" s="75">
        <f t="shared" si="2"/>
        <v>0.52500000000000002</v>
      </c>
      <c r="R5" s="168">
        <v>15.2</v>
      </c>
      <c r="S5" s="168">
        <v>121</v>
      </c>
      <c r="T5" s="16">
        <f t="shared" si="0"/>
        <v>30</v>
      </c>
      <c r="U5" s="169">
        <v>138</v>
      </c>
      <c r="V5" s="38">
        <f t="shared" si="1"/>
        <v>4140</v>
      </c>
      <c r="W5" s="165">
        <v>6</v>
      </c>
      <c r="X5" s="166" t="s">
        <v>46</v>
      </c>
      <c r="Y5" s="166" t="s">
        <v>50</v>
      </c>
      <c r="Z5" s="166" t="s">
        <v>78</v>
      </c>
      <c r="AA5" s="157" t="s">
        <v>102</v>
      </c>
      <c r="AB5" s="53" t="s">
        <v>158</v>
      </c>
      <c r="AE5" s="22" t="s">
        <v>51</v>
      </c>
      <c r="AG5" s="67" t="s">
        <v>357</v>
      </c>
      <c r="AH5" s="67" t="s">
        <v>363</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359</v>
      </c>
      <c r="E6" s="158" t="s">
        <v>357</v>
      </c>
      <c r="F6" s="158" t="s">
        <v>358</v>
      </c>
      <c r="G6" s="161" t="s">
        <v>36</v>
      </c>
      <c r="H6" s="132" t="s">
        <v>160</v>
      </c>
      <c r="I6" s="132" t="s">
        <v>159</v>
      </c>
      <c r="J6" s="132" t="s">
        <v>38</v>
      </c>
      <c r="K6" s="132" t="s">
        <v>161</v>
      </c>
      <c r="L6" s="53">
        <v>2</v>
      </c>
      <c r="N6" s="53">
        <v>1</v>
      </c>
      <c r="O6" s="53">
        <v>0.55000000000000004</v>
      </c>
      <c r="P6" s="53">
        <v>0.45</v>
      </c>
      <c r="Q6" s="75">
        <f t="shared" si="2"/>
        <v>0.5</v>
      </c>
      <c r="R6" s="168">
        <v>15</v>
      </c>
      <c r="S6" s="168">
        <v>116</v>
      </c>
      <c r="T6" s="16">
        <f t="shared" si="0"/>
        <v>30</v>
      </c>
      <c r="U6" s="169">
        <v>138</v>
      </c>
      <c r="V6" s="38">
        <f t="shared" si="1"/>
        <v>4140</v>
      </c>
      <c r="W6" s="165">
        <v>6</v>
      </c>
      <c r="X6" s="166" t="s">
        <v>46</v>
      </c>
      <c r="Y6" s="166" t="s">
        <v>50</v>
      </c>
      <c r="Z6" s="166" t="s">
        <v>78</v>
      </c>
      <c r="AA6" s="157" t="s">
        <v>102</v>
      </c>
      <c r="AB6" s="53" t="s">
        <v>158</v>
      </c>
      <c r="AE6" s="22" t="s">
        <v>56</v>
      </c>
      <c r="AG6" s="67" t="s">
        <v>211</v>
      </c>
      <c r="AH6" s="67" t="s">
        <v>364</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359</v>
      </c>
      <c r="E7" s="158" t="s">
        <v>357</v>
      </c>
      <c r="F7" s="158" t="s">
        <v>358</v>
      </c>
      <c r="G7" s="161" t="s">
        <v>36</v>
      </c>
      <c r="H7" s="132" t="s">
        <v>160</v>
      </c>
      <c r="I7" s="132" t="s">
        <v>159</v>
      </c>
      <c r="J7" s="132" t="s">
        <v>38</v>
      </c>
      <c r="K7" s="132" t="s">
        <v>161</v>
      </c>
      <c r="L7" s="53">
        <v>3</v>
      </c>
      <c r="N7" s="53">
        <v>1</v>
      </c>
      <c r="O7" s="53">
        <v>0.5</v>
      </c>
      <c r="P7" s="53">
        <v>0.45</v>
      </c>
      <c r="Q7" s="75">
        <f t="shared" si="2"/>
        <v>0.47499999999999998</v>
      </c>
      <c r="R7" s="168">
        <v>15.4</v>
      </c>
      <c r="S7" s="168">
        <v>116</v>
      </c>
      <c r="T7" s="16">
        <f t="shared" si="0"/>
        <v>30</v>
      </c>
      <c r="U7" s="169">
        <v>138</v>
      </c>
      <c r="V7" s="38">
        <f t="shared" si="1"/>
        <v>4140</v>
      </c>
      <c r="W7" s="165">
        <v>6</v>
      </c>
      <c r="X7" s="166" t="s">
        <v>46</v>
      </c>
      <c r="Y7" s="166" t="s">
        <v>50</v>
      </c>
      <c r="Z7" s="166" t="s">
        <v>78</v>
      </c>
      <c r="AA7" s="157" t="s">
        <v>102</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359</v>
      </c>
      <c r="E8" s="159" t="s">
        <v>360</v>
      </c>
      <c r="F8" s="158" t="s">
        <v>361</v>
      </c>
      <c r="G8" s="161" t="s">
        <v>36</v>
      </c>
      <c r="H8" s="132" t="s">
        <v>164</v>
      </c>
      <c r="I8" s="132" t="s">
        <v>159</v>
      </c>
      <c r="J8" s="132" t="s">
        <v>38</v>
      </c>
      <c r="K8" s="132" t="s">
        <v>161</v>
      </c>
      <c r="L8" s="53">
        <v>1</v>
      </c>
      <c r="N8" s="53">
        <v>5</v>
      </c>
      <c r="O8" s="53">
        <v>0.4</v>
      </c>
      <c r="P8" s="53">
        <v>0.5</v>
      </c>
      <c r="Q8" s="75">
        <f t="shared" si="2"/>
        <v>0.45</v>
      </c>
      <c r="R8" s="168">
        <v>12.6</v>
      </c>
      <c r="S8" s="168">
        <v>98</v>
      </c>
      <c r="T8" s="16">
        <f t="shared" si="0"/>
        <v>36</v>
      </c>
      <c r="U8" s="164">
        <v>498</v>
      </c>
      <c r="V8" s="38">
        <f t="shared" si="1"/>
        <v>3585.6</v>
      </c>
      <c r="W8" s="165">
        <v>4</v>
      </c>
      <c r="X8" s="166" t="s">
        <v>46</v>
      </c>
      <c r="Y8" s="172" t="s">
        <v>78</v>
      </c>
      <c r="Z8" s="166" t="s">
        <v>50</v>
      </c>
      <c r="AA8" s="157" t="s">
        <v>102</v>
      </c>
      <c r="AB8" s="53" t="s">
        <v>158</v>
      </c>
      <c r="AE8" s="22" t="s">
        <v>59</v>
      </c>
      <c r="AG8" s="67" t="s">
        <v>211</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359</v>
      </c>
      <c r="E9" s="159" t="s">
        <v>360</v>
      </c>
      <c r="F9" s="158" t="s">
        <v>361</v>
      </c>
      <c r="G9" s="161" t="s">
        <v>36</v>
      </c>
      <c r="H9" s="132" t="s">
        <v>367</v>
      </c>
      <c r="I9" s="132" t="s">
        <v>159</v>
      </c>
      <c r="J9" s="132" t="s">
        <v>38</v>
      </c>
      <c r="K9" s="132" t="s">
        <v>161</v>
      </c>
      <c r="L9" s="53">
        <v>2</v>
      </c>
      <c r="N9" s="53">
        <v>5</v>
      </c>
      <c r="O9" s="53">
        <v>0.5</v>
      </c>
      <c r="P9" s="53">
        <v>0.45</v>
      </c>
      <c r="Q9" s="75">
        <f t="shared" si="2"/>
        <v>0.47499999999999998</v>
      </c>
      <c r="R9" s="168">
        <v>13.3</v>
      </c>
      <c r="S9" s="168">
        <v>81</v>
      </c>
      <c r="T9" s="16">
        <f t="shared" si="0"/>
        <v>39</v>
      </c>
      <c r="U9" s="164">
        <v>498</v>
      </c>
      <c r="V9" s="38">
        <f t="shared" si="1"/>
        <v>3884.3999999999996</v>
      </c>
      <c r="W9" s="165">
        <v>4</v>
      </c>
      <c r="X9" s="166" t="s">
        <v>46</v>
      </c>
      <c r="Y9" s="172" t="s">
        <v>78</v>
      </c>
      <c r="Z9" s="166" t="s">
        <v>50</v>
      </c>
      <c r="AA9" s="157" t="s">
        <v>102</v>
      </c>
      <c r="AB9" s="53" t="s">
        <v>158</v>
      </c>
      <c r="AE9" s="22" t="s">
        <v>98</v>
      </c>
      <c r="AG9" s="67" t="s">
        <v>139</v>
      </c>
      <c r="AH9" s="67" t="s">
        <v>366</v>
      </c>
      <c r="AL9" s="73"/>
      <c r="AP9" s="23" t="s">
        <v>95</v>
      </c>
      <c r="AR9" s="23" t="s">
        <v>89</v>
      </c>
      <c r="AV9" s="23" t="s">
        <v>102</v>
      </c>
      <c r="AX9" s="31">
        <v>180</v>
      </c>
      <c r="AY9" s="32">
        <v>18</v>
      </c>
      <c r="AZ9" s="32">
        <v>181</v>
      </c>
      <c r="BA9" s="33">
        <v>16</v>
      </c>
    </row>
    <row r="10" spans="1:53" x14ac:dyDescent="0.15">
      <c r="A10" s="158" t="s">
        <v>34</v>
      </c>
      <c r="B10" s="158" t="s">
        <v>157</v>
      </c>
      <c r="C10" s="158">
        <v>2019</v>
      </c>
      <c r="D10" s="160" t="s">
        <v>359</v>
      </c>
      <c r="E10" s="159" t="s">
        <v>360</v>
      </c>
      <c r="F10" s="158" t="s">
        <v>361</v>
      </c>
      <c r="G10" s="161" t="s">
        <v>36</v>
      </c>
      <c r="H10" s="132" t="s">
        <v>164</v>
      </c>
      <c r="I10" s="132" t="s">
        <v>159</v>
      </c>
      <c r="J10" s="132" t="s">
        <v>38</v>
      </c>
      <c r="K10" s="132" t="s">
        <v>161</v>
      </c>
      <c r="L10" s="53">
        <v>3</v>
      </c>
      <c r="N10" s="53">
        <v>5</v>
      </c>
      <c r="O10" s="53">
        <v>0.4</v>
      </c>
      <c r="P10" s="53">
        <v>0.45</v>
      </c>
      <c r="Q10" s="75">
        <f t="shared" si="2"/>
        <v>0.42500000000000004</v>
      </c>
      <c r="R10" s="168">
        <v>14.4</v>
      </c>
      <c r="S10" s="168">
        <v>92</v>
      </c>
      <c r="T10" s="16">
        <f t="shared" si="0"/>
        <v>36</v>
      </c>
      <c r="U10" s="164">
        <v>498</v>
      </c>
      <c r="V10" s="38">
        <f t="shared" si="1"/>
        <v>3585.6</v>
      </c>
      <c r="W10" s="165">
        <v>4</v>
      </c>
      <c r="X10" s="166" t="s">
        <v>46</v>
      </c>
      <c r="Y10" s="172" t="s">
        <v>78</v>
      </c>
      <c r="Z10" s="166" t="s">
        <v>50</v>
      </c>
      <c r="AA10" s="157" t="s">
        <v>102</v>
      </c>
      <c r="AB10" s="53" t="s">
        <v>158</v>
      </c>
      <c r="AE10" s="22" t="s">
        <v>103</v>
      </c>
      <c r="AG10" s="67" t="s">
        <v>133</v>
      </c>
      <c r="AH10" s="67" t="s">
        <v>368</v>
      </c>
      <c r="AL10" s="34"/>
      <c r="AP10" s="23" t="s">
        <v>100</v>
      </c>
      <c r="AR10" s="23" t="s">
        <v>123</v>
      </c>
      <c r="AV10" s="23" t="s">
        <v>106</v>
      </c>
    </row>
    <row r="11" spans="1:53" x14ac:dyDescent="0.15">
      <c r="A11" s="158" t="s">
        <v>34</v>
      </c>
      <c r="B11" s="158" t="s">
        <v>157</v>
      </c>
      <c r="C11" s="159">
        <v>2019</v>
      </c>
      <c r="D11" s="160" t="s">
        <v>359</v>
      </c>
      <c r="E11" s="159" t="s">
        <v>360</v>
      </c>
      <c r="F11" s="158" t="s">
        <v>361</v>
      </c>
      <c r="G11" s="161" t="s">
        <v>36</v>
      </c>
      <c r="H11" s="132" t="s">
        <v>160</v>
      </c>
      <c r="I11" s="132" t="s">
        <v>159</v>
      </c>
      <c r="J11" s="132" t="s">
        <v>38</v>
      </c>
      <c r="K11" s="132" t="s">
        <v>161</v>
      </c>
      <c r="L11" s="53">
        <v>1</v>
      </c>
      <c r="N11" s="53">
        <v>4</v>
      </c>
      <c r="O11" s="53">
        <v>0.45</v>
      </c>
      <c r="P11" s="53">
        <v>0.5</v>
      </c>
      <c r="Q11" s="75">
        <f t="shared" si="2"/>
        <v>0.47499999999999998</v>
      </c>
      <c r="R11" s="168">
        <v>16.600000000000001</v>
      </c>
      <c r="S11" s="168">
        <v>104</v>
      </c>
      <c r="T11" s="16">
        <f t="shared" si="0"/>
        <v>33</v>
      </c>
      <c r="U11" s="164">
        <v>498</v>
      </c>
      <c r="V11" s="38">
        <f t="shared" si="1"/>
        <v>4108.5</v>
      </c>
      <c r="W11" s="165">
        <v>4</v>
      </c>
      <c r="X11" s="166" t="s">
        <v>46</v>
      </c>
      <c r="Y11" s="172" t="s">
        <v>78</v>
      </c>
      <c r="Z11" s="166" t="s">
        <v>50</v>
      </c>
      <c r="AA11" s="172" t="s">
        <v>102</v>
      </c>
      <c r="AB11" s="53" t="s">
        <v>158</v>
      </c>
      <c r="AE11" s="22" t="s">
        <v>65</v>
      </c>
      <c r="AG11" s="23" t="s">
        <v>270</v>
      </c>
      <c r="AH11" s="23" t="s">
        <v>369</v>
      </c>
      <c r="AL11" s="34"/>
      <c r="AP11" s="23" t="s">
        <v>104</v>
      </c>
      <c r="AR11" s="23" t="s">
        <v>87</v>
      </c>
      <c r="AV11" s="23" t="s">
        <v>69</v>
      </c>
    </row>
    <row r="12" spans="1:53" x14ac:dyDescent="0.15">
      <c r="A12" s="158" t="s">
        <v>34</v>
      </c>
      <c r="B12" s="158" t="s">
        <v>157</v>
      </c>
      <c r="C12" s="158">
        <v>2019</v>
      </c>
      <c r="D12" s="160" t="s">
        <v>359</v>
      </c>
      <c r="E12" s="159" t="s">
        <v>360</v>
      </c>
      <c r="F12" s="158" t="s">
        <v>361</v>
      </c>
      <c r="G12" s="161" t="s">
        <v>36</v>
      </c>
      <c r="H12" s="132" t="s">
        <v>160</v>
      </c>
      <c r="I12" s="132" t="s">
        <v>159</v>
      </c>
      <c r="J12" s="132" t="s">
        <v>38</v>
      </c>
      <c r="K12" s="132" t="s">
        <v>161</v>
      </c>
      <c r="L12" s="53">
        <v>2</v>
      </c>
      <c r="N12" s="53">
        <v>4</v>
      </c>
      <c r="O12" s="53">
        <v>0.5</v>
      </c>
      <c r="P12" s="53">
        <v>0.45</v>
      </c>
      <c r="Q12" s="75">
        <f t="shared" si="2"/>
        <v>0.47499999999999998</v>
      </c>
      <c r="R12" s="168">
        <v>16.600000000000001</v>
      </c>
      <c r="S12" s="168">
        <v>103</v>
      </c>
      <c r="T12" s="16">
        <f t="shared" si="0"/>
        <v>33</v>
      </c>
      <c r="U12" s="164">
        <v>498</v>
      </c>
      <c r="V12" s="38">
        <f t="shared" si="1"/>
        <v>4108.5</v>
      </c>
      <c r="W12" s="165">
        <v>4</v>
      </c>
      <c r="X12" s="166" t="s">
        <v>46</v>
      </c>
      <c r="Y12" s="172" t="s">
        <v>78</v>
      </c>
      <c r="Z12" s="166" t="s">
        <v>50</v>
      </c>
      <c r="AA12" s="172" t="s">
        <v>102</v>
      </c>
      <c r="AB12" s="53" t="s">
        <v>158</v>
      </c>
      <c r="AE12" s="22" t="s">
        <v>70</v>
      </c>
      <c r="AG12" s="23"/>
      <c r="AH12" s="23"/>
      <c r="AL12" s="34"/>
      <c r="AP12" s="23" t="s">
        <v>67</v>
      </c>
      <c r="AR12" s="23" t="s">
        <v>124</v>
      </c>
      <c r="AV12" s="23" t="s">
        <v>72</v>
      </c>
    </row>
    <row r="13" spans="1:53" x14ac:dyDescent="0.15">
      <c r="A13" s="158" t="s">
        <v>34</v>
      </c>
      <c r="B13" s="158" t="s">
        <v>157</v>
      </c>
      <c r="C13" s="159">
        <v>2019</v>
      </c>
      <c r="D13" s="160" t="s">
        <v>359</v>
      </c>
      <c r="E13" s="159" t="s">
        <v>360</v>
      </c>
      <c r="F13" s="158" t="s">
        <v>361</v>
      </c>
      <c r="G13" s="161" t="s">
        <v>36</v>
      </c>
      <c r="H13" s="132" t="s">
        <v>160</v>
      </c>
      <c r="I13" s="132" t="s">
        <v>159</v>
      </c>
      <c r="J13" s="132" t="s">
        <v>38</v>
      </c>
      <c r="K13" s="132" t="s">
        <v>161</v>
      </c>
      <c r="L13" s="53">
        <v>3</v>
      </c>
      <c r="N13" s="53">
        <v>4</v>
      </c>
      <c r="O13" s="53">
        <v>0.5</v>
      </c>
      <c r="P13" s="53">
        <v>0.5</v>
      </c>
      <c r="Q13" s="75">
        <f t="shared" si="2"/>
        <v>0.5</v>
      </c>
      <c r="R13" s="168">
        <v>16.100000000000001</v>
      </c>
      <c r="S13" s="168">
        <v>95</v>
      </c>
      <c r="T13" s="16">
        <f t="shared" si="0"/>
        <v>36</v>
      </c>
      <c r="U13" s="164">
        <v>498</v>
      </c>
      <c r="V13" s="38">
        <f t="shared" si="1"/>
        <v>4482</v>
      </c>
      <c r="W13" s="165">
        <v>4</v>
      </c>
      <c r="X13" s="166" t="s">
        <v>46</v>
      </c>
      <c r="Y13" s="172" t="s">
        <v>78</v>
      </c>
      <c r="Z13" s="166" t="s">
        <v>50</v>
      </c>
      <c r="AA13" s="172" t="s">
        <v>102</v>
      </c>
      <c r="AB13" s="53" t="s">
        <v>158</v>
      </c>
      <c r="AE13" s="22" t="s">
        <v>73</v>
      </c>
      <c r="AG13" s="28"/>
      <c r="AH13" s="28"/>
      <c r="AP13" s="23" t="s">
        <v>71</v>
      </c>
      <c r="AR13" s="23" t="s">
        <v>103</v>
      </c>
      <c r="AV13" s="23" t="s">
        <v>75</v>
      </c>
    </row>
    <row r="14" spans="1:53" x14ac:dyDescent="0.15">
      <c r="A14" s="158" t="s">
        <v>34</v>
      </c>
      <c r="B14" s="158" t="s">
        <v>157</v>
      </c>
      <c r="C14" s="158">
        <v>2019</v>
      </c>
      <c r="D14" s="160" t="s">
        <v>359</v>
      </c>
      <c r="E14" s="159" t="s">
        <v>362</v>
      </c>
      <c r="F14" s="158" t="s">
        <v>361</v>
      </c>
      <c r="G14" s="161" t="s">
        <v>36</v>
      </c>
      <c r="H14" s="132" t="s">
        <v>164</v>
      </c>
      <c r="I14" s="132" t="s">
        <v>159</v>
      </c>
      <c r="J14" s="132" t="s">
        <v>38</v>
      </c>
      <c r="K14" s="132" t="s">
        <v>161</v>
      </c>
      <c r="L14" s="53">
        <v>1</v>
      </c>
      <c r="N14" s="53">
        <v>1</v>
      </c>
      <c r="O14" s="53">
        <v>1</v>
      </c>
      <c r="P14" s="53">
        <v>0.95</v>
      </c>
      <c r="Q14" s="75">
        <f t="shared" si="2"/>
        <v>0.97499999999999998</v>
      </c>
      <c r="R14" s="168">
        <v>14.9</v>
      </c>
      <c r="S14" s="168">
        <v>135</v>
      </c>
      <c r="T14" s="16">
        <f t="shared" si="0"/>
        <v>30</v>
      </c>
      <c r="U14" s="164">
        <v>98</v>
      </c>
      <c r="V14" s="38">
        <f t="shared" si="1"/>
        <v>2940</v>
      </c>
      <c r="W14" s="165">
        <v>3</v>
      </c>
      <c r="X14" s="166" t="s">
        <v>46</v>
      </c>
      <c r="Y14" s="172" t="s">
        <v>84</v>
      </c>
      <c r="Z14" s="172" t="s">
        <v>69</v>
      </c>
      <c r="AA14" s="172" t="s">
        <v>50</v>
      </c>
      <c r="AB14" s="53" t="s">
        <v>158</v>
      </c>
      <c r="AC14" s="34"/>
      <c r="AE14" s="22" t="s">
        <v>76</v>
      </c>
      <c r="AP14" s="23" t="s">
        <v>74</v>
      </c>
      <c r="AR14" s="23" t="s">
        <v>125</v>
      </c>
      <c r="AV14" s="23" t="s">
        <v>78</v>
      </c>
    </row>
    <row r="15" spans="1:53" x14ac:dyDescent="0.15">
      <c r="A15" s="158" t="s">
        <v>34</v>
      </c>
      <c r="B15" s="158" t="s">
        <v>157</v>
      </c>
      <c r="C15" s="159">
        <v>2019</v>
      </c>
      <c r="D15" s="160" t="s">
        <v>359</v>
      </c>
      <c r="E15" s="159" t="s">
        <v>362</v>
      </c>
      <c r="F15" s="158" t="s">
        <v>361</v>
      </c>
      <c r="G15" s="161" t="s">
        <v>36</v>
      </c>
      <c r="H15" s="132" t="s">
        <v>164</v>
      </c>
      <c r="I15" s="132" t="s">
        <v>159</v>
      </c>
      <c r="J15" s="132" t="s">
        <v>38</v>
      </c>
      <c r="K15" s="132" t="s">
        <v>161</v>
      </c>
      <c r="L15" s="53">
        <v>2</v>
      </c>
      <c r="N15" s="53">
        <v>1</v>
      </c>
      <c r="O15" s="53">
        <v>0.85</v>
      </c>
      <c r="P15" s="53">
        <v>0.8</v>
      </c>
      <c r="Q15" s="75">
        <f t="shared" si="2"/>
        <v>0.82499999999999996</v>
      </c>
      <c r="R15" s="168">
        <v>15.2</v>
      </c>
      <c r="S15" s="168">
        <v>129</v>
      </c>
      <c r="T15" s="16">
        <f t="shared" si="0"/>
        <v>30</v>
      </c>
      <c r="U15" s="164">
        <v>98</v>
      </c>
      <c r="V15" s="38">
        <f t="shared" si="1"/>
        <v>2940</v>
      </c>
      <c r="W15" s="165">
        <v>3</v>
      </c>
      <c r="X15" s="166" t="s">
        <v>46</v>
      </c>
      <c r="Y15" s="172" t="s">
        <v>84</v>
      </c>
      <c r="Z15" s="172" t="s">
        <v>69</v>
      </c>
      <c r="AA15" s="172" t="s">
        <v>50</v>
      </c>
      <c r="AB15" s="53" t="s">
        <v>158</v>
      </c>
      <c r="AC15" s="34"/>
      <c r="AE15" s="22" t="s">
        <v>79</v>
      </c>
      <c r="AP15" s="23" t="s">
        <v>77</v>
      </c>
      <c r="AR15" s="23" t="s">
        <v>94</v>
      </c>
      <c r="AV15" s="23" t="s">
        <v>107</v>
      </c>
    </row>
    <row r="16" spans="1:53" x14ac:dyDescent="0.15">
      <c r="A16" s="158" t="s">
        <v>34</v>
      </c>
      <c r="B16" s="158" t="s">
        <v>157</v>
      </c>
      <c r="C16" s="158">
        <v>2019</v>
      </c>
      <c r="D16" s="160" t="s">
        <v>359</v>
      </c>
      <c r="E16" s="159" t="s">
        <v>362</v>
      </c>
      <c r="F16" s="158" t="s">
        <v>361</v>
      </c>
      <c r="G16" s="161" t="s">
        <v>36</v>
      </c>
      <c r="H16" s="132" t="s">
        <v>164</v>
      </c>
      <c r="I16" s="132" t="s">
        <v>159</v>
      </c>
      <c r="J16" s="132" t="s">
        <v>38</v>
      </c>
      <c r="K16" s="132" t="s">
        <v>161</v>
      </c>
      <c r="L16" s="53">
        <v>3</v>
      </c>
      <c r="N16" s="53">
        <v>1</v>
      </c>
      <c r="O16" s="53">
        <v>1.25</v>
      </c>
      <c r="P16" s="53">
        <v>1.1000000000000001</v>
      </c>
      <c r="Q16" s="75">
        <f t="shared" si="2"/>
        <v>1.175</v>
      </c>
      <c r="R16" s="168">
        <v>13.8</v>
      </c>
      <c r="S16" s="168">
        <v>126</v>
      </c>
      <c r="T16" s="16">
        <f t="shared" si="0"/>
        <v>30</v>
      </c>
      <c r="U16" s="164">
        <v>98</v>
      </c>
      <c r="V16" s="38">
        <f t="shared" si="1"/>
        <v>2940</v>
      </c>
      <c r="W16" s="165">
        <v>3</v>
      </c>
      <c r="X16" s="166" t="s">
        <v>46</v>
      </c>
      <c r="Y16" s="172" t="s">
        <v>84</v>
      </c>
      <c r="Z16" s="172" t="s">
        <v>69</v>
      </c>
      <c r="AA16" s="172" t="s">
        <v>50</v>
      </c>
      <c r="AB16" s="53" t="s">
        <v>158</v>
      </c>
      <c r="AC16" s="34"/>
      <c r="AE16" s="22" t="s">
        <v>82</v>
      </c>
      <c r="AP16" s="23" t="s">
        <v>80</v>
      </c>
      <c r="AR16" s="23" t="s">
        <v>63</v>
      </c>
      <c r="AV16" s="23" t="s">
        <v>84</v>
      </c>
    </row>
    <row r="17" spans="1:48" x14ac:dyDescent="0.15">
      <c r="A17" s="158" t="s">
        <v>34</v>
      </c>
      <c r="B17" s="158" t="s">
        <v>233</v>
      </c>
      <c r="C17" s="159">
        <v>2019</v>
      </c>
      <c r="D17" s="160" t="s">
        <v>359</v>
      </c>
      <c r="E17" s="159" t="s">
        <v>362</v>
      </c>
      <c r="F17" s="158" t="s">
        <v>361</v>
      </c>
      <c r="G17" s="161" t="s">
        <v>36</v>
      </c>
      <c r="H17" s="132" t="s">
        <v>160</v>
      </c>
      <c r="I17" s="132" t="s">
        <v>159</v>
      </c>
      <c r="J17" s="132" t="s">
        <v>38</v>
      </c>
      <c r="K17" s="132" t="s">
        <v>161</v>
      </c>
      <c r="L17" s="53">
        <v>1</v>
      </c>
      <c r="N17" s="53">
        <v>1</v>
      </c>
      <c r="O17" s="53">
        <v>0.6</v>
      </c>
      <c r="P17" s="53">
        <v>0.7</v>
      </c>
      <c r="Q17" s="75">
        <f t="shared" si="2"/>
        <v>0.64999999999999991</v>
      </c>
      <c r="R17" s="168">
        <v>14.2</v>
      </c>
      <c r="S17" s="168">
        <v>120</v>
      </c>
      <c r="T17" s="16">
        <f t="shared" si="0"/>
        <v>30</v>
      </c>
      <c r="U17" s="164">
        <v>128</v>
      </c>
      <c r="V17" s="38">
        <f t="shared" si="1"/>
        <v>3840</v>
      </c>
      <c r="W17" s="165">
        <v>3</v>
      </c>
      <c r="X17" s="166" t="s">
        <v>46</v>
      </c>
      <c r="Y17" s="172" t="s">
        <v>84</v>
      </c>
      <c r="Z17" s="172" t="s">
        <v>69</v>
      </c>
      <c r="AA17" s="172" t="s">
        <v>50</v>
      </c>
      <c r="AB17" s="53" t="s">
        <v>158</v>
      </c>
      <c r="AC17" s="34"/>
      <c r="AE17" s="22" t="s">
        <v>85</v>
      </c>
      <c r="AP17" s="27" t="s">
        <v>110</v>
      </c>
      <c r="AR17" s="23" t="s">
        <v>96</v>
      </c>
      <c r="AV17" s="23" t="s">
        <v>86</v>
      </c>
    </row>
    <row r="18" spans="1:48" x14ac:dyDescent="0.15">
      <c r="A18" s="158" t="s">
        <v>34</v>
      </c>
      <c r="B18" s="158" t="s">
        <v>157</v>
      </c>
      <c r="C18" s="158">
        <v>2019</v>
      </c>
      <c r="D18" s="160" t="s">
        <v>359</v>
      </c>
      <c r="E18" s="159" t="s">
        <v>362</v>
      </c>
      <c r="F18" s="158" t="s">
        <v>361</v>
      </c>
      <c r="G18" s="161" t="s">
        <v>36</v>
      </c>
      <c r="H18" s="132" t="s">
        <v>160</v>
      </c>
      <c r="I18" s="132" t="s">
        <v>159</v>
      </c>
      <c r="J18" s="132" t="s">
        <v>38</v>
      </c>
      <c r="K18" s="132" t="s">
        <v>161</v>
      </c>
      <c r="L18" s="53">
        <v>2</v>
      </c>
      <c r="N18" s="53">
        <v>1</v>
      </c>
      <c r="O18" s="53">
        <v>0.6</v>
      </c>
      <c r="P18" s="53">
        <v>0.6</v>
      </c>
      <c r="Q18" s="75">
        <f t="shared" si="2"/>
        <v>0.6</v>
      </c>
      <c r="R18" s="168">
        <v>14.1</v>
      </c>
      <c r="S18" s="168">
        <v>120</v>
      </c>
      <c r="T18" s="16">
        <f t="shared" si="0"/>
        <v>30</v>
      </c>
      <c r="U18" s="164">
        <v>128</v>
      </c>
      <c r="V18" s="38">
        <f t="shared" si="1"/>
        <v>3840</v>
      </c>
      <c r="W18" s="165">
        <v>3</v>
      </c>
      <c r="X18" s="166" t="s">
        <v>46</v>
      </c>
      <c r="Y18" s="172" t="s">
        <v>84</v>
      </c>
      <c r="Z18" s="172" t="s">
        <v>69</v>
      </c>
      <c r="AA18" s="172" t="s">
        <v>50</v>
      </c>
      <c r="AB18" s="53" t="s">
        <v>158</v>
      </c>
      <c r="AC18" s="34"/>
      <c r="AE18" s="22" t="s">
        <v>87</v>
      </c>
      <c r="AP18" s="27" t="s">
        <v>111</v>
      </c>
      <c r="AR18" s="23" t="s">
        <v>101</v>
      </c>
      <c r="AV18" s="23" t="s">
        <v>88</v>
      </c>
    </row>
    <row r="19" spans="1:48" x14ac:dyDescent="0.15">
      <c r="A19" s="158" t="s">
        <v>34</v>
      </c>
      <c r="B19" s="158" t="s">
        <v>157</v>
      </c>
      <c r="C19" s="159">
        <v>2019</v>
      </c>
      <c r="D19" s="160" t="s">
        <v>359</v>
      </c>
      <c r="E19" s="159" t="s">
        <v>362</v>
      </c>
      <c r="F19" s="158" t="s">
        <v>361</v>
      </c>
      <c r="G19" s="161" t="s">
        <v>36</v>
      </c>
      <c r="H19" s="132" t="s">
        <v>160</v>
      </c>
      <c r="I19" s="132" t="s">
        <v>159</v>
      </c>
      <c r="J19" s="132" t="s">
        <v>38</v>
      </c>
      <c r="K19" s="132" t="s">
        <v>161</v>
      </c>
      <c r="L19" s="53">
        <v>3</v>
      </c>
      <c r="N19" s="53">
        <v>1</v>
      </c>
      <c r="O19" s="53">
        <v>0.65</v>
      </c>
      <c r="P19" s="53">
        <v>0.6</v>
      </c>
      <c r="Q19" s="75">
        <f t="shared" si="2"/>
        <v>0.625</v>
      </c>
      <c r="R19" s="168">
        <v>15.3</v>
      </c>
      <c r="S19" s="168">
        <v>122</v>
      </c>
      <c r="T19" s="16">
        <f t="shared" si="0"/>
        <v>30</v>
      </c>
      <c r="U19" s="164">
        <v>128</v>
      </c>
      <c r="V19" s="38">
        <f t="shared" si="1"/>
        <v>3840</v>
      </c>
      <c r="W19" s="165">
        <v>3</v>
      </c>
      <c r="X19" s="166" t="s">
        <v>46</v>
      </c>
      <c r="Y19" s="172" t="s">
        <v>84</v>
      </c>
      <c r="Z19" s="172" t="s">
        <v>69</v>
      </c>
      <c r="AA19" s="172" t="s">
        <v>50</v>
      </c>
      <c r="AB19" s="53" t="s">
        <v>158</v>
      </c>
      <c r="AC19" s="34"/>
      <c r="AE19" s="35" t="s">
        <v>89</v>
      </c>
      <c r="AP19" s="27" t="s">
        <v>112</v>
      </c>
      <c r="AR19" s="23" t="s">
        <v>126</v>
      </c>
      <c r="AV19" s="23" t="s">
        <v>90</v>
      </c>
    </row>
    <row r="20" spans="1:48" x14ac:dyDescent="0.15">
      <c r="A20" s="158" t="s">
        <v>34</v>
      </c>
      <c r="B20" s="158" t="s">
        <v>157</v>
      </c>
      <c r="C20" s="158">
        <v>2019</v>
      </c>
      <c r="D20" s="160" t="s">
        <v>359</v>
      </c>
      <c r="E20" s="159" t="s">
        <v>357</v>
      </c>
      <c r="F20" s="158" t="s">
        <v>363</v>
      </c>
      <c r="G20" s="161" t="s">
        <v>36</v>
      </c>
      <c r="H20" s="132" t="s">
        <v>164</v>
      </c>
      <c r="I20" s="132" t="s">
        <v>159</v>
      </c>
      <c r="J20" s="132" t="s">
        <v>38</v>
      </c>
      <c r="K20" s="132" t="s">
        <v>161</v>
      </c>
      <c r="L20" s="53">
        <v>1</v>
      </c>
      <c r="N20" s="53">
        <v>1</v>
      </c>
      <c r="O20" s="53">
        <v>0.9</v>
      </c>
      <c r="P20" s="53">
        <v>0.85</v>
      </c>
      <c r="Q20" s="75">
        <f t="shared" si="2"/>
        <v>0.875</v>
      </c>
      <c r="R20" s="168">
        <v>14.1</v>
      </c>
      <c r="S20" s="168">
        <v>122</v>
      </c>
      <c r="T20" s="16">
        <f t="shared" si="0"/>
        <v>30</v>
      </c>
      <c r="U20" s="164">
        <v>75</v>
      </c>
      <c r="V20" s="38">
        <f t="shared" si="1"/>
        <v>2250</v>
      </c>
      <c r="W20" s="165">
        <v>4</v>
      </c>
      <c r="X20" s="166" t="s">
        <v>39</v>
      </c>
      <c r="Y20" s="172" t="s">
        <v>102</v>
      </c>
      <c r="Z20" s="172" t="s">
        <v>90</v>
      </c>
      <c r="AA20" s="172" t="s">
        <v>69</v>
      </c>
      <c r="AB20" s="53" t="s">
        <v>158</v>
      </c>
      <c r="AE20" s="35"/>
      <c r="AP20" s="27" t="s">
        <v>113</v>
      </c>
      <c r="AR20" s="23" t="s">
        <v>105</v>
      </c>
      <c r="AV20" s="27" t="s">
        <v>135</v>
      </c>
    </row>
    <row r="21" spans="1:48" x14ac:dyDescent="0.15">
      <c r="A21" s="158" t="s">
        <v>34</v>
      </c>
      <c r="B21" s="158" t="s">
        <v>157</v>
      </c>
      <c r="C21" s="159">
        <v>2019</v>
      </c>
      <c r="D21" s="160" t="s">
        <v>359</v>
      </c>
      <c r="E21" s="159" t="s">
        <v>357</v>
      </c>
      <c r="F21" s="158" t="s">
        <v>363</v>
      </c>
      <c r="G21" s="161" t="s">
        <v>36</v>
      </c>
      <c r="H21" s="132" t="s">
        <v>164</v>
      </c>
      <c r="I21" s="132" t="s">
        <v>159</v>
      </c>
      <c r="J21" s="132" t="s">
        <v>38</v>
      </c>
      <c r="K21" s="132" t="s">
        <v>161</v>
      </c>
      <c r="L21" s="53">
        <v>2</v>
      </c>
      <c r="N21" s="53">
        <v>1</v>
      </c>
      <c r="O21" s="53">
        <v>0.9</v>
      </c>
      <c r="P21" s="53">
        <v>0.9</v>
      </c>
      <c r="Q21" s="75">
        <f t="shared" si="2"/>
        <v>0.9</v>
      </c>
      <c r="R21" s="168">
        <v>13.9</v>
      </c>
      <c r="S21" s="168">
        <v>118</v>
      </c>
      <c r="T21" s="16">
        <f t="shared" si="0"/>
        <v>30</v>
      </c>
      <c r="U21" s="164">
        <v>75</v>
      </c>
      <c r="V21" s="38">
        <f t="shared" si="1"/>
        <v>2250</v>
      </c>
      <c r="W21" s="165">
        <v>4</v>
      </c>
      <c r="X21" s="166" t="s">
        <v>39</v>
      </c>
      <c r="Y21" s="172" t="s">
        <v>102</v>
      </c>
      <c r="Z21" s="172" t="s">
        <v>90</v>
      </c>
      <c r="AA21" s="172" t="s">
        <v>69</v>
      </c>
      <c r="AB21" s="53" t="s">
        <v>158</v>
      </c>
      <c r="AE21" s="28"/>
      <c r="AP21" s="27" t="s">
        <v>114</v>
      </c>
      <c r="AR21" s="23" t="s">
        <v>68</v>
      </c>
      <c r="AV21" s="27" t="s">
        <v>136</v>
      </c>
    </row>
    <row r="22" spans="1:48" x14ac:dyDescent="0.15">
      <c r="A22" s="158" t="s">
        <v>34</v>
      </c>
      <c r="B22" s="158" t="s">
        <v>157</v>
      </c>
      <c r="C22" s="158">
        <v>2019</v>
      </c>
      <c r="D22" s="160" t="s">
        <v>359</v>
      </c>
      <c r="E22" s="159" t="s">
        <v>357</v>
      </c>
      <c r="F22" s="158" t="s">
        <v>363</v>
      </c>
      <c r="G22" s="161" t="s">
        <v>36</v>
      </c>
      <c r="H22" s="132" t="s">
        <v>164</v>
      </c>
      <c r="I22" s="132" t="s">
        <v>159</v>
      </c>
      <c r="J22" s="132" t="s">
        <v>38</v>
      </c>
      <c r="K22" s="132" t="s">
        <v>161</v>
      </c>
      <c r="L22" s="53">
        <v>3</v>
      </c>
      <c r="N22" s="53">
        <v>1</v>
      </c>
      <c r="O22" s="53">
        <v>0.95</v>
      </c>
      <c r="P22" s="34">
        <v>0.9</v>
      </c>
      <c r="Q22" s="75">
        <f t="shared" si="2"/>
        <v>0.92500000000000004</v>
      </c>
      <c r="R22" s="168">
        <v>14.5</v>
      </c>
      <c r="S22" s="168">
        <v>121</v>
      </c>
      <c r="T22" s="16">
        <f t="shared" si="0"/>
        <v>30</v>
      </c>
      <c r="U22" s="164">
        <v>75</v>
      </c>
      <c r="V22" s="38">
        <f t="shared" si="1"/>
        <v>2250</v>
      </c>
      <c r="W22" s="165">
        <v>4</v>
      </c>
      <c r="X22" s="166" t="s">
        <v>39</v>
      </c>
      <c r="Y22" s="172" t="s">
        <v>102</v>
      </c>
      <c r="Z22" s="172" t="s">
        <v>90</v>
      </c>
      <c r="AA22" s="172" t="s">
        <v>69</v>
      </c>
      <c r="AB22" s="53" t="s">
        <v>158</v>
      </c>
      <c r="AP22" s="27" t="s">
        <v>115</v>
      </c>
      <c r="AR22" s="23" t="s">
        <v>83</v>
      </c>
      <c r="AV22" s="23"/>
    </row>
    <row r="23" spans="1:48" x14ac:dyDescent="0.15">
      <c r="A23" s="158" t="s">
        <v>34</v>
      </c>
      <c r="B23" s="158" t="s">
        <v>157</v>
      </c>
      <c r="C23" s="159">
        <v>2019</v>
      </c>
      <c r="D23" s="160" t="s">
        <v>359</v>
      </c>
      <c r="E23" s="159" t="s">
        <v>357</v>
      </c>
      <c r="F23" s="158" t="s">
        <v>363</v>
      </c>
      <c r="G23" s="161" t="s">
        <v>36</v>
      </c>
      <c r="H23" s="132" t="s">
        <v>160</v>
      </c>
      <c r="I23" s="132" t="s">
        <v>159</v>
      </c>
      <c r="J23" s="132" t="s">
        <v>38</v>
      </c>
      <c r="K23" s="132" t="s">
        <v>161</v>
      </c>
      <c r="L23" s="53">
        <v>1</v>
      </c>
      <c r="N23" s="53">
        <v>4</v>
      </c>
      <c r="O23" s="53">
        <v>0.45</v>
      </c>
      <c r="P23" s="34">
        <v>0.4</v>
      </c>
      <c r="Q23" s="75">
        <f t="shared" si="2"/>
        <v>0.42500000000000004</v>
      </c>
      <c r="R23" s="168">
        <v>15.2</v>
      </c>
      <c r="S23" s="168">
        <v>95</v>
      </c>
      <c r="T23" s="16">
        <f t="shared" si="0"/>
        <v>36</v>
      </c>
      <c r="U23" s="164">
        <v>498</v>
      </c>
      <c r="V23" s="38">
        <f t="shared" si="1"/>
        <v>4482</v>
      </c>
      <c r="W23" s="165">
        <v>4</v>
      </c>
      <c r="X23" s="166" t="s">
        <v>39</v>
      </c>
      <c r="Y23" s="172" t="s">
        <v>102</v>
      </c>
      <c r="Z23" s="172" t="s">
        <v>90</v>
      </c>
      <c r="AA23" s="172" t="s">
        <v>69</v>
      </c>
      <c r="AB23" s="53" t="s">
        <v>158</v>
      </c>
      <c r="AP23" s="27" t="s">
        <v>137</v>
      </c>
      <c r="AR23" s="23" t="s">
        <v>61</v>
      </c>
      <c r="AV23" s="23"/>
    </row>
    <row r="24" spans="1:48" x14ac:dyDescent="0.15">
      <c r="A24" s="158" t="s">
        <v>34</v>
      </c>
      <c r="B24" s="158" t="s">
        <v>157</v>
      </c>
      <c r="C24" s="158">
        <v>2019</v>
      </c>
      <c r="D24" s="160" t="s">
        <v>359</v>
      </c>
      <c r="E24" s="159" t="s">
        <v>357</v>
      </c>
      <c r="F24" s="158" t="s">
        <v>363</v>
      </c>
      <c r="G24" s="161" t="s">
        <v>36</v>
      </c>
      <c r="H24" s="132" t="s">
        <v>160</v>
      </c>
      <c r="I24" s="132" t="s">
        <v>159</v>
      </c>
      <c r="J24" s="132" t="s">
        <v>38</v>
      </c>
      <c r="K24" s="132" t="s">
        <v>161</v>
      </c>
      <c r="L24" s="53">
        <v>2</v>
      </c>
      <c r="N24" s="53">
        <v>4</v>
      </c>
      <c r="O24" s="53">
        <v>0.5</v>
      </c>
      <c r="P24" s="34">
        <v>0.45</v>
      </c>
      <c r="Q24" s="75">
        <f t="shared" si="2"/>
        <v>0.47499999999999998</v>
      </c>
      <c r="R24" s="168">
        <v>15.6</v>
      </c>
      <c r="S24" s="168">
        <v>103</v>
      </c>
      <c r="T24" s="16">
        <f t="shared" si="0"/>
        <v>33</v>
      </c>
      <c r="U24" s="164">
        <v>498</v>
      </c>
      <c r="V24" s="38">
        <f t="shared" si="1"/>
        <v>4108.5</v>
      </c>
      <c r="W24" s="165">
        <v>4</v>
      </c>
      <c r="X24" s="166" t="s">
        <v>39</v>
      </c>
      <c r="Y24" s="172" t="s">
        <v>102</v>
      </c>
      <c r="Z24" s="172" t="s">
        <v>90</v>
      </c>
      <c r="AA24" s="172" t="s">
        <v>69</v>
      </c>
      <c r="AB24" s="53" t="s">
        <v>158</v>
      </c>
      <c r="AP24" s="27" t="s">
        <v>138</v>
      </c>
      <c r="AR24" s="23" t="s">
        <v>91</v>
      </c>
      <c r="AV24" s="23"/>
    </row>
    <row r="25" spans="1:48" x14ac:dyDescent="0.15">
      <c r="A25" s="158" t="s">
        <v>34</v>
      </c>
      <c r="B25" s="158" t="s">
        <v>157</v>
      </c>
      <c r="C25" s="159">
        <v>2019</v>
      </c>
      <c r="D25" s="160" t="s">
        <v>359</v>
      </c>
      <c r="E25" s="159" t="s">
        <v>357</v>
      </c>
      <c r="F25" s="158" t="s">
        <v>363</v>
      </c>
      <c r="G25" s="161" t="s">
        <v>36</v>
      </c>
      <c r="H25" s="132" t="s">
        <v>160</v>
      </c>
      <c r="I25" s="132" t="s">
        <v>159</v>
      </c>
      <c r="J25" s="132" t="s">
        <v>38</v>
      </c>
      <c r="K25" s="132" t="s">
        <v>161</v>
      </c>
      <c r="L25" s="53">
        <v>3</v>
      </c>
      <c r="N25" s="53">
        <v>4</v>
      </c>
      <c r="O25" s="53">
        <v>0.5</v>
      </c>
      <c r="P25" s="34">
        <v>0.4</v>
      </c>
      <c r="Q25" s="75">
        <f t="shared" si="2"/>
        <v>0.45</v>
      </c>
      <c r="R25" s="168">
        <v>14.7</v>
      </c>
      <c r="S25" s="168">
        <v>97</v>
      </c>
      <c r="T25" s="16">
        <f t="shared" si="0"/>
        <v>36</v>
      </c>
      <c r="U25" s="164">
        <v>498</v>
      </c>
      <c r="V25" s="38">
        <f t="shared" si="1"/>
        <v>4482</v>
      </c>
      <c r="W25" s="165">
        <v>4</v>
      </c>
      <c r="X25" s="166" t="s">
        <v>39</v>
      </c>
      <c r="Y25" s="172" t="s">
        <v>102</v>
      </c>
      <c r="Z25" s="172" t="s">
        <v>90</v>
      </c>
      <c r="AA25" s="172" t="s">
        <v>69</v>
      </c>
      <c r="AB25" s="53" t="s">
        <v>158</v>
      </c>
      <c r="AP25" s="27" t="s">
        <v>116</v>
      </c>
      <c r="AR25" s="27" t="s">
        <v>92</v>
      </c>
      <c r="AV25" s="23"/>
    </row>
    <row r="26" spans="1:48" x14ac:dyDescent="0.15">
      <c r="A26" s="158" t="s">
        <v>34</v>
      </c>
      <c r="B26" s="158" t="s">
        <v>157</v>
      </c>
      <c r="C26" s="158">
        <v>2019</v>
      </c>
      <c r="D26" s="160" t="s">
        <v>359</v>
      </c>
      <c r="E26" s="159" t="s">
        <v>211</v>
      </c>
      <c r="F26" s="158" t="s">
        <v>364</v>
      </c>
      <c r="G26" s="161" t="s">
        <v>42</v>
      </c>
      <c r="H26" s="132" t="s">
        <v>164</v>
      </c>
      <c r="I26" s="132" t="s">
        <v>159</v>
      </c>
      <c r="J26" s="132" t="s">
        <v>38</v>
      </c>
      <c r="K26" s="132" t="s">
        <v>161</v>
      </c>
      <c r="L26" s="53">
        <v>1</v>
      </c>
      <c r="N26" s="53">
        <v>4</v>
      </c>
      <c r="O26" s="53">
        <v>0.45</v>
      </c>
      <c r="P26" s="53">
        <v>0.4</v>
      </c>
      <c r="Q26" s="75">
        <f t="shared" si="2"/>
        <v>0.42500000000000004</v>
      </c>
      <c r="R26" s="168">
        <v>12.1</v>
      </c>
      <c r="S26" s="168">
        <v>90</v>
      </c>
      <c r="T26" s="16">
        <f t="shared" si="0"/>
        <v>36</v>
      </c>
      <c r="U26" s="164">
        <v>377</v>
      </c>
      <c r="V26" s="38">
        <f t="shared" si="1"/>
        <v>3393</v>
      </c>
      <c r="W26" s="165">
        <v>4</v>
      </c>
      <c r="X26" s="166" t="s">
        <v>46</v>
      </c>
      <c r="Y26" s="172" t="s">
        <v>50</v>
      </c>
      <c r="Z26" s="172" t="s">
        <v>84</v>
      </c>
      <c r="AA26" s="172" t="s">
        <v>90</v>
      </c>
      <c r="AB26" s="53" t="s">
        <v>158</v>
      </c>
      <c r="AP26" s="27" t="s">
        <v>117</v>
      </c>
      <c r="AR26" s="23" t="s">
        <v>153</v>
      </c>
      <c r="AV26" s="27"/>
    </row>
    <row r="27" spans="1:48" x14ac:dyDescent="0.15">
      <c r="A27" s="158" t="s">
        <v>34</v>
      </c>
      <c r="B27" s="158" t="s">
        <v>157</v>
      </c>
      <c r="C27" s="159">
        <v>2019</v>
      </c>
      <c r="D27" s="160" t="s">
        <v>359</v>
      </c>
      <c r="E27" s="159" t="s">
        <v>211</v>
      </c>
      <c r="F27" s="158" t="s">
        <v>364</v>
      </c>
      <c r="G27" s="161" t="s">
        <v>42</v>
      </c>
      <c r="H27" s="132" t="s">
        <v>164</v>
      </c>
      <c r="I27" s="132" t="s">
        <v>159</v>
      </c>
      <c r="J27" s="132" t="s">
        <v>38</v>
      </c>
      <c r="K27" s="132" t="s">
        <v>161</v>
      </c>
      <c r="L27" s="53">
        <v>2</v>
      </c>
      <c r="N27" s="53">
        <v>4</v>
      </c>
      <c r="O27" s="34">
        <v>0.4</v>
      </c>
      <c r="P27" s="53">
        <v>0.45</v>
      </c>
      <c r="Q27" s="75">
        <f t="shared" si="2"/>
        <v>0.42500000000000004</v>
      </c>
      <c r="R27" s="168">
        <v>12.5</v>
      </c>
      <c r="S27" s="168">
        <v>84</v>
      </c>
      <c r="T27" s="16">
        <f t="shared" si="0"/>
        <v>36</v>
      </c>
      <c r="U27" s="164">
        <v>377</v>
      </c>
      <c r="V27" s="38">
        <f t="shared" si="1"/>
        <v>3393</v>
      </c>
      <c r="W27" s="165">
        <v>4</v>
      </c>
      <c r="X27" s="166" t="s">
        <v>46</v>
      </c>
      <c r="Y27" s="172" t="s">
        <v>50</v>
      </c>
      <c r="Z27" s="172" t="s">
        <v>84</v>
      </c>
      <c r="AA27" s="172" t="s">
        <v>90</v>
      </c>
      <c r="AB27" s="53" t="s">
        <v>158</v>
      </c>
      <c r="AP27" s="27" t="s">
        <v>118</v>
      </c>
      <c r="AR27" s="23"/>
    </row>
    <row r="28" spans="1:48" x14ac:dyDescent="0.15">
      <c r="A28" s="158" t="s">
        <v>34</v>
      </c>
      <c r="B28" s="158" t="s">
        <v>157</v>
      </c>
      <c r="C28" s="158">
        <v>2019</v>
      </c>
      <c r="D28" s="160" t="s">
        <v>359</v>
      </c>
      <c r="E28" s="159" t="s">
        <v>211</v>
      </c>
      <c r="F28" s="158" t="s">
        <v>364</v>
      </c>
      <c r="G28" s="161" t="s">
        <v>42</v>
      </c>
      <c r="H28" s="132" t="s">
        <v>164</v>
      </c>
      <c r="I28" s="132" t="s">
        <v>159</v>
      </c>
      <c r="J28" s="132" t="s">
        <v>38</v>
      </c>
      <c r="K28" s="132" t="s">
        <v>161</v>
      </c>
      <c r="L28" s="53">
        <v>3</v>
      </c>
      <c r="N28" s="53">
        <v>4</v>
      </c>
      <c r="O28" s="34">
        <v>0.5</v>
      </c>
      <c r="P28" s="53">
        <v>0.5</v>
      </c>
      <c r="Q28" s="75">
        <f t="shared" si="2"/>
        <v>0.5</v>
      </c>
      <c r="R28" s="168">
        <v>13.3</v>
      </c>
      <c r="S28" s="168">
        <v>89</v>
      </c>
      <c r="T28" s="16">
        <f t="shared" si="0"/>
        <v>36</v>
      </c>
      <c r="U28" s="164">
        <v>377</v>
      </c>
      <c r="V28" s="38">
        <f t="shared" si="1"/>
        <v>3393</v>
      </c>
      <c r="W28" s="165">
        <v>4</v>
      </c>
      <c r="X28" s="166" t="s">
        <v>46</v>
      </c>
      <c r="Y28" s="172" t="s">
        <v>50</v>
      </c>
      <c r="Z28" s="172" t="s">
        <v>84</v>
      </c>
      <c r="AA28" s="172" t="s">
        <v>90</v>
      </c>
      <c r="AB28" s="53" t="s">
        <v>158</v>
      </c>
      <c r="AR28" s="23"/>
    </row>
    <row r="29" spans="1:48" x14ac:dyDescent="0.15">
      <c r="A29" s="158" t="s">
        <v>34</v>
      </c>
      <c r="B29" s="158" t="s">
        <v>157</v>
      </c>
      <c r="C29" s="158">
        <v>2019</v>
      </c>
      <c r="D29" s="160" t="s">
        <v>359</v>
      </c>
      <c r="E29" s="159" t="s">
        <v>270</v>
      </c>
      <c r="F29" s="158" t="s">
        <v>364</v>
      </c>
      <c r="G29" s="161" t="s">
        <v>42</v>
      </c>
      <c r="H29" s="132" t="s">
        <v>164</v>
      </c>
      <c r="I29" s="132" t="s">
        <v>159</v>
      </c>
      <c r="J29" s="132" t="s">
        <v>38</v>
      </c>
      <c r="K29" s="132" t="s">
        <v>161</v>
      </c>
      <c r="L29" s="53">
        <v>1</v>
      </c>
      <c r="N29" s="53">
        <v>5</v>
      </c>
      <c r="O29" s="53">
        <v>0.75</v>
      </c>
      <c r="P29" s="53">
        <v>0.8</v>
      </c>
      <c r="Q29" s="75">
        <f t="shared" si="2"/>
        <v>0.77500000000000002</v>
      </c>
      <c r="R29" s="168">
        <v>14.5</v>
      </c>
      <c r="S29" s="168">
        <v>81</v>
      </c>
      <c r="T29" s="16">
        <f t="shared" si="0"/>
        <v>39</v>
      </c>
      <c r="U29" s="164">
        <v>398</v>
      </c>
      <c r="V29" s="38">
        <f t="shared" si="1"/>
        <v>3104.3999999999996</v>
      </c>
      <c r="W29" s="165">
        <v>4</v>
      </c>
      <c r="X29" s="166" t="s">
        <v>46</v>
      </c>
      <c r="Y29" s="172" t="s">
        <v>50</v>
      </c>
      <c r="Z29" s="172" t="s">
        <v>84</v>
      </c>
      <c r="AA29" s="172" t="s">
        <v>90</v>
      </c>
      <c r="AB29" s="53" t="s">
        <v>158</v>
      </c>
      <c r="AR29" s="28"/>
    </row>
    <row r="30" spans="1:48" x14ac:dyDescent="0.15">
      <c r="A30" s="158" t="s">
        <v>34</v>
      </c>
      <c r="B30" s="158" t="s">
        <v>157</v>
      </c>
      <c r="C30" s="159">
        <v>2019</v>
      </c>
      <c r="D30" s="160" t="s">
        <v>359</v>
      </c>
      <c r="E30" s="159" t="s">
        <v>270</v>
      </c>
      <c r="F30" s="158" t="s">
        <v>364</v>
      </c>
      <c r="G30" s="161" t="s">
        <v>42</v>
      </c>
      <c r="H30" s="132" t="s">
        <v>164</v>
      </c>
      <c r="I30" s="132" t="s">
        <v>159</v>
      </c>
      <c r="J30" s="132" t="s">
        <v>38</v>
      </c>
      <c r="K30" s="132" t="s">
        <v>161</v>
      </c>
      <c r="L30" s="53">
        <v>2</v>
      </c>
      <c r="N30" s="53">
        <v>5</v>
      </c>
      <c r="O30" s="53">
        <v>0.6</v>
      </c>
      <c r="P30" s="53">
        <v>0.55000000000000004</v>
      </c>
      <c r="Q30" s="75">
        <f t="shared" si="2"/>
        <v>0.57499999999999996</v>
      </c>
      <c r="R30" s="168">
        <v>13.1</v>
      </c>
      <c r="S30" s="168">
        <v>86</v>
      </c>
      <c r="T30" s="16">
        <f t="shared" si="0"/>
        <v>36</v>
      </c>
      <c r="U30" s="164">
        <v>398</v>
      </c>
      <c r="V30" s="38">
        <f t="shared" si="1"/>
        <v>2865.6</v>
      </c>
      <c r="W30" s="165">
        <v>4</v>
      </c>
      <c r="X30" s="166" t="s">
        <v>46</v>
      </c>
      <c r="Y30" s="172" t="s">
        <v>50</v>
      </c>
      <c r="Z30" s="172" t="s">
        <v>84</v>
      </c>
      <c r="AA30" s="172" t="s">
        <v>90</v>
      </c>
      <c r="AB30" s="53" t="s">
        <v>158</v>
      </c>
    </row>
    <row r="31" spans="1:48" x14ac:dyDescent="0.15">
      <c r="A31" s="158" t="s">
        <v>34</v>
      </c>
      <c r="B31" s="158" t="s">
        <v>157</v>
      </c>
      <c r="C31" s="158">
        <v>2019</v>
      </c>
      <c r="D31" s="160" t="s">
        <v>359</v>
      </c>
      <c r="E31" s="159" t="s">
        <v>270</v>
      </c>
      <c r="F31" s="158" t="s">
        <v>364</v>
      </c>
      <c r="G31" s="161" t="s">
        <v>42</v>
      </c>
      <c r="H31" s="132" t="s">
        <v>164</v>
      </c>
      <c r="I31" s="132" t="s">
        <v>159</v>
      </c>
      <c r="J31" s="132" t="s">
        <v>38</v>
      </c>
      <c r="K31" s="132" t="s">
        <v>161</v>
      </c>
      <c r="L31" s="53">
        <v>3</v>
      </c>
      <c r="N31" s="53">
        <v>5</v>
      </c>
      <c r="O31" s="53">
        <v>0.7</v>
      </c>
      <c r="P31" s="53">
        <v>0.65</v>
      </c>
      <c r="Q31" s="75">
        <f t="shared" si="2"/>
        <v>0.67500000000000004</v>
      </c>
      <c r="R31" s="168">
        <v>14.6</v>
      </c>
      <c r="S31" s="168">
        <v>92</v>
      </c>
      <c r="T31" s="16">
        <f t="shared" si="0"/>
        <v>36</v>
      </c>
      <c r="U31" s="164">
        <v>398</v>
      </c>
      <c r="V31" s="38">
        <f t="shared" si="1"/>
        <v>2865.6</v>
      </c>
      <c r="W31" s="165">
        <v>4</v>
      </c>
      <c r="X31" s="166" t="s">
        <v>46</v>
      </c>
      <c r="Y31" s="172" t="s">
        <v>50</v>
      </c>
      <c r="Z31" s="172" t="s">
        <v>84</v>
      </c>
      <c r="AA31" s="172" t="s">
        <v>90</v>
      </c>
      <c r="AB31" s="53" t="s">
        <v>158</v>
      </c>
    </row>
    <row r="32" spans="1:48" ht="14.25" customHeight="1" x14ac:dyDescent="0.15">
      <c r="A32" s="158" t="s">
        <v>34</v>
      </c>
      <c r="B32" s="158" t="s">
        <v>157</v>
      </c>
      <c r="C32" s="159">
        <v>2019</v>
      </c>
      <c r="D32" s="160" t="s">
        <v>359</v>
      </c>
      <c r="E32" s="159" t="s">
        <v>270</v>
      </c>
      <c r="F32" s="158" t="s">
        <v>364</v>
      </c>
      <c r="G32" s="161" t="s">
        <v>42</v>
      </c>
      <c r="H32" s="132" t="s">
        <v>160</v>
      </c>
      <c r="I32" s="132" t="s">
        <v>159</v>
      </c>
      <c r="J32" s="132" t="s">
        <v>38</v>
      </c>
      <c r="K32" s="132" t="s">
        <v>161</v>
      </c>
      <c r="L32" s="53">
        <v>1</v>
      </c>
      <c r="N32" s="53">
        <v>4</v>
      </c>
      <c r="O32" s="53">
        <v>0.45</v>
      </c>
      <c r="P32" s="53">
        <v>0.5</v>
      </c>
      <c r="Q32" s="75">
        <f t="shared" si="2"/>
        <v>0.47499999999999998</v>
      </c>
      <c r="R32" s="168">
        <v>16.7</v>
      </c>
      <c r="S32" s="168">
        <v>92</v>
      </c>
      <c r="T32" s="16">
        <f t="shared" si="0"/>
        <v>36</v>
      </c>
      <c r="U32" s="164">
        <v>388</v>
      </c>
      <c r="V32" s="38">
        <f t="shared" si="1"/>
        <v>3492</v>
      </c>
      <c r="W32" s="165">
        <v>4</v>
      </c>
      <c r="X32" s="166" t="s">
        <v>46</v>
      </c>
      <c r="Y32" s="172" t="s">
        <v>84</v>
      </c>
      <c r="Z32" s="172" t="s">
        <v>50</v>
      </c>
      <c r="AA32" s="172" t="s">
        <v>90</v>
      </c>
      <c r="AB32" s="53" t="s">
        <v>158</v>
      </c>
    </row>
    <row r="33" spans="1:28" x14ac:dyDescent="0.15">
      <c r="A33" s="158" t="s">
        <v>34</v>
      </c>
      <c r="B33" s="158" t="s">
        <v>157</v>
      </c>
      <c r="C33" s="158">
        <v>2019</v>
      </c>
      <c r="D33" s="160" t="s">
        <v>359</v>
      </c>
      <c r="E33" s="159" t="s">
        <v>270</v>
      </c>
      <c r="F33" s="158" t="s">
        <v>364</v>
      </c>
      <c r="G33" s="161" t="s">
        <v>42</v>
      </c>
      <c r="H33" s="132" t="s">
        <v>160</v>
      </c>
      <c r="I33" s="132" t="s">
        <v>159</v>
      </c>
      <c r="J33" s="132" t="s">
        <v>38</v>
      </c>
      <c r="K33" s="132" t="s">
        <v>161</v>
      </c>
      <c r="L33" s="53">
        <v>2</v>
      </c>
      <c r="N33" s="53">
        <v>4</v>
      </c>
      <c r="O33" s="53">
        <v>0.5</v>
      </c>
      <c r="P33" s="53">
        <v>0.55000000000000004</v>
      </c>
      <c r="Q33" s="75">
        <f t="shared" si="2"/>
        <v>0.52500000000000002</v>
      </c>
      <c r="R33" s="168">
        <v>15.2</v>
      </c>
      <c r="S33" s="168">
        <v>97</v>
      </c>
      <c r="T33" s="16">
        <f t="shared" si="0"/>
        <v>36</v>
      </c>
      <c r="U33" s="164">
        <v>388</v>
      </c>
      <c r="V33" s="38">
        <f t="shared" si="1"/>
        <v>3492</v>
      </c>
      <c r="W33" s="165">
        <v>4</v>
      </c>
      <c r="X33" s="166" t="s">
        <v>46</v>
      </c>
      <c r="Y33" s="172" t="s">
        <v>84</v>
      </c>
      <c r="Z33" s="172" t="s">
        <v>50</v>
      </c>
      <c r="AA33" s="172" t="s">
        <v>90</v>
      </c>
      <c r="AB33" s="53" t="s">
        <v>158</v>
      </c>
    </row>
    <row r="34" spans="1:28" x14ac:dyDescent="0.15">
      <c r="A34" s="158" t="s">
        <v>34</v>
      </c>
      <c r="B34" s="158" t="s">
        <v>157</v>
      </c>
      <c r="C34" s="159">
        <v>2019</v>
      </c>
      <c r="D34" s="160" t="s">
        <v>359</v>
      </c>
      <c r="E34" s="159" t="s">
        <v>270</v>
      </c>
      <c r="F34" s="158" t="s">
        <v>364</v>
      </c>
      <c r="G34" s="161" t="s">
        <v>42</v>
      </c>
      <c r="H34" s="132" t="s">
        <v>160</v>
      </c>
      <c r="I34" s="132" t="s">
        <v>159</v>
      </c>
      <c r="J34" s="132" t="s">
        <v>38</v>
      </c>
      <c r="K34" s="132" t="s">
        <v>161</v>
      </c>
      <c r="L34" s="53">
        <v>3</v>
      </c>
      <c r="N34" s="53">
        <v>4</v>
      </c>
      <c r="O34" s="53">
        <v>0.4</v>
      </c>
      <c r="P34" s="34">
        <v>0.45</v>
      </c>
      <c r="Q34" s="75">
        <f t="shared" si="2"/>
        <v>0.42500000000000004</v>
      </c>
      <c r="R34" s="168">
        <v>15.5</v>
      </c>
      <c r="S34" s="168">
        <v>98</v>
      </c>
      <c r="T34" s="16">
        <f t="shared" si="0"/>
        <v>36</v>
      </c>
      <c r="U34" s="164">
        <v>388</v>
      </c>
      <c r="V34" s="38">
        <f t="shared" si="1"/>
        <v>3492</v>
      </c>
      <c r="W34" s="165">
        <v>4</v>
      </c>
      <c r="X34" s="166" t="s">
        <v>46</v>
      </c>
      <c r="Y34" s="172" t="s">
        <v>84</v>
      </c>
      <c r="Z34" s="172" t="s">
        <v>50</v>
      </c>
      <c r="AA34" s="172" t="s">
        <v>90</v>
      </c>
      <c r="AB34" s="53" t="s">
        <v>158</v>
      </c>
    </row>
    <row r="35" spans="1:28" x14ac:dyDescent="0.15">
      <c r="A35" s="158" t="s">
        <v>34</v>
      </c>
      <c r="B35" s="158" t="s">
        <v>157</v>
      </c>
      <c r="C35" s="158">
        <v>2019</v>
      </c>
      <c r="D35" s="160" t="s">
        <v>359</v>
      </c>
      <c r="E35" s="159" t="s">
        <v>211</v>
      </c>
      <c r="F35" s="158" t="s">
        <v>366</v>
      </c>
      <c r="G35" s="161" t="s">
        <v>42</v>
      </c>
      <c r="H35" s="132" t="s">
        <v>164</v>
      </c>
      <c r="I35" s="132" t="s">
        <v>159</v>
      </c>
      <c r="J35" s="132" t="s">
        <v>38</v>
      </c>
      <c r="K35" s="132" t="s">
        <v>161</v>
      </c>
      <c r="L35" s="53">
        <v>1</v>
      </c>
      <c r="N35" s="53">
        <v>1</v>
      </c>
      <c r="O35" s="53">
        <v>0.5</v>
      </c>
      <c r="P35" s="53">
        <v>0.55000000000000004</v>
      </c>
      <c r="Q35" s="75">
        <f t="shared" si="2"/>
        <v>0.52500000000000002</v>
      </c>
      <c r="R35" s="168">
        <v>12.6</v>
      </c>
      <c r="S35" s="168">
        <v>125</v>
      </c>
      <c r="T35" s="16">
        <f t="shared" si="0"/>
        <v>30</v>
      </c>
      <c r="U35" s="164">
        <v>117</v>
      </c>
      <c r="V35" s="38">
        <f t="shared" si="1"/>
        <v>3510</v>
      </c>
      <c r="W35" s="165">
        <v>2</v>
      </c>
      <c r="X35" s="166" t="s">
        <v>46</v>
      </c>
      <c r="Y35" s="172" t="s">
        <v>84</v>
      </c>
      <c r="Z35" s="172" t="s">
        <v>50</v>
      </c>
      <c r="AA35" s="172" t="s">
        <v>90</v>
      </c>
      <c r="AB35" s="53" t="s">
        <v>158</v>
      </c>
    </row>
    <row r="36" spans="1:28" x14ac:dyDescent="0.15">
      <c r="A36" s="158" t="s">
        <v>34</v>
      </c>
      <c r="B36" s="158" t="s">
        <v>157</v>
      </c>
      <c r="C36" s="159">
        <v>2019</v>
      </c>
      <c r="D36" s="160" t="s">
        <v>359</v>
      </c>
      <c r="E36" s="159" t="s">
        <v>211</v>
      </c>
      <c r="F36" s="158" t="s">
        <v>366</v>
      </c>
      <c r="G36" s="161" t="s">
        <v>42</v>
      </c>
      <c r="H36" s="132" t="s">
        <v>164</v>
      </c>
      <c r="I36" s="132" t="s">
        <v>159</v>
      </c>
      <c r="J36" s="132" t="s">
        <v>38</v>
      </c>
      <c r="K36" s="132" t="s">
        <v>161</v>
      </c>
      <c r="L36" s="53">
        <v>2</v>
      </c>
      <c r="N36" s="53">
        <v>1</v>
      </c>
      <c r="O36" s="53">
        <v>0.5</v>
      </c>
      <c r="P36" s="53">
        <v>0.45</v>
      </c>
      <c r="Q36" s="75">
        <f t="shared" si="2"/>
        <v>0.47499999999999998</v>
      </c>
      <c r="R36" s="168">
        <v>12.3</v>
      </c>
      <c r="S36" s="168">
        <v>128</v>
      </c>
      <c r="T36" s="16">
        <f t="shared" si="0"/>
        <v>30</v>
      </c>
      <c r="U36" s="164">
        <v>117</v>
      </c>
      <c r="V36" s="38">
        <f t="shared" si="1"/>
        <v>3510</v>
      </c>
      <c r="W36" s="165">
        <v>2</v>
      </c>
      <c r="X36" s="166" t="s">
        <v>46</v>
      </c>
      <c r="Y36" s="172" t="s">
        <v>84</v>
      </c>
      <c r="Z36" s="172" t="s">
        <v>50</v>
      </c>
      <c r="AA36" s="172" t="s">
        <v>90</v>
      </c>
      <c r="AB36" s="53" t="s">
        <v>158</v>
      </c>
    </row>
    <row r="37" spans="1:28" x14ac:dyDescent="0.15">
      <c r="A37" s="158" t="s">
        <v>34</v>
      </c>
      <c r="B37" s="158" t="s">
        <v>157</v>
      </c>
      <c r="C37" s="158">
        <v>2019</v>
      </c>
      <c r="D37" s="160" t="s">
        <v>359</v>
      </c>
      <c r="E37" s="159" t="s">
        <v>211</v>
      </c>
      <c r="F37" s="158" t="s">
        <v>366</v>
      </c>
      <c r="G37" s="161" t="s">
        <v>42</v>
      </c>
      <c r="H37" s="132" t="s">
        <v>164</v>
      </c>
      <c r="I37" s="132" t="s">
        <v>159</v>
      </c>
      <c r="J37" s="132" t="s">
        <v>38</v>
      </c>
      <c r="K37" s="132" t="s">
        <v>161</v>
      </c>
      <c r="L37" s="53">
        <v>3</v>
      </c>
      <c r="N37" s="53">
        <v>1</v>
      </c>
      <c r="O37" s="53">
        <v>0.4</v>
      </c>
      <c r="P37" s="53">
        <v>0.5</v>
      </c>
      <c r="Q37" s="75">
        <f t="shared" si="2"/>
        <v>0.45</v>
      </c>
      <c r="R37" s="168">
        <v>13.2</v>
      </c>
      <c r="S37" s="168">
        <v>128</v>
      </c>
      <c r="T37" s="16">
        <f t="shared" si="0"/>
        <v>30</v>
      </c>
      <c r="U37" s="164">
        <v>117</v>
      </c>
      <c r="V37" s="38">
        <f t="shared" si="1"/>
        <v>3510</v>
      </c>
      <c r="W37" s="165">
        <v>2</v>
      </c>
      <c r="X37" s="166" t="s">
        <v>46</v>
      </c>
      <c r="Y37" s="172" t="s">
        <v>84</v>
      </c>
      <c r="Z37" s="172" t="s">
        <v>50</v>
      </c>
      <c r="AA37" s="172" t="s">
        <v>90</v>
      </c>
      <c r="AB37" s="53" t="s">
        <v>158</v>
      </c>
    </row>
    <row r="38" spans="1:28" x14ac:dyDescent="0.15">
      <c r="A38" s="158" t="s">
        <v>34</v>
      </c>
      <c r="B38" s="158" t="s">
        <v>157</v>
      </c>
      <c r="C38" s="159">
        <v>2019</v>
      </c>
      <c r="D38" s="160" t="s">
        <v>359</v>
      </c>
      <c r="E38" s="159" t="s">
        <v>139</v>
      </c>
      <c r="F38" s="158" t="s">
        <v>366</v>
      </c>
      <c r="G38" s="161" t="s">
        <v>36</v>
      </c>
      <c r="H38" s="132" t="s">
        <v>164</v>
      </c>
      <c r="I38" s="132" t="s">
        <v>159</v>
      </c>
      <c r="J38" s="132" t="s">
        <v>38</v>
      </c>
      <c r="K38" s="132" t="s">
        <v>161</v>
      </c>
      <c r="L38" s="53">
        <v>1</v>
      </c>
      <c r="N38" s="53">
        <v>1</v>
      </c>
      <c r="O38" s="53">
        <v>0.9</v>
      </c>
      <c r="P38" s="53">
        <v>0.95</v>
      </c>
      <c r="Q38" s="75">
        <f t="shared" si="2"/>
        <v>0.92500000000000004</v>
      </c>
      <c r="R38" s="168">
        <v>14.1</v>
      </c>
      <c r="S38" s="168">
        <v>144</v>
      </c>
      <c r="T38" s="16">
        <f t="shared" si="0"/>
        <v>30</v>
      </c>
      <c r="U38" s="164">
        <v>108</v>
      </c>
      <c r="V38" s="38">
        <f t="shared" si="1"/>
        <v>3240</v>
      </c>
      <c r="W38" s="165">
        <v>8</v>
      </c>
      <c r="X38" s="166" t="s">
        <v>46</v>
      </c>
      <c r="Y38" s="172" t="s">
        <v>84</v>
      </c>
      <c r="Z38" s="172" t="s">
        <v>90</v>
      </c>
      <c r="AA38" s="172" t="s">
        <v>50</v>
      </c>
      <c r="AB38" s="53" t="s">
        <v>158</v>
      </c>
    </row>
    <row r="39" spans="1:28" x14ac:dyDescent="0.15">
      <c r="A39" s="158" t="s">
        <v>34</v>
      </c>
      <c r="B39" s="158" t="s">
        <v>157</v>
      </c>
      <c r="C39" s="158">
        <v>2019</v>
      </c>
      <c r="D39" s="160" t="s">
        <v>359</v>
      </c>
      <c r="E39" s="159" t="s">
        <v>139</v>
      </c>
      <c r="F39" s="158" t="s">
        <v>366</v>
      </c>
      <c r="G39" s="161" t="s">
        <v>36</v>
      </c>
      <c r="H39" s="132" t="s">
        <v>164</v>
      </c>
      <c r="I39" s="132" t="s">
        <v>159</v>
      </c>
      <c r="J39" s="132" t="s">
        <v>38</v>
      </c>
      <c r="K39" s="132" t="s">
        <v>161</v>
      </c>
      <c r="L39" s="53">
        <v>2</v>
      </c>
      <c r="N39" s="53">
        <v>1</v>
      </c>
      <c r="O39" s="53">
        <v>0.95</v>
      </c>
      <c r="P39" s="53">
        <v>0.9</v>
      </c>
      <c r="Q39" s="75">
        <f t="shared" si="2"/>
        <v>0.92500000000000004</v>
      </c>
      <c r="R39" s="168">
        <v>13.9</v>
      </c>
      <c r="S39" s="168">
        <v>144</v>
      </c>
      <c r="T39" s="16">
        <f t="shared" si="0"/>
        <v>30</v>
      </c>
      <c r="U39" s="164">
        <v>108</v>
      </c>
      <c r="V39" s="38">
        <f t="shared" si="1"/>
        <v>3240</v>
      </c>
      <c r="W39" s="165">
        <v>8</v>
      </c>
      <c r="X39" s="166" t="s">
        <v>46</v>
      </c>
      <c r="Y39" s="172" t="s">
        <v>84</v>
      </c>
      <c r="Z39" s="172" t="s">
        <v>90</v>
      </c>
      <c r="AA39" s="172" t="s">
        <v>50</v>
      </c>
      <c r="AB39" s="53" t="s">
        <v>158</v>
      </c>
    </row>
    <row r="40" spans="1:28" ht="12.75" customHeight="1" x14ac:dyDescent="0.15">
      <c r="A40" s="158" t="s">
        <v>34</v>
      </c>
      <c r="B40" s="158" t="s">
        <v>157</v>
      </c>
      <c r="C40" s="159">
        <v>2019</v>
      </c>
      <c r="D40" s="160" t="s">
        <v>359</v>
      </c>
      <c r="E40" s="159" t="s">
        <v>139</v>
      </c>
      <c r="F40" s="158" t="s">
        <v>366</v>
      </c>
      <c r="G40" s="161" t="s">
        <v>36</v>
      </c>
      <c r="H40" s="132" t="s">
        <v>164</v>
      </c>
      <c r="I40" s="132" t="s">
        <v>159</v>
      </c>
      <c r="J40" s="132" t="s">
        <v>38</v>
      </c>
      <c r="K40" s="132" t="s">
        <v>161</v>
      </c>
      <c r="L40" s="53">
        <v>3</v>
      </c>
      <c r="N40" s="53">
        <v>1</v>
      </c>
      <c r="O40" s="53">
        <v>0.85</v>
      </c>
      <c r="P40" s="53">
        <v>1</v>
      </c>
      <c r="Q40" s="75">
        <f t="shared" si="2"/>
        <v>0.92500000000000004</v>
      </c>
      <c r="R40" s="168">
        <v>13.5</v>
      </c>
      <c r="S40" s="168">
        <v>138</v>
      </c>
      <c r="T40" s="16">
        <f t="shared" si="0"/>
        <v>30</v>
      </c>
      <c r="U40" s="164">
        <v>108</v>
      </c>
      <c r="V40" s="38">
        <f t="shared" si="1"/>
        <v>3240</v>
      </c>
      <c r="W40" s="165">
        <v>8</v>
      </c>
      <c r="X40" s="166" t="s">
        <v>46</v>
      </c>
      <c r="Y40" s="172" t="s">
        <v>84</v>
      </c>
      <c r="Z40" s="172" t="s">
        <v>90</v>
      </c>
      <c r="AA40" s="172" t="s">
        <v>50</v>
      </c>
      <c r="AB40" s="53" t="s">
        <v>158</v>
      </c>
    </row>
    <row r="41" spans="1:28" ht="12.75" customHeight="1" x14ac:dyDescent="0.15">
      <c r="A41" s="132" t="s">
        <v>34</v>
      </c>
      <c r="B41" s="158" t="s">
        <v>157</v>
      </c>
      <c r="C41" s="159">
        <v>2019</v>
      </c>
      <c r="D41" s="160" t="s">
        <v>359</v>
      </c>
      <c r="E41" s="159" t="s">
        <v>139</v>
      </c>
      <c r="F41" s="158" t="s">
        <v>366</v>
      </c>
      <c r="G41" s="161" t="s">
        <v>36</v>
      </c>
      <c r="H41" s="132" t="s">
        <v>160</v>
      </c>
      <c r="I41" s="132" t="s">
        <v>159</v>
      </c>
      <c r="J41" s="132" t="s">
        <v>38</v>
      </c>
      <c r="K41" s="132" t="s">
        <v>161</v>
      </c>
      <c r="L41" s="53">
        <v>1</v>
      </c>
      <c r="N41" s="53">
        <v>1</v>
      </c>
      <c r="O41" s="53">
        <v>0.35</v>
      </c>
      <c r="P41" s="53">
        <v>0.4</v>
      </c>
      <c r="Q41" s="75">
        <f t="shared" si="2"/>
        <v>0.375</v>
      </c>
      <c r="R41" s="168">
        <v>17</v>
      </c>
      <c r="S41" s="168">
        <v>136</v>
      </c>
      <c r="T41" s="16">
        <f t="shared" si="0"/>
        <v>30</v>
      </c>
      <c r="U41" s="164">
        <v>170</v>
      </c>
      <c r="V41" s="38">
        <f t="shared" si="1"/>
        <v>5100</v>
      </c>
      <c r="W41" s="53">
        <v>8</v>
      </c>
      <c r="X41" s="166" t="s">
        <v>46</v>
      </c>
      <c r="Y41" s="173" t="s">
        <v>84</v>
      </c>
      <c r="Z41" s="173" t="s">
        <v>90</v>
      </c>
      <c r="AA41" s="173" t="s">
        <v>50</v>
      </c>
      <c r="AB41" s="53" t="s">
        <v>158</v>
      </c>
    </row>
    <row r="42" spans="1:28" ht="12.75" customHeight="1" x14ac:dyDescent="0.15">
      <c r="A42" s="132" t="s">
        <v>34</v>
      </c>
      <c r="B42" s="158" t="s">
        <v>157</v>
      </c>
      <c r="C42" s="159">
        <v>2019</v>
      </c>
      <c r="D42" s="160" t="s">
        <v>359</v>
      </c>
      <c r="E42" s="159" t="s">
        <v>139</v>
      </c>
      <c r="F42" s="158" t="s">
        <v>366</v>
      </c>
      <c r="G42" s="161" t="s">
        <v>36</v>
      </c>
      <c r="H42" s="132" t="s">
        <v>160</v>
      </c>
      <c r="I42" s="132" t="s">
        <v>159</v>
      </c>
      <c r="J42" s="132" t="s">
        <v>38</v>
      </c>
      <c r="K42" s="132" t="s">
        <v>161</v>
      </c>
      <c r="L42" s="53">
        <v>2</v>
      </c>
      <c r="N42" s="53">
        <v>1</v>
      </c>
      <c r="O42" s="53">
        <v>0.4</v>
      </c>
      <c r="P42" s="53">
        <v>0.35</v>
      </c>
      <c r="Q42" s="75">
        <f t="shared" si="2"/>
        <v>0.375</v>
      </c>
      <c r="R42" s="168">
        <v>16.600000000000001</v>
      </c>
      <c r="S42" s="168">
        <v>133</v>
      </c>
      <c r="T42" s="16">
        <f t="shared" si="0"/>
        <v>30</v>
      </c>
      <c r="U42" s="164">
        <v>170</v>
      </c>
      <c r="V42" s="38">
        <f t="shared" si="1"/>
        <v>5100</v>
      </c>
      <c r="W42" s="53">
        <v>8</v>
      </c>
      <c r="X42" s="166" t="s">
        <v>46</v>
      </c>
      <c r="Y42" s="173" t="s">
        <v>84</v>
      </c>
      <c r="Z42" s="173" t="s">
        <v>90</v>
      </c>
      <c r="AA42" s="173" t="s">
        <v>50</v>
      </c>
      <c r="AB42" s="53" t="s">
        <v>158</v>
      </c>
    </row>
    <row r="43" spans="1:28" ht="12.75" customHeight="1" x14ac:dyDescent="0.15">
      <c r="A43" s="132" t="s">
        <v>34</v>
      </c>
      <c r="B43" s="158" t="s">
        <v>157</v>
      </c>
      <c r="C43" s="159">
        <v>2019</v>
      </c>
      <c r="D43" s="160" t="s">
        <v>359</v>
      </c>
      <c r="E43" s="159" t="s">
        <v>139</v>
      </c>
      <c r="F43" s="158" t="s">
        <v>366</v>
      </c>
      <c r="G43" s="161" t="s">
        <v>36</v>
      </c>
      <c r="H43" s="132" t="s">
        <v>160</v>
      </c>
      <c r="I43" s="132" t="s">
        <v>159</v>
      </c>
      <c r="J43" s="132" t="s">
        <v>38</v>
      </c>
      <c r="K43" s="132" t="s">
        <v>161</v>
      </c>
      <c r="L43" s="53">
        <v>3</v>
      </c>
      <c r="N43" s="53">
        <v>1</v>
      </c>
      <c r="O43" s="53">
        <v>0.5</v>
      </c>
      <c r="P43" s="53">
        <v>0.45</v>
      </c>
      <c r="Q43" s="75">
        <f t="shared" si="2"/>
        <v>0.47499999999999998</v>
      </c>
      <c r="R43" s="168">
        <v>15.8</v>
      </c>
      <c r="S43" s="168">
        <v>135</v>
      </c>
      <c r="T43" s="16">
        <f t="shared" si="0"/>
        <v>30</v>
      </c>
      <c r="U43" s="164">
        <v>170</v>
      </c>
      <c r="V43" s="38">
        <f t="shared" si="1"/>
        <v>5100</v>
      </c>
      <c r="W43" s="53">
        <v>8</v>
      </c>
      <c r="X43" s="166" t="s">
        <v>46</v>
      </c>
      <c r="Y43" s="173" t="s">
        <v>84</v>
      </c>
      <c r="Z43" s="173" t="s">
        <v>90</v>
      </c>
      <c r="AA43" s="173" t="s">
        <v>50</v>
      </c>
      <c r="AB43" s="53" t="s">
        <v>158</v>
      </c>
    </row>
    <row r="44" spans="1:28" x14ac:dyDescent="0.15">
      <c r="A44" s="53" t="s">
        <v>34</v>
      </c>
      <c r="B44" s="158" t="s">
        <v>157</v>
      </c>
      <c r="C44" s="159">
        <v>2019</v>
      </c>
      <c r="D44" s="160" t="s">
        <v>359</v>
      </c>
      <c r="E44" s="159" t="s">
        <v>133</v>
      </c>
      <c r="F44" s="158" t="s">
        <v>368</v>
      </c>
      <c r="G44" s="161" t="s">
        <v>36</v>
      </c>
      <c r="H44" s="132" t="s">
        <v>164</v>
      </c>
      <c r="I44" s="132" t="s">
        <v>159</v>
      </c>
      <c r="J44" s="53" t="s">
        <v>38</v>
      </c>
      <c r="K44" s="132" t="s">
        <v>161</v>
      </c>
      <c r="L44" s="53">
        <v>1</v>
      </c>
      <c r="N44" s="53">
        <v>1</v>
      </c>
      <c r="O44" s="53">
        <v>0.8</v>
      </c>
      <c r="P44" s="53">
        <v>0.7</v>
      </c>
      <c r="Q44" s="75">
        <f t="shared" si="2"/>
        <v>0.75</v>
      </c>
      <c r="R44" s="168">
        <v>15.3</v>
      </c>
      <c r="S44" s="168">
        <v>112</v>
      </c>
      <c r="T44" s="16">
        <f t="shared" si="0"/>
        <v>33</v>
      </c>
      <c r="U44" s="164">
        <v>98</v>
      </c>
      <c r="V44" s="16">
        <f t="shared" si="1"/>
        <v>3234</v>
      </c>
      <c r="W44" s="53">
        <v>22</v>
      </c>
      <c r="X44" s="166" t="s">
        <v>46</v>
      </c>
      <c r="Y44" s="173" t="s">
        <v>90</v>
      </c>
      <c r="Z44" s="173" t="s">
        <v>50</v>
      </c>
      <c r="AA44" s="173" t="s">
        <v>55</v>
      </c>
      <c r="AB44" s="53" t="s">
        <v>158</v>
      </c>
    </row>
    <row r="45" spans="1:28" x14ac:dyDescent="0.15">
      <c r="A45" s="53" t="s">
        <v>34</v>
      </c>
      <c r="B45" s="158" t="s">
        <v>157</v>
      </c>
      <c r="C45" s="158">
        <v>2019</v>
      </c>
      <c r="D45" s="160" t="s">
        <v>359</v>
      </c>
      <c r="E45" s="159" t="s">
        <v>133</v>
      </c>
      <c r="F45" s="158" t="s">
        <v>368</v>
      </c>
      <c r="G45" s="161" t="s">
        <v>36</v>
      </c>
      <c r="H45" s="132" t="s">
        <v>164</v>
      </c>
      <c r="I45" s="132" t="s">
        <v>159</v>
      </c>
      <c r="J45" s="53" t="s">
        <v>38</v>
      </c>
      <c r="K45" s="132" t="s">
        <v>161</v>
      </c>
      <c r="L45" s="53">
        <v>2</v>
      </c>
      <c r="N45" s="53">
        <v>1</v>
      </c>
      <c r="O45" s="53">
        <v>0.75</v>
      </c>
      <c r="P45" s="53">
        <v>0.7</v>
      </c>
      <c r="Q45" s="75">
        <f t="shared" si="2"/>
        <v>0.72499999999999998</v>
      </c>
      <c r="R45" s="168">
        <v>15.6</v>
      </c>
      <c r="S45" s="168">
        <v>117</v>
      </c>
      <c r="T45" s="16">
        <f t="shared" si="0"/>
        <v>30</v>
      </c>
      <c r="U45" s="164">
        <v>98</v>
      </c>
      <c r="V45" s="16">
        <f t="shared" si="1"/>
        <v>2940</v>
      </c>
      <c r="W45" s="53">
        <v>22</v>
      </c>
      <c r="X45" s="166" t="s">
        <v>46</v>
      </c>
      <c r="Y45" s="173" t="s">
        <v>90</v>
      </c>
      <c r="Z45" s="173" t="s">
        <v>50</v>
      </c>
      <c r="AA45" s="173" t="s">
        <v>55</v>
      </c>
      <c r="AB45" s="53" t="s">
        <v>158</v>
      </c>
    </row>
    <row r="46" spans="1:28" x14ac:dyDescent="0.15">
      <c r="A46" s="53" t="s">
        <v>34</v>
      </c>
      <c r="B46" s="158" t="s">
        <v>157</v>
      </c>
      <c r="C46" s="159">
        <v>2019</v>
      </c>
      <c r="D46" s="160" t="s">
        <v>359</v>
      </c>
      <c r="E46" s="159" t="s">
        <v>133</v>
      </c>
      <c r="F46" s="158" t="s">
        <v>368</v>
      </c>
      <c r="G46" s="161" t="s">
        <v>36</v>
      </c>
      <c r="H46" s="132" t="s">
        <v>164</v>
      </c>
      <c r="I46" s="132" t="s">
        <v>159</v>
      </c>
      <c r="J46" s="53" t="s">
        <v>38</v>
      </c>
      <c r="K46" s="132" t="s">
        <v>161</v>
      </c>
      <c r="L46" s="53">
        <v>3</v>
      </c>
      <c r="N46" s="53">
        <v>1</v>
      </c>
      <c r="O46" s="53">
        <v>0.8</v>
      </c>
      <c r="P46" s="53">
        <v>0.7</v>
      </c>
      <c r="Q46" s="75">
        <f t="shared" si="2"/>
        <v>0.75</v>
      </c>
      <c r="R46" s="168">
        <v>16.399999999999999</v>
      </c>
      <c r="S46" s="168">
        <v>109</v>
      </c>
      <c r="T46" s="16">
        <f t="shared" si="0"/>
        <v>33</v>
      </c>
      <c r="U46" s="164">
        <v>98</v>
      </c>
      <c r="V46" s="16">
        <f t="shared" si="1"/>
        <v>3234</v>
      </c>
      <c r="W46" s="53">
        <v>22</v>
      </c>
      <c r="X46" s="166" t="s">
        <v>46</v>
      </c>
      <c r="Y46" s="173" t="s">
        <v>90</v>
      </c>
      <c r="Z46" s="173" t="s">
        <v>50</v>
      </c>
      <c r="AA46" s="173" t="s">
        <v>55</v>
      </c>
      <c r="AB46" s="53" t="s">
        <v>158</v>
      </c>
    </row>
    <row r="47" spans="1:28" x14ac:dyDescent="0.15">
      <c r="A47" s="53" t="s">
        <v>34</v>
      </c>
      <c r="B47" s="34" t="s">
        <v>157</v>
      </c>
      <c r="C47" s="53">
        <v>2019</v>
      </c>
      <c r="D47" s="174" t="s">
        <v>359</v>
      </c>
      <c r="E47" s="53" t="s">
        <v>133</v>
      </c>
      <c r="F47" s="158" t="s">
        <v>368</v>
      </c>
      <c r="G47" s="161" t="s">
        <v>36</v>
      </c>
      <c r="H47" s="132" t="s">
        <v>160</v>
      </c>
      <c r="I47" s="132" t="s">
        <v>159</v>
      </c>
      <c r="J47" s="53" t="s">
        <v>38</v>
      </c>
      <c r="K47" s="132" t="s">
        <v>161</v>
      </c>
      <c r="L47" s="53">
        <v>1</v>
      </c>
      <c r="N47" s="53">
        <v>6</v>
      </c>
      <c r="O47" s="53">
        <v>0.85</v>
      </c>
      <c r="P47" s="53">
        <v>0.8</v>
      </c>
      <c r="Q47" s="75">
        <f t="shared" si="2"/>
        <v>0.82499999999999996</v>
      </c>
      <c r="R47" s="168">
        <v>16.600000000000001</v>
      </c>
      <c r="S47" s="168">
        <v>99</v>
      </c>
      <c r="T47" s="16">
        <f t="shared" si="0"/>
        <v>33</v>
      </c>
      <c r="U47" s="53">
        <v>698</v>
      </c>
      <c r="V47" s="16">
        <f t="shared" si="1"/>
        <v>3839</v>
      </c>
      <c r="W47" s="53">
        <v>22</v>
      </c>
      <c r="X47" s="166" t="s">
        <v>46</v>
      </c>
      <c r="Y47" s="53" t="s">
        <v>90</v>
      </c>
      <c r="Z47" s="53" t="s">
        <v>50</v>
      </c>
      <c r="AA47" s="53" t="s">
        <v>55</v>
      </c>
      <c r="AB47" s="53" t="s">
        <v>158</v>
      </c>
    </row>
    <row r="48" spans="1:28" x14ac:dyDescent="0.15">
      <c r="A48" s="53" t="s">
        <v>34</v>
      </c>
      <c r="B48" s="34" t="s">
        <v>157</v>
      </c>
      <c r="C48" s="53">
        <v>2019</v>
      </c>
      <c r="D48" s="174" t="s">
        <v>359</v>
      </c>
      <c r="E48" s="53" t="s">
        <v>133</v>
      </c>
      <c r="F48" s="158" t="s">
        <v>368</v>
      </c>
      <c r="G48" s="161" t="s">
        <v>36</v>
      </c>
      <c r="H48" s="132" t="s">
        <v>160</v>
      </c>
      <c r="I48" s="132" t="s">
        <v>159</v>
      </c>
      <c r="J48" s="53" t="s">
        <v>38</v>
      </c>
      <c r="K48" s="132" t="s">
        <v>161</v>
      </c>
      <c r="L48" s="53">
        <v>2</v>
      </c>
      <c r="N48" s="53">
        <v>6</v>
      </c>
      <c r="O48" s="53">
        <v>0.7</v>
      </c>
      <c r="P48" s="53">
        <v>0.65</v>
      </c>
      <c r="Q48" s="75">
        <f t="shared" si="2"/>
        <v>0.67500000000000004</v>
      </c>
      <c r="R48" s="168">
        <v>16.100000000000001</v>
      </c>
      <c r="S48" s="168">
        <v>94</v>
      </c>
      <c r="T48" s="16">
        <f t="shared" si="0"/>
        <v>36</v>
      </c>
      <c r="U48" s="53">
        <v>698</v>
      </c>
      <c r="V48" s="16">
        <f t="shared" si="1"/>
        <v>4188</v>
      </c>
      <c r="W48" s="53">
        <v>22</v>
      </c>
      <c r="X48" s="166" t="s">
        <v>46</v>
      </c>
      <c r="Y48" s="53" t="s">
        <v>90</v>
      </c>
      <c r="Z48" s="53" t="s">
        <v>50</v>
      </c>
      <c r="AA48" s="53" t="s">
        <v>55</v>
      </c>
      <c r="AB48" s="53" t="s">
        <v>158</v>
      </c>
    </row>
    <row r="49" spans="1:28" x14ac:dyDescent="0.15">
      <c r="A49" s="53" t="s">
        <v>34</v>
      </c>
      <c r="B49" s="34" t="s">
        <v>157</v>
      </c>
      <c r="C49" s="53">
        <v>2019</v>
      </c>
      <c r="D49" s="174" t="s">
        <v>359</v>
      </c>
      <c r="E49" s="53" t="s">
        <v>133</v>
      </c>
      <c r="F49" s="158" t="s">
        <v>368</v>
      </c>
      <c r="G49" s="161" t="s">
        <v>36</v>
      </c>
      <c r="H49" s="132" t="s">
        <v>160</v>
      </c>
      <c r="I49" s="132" t="s">
        <v>159</v>
      </c>
      <c r="J49" s="53" t="s">
        <v>38</v>
      </c>
      <c r="K49" s="132" t="s">
        <v>161</v>
      </c>
      <c r="L49" s="53">
        <v>3</v>
      </c>
      <c r="N49" s="53">
        <v>6</v>
      </c>
      <c r="O49" s="53">
        <v>0.8</v>
      </c>
      <c r="P49" s="53">
        <v>0.75</v>
      </c>
      <c r="Q49" s="75">
        <f t="shared" si="2"/>
        <v>0.77500000000000002</v>
      </c>
      <c r="R49" s="168">
        <v>16.600000000000001</v>
      </c>
      <c r="S49" s="168">
        <v>106</v>
      </c>
      <c r="T49" s="16">
        <f t="shared" si="0"/>
        <v>33</v>
      </c>
      <c r="U49" s="53">
        <v>698</v>
      </c>
      <c r="V49" s="16">
        <f t="shared" si="1"/>
        <v>3839</v>
      </c>
      <c r="W49" s="53">
        <v>22</v>
      </c>
      <c r="X49" s="166" t="s">
        <v>46</v>
      </c>
      <c r="Y49" s="53" t="s">
        <v>90</v>
      </c>
      <c r="Z49" s="53" t="s">
        <v>50</v>
      </c>
      <c r="AA49" s="53" t="s">
        <v>55</v>
      </c>
      <c r="AB49" s="53" t="s">
        <v>158</v>
      </c>
    </row>
    <row r="50" spans="1:28" x14ac:dyDescent="0.15">
      <c r="A50" s="53" t="s">
        <v>34</v>
      </c>
      <c r="B50" s="53" t="s">
        <v>157</v>
      </c>
      <c r="C50" s="53">
        <v>2019</v>
      </c>
      <c r="D50" s="174" t="s">
        <v>359</v>
      </c>
      <c r="E50" s="53" t="s">
        <v>270</v>
      </c>
      <c r="F50" s="158" t="s">
        <v>369</v>
      </c>
      <c r="G50" s="161" t="s">
        <v>36</v>
      </c>
      <c r="H50" s="53" t="s">
        <v>164</v>
      </c>
      <c r="I50" s="53" t="s">
        <v>159</v>
      </c>
      <c r="J50" s="53" t="s">
        <v>38</v>
      </c>
      <c r="K50" s="132" t="s">
        <v>161</v>
      </c>
      <c r="L50" s="53">
        <v>1</v>
      </c>
      <c r="N50" s="53">
        <v>1</v>
      </c>
      <c r="O50" s="53">
        <v>0.85</v>
      </c>
      <c r="P50" s="53">
        <v>0.8</v>
      </c>
      <c r="Q50" s="75">
        <f t="shared" si="2"/>
        <v>0.82499999999999996</v>
      </c>
      <c r="R50" s="53">
        <v>14.4</v>
      </c>
      <c r="S50" s="53">
        <v>120</v>
      </c>
      <c r="T50" s="16">
        <f t="shared" si="0"/>
        <v>30</v>
      </c>
      <c r="U50" s="53">
        <v>108</v>
      </c>
      <c r="V50" s="16">
        <f t="shared" si="1"/>
        <v>3240</v>
      </c>
      <c r="W50" s="53">
        <v>6</v>
      </c>
      <c r="X50" s="166" t="s">
        <v>39</v>
      </c>
      <c r="Y50" s="53" t="s">
        <v>50</v>
      </c>
      <c r="Z50" s="53" t="s">
        <v>102</v>
      </c>
      <c r="AA50" s="53" t="s">
        <v>90</v>
      </c>
      <c r="AB50" s="53" t="s">
        <v>158</v>
      </c>
    </row>
    <row r="51" spans="1:28" x14ac:dyDescent="0.15">
      <c r="A51" s="53" t="s">
        <v>34</v>
      </c>
      <c r="B51" s="53" t="s">
        <v>157</v>
      </c>
      <c r="C51" s="53">
        <v>2019</v>
      </c>
      <c r="D51" s="174" t="s">
        <v>359</v>
      </c>
      <c r="E51" s="53" t="s">
        <v>270</v>
      </c>
      <c r="F51" s="158" t="s">
        <v>369</v>
      </c>
      <c r="G51" s="161" t="s">
        <v>36</v>
      </c>
      <c r="H51" s="53" t="s">
        <v>164</v>
      </c>
      <c r="I51" s="53" t="s">
        <v>159</v>
      </c>
      <c r="J51" s="53" t="s">
        <v>38</v>
      </c>
      <c r="K51" s="132" t="s">
        <v>161</v>
      </c>
      <c r="L51" s="53">
        <v>2</v>
      </c>
      <c r="N51" s="53">
        <v>1</v>
      </c>
      <c r="O51" s="53">
        <v>0.7</v>
      </c>
      <c r="P51" s="53">
        <v>0.8</v>
      </c>
      <c r="Q51" s="75">
        <f t="shared" si="2"/>
        <v>0.75</v>
      </c>
      <c r="R51" s="53">
        <v>14.8</v>
      </c>
      <c r="S51" s="53">
        <v>119</v>
      </c>
      <c r="T51" s="16">
        <f t="shared" si="0"/>
        <v>30</v>
      </c>
      <c r="U51" s="53">
        <v>108</v>
      </c>
      <c r="V51" s="16">
        <f t="shared" si="1"/>
        <v>3240</v>
      </c>
      <c r="W51" s="53">
        <v>6</v>
      </c>
      <c r="X51" s="166" t="s">
        <v>39</v>
      </c>
      <c r="Y51" s="53" t="s">
        <v>50</v>
      </c>
      <c r="Z51" s="53" t="s">
        <v>102</v>
      </c>
      <c r="AA51" s="53" t="s">
        <v>90</v>
      </c>
      <c r="AB51" s="53" t="s">
        <v>158</v>
      </c>
    </row>
    <row r="52" spans="1:28" x14ac:dyDescent="0.15">
      <c r="A52" s="53" t="s">
        <v>34</v>
      </c>
      <c r="B52" s="53" t="s">
        <v>157</v>
      </c>
      <c r="C52" s="53">
        <v>2019</v>
      </c>
      <c r="D52" s="174" t="s">
        <v>359</v>
      </c>
      <c r="E52" s="53" t="s">
        <v>270</v>
      </c>
      <c r="F52" s="158" t="s">
        <v>369</v>
      </c>
      <c r="G52" s="161" t="s">
        <v>36</v>
      </c>
      <c r="H52" s="53" t="s">
        <v>164</v>
      </c>
      <c r="I52" s="53" t="s">
        <v>159</v>
      </c>
      <c r="J52" s="53" t="s">
        <v>38</v>
      </c>
      <c r="K52" s="132" t="s">
        <v>161</v>
      </c>
      <c r="L52" s="53">
        <v>3</v>
      </c>
      <c r="N52" s="53">
        <v>1</v>
      </c>
      <c r="O52" s="53">
        <v>0.7</v>
      </c>
      <c r="P52" s="53">
        <v>0.75</v>
      </c>
      <c r="Q52" s="75">
        <f t="shared" si="2"/>
        <v>0.72499999999999998</v>
      </c>
      <c r="R52" s="53">
        <v>14.3</v>
      </c>
      <c r="S52" s="53">
        <v>125</v>
      </c>
      <c r="T52" s="16">
        <f t="shared" si="0"/>
        <v>30</v>
      </c>
      <c r="U52" s="53">
        <v>108</v>
      </c>
      <c r="V52" s="16">
        <f t="shared" si="1"/>
        <v>3240</v>
      </c>
      <c r="W52" s="53">
        <v>6</v>
      </c>
      <c r="X52" s="166" t="s">
        <v>39</v>
      </c>
      <c r="Y52" s="53" t="s">
        <v>50</v>
      </c>
      <c r="Z52" s="53" t="s">
        <v>102</v>
      </c>
      <c r="AA52" s="53" t="s">
        <v>90</v>
      </c>
      <c r="AB52" s="53" t="s">
        <v>158</v>
      </c>
    </row>
    <row r="53" spans="1:28" x14ac:dyDescent="0.15">
      <c r="A53" s="53" t="s">
        <v>34</v>
      </c>
      <c r="B53" s="53" t="s">
        <v>157</v>
      </c>
      <c r="C53" s="53">
        <v>2019</v>
      </c>
      <c r="D53" s="174" t="s">
        <v>359</v>
      </c>
      <c r="E53" s="53" t="s">
        <v>270</v>
      </c>
      <c r="F53" s="158" t="s">
        <v>369</v>
      </c>
      <c r="G53" s="161" t="s">
        <v>36</v>
      </c>
      <c r="H53" s="53" t="s">
        <v>160</v>
      </c>
      <c r="I53" s="53" t="s">
        <v>159</v>
      </c>
      <c r="J53" s="53" t="s">
        <v>38</v>
      </c>
      <c r="K53" s="132" t="s">
        <v>161</v>
      </c>
      <c r="L53" s="53">
        <v>1</v>
      </c>
      <c r="N53" s="53">
        <v>4</v>
      </c>
      <c r="O53" s="53">
        <v>0.4</v>
      </c>
      <c r="P53" s="53">
        <v>0.5</v>
      </c>
      <c r="Q53" s="75">
        <f t="shared" si="2"/>
        <v>0.45</v>
      </c>
      <c r="R53" s="53">
        <v>15.8</v>
      </c>
      <c r="S53" s="53">
        <v>106</v>
      </c>
      <c r="T53" s="16">
        <f t="shared" si="0"/>
        <v>33</v>
      </c>
      <c r="U53" s="53">
        <v>498</v>
      </c>
      <c r="V53" s="16">
        <f t="shared" si="1"/>
        <v>4108.5</v>
      </c>
      <c r="W53" s="53">
        <v>6</v>
      </c>
      <c r="X53" s="166" t="s">
        <v>39</v>
      </c>
      <c r="Y53" s="53" t="s">
        <v>50</v>
      </c>
      <c r="Z53" s="53" t="s">
        <v>102</v>
      </c>
      <c r="AA53" s="53" t="s">
        <v>90</v>
      </c>
      <c r="AB53" s="53" t="s">
        <v>158</v>
      </c>
    </row>
    <row r="54" spans="1:28" x14ac:dyDescent="0.15">
      <c r="A54" s="53" t="s">
        <v>34</v>
      </c>
      <c r="B54" s="53" t="s">
        <v>157</v>
      </c>
      <c r="C54" s="53">
        <v>2019</v>
      </c>
      <c r="D54" s="174" t="s">
        <v>359</v>
      </c>
      <c r="E54" s="53" t="s">
        <v>270</v>
      </c>
      <c r="F54" s="158" t="s">
        <v>369</v>
      </c>
      <c r="G54" s="161" t="s">
        <v>36</v>
      </c>
      <c r="H54" s="53" t="s">
        <v>160</v>
      </c>
      <c r="I54" s="53" t="s">
        <v>159</v>
      </c>
      <c r="J54" s="53" t="s">
        <v>38</v>
      </c>
      <c r="K54" s="132" t="s">
        <v>161</v>
      </c>
      <c r="L54" s="53">
        <v>2</v>
      </c>
      <c r="N54" s="53">
        <v>4</v>
      </c>
      <c r="O54" s="53">
        <v>0.45</v>
      </c>
      <c r="P54" s="53">
        <v>0.5</v>
      </c>
      <c r="Q54" s="75">
        <f t="shared" si="2"/>
        <v>0.47499999999999998</v>
      </c>
      <c r="R54" s="53">
        <v>15.5</v>
      </c>
      <c r="S54" s="53">
        <v>105</v>
      </c>
      <c r="T54" s="16">
        <f t="shared" si="0"/>
        <v>33</v>
      </c>
      <c r="U54" s="53">
        <v>498</v>
      </c>
      <c r="V54" s="16">
        <f t="shared" si="1"/>
        <v>4108.5</v>
      </c>
      <c r="W54" s="53">
        <v>6</v>
      </c>
      <c r="X54" s="166" t="s">
        <v>39</v>
      </c>
      <c r="Y54" s="53" t="s">
        <v>50</v>
      </c>
      <c r="Z54" s="53" t="s">
        <v>102</v>
      </c>
      <c r="AA54" s="53" t="s">
        <v>90</v>
      </c>
      <c r="AB54" s="53" t="s">
        <v>158</v>
      </c>
    </row>
    <row r="55" spans="1:28" x14ac:dyDescent="0.15">
      <c r="A55" s="53" t="s">
        <v>34</v>
      </c>
      <c r="B55" s="53" t="s">
        <v>157</v>
      </c>
      <c r="C55" s="53">
        <v>2019</v>
      </c>
      <c r="D55" s="174" t="s">
        <v>359</v>
      </c>
      <c r="E55" s="53" t="s">
        <v>270</v>
      </c>
      <c r="F55" s="158" t="s">
        <v>369</v>
      </c>
      <c r="G55" s="161" t="s">
        <v>36</v>
      </c>
      <c r="H55" s="53" t="s">
        <v>160</v>
      </c>
      <c r="I55" s="53" t="s">
        <v>159</v>
      </c>
      <c r="J55" s="53" t="s">
        <v>38</v>
      </c>
      <c r="K55" s="132" t="s">
        <v>161</v>
      </c>
      <c r="L55" s="53">
        <v>3</v>
      </c>
      <c r="N55" s="53">
        <v>4</v>
      </c>
      <c r="O55" s="53">
        <v>0.4</v>
      </c>
      <c r="P55" s="53">
        <v>0.45</v>
      </c>
      <c r="Q55" s="75">
        <f t="shared" si="2"/>
        <v>0.42500000000000004</v>
      </c>
      <c r="R55" s="53">
        <v>16.2</v>
      </c>
      <c r="S55" s="53">
        <v>99</v>
      </c>
      <c r="T55" s="16">
        <f t="shared" si="0"/>
        <v>33</v>
      </c>
      <c r="U55" s="53">
        <v>498</v>
      </c>
      <c r="V55" s="16">
        <f t="shared" si="1"/>
        <v>4108.5</v>
      </c>
      <c r="W55" s="53">
        <v>6</v>
      </c>
      <c r="X55" s="166" t="s">
        <v>39</v>
      </c>
      <c r="Y55" s="53" t="s">
        <v>50</v>
      </c>
      <c r="Z55" s="53" t="s">
        <v>102</v>
      </c>
      <c r="AA55" s="53" t="s">
        <v>90</v>
      </c>
      <c r="AB55" s="53" t="s">
        <v>158</v>
      </c>
    </row>
    <row r="56" spans="1:28" x14ac:dyDescent="0.15">
      <c r="D56" s="174"/>
      <c r="F56" s="158"/>
      <c r="G56" s="161"/>
      <c r="K56" s="132"/>
      <c r="Q56" s="75"/>
      <c r="X56" s="166"/>
    </row>
    <row r="57" spans="1:28" x14ac:dyDescent="0.15">
      <c r="D57" s="174"/>
      <c r="F57" s="158"/>
      <c r="G57" s="161"/>
      <c r="K57" s="132"/>
      <c r="Q57" s="75"/>
      <c r="X57" s="166"/>
    </row>
    <row r="58" spans="1:28" x14ac:dyDescent="0.15">
      <c r="D58" s="174"/>
      <c r="F58" s="158"/>
      <c r="G58" s="161"/>
      <c r="K58" s="132"/>
      <c r="Q58" s="75"/>
      <c r="X58" s="166"/>
    </row>
    <row r="59" spans="1:28" x14ac:dyDescent="0.15">
      <c r="D59" s="174"/>
      <c r="F59" s="158"/>
      <c r="G59" s="161"/>
      <c r="K59" s="132"/>
      <c r="Q59" s="75"/>
      <c r="X59" s="166"/>
    </row>
    <row r="60" spans="1:28" x14ac:dyDescent="0.15">
      <c r="D60" s="174"/>
      <c r="F60" s="158"/>
      <c r="G60" s="161"/>
      <c r="K60" s="132"/>
      <c r="Q60" s="75"/>
      <c r="X60" s="166"/>
    </row>
    <row r="61" spans="1:28" x14ac:dyDescent="0.15">
      <c r="D61" s="174"/>
      <c r="F61" s="158"/>
      <c r="G61" s="161"/>
      <c r="K61" s="132"/>
      <c r="Q61" s="75"/>
      <c r="X61" s="166"/>
    </row>
    <row r="62" spans="1:28" x14ac:dyDescent="0.15">
      <c r="D62" s="174"/>
      <c r="F62" s="158"/>
      <c r="G62" s="161"/>
      <c r="K62" s="132"/>
      <c r="Q62" s="75" t="str">
        <f t="shared" ref="Q62:Q91" si="3">IF(OR(O62="",P62=""),"",AVERAGE(O62,P62))</f>
        <v/>
      </c>
      <c r="T62" s="16" t="str">
        <f t="shared" si="0"/>
        <v/>
      </c>
      <c r="V62" s="16" t="str">
        <f t="shared" si="1"/>
        <v/>
      </c>
      <c r="X62" s="166"/>
    </row>
    <row r="63" spans="1:28" x14ac:dyDescent="0.15">
      <c r="D63" s="174"/>
      <c r="F63" s="158"/>
      <c r="G63" s="161"/>
      <c r="K63" s="132"/>
      <c r="Q63" s="75" t="str">
        <f t="shared" si="3"/>
        <v/>
      </c>
      <c r="T63" s="16" t="str">
        <f t="shared" si="0"/>
        <v/>
      </c>
      <c r="V63" s="16" t="str">
        <f t="shared" si="1"/>
        <v/>
      </c>
      <c r="X63" s="166"/>
    </row>
    <row r="64" spans="1:28" x14ac:dyDescent="0.15">
      <c r="D64" s="174"/>
      <c r="F64" s="158"/>
      <c r="G64" s="161"/>
      <c r="K64" s="132"/>
      <c r="Q64" s="75" t="str">
        <f t="shared" si="3"/>
        <v/>
      </c>
      <c r="T64" s="16" t="str">
        <f t="shared" si="0"/>
        <v/>
      </c>
      <c r="V64" s="16" t="str">
        <f t="shared" si="1"/>
        <v/>
      </c>
      <c r="X64" s="166"/>
    </row>
    <row r="65" spans="4:24" x14ac:dyDescent="0.15">
      <c r="D65" s="174"/>
      <c r="F65" s="158"/>
      <c r="G65" s="161"/>
      <c r="K65" s="132"/>
      <c r="Q65" s="75" t="str">
        <f t="shared" si="3"/>
        <v/>
      </c>
      <c r="T65" s="16" t="str">
        <f t="shared" si="0"/>
        <v/>
      </c>
      <c r="V65" s="16" t="str">
        <f t="shared" si="1"/>
        <v/>
      </c>
      <c r="X65" s="166"/>
    </row>
    <row r="66" spans="4:24" x14ac:dyDescent="0.15">
      <c r="D66" s="174"/>
      <c r="F66" s="158"/>
      <c r="G66" s="161"/>
      <c r="K66" s="132"/>
      <c r="Q66" s="75" t="str">
        <f t="shared" si="3"/>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32"/>
      <c r="Q67" s="75" t="str">
        <f t="shared" si="3"/>
        <v/>
      </c>
      <c r="T67" s="16" t="str">
        <f t="shared" si="4"/>
        <v/>
      </c>
      <c r="V67" s="16" t="str">
        <f t="shared" si="5"/>
        <v/>
      </c>
      <c r="X67" s="166"/>
    </row>
    <row r="68" spans="4:24" x14ac:dyDescent="0.15">
      <c r="D68" s="174"/>
      <c r="F68" s="158"/>
      <c r="G68" s="161"/>
      <c r="K68" s="132"/>
      <c r="Q68" s="75" t="str">
        <f t="shared" si="3"/>
        <v/>
      </c>
      <c r="T68" s="16" t="str">
        <f t="shared" si="4"/>
        <v/>
      </c>
      <c r="V68" s="16" t="str">
        <f t="shared" si="5"/>
        <v/>
      </c>
      <c r="X68" s="166"/>
    </row>
    <row r="69" spans="4:24" x14ac:dyDescent="0.15">
      <c r="D69" s="174"/>
      <c r="F69" s="158"/>
      <c r="G69" s="161"/>
      <c r="K69" s="132"/>
      <c r="Q69" s="75" t="str">
        <f t="shared" si="3"/>
        <v/>
      </c>
      <c r="T69" s="16" t="str">
        <f t="shared" si="4"/>
        <v/>
      </c>
      <c r="V69" s="16" t="str">
        <f t="shared" si="5"/>
        <v/>
      </c>
      <c r="X69" s="166"/>
    </row>
    <row r="70" spans="4:24" x14ac:dyDescent="0.15">
      <c r="D70" s="174"/>
      <c r="F70" s="158"/>
      <c r="G70" s="161"/>
      <c r="K70" s="132"/>
      <c r="Q70" s="75" t="str">
        <f t="shared" si="3"/>
        <v/>
      </c>
      <c r="T70" s="16" t="str">
        <f t="shared" si="4"/>
        <v/>
      </c>
      <c r="V70" s="16" t="str">
        <f t="shared" si="5"/>
        <v/>
      </c>
      <c r="X70" s="166"/>
    </row>
    <row r="71" spans="4:24" x14ac:dyDescent="0.15">
      <c r="D71" s="174"/>
      <c r="F71" s="158"/>
      <c r="G71" s="161"/>
      <c r="K71" s="132"/>
      <c r="Q71" s="75" t="str">
        <f t="shared" si="3"/>
        <v/>
      </c>
      <c r="T71" s="16" t="str">
        <f t="shared" si="4"/>
        <v/>
      </c>
      <c r="V71" s="16" t="str">
        <f t="shared" si="5"/>
        <v/>
      </c>
      <c r="X71" s="166"/>
    </row>
    <row r="72" spans="4:24" x14ac:dyDescent="0.15">
      <c r="D72" s="174"/>
      <c r="F72" s="158"/>
      <c r="G72" s="161"/>
      <c r="K72" s="132"/>
      <c r="Q72" s="75" t="str">
        <f t="shared" si="3"/>
        <v/>
      </c>
      <c r="T72" s="16" t="str">
        <f t="shared" si="4"/>
        <v/>
      </c>
      <c r="V72" s="16" t="str">
        <f t="shared" si="5"/>
        <v/>
      </c>
      <c r="X72" s="166"/>
    </row>
    <row r="73" spans="4:24" x14ac:dyDescent="0.15">
      <c r="D73" s="174"/>
      <c r="F73" s="158"/>
      <c r="G73" s="161"/>
      <c r="K73" s="132"/>
      <c r="Q73" s="75" t="str">
        <f t="shared" si="3"/>
        <v/>
      </c>
      <c r="T73" s="16" t="str">
        <f t="shared" si="4"/>
        <v/>
      </c>
      <c r="V73" s="16" t="str">
        <f t="shared" si="5"/>
        <v/>
      </c>
      <c r="X73" s="166"/>
    </row>
    <row r="74" spans="4:24" x14ac:dyDescent="0.15">
      <c r="D74" s="174"/>
      <c r="F74" s="158"/>
      <c r="G74" s="161"/>
      <c r="K74" s="132"/>
      <c r="Q74" s="75" t="str">
        <f t="shared" si="3"/>
        <v/>
      </c>
      <c r="T74" s="16" t="str">
        <f t="shared" si="4"/>
        <v/>
      </c>
      <c r="V74" s="16" t="str">
        <f t="shared" si="5"/>
        <v/>
      </c>
      <c r="X74" s="166"/>
    </row>
    <row r="75" spans="4:24" x14ac:dyDescent="0.15">
      <c r="D75" s="174"/>
      <c r="F75" s="158"/>
      <c r="G75" s="161"/>
      <c r="K75" s="132"/>
      <c r="Q75" s="75" t="str">
        <f t="shared" si="3"/>
        <v/>
      </c>
      <c r="T75" s="16" t="str">
        <f t="shared" si="4"/>
        <v/>
      </c>
      <c r="V75" s="16" t="str">
        <f t="shared" si="5"/>
        <v/>
      </c>
      <c r="X75" s="166"/>
    </row>
    <row r="76" spans="4:24" x14ac:dyDescent="0.15">
      <c r="D76" s="174"/>
      <c r="F76" s="158"/>
      <c r="G76" s="161"/>
      <c r="K76" s="132"/>
      <c r="Q76" s="75" t="str">
        <f t="shared" si="3"/>
        <v/>
      </c>
      <c r="T76" s="16" t="str">
        <f t="shared" si="4"/>
        <v/>
      </c>
      <c r="V76" s="16" t="str">
        <f t="shared" si="5"/>
        <v/>
      </c>
      <c r="X76" s="166"/>
    </row>
    <row r="77" spans="4:24" x14ac:dyDescent="0.15">
      <c r="D77" s="174"/>
      <c r="F77" s="158"/>
      <c r="G77" s="161"/>
      <c r="K77" s="132"/>
      <c r="Q77" s="75" t="str">
        <f t="shared" si="3"/>
        <v/>
      </c>
      <c r="T77" s="16" t="str">
        <f t="shared" si="4"/>
        <v/>
      </c>
      <c r="V77" s="16" t="str">
        <f t="shared" si="5"/>
        <v/>
      </c>
      <c r="X77" s="166"/>
    </row>
    <row r="78" spans="4:24" x14ac:dyDescent="0.15">
      <c r="D78" s="174"/>
      <c r="F78" s="158"/>
      <c r="G78" s="161"/>
      <c r="K78" s="132"/>
      <c r="Q78" s="75" t="str">
        <f t="shared" si="3"/>
        <v/>
      </c>
      <c r="T78" s="16" t="str">
        <f t="shared" si="4"/>
        <v/>
      </c>
      <c r="V78" s="16" t="str">
        <f t="shared" si="5"/>
        <v/>
      </c>
      <c r="X78" s="166"/>
    </row>
    <row r="79" spans="4:24" x14ac:dyDescent="0.15">
      <c r="D79" s="174"/>
      <c r="F79" s="158"/>
      <c r="G79" s="161"/>
      <c r="K79" s="132"/>
      <c r="Q79" s="75" t="str">
        <f t="shared" si="3"/>
        <v/>
      </c>
      <c r="T79" s="16" t="str">
        <f t="shared" si="4"/>
        <v/>
      </c>
      <c r="V79" s="16" t="str">
        <f t="shared" si="5"/>
        <v/>
      </c>
      <c r="X79" s="166"/>
    </row>
    <row r="80" spans="4:24" x14ac:dyDescent="0.15">
      <c r="K80" s="132"/>
      <c r="Q80" s="75" t="str">
        <f t="shared" si="3"/>
        <v/>
      </c>
      <c r="T80" s="16" t="str">
        <f t="shared" si="4"/>
        <v/>
      </c>
      <c r="V80" s="16" t="str">
        <f t="shared" si="5"/>
        <v/>
      </c>
    </row>
    <row r="81" spans="11:22" x14ac:dyDescent="0.15">
      <c r="K81" s="132"/>
      <c r="Q81" s="75" t="str">
        <f t="shared" si="3"/>
        <v/>
      </c>
      <c r="T81" s="16" t="str">
        <f t="shared" si="4"/>
        <v/>
      </c>
      <c r="V81" s="16" t="str">
        <f t="shared" si="5"/>
        <v/>
      </c>
    </row>
    <row r="82" spans="11:22" x14ac:dyDescent="0.15">
      <c r="K82" s="132"/>
      <c r="Q82" s="75" t="str">
        <f t="shared" si="3"/>
        <v/>
      </c>
      <c r="T82" s="16" t="str">
        <f t="shared" si="4"/>
        <v/>
      </c>
      <c r="V82" s="16" t="str">
        <f t="shared" si="5"/>
        <v/>
      </c>
    </row>
    <row r="83" spans="11:22" x14ac:dyDescent="0.15">
      <c r="K83" s="132"/>
      <c r="Q83" s="75" t="str">
        <f t="shared" si="3"/>
        <v/>
      </c>
      <c r="T83" s="16" t="str">
        <f t="shared" si="4"/>
        <v/>
      </c>
      <c r="V83" s="16" t="str">
        <f t="shared" si="5"/>
        <v/>
      </c>
    </row>
    <row r="84" spans="11:22" x14ac:dyDescent="0.15">
      <c r="K84" s="132"/>
      <c r="Q84" s="75" t="str">
        <f t="shared" si="3"/>
        <v/>
      </c>
      <c r="T84" s="16" t="str">
        <f t="shared" si="4"/>
        <v/>
      </c>
      <c r="V84" s="16" t="str">
        <f t="shared" si="5"/>
        <v/>
      </c>
    </row>
    <row r="85" spans="11:22" x14ac:dyDescent="0.15">
      <c r="K85" s="132"/>
      <c r="Q85" s="75" t="str">
        <f t="shared" si="3"/>
        <v/>
      </c>
      <c r="T85" s="16" t="str">
        <f t="shared" si="4"/>
        <v/>
      </c>
      <c r="V85" s="16" t="str">
        <f t="shared" si="5"/>
        <v/>
      </c>
    </row>
    <row r="86" spans="11:22" x14ac:dyDescent="0.15">
      <c r="K86" s="132"/>
      <c r="Q86" s="75" t="str">
        <f t="shared" si="3"/>
        <v/>
      </c>
      <c r="T86" s="16" t="str">
        <f t="shared" si="4"/>
        <v/>
      </c>
      <c r="V86" s="16" t="str">
        <f t="shared" si="5"/>
        <v/>
      </c>
    </row>
    <row r="87" spans="11:22" x14ac:dyDescent="0.15">
      <c r="K87" s="132"/>
      <c r="Q87" s="75" t="str">
        <f t="shared" si="3"/>
        <v/>
      </c>
      <c r="T87" s="16" t="str">
        <f t="shared" si="4"/>
        <v/>
      </c>
      <c r="V87" s="16" t="str">
        <f t="shared" si="5"/>
        <v/>
      </c>
    </row>
    <row r="88" spans="11:22" x14ac:dyDescent="0.15">
      <c r="K88" s="132"/>
      <c r="Q88" s="75" t="str">
        <f t="shared" si="3"/>
        <v/>
      </c>
      <c r="T88" s="16" t="str">
        <f t="shared" si="4"/>
        <v/>
      </c>
      <c r="V88" s="16" t="str">
        <f t="shared" si="5"/>
        <v/>
      </c>
    </row>
    <row r="89" spans="11:22" x14ac:dyDescent="0.15">
      <c r="K89" s="132"/>
      <c r="Q89" s="75" t="str">
        <f t="shared" si="3"/>
        <v/>
      </c>
      <c r="T89" s="16" t="str">
        <f t="shared" si="4"/>
        <v/>
      </c>
      <c r="V89" s="16" t="str">
        <f t="shared" si="5"/>
        <v/>
      </c>
    </row>
    <row r="90" spans="11:22" x14ac:dyDescent="0.15">
      <c r="K90" s="132"/>
      <c r="Q90" s="75" t="str">
        <f t="shared" si="3"/>
        <v/>
      </c>
      <c r="T90" s="16" t="str">
        <f t="shared" si="4"/>
        <v/>
      </c>
      <c r="V90" s="16" t="str">
        <f t="shared" si="5"/>
        <v/>
      </c>
    </row>
    <row r="91" spans="11:22" x14ac:dyDescent="0.15">
      <c r="K91" s="132"/>
      <c r="Q91" s="75" t="str">
        <f t="shared" si="3"/>
        <v/>
      </c>
      <c r="T91" s="16" t="str">
        <f t="shared" si="4"/>
        <v/>
      </c>
      <c r="V91" s="16" t="str">
        <f t="shared" si="5"/>
        <v/>
      </c>
    </row>
    <row r="92" spans="11:22" x14ac:dyDescent="0.15">
      <c r="K92" s="132"/>
      <c r="Q92" s="75"/>
    </row>
    <row r="93" spans="11:22" x14ac:dyDescent="0.15">
      <c r="K93" s="132"/>
      <c r="Q93" s="75"/>
    </row>
    <row r="94" spans="11:22" x14ac:dyDescent="0.15">
      <c r="K94" s="132"/>
      <c r="Q94" s="75"/>
    </row>
    <row r="95" spans="11:22" x14ac:dyDescent="0.15">
      <c r="K95" s="132"/>
      <c r="Q95" s="75"/>
    </row>
    <row r="96" spans="11:22" x14ac:dyDescent="0.15">
      <c r="K96" s="132"/>
      <c r="Q96" s="75"/>
    </row>
    <row r="97" spans="11:17" x14ac:dyDescent="0.15">
      <c r="K97" s="132"/>
      <c r="Q97" s="75"/>
    </row>
    <row r="98" spans="11:17" x14ac:dyDescent="0.15">
      <c r="K98" s="132"/>
      <c r="Q98" s="75"/>
    </row>
    <row r="99" spans="11:17" x14ac:dyDescent="0.15">
      <c r="K99" s="132"/>
      <c r="Q99" s="75"/>
    </row>
    <row r="100" spans="11:17" x14ac:dyDescent="0.15">
      <c r="K100" s="132"/>
      <c r="Q100" s="75"/>
    </row>
    <row r="101" spans="11:17" x14ac:dyDescent="0.15">
      <c r="K101" s="132"/>
      <c r="Q101" s="75"/>
    </row>
    <row r="102" spans="11:17" x14ac:dyDescent="0.15">
      <c r="K102" s="132"/>
      <c r="Q102" s="75"/>
    </row>
    <row r="103" spans="11:17" x14ac:dyDescent="0.15">
      <c r="K103" s="132"/>
      <c r="Q103" s="75"/>
    </row>
    <row r="104" spans="11:17" x14ac:dyDescent="0.15">
      <c r="K104" s="132"/>
      <c r="Q104" s="75"/>
    </row>
    <row r="105" spans="11:17" x14ac:dyDescent="0.15">
      <c r="K105" s="132"/>
      <c r="Q105" s="75"/>
    </row>
    <row r="106" spans="11:17" x14ac:dyDescent="0.15">
      <c r="K106" s="132"/>
      <c r="Q106" s="75"/>
    </row>
    <row r="107" spans="11:17" x14ac:dyDescent="0.15">
      <c r="K107" s="132"/>
      <c r="Q107" s="75"/>
    </row>
    <row r="108" spans="11:17" x14ac:dyDescent="0.15">
      <c r="K108" s="132"/>
      <c r="Q108" s="75"/>
    </row>
    <row r="109" spans="11:17" x14ac:dyDescent="0.15">
      <c r="K109" s="132"/>
      <c r="Q109" s="75"/>
    </row>
    <row r="110" spans="11:17" x14ac:dyDescent="0.15">
      <c r="K110" s="132"/>
      <c r="Q110" s="75"/>
    </row>
    <row r="111" spans="11:17" x14ac:dyDescent="0.15">
      <c r="K111" s="132"/>
      <c r="Q111" s="75"/>
    </row>
    <row r="112" spans="11:17" x14ac:dyDescent="0.15">
      <c r="K112" s="132"/>
      <c r="Q112" s="75"/>
    </row>
    <row r="113" spans="11:17" x14ac:dyDescent="0.15">
      <c r="K113" s="132"/>
      <c r="Q113" s="75"/>
    </row>
    <row r="114" spans="11:17" x14ac:dyDescent="0.15">
      <c r="K114" s="132"/>
      <c r="Q114" s="75"/>
    </row>
    <row r="115" spans="11:17" x14ac:dyDescent="0.15">
      <c r="K115" s="132"/>
      <c r="Q115" s="75"/>
    </row>
    <row r="116" spans="11:17" x14ac:dyDescent="0.15">
      <c r="K116" s="132"/>
      <c r="Q116" s="75"/>
    </row>
    <row r="117" spans="11:17" x14ac:dyDescent="0.15">
      <c r="K117" s="132"/>
      <c r="Q117" s="75"/>
    </row>
    <row r="118" spans="11:17" x14ac:dyDescent="0.15">
      <c r="K118" s="132"/>
      <c r="Q118" s="75"/>
    </row>
    <row r="119" spans="11:17" x14ac:dyDescent="0.15">
      <c r="K119" s="132"/>
      <c r="Q119" s="75"/>
    </row>
    <row r="120" spans="11:17" x14ac:dyDescent="0.15">
      <c r="K120" s="132"/>
      <c r="Q120" s="75"/>
    </row>
    <row r="121" spans="11:17" x14ac:dyDescent="0.15">
      <c r="K121" s="132"/>
      <c r="Q121" s="75"/>
    </row>
    <row r="122" spans="11:17" x14ac:dyDescent="0.15">
      <c r="K122" s="132"/>
      <c r="Q122" s="75"/>
    </row>
    <row r="123" spans="11:17" x14ac:dyDescent="0.15">
      <c r="K123" s="132"/>
      <c r="Q123" s="75"/>
    </row>
    <row r="124" spans="11:17" x14ac:dyDescent="0.15">
      <c r="K124" s="132"/>
      <c r="Q124" s="75"/>
    </row>
    <row r="125" spans="11:17" x14ac:dyDescent="0.15">
      <c r="K125" s="132"/>
      <c r="Q125" s="75"/>
    </row>
    <row r="126" spans="11:17" x14ac:dyDescent="0.15">
      <c r="K126" s="132"/>
      <c r="Q126" s="75"/>
    </row>
    <row r="127" spans="11:17" x14ac:dyDescent="0.15">
      <c r="K127" s="132"/>
      <c r="Q127" s="75"/>
    </row>
    <row r="128" spans="11:17" x14ac:dyDescent="0.15">
      <c r="K128" s="132"/>
      <c r="Q128" s="75"/>
    </row>
    <row r="129" spans="11:17" x14ac:dyDescent="0.15">
      <c r="K129" s="132"/>
      <c r="Q129" s="75"/>
    </row>
    <row r="130" spans="11:17" x14ac:dyDescent="0.15">
      <c r="K130" s="132"/>
      <c r="Q130" s="75"/>
    </row>
    <row r="131" spans="11:17" x14ac:dyDescent="0.15">
      <c r="K131" s="132"/>
      <c r="Q131" s="75"/>
    </row>
    <row r="132" spans="11:17" x14ac:dyDescent="0.15">
      <c r="K132" s="132"/>
      <c r="Q132" s="75"/>
    </row>
    <row r="133" spans="11:17" x14ac:dyDescent="0.15">
      <c r="K133" s="132"/>
      <c r="Q133" s="75"/>
    </row>
    <row r="134" spans="11:17" x14ac:dyDescent="0.15">
      <c r="K134" s="132"/>
      <c r="Q134" s="75"/>
    </row>
    <row r="135" spans="11:17" x14ac:dyDescent="0.15">
      <c r="K135" s="132"/>
      <c r="Q135" s="75"/>
    </row>
    <row r="136" spans="11:17" x14ac:dyDescent="0.15">
      <c r="K136" s="132"/>
      <c r="Q136" s="75"/>
    </row>
    <row r="137" spans="11:17" x14ac:dyDescent="0.15">
      <c r="K137" s="132"/>
      <c r="Q137" s="75"/>
    </row>
    <row r="138" spans="11:17" x14ac:dyDescent="0.15">
      <c r="K138" s="132"/>
      <c r="Q138" s="75"/>
    </row>
    <row r="139" spans="11:17" x14ac:dyDescent="0.15">
      <c r="K139" s="132"/>
      <c r="Q139" s="75"/>
    </row>
    <row r="140" spans="11:17" x14ac:dyDescent="0.15">
      <c r="K140" s="132"/>
      <c r="Q140" s="75"/>
    </row>
    <row r="141" spans="11:17" x14ac:dyDescent="0.15">
      <c r="K141" s="132"/>
      <c r="Q141" s="75"/>
    </row>
    <row r="142" spans="11:17" x14ac:dyDescent="0.15">
      <c r="K142" s="132"/>
      <c r="Q142" s="75"/>
    </row>
    <row r="143" spans="11:17" x14ac:dyDescent="0.15">
      <c r="K143" s="132"/>
      <c r="Q143" s="75"/>
    </row>
    <row r="144" spans="11:17" x14ac:dyDescent="0.15">
      <c r="K144" s="132"/>
      <c r="Q144" s="75"/>
    </row>
    <row r="145" spans="11:17" x14ac:dyDescent="0.15">
      <c r="K145" s="132"/>
      <c r="Q145" s="75"/>
    </row>
    <row r="146" spans="11:17" x14ac:dyDescent="0.15">
      <c r="K146" s="132"/>
      <c r="Q146" s="75"/>
    </row>
    <row r="147" spans="11:17" x14ac:dyDescent="0.15">
      <c r="K147" s="132"/>
      <c r="Q147" s="75"/>
    </row>
    <row r="148" spans="11:17" x14ac:dyDescent="0.15">
      <c r="K148" s="132"/>
      <c r="Q148" s="75"/>
    </row>
    <row r="149" spans="11:17" x14ac:dyDescent="0.15">
      <c r="K149" s="132"/>
      <c r="Q149" s="75"/>
    </row>
    <row r="150" spans="11:17" x14ac:dyDescent="0.15">
      <c r="K150" s="132"/>
      <c r="Q150" s="75"/>
    </row>
    <row r="151" spans="11:17" x14ac:dyDescent="0.15">
      <c r="K151" s="132"/>
      <c r="Q151" s="75"/>
    </row>
    <row r="152" spans="11:17" x14ac:dyDescent="0.15">
      <c r="K152" s="132"/>
      <c r="Q152" s="75"/>
    </row>
    <row r="153" spans="11:17" x14ac:dyDescent="0.15">
      <c r="K153" s="132"/>
      <c r="Q153" s="75"/>
    </row>
    <row r="154" spans="11:17" x14ac:dyDescent="0.15">
      <c r="K154" s="132"/>
      <c r="Q154" s="75"/>
    </row>
    <row r="155" spans="11:17" x14ac:dyDescent="0.15">
      <c r="K155" s="132"/>
      <c r="Q155" s="75"/>
    </row>
    <row r="156" spans="11:17" x14ac:dyDescent="0.15">
      <c r="K156" s="132"/>
      <c r="Q156" s="75"/>
    </row>
    <row r="157" spans="11:17" x14ac:dyDescent="0.15">
      <c r="K157" s="132"/>
      <c r="Q157" s="75"/>
    </row>
    <row r="158" spans="11:17" x14ac:dyDescent="0.15">
      <c r="K158" s="132"/>
      <c r="Q158" s="75"/>
    </row>
    <row r="159" spans="11:17" x14ac:dyDescent="0.15">
      <c r="K159" s="132"/>
      <c r="Q159" s="75"/>
    </row>
    <row r="160" spans="11:17" x14ac:dyDescent="0.15">
      <c r="K160" s="132"/>
      <c r="Q160" s="75"/>
    </row>
    <row r="161" spans="11:17" x14ac:dyDescent="0.15">
      <c r="K161" s="132"/>
      <c r="Q161" s="75"/>
    </row>
    <row r="162" spans="11:17" x14ac:dyDescent="0.15">
      <c r="K162" s="132"/>
      <c r="Q162" s="75"/>
    </row>
    <row r="163" spans="11:17" x14ac:dyDescent="0.15">
      <c r="K163" s="132"/>
      <c r="Q163" s="75"/>
    </row>
    <row r="164" spans="11:17" x14ac:dyDescent="0.15">
      <c r="K164" s="132"/>
      <c r="Q164" s="75"/>
    </row>
    <row r="165" spans="11:17" x14ac:dyDescent="0.15">
      <c r="K165" s="132"/>
      <c r="Q165" s="75"/>
    </row>
    <row r="166" spans="11:17" x14ac:dyDescent="0.15">
      <c r="K166" s="132"/>
      <c r="Q166" s="75"/>
    </row>
    <row r="167" spans="11:17" x14ac:dyDescent="0.15">
      <c r="K167" s="132"/>
      <c r="Q167" s="75"/>
    </row>
    <row r="168" spans="11:17" x14ac:dyDescent="0.15">
      <c r="K168" s="132"/>
      <c r="Q168" s="75"/>
    </row>
    <row r="169" spans="11:17" x14ac:dyDescent="0.15">
      <c r="K169" s="132"/>
      <c r="Q169" s="75"/>
    </row>
    <row r="170" spans="11:17" x14ac:dyDescent="0.15">
      <c r="K170" s="132"/>
      <c r="Q170" s="75"/>
    </row>
    <row r="171" spans="11:17" x14ac:dyDescent="0.15">
      <c r="K171" s="132"/>
      <c r="Q171" s="75"/>
    </row>
    <row r="172" spans="11:17" x14ac:dyDescent="0.15">
      <c r="K172" s="132"/>
      <c r="Q172" s="75"/>
    </row>
    <row r="173" spans="11:17" x14ac:dyDescent="0.15">
      <c r="K173" s="132"/>
      <c r="Q173" s="75"/>
    </row>
    <row r="174" spans="11:17" x14ac:dyDescent="0.15">
      <c r="K174" s="132"/>
      <c r="Q174" s="75"/>
    </row>
    <row r="175" spans="11:17" x14ac:dyDescent="0.15">
      <c r="K175" s="132"/>
      <c r="Q175" s="75"/>
    </row>
    <row r="176" spans="11:17" x14ac:dyDescent="0.15">
      <c r="K176" s="132"/>
      <c r="Q176" s="75"/>
    </row>
    <row r="177" spans="11:17" x14ac:dyDescent="0.15">
      <c r="K177" s="132"/>
      <c r="Q177" s="75"/>
    </row>
    <row r="178" spans="11:17" x14ac:dyDescent="0.15">
      <c r="K178" s="132"/>
      <c r="Q178" s="75"/>
    </row>
    <row r="179" spans="11:17" x14ac:dyDescent="0.15">
      <c r="K179" s="132"/>
      <c r="Q179" s="75"/>
    </row>
    <row r="180" spans="11:17" x14ac:dyDescent="0.15">
      <c r="K180" s="132"/>
      <c r="Q180" s="75"/>
    </row>
    <row r="181" spans="11:17" x14ac:dyDescent="0.15">
      <c r="K181" s="132"/>
      <c r="Q181" s="75"/>
    </row>
    <row r="182" spans="11:17" x14ac:dyDescent="0.15">
      <c r="K182" s="132"/>
      <c r="Q182" s="75"/>
    </row>
    <row r="183" spans="11:17" x14ac:dyDescent="0.15">
      <c r="K183" s="132"/>
      <c r="Q183" s="75"/>
    </row>
    <row r="184" spans="11:17" x14ac:dyDescent="0.15">
      <c r="K184" s="132"/>
      <c r="Q184" s="75"/>
    </row>
    <row r="185" spans="11:17" x14ac:dyDescent="0.15">
      <c r="K185" s="132"/>
      <c r="Q185" s="75"/>
    </row>
    <row r="186" spans="11:17" x14ac:dyDescent="0.15">
      <c r="K186" s="132"/>
      <c r="Q186" s="75"/>
    </row>
    <row r="187" spans="11:17" x14ac:dyDescent="0.15">
      <c r="K187" s="132"/>
      <c r="Q187" s="75"/>
    </row>
    <row r="188" spans="11:17" x14ac:dyDescent="0.15">
      <c r="K188" s="132"/>
      <c r="Q188" s="75"/>
    </row>
    <row r="189" spans="11:17" x14ac:dyDescent="0.15">
      <c r="K189" s="132"/>
      <c r="Q189" s="75"/>
    </row>
    <row r="190" spans="11:17" x14ac:dyDescent="0.15">
      <c r="K190" s="132"/>
      <c r="Q190" s="75"/>
    </row>
    <row r="191" spans="11:17" x14ac:dyDescent="0.15">
      <c r="K191" s="132"/>
      <c r="Q191" s="75"/>
    </row>
    <row r="192" spans="11:17" x14ac:dyDescent="0.15">
      <c r="K192" s="132"/>
      <c r="Q192" s="75"/>
    </row>
    <row r="193" spans="11:17" x14ac:dyDescent="0.15">
      <c r="K193" s="132"/>
      <c r="Q193" s="75"/>
    </row>
    <row r="194" spans="11:17" x14ac:dyDescent="0.15">
      <c r="K194" s="132"/>
      <c r="Q194" s="75"/>
    </row>
    <row r="195" spans="11:17" x14ac:dyDescent="0.15">
      <c r="K195" s="132"/>
      <c r="Q195" s="75"/>
    </row>
    <row r="196" spans="11:17" x14ac:dyDescent="0.15">
      <c r="K196" s="132"/>
      <c r="Q196" s="75"/>
    </row>
    <row r="197" spans="11:17" x14ac:dyDescent="0.15">
      <c r="K197" s="132"/>
      <c r="Q197" s="75"/>
    </row>
    <row r="198" spans="11:17" x14ac:dyDescent="0.15">
      <c r="K198" s="132"/>
      <c r="Q198" s="75"/>
    </row>
    <row r="199" spans="11:17" x14ac:dyDescent="0.15">
      <c r="K199" s="132"/>
      <c r="Q199" s="75"/>
    </row>
    <row r="200" spans="11:17" x14ac:dyDescent="0.15">
      <c r="K200" s="132"/>
      <c r="Q200" s="75"/>
    </row>
    <row r="201" spans="11:17" x14ac:dyDescent="0.15">
      <c r="K201" s="132"/>
      <c r="Q201" s="75"/>
    </row>
    <row r="202" spans="11:17" x14ac:dyDescent="0.15">
      <c r="K202" s="132"/>
      <c r="Q202" s="75"/>
    </row>
    <row r="203" spans="11:17" x14ac:dyDescent="0.15">
      <c r="K203" s="132"/>
      <c r="Q203" s="75"/>
    </row>
    <row r="204" spans="11:17" x14ac:dyDescent="0.15">
      <c r="K204" s="132"/>
      <c r="Q204" s="75"/>
    </row>
    <row r="205" spans="11:17" x14ac:dyDescent="0.15">
      <c r="K205" s="132"/>
      <c r="Q205" s="75"/>
    </row>
    <row r="206" spans="11:17" x14ac:dyDescent="0.15">
      <c r="K206" s="132"/>
      <c r="Q206" s="75"/>
    </row>
    <row r="207" spans="11:17" x14ac:dyDescent="0.15">
      <c r="K207" s="132"/>
      <c r="Q207" s="75"/>
    </row>
    <row r="208" spans="11:17" x14ac:dyDescent="0.15">
      <c r="K208" s="132"/>
      <c r="Q208" s="75"/>
    </row>
    <row r="209" spans="11:17" x14ac:dyDescent="0.15">
      <c r="K209" s="132"/>
      <c r="Q209" s="75"/>
    </row>
    <row r="210" spans="11:17" x14ac:dyDescent="0.15">
      <c r="K210" s="132"/>
      <c r="Q210" s="75"/>
    </row>
    <row r="211" spans="11:17" x14ac:dyDescent="0.15">
      <c r="K211" s="132"/>
      <c r="Q211" s="75"/>
    </row>
    <row r="212" spans="11:17" x14ac:dyDescent="0.15">
      <c r="K212" s="132"/>
      <c r="Q212" s="75"/>
    </row>
    <row r="213" spans="11:17" x14ac:dyDescent="0.15">
      <c r="K213" s="132"/>
      <c r="Q213" s="75"/>
    </row>
    <row r="214" spans="11:17" x14ac:dyDescent="0.15">
      <c r="K214" s="132"/>
      <c r="Q214" s="75"/>
    </row>
    <row r="215" spans="11:17" x14ac:dyDescent="0.15">
      <c r="K215" s="132"/>
      <c r="Q215" s="75"/>
    </row>
    <row r="216" spans="11:17" x14ac:dyDescent="0.15">
      <c r="K216" s="132"/>
      <c r="Q216" s="75"/>
    </row>
    <row r="217" spans="11:17" x14ac:dyDescent="0.15">
      <c r="K217" s="132"/>
      <c r="Q217" s="75"/>
    </row>
    <row r="218" spans="11:17" x14ac:dyDescent="0.15">
      <c r="K218" s="132"/>
      <c r="Q218" s="75"/>
    </row>
    <row r="219" spans="11:17" x14ac:dyDescent="0.15">
      <c r="K219" s="132"/>
      <c r="Q219" s="75"/>
    </row>
    <row r="220" spans="11:17" x14ac:dyDescent="0.15">
      <c r="K220" s="132"/>
      <c r="Q220" s="75"/>
    </row>
    <row r="221" spans="11:17" x14ac:dyDescent="0.15">
      <c r="K221" s="132"/>
      <c r="Q221" s="75"/>
    </row>
    <row r="222" spans="11:17" x14ac:dyDescent="0.15">
      <c r="K222" s="132"/>
      <c r="Q222" s="75"/>
    </row>
    <row r="223" spans="11:17" x14ac:dyDescent="0.15">
      <c r="K223" s="132"/>
      <c r="Q223" s="75"/>
    </row>
    <row r="224" spans="11:17" x14ac:dyDescent="0.15">
      <c r="K224" s="132"/>
      <c r="Q224" s="75"/>
    </row>
    <row r="225" spans="11:17" x14ac:dyDescent="0.15">
      <c r="K225" s="132"/>
      <c r="Q225" s="75"/>
    </row>
    <row r="226" spans="11:17" x14ac:dyDescent="0.15">
      <c r="K226" s="132"/>
      <c r="Q226" s="75"/>
    </row>
    <row r="227" spans="11:17" x14ac:dyDescent="0.15">
      <c r="K227" s="132"/>
      <c r="Q227" s="75"/>
    </row>
    <row r="228" spans="11:17" x14ac:dyDescent="0.15">
      <c r="K228" s="132"/>
      <c r="Q228" s="75"/>
    </row>
    <row r="229" spans="11:17" x14ac:dyDescent="0.15">
      <c r="K229" s="132"/>
      <c r="Q229" s="75"/>
    </row>
    <row r="230" spans="11:17" x14ac:dyDescent="0.15">
      <c r="K230" s="132"/>
      <c r="Q230" s="75"/>
    </row>
    <row r="231" spans="11:17" x14ac:dyDescent="0.15">
      <c r="K231" s="132"/>
      <c r="Q231" s="75"/>
    </row>
    <row r="232" spans="11:17" x14ac:dyDescent="0.15">
      <c r="K232" s="132"/>
      <c r="Q232" s="75"/>
    </row>
    <row r="233" spans="11:17" x14ac:dyDescent="0.15">
      <c r="K233" s="132"/>
      <c r="Q233" s="75"/>
    </row>
    <row r="234" spans="11:17" x14ac:dyDescent="0.15">
      <c r="K234" s="132"/>
      <c r="Q234" s="75"/>
    </row>
    <row r="235" spans="11:17" x14ac:dyDescent="0.15">
      <c r="K235" s="132"/>
      <c r="Q235" s="75"/>
    </row>
    <row r="236" spans="11:17" x14ac:dyDescent="0.15">
      <c r="K236" s="132"/>
      <c r="Q236" s="75"/>
    </row>
    <row r="237" spans="11:17" x14ac:dyDescent="0.15">
      <c r="K237" s="132"/>
      <c r="Q237" s="75"/>
    </row>
    <row r="238" spans="11:17" x14ac:dyDescent="0.15">
      <c r="K238" s="132"/>
      <c r="Q238" s="75"/>
    </row>
    <row r="239" spans="11:17" x14ac:dyDescent="0.15">
      <c r="K239" s="132"/>
      <c r="Q239" s="75"/>
    </row>
    <row r="240" spans="11:17" x14ac:dyDescent="0.15">
      <c r="K240" s="132"/>
      <c r="Q240" s="75"/>
    </row>
    <row r="241" spans="11:17" x14ac:dyDescent="0.15">
      <c r="K241" s="132"/>
      <c r="Q241" s="75"/>
    </row>
    <row r="242" spans="11:17" x14ac:dyDescent="0.15">
      <c r="K242" s="132"/>
      <c r="Q242" s="75"/>
    </row>
    <row r="243" spans="11:17" x14ac:dyDescent="0.15">
      <c r="K243" s="132"/>
      <c r="Q243" s="75"/>
    </row>
    <row r="244" spans="11:17" x14ac:dyDescent="0.15">
      <c r="K244" s="132"/>
      <c r="Q244" s="75"/>
    </row>
    <row r="245" spans="11:17" x14ac:dyDescent="0.15">
      <c r="K245" s="132"/>
      <c r="Q245" s="75"/>
    </row>
    <row r="246" spans="11:17" x14ac:dyDescent="0.15">
      <c r="K246" s="132"/>
      <c r="Q246" s="75"/>
    </row>
    <row r="247" spans="11:17" x14ac:dyDescent="0.15">
      <c r="K247" s="132"/>
      <c r="Q247" s="75"/>
    </row>
    <row r="248" spans="11:17" x14ac:dyDescent="0.15">
      <c r="K248" s="132"/>
      <c r="Q248" s="75"/>
    </row>
    <row r="249" spans="11:17" x14ac:dyDescent="0.15">
      <c r="K249" s="132"/>
      <c r="Q249" s="75"/>
    </row>
    <row r="250" spans="11:17" x14ac:dyDescent="0.15">
      <c r="K250" s="132"/>
      <c r="Q250" s="75"/>
    </row>
    <row r="251" spans="11:17" x14ac:dyDescent="0.15">
      <c r="K251" s="132"/>
      <c r="Q251" s="75"/>
    </row>
    <row r="252" spans="11:17" x14ac:dyDescent="0.15">
      <c r="K252" s="132"/>
      <c r="Q252" s="75"/>
    </row>
    <row r="253" spans="11:17" x14ac:dyDescent="0.15">
      <c r="K253" s="132"/>
      <c r="Q253" s="75"/>
    </row>
    <row r="254" spans="11:17" x14ac:dyDescent="0.15">
      <c r="K254" s="132"/>
      <c r="Q254" s="75"/>
    </row>
    <row r="255" spans="11:17" x14ac:dyDescent="0.15">
      <c r="K255" s="132"/>
      <c r="Q255" s="75"/>
    </row>
    <row r="256" spans="11:17" x14ac:dyDescent="0.15">
      <c r="K256" s="132"/>
      <c r="Q256" s="75"/>
    </row>
    <row r="257" spans="11:17" x14ac:dyDescent="0.15">
      <c r="K257" s="132"/>
      <c r="Q257" s="75"/>
    </row>
    <row r="258" spans="11:17" x14ac:dyDescent="0.15">
      <c r="K258" s="132"/>
      <c r="Q258" s="75"/>
    </row>
    <row r="259" spans="11:17" x14ac:dyDescent="0.15">
      <c r="K259" s="132"/>
      <c r="Q259" s="75"/>
    </row>
    <row r="260" spans="11:17" x14ac:dyDescent="0.15">
      <c r="K260" s="132"/>
      <c r="Q260" s="75"/>
    </row>
    <row r="261" spans="11:17" x14ac:dyDescent="0.15">
      <c r="K261" s="132"/>
      <c r="Q261" s="75"/>
    </row>
    <row r="262" spans="11:17" x14ac:dyDescent="0.15">
      <c r="K262" s="132"/>
      <c r="Q262" s="75"/>
    </row>
    <row r="263" spans="11:17" x14ac:dyDescent="0.15">
      <c r="K263" s="132"/>
      <c r="Q263" s="75"/>
    </row>
    <row r="264" spans="11:17" x14ac:dyDescent="0.15">
      <c r="K264" s="132"/>
      <c r="Q264" s="75"/>
    </row>
    <row r="265" spans="11:17" x14ac:dyDescent="0.15">
      <c r="K265" s="132"/>
      <c r="Q265" s="75"/>
    </row>
    <row r="266" spans="11:17" x14ac:dyDescent="0.15">
      <c r="K266" s="132"/>
      <c r="Q266" s="75"/>
    </row>
    <row r="267" spans="11:17" x14ac:dyDescent="0.15">
      <c r="K267" s="132"/>
      <c r="Q267" s="75"/>
    </row>
    <row r="268" spans="11:17" x14ac:dyDescent="0.15">
      <c r="K268" s="132"/>
      <c r="Q268" s="75"/>
    </row>
    <row r="269" spans="11:17" x14ac:dyDescent="0.15">
      <c r="K269" s="132"/>
      <c r="Q269" s="75"/>
    </row>
    <row r="270" spans="11:17" x14ac:dyDescent="0.15">
      <c r="K270" s="132"/>
      <c r="Q270" s="75"/>
    </row>
    <row r="271" spans="11:17" x14ac:dyDescent="0.15">
      <c r="K271" s="132"/>
      <c r="Q271" s="75"/>
    </row>
    <row r="272" spans="11:17" x14ac:dyDescent="0.15">
      <c r="K272" s="132"/>
      <c r="Q272" s="75"/>
    </row>
    <row r="273" spans="11:17" x14ac:dyDescent="0.15">
      <c r="K273" s="132"/>
      <c r="Q273" s="75"/>
    </row>
    <row r="274" spans="11:17" x14ac:dyDescent="0.15">
      <c r="K274" s="132"/>
      <c r="Q274" s="75"/>
    </row>
    <row r="275" spans="11:17" x14ac:dyDescent="0.15">
      <c r="K275" s="132"/>
      <c r="Q275" s="75"/>
    </row>
    <row r="276" spans="11:17" x14ac:dyDescent="0.15">
      <c r="K276" s="132"/>
      <c r="Q276" s="75"/>
    </row>
    <row r="277" spans="11:17" x14ac:dyDescent="0.15">
      <c r="K277" s="132"/>
      <c r="Q277" s="75"/>
    </row>
    <row r="278" spans="11:17" x14ac:dyDescent="0.15">
      <c r="K278" s="132"/>
      <c r="Q278" s="75"/>
    </row>
    <row r="279" spans="11:17" x14ac:dyDescent="0.15">
      <c r="K279" s="132"/>
      <c r="Q279" s="75"/>
    </row>
    <row r="280" spans="11:17" x14ac:dyDescent="0.15">
      <c r="K280" s="132"/>
      <c r="Q280" s="75"/>
    </row>
    <row r="281" spans="11:17" x14ac:dyDescent="0.15">
      <c r="K281" s="132"/>
      <c r="Q281" s="75"/>
    </row>
    <row r="282" spans="11:17" x14ac:dyDescent="0.15">
      <c r="K282" s="132"/>
      <c r="Q282" s="75"/>
    </row>
    <row r="283" spans="11:17" x14ac:dyDescent="0.15">
      <c r="K283" s="132"/>
      <c r="Q283" s="75"/>
    </row>
    <row r="284" spans="11:17" x14ac:dyDescent="0.15">
      <c r="K284" s="132"/>
      <c r="Q284" s="75"/>
    </row>
    <row r="285" spans="11:17" x14ac:dyDescent="0.15">
      <c r="K285" s="132"/>
      <c r="Q285" s="75"/>
    </row>
    <row r="286" spans="11:17" x14ac:dyDescent="0.15">
      <c r="K286" s="132"/>
      <c r="Q286" s="75"/>
    </row>
    <row r="287" spans="11:17" x14ac:dyDescent="0.15">
      <c r="K287" s="132"/>
      <c r="Q287" s="75"/>
    </row>
    <row r="288" spans="11:17" x14ac:dyDescent="0.15">
      <c r="K288" s="132"/>
      <c r="Q288" s="75"/>
    </row>
    <row r="289" spans="11:17" x14ac:dyDescent="0.15">
      <c r="K289" s="132"/>
      <c r="Q289" s="75"/>
    </row>
    <row r="290" spans="11:17" x14ac:dyDescent="0.15">
      <c r="K290" s="132"/>
      <c r="Q290" s="75"/>
    </row>
    <row r="291" spans="11:17" x14ac:dyDescent="0.15">
      <c r="K291" s="132"/>
      <c r="Q291" s="75"/>
    </row>
    <row r="292" spans="11:17" x14ac:dyDescent="0.15">
      <c r="K292" s="132"/>
    </row>
    <row r="293" spans="11:17" x14ac:dyDescent="0.15">
      <c r="K293" s="132"/>
    </row>
    <row r="294" spans="11:17" x14ac:dyDescent="0.15">
      <c r="K294" s="132"/>
    </row>
    <row r="295" spans="11:17" x14ac:dyDescent="0.15">
      <c r="K295" s="132"/>
    </row>
    <row r="296" spans="11:17" x14ac:dyDescent="0.15">
      <c r="K296" s="132"/>
    </row>
    <row r="297" spans="11:17" x14ac:dyDescent="0.15">
      <c r="K297" s="132"/>
    </row>
    <row r="298" spans="11:17" x14ac:dyDescent="0.15">
      <c r="K298" s="132"/>
    </row>
    <row r="299" spans="11:17" x14ac:dyDescent="0.15">
      <c r="K299" s="132"/>
    </row>
    <row r="300" spans="11:17" x14ac:dyDescent="0.15">
      <c r="K300" s="132"/>
    </row>
    <row r="301" spans="11:17" x14ac:dyDescent="0.15">
      <c r="K301" s="132"/>
    </row>
    <row r="302" spans="11:17" x14ac:dyDescent="0.15">
      <c r="K302" s="132"/>
    </row>
    <row r="303" spans="11:17" x14ac:dyDescent="0.15">
      <c r="K303" s="132"/>
    </row>
    <row r="304" spans="11:17" x14ac:dyDescent="0.15">
      <c r="K304" s="132"/>
    </row>
    <row r="305" spans="11:11" x14ac:dyDescent="0.15">
      <c r="K305" s="132"/>
    </row>
    <row r="306" spans="11:11" x14ac:dyDescent="0.15">
      <c r="K306" s="132"/>
    </row>
    <row r="307" spans="11:11" x14ac:dyDescent="0.15">
      <c r="K307" s="132"/>
    </row>
    <row r="308" spans="11:11" x14ac:dyDescent="0.15">
      <c r="K308" s="132"/>
    </row>
    <row r="309" spans="11:11" x14ac:dyDescent="0.15">
      <c r="K309" s="132"/>
    </row>
    <row r="310" spans="11:11" x14ac:dyDescent="0.15">
      <c r="K310" s="132"/>
    </row>
    <row r="311" spans="11:11" x14ac:dyDescent="0.15">
      <c r="K311" s="132"/>
    </row>
    <row r="312" spans="11:11" x14ac:dyDescent="0.15">
      <c r="K312" s="132"/>
    </row>
    <row r="313" spans="11:11" x14ac:dyDescent="0.15">
      <c r="K313" s="132"/>
    </row>
    <row r="314" spans="11:11" x14ac:dyDescent="0.15">
      <c r="K314" s="132"/>
    </row>
    <row r="315" spans="11:11" x14ac:dyDescent="0.15">
      <c r="K315" s="132"/>
    </row>
    <row r="316" spans="11:11" x14ac:dyDescent="0.15">
      <c r="K316" s="132"/>
    </row>
    <row r="317" spans="11:11" x14ac:dyDescent="0.15">
      <c r="K317" s="132"/>
    </row>
    <row r="318" spans="11:11" x14ac:dyDescent="0.15">
      <c r="K318" s="132"/>
    </row>
    <row r="319" spans="11:11" x14ac:dyDescent="0.15">
      <c r="K319" s="132"/>
    </row>
    <row r="320" spans="11:11" x14ac:dyDescent="0.15">
      <c r="K320" s="132"/>
    </row>
    <row r="321" spans="11:11" x14ac:dyDescent="0.15">
      <c r="K321" s="132"/>
    </row>
    <row r="322" spans="11:11" x14ac:dyDescent="0.15">
      <c r="K322" s="132"/>
    </row>
    <row r="323" spans="11:11" x14ac:dyDescent="0.15">
      <c r="K323" s="132"/>
    </row>
    <row r="324" spans="11:11" x14ac:dyDescent="0.15">
      <c r="K324" s="132"/>
    </row>
    <row r="325" spans="11:11" x14ac:dyDescent="0.15">
      <c r="K325" s="132"/>
    </row>
    <row r="326" spans="11:11" x14ac:dyDescent="0.15">
      <c r="K326" s="132"/>
    </row>
    <row r="327" spans="11:11" x14ac:dyDescent="0.15">
      <c r="K327" s="132"/>
    </row>
    <row r="328" spans="11:11" x14ac:dyDescent="0.15">
      <c r="K328" s="132"/>
    </row>
    <row r="329" spans="11:11" x14ac:dyDescent="0.15">
      <c r="K329" s="132"/>
    </row>
    <row r="330" spans="11:11" x14ac:dyDescent="0.15">
      <c r="K330" s="132"/>
    </row>
    <row r="331" spans="11:11" x14ac:dyDescent="0.15">
      <c r="K331" s="132"/>
    </row>
    <row r="332" spans="11:11" x14ac:dyDescent="0.15">
      <c r="K332" s="132"/>
    </row>
    <row r="333" spans="11:11" x14ac:dyDescent="0.15">
      <c r="K333" s="132"/>
    </row>
    <row r="334" spans="11:11" x14ac:dyDescent="0.15">
      <c r="K334" s="132"/>
    </row>
    <row r="335" spans="11:11" x14ac:dyDescent="0.15">
      <c r="K335" s="132"/>
    </row>
    <row r="336" spans="11:11" x14ac:dyDescent="0.15">
      <c r="K336" s="132"/>
    </row>
    <row r="337" spans="11:11" x14ac:dyDescent="0.15">
      <c r="K337" s="132"/>
    </row>
    <row r="338" spans="11:11" x14ac:dyDescent="0.15">
      <c r="K338" s="132"/>
    </row>
    <row r="339" spans="11:11" x14ac:dyDescent="0.15">
      <c r="K339" s="132"/>
    </row>
    <row r="340" spans="11:11" x14ac:dyDescent="0.15">
      <c r="K340" s="132"/>
    </row>
    <row r="341" spans="11:11" x14ac:dyDescent="0.15">
      <c r="K341" s="132"/>
    </row>
    <row r="342" spans="11:11" x14ac:dyDescent="0.15">
      <c r="K342" s="132"/>
    </row>
    <row r="343" spans="11:11" x14ac:dyDescent="0.15">
      <c r="K343" s="132"/>
    </row>
    <row r="344" spans="11:11" x14ac:dyDescent="0.15">
      <c r="K344" s="132"/>
    </row>
    <row r="345" spans="11:11" x14ac:dyDescent="0.15">
      <c r="K345" s="132"/>
    </row>
    <row r="346" spans="11:11" x14ac:dyDescent="0.15">
      <c r="K346" s="132"/>
    </row>
    <row r="347" spans="11:11" x14ac:dyDescent="0.15">
      <c r="K347" s="132"/>
    </row>
    <row r="348" spans="11:11" x14ac:dyDescent="0.15">
      <c r="K348" s="132"/>
    </row>
    <row r="349" spans="11:11" x14ac:dyDescent="0.15">
      <c r="K349" s="132"/>
    </row>
    <row r="350" spans="11:11" x14ac:dyDescent="0.15">
      <c r="K350" s="132"/>
    </row>
    <row r="351" spans="11:11" x14ac:dyDescent="0.15">
      <c r="K351" s="132"/>
    </row>
    <row r="352" spans="11:11" x14ac:dyDescent="0.15">
      <c r="K352" s="132"/>
    </row>
    <row r="353" spans="11:11" x14ac:dyDescent="0.15">
      <c r="K353" s="132"/>
    </row>
    <row r="354" spans="11:11" x14ac:dyDescent="0.15">
      <c r="K354" s="132"/>
    </row>
    <row r="355" spans="11:11" x14ac:dyDescent="0.15">
      <c r="K355" s="132"/>
    </row>
    <row r="356" spans="11:11" x14ac:dyDescent="0.15">
      <c r="K356" s="132"/>
    </row>
    <row r="357" spans="11:11" x14ac:dyDescent="0.15">
      <c r="K357" s="132"/>
    </row>
    <row r="358" spans="11:11" x14ac:dyDescent="0.15">
      <c r="K358" s="132"/>
    </row>
    <row r="359" spans="11:11" x14ac:dyDescent="0.15">
      <c r="K359" s="132"/>
    </row>
    <row r="360" spans="11:11" x14ac:dyDescent="0.15">
      <c r="K360" s="132"/>
    </row>
    <row r="361" spans="11:11" x14ac:dyDescent="0.15">
      <c r="K361" s="132"/>
    </row>
    <row r="362" spans="11:11" x14ac:dyDescent="0.15">
      <c r="K362" s="132"/>
    </row>
    <row r="363" spans="11:11" x14ac:dyDescent="0.15">
      <c r="K363" s="132"/>
    </row>
    <row r="364" spans="11:11" x14ac:dyDescent="0.15">
      <c r="K364" s="132"/>
    </row>
    <row r="365" spans="11:11" x14ac:dyDescent="0.15">
      <c r="K365" s="132"/>
    </row>
    <row r="366" spans="11:11" x14ac:dyDescent="0.15">
      <c r="K366" s="132"/>
    </row>
    <row r="367" spans="11:11" x14ac:dyDescent="0.15">
      <c r="K367" s="132"/>
    </row>
    <row r="368" spans="11:11" x14ac:dyDescent="0.15">
      <c r="K368" s="132"/>
    </row>
    <row r="369" spans="11:11" x14ac:dyDescent="0.15">
      <c r="K369" s="132"/>
    </row>
    <row r="370" spans="11:11" x14ac:dyDescent="0.15">
      <c r="K370" s="132"/>
    </row>
    <row r="371" spans="11:11" x14ac:dyDescent="0.15">
      <c r="K371" s="132"/>
    </row>
    <row r="372" spans="11:11" x14ac:dyDescent="0.15">
      <c r="K372" s="132"/>
    </row>
    <row r="373" spans="11:11" x14ac:dyDescent="0.15">
      <c r="K373" s="132"/>
    </row>
    <row r="374" spans="11:11" x14ac:dyDescent="0.15">
      <c r="K374" s="132"/>
    </row>
    <row r="375" spans="11:11" x14ac:dyDescent="0.15">
      <c r="K375" s="132"/>
    </row>
    <row r="376" spans="11:11" x14ac:dyDescent="0.15">
      <c r="K376" s="132"/>
    </row>
    <row r="377" spans="11:11" x14ac:dyDescent="0.15">
      <c r="K377" s="132"/>
    </row>
    <row r="378" spans="11:11" x14ac:dyDescent="0.15">
      <c r="K378" s="132"/>
    </row>
    <row r="379" spans="11:11" x14ac:dyDescent="0.15">
      <c r="K379" s="132"/>
    </row>
    <row r="380" spans="11:11" x14ac:dyDescent="0.15">
      <c r="K380" s="132"/>
    </row>
    <row r="381" spans="11:11" x14ac:dyDescent="0.15">
      <c r="K381" s="132"/>
    </row>
    <row r="382" spans="11:11" x14ac:dyDescent="0.15">
      <c r="K382" s="132"/>
    </row>
    <row r="383" spans="11:11" x14ac:dyDescent="0.15">
      <c r="K383" s="132"/>
    </row>
    <row r="384" spans="11:11" x14ac:dyDescent="0.15">
      <c r="K384" s="132"/>
    </row>
    <row r="385" spans="11:11" x14ac:dyDescent="0.15">
      <c r="K385" s="132"/>
    </row>
    <row r="386" spans="11:11" x14ac:dyDescent="0.15">
      <c r="K386" s="132"/>
    </row>
    <row r="387" spans="11:11" x14ac:dyDescent="0.15">
      <c r="K387" s="132"/>
    </row>
    <row r="388" spans="11:11" x14ac:dyDescent="0.15">
      <c r="K388" s="132"/>
    </row>
    <row r="389" spans="11:11" x14ac:dyDescent="0.15">
      <c r="K389" s="132"/>
    </row>
    <row r="390" spans="11:11" x14ac:dyDescent="0.15">
      <c r="K390" s="132"/>
    </row>
    <row r="391" spans="11:11" x14ac:dyDescent="0.15">
      <c r="K391" s="132"/>
    </row>
    <row r="392" spans="11:11" x14ac:dyDescent="0.15">
      <c r="K392" s="132"/>
    </row>
    <row r="393" spans="11:11" x14ac:dyDescent="0.15">
      <c r="K393" s="132"/>
    </row>
    <row r="394" spans="11:11" x14ac:dyDescent="0.15">
      <c r="K394" s="132"/>
    </row>
    <row r="395" spans="11:11" x14ac:dyDescent="0.15">
      <c r="K395" s="132"/>
    </row>
    <row r="396" spans="11:11" x14ac:dyDescent="0.15">
      <c r="K396" s="132"/>
    </row>
    <row r="397" spans="11:11" x14ac:dyDescent="0.15">
      <c r="K397" s="132"/>
    </row>
    <row r="398" spans="11:11" x14ac:dyDescent="0.15">
      <c r="K398" s="132"/>
    </row>
    <row r="399" spans="11:11" x14ac:dyDescent="0.15">
      <c r="K399" s="132"/>
    </row>
    <row r="400" spans="11:11" x14ac:dyDescent="0.15">
      <c r="K400" s="132"/>
    </row>
    <row r="401" spans="11:11" x14ac:dyDescent="0.15">
      <c r="K401" s="132"/>
    </row>
    <row r="402" spans="11:11" x14ac:dyDescent="0.15">
      <c r="K402" s="132"/>
    </row>
    <row r="403" spans="11:11" x14ac:dyDescent="0.15">
      <c r="K403" s="132"/>
    </row>
    <row r="404" spans="11:11" x14ac:dyDescent="0.15">
      <c r="K404" s="132"/>
    </row>
    <row r="405" spans="11:11" x14ac:dyDescent="0.15">
      <c r="K405" s="132"/>
    </row>
    <row r="406" spans="11:11" x14ac:dyDescent="0.15">
      <c r="K406" s="132"/>
    </row>
    <row r="407" spans="11:11" x14ac:dyDescent="0.15">
      <c r="K407" s="132"/>
    </row>
    <row r="408" spans="11:11" x14ac:dyDescent="0.15">
      <c r="K408" s="132"/>
    </row>
    <row r="409" spans="11:11" x14ac:dyDescent="0.15">
      <c r="K409" s="132"/>
    </row>
    <row r="410" spans="11:11" x14ac:dyDescent="0.15">
      <c r="K410" s="132"/>
    </row>
    <row r="411" spans="11:11" x14ac:dyDescent="0.15">
      <c r="K411" s="132"/>
    </row>
    <row r="412" spans="11:11" x14ac:dyDescent="0.15">
      <c r="K412" s="132"/>
    </row>
    <row r="413" spans="11:11" x14ac:dyDescent="0.15">
      <c r="K413" s="132"/>
    </row>
    <row r="414" spans="11:11" x14ac:dyDescent="0.15">
      <c r="K414" s="132"/>
    </row>
    <row r="415" spans="11:11" x14ac:dyDescent="0.15">
      <c r="K415" s="132"/>
    </row>
    <row r="416" spans="11:11" x14ac:dyDescent="0.15">
      <c r="K416" s="132"/>
    </row>
    <row r="417" spans="11:11" x14ac:dyDescent="0.15">
      <c r="K417" s="132"/>
    </row>
    <row r="418" spans="11:11" x14ac:dyDescent="0.15">
      <c r="K418" s="132"/>
    </row>
    <row r="419" spans="11:11" x14ac:dyDescent="0.15">
      <c r="K419" s="132"/>
    </row>
    <row r="420" spans="11:11" x14ac:dyDescent="0.15">
      <c r="K420" s="132"/>
    </row>
    <row r="421" spans="11:11" x14ac:dyDescent="0.15">
      <c r="K421" s="132"/>
    </row>
    <row r="422" spans="11:11" x14ac:dyDescent="0.15">
      <c r="K422" s="132"/>
    </row>
    <row r="423" spans="11:11" x14ac:dyDescent="0.15">
      <c r="K423" s="132"/>
    </row>
    <row r="424" spans="11:11" x14ac:dyDescent="0.15">
      <c r="K424" s="132"/>
    </row>
    <row r="425" spans="11:11" x14ac:dyDescent="0.15">
      <c r="K425" s="132"/>
    </row>
    <row r="426" spans="11:11" x14ac:dyDescent="0.15">
      <c r="K426" s="132"/>
    </row>
    <row r="427" spans="11:11" x14ac:dyDescent="0.15">
      <c r="K427" s="132"/>
    </row>
    <row r="428" spans="11:11" x14ac:dyDescent="0.15">
      <c r="K428" s="132"/>
    </row>
    <row r="429" spans="11:11" x14ac:dyDescent="0.15">
      <c r="K429" s="132"/>
    </row>
    <row r="430" spans="11:11" x14ac:dyDescent="0.15">
      <c r="K430" s="132"/>
    </row>
    <row r="431" spans="11:11" x14ac:dyDescent="0.15">
      <c r="K431" s="132"/>
    </row>
    <row r="432" spans="11:11" x14ac:dyDescent="0.15">
      <c r="K432" s="132"/>
    </row>
    <row r="433" spans="11:11" x14ac:dyDescent="0.15">
      <c r="K433" s="132"/>
    </row>
    <row r="434" spans="11:11" x14ac:dyDescent="0.15">
      <c r="K434" s="132"/>
    </row>
    <row r="435" spans="11:11" x14ac:dyDescent="0.15">
      <c r="K435" s="132"/>
    </row>
    <row r="436" spans="11:11" x14ac:dyDescent="0.15">
      <c r="K436" s="132"/>
    </row>
    <row r="437" spans="11:11" x14ac:dyDescent="0.15">
      <c r="K437" s="132"/>
    </row>
    <row r="438" spans="11:11" x14ac:dyDescent="0.15">
      <c r="K438" s="132"/>
    </row>
    <row r="439" spans="11:11" x14ac:dyDescent="0.15">
      <c r="K439" s="132"/>
    </row>
    <row r="440" spans="11:11" x14ac:dyDescent="0.15">
      <c r="K440" s="132"/>
    </row>
    <row r="441" spans="11:11" x14ac:dyDescent="0.15">
      <c r="K441" s="132"/>
    </row>
    <row r="442" spans="11:11" x14ac:dyDescent="0.15">
      <c r="K442" s="132"/>
    </row>
    <row r="443" spans="11:11" x14ac:dyDescent="0.15">
      <c r="K443" s="132"/>
    </row>
  </sheetData>
  <autoFilter ref="A1:BA1" xr:uid="{00000000-0009-0000-0000-000000000000}"/>
  <phoneticPr fontId="3"/>
  <dataValidations count="20">
    <dataValidation type="list" allowBlank="1" showInputMessage="1" showErrorMessage="1" sqref="F2:F491" xr:uid="{D6C8AC5A-E8DE-43D1-A8F8-B6AFB6880DE0}">
      <formula1>$AH$2:$AH$11</formula1>
    </dataValidation>
    <dataValidation type="list" allowBlank="1" showInputMessage="1" showErrorMessage="1" sqref="E2:E491" xr:uid="{8BB165A0-CD18-47D4-9805-1E9670B38A3E}">
      <formula1>$AG$2:$AG$11</formula1>
    </dataValidation>
    <dataValidation type="decimal" allowBlank="1" showInputMessage="1" showErrorMessage="1" error="硬度を正しく入力して下さい。" sqref="O2:P491" xr:uid="{25D343A2-7B46-4EE4-8E4F-5CD40AE94691}">
      <formula1>0</formula1>
      <formula2>7</formula2>
    </dataValidation>
    <dataValidation type="list" allowBlank="1" showInputMessage="1" showErrorMessage="1" sqref="Y2:AA491" xr:uid="{B2DEAA86-1482-4729-9342-C5383A12B1FA}">
      <formula1>$AV$2:$AV$21</formula1>
    </dataValidation>
    <dataValidation type="list" allowBlank="1" showInputMessage="1" showErrorMessage="1" sqref="K444:K491" xr:uid="{84ACEB2E-F5D3-4514-A5FC-A46D0BCA11BD}">
      <formula1>$AR$2:$AR$25</formula1>
    </dataValidation>
    <dataValidation type="list" allowBlank="1" showInputMessage="1" showErrorMessage="1" sqref="I2:I491" xr:uid="{2C439241-C50D-4E31-BCCA-DF716E46F9C3}">
      <formula1>$AN$5:$AN$6</formula1>
    </dataValidation>
    <dataValidation type="list" allowBlank="1" showInputMessage="1" showErrorMessage="1" sqref="H2:H491" xr:uid="{95A360F5-DEF6-4094-A2B5-8897EFFD2D69}">
      <formula1>$AL$2:$AL$8</formula1>
    </dataValidation>
    <dataValidation type="list" allowBlank="1" showInputMessage="1" showErrorMessage="1" sqref="A2:A491" xr:uid="{D2C2BF96-02E2-4659-A256-5AE976878BF3}">
      <formula1>$AE$2:$AE$19</formula1>
    </dataValidation>
    <dataValidation type="list" allowBlank="1" showInputMessage="1" showErrorMessage="1" sqref="X2:X491" xr:uid="{AD6346F0-B979-46F9-A8A7-E4779684F341}">
      <formula1>$AT$2:$AT$3</formula1>
    </dataValidation>
    <dataValidation type="list" allowBlank="1" showInputMessage="1" showErrorMessage="1" sqref="G2:G491" xr:uid="{32579C94-4971-4D98-96B9-7F7D437ECD6C}">
      <formula1>$AJ$2:$AJ$4</formula1>
    </dataValidation>
    <dataValidation type="list" allowBlank="1" showInputMessage="1" showErrorMessage="1" sqref="J2:J491" xr:uid="{A0186C78-94F5-4503-A543-5CEF17353D59}">
      <formula1>$AP$2:$AP$27</formula1>
    </dataValidation>
    <dataValidation operator="equal" allowBlank="1" showInputMessage="1" showErrorMessage="1" sqref="B2:B46" xr:uid="{5DD8D742-36C3-4276-89AB-CC7C179014F3}"/>
    <dataValidation type="list" allowBlank="1" showInputMessage="1" showErrorMessage="1" sqref="F492:F64242" xr:uid="{661B96BD-9CEB-4D1C-9AED-2684E0985DE5}">
      <formula1>$AH$2:$AH$8</formula1>
    </dataValidation>
    <dataValidation type="list" allowBlank="1" showInputMessage="1" showErrorMessage="1" sqref="E492:E64242" xr:uid="{3EF76001-E50C-4C9C-9E99-14DD06FF154A}">
      <formula1>$AG$2:$AG$9</formula1>
    </dataValidation>
    <dataValidation type="list" allowBlank="1" showInputMessage="1" showErrorMessage="1" sqref="H492:H64242" xr:uid="{C39F8C63-F892-492C-82C9-DD2F98CF0B03}">
      <formula1>$AL$2:$AL$10</formula1>
    </dataValidation>
    <dataValidation type="list" allowBlank="1" showInputMessage="1" showErrorMessage="1" sqref="K492:K64242" xr:uid="{334E1FD7-7431-44D2-8C7A-9BAE43989546}">
      <formula1>$AR$2:$AR$28</formula1>
    </dataValidation>
    <dataValidation type="list" allowBlank="1" showInputMessage="1" showErrorMessage="1" sqref="Y492:AA64242" xr:uid="{0D0F2D6B-E170-49EF-AF90-0A4FFA52CA24}">
      <formula1>$AV$2:$AV$26</formula1>
    </dataValidation>
    <dataValidation type="list" allowBlank="1" showInputMessage="1" showErrorMessage="1" sqref="I492:I64242" xr:uid="{F3F7D88D-9A53-418D-8ABD-132BF7D2869A}">
      <formula1>$AN$2:$AN$6</formula1>
    </dataValidation>
    <dataValidation type="list" allowBlank="1" showInputMessage="1" showErrorMessage="1" sqref="J492:J64242" xr:uid="{8738A957-127C-47AE-8FAE-88A716A5A568}">
      <formula1>$AP$2:$AP$16</formula1>
    </dataValidation>
    <dataValidation type="list" allowBlank="1" showInputMessage="1" showErrorMessage="1" sqref="K2:K443" xr:uid="{6622F235-F0AE-4DDC-B51F-7DA0C93FE8A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DBF2-5022-4B33-8DA6-BBF8D9CC9D3B}">
  <dimension ref="A1:BA149"/>
  <sheetViews>
    <sheetView zoomScale="85" zoomScaleNormal="85" workbookViewId="0">
      <pane ySplit="1" topLeftCell="A38" activePane="bottomLeft" state="frozen"/>
      <selection pane="bottomLeft" activeCell="P84" sqref="P84"/>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282</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233</v>
      </c>
      <c r="C2" s="53">
        <v>2019</v>
      </c>
      <c r="D2" s="176" t="s">
        <v>371</v>
      </c>
      <c r="E2" s="53" t="s">
        <v>372</v>
      </c>
      <c r="F2" s="53" t="s">
        <v>373</v>
      </c>
      <c r="G2" s="53" t="s">
        <v>36</v>
      </c>
      <c r="H2" s="53" t="s">
        <v>164</v>
      </c>
      <c r="I2" s="53" t="s">
        <v>159</v>
      </c>
      <c r="J2" s="53" t="s">
        <v>38</v>
      </c>
      <c r="K2" s="53" t="s">
        <v>161</v>
      </c>
      <c r="L2" s="53">
        <v>1</v>
      </c>
      <c r="N2" s="53">
        <v>1</v>
      </c>
      <c r="O2" s="53">
        <v>0.2</v>
      </c>
      <c r="P2" s="53">
        <v>0.2</v>
      </c>
      <c r="Q2" s="75">
        <f t="shared" ref="Q2:Q73" si="0">IF(OR(O2="",P2=""),"",AVERAGE(O2,P2))</f>
        <v>0.2</v>
      </c>
      <c r="R2" s="53">
        <v>15.6</v>
      </c>
      <c r="S2" s="53">
        <v>112</v>
      </c>
      <c r="T2" s="16">
        <f t="shared" ref="T2:T73" si="1">IF(H2="","",IF(OR(H2="GREEN",H2="GK"),IF(S2&gt;=$AX$2,VLOOKUP(S2,$AX$2:$AY$9,2,1),""),IF(S2&gt;=$AZ$2,VLOOKUP(S2,$AZ$2:$BA$9,2,1),"")))</f>
        <v>33</v>
      </c>
      <c r="U2" s="53">
        <v>103</v>
      </c>
      <c r="V2" s="16">
        <f t="shared" ref="V2:V73" si="2">IF(OR(N2="",U2="",T2=""),"",U2/N2*T2)</f>
        <v>3399</v>
      </c>
      <c r="W2" s="53">
        <v>1</v>
      </c>
      <c r="X2" s="53" t="s">
        <v>46</v>
      </c>
      <c r="Y2" s="53" t="s">
        <v>84</v>
      </c>
      <c r="Z2" s="53" t="s">
        <v>69</v>
      </c>
      <c r="AA2" s="53" t="s">
        <v>90</v>
      </c>
      <c r="AB2" s="53" t="s">
        <v>237</v>
      </c>
      <c r="AE2" s="64" t="s">
        <v>35</v>
      </c>
      <c r="AG2" s="177" t="s">
        <v>362</v>
      </c>
      <c r="AH2" s="67" t="s">
        <v>374</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233</v>
      </c>
      <c r="C3" s="53">
        <v>2019</v>
      </c>
      <c r="D3" s="176" t="s">
        <v>371</v>
      </c>
      <c r="E3" s="53" t="s">
        <v>372</v>
      </c>
      <c r="F3" s="53" t="s">
        <v>373</v>
      </c>
      <c r="G3" s="53" t="s">
        <v>36</v>
      </c>
      <c r="H3" s="53" t="s">
        <v>164</v>
      </c>
      <c r="I3" s="53" t="s">
        <v>159</v>
      </c>
      <c r="J3" s="53" t="s">
        <v>38</v>
      </c>
      <c r="K3" s="53" t="s">
        <v>161</v>
      </c>
      <c r="L3" s="53">
        <v>2</v>
      </c>
      <c r="N3" s="53">
        <v>1</v>
      </c>
      <c r="O3" s="53">
        <v>0.2</v>
      </c>
      <c r="P3" s="53">
        <v>0.2</v>
      </c>
      <c r="Q3" s="75">
        <f t="shared" si="0"/>
        <v>0.2</v>
      </c>
      <c r="R3" s="53">
        <v>15.1</v>
      </c>
      <c r="S3" s="53">
        <v>118</v>
      </c>
      <c r="T3" s="16">
        <f t="shared" si="1"/>
        <v>30</v>
      </c>
      <c r="U3" s="53">
        <v>103</v>
      </c>
      <c r="V3" s="16">
        <f t="shared" si="2"/>
        <v>3090</v>
      </c>
      <c r="W3" s="53">
        <v>1</v>
      </c>
      <c r="X3" s="53" t="s">
        <v>46</v>
      </c>
      <c r="Y3" s="53" t="s">
        <v>84</v>
      </c>
      <c r="Z3" s="53" t="s">
        <v>69</v>
      </c>
      <c r="AA3" s="53" t="s">
        <v>90</v>
      </c>
      <c r="AB3" s="53" t="s">
        <v>237</v>
      </c>
      <c r="AE3" s="22" t="s">
        <v>41</v>
      </c>
      <c r="AG3" s="178" t="s">
        <v>375</v>
      </c>
      <c r="AH3" s="67" t="s">
        <v>376</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233</v>
      </c>
      <c r="C4" s="53">
        <v>2019</v>
      </c>
      <c r="D4" s="176" t="s">
        <v>371</v>
      </c>
      <c r="E4" s="53" t="s">
        <v>372</v>
      </c>
      <c r="F4" s="53" t="s">
        <v>373</v>
      </c>
      <c r="G4" s="53" t="s">
        <v>36</v>
      </c>
      <c r="H4" s="53" t="s">
        <v>164</v>
      </c>
      <c r="I4" s="53" t="s">
        <v>159</v>
      </c>
      <c r="J4" s="53" t="s">
        <v>38</v>
      </c>
      <c r="K4" s="53" t="s">
        <v>161</v>
      </c>
      <c r="L4" s="53">
        <v>3</v>
      </c>
      <c r="N4" s="53">
        <v>1</v>
      </c>
      <c r="O4" s="53">
        <v>0.2</v>
      </c>
      <c r="P4" s="53">
        <v>0.2</v>
      </c>
      <c r="Q4" s="75">
        <f t="shared" si="0"/>
        <v>0.2</v>
      </c>
      <c r="R4" s="53">
        <v>15.3</v>
      </c>
      <c r="S4" s="53">
        <v>124</v>
      </c>
      <c r="T4" s="16">
        <f t="shared" si="1"/>
        <v>30</v>
      </c>
      <c r="U4" s="53">
        <v>103</v>
      </c>
      <c r="V4" s="16">
        <f t="shared" si="2"/>
        <v>3090</v>
      </c>
      <c r="W4" s="53">
        <v>1</v>
      </c>
      <c r="X4" s="53" t="s">
        <v>46</v>
      </c>
      <c r="Y4" s="53" t="s">
        <v>84</v>
      </c>
      <c r="Z4" s="53" t="s">
        <v>69</v>
      </c>
      <c r="AA4" s="53" t="s">
        <v>90</v>
      </c>
      <c r="AB4" s="53" t="s">
        <v>237</v>
      </c>
      <c r="AE4" s="22" t="s">
        <v>34</v>
      </c>
      <c r="AG4" s="178" t="s">
        <v>377</v>
      </c>
      <c r="AH4" s="67" t="s">
        <v>378</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233</v>
      </c>
      <c r="C5" s="53">
        <v>2019</v>
      </c>
      <c r="D5" s="176" t="s">
        <v>371</v>
      </c>
      <c r="E5" s="53" t="s">
        <v>379</v>
      </c>
      <c r="F5" s="53" t="s">
        <v>380</v>
      </c>
      <c r="G5" s="53" t="s">
        <v>36</v>
      </c>
      <c r="H5" s="53" t="s">
        <v>164</v>
      </c>
      <c r="I5" s="53" t="s">
        <v>159</v>
      </c>
      <c r="J5" s="53" t="s">
        <v>38</v>
      </c>
      <c r="K5" s="53" t="s">
        <v>161</v>
      </c>
      <c r="L5" s="53">
        <v>1</v>
      </c>
      <c r="N5" s="53">
        <v>1</v>
      </c>
      <c r="O5" s="53">
        <v>0.45</v>
      </c>
      <c r="P5" s="53">
        <v>0.5</v>
      </c>
      <c r="Q5" s="75">
        <f t="shared" si="0"/>
        <v>0.47499999999999998</v>
      </c>
      <c r="R5" s="53">
        <v>15.2</v>
      </c>
      <c r="S5" s="53">
        <v>130</v>
      </c>
      <c r="T5" s="16">
        <f t="shared" si="1"/>
        <v>30</v>
      </c>
      <c r="U5" s="53">
        <v>105</v>
      </c>
      <c r="V5" s="16">
        <f t="shared" si="2"/>
        <v>3150</v>
      </c>
      <c r="W5" s="53">
        <v>3</v>
      </c>
      <c r="X5" s="53" t="s">
        <v>46</v>
      </c>
      <c r="Y5" s="53" t="s">
        <v>84</v>
      </c>
      <c r="Z5" s="53" t="s">
        <v>90</v>
      </c>
      <c r="AA5" s="53" t="s">
        <v>50</v>
      </c>
      <c r="AB5" s="53" t="s">
        <v>237</v>
      </c>
      <c r="AE5" s="22" t="s">
        <v>51</v>
      </c>
      <c r="AG5" s="178" t="s">
        <v>381</v>
      </c>
      <c r="AH5" s="67" t="s">
        <v>382</v>
      </c>
      <c r="AJ5" s="28"/>
      <c r="AL5" s="73" t="s">
        <v>66</v>
      </c>
      <c r="AN5" s="73" t="s">
        <v>52</v>
      </c>
      <c r="AP5" s="23" t="s">
        <v>119</v>
      </c>
      <c r="AR5" s="23" t="s">
        <v>54</v>
      </c>
      <c r="AV5" s="23" t="s">
        <v>55</v>
      </c>
      <c r="AX5" s="24">
        <v>84</v>
      </c>
      <c r="AY5" s="25">
        <v>39</v>
      </c>
      <c r="AZ5" s="25">
        <v>84</v>
      </c>
      <c r="BA5" s="26">
        <v>36</v>
      </c>
    </row>
    <row r="6" spans="1:53" x14ac:dyDescent="0.15">
      <c r="A6" s="53" t="s">
        <v>34</v>
      </c>
      <c r="B6" s="53" t="s">
        <v>233</v>
      </c>
      <c r="C6" s="53">
        <v>2019</v>
      </c>
      <c r="D6" s="176" t="s">
        <v>371</v>
      </c>
      <c r="E6" s="53" t="s">
        <v>379</v>
      </c>
      <c r="F6" s="53" t="s">
        <v>380</v>
      </c>
      <c r="G6" s="53" t="s">
        <v>36</v>
      </c>
      <c r="H6" s="53" t="s">
        <v>164</v>
      </c>
      <c r="I6" s="53" t="s">
        <v>159</v>
      </c>
      <c r="J6" s="53" t="s">
        <v>38</v>
      </c>
      <c r="K6" s="53" t="s">
        <v>161</v>
      </c>
      <c r="L6" s="53">
        <v>2</v>
      </c>
      <c r="N6" s="53">
        <v>1</v>
      </c>
      <c r="O6" s="53">
        <v>0.5</v>
      </c>
      <c r="P6" s="53">
        <v>0.5</v>
      </c>
      <c r="Q6" s="75">
        <f t="shared" si="0"/>
        <v>0.5</v>
      </c>
      <c r="R6" s="53">
        <v>15.7</v>
      </c>
      <c r="S6" s="53">
        <v>130</v>
      </c>
      <c r="T6" s="16">
        <f t="shared" si="1"/>
        <v>30</v>
      </c>
      <c r="U6" s="53">
        <v>105</v>
      </c>
      <c r="V6" s="16">
        <f t="shared" si="2"/>
        <v>3150</v>
      </c>
      <c r="W6" s="53">
        <v>3</v>
      </c>
      <c r="X6" s="53" t="s">
        <v>46</v>
      </c>
      <c r="Y6" s="53" t="s">
        <v>84</v>
      </c>
      <c r="Z6" s="53" t="s">
        <v>90</v>
      </c>
      <c r="AA6" s="53" t="s">
        <v>50</v>
      </c>
      <c r="AB6" s="53" t="s">
        <v>237</v>
      </c>
      <c r="AE6" s="22" t="s">
        <v>56</v>
      </c>
      <c r="AG6" s="178" t="s">
        <v>383</v>
      </c>
      <c r="AH6" s="67" t="s">
        <v>384</v>
      </c>
      <c r="AL6" s="73" t="s">
        <v>99</v>
      </c>
      <c r="AN6" s="73" t="s">
        <v>57</v>
      </c>
      <c r="AP6" s="23" t="s">
        <v>53</v>
      </c>
      <c r="AR6" s="23" t="s">
        <v>59</v>
      </c>
      <c r="AV6" s="23" t="s">
        <v>60</v>
      </c>
      <c r="AX6" s="24">
        <v>97</v>
      </c>
      <c r="AY6" s="25">
        <v>36</v>
      </c>
      <c r="AZ6" s="25">
        <v>99</v>
      </c>
      <c r="BA6" s="26">
        <v>33</v>
      </c>
    </row>
    <row r="7" spans="1:53" x14ac:dyDescent="0.15">
      <c r="A7" s="53" t="s">
        <v>34</v>
      </c>
      <c r="B7" s="53" t="s">
        <v>233</v>
      </c>
      <c r="C7" s="53">
        <v>2019</v>
      </c>
      <c r="D7" s="176" t="s">
        <v>371</v>
      </c>
      <c r="E7" s="53" t="s">
        <v>379</v>
      </c>
      <c r="F7" s="53" t="s">
        <v>380</v>
      </c>
      <c r="G7" s="53" t="s">
        <v>36</v>
      </c>
      <c r="H7" s="53" t="s">
        <v>164</v>
      </c>
      <c r="I7" s="53" t="s">
        <v>159</v>
      </c>
      <c r="J7" s="53" t="s">
        <v>38</v>
      </c>
      <c r="K7" s="53" t="s">
        <v>161</v>
      </c>
      <c r="L7" s="53">
        <v>3</v>
      </c>
      <c r="N7" s="53">
        <v>1</v>
      </c>
      <c r="O7" s="53">
        <v>0.2</v>
      </c>
      <c r="P7" s="53">
        <v>0.45</v>
      </c>
      <c r="Q7" s="75">
        <f t="shared" si="0"/>
        <v>0.32500000000000001</v>
      </c>
      <c r="R7" s="53">
        <v>14.4</v>
      </c>
      <c r="S7" s="53">
        <v>132</v>
      </c>
      <c r="T7" s="16">
        <f t="shared" si="1"/>
        <v>30</v>
      </c>
      <c r="U7" s="53">
        <v>105</v>
      </c>
      <c r="V7" s="16">
        <f t="shared" si="2"/>
        <v>3150</v>
      </c>
      <c r="W7" s="53">
        <v>3</v>
      </c>
      <c r="X7" s="53" t="s">
        <v>46</v>
      </c>
      <c r="Y7" s="53" t="s">
        <v>84</v>
      </c>
      <c r="Z7" s="53" t="s">
        <v>90</v>
      </c>
      <c r="AA7" s="53" t="s">
        <v>50</v>
      </c>
      <c r="AB7" s="53" t="s">
        <v>237</v>
      </c>
      <c r="AE7" s="22" t="s">
        <v>61</v>
      </c>
      <c r="AG7" s="178" t="s">
        <v>270</v>
      </c>
      <c r="AH7" s="67" t="s">
        <v>385</v>
      </c>
      <c r="AL7" s="34" t="s">
        <v>109</v>
      </c>
      <c r="AP7" s="23" t="s">
        <v>58</v>
      </c>
      <c r="AR7" s="23" t="s">
        <v>122</v>
      </c>
      <c r="AV7" s="23" t="s">
        <v>64</v>
      </c>
      <c r="AX7" s="24">
        <v>109</v>
      </c>
      <c r="AY7" s="25">
        <v>33</v>
      </c>
      <c r="AZ7" s="25">
        <v>113</v>
      </c>
      <c r="BA7" s="26">
        <v>30</v>
      </c>
    </row>
    <row r="8" spans="1:53" x14ac:dyDescent="0.15">
      <c r="A8" s="53" t="s">
        <v>34</v>
      </c>
      <c r="B8" s="53" t="s">
        <v>233</v>
      </c>
      <c r="C8" s="53">
        <v>2019</v>
      </c>
      <c r="D8" s="176" t="s">
        <v>371</v>
      </c>
      <c r="E8" s="53" t="s">
        <v>379</v>
      </c>
      <c r="F8" s="53" t="s">
        <v>380</v>
      </c>
      <c r="G8" s="53" t="s">
        <v>36</v>
      </c>
      <c r="H8" s="53" t="s">
        <v>164</v>
      </c>
      <c r="I8" s="53" t="s">
        <v>159</v>
      </c>
      <c r="J8" s="53" t="s">
        <v>38</v>
      </c>
      <c r="K8" s="53" t="s">
        <v>161</v>
      </c>
      <c r="L8" s="53">
        <v>1</v>
      </c>
      <c r="N8" s="53">
        <v>8</v>
      </c>
      <c r="O8" s="53">
        <v>0.2</v>
      </c>
      <c r="P8" s="53">
        <v>0.2</v>
      </c>
      <c r="Q8" s="75">
        <f t="shared" si="0"/>
        <v>0.2</v>
      </c>
      <c r="R8" s="53">
        <v>14</v>
      </c>
      <c r="S8" s="53">
        <v>104</v>
      </c>
      <c r="T8" s="16">
        <f t="shared" si="1"/>
        <v>33</v>
      </c>
      <c r="U8" s="53">
        <v>646</v>
      </c>
      <c r="V8" s="16">
        <f t="shared" si="2"/>
        <v>2664.75</v>
      </c>
      <c r="W8" s="53">
        <v>3</v>
      </c>
      <c r="X8" s="53" t="s">
        <v>46</v>
      </c>
      <c r="Y8" s="53" t="s">
        <v>84</v>
      </c>
      <c r="Z8" s="53" t="s">
        <v>90</v>
      </c>
      <c r="AA8" s="53" t="s">
        <v>50</v>
      </c>
      <c r="AB8" s="53" t="s">
        <v>237</v>
      </c>
      <c r="AE8" s="22" t="s">
        <v>59</v>
      </c>
      <c r="AG8" s="178" t="s">
        <v>379</v>
      </c>
      <c r="AH8" s="67" t="s">
        <v>380</v>
      </c>
      <c r="AL8" s="34" t="s">
        <v>134</v>
      </c>
      <c r="AP8" s="23" t="s">
        <v>62</v>
      </c>
      <c r="AR8" s="23" t="s">
        <v>81</v>
      </c>
      <c r="AV8" s="23" t="s">
        <v>97</v>
      </c>
      <c r="AX8" s="24">
        <v>151</v>
      </c>
      <c r="AY8" s="25">
        <v>22</v>
      </c>
      <c r="AZ8" s="25">
        <v>152</v>
      </c>
      <c r="BA8" s="26">
        <v>18</v>
      </c>
    </row>
    <row r="9" spans="1:53" x14ac:dyDescent="0.15">
      <c r="A9" s="53" t="s">
        <v>34</v>
      </c>
      <c r="B9" s="53" t="s">
        <v>233</v>
      </c>
      <c r="C9" s="53">
        <v>2019</v>
      </c>
      <c r="D9" s="176" t="s">
        <v>371</v>
      </c>
      <c r="E9" s="53" t="s">
        <v>379</v>
      </c>
      <c r="F9" s="53" t="s">
        <v>380</v>
      </c>
      <c r="G9" s="53" t="s">
        <v>36</v>
      </c>
      <c r="H9" s="53" t="s">
        <v>164</v>
      </c>
      <c r="I9" s="53" t="s">
        <v>159</v>
      </c>
      <c r="J9" s="53" t="s">
        <v>38</v>
      </c>
      <c r="K9" s="53" t="s">
        <v>161</v>
      </c>
      <c r="L9" s="53">
        <v>2</v>
      </c>
      <c r="N9" s="53">
        <v>8</v>
      </c>
      <c r="O9" s="53">
        <v>0.5</v>
      </c>
      <c r="P9" s="53">
        <v>0.45</v>
      </c>
      <c r="Q9" s="75">
        <f t="shared" si="0"/>
        <v>0.47499999999999998</v>
      </c>
      <c r="R9" s="53">
        <v>17.399999999999999</v>
      </c>
      <c r="S9" s="53">
        <v>99</v>
      </c>
      <c r="T9" s="16">
        <f t="shared" si="1"/>
        <v>33</v>
      </c>
      <c r="U9" s="53">
        <v>646</v>
      </c>
      <c r="V9" s="16">
        <f t="shared" si="2"/>
        <v>2664.75</v>
      </c>
      <c r="W9" s="53">
        <v>3</v>
      </c>
      <c r="X9" s="53" t="s">
        <v>46</v>
      </c>
      <c r="Y9" s="53" t="s">
        <v>84</v>
      </c>
      <c r="Z9" s="53" t="s">
        <v>90</v>
      </c>
      <c r="AA9" s="53" t="s">
        <v>50</v>
      </c>
      <c r="AB9" s="53" t="s">
        <v>237</v>
      </c>
      <c r="AE9" s="22" t="s">
        <v>98</v>
      </c>
      <c r="AG9" s="178" t="s">
        <v>386</v>
      </c>
      <c r="AH9" s="67" t="s">
        <v>387</v>
      </c>
      <c r="AL9" s="73"/>
      <c r="AP9" s="23" t="s">
        <v>95</v>
      </c>
      <c r="AR9" s="23" t="s">
        <v>89</v>
      </c>
      <c r="AV9" s="23" t="s">
        <v>102</v>
      </c>
      <c r="AX9" s="31">
        <v>180</v>
      </c>
      <c r="AY9" s="32">
        <v>18</v>
      </c>
      <c r="AZ9" s="32">
        <v>181</v>
      </c>
      <c r="BA9" s="33">
        <v>16</v>
      </c>
    </row>
    <row r="10" spans="1:53" x14ac:dyDescent="0.15">
      <c r="A10" s="53" t="s">
        <v>34</v>
      </c>
      <c r="B10" s="53" t="s">
        <v>233</v>
      </c>
      <c r="C10" s="53">
        <v>2019</v>
      </c>
      <c r="D10" s="176" t="s">
        <v>371</v>
      </c>
      <c r="E10" s="53" t="s">
        <v>379</v>
      </c>
      <c r="F10" s="53" t="s">
        <v>380</v>
      </c>
      <c r="G10" s="53" t="s">
        <v>36</v>
      </c>
      <c r="H10" s="53" t="s">
        <v>164</v>
      </c>
      <c r="I10" s="53" t="s">
        <v>159</v>
      </c>
      <c r="J10" s="53" t="s">
        <v>38</v>
      </c>
      <c r="K10" s="53" t="s">
        <v>161</v>
      </c>
      <c r="L10" s="53">
        <v>3</v>
      </c>
      <c r="N10" s="53">
        <v>8</v>
      </c>
      <c r="O10" s="53">
        <v>0.5</v>
      </c>
      <c r="P10" s="53">
        <v>0.5</v>
      </c>
      <c r="Q10" s="75">
        <f t="shared" si="0"/>
        <v>0.5</v>
      </c>
      <c r="R10" s="53">
        <v>15</v>
      </c>
      <c r="S10" s="53">
        <v>93</v>
      </c>
      <c r="T10" s="16">
        <f t="shared" si="1"/>
        <v>36</v>
      </c>
      <c r="U10" s="53">
        <v>646</v>
      </c>
      <c r="V10" s="16">
        <f t="shared" si="2"/>
        <v>2907</v>
      </c>
      <c r="W10" s="53">
        <v>3</v>
      </c>
      <c r="X10" s="53" t="s">
        <v>46</v>
      </c>
      <c r="Y10" s="53" t="s">
        <v>84</v>
      </c>
      <c r="Z10" s="53" t="s">
        <v>90</v>
      </c>
      <c r="AA10" s="53" t="s">
        <v>50</v>
      </c>
      <c r="AB10" s="53" t="s">
        <v>237</v>
      </c>
      <c r="AE10" s="22" t="s">
        <v>103</v>
      </c>
      <c r="AG10" s="178" t="s">
        <v>372</v>
      </c>
      <c r="AH10" s="67" t="s">
        <v>373</v>
      </c>
      <c r="AL10" s="34"/>
      <c r="AP10" s="23" t="s">
        <v>100</v>
      </c>
      <c r="AR10" s="23" t="s">
        <v>123</v>
      </c>
      <c r="AV10" s="23" t="s">
        <v>106</v>
      </c>
    </row>
    <row r="11" spans="1:53" x14ac:dyDescent="0.15">
      <c r="A11" s="53" t="s">
        <v>34</v>
      </c>
      <c r="B11" s="53" t="s">
        <v>233</v>
      </c>
      <c r="C11" s="53">
        <v>2019</v>
      </c>
      <c r="D11" s="176" t="s">
        <v>371</v>
      </c>
      <c r="E11" s="53" t="s">
        <v>379</v>
      </c>
      <c r="F11" s="53" t="s">
        <v>380</v>
      </c>
      <c r="G11" s="53" t="s">
        <v>36</v>
      </c>
      <c r="H11" s="53" t="s">
        <v>160</v>
      </c>
      <c r="I11" s="53" t="s">
        <v>159</v>
      </c>
      <c r="J11" s="53" t="s">
        <v>38</v>
      </c>
      <c r="K11" s="53" t="s">
        <v>161</v>
      </c>
      <c r="L11" s="53">
        <v>1</v>
      </c>
      <c r="N11" s="53">
        <v>8</v>
      </c>
      <c r="O11" s="53">
        <v>0.5</v>
      </c>
      <c r="P11" s="53">
        <v>0.6</v>
      </c>
      <c r="Q11" s="75">
        <f t="shared" si="0"/>
        <v>0.55000000000000004</v>
      </c>
      <c r="R11" s="53">
        <v>13.8</v>
      </c>
      <c r="S11" s="53">
        <v>110</v>
      </c>
      <c r="T11" s="16">
        <f t="shared" si="1"/>
        <v>33</v>
      </c>
      <c r="U11" s="53">
        <v>646</v>
      </c>
      <c r="V11" s="16">
        <f t="shared" si="2"/>
        <v>2664.75</v>
      </c>
      <c r="W11" s="53">
        <v>2</v>
      </c>
      <c r="X11" s="53" t="s">
        <v>46</v>
      </c>
      <c r="Y11" s="53" t="s">
        <v>84</v>
      </c>
      <c r="Z11" s="53" t="s">
        <v>90</v>
      </c>
      <c r="AA11" s="53" t="s">
        <v>50</v>
      </c>
      <c r="AB11" s="53" t="s">
        <v>237</v>
      </c>
      <c r="AE11" s="22" t="s">
        <v>65</v>
      </c>
      <c r="AG11" s="178" t="s">
        <v>211</v>
      </c>
      <c r="AH11" s="67" t="s">
        <v>388</v>
      </c>
      <c r="AL11" s="34"/>
      <c r="AP11" s="23" t="s">
        <v>104</v>
      </c>
      <c r="AR11" s="23" t="s">
        <v>87</v>
      </c>
      <c r="AV11" s="23" t="s">
        <v>69</v>
      </c>
    </row>
    <row r="12" spans="1:53" x14ac:dyDescent="0.15">
      <c r="A12" s="53" t="s">
        <v>34</v>
      </c>
      <c r="B12" s="53" t="s">
        <v>233</v>
      </c>
      <c r="C12" s="53">
        <v>2019</v>
      </c>
      <c r="D12" s="176" t="s">
        <v>371</v>
      </c>
      <c r="E12" s="53" t="s">
        <v>379</v>
      </c>
      <c r="F12" s="53" t="s">
        <v>380</v>
      </c>
      <c r="G12" s="53" t="s">
        <v>36</v>
      </c>
      <c r="H12" s="53" t="s">
        <v>160</v>
      </c>
      <c r="I12" s="53" t="s">
        <v>159</v>
      </c>
      <c r="J12" s="53" t="s">
        <v>38</v>
      </c>
      <c r="K12" s="53" t="s">
        <v>161</v>
      </c>
      <c r="L12" s="53">
        <v>2</v>
      </c>
      <c r="N12" s="53">
        <v>8</v>
      </c>
      <c r="O12" s="53">
        <v>0.2</v>
      </c>
      <c r="P12" s="53">
        <v>0.5</v>
      </c>
      <c r="Q12" s="75">
        <f t="shared" si="0"/>
        <v>0.35</v>
      </c>
      <c r="R12" s="53">
        <v>14.2</v>
      </c>
      <c r="S12" s="53">
        <v>114</v>
      </c>
      <c r="T12" s="16">
        <f t="shared" si="1"/>
        <v>30</v>
      </c>
      <c r="U12" s="53">
        <v>646</v>
      </c>
      <c r="V12" s="16">
        <f t="shared" si="2"/>
        <v>2422.5</v>
      </c>
      <c r="W12" s="53">
        <v>2</v>
      </c>
      <c r="X12" s="53" t="s">
        <v>46</v>
      </c>
      <c r="Y12" s="53" t="s">
        <v>84</v>
      </c>
      <c r="Z12" s="53" t="s">
        <v>90</v>
      </c>
      <c r="AA12" s="53" t="s">
        <v>50</v>
      </c>
      <c r="AB12" s="53" t="s">
        <v>237</v>
      </c>
      <c r="AE12" s="22" t="s">
        <v>70</v>
      </c>
      <c r="AG12" s="28"/>
      <c r="AH12" s="23"/>
      <c r="AL12" s="34"/>
      <c r="AP12" s="23" t="s">
        <v>67</v>
      </c>
      <c r="AR12" s="23" t="s">
        <v>124</v>
      </c>
      <c r="AV12" s="23" t="s">
        <v>72</v>
      </c>
    </row>
    <row r="13" spans="1:53" x14ac:dyDescent="0.15">
      <c r="A13" s="53" t="s">
        <v>34</v>
      </c>
      <c r="B13" s="53" t="s">
        <v>233</v>
      </c>
      <c r="C13" s="53">
        <v>2019</v>
      </c>
      <c r="D13" s="176" t="s">
        <v>371</v>
      </c>
      <c r="E13" s="53" t="s">
        <v>379</v>
      </c>
      <c r="F13" s="53" t="s">
        <v>380</v>
      </c>
      <c r="G13" s="53" t="s">
        <v>36</v>
      </c>
      <c r="H13" s="53" t="s">
        <v>160</v>
      </c>
      <c r="I13" s="53" t="s">
        <v>159</v>
      </c>
      <c r="J13" s="53" t="s">
        <v>38</v>
      </c>
      <c r="K13" s="53" t="s">
        <v>161</v>
      </c>
      <c r="L13" s="53">
        <v>3</v>
      </c>
      <c r="N13" s="53">
        <v>8</v>
      </c>
      <c r="O13" s="53">
        <v>0.2</v>
      </c>
      <c r="P13" s="53">
        <v>0.45</v>
      </c>
      <c r="Q13" s="75">
        <f t="shared" si="0"/>
        <v>0.32500000000000001</v>
      </c>
      <c r="R13" s="53">
        <v>14.8</v>
      </c>
      <c r="S13" s="53">
        <v>110</v>
      </c>
      <c r="T13" s="16">
        <f t="shared" si="1"/>
        <v>33</v>
      </c>
      <c r="U13" s="53">
        <v>646</v>
      </c>
      <c r="V13" s="16">
        <f t="shared" si="2"/>
        <v>2664.75</v>
      </c>
      <c r="W13" s="53">
        <v>2</v>
      </c>
      <c r="X13" s="53" t="s">
        <v>46</v>
      </c>
      <c r="Y13" s="53" t="s">
        <v>84</v>
      </c>
      <c r="Z13" s="53" t="s">
        <v>90</v>
      </c>
      <c r="AA13" s="53" t="s">
        <v>50</v>
      </c>
      <c r="AB13" s="53" t="s">
        <v>237</v>
      </c>
      <c r="AE13" s="22" t="s">
        <v>73</v>
      </c>
      <c r="AH13" s="28"/>
      <c r="AP13" s="23" t="s">
        <v>71</v>
      </c>
      <c r="AR13" s="23" t="s">
        <v>103</v>
      </c>
      <c r="AV13" s="23" t="s">
        <v>75</v>
      </c>
    </row>
    <row r="14" spans="1:53" x14ac:dyDescent="0.15">
      <c r="A14" s="53" t="s">
        <v>34</v>
      </c>
      <c r="B14" s="53" t="s">
        <v>233</v>
      </c>
      <c r="C14" s="53">
        <v>2019</v>
      </c>
      <c r="D14" s="176" t="s">
        <v>371</v>
      </c>
      <c r="E14" s="53" t="s">
        <v>211</v>
      </c>
      <c r="F14" s="53" t="s">
        <v>388</v>
      </c>
      <c r="G14" s="53" t="s">
        <v>36</v>
      </c>
      <c r="H14" s="53" t="s">
        <v>164</v>
      </c>
      <c r="I14" s="53" t="s">
        <v>159</v>
      </c>
      <c r="J14" s="53" t="s">
        <v>38</v>
      </c>
      <c r="K14" s="53" t="s">
        <v>161</v>
      </c>
      <c r="L14" s="53">
        <v>1</v>
      </c>
      <c r="N14" s="53">
        <v>1</v>
      </c>
      <c r="O14" s="53">
        <v>0.8</v>
      </c>
      <c r="P14" s="53">
        <v>0.65</v>
      </c>
      <c r="Q14" s="75">
        <f t="shared" si="0"/>
        <v>0.72500000000000009</v>
      </c>
      <c r="R14" s="53">
        <v>15.1</v>
      </c>
      <c r="S14" s="53">
        <v>122</v>
      </c>
      <c r="T14" s="16">
        <f t="shared" si="1"/>
        <v>30</v>
      </c>
      <c r="U14" s="53">
        <v>126</v>
      </c>
      <c r="V14" s="16">
        <f t="shared" si="2"/>
        <v>3780</v>
      </c>
      <c r="W14" s="53">
        <v>2</v>
      </c>
      <c r="X14" s="53" t="s">
        <v>46</v>
      </c>
      <c r="Y14" s="53" t="s">
        <v>50</v>
      </c>
      <c r="Z14" s="53" t="s">
        <v>90</v>
      </c>
      <c r="AA14" s="53" t="s">
        <v>84</v>
      </c>
      <c r="AB14" s="53" t="s">
        <v>237</v>
      </c>
      <c r="AE14" s="22" t="s">
        <v>76</v>
      </c>
      <c r="AG14" s="179"/>
      <c r="AP14" s="23" t="s">
        <v>74</v>
      </c>
      <c r="AR14" s="23" t="s">
        <v>125</v>
      </c>
      <c r="AV14" s="23" t="s">
        <v>78</v>
      </c>
    </row>
    <row r="15" spans="1:53" x14ac:dyDescent="0.15">
      <c r="A15" s="53" t="s">
        <v>34</v>
      </c>
      <c r="B15" s="53" t="s">
        <v>233</v>
      </c>
      <c r="C15" s="53">
        <v>2019</v>
      </c>
      <c r="D15" s="176" t="s">
        <v>371</v>
      </c>
      <c r="E15" s="53" t="s">
        <v>211</v>
      </c>
      <c r="F15" s="53" t="s">
        <v>388</v>
      </c>
      <c r="G15" s="53" t="s">
        <v>36</v>
      </c>
      <c r="H15" s="53" t="s">
        <v>164</v>
      </c>
      <c r="I15" s="53" t="s">
        <v>159</v>
      </c>
      <c r="J15" s="53" t="s">
        <v>38</v>
      </c>
      <c r="K15" s="53" t="s">
        <v>161</v>
      </c>
      <c r="L15" s="53">
        <v>2</v>
      </c>
      <c r="N15" s="53">
        <v>1</v>
      </c>
      <c r="O15" s="53">
        <v>0.2</v>
      </c>
      <c r="P15" s="53">
        <v>0.2</v>
      </c>
      <c r="Q15" s="75">
        <f t="shared" si="0"/>
        <v>0.2</v>
      </c>
      <c r="R15" s="53">
        <v>15.2</v>
      </c>
      <c r="S15" s="53">
        <v>126</v>
      </c>
      <c r="T15" s="16">
        <f t="shared" si="1"/>
        <v>30</v>
      </c>
      <c r="U15" s="53">
        <v>126</v>
      </c>
      <c r="V15" s="16">
        <f t="shared" si="2"/>
        <v>3780</v>
      </c>
      <c r="W15" s="53">
        <v>2</v>
      </c>
      <c r="X15" s="53" t="s">
        <v>46</v>
      </c>
      <c r="Y15" s="53" t="s">
        <v>50</v>
      </c>
      <c r="Z15" s="53" t="s">
        <v>90</v>
      </c>
      <c r="AA15" s="53" t="s">
        <v>84</v>
      </c>
      <c r="AB15" s="53" t="s">
        <v>237</v>
      </c>
      <c r="AE15" s="22" t="s">
        <v>79</v>
      </c>
      <c r="AP15" s="23" t="s">
        <v>77</v>
      </c>
      <c r="AR15" s="23" t="s">
        <v>94</v>
      </c>
      <c r="AV15" s="23" t="s">
        <v>107</v>
      </c>
    </row>
    <row r="16" spans="1:53" x14ac:dyDescent="0.15">
      <c r="A16" s="53" t="s">
        <v>34</v>
      </c>
      <c r="B16" s="53" t="s">
        <v>233</v>
      </c>
      <c r="C16" s="53">
        <v>2019</v>
      </c>
      <c r="D16" s="176" t="s">
        <v>371</v>
      </c>
      <c r="E16" s="53" t="s">
        <v>211</v>
      </c>
      <c r="F16" s="53" t="s">
        <v>388</v>
      </c>
      <c r="G16" s="53" t="s">
        <v>36</v>
      </c>
      <c r="H16" s="53" t="s">
        <v>164</v>
      </c>
      <c r="I16" s="53" t="s">
        <v>159</v>
      </c>
      <c r="J16" s="53" t="s">
        <v>38</v>
      </c>
      <c r="K16" s="53" t="s">
        <v>161</v>
      </c>
      <c r="L16" s="53">
        <v>3</v>
      </c>
      <c r="N16" s="53">
        <v>1</v>
      </c>
      <c r="O16" s="53">
        <v>0.2</v>
      </c>
      <c r="P16" s="53">
        <v>0.2</v>
      </c>
      <c r="Q16" s="75">
        <f t="shared" si="0"/>
        <v>0.2</v>
      </c>
      <c r="R16" s="53">
        <v>17.5</v>
      </c>
      <c r="S16" s="53">
        <v>128</v>
      </c>
      <c r="T16" s="16">
        <f t="shared" si="1"/>
        <v>30</v>
      </c>
      <c r="U16" s="53">
        <v>126</v>
      </c>
      <c r="V16" s="16">
        <f t="shared" si="2"/>
        <v>3780</v>
      </c>
      <c r="W16" s="53">
        <v>2</v>
      </c>
      <c r="X16" s="53" t="s">
        <v>46</v>
      </c>
      <c r="Y16" s="53" t="s">
        <v>50</v>
      </c>
      <c r="Z16" s="53" t="s">
        <v>90</v>
      </c>
      <c r="AA16" s="53" t="s">
        <v>84</v>
      </c>
      <c r="AB16" s="53" t="s">
        <v>237</v>
      </c>
      <c r="AE16" s="22" t="s">
        <v>82</v>
      </c>
      <c r="AP16" s="23" t="s">
        <v>80</v>
      </c>
      <c r="AR16" s="23" t="s">
        <v>63</v>
      </c>
      <c r="AV16" s="23" t="s">
        <v>84</v>
      </c>
    </row>
    <row r="17" spans="1:48" x14ac:dyDescent="0.15">
      <c r="A17" s="53" t="s">
        <v>34</v>
      </c>
      <c r="B17" s="53" t="s">
        <v>233</v>
      </c>
      <c r="C17" s="53">
        <v>2019</v>
      </c>
      <c r="D17" s="176" t="s">
        <v>371</v>
      </c>
      <c r="E17" s="53" t="s">
        <v>211</v>
      </c>
      <c r="F17" s="53" t="s">
        <v>388</v>
      </c>
      <c r="G17" s="53" t="s">
        <v>36</v>
      </c>
      <c r="H17" s="53" t="s">
        <v>160</v>
      </c>
      <c r="I17" s="53" t="s">
        <v>159</v>
      </c>
      <c r="J17" s="53" t="s">
        <v>38</v>
      </c>
      <c r="K17" s="53" t="s">
        <v>161</v>
      </c>
      <c r="L17" s="53">
        <v>1</v>
      </c>
      <c r="N17" s="53">
        <v>1</v>
      </c>
      <c r="O17" s="53">
        <v>0.2</v>
      </c>
      <c r="P17" s="53">
        <v>0.45</v>
      </c>
      <c r="Q17" s="75">
        <f t="shared" si="0"/>
        <v>0.32500000000000001</v>
      </c>
      <c r="R17" s="53">
        <v>15.9</v>
      </c>
      <c r="S17" s="53">
        <v>162</v>
      </c>
      <c r="T17" s="16">
        <f t="shared" si="1"/>
        <v>18</v>
      </c>
      <c r="U17" s="53">
        <v>137</v>
      </c>
      <c r="V17" s="16">
        <f t="shared" si="2"/>
        <v>2466</v>
      </c>
      <c r="W17" s="53">
        <v>2</v>
      </c>
      <c r="X17" s="53" t="s">
        <v>46</v>
      </c>
      <c r="Y17" s="53" t="s">
        <v>50</v>
      </c>
      <c r="Z17" s="53" t="s">
        <v>90</v>
      </c>
      <c r="AA17" s="53" t="s">
        <v>84</v>
      </c>
      <c r="AB17" s="53" t="s">
        <v>237</v>
      </c>
      <c r="AE17" s="22" t="s">
        <v>85</v>
      </c>
      <c r="AP17" s="27" t="s">
        <v>110</v>
      </c>
      <c r="AR17" s="23" t="s">
        <v>96</v>
      </c>
      <c r="AV17" s="23" t="s">
        <v>86</v>
      </c>
    </row>
    <row r="18" spans="1:48" x14ac:dyDescent="0.15">
      <c r="A18" s="53" t="s">
        <v>34</v>
      </c>
      <c r="B18" s="53" t="s">
        <v>233</v>
      </c>
      <c r="C18" s="53">
        <v>2019</v>
      </c>
      <c r="D18" s="176" t="s">
        <v>371</v>
      </c>
      <c r="E18" s="53" t="s">
        <v>211</v>
      </c>
      <c r="F18" s="53" t="s">
        <v>388</v>
      </c>
      <c r="G18" s="53" t="s">
        <v>36</v>
      </c>
      <c r="H18" s="53" t="s">
        <v>160</v>
      </c>
      <c r="I18" s="53" t="s">
        <v>159</v>
      </c>
      <c r="J18" s="53" t="s">
        <v>38</v>
      </c>
      <c r="K18" s="53" t="s">
        <v>161</v>
      </c>
      <c r="L18" s="53">
        <v>2</v>
      </c>
      <c r="N18" s="53">
        <v>1</v>
      </c>
      <c r="O18" s="53">
        <v>0.2</v>
      </c>
      <c r="P18" s="53">
        <v>0.2</v>
      </c>
      <c r="Q18" s="75">
        <f t="shared" si="0"/>
        <v>0.2</v>
      </c>
      <c r="R18" s="53">
        <v>17.100000000000001</v>
      </c>
      <c r="S18" s="53">
        <v>158</v>
      </c>
      <c r="T18" s="16">
        <f t="shared" si="1"/>
        <v>18</v>
      </c>
      <c r="U18" s="53">
        <v>137</v>
      </c>
      <c r="V18" s="16">
        <f t="shared" si="2"/>
        <v>2466</v>
      </c>
      <c r="W18" s="53">
        <v>2</v>
      </c>
      <c r="X18" s="53" t="s">
        <v>46</v>
      </c>
      <c r="Y18" s="53" t="s">
        <v>50</v>
      </c>
      <c r="Z18" s="53" t="s">
        <v>90</v>
      </c>
      <c r="AA18" s="53" t="s">
        <v>84</v>
      </c>
      <c r="AB18" s="53" t="s">
        <v>237</v>
      </c>
      <c r="AE18" s="22" t="s">
        <v>87</v>
      </c>
      <c r="AP18" s="27" t="s">
        <v>111</v>
      </c>
      <c r="AR18" s="23" t="s">
        <v>101</v>
      </c>
      <c r="AV18" s="23" t="s">
        <v>88</v>
      </c>
    </row>
    <row r="19" spans="1:48" x14ac:dyDescent="0.15">
      <c r="A19" s="53" t="s">
        <v>34</v>
      </c>
      <c r="B19" s="53" t="s">
        <v>233</v>
      </c>
      <c r="C19" s="53">
        <v>2019</v>
      </c>
      <c r="D19" s="176" t="s">
        <v>371</v>
      </c>
      <c r="E19" s="53" t="s">
        <v>211</v>
      </c>
      <c r="F19" s="53" t="s">
        <v>388</v>
      </c>
      <c r="G19" s="53" t="s">
        <v>36</v>
      </c>
      <c r="H19" s="53" t="s">
        <v>160</v>
      </c>
      <c r="I19" s="53" t="s">
        <v>159</v>
      </c>
      <c r="J19" s="53" t="s">
        <v>38</v>
      </c>
      <c r="K19" s="53" t="s">
        <v>161</v>
      </c>
      <c r="L19" s="53">
        <v>3</v>
      </c>
      <c r="N19" s="53">
        <v>1</v>
      </c>
      <c r="O19" s="53">
        <v>0.2</v>
      </c>
      <c r="P19" s="53">
        <v>0.2</v>
      </c>
      <c r="Q19" s="75">
        <f t="shared" si="0"/>
        <v>0.2</v>
      </c>
      <c r="R19" s="53">
        <v>16.5</v>
      </c>
      <c r="S19" s="53">
        <v>156</v>
      </c>
      <c r="T19" s="16">
        <f t="shared" si="1"/>
        <v>18</v>
      </c>
      <c r="U19" s="53">
        <v>137</v>
      </c>
      <c r="V19" s="16">
        <f t="shared" si="2"/>
        <v>2466</v>
      </c>
      <c r="W19" s="53">
        <v>2</v>
      </c>
      <c r="X19" s="53" t="s">
        <v>46</v>
      </c>
      <c r="Y19" s="53" t="s">
        <v>50</v>
      </c>
      <c r="Z19" s="53" t="s">
        <v>90</v>
      </c>
      <c r="AA19" s="53" t="s">
        <v>84</v>
      </c>
      <c r="AB19" s="53" t="s">
        <v>237</v>
      </c>
      <c r="AE19" s="35" t="s">
        <v>89</v>
      </c>
      <c r="AP19" s="27" t="s">
        <v>112</v>
      </c>
      <c r="AR19" s="23" t="s">
        <v>126</v>
      </c>
      <c r="AV19" s="23" t="s">
        <v>90</v>
      </c>
    </row>
    <row r="20" spans="1:48" x14ac:dyDescent="0.15">
      <c r="A20" s="53" t="s">
        <v>34</v>
      </c>
      <c r="B20" s="53" t="s">
        <v>233</v>
      </c>
      <c r="C20" s="53">
        <v>2019</v>
      </c>
      <c r="D20" s="176" t="s">
        <v>371</v>
      </c>
      <c r="E20" s="53" t="s">
        <v>377</v>
      </c>
      <c r="F20" s="53" t="s">
        <v>378</v>
      </c>
      <c r="G20" s="53" t="s">
        <v>36</v>
      </c>
      <c r="H20" s="53" t="s">
        <v>164</v>
      </c>
      <c r="I20" s="53" t="s">
        <v>159</v>
      </c>
      <c r="J20" s="53" t="s">
        <v>38</v>
      </c>
      <c r="K20" s="53" t="s">
        <v>161</v>
      </c>
      <c r="L20" s="53">
        <v>1</v>
      </c>
      <c r="N20" s="53">
        <v>1</v>
      </c>
      <c r="O20" s="53">
        <v>0.2</v>
      </c>
      <c r="P20" s="53">
        <v>0.2</v>
      </c>
      <c r="Q20" s="75">
        <f t="shared" si="0"/>
        <v>0.2</v>
      </c>
      <c r="R20" s="53">
        <v>15.5</v>
      </c>
      <c r="S20" s="53">
        <v>144</v>
      </c>
      <c r="T20" s="16">
        <f t="shared" si="1"/>
        <v>30</v>
      </c>
      <c r="U20" s="53">
        <v>108</v>
      </c>
      <c r="V20" s="16">
        <f t="shared" si="2"/>
        <v>3240</v>
      </c>
      <c r="W20" s="53">
        <v>2</v>
      </c>
      <c r="X20" s="53" t="s">
        <v>39</v>
      </c>
      <c r="Y20" s="53" t="s">
        <v>84</v>
      </c>
      <c r="Z20" s="53" t="s">
        <v>78</v>
      </c>
      <c r="AA20" s="53" t="s">
        <v>50</v>
      </c>
      <c r="AB20" s="53" t="s">
        <v>237</v>
      </c>
      <c r="AP20" s="27" t="s">
        <v>113</v>
      </c>
      <c r="AR20" s="23" t="s">
        <v>105</v>
      </c>
      <c r="AV20" s="27" t="s">
        <v>135</v>
      </c>
    </row>
    <row r="21" spans="1:48" x14ac:dyDescent="0.15">
      <c r="A21" s="53" t="s">
        <v>34</v>
      </c>
      <c r="B21" s="53" t="s">
        <v>233</v>
      </c>
      <c r="C21" s="53">
        <v>2019</v>
      </c>
      <c r="D21" s="176" t="s">
        <v>371</v>
      </c>
      <c r="E21" s="53" t="s">
        <v>377</v>
      </c>
      <c r="F21" s="53" t="s">
        <v>378</v>
      </c>
      <c r="G21" s="53" t="s">
        <v>36</v>
      </c>
      <c r="H21" s="53" t="s">
        <v>164</v>
      </c>
      <c r="I21" s="53" t="s">
        <v>159</v>
      </c>
      <c r="J21" s="53" t="s">
        <v>38</v>
      </c>
      <c r="K21" s="53" t="s">
        <v>161</v>
      </c>
      <c r="L21" s="53">
        <v>2</v>
      </c>
      <c r="N21" s="53">
        <v>1</v>
      </c>
      <c r="O21" s="53">
        <v>0.5</v>
      </c>
      <c r="P21" s="53">
        <v>0.5</v>
      </c>
      <c r="Q21" s="75">
        <f t="shared" si="0"/>
        <v>0.5</v>
      </c>
      <c r="R21" s="53">
        <v>16.7</v>
      </c>
      <c r="S21" s="53">
        <v>140</v>
      </c>
      <c r="T21" s="16">
        <f t="shared" si="1"/>
        <v>30</v>
      </c>
      <c r="U21" s="53">
        <v>108</v>
      </c>
      <c r="V21" s="16">
        <f t="shared" si="2"/>
        <v>3240</v>
      </c>
      <c r="W21" s="53">
        <v>2</v>
      </c>
      <c r="X21" s="53" t="s">
        <v>39</v>
      </c>
      <c r="Y21" s="53" t="s">
        <v>84</v>
      </c>
      <c r="Z21" s="53" t="s">
        <v>78</v>
      </c>
      <c r="AA21" s="53" t="s">
        <v>50</v>
      </c>
      <c r="AB21" s="53" t="s">
        <v>237</v>
      </c>
      <c r="AP21" s="27" t="s">
        <v>114</v>
      </c>
      <c r="AR21" s="23" t="s">
        <v>68</v>
      </c>
      <c r="AV21" s="27" t="s">
        <v>136</v>
      </c>
    </row>
    <row r="22" spans="1:48" x14ac:dyDescent="0.15">
      <c r="A22" s="53" t="s">
        <v>34</v>
      </c>
      <c r="B22" s="53" t="s">
        <v>233</v>
      </c>
      <c r="C22" s="53">
        <v>2019</v>
      </c>
      <c r="D22" s="176" t="s">
        <v>371</v>
      </c>
      <c r="E22" s="53" t="s">
        <v>377</v>
      </c>
      <c r="F22" s="53" t="s">
        <v>378</v>
      </c>
      <c r="G22" s="53" t="s">
        <v>36</v>
      </c>
      <c r="H22" s="53" t="s">
        <v>164</v>
      </c>
      <c r="I22" s="53" t="s">
        <v>159</v>
      </c>
      <c r="J22" s="53" t="s">
        <v>38</v>
      </c>
      <c r="K22" s="53" t="s">
        <v>161</v>
      </c>
      <c r="L22" s="53">
        <v>3</v>
      </c>
      <c r="N22" s="53">
        <v>1</v>
      </c>
      <c r="O22" s="53">
        <v>0.65</v>
      </c>
      <c r="P22" s="53">
        <v>0.55000000000000004</v>
      </c>
      <c r="Q22" s="75">
        <f t="shared" si="0"/>
        <v>0.60000000000000009</v>
      </c>
      <c r="R22" s="53">
        <v>14.7</v>
      </c>
      <c r="S22" s="53">
        <v>134</v>
      </c>
      <c r="T22" s="16">
        <f t="shared" si="1"/>
        <v>30</v>
      </c>
      <c r="U22" s="53">
        <v>108</v>
      </c>
      <c r="V22" s="16">
        <f t="shared" si="2"/>
        <v>3240</v>
      </c>
      <c r="W22" s="53">
        <v>2</v>
      </c>
      <c r="X22" s="53" t="s">
        <v>39</v>
      </c>
      <c r="Y22" s="53" t="s">
        <v>84</v>
      </c>
      <c r="Z22" s="53" t="s">
        <v>78</v>
      </c>
      <c r="AA22" s="53" t="s">
        <v>50</v>
      </c>
      <c r="AB22" s="53" t="s">
        <v>237</v>
      </c>
      <c r="AP22" s="27" t="s">
        <v>115</v>
      </c>
      <c r="AR22" s="23" t="s">
        <v>83</v>
      </c>
      <c r="AV22" s="27"/>
    </row>
    <row r="23" spans="1:48" x14ac:dyDescent="0.15">
      <c r="A23" s="53" t="s">
        <v>34</v>
      </c>
      <c r="B23" s="53" t="s">
        <v>233</v>
      </c>
      <c r="C23" s="53">
        <v>2019</v>
      </c>
      <c r="D23" s="176" t="s">
        <v>371</v>
      </c>
      <c r="E23" s="53" t="s">
        <v>377</v>
      </c>
      <c r="F23" s="53" t="s">
        <v>378</v>
      </c>
      <c r="G23" s="53" t="s">
        <v>36</v>
      </c>
      <c r="H23" s="53" t="s">
        <v>160</v>
      </c>
      <c r="I23" s="53" t="s">
        <v>159</v>
      </c>
      <c r="J23" s="53" t="s">
        <v>38</v>
      </c>
      <c r="K23" s="53" t="s">
        <v>161</v>
      </c>
      <c r="L23" s="53">
        <v>1</v>
      </c>
      <c r="N23" s="53">
        <v>1</v>
      </c>
      <c r="O23" s="53">
        <v>0.2</v>
      </c>
      <c r="P23" s="53">
        <v>0.2</v>
      </c>
      <c r="Q23" s="75">
        <f t="shared" si="0"/>
        <v>0.2</v>
      </c>
      <c r="R23" s="53">
        <v>15.7</v>
      </c>
      <c r="S23" s="53">
        <v>148</v>
      </c>
      <c r="T23" s="16">
        <f t="shared" si="1"/>
        <v>30</v>
      </c>
      <c r="U23" s="53">
        <v>138</v>
      </c>
      <c r="V23" s="16">
        <f t="shared" si="2"/>
        <v>4140</v>
      </c>
      <c r="W23" s="53">
        <v>1</v>
      </c>
      <c r="X23" s="53" t="s">
        <v>39</v>
      </c>
      <c r="Y23" s="53" t="s">
        <v>84</v>
      </c>
      <c r="Z23" s="53" t="s">
        <v>78</v>
      </c>
      <c r="AA23" s="53" t="s">
        <v>50</v>
      </c>
      <c r="AB23" s="53" t="s">
        <v>237</v>
      </c>
      <c r="AP23" s="27" t="s">
        <v>117</v>
      </c>
      <c r="AR23" s="23" t="s">
        <v>153</v>
      </c>
    </row>
    <row r="24" spans="1:48" x14ac:dyDescent="0.15">
      <c r="A24" s="53" t="s">
        <v>34</v>
      </c>
      <c r="B24" s="53" t="s">
        <v>233</v>
      </c>
      <c r="C24" s="53">
        <v>2019</v>
      </c>
      <c r="D24" s="176" t="s">
        <v>371</v>
      </c>
      <c r="E24" s="53" t="s">
        <v>377</v>
      </c>
      <c r="F24" s="53" t="s">
        <v>378</v>
      </c>
      <c r="G24" s="53" t="s">
        <v>36</v>
      </c>
      <c r="H24" s="53" t="s">
        <v>160</v>
      </c>
      <c r="I24" s="53" t="s">
        <v>159</v>
      </c>
      <c r="J24" s="53" t="s">
        <v>38</v>
      </c>
      <c r="K24" s="53" t="s">
        <v>161</v>
      </c>
      <c r="L24" s="53">
        <v>2</v>
      </c>
      <c r="N24" s="53">
        <v>1</v>
      </c>
      <c r="O24" s="53">
        <v>0.2</v>
      </c>
      <c r="P24" s="53">
        <v>0.2</v>
      </c>
      <c r="Q24" s="75">
        <f t="shared" si="0"/>
        <v>0.2</v>
      </c>
      <c r="R24" s="53">
        <v>16.899999999999999</v>
      </c>
      <c r="S24" s="53">
        <v>150</v>
      </c>
      <c r="T24" s="16">
        <f t="shared" si="1"/>
        <v>30</v>
      </c>
      <c r="U24" s="53">
        <v>138</v>
      </c>
      <c r="V24" s="16">
        <f t="shared" si="2"/>
        <v>4140</v>
      </c>
      <c r="W24" s="53">
        <v>1</v>
      </c>
      <c r="X24" s="53" t="s">
        <v>39</v>
      </c>
      <c r="Y24" s="53" t="s">
        <v>84</v>
      </c>
      <c r="Z24" s="53" t="s">
        <v>78</v>
      </c>
      <c r="AA24" s="53" t="s">
        <v>50</v>
      </c>
      <c r="AB24" s="53" t="s">
        <v>237</v>
      </c>
      <c r="AP24" s="27" t="s">
        <v>118</v>
      </c>
    </row>
    <row r="25" spans="1:48" x14ac:dyDescent="0.15">
      <c r="A25" s="53" t="s">
        <v>34</v>
      </c>
      <c r="B25" s="53" t="s">
        <v>233</v>
      </c>
      <c r="C25" s="53">
        <v>2019</v>
      </c>
      <c r="D25" s="176" t="s">
        <v>371</v>
      </c>
      <c r="E25" s="53" t="s">
        <v>377</v>
      </c>
      <c r="F25" s="53" t="s">
        <v>378</v>
      </c>
      <c r="G25" s="53" t="s">
        <v>36</v>
      </c>
      <c r="H25" s="53" t="s">
        <v>160</v>
      </c>
      <c r="I25" s="53" t="s">
        <v>159</v>
      </c>
      <c r="J25" s="53" t="s">
        <v>38</v>
      </c>
      <c r="K25" s="53" t="s">
        <v>161</v>
      </c>
      <c r="L25" s="53">
        <v>3</v>
      </c>
      <c r="N25" s="53">
        <v>1</v>
      </c>
      <c r="O25" s="53">
        <v>0.2</v>
      </c>
      <c r="P25" s="53">
        <v>0.2</v>
      </c>
      <c r="Q25" s="75">
        <f t="shared" si="0"/>
        <v>0.2</v>
      </c>
      <c r="R25" s="53">
        <v>17.100000000000001</v>
      </c>
      <c r="S25" s="53">
        <v>152</v>
      </c>
      <c r="T25" s="16">
        <f t="shared" si="1"/>
        <v>18</v>
      </c>
      <c r="U25" s="53">
        <v>138</v>
      </c>
      <c r="V25" s="16">
        <f t="shared" si="2"/>
        <v>2484</v>
      </c>
      <c r="W25" s="53">
        <v>1</v>
      </c>
      <c r="X25" s="53" t="s">
        <v>39</v>
      </c>
      <c r="Y25" s="53" t="s">
        <v>84</v>
      </c>
      <c r="Z25" s="53" t="s">
        <v>78</v>
      </c>
      <c r="AA25" s="53" t="s">
        <v>50</v>
      </c>
      <c r="AB25" s="53" t="s">
        <v>237</v>
      </c>
    </row>
    <row r="26" spans="1:48" x14ac:dyDescent="0.15">
      <c r="A26" s="53" t="s">
        <v>34</v>
      </c>
      <c r="B26" s="53" t="s">
        <v>233</v>
      </c>
      <c r="C26" s="53">
        <v>2019</v>
      </c>
      <c r="D26" s="176" t="s">
        <v>371</v>
      </c>
      <c r="E26" s="53" t="s">
        <v>386</v>
      </c>
      <c r="F26" s="53" t="s">
        <v>387</v>
      </c>
      <c r="G26" s="53" t="s">
        <v>36</v>
      </c>
      <c r="H26" s="53" t="s">
        <v>164</v>
      </c>
      <c r="I26" s="53" t="s">
        <v>159</v>
      </c>
      <c r="J26" s="53" t="s">
        <v>38</v>
      </c>
      <c r="K26" s="53" t="s">
        <v>161</v>
      </c>
      <c r="L26" s="53">
        <v>1</v>
      </c>
      <c r="N26" s="53">
        <v>1</v>
      </c>
      <c r="O26" s="53">
        <v>0.45</v>
      </c>
      <c r="P26" s="53">
        <v>0.5</v>
      </c>
      <c r="Q26" s="75">
        <f t="shared" si="0"/>
        <v>0.47499999999999998</v>
      </c>
      <c r="R26" s="53">
        <v>16</v>
      </c>
      <c r="S26" s="53">
        <v>116</v>
      </c>
      <c r="T26" s="16">
        <f t="shared" si="1"/>
        <v>30</v>
      </c>
      <c r="U26" s="53">
        <v>138</v>
      </c>
      <c r="V26" s="16">
        <f t="shared" si="2"/>
        <v>4140</v>
      </c>
      <c r="W26" s="53">
        <v>3</v>
      </c>
      <c r="X26" s="53" t="s">
        <v>46</v>
      </c>
      <c r="Y26" s="53" t="s">
        <v>78</v>
      </c>
      <c r="Z26" s="53" t="s">
        <v>84</v>
      </c>
      <c r="AA26" s="53" t="s">
        <v>90</v>
      </c>
      <c r="AB26" s="53" t="s">
        <v>237</v>
      </c>
    </row>
    <row r="27" spans="1:48" x14ac:dyDescent="0.15">
      <c r="A27" s="53" t="s">
        <v>34</v>
      </c>
      <c r="B27" s="53" t="s">
        <v>233</v>
      </c>
      <c r="C27" s="53">
        <v>2019</v>
      </c>
      <c r="D27" s="176" t="s">
        <v>371</v>
      </c>
      <c r="E27" s="53" t="s">
        <v>386</v>
      </c>
      <c r="F27" s="53" t="s">
        <v>387</v>
      </c>
      <c r="G27" s="53" t="s">
        <v>36</v>
      </c>
      <c r="H27" s="53" t="s">
        <v>164</v>
      </c>
      <c r="I27" s="53" t="s">
        <v>159</v>
      </c>
      <c r="J27" s="53" t="s">
        <v>38</v>
      </c>
      <c r="K27" s="53" t="s">
        <v>161</v>
      </c>
      <c r="L27" s="53">
        <v>2</v>
      </c>
      <c r="N27" s="53">
        <v>1</v>
      </c>
      <c r="O27" s="53">
        <v>0.55000000000000004</v>
      </c>
      <c r="P27" s="53">
        <v>0.5</v>
      </c>
      <c r="Q27" s="75">
        <f t="shared" si="0"/>
        <v>0.52500000000000002</v>
      </c>
      <c r="R27" s="53">
        <v>15.1</v>
      </c>
      <c r="S27" s="53">
        <v>122</v>
      </c>
      <c r="T27" s="16">
        <f t="shared" si="1"/>
        <v>30</v>
      </c>
      <c r="U27" s="53">
        <v>138</v>
      </c>
      <c r="V27" s="16">
        <f t="shared" si="2"/>
        <v>4140</v>
      </c>
      <c r="W27" s="53">
        <v>3</v>
      </c>
      <c r="X27" s="53" t="s">
        <v>46</v>
      </c>
      <c r="Y27" s="53" t="s">
        <v>78</v>
      </c>
      <c r="Z27" s="53" t="s">
        <v>84</v>
      </c>
      <c r="AA27" s="53" t="s">
        <v>90</v>
      </c>
      <c r="AB27" s="53" t="s">
        <v>237</v>
      </c>
    </row>
    <row r="28" spans="1:48" x14ac:dyDescent="0.15">
      <c r="A28" s="53" t="s">
        <v>34</v>
      </c>
      <c r="B28" s="53" t="s">
        <v>233</v>
      </c>
      <c r="C28" s="53">
        <v>2019</v>
      </c>
      <c r="D28" s="176" t="s">
        <v>371</v>
      </c>
      <c r="E28" s="53" t="s">
        <v>386</v>
      </c>
      <c r="F28" s="53" t="s">
        <v>387</v>
      </c>
      <c r="G28" s="53" t="s">
        <v>36</v>
      </c>
      <c r="H28" s="53" t="s">
        <v>164</v>
      </c>
      <c r="I28" s="53" t="s">
        <v>159</v>
      </c>
      <c r="J28" s="53" t="s">
        <v>38</v>
      </c>
      <c r="K28" s="53" t="s">
        <v>161</v>
      </c>
      <c r="L28" s="53">
        <v>3</v>
      </c>
      <c r="N28" s="53">
        <v>1</v>
      </c>
      <c r="O28" s="53">
        <v>0.6</v>
      </c>
      <c r="P28" s="53">
        <v>0.55000000000000004</v>
      </c>
      <c r="Q28" s="75">
        <f>IF(OR(O28="",P28=""),"",AVERAGE(O28,P28))</f>
        <v>0.57499999999999996</v>
      </c>
      <c r="R28" s="53">
        <v>15.6</v>
      </c>
      <c r="S28" s="53">
        <v>116</v>
      </c>
      <c r="T28" s="16">
        <f t="shared" si="1"/>
        <v>30</v>
      </c>
      <c r="U28" s="53">
        <v>138</v>
      </c>
      <c r="V28" s="16">
        <f t="shared" si="2"/>
        <v>4140</v>
      </c>
      <c r="W28" s="53">
        <v>3</v>
      </c>
      <c r="X28" s="53" t="s">
        <v>46</v>
      </c>
      <c r="Y28" s="53" t="s">
        <v>78</v>
      </c>
      <c r="Z28" s="53" t="s">
        <v>84</v>
      </c>
      <c r="AA28" s="53" t="s">
        <v>90</v>
      </c>
      <c r="AB28" s="53" t="s">
        <v>237</v>
      </c>
    </row>
    <row r="29" spans="1:48" x14ac:dyDescent="0.15">
      <c r="A29" s="53" t="s">
        <v>34</v>
      </c>
      <c r="B29" s="53" t="s">
        <v>233</v>
      </c>
      <c r="C29" s="53">
        <v>2019</v>
      </c>
      <c r="D29" s="176" t="s">
        <v>371</v>
      </c>
      <c r="E29" s="53" t="s">
        <v>386</v>
      </c>
      <c r="F29" s="53" t="s">
        <v>387</v>
      </c>
      <c r="G29" s="53" t="s">
        <v>36</v>
      </c>
      <c r="H29" s="53" t="s">
        <v>164</v>
      </c>
      <c r="I29" s="53" t="s">
        <v>159</v>
      </c>
      <c r="J29" s="53" t="s">
        <v>38</v>
      </c>
      <c r="K29" s="53" t="s">
        <v>161</v>
      </c>
      <c r="L29" s="53">
        <v>1</v>
      </c>
      <c r="N29" s="53">
        <v>8</v>
      </c>
      <c r="O29" s="53">
        <v>0.6</v>
      </c>
      <c r="P29" s="53">
        <v>0.65</v>
      </c>
      <c r="Q29" s="75">
        <f t="shared" si="0"/>
        <v>0.625</v>
      </c>
      <c r="R29" s="53">
        <v>14.5</v>
      </c>
      <c r="S29" s="53">
        <v>88</v>
      </c>
      <c r="T29" s="16">
        <f t="shared" si="1"/>
        <v>36</v>
      </c>
      <c r="U29" s="53">
        <v>754</v>
      </c>
      <c r="V29" s="16">
        <f t="shared" si="2"/>
        <v>3393</v>
      </c>
      <c r="W29" s="53">
        <v>3</v>
      </c>
      <c r="X29" s="53" t="s">
        <v>46</v>
      </c>
      <c r="Y29" s="53" t="s">
        <v>78</v>
      </c>
      <c r="Z29" s="53" t="s">
        <v>84</v>
      </c>
      <c r="AA29" s="53" t="s">
        <v>90</v>
      </c>
      <c r="AB29" s="53" t="s">
        <v>237</v>
      </c>
    </row>
    <row r="30" spans="1:48" x14ac:dyDescent="0.15">
      <c r="A30" s="53" t="s">
        <v>34</v>
      </c>
      <c r="B30" s="53" t="s">
        <v>233</v>
      </c>
      <c r="C30" s="53">
        <v>2019</v>
      </c>
      <c r="D30" s="176" t="s">
        <v>371</v>
      </c>
      <c r="E30" s="53" t="s">
        <v>386</v>
      </c>
      <c r="F30" s="53" t="s">
        <v>387</v>
      </c>
      <c r="G30" s="53" t="s">
        <v>36</v>
      </c>
      <c r="H30" s="53" t="s">
        <v>164</v>
      </c>
      <c r="I30" s="53" t="s">
        <v>159</v>
      </c>
      <c r="J30" s="53" t="s">
        <v>38</v>
      </c>
      <c r="K30" s="53" t="s">
        <v>161</v>
      </c>
      <c r="L30" s="53">
        <v>2</v>
      </c>
      <c r="N30" s="53">
        <v>8</v>
      </c>
      <c r="O30" s="53">
        <v>0.7</v>
      </c>
      <c r="P30" s="53">
        <v>0.7</v>
      </c>
      <c r="Q30" s="75">
        <f t="shared" si="0"/>
        <v>0.7</v>
      </c>
      <c r="R30" s="53">
        <v>14.7</v>
      </c>
      <c r="S30" s="53">
        <v>89</v>
      </c>
      <c r="T30" s="16">
        <f t="shared" si="1"/>
        <v>36</v>
      </c>
      <c r="U30" s="53">
        <v>754</v>
      </c>
      <c r="V30" s="16">
        <f t="shared" si="2"/>
        <v>3393</v>
      </c>
      <c r="W30" s="53">
        <v>3</v>
      </c>
      <c r="X30" s="53" t="s">
        <v>46</v>
      </c>
      <c r="Y30" s="53" t="s">
        <v>78</v>
      </c>
      <c r="Z30" s="53" t="s">
        <v>84</v>
      </c>
      <c r="AA30" s="53" t="s">
        <v>90</v>
      </c>
      <c r="AB30" s="53" t="s">
        <v>237</v>
      </c>
    </row>
    <row r="31" spans="1:48" x14ac:dyDescent="0.15">
      <c r="A31" s="53" t="s">
        <v>34</v>
      </c>
      <c r="B31" s="53" t="s">
        <v>233</v>
      </c>
      <c r="C31" s="53">
        <v>2019</v>
      </c>
      <c r="D31" s="176" t="s">
        <v>371</v>
      </c>
      <c r="E31" s="53" t="s">
        <v>386</v>
      </c>
      <c r="F31" s="53" t="s">
        <v>387</v>
      </c>
      <c r="G31" s="53" t="s">
        <v>36</v>
      </c>
      <c r="H31" s="53" t="s">
        <v>164</v>
      </c>
      <c r="I31" s="53" t="s">
        <v>159</v>
      </c>
      <c r="J31" s="53" t="s">
        <v>38</v>
      </c>
      <c r="K31" s="53" t="s">
        <v>161</v>
      </c>
      <c r="L31" s="53">
        <v>3</v>
      </c>
      <c r="N31" s="53">
        <v>8</v>
      </c>
      <c r="O31" s="53">
        <v>0.75</v>
      </c>
      <c r="P31" s="53">
        <v>0.7</v>
      </c>
      <c r="Q31" s="75">
        <f t="shared" si="0"/>
        <v>0.72499999999999998</v>
      </c>
      <c r="R31" s="53">
        <v>15.2</v>
      </c>
      <c r="S31" s="53">
        <v>81</v>
      </c>
      <c r="T31" s="16">
        <f t="shared" si="1"/>
        <v>39</v>
      </c>
      <c r="U31" s="53">
        <v>754</v>
      </c>
      <c r="V31" s="16">
        <f t="shared" si="2"/>
        <v>3675.75</v>
      </c>
      <c r="W31" s="53">
        <v>3</v>
      </c>
      <c r="X31" s="53" t="s">
        <v>46</v>
      </c>
      <c r="Y31" s="53" t="s">
        <v>78</v>
      </c>
      <c r="Z31" s="53" t="s">
        <v>84</v>
      </c>
      <c r="AA31" s="53" t="s">
        <v>90</v>
      </c>
      <c r="AB31" s="53" t="s">
        <v>237</v>
      </c>
    </row>
    <row r="32" spans="1:48" x14ac:dyDescent="0.15">
      <c r="A32" s="53" t="s">
        <v>34</v>
      </c>
      <c r="B32" s="53" t="s">
        <v>233</v>
      </c>
      <c r="C32" s="53">
        <v>2019</v>
      </c>
      <c r="D32" s="176" t="s">
        <v>371</v>
      </c>
      <c r="E32" s="53" t="s">
        <v>386</v>
      </c>
      <c r="F32" s="53" t="s">
        <v>387</v>
      </c>
      <c r="G32" s="53" t="s">
        <v>36</v>
      </c>
      <c r="H32" s="53" t="s">
        <v>160</v>
      </c>
      <c r="I32" s="53" t="s">
        <v>159</v>
      </c>
      <c r="J32" s="53" t="s">
        <v>38</v>
      </c>
      <c r="K32" s="53" t="s">
        <v>161</v>
      </c>
      <c r="L32" s="53">
        <v>1</v>
      </c>
      <c r="N32" s="53">
        <v>1</v>
      </c>
      <c r="O32" s="53">
        <v>0.45</v>
      </c>
      <c r="P32" s="53">
        <v>0.5</v>
      </c>
      <c r="Q32" s="75">
        <f t="shared" si="0"/>
        <v>0.47499999999999998</v>
      </c>
      <c r="R32" s="53">
        <v>16.8</v>
      </c>
      <c r="S32" s="53">
        <v>118</v>
      </c>
      <c r="T32" s="16">
        <f t="shared" si="1"/>
        <v>30</v>
      </c>
      <c r="U32" s="53">
        <v>149</v>
      </c>
      <c r="V32" s="16">
        <f t="shared" si="2"/>
        <v>4470</v>
      </c>
      <c r="W32" s="53">
        <v>3</v>
      </c>
      <c r="X32" s="53" t="s">
        <v>46</v>
      </c>
      <c r="Y32" s="53" t="s">
        <v>78</v>
      </c>
      <c r="Z32" s="53" t="s">
        <v>84</v>
      </c>
      <c r="AA32" s="53" t="s">
        <v>90</v>
      </c>
      <c r="AB32" s="53" t="s">
        <v>237</v>
      </c>
    </row>
    <row r="33" spans="1:28" x14ac:dyDescent="0.15">
      <c r="A33" s="53" t="s">
        <v>34</v>
      </c>
      <c r="B33" s="53" t="s">
        <v>233</v>
      </c>
      <c r="C33" s="53">
        <v>2019</v>
      </c>
      <c r="D33" s="176" t="s">
        <v>371</v>
      </c>
      <c r="E33" s="53" t="s">
        <v>386</v>
      </c>
      <c r="F33" s="53" t="s">
        <v>387</v>
      </c>
      <c r="G33" s="53" t="s">
        <v>36</v>
      </c>
      <c r="H33" s="53" t="s">
        <v>160</v>
      </c>
      <c r="I33" s="53" t="s">
        <v>159</v>
      </c>
      <c r="J33" s="53" t="s">
        <v>38</v>
      </c>
      <c r="K33" s="53" t="s">
        <v>161</v>
      </c>
      <c r="L33" s="53">
        <v>2</v>
      </c>
      <c r="N33" s="53">
        <v>1</v>
      </c>
      <c r="O33" s="53">
        <v>0.5</v>
      </c>
      <c r="P33" s="53">
        <v>0.5</v>
      </c>
      <c r="Q33" s="75">
        <f t="shared" si="0"/>
        <v>0.5</v>
      </c>
      <c r="R33" s="53">
        <v>15.8</v>
      </c>
      <c r="S33" s="53">
        <v>122</v>
      </c>
      <c r="T33" s="16">
        <f t="shared" si="1"/>
        <v>30</v>
      </c>
      <c r="U33" s="53">
        <v>149</v>
      </c>
      <c r="V33" s="16">
        <f t="shared" si="2"/>
        <v>4470</v>
      </c>
      <c r="W33" s="53">
        <v>3</v>
      </c>
      <c r="X33" s="53" t="s">
        <v>46</v>
      </c>
      <c r="Y33" s="53" t="s">
        <v>78</v>
      </c>
      <c r="Z33" s="53" t="s">
        <v>84</v>
      </c>
      <c r="AA33" s="53" t="s">
        <v>90</v>
      </c>
      <c r="AB33" s="53" t="s">
        <v>237</v>
      </c>
    </row>
    <row r="34" spans="1:28" x14ac:dyDescent="0.15">
      <c r="A34" s="53" t="s">
        <v>34</v>
      </c>
      <c r="B34" s="53" t="s">
        <v>233</v>
      </c>
      <c r="C34" s="53">
        <v>2019</v>
      </c>
      <c r="D34" s="176" t="s">
        <v>371</v>
      </c>
      <c r="E34" s="53" t="s">
        <v>386</v>
      </c>
      <c r="F34" s="53" t="s">
        <v>387</v>
      </c>
      <c r="G34" s="53" t="s">
        <v>36</v>
      </c>
      <c r="H34" s="53" t="s">
        <v>160</v>
      </c>
      <c r="I34" s="53" t="s">
        <v>159</v>
      </c>
      <c r="J34" s="53" t="s">
        <v>38</v>
      </c>
      <c r="K34" s="53" t="s">
        <v>161</v>
      </c>
      <c r="L34" s="53">
        <v>3</v>
      </c>
      <c r="N34" s="53">
        <v>1</v>
      </c>
      <c r="O34" s="53">
        <v>0.5</v>
      </c>
      <c r="P34" s="53">
        <v>0.55000000000000004</v>
      </c>
      <c r="Q34" s="75">
        <f>IF(OR(O34="",P34=""),"",AVERAGE(O34,P34))</f>
        <v>0.52500000000000002</v>
      </c>
      <c r="R34" s="53">
        <v>15.3</v>
      </c>
      <c r="S34" s="53">
        <v>116</v>
      </c>
      <c r="T34" s="16">
        <f t="shared" si="1"/>
        <v>30</v>
      </c>
      <c r="U34" s="53">
        <v>149</v>
      </c>
      <c r="V34" s="16">
        <f t="shared" si="2"/>
        <v>4470</v>
      </c>
      <c r="W34" s="53">
        <v>3</v>
      </c>
      <c r="X34" s="53" t="s">
        <v>46</v>
      </c>
      <c r="Y34" s="53" t="s">
        <v>78</v>
      </c>
      <c r="Z34" s="53" t="s">
        <v>84</v>
      </c>
      <c r="AA34" s="53" t="s">
        <v>90</v>
      </c>
      <c r="AB34" s="53" t="s">
        <v>237</v>
      </c>
    </row>
    <row r="35" spans="1:28" x14ac:dyDescent="0.15">
      <c r="A35" s="53" t="s">
        <v>34</v>
      </c>
      <c r="B35" s="53" t="s">
        <v>233</v>
      </c>
      <c r="C35" s="53">
        <v>2019</v>
      </c>
      <c r="D35" s="176" t="s">
        <v>371</v>
      </c>
      <c r="E35" s="53" t="s">
        <v>386</v>
      </c>
      <c r="F35" s="53" t="s">
        <v>387</v>
      </c>
      <c r="G35" s="53" t="s">
        <v>36</v>
      </c>
      <c r="H35" s="53" t="s">
        <v>160</v>
      </c>
      <c r="I35" s="53" t="s">
        <v>159</v>
      </c>
      <c r="J35" s="53" t="s">
        <v>38</v>
      </c>
      <c r="K35" s="53" t="s">
        <v>161</v>
      </c>
      <c r="L35" s="53">
        <v>1</v>
      </c>
      <c r="N35" s="53">
        <v>8</v>
      </c>
      <c r="O35" s="53">
        <v>0.2</v>
      </c>
      <c r="P35" s="53">
        <v>0.45</v>
      </c>
      <c r="Q35" s="75">
        <f t="shared" ref="Q35:Q36" si="3">IF(OR(O35="",P35=""),"",AVERAGE(O35,P35))</f>
        <v>0.32500000000000001</v>
      </c>
      <c r="R35" s="53">
        <v>17.7</v>
      </c>
      <c r="S35" s="53">
        <v>96</v>
      </c>
      <c r="T35" s="16">
        <f t="shared" si="1"/>
        <v>36</v>
      </c>
      <c r="U35" s="53">
        <v>862</v>
      </c>
      <c r="V35" s="16">
        <f t="shared" si="2"/>
        <v>3879</v>
      </c>
      <c r="W35" s="53">
        <v>3</v>
      </c>
      <c r="X35" s="53" t="s">
        <v>46</v>
      </c>
      <c r="Y35" s="53" t="s">
        <v>78</v>
      </c>
      <c r="Z35" s="53" t="s">
        <v>84</v>
      </c>
      <c r="AA35" s="53" t="s">
        <v>90</v>
      </c>
      <c r="AB35" s="53" t="s">
        <v>237</v>
      </c>
    </row>
    <row r="36" spans="1:28" x14ac:dyDescent="0.15">
      <c r="A36" s="53" t="s">
        <v>34</v>
      </c>
      <c r="B36" s="53" t="s">
        <v>233</v>
      </c>
      <c r="C36" s="53">
        <v>2019</v>
      </c>
      <c r="D36" s="176" t="s">
        <v>371</v>
      </c>
      <c r="E36" s="53" t="s">
        <v>386</v>
      </c>
      <c r="F36" s="53" t="s">
        <v>387</v>
      </c>
      <c r="G36" s="53" t="s">
        <v>36</v>
      </c>
      <c r="H36" s="53" t="s">
        <v>160</v>
      </c>
      <c r="I36" s="53" t="s">
        <v>159</v>
      </c>
      <c r="J36" s="53" t="s">
        <v>38</v>
      </c>
      <c r="K36" s="53" t="s">
        <v>161</v>
      </c>
      <c r="L36" s="53">
        <v>2</v>
      </c>
      <c r="N36" s="53">
        <v>8</v>
      </c>
      <c r="O36" s="53">
        <v>0.5</v>
      </c>
      <c r="P36" s="53">
        <v>0.45</v>
      </c>
      <c r="Q36" s="75">
        <f t="shared" si="3"/>
        <v>0.47499999999999998</v>
      </c>
      <c r="R36" s="53">
        <v>18</v>
      </c>
      <c r="S36" s="53">
        <v>95</v>
      </c>
      <c r="T36" s="16">
        <f t="shared" si="1"/>
        <v>36</v>
      </c>
      <c r="U36" s="53">
        <v>862</v>
      </c>
      <c r="V36" s="16">
        <f t="shared" si="2"/>
        <v>3879</v>
      </c>
      <c r="W36" s="53">
        <v>3</v>
      </c>
      <c r="X36" s="53" t="s">
        <v>46</v>
      </c>
      <c r="Y36" s="53" t="s">
        <v>78</v>
      </c>
      <c r="Z36" s="53" t="s">
        <v>84</v>
      </c>
      <c r="AA36" s="53" t="s">
        <v>90</v>
      </c>
      <c r="AB36" s="53" t="s">
        <v>237</v>
      </c>
    </row>
    <row r="37" spans="1:28" x14ac:dyDescent="0.15">
      <c r="A37" s="53" t="s">
        <v>34</v>
      </c>
      <c r="B37" s="53" t="s">
        <v>233</v>
      </c>
      <c r="C37" s="53">
        <v>2019</v>
      </c>
      <c r="D37" s="176" t="s">
        <v>371</v>
      </c>
      <c r="E37" s="53" t="s">
        <v>386</v>
      </c>
      <c r="F37" s="53" t="s">
        <v>387</v>
      </c>
      <c r="G37" s="53" t="s">
        <v>36</v>
      </c>
      <c r="H37" s="53" t="s">
        <v>160</v>
      </c>
      <c r="I37" s="53" t="s">
        <v>159</v>
      </c>
      <c r="J37" s="53" t="s">
        <v>38</v>
      </c>
      <c r="K37" s="53" t="s">
        <v>161</v>
      </c>
      <c r="L37" s="53">
        <v>3</v>
      </c>
      <c r="N37" s="53">
        <v>8</v>
      </c>
      <c r="O37" s="53">
        <v>0.5</v>
      </c>
      <c r="P37" s="53">
        <v>0.5</v>
      </c>
      <c r="Q37" s="75">
        <f>IF(OR(O37="",P37=""),"",AVERAGE(O37,P37))</f>
        <v>0.5</v>
      </c>
      <c r="R37" s="53">
        <v>17.600000000000001</v>
      </c>
      <c r="S37" s="53">
        <v>97</v>
      </c>
      <c r="T37" s="16">
        <f t="shared" si="1"/>
        <v>36</v>
      </c>
      <c r="U37" s="53">
        <v>862</v>
      </c>
      <c r="V37" s="16">
        <f t="shared" si="2"/>
        <v>3879</v>
      </c>
      <c r="W37" s="53">
        <v>3</v>
      </c>
      <c r="X37" s="53" t="s">
        <v>46</v>
      </c>
      <c r="Y37" s="53" t="s">
        <v>78</v>
      </c>
      <c r="Z37" s="53" t="s">
        <v>84</v>
      </c>
      <c r="AA37" s="53" t="s">
        <v>90</v>
      </c>
      <c r="AB37" s="53" t="s">
        <v>237</v>
      </c>
    </row>
    <row r="38" spans="1:28" x14ac:dyDescent="0.15">
      <c r="A38" s="53" t="s">
        <v>34</v>
      </c>
      <c r="B38" s="53" t="s">
        <v>233</v>
      </c>
      <c r="C38" s="53">
        <v>2019</v>
      </c>
      <c r="D38" s="176" t="s">
        <v>371</v>
      </c>
      <c r="E38" s="53" t="s">
        <v>270</v>
      </c>
      <c r="F38" s="53" t="s">
        <v>385</v>
      </c>
      <c r="G38" s="53" t="s">
        <v>36</v>
      </c>
      <c r="H38" s="53" t="s">
        <v>164</v>
      </c>
      <c r="I38" s="53" t="s">
        <v>159</v>
      </c>
      <c r="J38" s="53" t="s">
        <v>38</v>
      </c>
      <c r="K38" s="53" t="s">
        <v>161</v>
      </c>
      <c r="L38" s="53">
        <v>1</v>
      </c>
      <c r="N38" s="53">
        <v>1</v>
      </c>
      <c r="O38" s="53">
        <v>0.6</v>
      </c>
      <c r="P38" s="53">
        <v>0.5</v>
      </c>
      <c r="Q38" s="75">
        <f t="shared" ref="Q38:Q39" si="4">IF(OR(O38="",P38=""),"",AVERAGE(O38,P38))</f>
        <v>0.55000000000000004</v>
      </c>
      <c r="R38" s="53">
        <v>15.9</v>
      </c>
      <c r="S38" s="53">
        <v>124</v>
      </c>
      <c r="T38" s="16">
        <f t="shared" si="1"/>
        <v>30</v>
      </c>
      <c r="U38" s="53">
        <v>105</v>
      </c>
      <c r="V38" s="16">
        <f t="shared" si="2"/>
        <v>3150</v>
      </c>
      <c r="W38" s="53">
        <v>1</v>
      </c>
      <c r="X38" s="53" t="s">
        <v>39</v>
      </c>
      <c r="Y38" s="53" t="s">
        <v>50</v>
      </c>
      <c r="Z38" s="53" t="s">
        <v>90</v>
      </c>
      <c r="AA38" s="53" t="s">
        <v>84</v>
      </c>
      <c r="AB38" s="53" t="s">
        <v>237</v>
      </c>
    </row>
    <row r="39" spans="1:28" x14ac:dyDescent="0.15">
      <c r="A39" s="53" t="s">
        <v>34</v>
      </c>
      <c r="B39" s="53" t="s">
        <v>233</v>
      </c>
      <c r="C39" s="53">
        <v>2019</v>
      </c>
      <c r="D39" s="176" t="s">
        <v>371</v>
      </c>
      <c r="E39" s="53" t="s">
        <v>270</v>
      </c>
      <c r="F39" s="53" t="s">
        <v>385</v>
      </c>
      <c r="G39" s="53" t="s">
        <v>36</v>
      </c>
      <c r="H39" s="53" t="s">
        <v>164</v>
      </c>
      <c r="I39" s="53" t="s">
        <v>159</v>
      </c>
      <c r="J39" s="53" t="s">
        <v>38</v>
      </c>
      <c r="K39" s="53" t="s">
        <v>161</v>
      </c>
      <c r="L39" s="53">
        <v>2</v>
      </c>
      <c r="N39" s="53">
        <v>1</v>
      </c>
      <c r="O39" s="53">
        <v>0.55000000000000004</v>
      </c>
      <c r="P39" s="53">
        <v>0.6</v>
      </c>
      <c r="Q39" s="75">
        <f t="shared" si="4"/>
        <v>0.57499999999999996</v>
      </c>
      <c r="R39" s="53">
        <v>15.1</v>
      </c>
      <c r="S39" s="53">
        <v>118</v>
      </c>
      <c r="T39" s="16">
        <f t="shared" si="1"/>
        <v>30</v>
      </c>
      <c r="U39" s="53">
        <v>105</v>
      </c>
      <c r="V39" s="16">
        <f t="shared" si="2"/>
        <v>3150</v>
      </c>
      <c r="W39" s="53">
        <v>1</v>
      </c>
      <c r="X39" s="53" t="s">
        <v>39</v>
      </c>
      <c r="Y39" s="53" t="s">
        <v>50</v>
      </c>
      <c r="Z39" s="53" t="s">
        <v>90</v>
      </c>
      <c r="AA39" s="53" t="s">
        <v>84</v>
      </c>
      <c r="AB39" s="53" t="s">
        <v>237</v>
      </c>
    </row>
    <row r="40" spans="1:28" x14ac:dyDescent="0.15">
      <c r="A40" s="53" t="s">
        <v>34</v>
      </c>
      <c r="B40" s="53" t="s">
        <v>233</v>
      </c>
      <c r="C40" s="53">
        <v>2019</v>
      </c>
      <c r="D40" s="176" t="s">
        <v>371</v>
      </c>
      <c r="E40" s="53" t="s">
        <v>270</v>
      </c>
      <c r="F40" s="53" t="s">
        <v>385</v>
      </c>
      <c r="G40" s="53" t="s">
        <v>36</v>
      </c>
      <c r="H40" s="53" t="s">
        <v>164</v>
      </c>
      <c r="I40" s="53" t="s">
        <v>159</v>
      </c>
      <c r="J40" s="53" t="s">
        <v>38</v>
      </c>
      <c r="K40" s="53" t="s">
        <v>161</v>
      </c>
      <c r="L40" s="53">
        <v>3</v>
      </c>
      <c r="N40" s="53">
        <v>1</v>
      </c>
      <c r="O40" s="53">
        <v>0.55000000000000004</v>
      </c>
      <c r="P40" s="53">
        <v>0.65</v>
      </c>
      <c r="Q40" s="75">
        <f>IF(OR(O40="",P40=""),"",AVERAGE(O40,P40))</f>
        <v>0.60000000000000009</v>
      </c>
      <c r="R40" s="53">
        <v>15.9</v>
      </c>
      <c r="S40" s="53">
        <v>118</v>
      </c>
      <c r="T40" s="16">
        <f t="shared" si="1"/>
        <v>30</v>
      </c>
      <c r="U40" s="53">
        <v>105</v>
      </c>
      <c r="V40" s="16">
        <f t="shared" si="2"/>
        <v>3150</v>
      </c>
      <c r="W40" s="53">
        <v>1</v>
      </c>
      <c r="X40" s="53" t="s">
        <v>39</v>
      </c>
      <c r="Y40" s="53" t="s">
        <v>50</v>
      </c>
      <c r="Z40" s="53" t="s">
        <v>90</v>
      </c>
      <c r="AA40" s="53" t="s">
        <v>84</v>
      </c>
      <c r="AB40" s="53" t="s">
        <v>237</v>
      </c>
    </row>
    <row r="41" spans="1:28" x14ac:dyDescent="0.15">
      <c r="A41" s="53" t="s">
        <v>34</v>
      </c>
      <c r="B41" s="53" t="s">
        <v>233</v>
      </c>
      <c r="C41" s="53">
        <v>2019</v>
      </c>
      <c r="D41" s="176" t="s">
        <v>371</v>
      </c>
      <c r="E41" s="53" t="s">
        <v>375</v>
      </c>
      <c r="F41" s="53" t="s">
        <v>376</v>
      </c>
      <c r="G41" s="53" t="s">
        <v>36</v>
      </c>
      <c r="H41" s="53" t="s">
        <v>164</v>
      </c>
      <c r="I41" s="53" t="s">
        <v>159</v>
      </c>
      <c r="J41" s="53" t="s">
        <v>38</v>
      </c>
      <c r="K41" s="53" t="s">
        <v>161</v>
      </c>
      <c r="L41" s="53">
        <v>1</v>
      </c>
      <c r="N41" s="53">
        <v>1</v>
      </c>
      <c r="O41" s="53">
        <v>0.5</v>
      </c>
      <c r="P41" s="53">
        <v>0.65</v>
      </c>
      <c r="Q41" s="75">
        <f t="shared" si="0"/>
        <v>0.57499999999999996</v>
      </c>
      <c r="R41" s="53">
        <v>14.1</v>
      </c>
      <c r="S41" s="53">
        <v>128</v>
      </c>
      <c r="T41" s="16">
        <f t="shared" si="1"/>
        <v>30</v>
      </c>
      <c r="U41" s="53">
        <v>108</v>
      </c>
      <c r="V41" s="16">
        <f t="shared" si="2"/>
        <v>3240</v>
      </c>
      <c r="W41" s="53">
        <v>2</v>
      </c>
      <c r="X41" s="53" t="s">
        <v>46</v>
      </c>
      <c r="Y41" s="53" t="s">
        <v>84</v>
      </c>
      <c r="Z41" s="53" t="s">
        <v>90</v>
      </c>
      <c r="AA41" s="53" t="s">
        <v>50</v>
      </c>
      <c r="AB41" s="53" t="s">
        <v>237</v>
      </c>
    </row>
    <row r="42" spans="1:28" x14ac:dyDescent="0.15">
      <c r="A42" s="53" t="s">
        <v>34</v>
      </c>
      <c r="B42" s="53" t="s">
        <v>233</v>
      </c>
      <c r="C42" s="53">
        <v>2019</v>
      </c>
      <c r="D42" s="176" t="s">
        <v>371</v>
      </c>
      <c r="E42" s="53" t="s">
        <v>375</v>
      </c>
      <c r="F42" s="53" t="s">
        <v>376</v>
      </c>
      <c r="G42" s="53" t="s">
        <v>36</v>
      </c>
      <c r="H42" s="53" t="s">
        <v>164</v>
      </c>
      <c r="I42" s="53" t="s">
        <v>159</v>
      </c>
      <c r="J42" s="53" t="s">
        <v>38</v>
      </c>
      <c r="K42" s="53" t="s">
        <v>161</v>
      </c>
      <c r="L42" s="53">
        <v>2</v>
      </c>
      <c r="N42" s="53">
        <v>1</v>
      </c>
      <c r="O42" s="53">
        <v>0.55000000000000004</v>
      </c>
      <c r="P42" s="53">
        <v>0.65</v>
      </c>
      <c r="Q42" s="75">
        <f t="shared" si="0"/>
        <v>0.60000000000000009</v>
      </c>
      <c r="R42" s="53">
        <v>15.3</v>
      </c>
      <c r="S42" s="53">
        <v>122</v>
      </c>
      <c r="T42" s="16">
        <f t="shared" si="1"/>
        <v>30</v>
      </c>
      <c r="U42" s="53">
        <v>108</v>
      </c>
      <c r="V42" s="16">
        <f t="shared" si="2"/>
        <v>3240</v>
      </c>
      <c r="W42" s="53">
        <v>2</v>
      </c>
      <c r="X42" s="53" t="s">
        <v>46</v>
      </c>
      <c r="Y42" s="53" t="s">
        <v>84</v>
      </c>
      <c r="Z42" s="53" t="s">
        <v>90</v>
      </c>
      <c r="AA42" s="53" t="s">
        <v>50</v>
      </c>
      <c r="AB42" s="53" t="s">
        <v>237</v>
      </c>
    </row>
    <row r="43" spans="1:28" x14ac:dyDescent="0.15">
      <c r="A43" s="53" t="s">
        <v>34</v>
      </c>
      <c r="B43" s="53" t="s">
        <v>233</v>
      </c>
      <c r="C43" s="53">
        <v>2019</v>
      </c>
      <c r="D43" s="176" t="s">
        <v>371</v>
      </c>
      <c r="E43" s="53" t="s">
        <v>375</v>
      </c>
      <c r="F43" s="53" t="s">
        <v>376</v>
      </c>
      <c r="G43" s="53" t="s">
        <v>36</v>
      </c>
      <c r="H43" s="53" t="s">
        <v>164</v>
      </c>
      <c r="I43" s="53" t="s">
        <v>159</v>
      </c>
      <c r="J43" s="53" t="s">
        <v>38</v>
      </c>
      <c r="K43" s="53" t="s">
        <v>161</v>
      </c>
      <c r="L43" s="53">
        <v>3</v>
      </c>
      <c r="N43" s="53">
        <v>1</v>
      </c>
      <c r="O43" s="53">
        <v>0.6</v>
      </c>
      <c r="P43" s="53">
        <v>0.5</v>
      </c>
      <c r="Q43" s="75">
        <f t="shared" si="0"/>
        <v>0.55000000000000004</v>
      </c>
      <c r="R43" s="53">
        <v>14.9</v>
      </c>
      <c r="S43" s="53">
        <v>130</v>
      </c>
      <c r="T43" s="16">
        <f t="shared" si="1"/>
        <v>30</v>
      </c>
      <c r="U43" s="53">
        <v>108</v>
      </c>
      <c r="V43" s="16">
        <f t="shared" si="2"/>
        <v>3240</v>
      </c>
      <c r="W43" s="53">
        <v>2</v>
      </c>
      <c r="X43" s="53" t="s">
        <v>46</v>
      </c>
      <c r="Y43" s="53" t="s">
        <v>84</v>
      </c>
      <c r="Z43" s="53" t="s">
        <v>90</v>
      </c>
      <c r="AA43" s="53" t="s">
        <v>50</v>
      </c>
      <c r="AB43" s="53" t="s">
        <v>237</v>
      </c>
    </row>
    <row r="44" spans="1:28" x14ac:dyDescent="0.15">
      <c r="A44" s="53" t="s">
        <v>34</v>
      </c>
      <c r="B44" s="53" t="s">
        <v>233</v>
      </c>
      <c r="C44" s="53">
        <v>2019</v>
      </c>
      <c r="D44" s="176" t="s">
        <v>371</v>
      </c>
      <c r="E44" s="53" t="s">
        <v>375</v>
      </c>
      <c r="F44" s="53" t="s">
        <v>376</v>
      </c>
      <c r="G44" s="53" t="s">
        <v>36</v>
      </c>
      <c r="H44" s="53" t="s">
        <v>164</v>
      </c>
      <c r="I44" s="53" t="s">
        <v>159</v>
      </c>
      <c r="J44" s="53" t="s">
        <v>38</v>
      </c>
      <c r="K44" s="53" t="s">
        <v>161</v>
      </c>
      <c r="L44" s="53">
        <v>1</v>
      </c>
      <c r="N44" s="53">
        <v>4</v>
      </c>
      <c r="O44" s="53">
        <v>0.45</v>
      </c>
      <c r="P44" s="53">
        <v>0.55000000000000004</v>
      </c>
      <c r="Q44" s="75">
        <f t="shared" si="0"/>
        <v>0.5</v>
      </c>
      <c r="R44" s="53">
        <v>10.4</v>
      </c>
      <c r="S44" s="53">
        <v>89</v>
      </c>
      <c r="T44" s="16">
        <f t="shared" si="1"/>
        <v>36</v>
      </c>
      <c r="U44" s="53">
        <v>321</v>
      </c>
      <c r="V44" s="16">
        <f t="shared" si="2"/>
        <v>2889</v>
      </c>
      <c r="W44" s="53">
        <v>2</v>
      </c>
      <c r="X44" s="53" t="s">
        <v>46</v>
      </c>
      <c r="Y44" s="53" t="s">
        <v>84</v>
      </c>
      <c r="Z44" s="53" t="s">
        <v>90</v>
      </c>
      <c r="AA44" s="53" t="s">
        <v>50</v>
      </c>
      <c r="AB44" s="53" t="s">
        <v>237</v>
      </c>
    </row>
    <row r="45" spans="1:28" x14ac:dyDescent="0.15">
      <c r="A45" s="53" t="s">
        <v>34</v>
      </c>
      <c r="B45" s="53" t="s">
        <v>233</v>
      </c>
      <c r="C45" s="53">
        <v>2019</v>
      </c>
      <c r="D45" s="176" t="s">
        <v>371</v>
      </c>
      <c r="E45" s="53" t="s">
        <v>375</v>
      </c>
      <c r="F45" s="53" t="s">
        <v>376</v>
      </c>
      <c r="G45" s="53" t="s">
        <v>36</v>
      </c>
      <c r="H45" s="53" t="s">
        <v>164</v>
      </c>
      <c r="I45" s="53" t="s">
        <v>159</v>
      </c>
      <c r="J45" s="53" t="s">
        <v>38</v>
      </c>
      <c r="K45" s="53" t="s">
        <v>161</v>
      </c>
      <c r="L45" s="53">
        <v>2</v>
      </c>
      <c r="N45" s="53">
        <v>4</v>
      </c>
      <c r="O45" s="53">
        <v>0.65</v>
      </c>
      <c r="P45" s="53">
        <v>0.5</v>
      </c>
      <c r="Q45" s="75">
        <f t="shared" si="0"/>
        <v>0.57499999999999996</v>
      </c>
      <c r="R45" s="53">
        <v>16.600000000000001</v>
      </c>
      <c r="S45" s="53">
        <v>102</v>
      </c>
      <c r="T45" s="16">
        <f t="shared" si="1"/>
        <v>33</v>
      </c>
      <c r="U45" s="53">
        <v>321</v>
      </c>
      <c r="V45" s="16">
        <f t="shared" si="2"/>
        <v>2648.25</v>
      </c>
      <c r="W45" s="53">
        <v>2</v>
      </c>
      <c r="X45" s="53" t="s">
        <v>46</v>
      </c>
      <c r="Y45" s="53" t="s">
        <v>84</v>
      </c>
      <c r="Z45" s="53" t="s">
        <v>90</v>
      </c>
      <c r="AA45" s="53" t="s">
        <v>50</v>
      </c>
      <c r="AB45" s="53" t="s">
        <v>237</v>
      </c>
    </row>
    <row r="46" spans="1:28" x14ac:dyDescent="0.15">
      <c r="A46" s="53" t="s">
        <v>34</v>
      </c>
      <c r="B46" s="53" t="s">
        <v>233</v>
      </c>
      <c r="C46" s="53">
        <v>2019</v>
      </c>
      <c r="D46" s="176" t="s">
        <v>371</v>
      </c>
      <c r="E46" s="53" t="s">
        <v>375</v>
      </c>
      <c r="F46" s="53" t="s">
        <v>376</v>
      </c>
      <c r="G46" s="53" t="s">
        <v>36</v>
      </c>
      <c r="H46" s="53" t="s">
        <v>164</v>
      </c>
      <c r="I46" s="53" t="s">
        <v>159</v>
      </c>
      <c r="J46" s="53" t="s">
        <v>38</v>
      </c>
      <c r="K46" s="53" t="s">
        <v>161</v>
      </c>
      <c r="L46" s="53">
        <v>3</v>
      </c>
      <c r="N46" s="53">
        <v>4</v>
      </c>
      <c r="O46" s="53">
        <v>0.6</v>
      </c>
      <c r="P46" s="53">
        <v>0.6</v>
      </c>
      <c r="Q46" s="75">
        <f t="shared" si="0"/>
        <v>0.6</v>
      </c>
      <c r="R46" s="53">
        <v>15.2</v>
      </c>
      <c r="S46" s="53">
        <v>84</v>
      </c>
      <c r="T46" s="16">
        <f t="shared" si="1"/>
        <v>36</v>
      </c>
      <c r="U46" s="53">
        <v>321</v>
      </c>
      <c r="V46" s="16">
        <f t="shared" si="2"/>
        <v>2889</v>
      </c>
      <c r="W46" s="53">
        <v>2</v>
      </c>
      <c r="X46" s="53" t="s">
        <v>46</v>
      </c>
      <c r="Y46" s="53" t="s">
        <v>84</v>
      </c>
      <c r="Z46" s="53" t="s">
        <v>90</v>
      </c>
      <c r="AA46" s="53" t="s">
        <v>50</v>
      </c>
      <c r="AB46" s="53" t="s">
        <v>237</v>
      </c>
    </row>
    <row r="47" spans="1:28" x14ac:dyDescent="0.15">
      <c r="A47" s="53" t="s">
        <v>34</v>
      </c>
      <c r="B47" s="53" t="s">
        <v>233</v>
      </c>
      <c r="C47" s="53">
        <v>2019</v>
      </c>
      <c r="D47" s="176" t="s">
        <v>371</v>
      </c>
      <c r="E47" s="53" t="s">
        <v>375</v>
      </c>
      <c r="F47" s="53" t="s">
        <v>376</v>
      </c>
      <c r="G47" s="53" t="s">
        <v>36</v>
      </c>
      <c r="H47" s="53" t="s">
        <v>160</v>
      </c>
      <c r="I47" s="53" t="s">
        <v>159</v>
      </c>
      <c r="J47" s="53" t="s">
        <v>38</v>
      </c>
      <c r="K47" s="53" t="s">
        <v>161</v>
      </c>
      <c r="L47" s="53">
        <v>1</v>
      </c>
      <c r="N47" s="53">
        <v>1</v>
      </c>
      <c r="O47" s="53">
        <v>0.45</v>
      </c>
      <c r="P47" s="53">
        <v>0.5</v>
      </c>
      <c r="Q47" s="75">
        <f t="shared" si="0"/>
        <v>0.47499999999999998</v>
      </c>
      <c r="R47" s="53">
        <v>14.3</v>
      </c>
      <c r="S47" s="53">
        <v>94</v>
      </c>
      <c r="T47" s="16">
        <f t="shared" si="1"/>
        <v>36</v>
      </c>
      <c r="U47" s="53">
        <v>108</v>
      </c>
      <c r="V47" s="16">
        <f t="shared" si="2"/>
        <v>3888</v>
      </c>
      <c r="W47" s="53">
        <v>2</v>
      </c>
      <c r="X47" s="53" t="s">
        <v>46</v>
      </c>
      <c r="Y47" s="53" t="s">
        <v>84</v>
      </c>
      <c r="Z47" s="53" t="s">
        <v>90</v>
      </c>
      <c r="AA47" s="53" t="s">
        <v>50</v>
      </c>
      <c r="AB47" s="53" t="s">
        <v>237</v>
      </c>
    </row>
    <row r="48" spans="1:28" x14ac:dyDescent="0.15">
      <c r="A48" s="53" t="s">
        <v>34</v>
      </c>
      <c r="B48" s="53" t="s">
        <v>233</v>
      </c>
      <c r="C48" s="53">
        <v>2019</v>
      </c>
      <c r="D48" s="176" t="s">
        <v>371</v>
      </c>
      <c r="E48" s="53" t="s">
        <v>375</v>
      </c>
      <c r="F48" s="53" t="s">
        <v>376</v>
      </c>
      <c r="G48" s="53" t="s">
        <v>36</v>
      </c>
      <c r="H48" s="53" t="s">
        <v>160</v>
      </c>
      <c r="I48" s="53" t="s">
        <v>159</v>
      </c>
      <c r="J48" s="53" t="s">
        <v>38</v>
      </c>
      <c r="K48" s="53" t="s">
        <v>161</v>
      </c>
      <c r="L48" s="53">
        <v>2</v>
      </c>
      <c r="N48" s="53">
        <v>1</v>
      </c>
      <c r="O48" s="53">
        <v>0.45</v>
      </c>
      <c r="P48" s="53">
        <v>0.45</v>
      </c>
      <c r="Q48" s="75">
        <f t="shared" si="0"/>
        <v>0.45</v>
      </c>
      <c r="R48" s="53">
        <v>15.7</v>
      </c>
      <c r="S48" s="53">
        <v>99</v>
      </c>
      <c r="T48" s="16">
        <f t="shared" si="1"/>
        <v>33</v>
      </c>
      <c r="U48" s="53">
        <v>108</v>
      </c>
      <c r="V48" s="16">
        <f t="shared" si="2"/>
        <v>3564</v>
      </c>
      <c r="W48" s="53">
        <v>2</v>
      </c>
      <c r="X48" s="53" t="s">
        <v>46</v>
      </c>
      <c r="Y48" s="53" t="s">
        <v>84</v>
      </c>
      <c r="Z48" s="53" t="s">
        <v>90</v>
      </c>
      <c r="AA48" s="53" t="s">
        <v>50</v>
      </c>
      <c r="AB48" s="53" t="s">
        <v>237</v>
      </c>
    </row>
    <row r="49" spans="1:28" x14ac:dyDescent="0.15">
      <c r="A49" s="53" t="s">
        <v>34</v>
      </c>
      <c r="B49" s="53" t="s">
        <v>233</v>
      </c>
      <c r="C49" s="53">
        <v>2019</v>
      </c>
      <c r="D49" s="176" t="s">
        <v>371</v>
      </c>
      <c r="E49" s="53" t="s">
        <v>375</v>
      </c>
      <c r="F49" s="53" t="s">
        <v>376</v>
      </c>
      <c r="G49" s="53" t="s">
        <v>36</v>
      </c>
      <c r="H49" s="53" t="s">
        <v>160</v>
      </c>
      <c r="I49" s="53" t="s">
        <v>159</v>
      </c>
      <c r="J49" s="53" t="s">
        <v>38</v>
      </c>
      <c r="K49" s="53" t="s">
        <v>161</v>
      </c>
      <c r="L49" s="53">
        <v>3</v>
      </c>
      <c r="N49" s="53">
        <v>1</v>
      </c>
      <c r="O49" s="53">
        <v>0.5</v>
      </c>
      <c r="P49" s="53">
        <v>0.45</v>
      </c>
      <c r="Q49" s="75">
        <f t="shared" si="0"/>
        <v>0.47499999999999998</v>
      </c>
      <c r="R49" s="53">
        <v>16.100000000000001</v>
      </c>
      <c r="S49" s="53">
        <v>106</v>
      </c>
      <c r="T49" s="16">
        <f t="shared" si="1"/>
        <v>33</v>
      </c>
      <c r="U49" s="53">
        <v>108</v>
      </c>
      <c r="V49" s="16">
        <f t="shared" si="2"/>
        <v>3564</v>
      </c>
      <c r="W49" s="53">
        <v>2</v>
      </c>
      <c r="X49" s="53" t="s">
        <v>46</v>
      </c>
      <c r="Y49" s="53" t="s">
        <v>84</v>
      </c>
      <c r="Z49" s="53" t="s">
        <v>90</v>
      </c>
      <c r="AA49" s="53" t="s">
        <v>50</v>
      </c>
      <c r="AB49" s="53" t="s">
        <v>237</v>
      </c>
    </row>
    <row r="50" spans="1:28" x14ac:dyDescent="0.15">
      <c r="A50" s="53" t="s">
        <v>34</v>
      </c>
      <c r="B50" s="53" t="s">
        <v>233</v>
      </c>
      <c r="C50" s="53">
        <v>2019</v>
      </c>
      <c r="D50" s="176" t="s">
        <v>371</v>
      </c>
      <c r="E50" s="53" t="s">
        <v>375</v>
      </c>
      <c r="F50" s="53" t="s">
        <v>376</v>
      </c>
      <c r="G50" s="53" t="s">
        <v>36</v>
      </c>
      <c r="H50" s="53" t="s">
        <v>160</v>
      </c>
      <c r="I50" s="53" t="s">
        <v>159</v>
      </c>
      <c r="J50" s="53" t="s">
        <v>38</v>
      </c>
      <c r="K50" s="53" t="s">
        <v>161</v>
      </c>
      <c r="L50" s="53">
        <v>1</v>
      </c>
      <c r="N50" s="53">
        <v>4</v>
      </c>
      <c r="O50" s="53">
        <v>0.6</v>
      </c>
      <c r="P50" s="53">
        <v>0.55000000000000004</v>
      </c>
      <c r="Q50" s="75">
        <f t="shared" si="0"/>
        <v>0.57499999999999996</v>
      </c>
      <c r="R50" s="53">
        <v>15.7</v>
      </c>
      <c r="S50" s="53">
        <v>94</v>
      </c>
      <c r="T50" s="16">
        <f t="shared" si="1"/>
        <v>36</v>
      </c>
      <c r="U50" s="53">
        <v>429</v>
      </c>
      <c r="V50" s="16">
        <f t="shared" si="2"/>
        <v>3861</v>
      </c>
      <c r="W50" s="53">
        <v>2</v>
      </c>
      <c r="X50" s="53" t="s">
        <v>46</v>
      </c>
      <c r="Y50" s="53" t="s">
        <v>84</v>
      </c>
      <c r="Z50" s="53" t="s">
        <v>90</v>
      </c>
      <c r="AA50" s="53" t="s">
        <v>50</v>
      </c>
      <c r="AB50" s="53" t="s">
        <v>237</v>
      </c>
    </row>
    <row r="51" spans="1:28" x14ac:dyDescent="0.15">
      <c r="A51" s="53" t="s">
        <v>34</v>
      </c>
      <c r="B51" s="53" t="s">
        <v>233</v>
      </c>
      <c r="C51" s="53">
        <v>2019</v>
      </c>
      <c r="D51" s="176" t="s">
        <v>371</v>
      </c>
      <c r="E51" s="53" t="s">
        <v>375</v>
      </c>
      <c r="F51" s="53" t="s">
        <v>376</v>
      </c>
      <c r="G51" s="53" t="s">
        <v>36</v>
      </c>
      <c r="H51" s="53" t="s">
        <v>160</v>
      </c>
      <c r="I51" s="53" t="s">
        <v>159</v>
      </c>
      <c r="J51" s="53" t="s">
        <v>38</v>
      </c>
      <c r="K51" s="53" t="s">
        <v>161</v>
      </c>
      <c r="L51" s="53">
        <v>2</v>
      </c>
      <c r="N51" s="53">
        <v>4</v>
      </c>
      <c r="O51" s="53">
        <v>0.5</v>
      </c>
      <c r="P51" s="53">
        <v>0.6</v>
      </c>
      <c r="Q51" s="75">
        <f t="shared" si="0"/>
        <v>0.55000000000000004</v>
      </c>
      <c r="R51" s="53">
        <v>15.4</v>
      </c>
      <c r="S51" s="53">
        <v>102</v>
      </c>
      <c r="T51" s="16">
        <f t="shared" si="1"/>
        <v>33</v>
      </c>
      <c r="U51" s="53">
        <v>429</v>
      </c>
      <c r="V51" s="16">
        <f t="shared" si="2"/>
        <v>3539.25</v>
      </c>
      <c r="W51" s="53">
        <v>2</v>
      </c>
      <c r="X51" s="53" t="s">
        <v>46</v>
      </c>
      <c r="Y51" s="53" t="s">
        <v>84</v>
      </c>
      <c r="Z51" s="53" t="s">
        <v>90</v>
      </c>
      <c r="AA51" s="53" t="s">
        <v>50</v>
      </c>
      <c r="AB51" s="53" t="s">
        <v>237</v>
      </c>
    </row>
    <row r="52" spans="1:28" x14ac:dyDescent="0.15">
      <c r="A52" s="53" t="s">
        <v>34</v>
      </c>
      <c r="B52" s="53" t="s">
        <v>233</v>
      </c>
      <c r="C52" s="53">
        <v>2019</v>
      </c>
      <c r="D52" s="176" t="s">
        <v>371</v>
      </c>
      <c r="E52" s="53" t="s">
        <v>375</v>
      </c>
      <c r="F52" s="53" t="s">
        <v>376</v>
      </c>
      <c r="G52" s="53" t="s">
        <v>36</v>
      </c>
      <c r="H52" s="53" t="s">
        <v>160</v>
      </c>
      <c r="I52" s="53" t="s">
        <v>159</v>
      </c>
      <c r="J52" s="53" t="s">
        <v>38</v>
      </c>
      <c r="K52" s="53" t="s">
        <v>161</v>
      </c>
      <c r="L52" s="53">
        <v>3</v>
      </c>
      <c r="N52" s="53">
        <v>4</v>
      </c>
      <c r="O52" s="53">
        <v>0.45</v>
      </c>
      <c r="P52" s="53">
        <v>0.55000000000000004</v>
      </c>
      <c r="Q52" s="75">
        <f t="shared" si="0"/>
        <v>0.5</v>
      </c>
      <c r="R52" s="53">
        <v>15.6</v>
      </c>
      <c r="S52" s="53">
        <v>102</v>
      </c>
      <c r="T52" s="16">
        <f t="shared" si="1"/>
        <v>33</v>
      </c>
      <c r="U52" s="53">
        <v>429</v>
      </c>
      <c r="V52" s="16">
        <f t="shared" si="2"/>
        <v>3539.25</v>
      </c>
      <c r="W52" s="53">
        <v>2</v>
      </c>
      <c r="X52" s="53" t="s">
        <v>46</v>
      </c>
      <c r="Y52" s="53" t="s">
        <v>84</v>
      </c>
      <c r="Z52" s="53" t="s">
        <v>90</v>
      </c>
      <c r="AA52" s="53" t="s">
        <v>50</v>
      </c>
      <c r="AB52" s="53" t="s">
        <v>237</v>
      </c>
    </row>
    <row r="53" spans="1:28" x14ac:dyDescent="0.15">
      <c r="A53" s="53" t="s">
        <v>34</v>
      </c>
      <c r="B53" s="53" t="s">
        <v>233</v>
      </c>
      <c r="C53" s="53">
        <v>2019</v>
      </c>
      <c r="D53" s="176" t="s">
        <v>371</v>
      </c>
      <c r="E53" s="53" t="s">
        <v>381</v>
      </c>
      <c r="F53" s="53" t="s">
        <v>382</v>
      </c>
      <c r="G53" s="53" t="s">
        <v>36</v>
      </c>
      <c r="H53" s="53" t="s">
        <v>164</v>
      </c>
      <c r="I53" s="53" t="s">
        <v>159</v>
      </c>
      <c r="J53" s="53" t="s">
        <v>38</v>
      </c>
      <c r="K53" s="53" t="s">
        <v>161</v>
      </c>
      <c r="L53" s="53">
        <v>1</v>
      </c>
      <c r="N53" s="53">
        <v>2</v>
      </c>
      <c r="O53" s="53">
        <v>0.75</v>
      </c>
      <c r="P53" s="53">
        <v>0.8</v>
      </c>
      <c r="Q53" s="75">
        <f t="shared" si="0"/>
        <v>0.77500000000000002</v>
      </c>
      <c r="R53" s="53">
        <v>13.2</v>
      </c>
      <c r="S53" s="53">
        <v>134</v>
      </c>
      <c r="T53" s="16">
        <f t="shared" si="1"/>
        <v>30</v>
      </c>
      <c r="U53" s="53">
        <v>127</v>
      </c>
      <c r="V53" s="16">
        <f t="shared" si="2"/>
        <v>1905</v>
      </c>
      <c r="W53" s="53">
        <v>2</v>
      </c>
      <c r="X53" s="53" t="s">
        <v>46</v>
      </c>
      <c r="Y53" s="53" t="s">
        <v>84</v>
      </c>
      <c r="Z53" s="53" t="s">
        <v>90</v>
      </c>
      <c r="AA53" s="53" t="s">
        <v>50</v>
      </c>
      <c r="AB53" s="53" t="s">
        <v>237</v>
      </c>
    </row>
    <row r="54" spans="1:28" x14ac:dyDescent="0.15">
      <c r="A54" s="53" t="s">
        <v>34</v>
      </c>
      <c r="B54" s="53" t="s">
        <v>233</v>
      </c>
      <c r="C54" s="53">
        <v>2019</v>
      </c>
      <c r="D54" s="176" t="s">
        <v>371</v>
      </c>
      <c r="E54" s="53" t="s">
        <v>381</v>
      </c>
      <c r="F54" s="53" t="s">
        <v>382</v>
      </c>
      <c r="G54" s="53" t="s">
        <v>36</v>
      </c>
      <c r="H54" s="53" t="s">
        <v>164</v>
      </c>
      <c r="I54" s="53" t="s">
        <v>159</v>
      </c>
      <c r="J54" s="53" t="s">
        <v>38</v>
      </c>
      <c r="K54" s="53" t="s">
        <v>161</v>
      </c>
      <c r="L54" s="53">
        <v>2</v>
      </c>
      <c r="N54" s="53">
        <v>2</v>
      </c>
      <c r="O54" s="53">
        <v>0.6</v>
      </c>
      <c r="P54" s="53">
        <v>0.65</v>
      </c>
      <c r="Q54" s="75">
        <f t="shared" si="0"/>
        <v>0.625</v>
      </c>
      <c r="R54" s="53">
        <v>15.3</v>
      </c>
      <c r="S54" s="53">
        <v>134</v>
      </c>
      <c r="T54" s="16">
        <f t="shared" si="1"/>
        <v>30</v>
      </c>
      <c r="U54" s="53">
        <v>127</v>
      </c>
      <c r="V54" s="16">
        <f t="shared" si="2"/>
        <v>1905</v>
      </c>
      <c r="W54" s="53">
        <v>2</v>
      </c>
      <c r="X54" s="53" t="s">
        <v>46</v>
      </c>
      <c r="Y54" s="53" t="s">
        <v>84</v>
      </c>
      <c r="Z54" s="53" t="s">
        <v>90</v>
      </c>
      <c r="AA54" s="53" t="s">
        <v>50</v>
      </c>
      <c r="AB54" s="53" t="s">
        <v>237</v>
      </c>
    </row>
    <row r="55" spans="1:28" x14ac:dyDescent="0.15">
      <c r="A55" s="53" t="s">
        <v>34</v>
      </c>
      <c r="B55" s="53" t="s">
        <v>233</v>
      </c>
      <c r="C55" s="53">
        <v>2019</v>
      </c>
      <c r="D55" s="176" t="s">
        <v>371</v>
      </c>
      <c r="E55" s="53" t="s">
        <v>381</v>
      </c>
      <c r="F55" s="53" t="s">
        <v>382</v>
      </c>
      <c r="G55" s="53" t="s">
        <v>36</v>
      </c>
      <c r="H55" s="53" t="s">
        <v>164</v>
      </c>
      <c r="I55" s="53" t="s">
        <v>159</v>
      </c>
      <c r="J55" s="53" t="s">
        <v>38</v>
      </c>
      <c r="K55" s="53" t="s">
        <v>161</v>
      </c>
      <c r="L55" s="53">
        <v>3</v>
      </c>
      <c r="N55" s="53">
        <v>2</v>
      </c>
      <c r="O55" s="53">
        <v>0.55000000000000004</v>
      </c>
      <c r="P55" s="53">
        <v>0.65</v>
      </c>
      <c r="Q55" s="75">
        <f t="shared" si="0"/>
        <v>0.60000000000000009</v>
      </c>
      <c r="R55" s="53">
        <v>10.3</v>
      </c>
      <c r="S55" s="53">
        <v>140</v>
      </c>
      <c r="T55" s="16">
        <f t="shared" si="1"/>
        <v>30</v>
      </c>
      <c r="U55" s="53">
        <v>127</v>
      </c>
      <c r="V55" s="16">
        <f t="shared" si="2"/>
        <v>1905</v>
      </c>
      <c r="W55" s="53">
        <v>2</v>
      </c>
      <c r="X55" s="53" t="s">
        <v>46</v>
      </c>
      <c r="Y55" s="53" t="s">
        <v>84</v>
      </c>
      <c r="Z55" s="53" t="s">
        <v>90</v>
      </c>
      <c r="AA55" s="53" t="s">
        <v>50</v>
      </c>
      <c r="AB55" s="53" t="s">
        <v>237</v>
      </c>
    </row>
    <row r="56" spans="1:28" x14ac:dyDescent="0.15">
      <c r="A56" s="53" t="s">
        <v>34</v>
      </c>
      <c r="B56" s="53" t="s">
        <v>233</v>
      </c>
      <c r="C56" s="53">
        <v>2019</v>
      </c>
      <c r="D56" s="176" t="s">
        <v>371</v>
      </c>
      <c r="E56" s="53" t="s">
        <v>381</v>
      </c>
      <c r="F56" s="53" t="s">
        <v>382</v>
      </c>
      <c r="G56" s="53" t="s">
        <v>36</v>
      </c>
      <c r="H56" s="53" t="s">
        <v>160</v>
      </c>
      <c r="I56" s="53" t="s">
        <v>159</v>
      </c>
      <c r="J56" s="53" t="s">
        <v>38</v>
      </c>
      <c r="K56" s="53" t="s">
        <v>161</v>
      </c>
      <c r="L56" s="53">
        <v>1</v>
      </c>
      <c r="N56" s="53">
        <v>4</v>
      </c>
      <c r="O56" s="53">
        <v>0.2</v>
      </c>
      <c r="P56" s="53">
        <v>0.55000000000000004</v>
      </c>
      <c r="Q56" s="75">
        <f t="shared" si="0"/>
        <v>0.375</v>
      </c>
      <c r="R56" s="53">
        <v>18.899999999999999</v>
      </c>
      <c r="S56" s="53">
        <v>118</v>
      </c>
      <c r="T56" s="16">
        <f t="shared" si="1"/>
        <v>30</v>
      </c>
      <c r="U56" s="53">
        <v>138</v>
      </c>
      <c r="V56" s="16">
        <f t="shared" si="2"/>
        <v>1035</v>
      </c>
      <c r="W56" s="53">
        <v>2</v>
      </c>
      <c r="X56" s="53" t="s">
        <v>46</v>
      </c>
      <c r="Y56" s="53" t="s">
        <v>84</v>
      </c>
      <c r="Z56" s="53" t="s">
        <v>90</v>
      </c>
      <c r="AA56" s="53" t="s">
        <v>50</v>
      </c>
      <c r="AB56" s="53" t="s">
        <v>237</v>
      </c>
    </row>
    <row r="57" spans="1:28" x14ac:dyDescent="0.15">
      <c r="A57" s="53" t="s">
        <v>34</v>
      </c>
      <c r="B57" s="53" t="s">
        <v>233</v>
      </c>
      <c r="C57" s="53">
        <v>2019</v>
      </c>
      <c r="D57" s="176" t="s">
        <v>371</v>
      </c>
      <c r="E57" s="53" t="s">
        <v>381</v>
      </c>
      <c r="F57" s="53" t="s">
        <v>382</v>
      </c>
      <c r="G57" s="53" t="s">
        <v>36</v>
      </c>
      <c r="H57" s="53" t="s">
        <v>160</v>
      </c>
      <c r="I57" s="53" t="s">
        <v>159</v>
      </c>
      <c r="J57" s="53" t="s">
        <v>38</v>
      </c>
      <c r="K57" s="53" t="s">
        <v>161</v>
      </c>
      <c r="L57" s="53">
        <v>2</v>
      </c>
      <c r="N57" s="53">
        <v>4</v>
      </c>
      <c r="O57" s="53">
        <v>0.45</v>
      </c>
      <c r="P57" s="53">
        <v>0.45</v>
      </c>
      <c r="Q57" s="75">
        <f t="shared" si="0"/>
        <v>0.45</v>
      </c>
      <c r="R57" s="53">
        <v>16.899999999999999</v>
      </c>
      <c r="S57" s="53">
        <v>118</v>
      </c>
      <c r="T57" s="16">
        <f t="shared" si="1"/>
        <v>30</v>
      </c>
      <c r="U57" s="53">
        <v>138</v>
      </c>
      <c r="V57" s="16">
        <f t="shared" si="2"/>
        <v>1035</v>
      </c>
      <c r="W57" s="53">
        <v>2</v>
      </c>
      <c r="X57" s="53" t="s">
        <v>46</v>
      </c>
      <c r="Y57" s="53" t="s">
        <v>84</v>
      </c>
      <c r="Z57" s="53" t="s">
        <v>90</v>
      </c>
      <c r="AA57" s="53" t="s">
        <v>50</v>
      </c>
      <c r="AB57" s="53" t="s">
        <v>237</v>
      </c>
    </row>
    <row r="58" spans="1:28" x14ac:dyDescent="0.15">
      <c r="A58" s="53" t="s">
        <v>34</v>
      </c>
      <c r="B58" s="53" t="s">
        <v>233</v>
      </c>
      <c r="C58" s="53">
        <v>2019</v>
      </c>
      <c r="D58" s="176" t="s">
        <v>371</v>
      </c>
      <c r="E58" s="53" t="s">
        <v>381</v>
      </c>
      <c r="F58" s="53" t="s">
        <v>382</v>
      </c>
      <c r="G58" s="53" t="s">
        <v>36</v>
      </c>
      <c r="H58" s="53" t="s">
        <v>160</v>
      </c>
      <c r="I58" s="53" t="s">
        <v>159</v>
      </c>
      <c r="J58" s="53" t="s">
        <v>38</v>
      </c>
      <c r="K58" s="53" t="s">
        <v>161</v>
      </c>
      <c r="L58" s="53">
        <v>3</v>
      </c>
      <c r="N58" s="53">
        <v>4</v>
      </c>
      <c r="O58" s="53">
        <v>0.2</v>
      </c>
      <c r="P58" s="53">
        <v>0.2</v>
      </c>
      <c r="Q58" s="75">
        <f t="shared" si="0"/>
        <v>0.2</v>
      </c>
      <c r="R58" s="53">
        <v>18</v>
      </c>
      <c r="S58" s="53">
        <v>112</v>
      </c>
      <c r="T58" s="16">
        <f t="shared" si="1"/>
        <v>33</v>
      </c>
      <c r="U58" s="53">
        <v>138</v>
      </c>
      <c r="V58" s="16">
        <f t="shared" si="2"/>
        <v>1138.5</v>
      </c>
      <c r="W58" s="53">
        <v>2</v>
      </c>
      <c r="X58" s="53" t="s">
        <v>46</v>
      </c>
      <c r="Y58" s="53" t="s">
        <v>84</v>
      </c>
      <c r="Z58" s="53" t="s">
        <v>90</v>
      </c>
      <c r="AA58" s="53" t="s">
        <v>50</v>
      </c>
      <c r="AB58" s="53" t="s">
        <v>237</v>
      </c>
    </row>
    <row r="59" spans="1:28" x14ac:dyDescent="0.15">
      <c r="A59" s="53" t="s">
        <v>34</v>
      </c>
      <c r="B59" s="53" t="s">
        <v>233</v>
      </c>
      <c r="C59" s="53">
        <v>2019</v>
      </c>
      <c r="D59" s="176" t="s">
        <v>371</v>
      </c>
      <c r="E59" s="53" t="s">
        <v>362</v>
      </c>
      <c r="F59" s="53" t="s">
        <v>374</v>
      </c>
      <c r="G59" s="53" t="s">
        <v>36</v>
      </c>
      <c r="H59" s="53" t="s">
        <v>164</v>
      </c>
      <c r="I59" s="53" t="s">
        <v>159</v>
      </c>
      <c r="J59" s="53" t="s">
        <v>38</v>
      </c>
      <c r="K59" s="53" t="s">
        <v>161</v>
      </c>
      <c r="L59" s="53">
        <v>1</v>
      </c>
      <c r="N59" s="53">
        <v>1</v>
      </c>
      <c r="O59" s="53">
        <v>0.6</v>
      </c>
      <c r="P59" s="53">
        <v>0.6</v>
      </c>
      <c r="Q59" s="75">
        <f t="shared" si="0"/>
        <v>0.6</v>
      </c>
      <c r="R59" s="53">
        <v>132</v>
      </c>
      <c r="S59" s="53">
        <v>132</v>
      </c>
      <c r="T59" s="16">
        <f t="shared" si="1"/>
        <v>30</v>
      </c>
      <c r="U59" s="53">
        <v>138</v>
      </c>
      <c r="V59" s="16">
        <f t="shared" si="2"/>
        <v>4140</v>
      </c>
      <c r="W59" s="53">
        <v>2</v>
      </c>
      <c r="X59" s="53" t="s">
        <v>46</v>
      </c>
      <c r="Y59" s="53" t="s">
        <v>84</v>
      </c>
      <c r="Z59" s="53" t="s">
        <v>50</v>
      </c>
      <c r="AA59" s="53" t="s">
        <v>78</v>
      </c>
      <c r="AB59" s="53" t="s">
        <v>237</v>
      </c>
    </row>
    <row r="60" spans="1:28" x14ac:dyDescent="0.15">
      <c r="A60" s="53" t="s">
        <v>34</v>
      </c>
      <c r="B60" s="53" t="s">
        <v>233</v>
      </c>
      <c r="C60" s="53">
        <v>2019</v>
      </c>
      <c r="D60" s="176" t="s">
        <v>371</v>
      </c>
      <c r="E60" s="53" t="s">
        <v>362</v>
      </c>
      <c r="F60" s="53" t="s">
        <v>374</v>
      </c>
      <c r="G60" s="53" t="s">
        <v>36</v>
      </c>
      <c r="H60" s="53" t="s">
        <v>164</v>
      </c>
      <c r="I60" s="53" t="s">
        <v>159</v>
      </c>
      <c r="J60" s="53" t="s">
        <v>38</v>
      </c>
      <c r="K60" s="53" t="s">
        <v>161</v>
      </c>
      <c r="L60" s="53">
        <v>2</v>
      </c>
      <c r="N60" s="53">
        <v>1</v>
      </c>
      <c r="O60" s="53">
        <v>0.75</v>
      </c>
      <c r="P60" s="53">
        <v>0.75</v>
      </c>
      <c r="Q60" s="75">
        <f t="shared" si="0"/>
        <v>0.75</v>
      </c>
      <c r="R60" s="53">
        <v>15.6</v>
      </c>
      <c r="S60" s="53">
        <v>128</v>
      </c>
      <c r="T60" s="16">
        <f t="shared" si="1"/>
        <v>30</v>
      </c>
      <c r="U60" s="53">
        <v>138</v>
      </c>
      <c r="V60" s="16">
        <f t="shared" si="2"/>
        <v>4140</v>
      </c>
      <c r="W60" s="53">
        <v>2</v>
      </c>
      <c r="X60" s="53" t="s">
        <v>46</v>
      </c>
      <c r="Y60" s="53" t="s">
        <v>84</v>
      </c>
      <c r="Z60" s="53" t="s">
        <v>50</v>
      </c>
      <c r="AA60" s="53" t="s">
        <v>78</v>
      </c>
      <c r="AB60" s="53" t="s">
        <v>237</v>
      </c>
    </row>
    <row r="61" spans="1:28" x14ac:dyDescent="0.15">
      <c r="A61" s="53" t="s">
        <v>34</v>
      </c>
      <c r="B61" s="53" t="s">
        <v>233</v>
      </c>
      <c r="C61" s="53">
        <v>2019</v>
      </c>
      <c r="D61" s="176" t="s">
        <v>371</v>
      </c>
      <c r="E61" s="53" t="s">
        <v>362</v>
      </c>
      <c r="F61" s="53" t="s">
        <v>374</v>
      </c>
      <c r="G61" s="53" t="s">
        <v>36</v>
      </c>
      <c r="H61" s="53" t="s">
        <v>164</v>
      </c>
      <c r="I61" s="53" t="s">
        <v>159</v>
      </c>
      <c r="J61" s="53" t="s">
        <v>38</v>
      </c>
      <c r="K61" s="53" t="s">
        <v>161</v>
      </c>
      <c r="L61" s="53">
        <v>3</v>
      </c>
      <c r="N61" s="53">
        <v>1</v>
      </c>
      <c r="O61" s="53">
        <v>0.65</v>
      </c>
      <c r="P61" s="53">
        <v>0.5</v>
      </c>
      <c r="Q61" s="75">
        <f t="shared" si="0"/>
        <v>0.57499999999999996</v>
      </c>
      <c r="R61" s="53">
        <v>14.7</v>
      </c>
      <c r="S61" s="53">
        <v>134</v>
      </c>
      <c r="T61" s="16">
        <f t="shared" si="1"/>
        <v>30</v>
      </c>
      <c r="U61" s="53">
        <v>138</v>
      </c>
      <c r="V61" s="16">
        <f t="shared" si="2"/>
        <v>4140</v>
      </c>
      <c r="W61" s="53">
        <v>2</v>
      </c>
      <c r="X61" s="53" t="s">
        <v>46</v>
      </c>
      <c r="Y61" s="53" t="s">
        <v>84</v>
      </c>
      <c r="Z61" s="53" t="s">
        <v>50</v>
      </c>
      <c r="AA61" s="53" t="s">
        <v>78</v>
      </c>
      <c r="AB61" s="53" t="s">
        <v>237</v>
      </c>
    </row>
    <row r="62" spans="1:28" x14ac:dyDescent="0.15">
      <c r="A62" s="53" t="s">
        <v>34</v>
      </c>
      <c r="B62" s="53" t="s">
        <v>233</v>
      </c>
      <c r="C62" s="53">
        <v>2019</v>
      </c>
      <c r="D62" s="176" t="s">
        <v>371</v>
      </c>
      <c r="E62" s="53" t="s">
        <v>362</v>
      </c>
      <c r="F62" s="53" t="s">
        <v>374</v>
      </c>
      <c r="G62" s="53" t="s">
        <v>36</v>
      </c>
      <c r="H62" s="53" t="s">
        <v>160</v>
      </c>
      <c r="I62" s="53" t="s">
        <v>159</v>
      </c>
      <c r="J62" s="53" t="s">
        <v>38</v>
      </c>
      <c r="K62" s="53" t="s">
        <v>161</v>
      </c>
      <c r="L62" s="53">
        <v>1</v>
      </c>
      <c r="N62" s="53">
        <v>1</v>
      </c>
      <c r="O62" s="53">
        <v>0.6</v>
      </c>
      <c r="P62" s="53">
        <v>0.45</v>
      </c>
      <c r="Q62" s="75">
        <f t="shared" si="0"/>
        <v>0.52500000000000002</v>
      </c>
      <c r="R62" s="53">
        <v>15.5</v>
      </c>
      <c r="S62" s="53">
        <v>114</v>
      </c>
      <c r="T62" s="16">
        <f t="shared" si="1"/>
        <v>30</v>
      </c>
      <c r="U62" s="53">
        <v>138</v>
      </c>
      <c r="V62" s="16">
        <f t="shared" si="2"/>
        <v>4140</v>
      </c>
      <c r="W62" s="53">
        <v>2</v>
      </c>
      <c r="X62" s="53" t="s">
        <v>46</v>
      </c>
      <c r="Y62" s="53" t="s">
        <v>84</v>
      </c>
      <c r="Z62" s="53" t="s">
        <v>50</v>
      </c>
      <c r="AA62" s="53" t="s">
        <v>78</v>
      </c>
      <c r="AB62" s="53" t="s">
        <v>237</v>
      </c>
    </row>
    <row r="63" spans="1:28" x14ac:dyDescent="0.15">
      <c r="A63" s="53" t="s">
        <v>34</v>
      </c>
      <c r="B63" s="53" t="s">
        <v>233</v>
      </c>
      <c r="C63" s="53">
        <v>2019</v>
      </c>
      <c r="D63" s="176" t="s">
        <v>371</v>
      </c>
      <c r="E63" s="53" t="s">
        <v>362</v>
      </c>
      <c r="F63" s="53" t="s">
        <v>374</v>
      </c>
      <c r="G63" s="53" t="s">
        <v>36</v>
      </c>
      <c r="H63" s="53" t="s">
        <v>160</v>
      </c>
      <c r="I63" s="53" t="s">
        <v>159</v>
      </c>
      <c r="J63" s="53" t="s">
        <v>38</v>
      </c>
      <c r="K63" s="53" t="s">
        <v>161</v>
      </c>
      <c r="L63" s="53">
        <v>2</v>
      </c>
      <c r="N63" s="53">
        <v>1</v>
      </c>
      <c r="O63" s="53">
        <v>0.2</v>
      </c>
      <c r="P63" s="53">
        <v>0.2</v>
      </c>
      <c r="Q63" s="75">
        <f t="shared" si="0"/>
        <v>0.2</v>
      </c>
      <c r="R63" s="53">
        <v>18.2</v>
      </c>
      <c r="S63" s="53">
        <v>112</v>
      </c>
      <c r="T63" s="16">
        <f t="shared" si="1"/>
        <v>33</v>
      </c>
      <c r="U63" s="53">
        <v>138</v>
      </c>
      <c r="V63" s="16">
        <f t="shared" si="2"/>
        <v>4554</v>
      </c>
      <c r="W63" s="53">
        <v>2</v>
      </c>
      <c r="X63" s="53" t="s">
        <v>46</v>
      </c>
      <c r="Y63" s="53" t="s">
        <v>84</v>
      </c>
      <c r="Z63" s="53" t="s">
        <v>50</v>
      </c>
      <c r="AA63" s="53" t="s">
        <v>78</v>
      </c>
      <c r="AB63" s="53" t="s">
        <v>237</v>
      </c>
    </row>
    <row r="64" spans="1:28" x14ac:dyDescent="0.15">
      <c r="A64" s="53" t="s">
        <v>34</v>
      </c>
      <c r="B64" s="53" t="s">
        <v>233</v>
      </c>
      <c r="C64" s="53">
        <v>2019</v>
      </c>
      <c r="D64" s="176" t="s">
        <v>371</v>
      </c>
      <c r="E64" s="53" t="s">
        <v>362</v>
      </c>
      <c r="F64" s="53" t="s">
        <v>374</v>
      </c>
      <c r="G64" s="53" t="s">
        <v>36</v>
      </c>
      <c r="H64" s="53" t="s">
        <v>160</v>
      </c>
      <c r="I64" s="53" t="s">
        <v>159</v>
      </c>
      <c r="J64" s="53" t="s">
        <v>38</v>
      </c>
      <c r="K64" s="53" t="s">
        <v>161</v>
      </c>
      <c r="L64" s="53">
        <v>3</v>
      </c>
      <c r="N64" s="53">
        <v>1</v>
      </c>
      <c r="O64" s="53">
        <v>0.2</v>
      </c>
      <c r="P64" s="53">
        <v>0.5</v>
      </c>
      <c r="Q64" s="75">
        <f t="shared" si="0"/>
        <v>0.35</v>
      </c>
      <c r="R64" s="53">
        <v>15.5</v>
      </c>
      <c r="S64" s="53">
        <v>106</v>
      </c>
      <c r="T64" s="16">
        <f t="shared" si="1"/>
        <v>33</v>
      </c>
      <c r="U64" s="53">
        <v>138</v>
      </c>
      <c r="V64" s="16">
        <f t="shared" si="2"/>
        <v>4554</v>
      </c>
      <c r="W64" s="53">
        <v>2</v>
      </c>
      <c r="X64" s="53" t="s">
        <v>46</v>
      </c>
      <c r="Y64" s="53" t="s">
        <v>84</v>
      </c>
      <c r="Z64" s="53" t="s">
        <v>50</v>
      </c>
      <c r="AA64" s="53" t="s">
        <v>78</v>
      </c>
      <c r="AB64" s="53" t="s">
        <v>237</v>
      </c>
    </row>
    <row r="65" spans="1:28" x14ac:dyDescent="0.15">
      <c r="A65" s="53" t="s">
        <v>34</v>
      </c>
      <c r="B65" s="53" t="s">
        <v>233</v>
      </c>
      <c r="C65" s="53">
        <v>2019</v>
      </c>
      <c r="D65" s="176" t="s">
        <v>371</v>
      </c>
      <c r="E65" s="53" t="s">
        <v>383</v>
      </c>
      <c r="F65" s="53" t="s">
        <v>384</v>
      </c>
      <c r="G65" s="53" t="s">
        <v>36</v>
      </c>
      <c r="H65" s="53" t="s">
        <v>164</v>
      </c>
      <c r="I65" s="53" t="s">
        <v>159</v>
      </c>
      <c r="J65" s="53" t="s">
        <v>38</v>
      </c>
      <c r="K65" s="53" t="s">
        <v>161</v>
      </c>
      <c r="L65" s="53">
        <v>1</v>
      </c>
      <c r="N65" s="53">
        <v>1</v>
      </c>
      <c r="O65" s="53">
        <v>0.75</v>
      </c>
      <c r="P65" s="53">
        <v>0.7</v>
      </c>
      <c r="Q65" s="75">
        <f t="shared" si="0"/>
        <v>0.72499999999999998</v>
      </c>
      <c r="R65" s="53">
        <v>17.2</v>
      </c>
      <c r="S65" s="53">
        <v>106</v>
      </c>
      <c r="T65" s="16">
        <f t="shared" si="1"/>
        <v>33</v>
      </c>
      <c r="U65" s="53">
        <v>106</v>
      </c>
      <c r="V65" s="16">
        <f t="shared" si="2"/>
        <v>3498</v>
      </c>
      <c r="W65" s="53">
        <v>1</v>
      </c>
      <c r="X65" s="53" t="s">
        <v>46</v>
      </c>
      <c r="Y65" s="53" t="s">
        <v>90</v>
      </c>
      <c r="Z65" s="53" t="s">
        <v>84</v>
      </c>
      <c r="AA65" s="53" t="s">
        <v>78</v>
      </c>
      <c r="AB65" s="53" t="s">
        <v>237</v>
      </c>
    </row>
    <row r="66" spans="1:28" x14ac:dyDescent="0.15">
      <c r="A66" s="53" t="s">
        <v>34</v>
      </c>
      <c r="B66" s="53" t="s">
        <v>233</v>
      </c>
      <c r="C66" s="53">
        <v>2019</v>
      </c>
      <c r="D66" s="176" t="s">
        <v>371</v>
      </c>
      <c r="E66" s="53" t="s">
        <v>383</v>
      </c>
      <c r="F66" s="53" t="s">
        <v>384</v>
      </c>
      <c r="G66" s="53" t="s">
        <v>36</v>
      </c>
      <c r="H66" s="53" t="s">
        <v>164</v>
      </c>
      <c r="I66" s="53" t="s">
        <v>159</v>
      </c>
      <c r="J66" s="53" t="s">
        <v>38</v>
      </c>
      <c r="K66" s="53" t="s">
        <v>161</v>
      </c>
      <c r="L66" s="53">
        <v>2</v>
      </c>
      <c r="N66" s="53">
        <v>1</v>
      </c>
      <c r="O66" s="53">
        <v>0.75</v>
      </c>
      <c r="P66" s="53">
        <v>0.9</v>
      </c>
      <c r="Q66" s="75">
        <f t="shared" si="0"/>
        <v>0.82499999999999996</v>
      </c>
      <c r="R66" s="53">
        <v>15.3</v>
      </c>
      <c r="S66" s="53">
        <v>112</v>
      </c>
      <c r="T66" s="16">
        <f t="shared" si="1"/>
        <v>33</v>
      </c>
      <c r="U66" s="53">
        <v>112</v>
      </c>
      <c r="V66" s="16">
        <f t="shared" si="2"/>
        <v>3696</v>
      </c>
      <c r="W66" s="53">
        <v>1</v>
      </c>
      <c r="X66" s="53" t="s">
        <v>46</v>
      </c>
      <c r="Y66" s="53" t="s">
        <v>90</v>
      </c>
      <c r="Z66" s="53" t="s">
        <v>84</v>
      </c>
      <c r="AA66" s="53" t="s">
        <v>78</v>
      </c>
      <c r="AB66" s="53" t="s">
        <v>237</v>
      </c>
    </row>
    <row r="67" spans="1:28" x14ac:dyDescent="0.15">
      <c r="A67" s="53" t="s">
        <v>34</v>
      </c>
      <c r="B67" s="53" t="s">
        <v>233</v>
      </c>
      <c r="C67" s="53">
        <v>2019</v>
      </c>
      <c r="D67" s="176" t="s">
        <v>371</v>
      </c>
      <c r="E67" s="53" t="s">
        <v>383</v>
      </c>
      <c r="F67" s="53" t="s">
        <v>384</v>
      </c>
      <c r="G67" s="53" t="s">
        <v>36</v>
      </c>
      <c r="H67" s="53" t="s">
        <v>164</v>
      </c>
      <c r="I67" s="53" t="s">
        <v>159</v>
      </c>
      <c r="J67" s="53" t="s">
        <v>38</v>
      </c>
      <c r="K67" s="53" t="s">
        <v>161</v>
      </c>
      <c r="L67" s="53">
        <v>3</v>
      </c>
      <c r="N67" s="53">
        <v>1</v>
      </c>
      <c r="O67" s="53">
        <v>0.75</v>
      </c>
      <c r="P67" s="53">
        <v>0.09</v>
      </c>
      <c r="Q67" s="75">
        <f t="shared" si="0"/>
        <v>0.42</v>
      </c>
      <c r="R67" s="53">
        <v>15.4</v>
      </c>
      <c r="S67" s="53">
        <v>104</v>
      </c>
      <c r="T67" s="16">
        <f t="shared" si="1"/>
        <v>33</v>
      </c>
      <c r="U67" s="53">
        <v>104</v>
      </c>
      <c r="V67" s="16">
        <f t="shared" si="2"/>
        <v>3432</v>
      </c>
      <c r="W67" s="53">
        <v>1</v>
      </c>
      <c r="X67" s="53" t="s">
        <v>46</v>
      </c>
      <c r="Y67" s="53" t="s">
        <v>90</v>
      </c>
      <c r="Z67" s="53" t="s">
        <v>84</v>
      </c>
      <c r="AA67" s="53" t="s">
        <v>78</v>
      </c>
      <c r="AB67" s="53" t="s">
        <v>237</v>
      </c>
    </row>
    <row r="68" spans="1:28" x14ac:dyDescent="0.15">
      <c r="A68" s="53" t="s">
        <v>34</v>
      </c>
      <c r="B68" s="53" t="s">
        <v>233</v>
      </c>
      <c r="C68" s="53">
        <v>2019</v>
      </c>
      <c r="D68" s="176" t="s">
        <v>371</v>
      </c>
      <c r="E68" s="53" t="s">
        <v>383</v>
      </c>
      <c r="F68" s="53" t="s">
        <v>384</v>
      </c>
      <c r="G68" s="53" t="s">
        <v>36</v>
      </c>
      <c r="H68" s="53" t="s">
        <v>160</v>
      </c>
      <c r="I68" s="53" t="s">
        <v>159</v>
      </c>
      <c r="J68" s="53" t="s">
        <v>38</v>
      </c>
      <c r="K68" s="53" t="s">
        <v>161</v>
      </c>
      <c r="L68" s="53">
        <v>1</v>
      </c>
      <c r="N68" s="53">
        <v>1</v>
      </c>
      <c r="O68" s="53">
        <v>0.5</v>
      </c>
      <c r="P68" s="53">
        <v>0.45</v>
      </c>
      <c r="Q68" s="75">
        <f t="shared" si="0"/>
        <v>0.47499999999999998</v>
      </c>
      <c r="R68" s="53">
        <v>16.7</v>
      </c>
      <c r="S68" s="53">
        <v>102</v>
      </c>
      <c r="T68" s="16">
        <f t="shared" si="1"/>
        <v>33</v>
      </c>
      <c r="U68" s="53">
        <v>102</v>
      </c>
      <c r="V68" s="16">
        <f t="shared" si="2"/>
        <v>3366</v>
      </c>
      <c r="W68" s="53">
        <v>3</v>
      </c>
      <c r="X68" s="53" t="s">
        <v>46</v>
      </c>
      <c r="Y68" s="53" t="s">
        <v>90</v>
      </c>
      <c r="Z68" s="53" t="s">
        <v>84</v>
      </c>
      <c r="AA68" s="53" t="s">
        <v>78</v>
      </c>
      <c r="AB68" s="53" t="s">
        <v>237</v>
      </c>
    </row>
    <row r="69" spans="1:28" x14ac:dyDescent="0.15">
      <c r="A69" s="53" t="s">
        <v>34</v>
      </c>
      <c r="B69" s="53" t="s">
        <v>233</v>
      </c>
      <c r="C69" s="53">
        <v>2019</v>
      </c>
      <c r="D69" s="176" t="s">
        <v>371</v>
      </c>
      <c r="E69" s="53" t="s">
        <v>383</v>
      </c>
      <c r="F69" s="53" t="s">
        <v>384</v>
      </c>
      <c r="G69" s="53" t="s">
        <v>36</v>
      </c>
      <c r="H69" s="53" t="s">
        <v>160</v>
      </c>
      <c r="I69" s="53" t="s">
        <v>159</v>
      </c>
      <c r="J69" s="53" t="s">
        <v>38</v>
      </c>
      <c r="K69" s="53" t="s">
        <v>161</v>
      </c>
      <c r="L69" s="53">
        <v>2</v>
      </c>
      <c r="N69" s="53">
        <v>1</v>
      </c>
      <c r="O69" s="53">
        <v>0.6</v>
      </c>
      <c r="P69" s="53">
        <v>0.5</v>
      </c>
      <c r="Q69" s="75">
        <f t="shared" si="0"/>
        <v>0.55000000000000004</v>
      </c>
      <c r="R69" s="53">
        <v>16.5</v>
      </c>
      <c r="S69" s="53">
        <v>104</v>
      </c>
      <c r="T69" s="16">
        <f t="shared" si="1"/>
        <v>33</v>
      </c>
      <c r="U69" s="53">
        <v>104</v>
      </c>
      <c r="V69" s="16">
        <f t="shared" si="2"/>
        <v>3432</v>
      </c>
      <c r="W69" s="53">
        <v>3</v>
      </c>
      <c r="X69" s="53" t="s">
        <v>46</v>
      </c>
      <c r="Y69" s="53" t="s">
        <v>90</v>
      </c>
      <c r="Z69" s="53" t="s">
        <v>84</v>
      </c>
      <c r="AA69" s="53" t="s">
        <v>78</v>
      </c>
      <c r="AB69" s="53" t="s">
        <v>237</v>
      </c>
    </row>
    <row r="70" spans="1:28" x14ac:dyDescent="0.15">
      <c r="A70" s="53" t="s">
        <v>34</v>
      </c>
      <c r="B70" s="53" t="s">
        <v>233</v>
      </c>
      <c r="C70" s="53">
        <v>2019</v>
      </c>
      <c r="D70" s="176" t="s">
        <v>371</v>
      </c>
      <c r="E70" s="53" t="s">
        <v>383</v>
      </c>
      <c r="F70" s="53" t="s">
        <v>384</v>
      </c>
      <c r="G70" s="53" t="s">
        <v>36</v>
      </c>
      <c r="H70" s="53" t="s">
        <v>160</v>
      </c>
      <c r="I70" s="53" t="s">
        <v>159</v>
      </c>
      <c r="J70" s="53" t="s">
        <v>38</v>
      </c>
      <c r="K70" s="53" t="s">
        <v>161</v>
      </c>
      <c r="L70" s="53">
        <v>3</v>
      </c>
      <c r="N70" s="53">
        <v>1</v>
      </c>
      <c r="O70" s="53">
        <v>0.5</v>
      </c>
      <c r="P70" s="53">
        <v>0.5</v>
      </c>
      <c r="Q70" s="75">
        <f t="shared" si="0"/>
        <v>0.5</v>
      </c>
      <c r="R70" s="53">
        <v>16.2</v>
      </c>
      <c r="S70" s="53">
        <v>102</v>
      </c>
      <c r="T70" s="16">
        <f t="shared" si="1"/>
        <v>33</v>
      </c>
      <c r="U70" s="53">
        <v>102</v>
      </c>
      <c r="V70" s="16">
        <f t="shared" si="2"/>
        <v>3366</v>
      </c>
      <c r="W70" s="53">
        <v>3</v>
      </c>
      <c r="X70" s="53" t="s">
        <v>46</v>
      </c>
      <c r="Y70" s="53" t="s">
        <v>90</v>
      </c>
      <c r="Z70" s="53" t="s">
        <v>84</v>
      </c>
      <c r="AA70" s="53" t="s">
        <v>78</v>
      </c>
      <c r="AB70" s="53" t="s">
        <v>237</v>
      </c>
    </row>
    <row r="71" spans="1:28" x14ac:dyDescent="0.15">
      <c r="A71" s="53" t="s">
        <v>34</v>
      </c>
      <c r="B71" s="53" t="s">
        <v>233</v>
      </c>
      <c r="C71" s="53">
        <v>2019</v>
      </c>
      <c r="D71" s="176" t="s">
        <v>371</v>
      </c>
      <c r="E71" s="53" t="s">
        <v>383</v>
      </c>
      <c r="F71" s="53" t="s">
        <v>384</v>
      </c>
      <c r="G71" s="53" t="s">
        <v>36</v>
      </c>
      <c r="H71" s="53" t="s">
        <v>160</v>
      </c>
      <c r="I71" s="53" t="s">
        <v>159</v>
      </c>
      <c r="J71" s="53" t="s">
        <v>38</v>
      </c>
      <c r="K71" s="53" t="s">
        <v>161</v>
      </c>
      <c r="L71" s="53">
        <v>1</v>
      </c>
      <c r="N71" s="53">
        <v>4</v>
      </c>
      <c r="O71" s="53">
        <v>0.5</v>
      </c>
      <c r="P71" s="53">
        <v>0.2</v>
      </c>
      <c r="Q71" s="75">
        <f t="shared" si="0"/>
        <v>0.35</v>
      </c>
      <c r="R71" s="53">
        <v>16</v>
      </c>
      <c r="S71" s="53">
        <v>97</v>
      </c>
      <c r="T71" s="16">
        <f t="shared" si="1"/>
        <v>36</v>
      </c>
      <c r="U71" s="53">
        <v>97</v>
      </c>
      <c r="V71" s="16">
        <f t="shared" si="2"/>
        <v>873</v>
      </c>
      <c r="W71" s="53">
        <v>3</v>
      </c>
      <c r="X71" s="53" t="s">
        <v>46</v>
      </c>
      <c r="Y71" s="53" t="s">
        <v>90</v>
      </c>
      <c r="Z71" s="53" t="s">
        <v>84</v>
      </c>
      <c r="AA71" s="53" t="s">
        <v>78</v>
      </c>
      <c r="AB71" s="53" t="s">
        <v>237</v>
      </c>
    </row>
    <row r="72" spans="1:28" x14ac:dyDescent="0.15">
      <c r="A72" s="53" t="s">
        <v>34</v>
      </c>
      <c r="B72" s="53" t="s">
        <v>233</v>
      </c>
      <c r="C72" s="53">
        <v>2019</v>
      </c>
      <c r="D72" s="176" t="s">
        <v>371</v>
      </c>
      <c r="E72" s="53" t="s">
        <v>383</v>
      </c>
      <c r="F72" s="53" t="s">
        <v>384</v>
      </c>
      <c r="G72" s="53" t="s">
        <v>36</v>
      </c>
      <c r="H72" s="53" t="s">
        <v>160</v>
      </c>
      <c r="I72" s="53" t="s">
        <v>159</v>
      </c>
      <c r="J72" s="53" t="s">
        <v>38</v>
      </c>
      <c r="K72" s="53" t="s">
        <v>161</v>
      </c>
      <c r="L72" s="53">
        <v>2</v>
      </c>
      <c r="N72" s="53">
        <v>4</v>
      </c>
      <c r="O72" s="53">
        <v>0.45</v>
      </c>
      <c r="P72" s="53">
        <v>0.5</v>
      </c>
      <c r="Q72" s="75">
        <f t="shared" si="0"/>
        <v>0.47499999999999998</v>
      </c>
      <c r="R72" s="53">
        <v>16.600000000000001</v>
      </c>
      <c r="S72" s="53">
        <v>93</v>
      </c>
      <c r="T72" s="16">
        <f t="shared" si="1"/>
        <v>36</v>
      </c>
      <c r="U72" s="53">
        <v>93</v>
      </c>
      <c r="V72" s="16">
        <f t="shared" si="2"/>
        <v>837</v>
      </c>
      <c r="W72" s="53">
        <v>3</v>
      </c>
      <c r="X72" s="53" t="s">
        <v>46</v>
      </c>
      <c r="Y72" s="53" t="s">
        <v>90</v>
      </c>
      <c r="Z72" s="53" t="s">
        <v>84</v>
      </c>
      <c r="AA72" s="53" t="s">
        <v>78</v>
      </c>
      <c r="AB72" s="53" t="s">
        <v>237</v>
      </c>
    </row>
    <row r="73" spans="1:28" x14ac:dyDescent="0.15">
      <c r="A73" s="53" t="s">
        <v>34</v>
      </c>
      <c r="B73" s="53" t="s">
        <v>233</v>
      </c>
      <c r="C73" s="53">
        <v>2019</v>
      </c>
      <c r="D73" s="176" t="s">
        <v>371</v>
      </c>
      <c r="E73" s="53" t="s">
        <v>383</v>
      </c>
      <c r="F73" s="53" t="s">
        <v>384</v>
      </c>
      <c r="G73" s="53" t="s">
        <v>36</v>
      </c>
      <c r="H73" s="53" t="s">
        <v>160</v>
      </c>
      <c r="I73" s="53" t="s">
        <v>159</v>
      </c>
      <c r="J73" s="53" t="s">
        <v>38</v>
      </c>
      <c r="K73" s="53" t="s">
        <v>161</v>
      </c>
      <c r="L73" s="53">
        <v>3</v>
      </c>
      <c r="N73" s="53">
        <v>4</v>
      </c>
      <c r="O73" s="53">
        <v>0.45</v>
      </c>
      <c r="P73" s="53">
        <v>0.45</v>
      </c>
      <c r="Q73" s="75">
        <f t="shared" si="0"/>
        <v>0.45</v>
      </c>
      <c r="R73" s="53">
        <v>15.8</v>
      </c>
      <c r="S73" s="53">
        <v>106</v>
      </c>
      <c r="T73" s="16">
        <f t="shared" si="1"/>
        <v>33</v>
      </c>
      <c r="U73" s="53">
        <v>106</v>
      </c>
      <c r="V73" s="16">
        <f t="shared" si="2"/>
        <v>874.5</v>
      </c>
      <c r="W73" s="53">
        <v>3</v>
      </c>
      <c r="X73" s="53" t="s">
        <v>46</v>
      </c>
      <c r="Y73" s="53" t="s">
        <v>90</v>
      </c>
      <c r="Z73" s="53" t="s">
        <v>84</v>
      </c>
      <c r="AA73" s="53" t="s">
        <v>78</v>
      </c>
      <c r="AB73" s="53" t="s">
        <v>237</v>
      </c>
    </row>
    <row r="74" spans="1:28" x14ac:dyDescent="0.15">
      <c r="D74" s="176"/>
      <c r="Q74" s="75"/>
    </row>
    <row r="75" spans="1:28" x14ac:dyDescent="0.15">
      <c r="D75" s="176"/>
      <c r="Q75" s="75"/>
    </row>
    <row r="76" spans="1:28" x14ac:dyDescent="0.15">
      <c r="D76" s="176"/>
      <c r="Q76" s="75"/>
    </row>
    <row r="77" spans="1:28" x14ac:dyDescent="0.15">
      <c r="D77" s="176"/>
      <c r="Q77" s="75"/>
    </row>
    <row r="78" spans="1:28" x14ac:dyDescent="0.15">
      <c r="D78" s="176"/>
      <c r="Q78" s="75"/>
    </row>
    <row r="79" spans="1:28" x14ac:dyDescent="0.15">
      <c r="D79" s="176"/>
      <c r="Q79" s="75"/>
    </row>
    <row r="80" spans="1:28" x14ac:dyDescent="0.15">
      <c r="D80" s="176"/>
      <c r="Q80" s="75"/>
    </row>
    <row r="81" spans="4:17" x14ac:dyDescent="0.15">
      <c r="D81" s="176"/>
      <c r="Q81" s="75"/>
    </row>
    <row r="82" spans="4:17" x14ac:dyDescent="0.15">
      <c r="D82" s="176"/>
      <c r="Q82" s="75"/>
    </row>
    <row r="83" spans="4:17" x14ac:dyDescent="0.15">
      <c r="D83" s="176"/>
      <c r="Q83" s="75"/>
    </row>
    <row r="84" spans="4:17" x14ac:dyDescent="0.15">
      <c r="D84" s="176"/>
    </row>
    <row r="85" spans="4:17" x14ac:dyDescent="0.15">
      <c r="D85" s="176"/>
    </row>
    <row r="86" spans="4:17" x14ac:dyDescent="0.15">
      <c r="D86" s="176"/>
    </row>
    <row r="87" spans="4:17" x14ac:dyDescent="0.15">
      <c r="D87" s="176"/>
    </row>
    <row r="88" spans="4:17" x14ac:dyDescent="0.15">
      <c r="D88" s="176"/>
    </row>
    <row r="89" spans="4:17" x14ac:dyDescent="0.15">
      <c r="D89" s="176"/>
    </row>
    <row r="90" spans="4:17" x14ac:dyDescent="0.15">
      <c r="D90" s="176"/>
    </row>
    <row r="91" spans="4:17" x14ac:dyDescent="0.15">
      <c r="D91" s="176"/>
    </row>
    <row r="92" spans="4:17" x14ac:dyDescent="0.15">
      <c r="D92" s="176"/>
    </row>
    <row r="93" spans="4:17" x14ac:dyDescent="0.15">
      <c r="D93" s="176"/>
    </row>
    <row r="94" spans="4:17" x14ac:dyDescent="0.15">
      <c r="D94" s="176"/>
    </row>
    <row r="95" spans="4:17" x14ac:dyDescent="0.15">
      <c r="D95" s="176"/>
    </row>
    <row r="96" spans="4:17" x14ac:dyDescent="0.15">
      <c r="D96" s="176"/>
    </row>
    <row r="97" spans="4:4" x14ac:dyDescent="0.15">
      <c r="D97" s="176"/>
    </row>
    <row r="98" spans="4:4" x14ac:dyDescent="0.15">
      <c r="D98" s="176"/>
    </row>
    <row r="99" spans="4:4" x14ac:dyDescent="0.15">
      <c r="D99" s="176"/>
    </row>
    <row r="100" spans="4:4" x14ac:dyDescent="0.15">
      <c r="D100" s="176"/>
    </row>
    <row r="101" spans="4:4" x14ac:dyDescent="0.15">
      <c r="D101" s="176"/>
    </row>
    <row r="102" spans="4:4" x14ac:dyDescent="0.15">
      <c r="D102" s="176"/>
    </row>
    <row r="103" spans="4:4" x14ac:dyDescent="0.15">
      <c r="D103" s="176"/>
    </row>
    <row r="104" spans="4:4" x14ac:dyDescent="0.15">
      <c r="D104" s="176"/>
    </row>
    <row r="105" spans="4:4" x14ac:dyDescent="0.15">
      <c r="D105" s="176"/>
    </row>
    <row r="106" spans="4:4" x14ac:dyDescent="0.15">
      <c r="D106" s="176"/>
    </row>
    <row r="107" spans="4:4" x14ac:dyDescent="0.15">
      <c r="D107" s="176"/>
    </row>
    <row r="108" spans="4:4" x14ac:dyDescent="0.15">
      <c r="D108" s="176"/>
    </row>
    <row r="109" spans="4:4" x14ac:dyDescent="0.15">
      <c r="D109" s="176"/>
    </row>
    <row r="110" spans="4:4" x14ac:dyDescent="0.15">
      <c r="D110" s="176"/>
    </row>
    <row r="111" spans="4:4" x14ac:dyDescent="0.15">
      <c r="D111" s="176"/>
    </row>
    <row r="112" spans="4:4"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K2:K781" xr:uid="{7B99E40C-F741-493C-BCBC-B28B33FF2FA0}">
      <formula1>$AR$2:$AR$23</formula1>
    </dataValidation>
    <dataValidation operator="equal" allowBlank="1" showInputMessage="1" showErrorMessage="1" sqref="B2:B149" xr:uid="{FADFCD9F-1AEF-45AB-971C-6C04B1511A54}"/>
    <dataValidation type="list" allowBlank="1" showInputMessage="1" showErrorMessage="1" sqref="A2:A468" xr:uid="{8BC84915-7E91-4824-828D-C6398F432417}">
      <formula1>$AE$2:$AE$19</formula1>
    </dataValidation>
    <dataValidation type="list" allowBlank="1" showInputMessage="1" showErrorMessage="1" sqref="Y2:AA469" xr:uid="{C6CFD6BD-21D4-46FA-B685-8ED2E8E8B1F6}">
      <formula1>$AV$2:$AV$21</formula1>
    </dataValidation>
    <dataValidation type="list" allowBlank="1" showInputMessage="1" showErrorMessage="1" sqref="H2:H469" xr:uid="{B76417FB-88A4-4D42-8E9E-88B26EC67C3E}">
      <formula1>$AL$2:$AL$8</formula1>
    </dataValidation>
    <dataValidation type="list" allowBlank="1" showInputMessage="1" showErrorMessage="1" sqref="X2:X469" xr:uid="{2154D077-82CE-42A8-8AE0-6130380DE9F3}">
      <formula1>$AT$2:$AT$3</formula1>
    </dataValidation>
    <dataValidation type="list" allowBlank="1" showInputMessage="1" showErrorMessage="1" sqref="G2:G469" xr:uid="{67474D3B-9907-411C-A53D-BBDC702D2E2E}">
      <formula1>$AJ$2:$AJ$4</formula1>
    </dataValidation>
    <dataValidation type="list" allowBlank="1" showInputMessage="1" showErrorMessage="1" sqref="I2:I469" xr:uid="{B3B6D05E-1B6D-4D9D-BA39-D53B0E6EF073}">
      <formula1>$AN$5:$AN$6</formula1>
    </dataValidation>
    <dataValidation type="list" allowBlank="1" showInputMessage="1" showErrorMessage="1" sqref="J2:J469" xr:uid="{428C7B33-0538-401A-95DA-8EBA72BF75A4}">
      <formula1>$AP$2:$AP$24</formula1>
    </dataValidation>
    <dataValidation type="list" allowBlank="1" showInputMessage="1" showErrorMessage="1" sqref="F2:F469" xr:uid="{F5BCC8C9-B02D-4F53-BA59-F3F1B23BA712}">
      <formula1>$AH$2:$AH$11</formula1>
    </dataValidation>
    <dataValidation type="list" allowBlank="1" showInputMessage="1" showErrorMessage="1" sqref="E2:E469" xr:uid="{404DEECB-6F70-40A1-A577-9811C0691776}">
      <formula1>$AG$2:$AG$11</formula1>
    </dataValidation>
    <dataValidation type="decimal" allowBlank="1" showInputMessage="1" showErrorMessage="1" error="硬度を正しく入力して下さい。" sqref="O2:P49 O59:P469" xr:uid="{A64F3891-6643-46B9-BD48-F926155CF6F5}">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F0D9BB-5245-4D2F-8DD8-EC0D4CA71CB2}"/>
</file>

<file path=customXml/itemProps2.xml><?xml version="1.0" encoding="utf-8"?>
<ds:datastoreItem xmlns:ds="http://schemas.openxmlformats.org/officeDocument/2006/customXml" ds:itemID="{9A229518-F55E-434B-ABA4-CF3B92AB3D00}"/>
</file>

<file path=customXml/itemProps3.xml><?xml version="1.0" encoding="utf-8"?>
<ds:datastoreItem xmlns:ds="http://schemas.openxmlformats.org/officeDocument/2006/customXml" ds:itemID="{54D89EE9-0ABC-4972-B730-22CA88FDF0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2019-11-06T08:17:42Z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