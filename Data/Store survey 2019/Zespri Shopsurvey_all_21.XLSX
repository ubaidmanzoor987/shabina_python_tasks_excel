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defaultThemeVersion="124226"/>
  <mc:AlternateContent xmlns:mc="http://schemas.openxmlformats.org/markup-compatibility/2006">
    <mc:Choice Requires="x15">
      <x15ac:absPath xmlns:x15ac="http://schemas.microsoft.com/office/spreadsheetml/2010/11/ac" url="\\192.168.11.200\000_全国共有\2-Zespri\品質調査\2019\21週\"/>
    </mc:Choice>
  </mc:AlternateContent>
  <xr:revisionPtr revIDLastSave="0" documentId="13_ncr:1_{05ECB62E-A93F-4D6B-86F2-F398CDF856EF}"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fukuoka!$A$1:$BA$152</definedName>
    <definedName name="_xlnm._FilterDatabase" localSheetId="4" hidden="1">hiroshima!$A$1:$BA$1</definedName>
    <definedName name="_xlnm._FilterDatabase" localSheetId="1" hidden="1">miyagi!$A$1:$BA$399</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15" i="24" l="1"/>
  <c r="V115" i="24" s="1"/>
  <c r="Q115" i="24"/>
  <c r="T114" i="24"/>
  <c r="V114" i="24" s="1"/>
  <c r="Q114" i="24"/>
  <c r="T113" i="24"/>
  <c r="V113" i="24" s="1"/>
  <c r="Q113" i="24"/>
  <c r="T112" i="24"/>
  <c r="V112" i="24" s="1"/>
  <c r="Q112" i="24"/>
  <c r="T111" i="24"/>
  <c r="V111" i="24" s="1"/>
  <c r="Q111" i="24"/>
  <c r="T110" i="24"/>
  <c r="V110" i="24" s="1"/>
  <c r="Q110" i="24"/>
  <c r="T109" i="24"/>
  <c r="V109" i="24" s="1"/>
  <c r="Q109" i="24"/>
  <c r="T108" i="24"/>
  <c r="V108" i="24" s="1"/>
  <c r="Q108" i="24"/>
  <c r="T107" i="24"/>
  <c r="V107" i="24" s="1"/>
  <c r="Q107" i="24"/>
  <c r="T106" i="24"/>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85" i="23" l="1"/>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52" i="22" l="1"/>
  <c r="T152" i="22"/>
  <c r="Q152" i="22"/>
  <c r="V151" i="22"/>
  <c r="T151" i="22"/>
  <c r="Q151" i="22"/>
  <c r="V150" i="22"/>
  <c r="T150" i="22"/>
  <c r="Q150" i="22"/>
  <c r="V149" i="22"/>
  <c r="T149" i="22"/>
  <c r="Q149" i="22"/>
  <c r="V148" i="22"/>
  <c r="T148" i="22"/>
  <c r="Q148" i="22"/>
  <c r="V147" i="22"/>
  <c r="T147" i="22"/>
  <c r="Q147" i="22"/>
  <c r="V146" i="22"/>
  <c r="T146" i="22"/>
  <c r="Q146" i="22"/>
  <c r="V145" i="22"/>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9" i="21" l="1"/>
  <c r="V79" i="21" s="1"/>
  <c r="Q79" i="21"/>
  <c r="T78" i="21"/>
  <c r="V78" i="21" s="1"/>
  <c r="Q78" i="21"/>
  <c r="T77" i="21"/>
  <c r="V77" i="21" s="1"/>
  <c r="Q77" i="21"/>
  <c r="T73" i="21"/>
  <c r="V73" i="21" s="1"/>
  <c r="Q73" i="21"/>
  <c r="T72" i="21"/>
  <c r="V72" i="21" s="1"/>
  <c r="Q72" i="21"/>
  <c r="T71" i="21"/>
  <c r="V71" i="21" s="1"/>
  <c r="Q71" i="21"/>
  <c r="T70" i="21"/>
  <c r="V70" i="21" s="1"/>
  <c r="Q70" i="21"/>
  <c r="T69" i="21"/>
  <c r="V69" i="21" s="1"/>
  <c r="Q69" i="21"/>
  <c r="T68" i="21"/>
  <c r="V68" i="21" s="1"/>
  <c r="Q68"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67" i="19"/>
  <c r="V67" i="19" s="1"/>
  <c r="Q67" i="19"/>
  <c r="T66" i="19"/>
  <c r="V66" i="19" s="1"/>
  <c r="Q66" i="19"/>
  <c r="T65" i="19"/>
  <c r="V65" i="19" s="1"/>
  <c r="Q65" i="19"/>
  <c r="T64" i="19"/>
  <c r="V64" i="19" s="1"/>
  <c r="Q64" i="19"/>
  <c r="T63" i="19"/>
  <c r="V63" i="19" s="1"/>
  <c r="Q63" i="19"/>
  <c r="T62" i="19"/>
  <c r="V62" i="19" s="1"/>
  <c r="Q62" i="19"/>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99" i="18" l="1"/>
  <c r="T398" i="18"/>
  <c r="T397" i="18"/>
  <c r="T396" i="18"/>
  <c r="T395" i="18"/>
  <c r="T394" i="18"/>
  <c r="T393" i="18"/>
  <c r="T392" i="18"/>
  <c r="T391" i="18"/>
  <c r="T390" i="18"/>
  <c r="T389" i="18"/>
  <c r="T388" i="18"/>
  <c r="T387" i="18"/>
  <c r="T386" i="18"/>
  <c r="T385" i="18"/>
  <c r="T384" i="18"/>
  <c r="T383" i="18"/>
  <c r="T382" i="18"/>
  <c r="T381" i="18"/>
  <c r="T380" i="18"/>
  <c r="T379" i="18"/>
  <c r="V379" i="18" s="1"/>
  <c r="T378" i="18"/>
  <c r="V378" i="18" s="1"/>
  <c r="T377" i="18"/>
  <c r="V377" i="18" s="1"/>
  <c r="T376" i="18"/>
  <c r="V376" i="18" s="1"/>
  <c r="T375" i="18"/>
  <c r="V375" i="18" s="1"/>
  <c r="T374" i="18"/>
  <c r="V374" i="18" s="1"/>
  <c r="T373" i="18"/>
  <c r="V373" i="18" s="1"/>
  <c r="T372" i="18"/>
  <c r="V372" i="18" s="1"/>
  <c r="T371" i="18"/>
  <c r="V371" i="18" s="1"/>
  <c r="Q371" i="18"/>
  <c r="T370" i="18"/>
  <c r="V370" i="18" s="1"/>
  <c r="Q370" i="18"/>
  <c r="T369" i="18"/>
  <c r="V369" i="18" s="1"/>
  <c r="Q369" i="18"/>
  <c r="V368" i="18"/>
  <c r="T368" i="18"/>
  <c r="Q368" i="18"/>
  <c r="T367" i="18"/>
  <c r="V367" i="18" s="1"/>
  <c r="Q367" i="18"/>
  <c r="T366" i="18"/>
  <c r="V366" i="18" s="1"/>
  <c r="Q366" i="18"/>
  <c r="T365" i="18"/>
  <c r="V365" i="18" s="1"/>
  <c r="Q365" i="18"/>
  <c r="V364" i="18"/>
  <c r="T364" i="18"/>
  <c r="Q364" i="18"/>
  <c r="T363" i="18"/>
  <c r="V363" i="18" s="1"/>
  <c r="Q363" i="18"/>
  <c r="T362" i="18"/>
  <c r="V362" i="18" s="1"/>
  <c r="Q362" i="18"/>
  <c r="T361" i="18"/>
  <c r="V361" i="18" s="1"/>
  <c r="Q361" i="18"/>
  <c r="V360" i="18"/>
  <c r="T360" i="18"/>
  <c r="Q360" i="18"/>
  <c r="T359" i="18"/>
  <c r="V359" i="18" s="1"/>
  <c r="Q359" i="18"/>
  <c r="T358" i="18"/>
  <c r="V358" i="18" s="1"/>
  <c r="Q358" i="18"/>
  <c r="T357" i="18"/>
  <c r="V357" i="18" s="1"/>
  <c r="Q357" i="18"/>
  <c r="V356" i="18"/>
  <c r="T356" i="18"/>
  <c r="Q356" i="18"/>
  <c r="T355" i="18"/>
  <c r="V355" i="18" s="1"/>
  <c r="Q355" i="18"/>
  <c r="T354" i="18"/>
  <c r="V354" i="18" s="1"/>
  <c r="Q354" i="18"/>
  <c r="T353" i="18"/>
  <c r="V353" i="18" s="1"/>
  <c r="Q353" i="18"/>
  <c r="V352" i="18"/>
  <c r="T352" i="18"/>
  <c r="Q352" i="18"/>
  <c r="T351" i="18"/>
  <c r="V351" i="18" s="1"/>
  <c r="Q351" i="18"/>
  <c r="T350" i="18"/>
  <c r="V350" i="18" s="1"/>
  <c r="Q350" i="18"/>
  <c r="T349" i="18"/>
  <c r="V349" i="18" s="1"/>
  <c r="Q349" i="18"/>
  <c r="V348" i="18"/>
  <c r="T348" i="18"/>
  <c r="Q348" i="18"/>
  <c r="T347" i="18"/>
  <c r="V347" i="18" s="1"/>
  <c r="Q347" i="18"/>
  <c r="T346" i="18"/>
  <c r="V346" i="18" s="1"/>
  <c r="Q346" i="18"/>
  <c r="T345" i="18"/>
  <c r="V345" i="18" s="1"/>
  <c r="Q345" i="18"/>
  <c r="V344" i="18"/>
  <c r="T344" i="18"/>
  <c r="Q344" i="18"/>
  <c r="T343" i="18"/>
  <c r="V343" i="18" s="1"/>
  <c r="Q343" i="18"/>
  <c r="T342" i="18"/>
  <c r="V342" i="18" s="1"/>
  <c r="Q342" i="18"/>
  <c r="T341" i="18"/>
  <c r="V341" i="18" s="1"/>
  <c r="Q341" i="18"/>
  <c r="V340" i="18"/>
  <c r="T340" i="18"/>
  <c r="Q340" i="18"/>
  <c r="T339" i="18"/>
  <c r="V339" i="18" s="1"/>
  <c r="Q339" i="18"/>
  <c r="T338" i="18"/>
  <c r="V338" i="18" s="1"/>
  <c r="Q338" i="18"/>
  <c r="T337" i="18"/>
  <c r="V337" i="18" s="1"/>
  <c r="Q337" i="18"/>
  <c r="V336" i="18"/>
  <c r="T336" i="18"/>
  <c r="Q336" i="18"/>
  <c r="T335" i="18"/>
  <c r="V335" i="18" s="1"/>
  <c r="Q335" i="18"/>
  <c r="T334" i="18"/>
  <c r="V334" i="18" s="1"/>
  <c r="Q334" i="18"/>
  <c r="T333" i="18"/>
  <c r="V333" i="18" s="1"/>
  <c r="Q333" i="18"/>
  <c r="V332" i="18"/>
  <c r="T332" i="18"/>
  <c r="Q332" i="18"/>
  <c r="T331" i="18"/>
  <c r="V331" i="18" s="1"/>
  <c r="Q331" i="18"/>
  <c r="T330" i="18"/>
  <c r="V330" i="18" s="1"/>
  <c r="Q330" i="18"/>
  <c r="T329" i="18"/>
  <c r="V329" i="18" s="1"/>
  <c r="Q329" i="18"/>
  <c r="V328" i="18"/>
  <c r="T328" i="18"/>
  <c r="Q328" i="18"/>
  <c r="T327" i="18"/>
  <c r="V327" i="18" s="1"/>
  <c r="Q327" i="18"/>
  <c r="T326" i="18"/>
  <c r="V326" i="18" s="1"/>
  <c r="Q326" i="18"/>
  <c r="T325" i="18"/>
  <c r="V325" i="18" s="1"/>
  <c r="Q325" i="18"/>
  <c r="V324" i="18"/>
  <c r="T324" i="18"/>
  <c r="Q324" i="18"/>
  <c r="T323" i="18"/>
  <c r="V323" i="18" s="1"/>
  <c r="Q323" i="18"/>
  <c r="T322" i="18"/>
  <c r="V322" i="18" s="1"/>
  <c r="Q322" i="18"/>
  <c r="T321" i="18"/>
  <c r="V321" i="18" s="1"/>
  <c r="Q321" i="18"/>
  <c r="V320" i="18"/>
  <c r="T320" i="18"/>
  <c r="Q320" i="18"/>
  <c r="T319" i="18"/>
  <c r="V319" i="18" s="1"/>
  <c r="Q319" i="18"/>
  <c r="T318" i="18"/>
  <c r="V318" i="18" s="1"/>
  <c r="Q318" i="18"/>
  <c r="T317" i="18"/>
  <c r="V317" i="18" s="1"/>
  <c r="Q317" i="18"/>
  <c r="V316" i="18"/>
  <c r="T316" i="18"/>
  <c r="Q316" i="18"/>
  <c r="T315" i="18"/>
  <c r="V315" i="18" s="1"/>
  <c r="Q315" i="18"/>
  <c r="T314" i="18"/>
  <c r="V314" i="18" s="1"/>
  <c r="Q314" i="18"/>
  <c r="T313" i="18"/>
  <c r="V313" i="18" s="1"/>
  <c r="Q313" i="18"/>
  <c r="V312" i="18"/>
  <c r="T312" i="18"/>
  <c r="Q312" i="18"/>
  <c r="T311" i="18"/>
  <c r="V311" i="18" s="1"/>
  <c r="Q311" i="18"/>
  <c r="T310" i="18"/>
  <c r="V310" i="18" s="1"/>
  <c r="Q310" i="18"/>
  <c r="T309" i="18"/>
  <c r="V309" i="18" s="1"/>
  <c r="Q309" i="18"/>
  <c r="V308" i="18"/>
  <c r="T308" i="18"/>
  <c r="Q308" i="18"/>
  <c r="T307" i="18"/>
  <c r="V307" i="18" s="1"/>
  <c r="Q307" i="18"/>
  <c r="T306" i="18"/>
  <c r="V306" i="18" s="1"/>
  <c r="Q306" i="18"/>
  <c r="T305" i="18"/>
  <c r="V305" i="18" s="1"/>
  <c r="Q305" i="18"/>
  <c r="V304" i="18"/>
  <c r="T304" i="18"/>
  <c r="Q304" i="18"/>
  <c r="T303" i="18"/>
  <c r="V303" i="18" s="1"/>
  <c r="Q303" i="18"/>
  <c r="T302" i="18"/>
  <c r="V302" i="18" s="1"/>
  <c r="Q302" i="18"/>
  <c r="T301" i="18"/>
  <c r="V301" i="18" s="1"/>
  <c r="Q301" i="18"/>
  <c r="V300" i="18"/>
  <c r="T300" i="18"/>
  <c r="Q300" i="18"/>
  <c r="T299" i="18"/>
  <c r="V299" i="18" s="1"/>
  <c r="Q299" i="18"/>
  <c r="T298" i="18"/>
  <c r="V298" i="18" s="1"/>
  <c r="Q298" i="18"/>
  <c r="T297" i="18"/>
  <c r="V297" i="18" s="1"/>
  <c r="Q297" i="18"/>
  <c r="V296" i="18"/>
  <c r="T296" i="18"/>
  <c r="Q296" i="18"/>
  <c r="T295" i="18"/>
  <c r="V295" i="18" s="1"/>
  <c r="Q295" i="18"/>
  <c r="T294" i="18"/>
  <c r="V294" i="18" s="1"/>
  <c r="Q294" i="18"/>
  <c r="T293" i="18"/>
  <c r="V293" i="18" s="1"/>
  <c r="Q293" i="18"/>
  <c r="V292" i="18"/>
  <c r="T292" i="18"/>
  <c r="Q292" i="18"/>
  <c r="T291" i="18"/>
  <c r="V291" i="18" s="1"/>
  <c r="Q291" i="18"/>
  <c r="T290" i="18"/>
  <c r="V290" i="18" s="1"/>
  <c r="Q290" i="18"/>
  <c r="T289" i="18"/>
  <c r="V289" i="18" s="1"/>
  <c r="Q289" i="18"/>
  <c r="V288" i="18"/>
  <c r="T288" i="18"/>
  <c r="Q288" i="18"/>
  <c r="T287" i="18"/>
  <c r="V287" i="18" s="1"/>
  <c r="Q287" i="18"/>
  <c r="T286" i="18"/>
  <c r="V286" i="18" s="1"/>
  <c r="Q286" i="18"/>
  <c r="T285" i="18"/>
  <c r="V285" i="18" s="1"/>
  <c r="Q285" i="18"/>
  <c r="V284" i="18"/>
  <c r="T284" i="18"/>
  <c r="Q284" i="18"/>
  <c r="T283" i="18"/>
  <c r="V283" i="18" s="1"/>
  <c r="Q283" i="18"/>
  <c r="T282" i="18"/>
  <c r="V282" i="18" s="1"/>
  <c r="Q282" i="18"/>
  <c r="T281" i="18"/>
  <c r="V281" i="18" s="1"/>
  <c r="Q281" i="18"/>
  <c r="V280" i="18"/>
  <c r="T280" i="18"/>
  <c r="Q280" i="18"/>
  <c r="T279" i="18"/>
  <c r="V279" i="18" s="1"/>
  <c r="Q279" i="18"/>
  <c r="T278" i="18"/>
  <c r="V278" i="18" s="1"/>
  <c r="Q278" i="18"/>
  <c r="T277" i="18"/>
  <c r="V277" i="18" s="1"/>
  <c r="Q277" i="18"/>
  <c r="V276" i="18"/>
  <c r="T276" i="18"/>
  <c r="Q276" i="18"/>
  <c r="T275" i="18"/>
  <c r="V275" i="18" s="1"/>
  <c r="Q275" i="18"/>
  <c r="T274" i="18"/>
  <c r="V274" i="18" s="1"/>
  <c r="Q274" i="18"/>
  <c r="T273" i="18"/>
  <c r="V273" i="18" s="1"/>
  <c r="Q273" i="18"/>
  <c r="V272" i="18"/>
  <c r="T272" i="18"/>
  <c r="Q272" i="18"/>
  <c r="T271" i="18"/>
  <c r="V271" i="18" s="1"/>
  <c r="Q271" i="18"/>
  <c r="T270" i="18"/>
  <c r="V270" i="18" s="1"/>
  <c r="Q270" i="18"/>
  <c r="T269" i="18"/>
  <c r="V269" i="18" s="1"/>
  <c r="Q269" i="18"/>
  <c r="V268" i="18"/>
  <c r="T268" i="18"/>
  <c r="Q268" i="18"/>
  <c r="T267" i="18"/>
  <c r="V267" i="18" s="1"/>
  <c r="Q267" i="18"/>
  <c r="T266" i="18"/>
  <c r="V266" i="18" s="1"/>
  <c r="Q266" i="18"/>
  <c r="T265" i="18"/>
  <c r="V265" i="18" s="1"/>
  <c r="Q265" i="18"/>
  <c r="V264" i="18"/>
  <c r="T264" i="18"/>
  <c r="Q264" i="18"/>
  <c r="T263" i="18"/>
  <c r="V263" i="18" s="1"/>
  <c r="Q263" i="18"/>
  <c r="T262" i="18"/>
  <c r="V262" i="18" s="1"/>
  <c r="Q262" i="18"/>
  <c r="T261" i="18"/>
  <c r="V261" i="18" s="1"/>
  <c r="Q261" i="18"/>
  <c r="V260" i="18"/>
  <c r="T260" i="18"/>
  <c r="Q260" i="18"/>
  <c r="T259" i="18"/>
  <c r="V259" i="18" s="1"/>
  <c r="Q259" i="18"/>
  <c r="T258" i="18"/>
  <c r="V258" i="18" s="1"/>
  <c r="Q258" i="18"/>
  <c r="T257" i="18"/>
  <c r="V257" i="18" s="1"/>
  <c r="Q257" i="18"/>
  <c r="V256" i="18"/>
  <c r="T256" i="18"/>
  <c r="Q256" i="18"/>
  <c r="T255" i="18"/>
  <c r="V255" i="18" s="1"/>
  <c r="Q255" i="18"/>
  <c r="T254" i="18"/>
  <c r="V254" i="18" s="1"/>
  <c r="Q254" i="18"/>
  <c r="T253" i="18"/>
  <c r="V253" i="18" s="1"/>
  <c r="Q253" i="18"/>
  <c r="V252" i="18"/>
  <c r="T252" i="18"/>
  <c r="Q252" i="18"/>
  <c r="T251" i="18"/>
  <c r="V251" i="18" s="1"/>
  <c r="Q251" i="18"/>
  <c r="T250" i="18"/>
  <c r="V250" i="18" s="1"/>
  <c r="Q250" i="18"/>
  <c r="T249" i="18"/>
  <c r="V249" i="18" s="1"/>
  <c r="Q249" i="18"/>
  <c r="V248" i="18"/>
  <c r="T248" i="18"/>
  <c r="Q248" i="18"/>
  <c r="T247" i="18"/>
  <c r="V247" i="18" s="1"/>
  <c r="Q247" i="18"/>
  <c r="T246" i="18"/>
  <c r="V246" i="18" s="1"/>
  <c r="Q246" i="18"/>
  <c r="T245" i="18"/>
  <c r="V245" i="18" s="1"/>
  <c r="Q245" i="18"/>
  <c r="V244" i="18"/>
  <c r="T244" i="18"/>
  <c r="Q244" i="18"/>
  <c r="T243" i="18"/>
  <c r="V243" i="18" s="1"/>
  <c r="Q243" i="18"/>
  <c r="T242" i="18"/>
  <c r="V242" i="18" s="1"/>
  <c r="Q242" i="18"/>
  <c r="T241" i="18"/>
  <c r="V241" i="18" s="1"/>
  <c r="Q241" i="18"/>
  <c r="T240" i="18"/>
  <c r="V240" i="18" s="1"/>
  <c r="Q240" i="18"/>
  <c r="T239" i="18"/>
  <c r="V239" i="18" s="1"/>
  <c r="Q239" i="18"/>
  <c r="T238" i="18"/>
  <c r="V238" i="18" s="1"/>
  <c r="Q238" i="18"/>
  <c r="T237" i="18"/>
  <c r="V237" i="18" s="1"/>
  <c r="Q237" i="18"/>
  <c r="T236" i="18"/>
  <c r="V236" i="18" s="1"/>
  <c r="Q236" i="18"/>
  <c r="T235" i="18"/>
  <c r="V235" i="18" s="1"/>
  <c r="Q235" i="18"/>
  <c r="T234" i="18"/>
  <c r="V234" i="18" s="1"/>
  <c r="Q234" i="18"/>
  <c r="T233" i="18"/>
  <c r="V233" i="18" s="1"/>
  <c r="Q233" i="18"/>
  <c r="V232" i="18"/>
  <c r="T232" i="18"/>
  <c r="Q232" i="18"/>
  <c r="T231" i="18"/>
  <c r="V231" i="18" s="1"/>
  <c r="Q231" i="18"/>
  <c r="T230" i="18"/>
  <c r="V230" i="18" s="1"/>
  <c r="Q230" i="18"/>
  <c r="T229" i="18"/>
  <c r="V229" i="18" s="1"/>
  <c r="Q229" i="18"/>
  <c r="V228" i="18"/>
  <c r="T228" i="18"/>
  <c r="Q228" i="18"/>
  <c r="T227" i="18"/>
  <c r="V227" i="18" s="1"/>
  <c r="Q227" i="18"/>
  <c r="T226" i="18"/>
  <c r="V226" i="18" s="1"/>
  <c r="Q226" i="18"/>
  <c r="T225" i="18"/>
  <c r="V225" i="18" s="1"/>
  <c r="Q225" i="18"/>
  <c r="T224" i="18"/>
  <c r="V224" i="18" s="1"/>
  <c r="Q224" i="18"/>
  <c r="T223" i="18"/>
  <c r="V223" i="18" s="1"/>
  <c r="Q223" i="18"/>
  <c r="T222" i="18"/>
  <c r="V222" i="18" s="1"/>
  <c r="Q222" i="18"/>
  <c r="T221" i="18"/>
  <c r="V221" i="18" s="1"/>
  <c r="Q221" i="18"/>
  <c r="V220" i="18"/>
  <c r="T220" i="18"/>
  <c r="Q220" i="18"/>
  <c r="T219" i="18"/>
  <c r="V219" i="18" s="1"/>
  <c r="Q219" i="18"/>
  <c r="T218" i="18"/>
  <c r="V218" i="18" s="1"/>
  <c r="Q218" i="18"/>
  <c r="T217" i="18"/>
  <c r="V217" i="18" s="1"/>
  <c r="Q217" i="18"/>
  <c r="V216" i="18"/>
  <c r="T216" i="18"/>
  <c r="Q216" i="18"/>
  <c r="T215" i="18"/>
  <c r="V215" i="18" s="1"/>
  <c r="Q215" i="18"/>
  <c r="T214" i="18"/>
  <c r="V214" i="18" s="1"/>
  <c r="Q214" i="18"/>
  <c r="T213" i="18"/>
  <c r="V213" i="18" s="1"/>
  <c r="Q213" i="18"/>
  <c r="V212" i="18"/>
  <c r="T212" i="18"/>
  <c r="Q212" i="18"/>
  <c r="T211" i="18"/>
  <c r="V211" i="18" s="1"/>
  <c r="Q211" i="18"/>
  <c r="T210" i="18"/>
  <c r="V210" i="18" s="1"/>
  <c r="Q210" i="18"/>
  <c r="T209" i="18"/>
  <c r="V209" i="18" s="1"/>
  <c r="Q209" i="18"/>
  <c r="T208" i="18"/>
  <c r="V208" i="18" s="1"/>
  <c r="Q208" i="18"/>
  <c r="T207" i="18"/>
  <c r="V207" i="18" s="1"/>
  <c r="Q207" i="18"/>
  <c r="T206" i="18"/>
  <c r="V206" i="18" s="1"/>
  <c r="Q206" i="18"/>
  <c r="T205" i="18"/>
  <c r="V205" i="18" s="1"/>
  <c r="Q205" i="18"/>
  <c r="V204" i="18"/>
  <c r="T204" i="18"/>
  <c r="Q204" i="18"/>
  <c r="T203" i="18"/>
  <c r="V203" i="18" s="1"/>
  <c r="Q203" i="18"/>
  <c r="T202" i="18"/>
  <c r="V202" i="18" s="1"/>
  <c r="Q202" i="18"/>
  <c r="T201" i="18"/>
  <c r="V201" i="18" s="1"/>
  <c r="Q201" i="18"/>
  <c r="V200" i="18"/>
  <c r="T200" i="18"/>
  <c r="Q200" i="18"/>
  <c r="T199" i="18"/>
  <c r="V199" i="18" s="1"/>
  <c r="Q199" i="18"/>
  <c r="T198" i="18"/>
  <c r="V198" i="18" s="1"/>
  <c r="Q198" i="18"/>
  <c r="T197" i="18"/>
  <c r="V197" i="18" s="1"/>
  <c r="Q197" i="18"/>
  <c r="V196" i="18"/>
  <c r="T196" i="18"/>
  <c r="Q196" i="18"/>
  <c r="T195" i="18"/>
  <c r="V195" i="18" s="1"/>
  <c r="Q195" i="18"/>
  <c r="T194" i="18"/>
  <c r="V194" i="18" s="1"/>
  <c r="Q194" i="18"/>
  <c r="T193" i="18"/>
  <c r="V193" i="18" s="1"/>
  <c r="Q193" i="18"/>
  <c r="T192" i="18"/>
  <c r="V192" i="18" s="1"/>
  <c r="Q192" i="18"/>
  <c r="T191" i="18"/>
  <c r="V191" i="18" s="1"/>
  <c r="Q191" i="18"/>
  <c r="T190" i="18"/>
  <c r="V190" i="18" s="1"/>
  <c r="Q190" i="18"/>
  <c r="T189" i="18"/>
  <c r="V189" i="18" s="1"/>
  <c r="Q189" i="18"/>
  <c r="V188" i="18"/>
  <c r="T188" i="18"/>
  <c r="Q188" i="18"/>
  <c r="T187" i="18"/>
  <c r="V187" i="18" s="1"/>
  <c r="Q187" i="18"/>
  <c r="T186" i="18"/>
  <c r="V186" i="18" s="1"/>
  <c r="Q186" i="18"/>
  <c r="T185" i="18"/>
  <c r="V185" i="18" s="1"/>
  <c r="Q185" i="18"/>
  <c r="V184" i="18"/>
  <c r="T184" i="18"/>
  <c r="Q184" i="18"/>
  <c r="T183" i="18"/>
  <c r="V183" i="18" s="1"/>
  <c r="Q183" i="18"/>
  <c r="T182" i="18"/>
  <c r="V182" i="18" s="1"/>
  <c r="Q182" i="18"/>
  <c r="T181" i="18"/>
  <c r="V181" i="18" s="1"/>
  <c r="Q181" i="18"/>
  <c r="V180" i="18"/>
  <c r="T180" i="18"/>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V172" i="18"/>
  <c r="T172" i="18"/>
  <c r="Q172" i="18"/>
  <c r="T171" i="18"/>
  <c r="V171" i="18" s="1"/>
  <c r="Q171" i="18"/>
  <c r="T170" i="18"/>
  <c r="V170" i="18" s="1"/>
  <c r="Q170" i="18"/>
  <c r="T169" i="18"/>
  <c r="V169" i="18" s="1"/>
  <c r="Q169" i="18"/>
  <c r="V168" i="18"/>
  <c r="T168" i="18"/>
  <c r="Q168" i="18"/>
  <c r="T167" i="18"/>
  <c r="V167" i="18" s="1"/>
  <c r="Q167" i="18"/>
  <c r="T166" i="18"/>
  <c r="V166" i="18" s="1"/>
  <c r="Q166" i="18"/>
  <c r="T165" i="18"/>
  <c r="V165" i="18" s="1"/>
  <c r="Q165" i="18"/>
  <c r="V164" i="18"/>
  <c r="T164" i="18"/>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V156" i="18"/>
  <c r="T156" i="18"/>
  <c r="Q156" i="18"/>
  <c r="T155" i="18"/>
  <c r="V155" i="18" s="1"/>
  <c r="Q155" i="18"/>
  <c r="T154" i="18"/>
  <c r="V154" i="18" s="1"/>
  <c r="Q154" i="18"/>
  <c r="T153" i="18"/>
  <c r="V153" i="18" s="1"/>
  <c r="Q153" i="18"/>
  <c r="V152" i="18"/>
  <c r="T152" i="18"/>
  <c r="Q152" i="18"/>
  <c r="T151" i="18"/>
  <c r="V151" i="18" s="1"/>
  <c r="Q151" i="18"/>
  <c r="T150" i="18"/>
  <c r="V150" i="18" s="1"/>
  <c r="Q150" i="18"/>
  <c r="T149" i="18"/>
  <c r="V149" i="18" s="1"/>
  <c r="Q149" i="18"/>
  <c r="V148" i="18"/>
  <c r="T148" i="18"/>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V140" i="18"/>
  <c r="T140" i="18"/>
  <c r="Q140" i="18"/>
  <c r="T139" i="18"/>
  <c r="V139" i="18" s="1"/>
  <c r="Q139" i="18"/>
  <c r="T138" i="18"/>
  <c r="V138" i="18" s="1"/>
  <c r="Q138" i="18"/>
  <c r="T137" i="18"/>
  <c r="V137" i="18" s="1"/>
  <c r="Q137" i="18"/>
  <c r="V136" i="18"/>
  <c r="T136" i="18"/>
  <c r="Q136" i="18"/>
  <c r="T135" i="18"/>
  <c r="V135" i="18" s="1"/>
  <c r="Q135" i="18"/>
  <c r="T134" i="18"/>
  <c r="V134" i="18" s="1"/>
  <c r="Q134" i="18"/>
  <c r="T133" i="18"/>
  <c r="V133" i="18" s="1"/>
  <c r="Q133" i="18"/>
  <c r="V132" i="18"/>
  <c r="T132" i="18"/>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V124" i="18"/>
  <c r="T124" i="18"/>
  <c r="Q124" i="18"/>
  <c r="T123" i="18"/>
  <c r="V123" i="18" s="1"/>
  <c r="Q123" i="18"/>
  <c r="T122" i="18"/>
  <c r="V122" i="18" s="1"/>
  <c r="Q122" i="18"/>
  <c r="T121" i="18"/>
  <c r="V121" i="18" s="1"/>
  <c r="Q121" i="18"/>
  <c r="V120" i="18"/>
  <c r="T120" i="18"/>
  <c r="Q120" i="18"/>
  <c r="T119" i="18"/>
  <c r="V119" i="18" s="1"/>
  <c r="Q119" i="18"/>
  <c r="T118" i="18"/>
  <c r="V118" i="18" s="1"/>
  <c r="Q118" i="18"/>
  <c r="T117" i="18"/>
  <c r="V117" i="18" s="1"/>
  <c r="Q117" i="18"/>
  <c r="V116" i="18"/>
  <c r="T116" i="18"/>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V108" i="18"/>
  <c r="T108" i="18"/>
  <c r="Q108" i="18"/>
  <c r="T107" i="18"/>
  <c r="V107" i="18" s="1"/>
  <c r="Q107" i="18"/>
  <c r="T106" i="18"/>
  <c r="V106" i="18" s="1"/>
  <c r="Q106" i="18"/>
  <c r="T105" i="18"/>
  <c r="V105" i="18" s="1"/>
  <c r="Q105" i="18"/>
  <c r="V104" i="18"/>
  <c r="T104" i="18"/>
  <c r="Q104" i="18"/>
  <c r="T103" i="18"/>
  <c r="V103" i="18" s="1"/>
  <c r="Q103" i="18"/>
  <c r="T102" i="18"/>
  <c r="V102" i="18" s="1"/>
  <c r="Q102" i="18"/>
  <c r="T101" i="18"/>
  <c r="V101" i="18" s="1"/>
  <c r="Q101" i="18"/>
  <c r="V100" i="18"/>
  <c r="T100" i="18"/>
  <c r="Q100" i="18"/>
  <c r="T99" i="18"/>
  <c r="V99" i="18" s="1"/>
  <c r="Q99" i="18"/>
  <c r="T98" i="18"/>
  <c r="V98" i="18" s="1"/>
  <c r="Q98" i="18"/>
  <c r="T97" i="18"/>
  <c r="V97" i="18" s="1"/>
  <c r="Q97" i="18"/>
  <c r="T96" i="18"/>
  <c r="V96" i="18" s="1"/>
  <c r="Q96" i="18"/>
  <c r="T95" i="18"/>
  <c r="V95" i="18" s="1"/>
  <c r="Q95" i="18"/>
  <c r="T94" i="18"/>
  <c r="V94" i="18" s="1"/>
  <c r="Q94" i="18"/>
  <c r="T93" i="18"/>
  <c r="V93" i="18" s="1"/>
  <c r="Q93" i="18"/>
  <c r="V92" i="18"/>
  <c r="T92" i="18"/>
  <c r="Q92" i="18"/>
  <c r="T91" i="18"/>
  <c r="V91" i="18" s="1"/>
  <c r="Q91" i="18"/>
  <c r="T90" i="18"/>
  <c r="V90" i="18" s="1"/>
  <c r="Q90" i="18"/>
  <c r="T89" i="18"/>
  <c r="V89" i="18" s="1"/>
  <c r="Q89" i="18"/>
  <c r="V88" i="18"/>
  <c r="T88" i="18"/>
  <c r="Q88" i="18"/>
  <c r="T87" i="18"/>
  <c r="V87" i="18" s="1"/>
  <c r="Q87" i="18"/>
  <c r="T86" i="18"/>
  <c r="V86" i="18" s="1"/>
  <c r="Q86" i="18"/>
  <c r="T85" i="18"/>
  <c r="V85" i="18" s="1"/>
  <c r="Q85" i="18"/>
  <c r="V84" i="18"/>
  <c r="T84" i="18"/>
  <c r="Q84" i="18"/>
  <c r="T83" i="18"/>
  <c r="V83" i="18" s="1"/>
  <c r="Q83" i="18"/>
  <c r="T82" i="18"/>
  <c r="V82" i="18" s="1"/>
  <c r="Q82" i="18"/>
  <c r="T81" i="18"/>
  <c r="V81" i="18" s="1"/>
  <c r="Q81" i="18"/>
  <c r="T80" i="18"/>
  <c r="V80" i="18" s="1"/>
  <c r="Q80" i="18"/>
  <c r="T79" i="18"/>
  <c r="V79" i="18" s="1"/>
  <c r="Q79" i="18"/>
  <c r="T78" i="18"/>
  <c r="V78" i="18" s="1"/>
  <c r="Q78" i="18"/>
  <c r="T77" i="18"/>
  <c r="V77" i="18" s="1"/>
  <c r="Q77" i="18"/>
  <c r="V76" i="18"/>
  <c r="T76" i="18"/>
  <c r="Q76" i="18"/>
  <c r="T75" i="18"/>
  <c r="V75" i="18" s="1"/>
  <c r="Q75" i="18"/>
  <c r="T74" i="18"/>
  <c r="V74" i="18" s="1"/>
  <c r="Q74" i="18"/>
  <c r="T73" i="18"/>
  <c r="V73" i="18" s="1"/>
  <c r="Q73" i="18"/>
  <c r="V72" i="18"/>
  <c r="T72" i="18"/>
  <c r="Q72" i="18"/>
  <c r="T71" i="18"/>
  <c r="V71" i="18" s="1"/>
  <c r="Q71" i="18"/>
  <c r="T70" i="18"/>
  <c r="V70" i="18" s="1"/>
  <c r="Q70" i="18"/>
  <c r="T69" i="18"/>
  <c r="V69" i="18" s="1"/>
  <c r="Q69" i="18"/>
  <c r="V68" i="18"/>
  <c r="T68" i="18"/>
  <c r="Q68" i="18"/>
  <c r="T67" i="18"/>
  <c r="V67" i="18" s="1"/>
  <c r="Q67" i="18"/>
  <c r="T66" i="18"/>
  <c r="V66" i="18" s="1"/>
  <c r="Q66" i="18"/>
  <c r="T65" i="18"/>
  <c r="V65" i="18" s="1"/>
  <c r="Q65" i="18"/>
  <c r="T64" i="18"/>
  <c r="V64" i="18" s="1"/>
  <c r="Q64" i="18"/>
  <c r="T63" i="18"/>
  <c r="V63" i="18" s="1"/>
  <c r="Q63" i="18"/>
  <c r="T62" i="18"/>
  <c r="V62" i="18" s="1"/>
  <c r="Q62" i="18"/>
  <c r="T61" i="18"/>
  <c r="V61" i="18" s="1"/>
  <c r="Q61" i="18"/>
  <c r="T60" i="18"/>
  <c r="V60" i="18" s="1"/>
  <c r="Q60" i="18"/>
  <c r="T59" i="18"/>
  <c r="V59" i="18" s="1"/>
  <c r="Q59" i="18"/>
  <c r="T58" i="18"/>
  <c r="V58" i="18" s="1"/>
  <c r="Q58" i="18"/>
  <c r="T57" i="18"/>
  <c r="V57" i="18" s="1"/>
  <c r="Q57" i="18"/>
  <c r="V56" i="18"/>
  <c r="T56" i="18"/>
  <c r="Q56" i="18"/>
  <c r="T55" i="18"/>
  <c r="V55" i="18" s="1"/>
  <c r="Q55" i="18"/>
  <c r="T54" i="18"/>
  <c r="V54" i="18" s="1"/>
  <c r="Q54" i="18"/>
  <c r="T53" i="18"/>
  <c r="V53" i="18" s="1"/>
  <c r="Q53" i="18"/>
  <c r="V52" i="18"/>
  <c r="T52" i="18"/>
  <c r="Q52" i="18"/>
  <c r="T51" i="18"/>
  <c r="V51" i="18" s="1"/>
  <c r="Q51" i="18"/>
  <c r="T50" i="18"/>
  <c r="V50" i="18" s="1"/>
  <c r="Q50" i="18"/>
  <c r="T49" i="18"/>
  <c r="V49" i="18" s="1"/>
  <c r="Q49" i="18"/>
  <c r="T48" i="18"/>
  <c r="V48" i="18" s="1"/>
  <c r="Q48" i="18"/>
  <c r="T47" i="18"/>
  <c r="V47" i="18" s="1"/>
  <c r="Q47" i="18"/>
  <c r="T46" i="18"/>
  <c r="V46" i="18" s="1"/>
  <c r="Q46" i="18"/>
  <c r="T45" i="18"/>
  <c r="V45" i="18" s="1"/>
  <c r="Q45" i="18"/>
  <c r="T44" i="18"/>
  <c r="V44" i="18" s="1"/>
  <c r="Q44" i="18"/>
  <c r="T43" i="18"/>
  <c r="V43" i="18" s="1"/>
  <c r="Q43" i="18"/>
  <c r="T42" i="18"/>
  <c r="V42" i="18" s="1"/>
  <c r="Q42" i="18"/>
  <c r="T41" i="18"/>
  <c r="V41" i="18" s="1"/>
  <c r="Q41" i="18"/>
  <c r="V40" i="18"/>
  <c r="T40" i="18"/>
  <c r="Q40" i="18"/>
  <c r="T39" i="18"/>
  <c r="V39" i="18" s="1"/>
  <c r="Q39" i="18"/>
  <c r="T38" i="18"/>
  <c r="V38" i="18" s="1"/>
  <c r="Q38" i="18"/>
  <c r="T37" i="18"/>
  <c r="V37" i="18" s="1"/>
  <c r="Q37" i="18"/>
  <c r="V36" i="18"/>
  <c r="T36" i="18"/>
  <c r="Q36" i="18"/>
  <c r="V35" i="18"/>
  <c r="T35" i="18"/>
  <c r="Q35" i="18"/>
  <c r="T34" i="18"/>
  <c r="V34" i="18" s="1"/>
  <c r="Q34" i="18"/>
  <c r="T33" i="18"/>
  <c r="V33" i="18" s="1"/>
  <c r="Q33" i="18"/>
  <c r="V32" i="18"/>
  <c r="T32" i="18"/>
  <c r="Q32" i="18"/>
  <c r="V31" i="18"/>
  <c r="T31" i="18"/>
  <c r="Q31" i="18"/>
  <c r="T30" i="18"/>
  <c r="V30" i="18" s="1"/>
  <c r="Q30" i="18"/>
  <c r="T29" i="18"/>
  <c r="V29" i="18" s="1"/>
  <c r="Q29" i="18"/>
  <c r="V28" i="18"/>
  <c r="T28" i="18"/>
  <c r="Q28" i="18"/>
  <c r="V27" i="18"/>
  <c r="T27" i="18"/>
  <c r="Q27" i="18"/>
  <c r="T26" i="18"/>
  <c r="V26" i="18" s="1"/>
  <c r="Q26" i="18"/>
  <c r="T25" i="18"/>
  <c r="V25" i="18" s="1"/>
  <c r="Q25" i="18"/>
  <c r="V24" i="18"/>
  <c r="T24" i="18"/>
  <c r="Q24" i="18"/>
  <c r="V23" i="18"/>
  <c r="T23" i="18"/>
  <c r="Q23" i="18"/>
  <c r="T22" i="18"/>
  <c r="V22" i="18" s="1"/>
  <c r="Q22" i="18"/>
  <c r="T21" i="18"/>
  <c r="V21" i="18" s="1"/>
  <c r="Q21" i="18"/>
  <c r="V20" i="18"/>
  <c r="T20" i="18"/>
  <c r="Q20" i="18"/>
  <c r="V19" i="18"/>
  <c r="T19" i="18"/>
  <c r="Q19" i="18"/>
  <c r="T18" i="18"/>
  <c r="V18" i="18" s="1"/>
  <c r="Q18" i="18"/>
  <c r="T17" i="18"/>
  <c r="V17" i="18" s="1"/>
  <c r="Q17" i="18"/>
  <c r="V16" i="18"/>
  <c r="T16" i="18"/>
  <c r="Q16" i="18"/>
  <c r="T15" i="18"/>
  <c r="V15" i="18" s="1"/>
  <c r="Q15" i="18"/>
  <c r="T14" i="18"/>
  <c r="V14" i="18" s="1"/>
  <c r="Q14" i="18"/>
  <c r="T13" i="18"/>
  <c r="V13" i="18" s="1"/>
  <c r="Q13" i="18"/>
  <c r="V12" i="18"/>
  <c r="T12" i="18"/>
  <c r="Q12" i="18"/>
  <c r="T11" i="18"/>
  <c r="V11" i="18" s="1"/>
  <c r="Q11" i="18"/>
  <c r="T10" i="18"/>
  <c r="V10" i="18" s="1"/>
  <c r="Q10" i="18"/>
  <c r="T9" i="18"/>
  <c r="V9" i="18" s="1"/>
  <c r="Q9" i="18"/>
  <c r="V8" i="18"/>
  <c r="T8" i="18"/>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<sst xmlns="http://schemas.openxmlformats.org/spreadsheetml/2006/main" count="10945" uniqueCount="385">
  <si>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</si>
  <si>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</si>
  <si>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</si>
  <si>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</si>
  <si>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</si>
  <si>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</si>
  <si>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</si>
  <si>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</si>
  <si>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</si>
  <si>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</si>
  <si>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</si>
  <si>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</si>
  <si>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</si>
  <si>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</si>
  <si>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</si>
  <si>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</si>
  <si>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</si>
  <si>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</si>
  <si>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</si>
  <si>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</si>
  <si>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</si>
  <si>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</si>
  <si>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</si>
  <si>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</si>
  <si>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</si>
  <si>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</si>
  <si>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</si>
  <si>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</si>
  <si>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</si>
  <si>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</si>
  <si>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</si>
  <si>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</si>
  <si>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</si>
  <si>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</si>
  <si>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</si>
  <si>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</si>
  <si>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</si>
  <si>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</si>
  <si>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</si>
  <si>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</si>
  <si>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</si>
  <si>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</si>
  <si>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</si>
  <si>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</si>
  <si>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</si>
  <si>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</si>
  <si>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</si>
  <si>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</si>
  <si>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</si>
  <si>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</si>
  <si>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</si>
  <si>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</si>
  <si>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</si>
  <si>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</si>
  <si>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</si>
  <si>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</si>
  <si>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</si>
  <si>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</si>
  <si>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</si>
  <si>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</si>
  <si>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</si>
  <si>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</si>
  <si>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</si>
  <si>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</si>
  <si>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</si>
  <si>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</si>
  <si>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</si>
  <si>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</si>
  <si>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</si>
  <si>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</si>
  <si>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</si>
  <si>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</si>
  <si>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</si>
  <si>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</si>
  <si>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</si>
  <si>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</si>
  <si>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</si>
  <si>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</si>
  <si>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</si>
  <si>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</si>
  <si>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</si>
  <si>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</si>
  <si>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</si>
  <si>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</si>
  <si>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</si>
  <si>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</si>
  <si>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</si>
  <si>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</si>
  <si>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</si>
  <si>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</si>
  <si>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</si>
  <si>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</si>
  <si>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</si>
  <si>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</si>
  <si>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</si>
  <si>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</si>
  <si>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</si>
  <si>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</si>
  <si>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</si>
  <si>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</si>
  <si>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</si>
  <si>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</si>
  <si>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</si>
  <si>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</si>
  <si>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</si>
  <si>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</si>
  <si>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</si>
  <si>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</si>
  <si>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</si>
  <si>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</si>
  <si>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</si>
  <si>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</si>
  <si>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</si>
  <si>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</si>
  <si>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</si>
  <si>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</si>
  <si>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</si>
  <si>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</si>
  <si>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</si>
  <si>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</si>
  <si>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</si>
  <si>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</si>
  <si>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</si>
  <si>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</si>
  <si>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</si>
  <si>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</si>
  <si>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</si>
  <si>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</si>
  <si>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</si>
  <si>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</si>
  <si>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</si>
  <si>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</si>
  <si>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</si>
  <si>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</si>
  <si>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</si>
  <si>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</si>
  <si>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</si>
  <si>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</si>
  <si>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</si>
  <si>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</si>
  <si>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</si>
  <si>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</si>
  <si>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</si>
  <si>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</si>
  <si>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</si>
  <si>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</si>
  <si>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</si>
  <si>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</si>
  <si>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</si>
  <si>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</si>
  <si>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</si>
  <si>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</si>
  <si>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</si>
  <si>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</si>
  <si>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</si>
  <si>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</si>
  <si>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</si>
  <si>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</si>
  <si>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</si>
  <si>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</si>
  <si>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</si>
  <si>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</si>
  <si>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</si>
  <si>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</si>
  <si>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HE</t>
  </si>
  <si>
    <t>HW</t>
  </si>
  <si>
    <t>OB</t>
  </si>
  <si>
    <t>21.05.2019</t>
  </si>
  <si>
    <t>21.05.2019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</si>
  <si>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</si>
  <si>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</si>
  <si>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</si>
  <si>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</si>
  <si>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</si>
  <si>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</si>
  <si>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</si>
  <si>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</si>
  <si>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</si>
  <si>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</si>
  <si>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</si>
  <si>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</si>
  <si>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</si>
  <si>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</si>
  <si>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</si>
  <si>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</si>
  <si>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22.05.2019</t>
  </si>
  <si>
    <t>利府店</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</si>
  <si>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</si>
  <si>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</si>
  <si>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</si>
  <si>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</si>
  <si>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</si>
  <si>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</si>
  <si>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</si>
  <si>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</si>
  <si>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</si>
  <si>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</si>
  <si>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</si>
  <si>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</si>
  <si>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</si>
  <si>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</si>
  <si>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</si>
  <si>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</si>
  <si>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</si>
  <si>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</si>
  <si>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</si>
  <si>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</si>
  <si>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</si>
  <si>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</si>
  <si>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</si>
  <si>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</si>
  <si>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</si>
  <si>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</si>
  <si>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</si>
  <si>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</si>
  <si>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</si>
  <si>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</si>
  <si>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</si>
  <si>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</si>
  <si>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</si>
  <si>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</si>
  <si>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</si>
  <si>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</si>
  <si>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</si>
  <si>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</si>
  <si>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</si>
  <si>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</si>
  <si>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</si>
  <si>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</si>
  <si>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</si>
  <si>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</si>
  <si>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</si>
  <si>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</si>
  <si>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23.05.2019</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</si>
  <si>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</si>
  <si>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</si>
  <si>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</si>
  <si>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</si>
  <si>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</si>
  <si>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</si>
  <si>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</si>
  <si>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</si>
  <si>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</si>
  <si>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</si>
  <si>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</si>
  <si>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</si>
  <si>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</si>
  <si>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</si>
  <si>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</si>
  <si>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</si>
  <si>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</si>
  <si>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</si>
  <si>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</si>
  <si>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</si>
  <si>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</si>
  <si>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</si>
  <si>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</si>
  <si>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</si>
  <si>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t>JPY</t>
    <phoneticPr fontId="3"/>
  </si>
  <si>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</si>
  <si>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</si>
  <si>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24.05.2019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</si>
  <si>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</si>
  <si>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</si>
  <si>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</si>
  <si>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</si>
  <si>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</si>
  <si>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</si>
  <si>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</si>
  <si>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</si>
  <si>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</si>
  <si>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</si>
  <si>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</si>
  <si>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</si>
  <si>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</si>
  <si>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</si>
  <si>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</si>
  <si>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</si>
  <si>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</si>
  <si>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</si>
  <si>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</si>
  <si>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</si>
  <si>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</si>
  <si>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24.05.2019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</si>
  <si>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</si>
  <si>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</si>
  <si>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</si>
  <si>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</si>
  <si>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</si>
  <si>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</si>
  <si>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</si>
  <si>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</si>
  <si>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</si>
  <si>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</si>
  <si>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</si>
  <si>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</si>
  <si>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</si>
  <si>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</si>
  <si>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</si>
  <si>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</si>
  <si>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</si>
  <si>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</si>
  <si>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</si>
  <si>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</si>
  <si>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</si>
  <si>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</si>
  <si>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</si>
  <si>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</si>
  <si>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</si>
  <si>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みかん</t>
    <phoneticPr fontId="4"/>
  </si>
  <si>
    <t>マンゴー</t>
    <phoneticPr fontId="3"/>
  </si>
  <si>
    <t>りんご</t>
    <phoneticPr fontId="3"/>
  </si>
  <si>
    <t>販売
ユニット
個数</t>
    <phoneticPr fontId="4"/>
  </si>
  <si>
    <t>U/P JPY</t>
    <phoneticPr fontId="4"/>
  </si>
  <si>
    <t>22.05.2019</t>
    <phoneticPr fontId="3"/>
  </si>
  <si>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</si>
  <si>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</si>
  <si>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</si>
  <si>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</si>
  <si>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</si>
  <si>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</si>
  <si>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</si>
  <si>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</si>
  <si>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</si>
  <si>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</si>
  <si>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</si>
  <si>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</si>
  <si>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</si>
  <si>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</si>
  <si>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</si>
  <si>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</si>
  <si>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</si>
  <si>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</si>
  <si>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</si>
  <si>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</si>
  <si>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</si>
  <si>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</si>
  <si>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</si>
  <si>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</si>
  <si>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</si>
  <si>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</si>
  <si>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</si>
  <si>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</si>
  <si>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</si>
  <si>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</si>
  <si>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</si>
  <si>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</si>
  <si>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</si>
  <si>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</si>
  <si>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</si>
  <si>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</si>
  <si>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</si>
  <si>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</si>
  <si>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</si>
  <si>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</si>
  <si>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</si>
  <si>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サミット</t>
  </si>
  <si>
    <t>久が原食品館</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</si>
  <si>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</si>
  <si>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</si>
  <si>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</si>
  <si>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</si>
  <si>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</si>
  <si>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</si>
  <si>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</si>
  <si>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</si>
  <si>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</si>
  <si>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</si>
  <si>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</si>
  <si>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</si>
  <si>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</si>
  <si>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</si>
  <si>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</si>
  <si>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</si>
  <si>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</si>
  <si>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</si>
  <si>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</si>
  <si>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</si>
  <si>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</si>
  <si>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</si>
  <si>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</si>
  <si>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</si>
  <si>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</si>
  <si>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</si>
  <si>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GA</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</si>
</sst>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6" fillId="0" borderId="12" xfId="2" applyFont="1" applyBorder="1" applyAlignment="1">
      <alignment horizontal="center" vertical="center"/>
    </xf>
    <xf numFmtId="0" fontId="1" fillId="0" borderId="18" xfId="1" applyBorder="1"/>
    <xf numFmtId="0" fontId="15" fillId="0" borderId="0" xfId="1" applyFont="1"/>
    <xf numFmtId="178" fontId="1" fillId="2" borderId="0" xfId="1" applyNumberFormat="1" applyFill="1"/>
    <xf numFmtId="178" fontId="1" fillId="3"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7" fillId="0" borderId="0" xfId="1" applyNumberFormat="1" applyFont="1"/>
    <xf numFmtId="0" fontId="1" fillId="0" borderId="12" xfId="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7" fillId="0" borderId="0" xfId="1" applyNumberFormat="1" applyFont="1" applyAlignment="1">
      <alignment horizontal="center"/>
    </xf>
    <xf numFmtId="0" fontId="18"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85" zoomScaleNormal="85" workbookViewId="0">
      <selection activeCell="P71" sqref="P71"/>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168</v>
      </c>
      <c r="E2" s="15" t="s">
        <v>141</v>
      </c>
      <c r="F2" s="15" t="s">
        <v>149</v>
      </c>
      <c r="G2" s="15" t="s">
        <v>36</v>
      </c>
      <c r="H2" s="15" t="s">
        <v>165</v>
      </c>
      <c r="I2" s="15" t="s">
        <v>159</v>
      </c>
      <c r="J2" s="15" t="s">
        <v>38</v>
      </c>
      <c r="K2" s="7" t="s">
        <v>161</v>
      </c>
      <c r="L2" s="7">
        <v>1</v>
      </c>
      <c r="N2" s="47">
        <v>1</v>
      </c>
      <c r="O2" s="15">
        <v>0.5</v>
      </c>
      <c r="P2" s="15">
        <v>0.5</v>
      </c>
      <c r="Q2" s="51">
        <f t="shared" ref="Q2:Q65" si="0">IF(OR(O2="",P2=""),"",AVERAGE(O2,P2))</f>
        <v>0.5</v>
      </c>
      <c r="R2" s="15">
        <v>14.2</v>
      </c>
      <c r="S2" s="15">
        <v>89</v>
      </c>
      <c r="T2" s="38">
        <f t="shared" ref="T2:T59" si="1">IF(H2="","",IF(OR(H2="GREEN",H2="GK"),IF(S2&gt;=$AX$2,VLOOKUP(S2,$AX$2:$AY$12,2,1),""),IF(S2&gt;=$AZ$2,VLOOKUP(S2,$AZ$2:$BA$12,2,1),"")))</f>
        <v>36</v>
      </c>
      <c r="U2" s="15">
        <v>51</v>
      </c>
      <c r="V2" s="38">
        <f t="shared" ref="V2:V65" si="2">IF(OR(N2="",U2="",T2=""),"",U2/N2*T2)</f>
        <v>1836</v>
      </c>
      <c r="W2" s="15">
        <v>10</v>
      </c>
      <c r="X2" s="15" t="s">
        <v>46</v>
      </c>
      <c r="Y2" s="15" t="s">
        <v>55</v>
      </c>
      <c r="Z2" s="15" t="s">
        <v>47</v>
      </c>
      <c r="AA2" s="15" t="s">
        <v>86</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167</v>
      </c>
      <c r="E3" s="15" t="s">
        <v>141</v>
      </c>
      <c r="F3" s="7" t="s">
        <v>149</v>
      </c>
      <c r="G3" s="7" t="s">
        <v>36</v>
      </c>
      <c r="H3" s="15" t="s">
        <v>165</v>
      </c>
      <c r="I3" s="7" t="s">
        <v>159</v>
      </c>
      <c r="J3" s="15" t="s">
        <v>38</v>
      </c>
      <c r="K3" s="7" t="s">
        <v>161</v>
      </c>
      <c r="L3" s="7">
        <v>2</v>
      </c>
      <c r="N3" s="7">
        <v>1</v>
      </c>
      <c r="O3" s="34">
        <v>0.85</v>
      </c>
      <c r="P3" s="7">
        <v>0.9</v>
      </c>
      <c r="Q3" s="52">
        <f t="shared" si="0"/>
        <v>0.875</v>
      </c>
      <c r="R3" s="7">
        <v>15.5</v>
      </c>
      <c r="S3" s="7">
        <v>91</v>
      </c>
      <c r="T3" s="16">
        <f t="shared" si="1"/>
        <v>36</v>
      </c>
      <c r="U3" s="15">
        <v>51</v>
      </c>
      <c r="V3" s="16">
        <f t="shared" si="2"/>
        <v>1836</v>
      </c>
      <c r="W3" s="15">
        <v>10</v>
      </c>
      <c r="X3" s="15" t="s">
        <v>46</v>
      </c>
      <c r="Y3" s="15" t="s">
        <v>55</v>
      </c>
      <c r="Z3" s="15" t="s">
        <v>47</v>
      </c>
      <c r="AA3" s="15" t="s">
        <v>86</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167</v>
      </c>
      <c r="E4" s="15" t="s">
        <v>141</v>
      </c>
      <c r="F4" s="7" t="s">
        <v>149</v>
      </c>
      <c r="G4" s="7" t="s">
        <v>36</v>
      </c>
      <c r="H4" s="15" t="s">
        <v>165</v>
      </c>
      <c r="I4" s="7" t="s">
        <v>159</v>
      </c>
      <c r="J4" s="15" t="s">
        <v>38</v>
      </c>
      <c r="K4" s="7" t="s">
        <v>161</v>
      </c>
      <c r="L4" s="7">
        <v>3</v>
      </c>
      <c r="N4" s="7">
        <v>1</v>
      </c>
      <c r="O4" s="7">
        <v>0.6</v>
      </c>
      <c r="P4" s="7">
        <v>0.6</v>
      </c>
      <c r="Q4" s="52">
        <f t="shared" si="0"/>
        <v>0.6</v>
      </c>
      <c r="R4" s="7">
        <v>12.7</v>
      </c>
      <c r="S4" s="7">
        <v>91</v>
      </c>
      <c r="T4" s="16">
        <f t="shared" si="1"/>
        <v>36</v>
      </c>
      <c r="U4" s="15">
        <v>51</v>
      </c>
      <c r="V4" s="16">
        <f t="shared" si="2"/>
        <v>1836</v>
      </c>
      <c r="W4" s="15">
        <v>10</v>
      </c>
      <c r="X4" s="15" t="s">
        <v>46</v>
      </c>
      <c r="Y4" s="54" t="s">
        <v>55</v>
      </c>
      <c r="Z4" s="54" t="s">
        <v>47</v>
      </c>
      <c r="AA4" s="54" t="s">
        <v>86</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167</v>
      </c>
      <c r="E5" s="15" t="s">
        <v>141</v>
      </c>
      <c r="F5" s="15" t="s">
        <v>149</v>
      </c>
      <c r="G5" s="7" t="s">
        <v>36</v>
      </c>
      <c r="H5" s="15" t="s">
        <v>160</v>
      </c>
      <c r="I5" s="7" t="s">
        <v>159</v>
      </c>
      <c r="J5" s="15" t="s">
        <v>38</v>
      </c>
      <c r="K5" s="7" t="s">
        <v>161</v>
      </c>
      <c r="L5" s="7">
        <v>1</v>
      </c>
      <c r="N5" s="7">
        <v>1</v>
      </c>
      <c r="O5" s="7">
        <v>0.6</v>
      </c>
      <c r="P5" s="7">
        <v>0.55000000000000004</v>
      </c>
      <c r="Q5" s="52">
        <f t="shared" si="0"/>
        <v>0.57499999999999996</v>
      </c>
      <c r="R5" s="7">
        <v>17.399999999999999</v>
      </c>
      <c r="S5" s="7">
        <v>126</v>
      </c>
      <c r="T5" s="16">
        <f t="shared" si="1"/>
        <v>27</v>
      </c>
      <c r="U5" s="15">
        <v>135</v>
      </c>
      <c r="V5" s="16">
        <f t="shared" si="2"/>
        <v>3645</v>
      </c>
      <c r="W5" s="15">
        <v>16</v>
      </c>
      <c r="X5" s="15" t="s">
        <v>46</v>
      </c>
      <c r="Y5" s="54" t="s">
        <v>55</v>
      </c>
      <c r="Z5" s="54" t="s">
        <v>47</v>
      </c>
      <c r="AA5" s="54" t="s">
        <v>86</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167</v>
      </c>
      <c r="E6" s="15" t="s">
        <v>141</v>
      </c>
      <c r="F6" s="7" t="s">
        <v>149</v>
      </c>
      <c r="G6" s="7" t="s">
        <v>36</v>
      </c>
      <c r="H6" s="54" t="s">
        <v>160</v>
      </c>
      <c r="I6" s="7" t="s">
        <v>159</v>
      </c>
      <c r="J6" s="15" t="s">
        <v>38</v>
      </c>
      <c r="K6" s="7" t="s">
        <v>161</v>
      </c>
      <c r="L6" s="7">
        <v>2</v>
      </c>
      <c r="N6" s="7">
        <v>1</v>
      </c>
      <c r="O6" s="7">
        <v>0.6</v>
      </c>
      <c r="P6" s="7">
        <v>0.65</v>
      </c>
      <c r="Q6" s="52">
        <f t="shared" si="0"/>
        <v>0.625</v>
      </c>
      <c r="R6" s="7">
        <v>15.8</v>
      </c>
      <c r="S6" s="7">
        <v>132</v>
      </c>
      <c r="T6" s="16">
        <f t="shared" si="1"/>
        <v>25</v>
      </c>
      <c r="U6" s="15">
        <v>135</v>
      </c>
      <c r="V6" s="16">
        <f t="shared" si="2"/>
        <v>3375</v>
      </c>
      <c r="W6" s="15">
        <v>16</v>
      </c>
      <c r="X6" s="15" t="s">
        <v>46</v>
      </c>
      <c r="Y6" s="54" t="s">
        <v>55</v>
      </c>
      <c r="Z6" s="54" t="s">
        <v>47</v>
      </c>
      <c r="AA6" s="54" t="s">
        <v>86</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167</v>
      </c>
      <c r="E7" s="15" t="s">
        <v>141</v>
      </c>
      <c r="F7" s="7" t="s">
        <v>149</v>
      </c>
      <c r="G7" s="7" t="s">
        <v>36</v>
      </c>
      <c r="H7" s="54" t="s">
        <v>160</v>
      </c>
      <c r="I7" s="7" t="s">
        <v>159</v>
      </c>
      <c r="J7" s="15" t="s">
        <v>38</v>
      </c>
      <c r="K7" s="7" t="s">
        <v>161</v>
      </c>
      <c r="L7" s="7">
        <v>3</v>
      </c>
      <c r="N7" s="7">
        <v>1</v>
      </c>
      <c r="O7" s="7">
        <v>0.55000000000000004</v>
      </c>
      <c r="P7" s="7">
        <v>0.65</v>
      </c>
      <c r="Q7" s="52">
        <f t="shared" si="0"/>
        <v>0.60000000000000009</v>
      </c>
      <c r="R7" s="34">
        <v>15.4</v>
      </c>
      <c r="S7" s="7">
        <v>131</v>
      </c>
      <c r="T7" s="16">
        <f t="shared" si="1"/>
        <v>25</v>
      </c>
      <c r="U7" s="15">
        <v>135</v>
      </c>
      <c r="V7" s="16">
        <f t="shared" si="2"/>
        <v>3375</v>
      </c>
      <c r="W7" s="15">
        <v>16</v>
      </c>
      <c r="X7" s="15" t="s">
        <v>46</v>
      </c>
      <c r="Y7" s="54" t="s">
        <v>55</v>
      </c>
      <c r="Z7" s="54" t="s">
        <v>47</v>
      </c>
      <c r="AA7" s="54" t="s">
        <v>86</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167</v>
      </c>
      <c r="E8" s="15" t="s">
        <v>133</v>
      </c>
      <c r="F8" s="7" t="s">
        <v>150</v>
      </c>
      <c r="G8" s="7" t="s">
        <v>36</v>
      </c>
      <c r="H8" s="15" t="s">
        <v>165</v>
      </c>
      <c r="I8" s="7" t="s">
        <v>159</v>
      </c>
      <c r="J8" s="15" t="s">
        <v>38</v>
      </c>
      <c r="K8" s="7" t="s">
        <v>161</v>
      </c>
      <c r="L8" s="7">
        <v>1</v>
      </c>
      <c r="N8" s="7">
        <v>1</v>
      </c>
      <c r="O8" s="7">
        <v>1.1499999999999999</v>
      </c>
      <c r="P8" s="7">
        <v>1.25</v>
      </c>
      <c r="Q8" s="52">
        <f t="shared" si="0"/>
        <v>1.2</v>
      </c>
      <c r="R8" s="34">
        <v>15.2</v>
      </c>
      <c r="S8" s="7">
        <v>114</v>
      </c>
      <c r="T8" s="16">
        <f t="shared" si="1"/>
        <v>30</v>
      </c>
      <c r="U8" s="15">
        <v>95</v>
      </c>
      <c r="V8" s="16">
        <f t="shared" si="2"/>
        <v>2850</v>
      </c>
      <c r="W8" s="15">
        <v>6</v>
      </c>
      <c r="X8" s="15" t="s">
        <v>46</v>
      </c>
      <c r="Y8" s="54" t="s">
        <v>55</v>
      </c>
      <c r="Z8" s="54" t="s">
        <v>47</v>
      </c>
      <c r="AA8" s="54" t="s">
        <v>90</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167</v>
      </c>
      <c r="E9" s="15" t="s">
        <v>133</v>
      </c>
      <c r="F9" s="7" t="s">
        <v>150</v>
      </c>
      <c r="G9" s="7" t="s">
        <v>36</v>
      </c>
      <c r="H9" s="54" t="s">
        <v>165</v>
      </c>
      <c r="I9" s="7" t="s">
        <v>159</v>
      </c>
      <c r="J9" s="15" t="s">
        <v>38</v>
      </c>
      <c r="K9" s="7" t="s">
        <v>161</v>
      </c>
      <c r="L9" s="7">
        <v>2</v>
      </c>
      <c r="N9" s="7">
        <v>1</v>
      </c>
      <c r="O9" s="7">
        <v>0.85</v>
      </c>
      <c r="P9" s="7">
        <v>0.95</v>
      </c>
      <c r="Q9" s="52">
        <f t="shared" si="0"/>
        <v>0.89999999999999991</v>
      </c>
      <c r="R9" s="7">
        <v>12</v>
      </c>
      <c r="S9" s="7">
        <v>117</v>
      </c>
      <c r="T9" s="16">
        <f t="shared" si="1"/>
        <v>30</v>
      </c>
      <c r="U9" s="15">
        <v>95</v>
      </c>
      <c r="V9" s="16">
        <f t="shared" si="2"/>
        <v>2850</v>
      </c>
      <c r="W9" s="15">
        <v>6</v>
      </c>
      <c r="X9" s="15" t="s">
        <v>46</v>
      </c>
      <c r="Y9" s="54" t="s">
        <v>55</v>
      </c>
      <c r="Z9" s="54" t="s">
        <v>47</v>
      </c>
      <c r="AA9" s="54" t="s">
        <v>90</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167</v>
      </c>
      <c r="E10" s="15" t="s">
        <v>133</v>
      </c>
      <c r="F10" s="7" t="s">
        <v>150</v>
      </c>
      <c r="G10" s="7" t="s">
        <v>36</v>
      </c>
      <c r="H10" s="54" t="s">
        <v>165</v>
      </c>
      <c r="I10" s="7" t="s">
        <v>159</v>
      </c>
      <c r="J10" s="15" t="s">
        <v>38</v>
      </c>
      <c r="K10" s="7" t="s">
        <v>161</v>
      </c>
      <c r="L10" s="7">
        <v>3</v>
      </c>
      <c r="N10" s="7">
        <v>1</v>
      </c>
      <c r="O10" s="7">
        <v>0.95</v>
      </c>
      <c r="P10" s="7">
        <v>0.9</v>
      </c>
      <c r="Q10" s="52">
        <f t="shared" si="0"/>
        <v>0.92500000000000004</v>
      </c>
      <c r="R10" s="7">
        <v>12.7</v>
      </c>
      <c r="S10" s="7">
        <v>114</v>
      </c>
      <c r="T10" s="16">
        <f t="shared" si="1"/>
        <v>30</v>
      </c>
      <c r="U10" s="15">
        <v>95</v>
      </c>
      <c r="V10" s="16">
        <f t="shared" si="2"/>
        <v>2850</v>
      </c>
      <c r="W10" s="15">
        <v>6</v>
      </c>
      <c r="X10" s="15" t="s">
        <v>46</v>
      </c>
      <c r="Y10" s="54" t="s">
        <v>55</v>
      </c>
      <c r="Z10" s="54" t="s">
        <v>47</v>
      </c>
      <c r="AA10" s="54" t="s">
        <v>90</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167</v>
      </c>
      <c r="E11" s="15" t="s">
        <v>133</v>
      </c>
      <c r="F11" s="7" t="s">
        <v>150</v>
      </c>
      <c r="G11" s="7" t="s">
        <v>36</v>
      </c>
      <c r="H11" s="15" t="s">
        <v>160</v>
      </c>
      <c r="I11" s="7" t="s">
        <v>159</v>
      </c>
      <c r="J11" s="15" t="s">
        <v>38</v>
      </c>
      <c r="K11" s="7" t="s">
        <v>161</v>
      </c>
      <c r="L11" s="7">
        <v>1</v>
      </c>
      <c r="N11" s="7">
        <v>1</v>
      </c>
      <c r="O11" s="7">
        <v>1.05</v>
      </c>
      <c r="P11" s="7">
        <v>1.1000000000000001</v>
      </c>
      <c r="Q11" s="52">
        <f t="shared" si="0"/>
        <v>1.0750000000000002</v>
      </c>
      <c r="R11" s="7">
        <v>17.600000000000001</v>
      </c>
      <c r="S11" s="7">
        <v>111</v>
      </c>
      <c r="T11" s="16">
        <f t="shared" si="1"/>
        <v>33</v>
      </c>
      <c r="U11" s="7">
        <v>95</v>
      </c>
      <c r="V11" s="16">
        <f t="shared" si="2"/>
        <v>3135</v>
      </c>
      <c r="W11" s="7">
        <v>22</v>
      </c>
      <c r="X11" s="15" t="s">
        <v>46</v>
      </c>
      <c r="Y11" s="54" t="s">
        <v>55</v>
      </c>
      <c r="Z11" s="54" t="s">
        <v>47</v>
      </c>
      <c r="AA11" s="54" t="s">
        <v>90</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167</v>
      </c>
      <c r="E12" s="15" t="s">
        <v>133</v>
      </c>
      <c r="F12" s="7" t="s">
        <v>150</v>
      </c>
      <c r="G12" s="7" t="s">
        <v>36</v>
      </c>
      <c r="H12" s="54" t="s">
        <v>160</v>
      </c>
      <c r="I12" s="53" t="s">
        <v>159</v>
      </c>
      <c r="J12" s="15" t="s">
        <v>38</v>
      </c>
      <c r="K12" s="7" t="s">
        <v>161</v>
      </c>
      <c r="L12" s="7">
        <v>2</v>
      </c>
      <c r="N12" s="7">
        <v>1</v>
      </c>
      <c r="O12" s="7">
        <v>1.1499999999999999</v>
      </c>
      <c r="P12" s="7">
        <v>1.1000000000000001</v>
      </c>
      <c r="Q12" s="52">
        <f t="shared" si="0"/>
        <v>1.125</v>
      </c>
      <c r="R12" s="34">
        <v>16.2</v>
      </c>
      <c r="S12" s="7">
        <v>112</v>
      </c>
      <c r="T12" s="16">
        <f t="shared" si="1"/>
        <v>33</v>
      </c>
      <c r="U12" s="7">
        <v>95</v>
      </c>
      <c r="V12" s="16">
        <f t="shared" si="2"/>
        <v>3135</v>
      </c>
      <c r="W12" s="7">
        <v>22</v>
      </c>
      <c r="X12" s="15" t="s">
        <v>46</v>
      </c>
      <c r="Y12" s="54" t="s">
        <v>55</v>
      </c>
      <c r="Z12" s="54" t="s">
        <v>47</v>
      </c>
      <c r="AA12" s="54" t="s">
        <v>90</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167</v>
      </c>
      <c r="E13" s="15" t="s">
        <v>133</v>
      </c>
      <c r="F13" s="7" t="s">
        <v>150</v>
      </c>
      <c r="G13" s="7" t="s">
        <v>36</v>
      </c>
      <c r="H13" s="54" t="s">
        <v>160</v>
      </c>
      <c r="I13" s="53" t="s">
        <v>159</v>
      </c>
      <c r="J13" s="15" t="s">
        <v>38</v>
      </c>
      <c r="K13" s="7" t="s">
        <v>161</v>
      </c>
      <c r="L13" s="7">
        <v>3</v>
      </c>
      <c r="N13" s="7">
        <v>1</v>
      </c>
      <c r="O13" s="7">
        <v>0.95</v>
      </c>
      <c r="P13" s="7">
        <v>1.1000000000000001</v>
      </c>
      <c r="Q13" s="52">
        <f t="shared" si="0"/>
        <v>1.0249999999999999</v>
      </c>
      <c r="R13" s="7">
        <v>17</v>
      </c>
      <c r="S13" s="7">
        <v>116</v>
      </c>
      <c r="T13" s="16">
        <f t="shared" si="1"/>
        <v>30</v>
      </c>
      <c r="U13" s="7">
        <v>95</v>
      </c>
      <c r="V13" s="16">
        <f t="shared" si="2"/>
        <v>2850</v>
      </c>
      <c r="W13" s="7">
        <v>22</v>
      </c>
      <c r="X13" s="15" t="s">
        <v>46</v>
      </c>
      <c r="Y13" s="54" t="s">
        <v>55</v>
      </c>
      <c r="Z13" s="54" t="s">
        <v>47</v>
      </c>
      <c r="AA13" s="54" t="s">
        <v>90</v>
      </c>
      <c r="AB13" s="39" t="s">
        <v>158</v>
      </c>
      <c r="AE13" s="22" t="s">
        <v>73</v>
      </c>
      <c r="AG13" s="23"/>
      <c r="AH13" s="23"/>
      <c r="AP13" s="23" t="s">
        <v>71</v>
      </c>
      <c r="AR13" s="30" t="s">
        <v>103</v>
      </c>
      <c r="AV13" s="23" t="s">
        <v>75</v>
      </c>
    </row>
    <row r="14" spans="1:53" x14ac:dyDescent="0.15">
      <c r="A14" s="15" t="s">
        <v>156</v>
      </c>
      <c r="B14" s="15" t="s">
        <v>157</v>
      </c>
      <c r="C14" s="15">
        <v>2019</v>
      </c>
      <c r="D14" s="37" t="s">
        <v>167</v>
      </c>
      <c r="E14" s="15" t="s">
        <v>142</v>
      </c>
      <c r="F14" s="7" t="s">
        <v>151</v>
      </c>
      <c r="G14" s="7" t="s">
        <v>36</v>
      </c>
      <c r="H14" s="15" t="s">
        <v>165</v>
      </c>
      <c r="I14" s="7" t="s">
        <v>159</v>
      </c>
      <c r="J14" s="15" t="s">
        <v>38</v>
      </c>
      <c r="K14" s="7" t="s">
        <v>161</v>
      </c>
      <c r="L14" s="7">
        <v>1</v>
      </c>
      <c r="N14" s="53">
        <v>1</v>
      </c>
      <c r="O14" s="7">
        <v>0.95</v>
      </c>
      <c r="P14" s="7">
        <v>1.1000000000000001</v>
      </c>
      <c r="Q14" s="52">
        <f t="shared" si="0"/>
        <v>1.0249999999999999</v>
      </c>
      <c r="R14" s="7">
        <v>15.1</v>
      </c>
      <c r="S14" s="7">
        <v>113</v>
      </c>
      <c r="T14" s="16">
        <f t="shared" si="1"/>
        <v>30</v>
      </c>
      <c r="U14" s="7">
        <v>149</v>
      </c>
      <c r="V14" s="16">
        <f t="shared" si="2"/>
        <v>4470</v>
      </c>
      <c r="W14" s="7">
        <v>4</v>
      </c>
      <c r="X14" s="15" t="s">
        <v>46</v>
      </c>
      <c r="Y14" s="15" t="s">
        <v>69</v>
      </c>
      <c r="Z14" s="54" t="s">
        <v>55</v>
      </c>
      <c r="AA14" s="15" t="s">
        <v>47</v>
      </c>
      <c r="AB14" s="39" t="s">
        <v>158</v>
      </c>
      <c r="AE14" s="22" t="s">
        <v>76</v>
      </c>
      <c r="AG14" s="23"/>
      <c r="AH14" s="23"/>
      <c r="AP14" s="23" t="s">
        <v>74</v>
      </c>
      <c r="AR14" s="30" t="s">
        <v>125</v>
      </c>
      <c r="AV14" s="23" t="s">
        <v>78</v>
      </c>
    </row>
    <row r="15" spans="1:53" x14ac:dyDescent="0.15">
      <c r="A15" s="15" t="s">
        <v>156</v>
      </c>
      <c r="B15" s="15" t="s">
        <v>157</v>
      </c>
      <c r="C15" s="15">
        <v>2019</v>
      </c>
      <c r="D15" s="37" t="s">
        <v>167</v>
      </c>
      <c r="E15" s="15" t="s">
        <v>142</v>
      </c>
      <c r="F15" s="7" t="s">
        <v>151</v>
      </c>
      <c r="G15" s="7" t="s">
        <v>36</v>
      </c>
      <c r="H15" s="15" t="s">
        <v>165</v>
      </c>
      <c r="I15" s="7" t="s">
        <v>159</v>
      </c>
      <c r="J15" s="15" t="s">
        <v>38</v>
      </c>
      <c r="K15" s="7" t="s">
        <v>161</v>
      </c>
      <c r="L15" s="7">
        <v>2</v>
      </c>
      <c r="N15" s="53">
        <v>1</v>
      </c>
      <c r="O15" s="7">
        <v>0.9</v>
      </c>
      <c r="P15" s="7">
        <v>0.8</v>
      </c>
      <c r="Q15" s="52">
        <f t="shared" si="0"/>
        <v>0.85000000000000009</v>
      </c>
      <c r="R15" s="7">
        <v>12.9</v>
      </c>
      <c r="S15" s="7">
        <v>106</v>
      </c>
      <c r="T15" s="16">
        <f t="shared" si="1"/>
        <v>33</v>
      </c>
      <c r="U15" s="7">
        <v>149</v>
      </c>
      <c r="V15" s="16">
        <f t="shared" si="2"/>
        <v>4917</v>
      </c>
      <c r="W15" s="7">
        <v>4</v>
      </c>
      <c r="X15" s="15" t="s">
        <v>46</v>
      </c>
      <c r="Y15" s="54" t="s">
        <v>69</v>
      </c>
      <c r="Z15" s="54" t="s">
        <v>55</v>
      </c>
      <c r="AA15" s="54" t="s">
        <v>47</v>
      </c>
      <c r="AB15" s="39" t="s">
        <v>158</v>
      </c>
      <c r="AE15" s="22" t="s">
        <v>79</v>
      </c>
      <c r="AG15" s="23"/>
      <c r="AH15" s="23"/>
      <c r="AP15" s="23" t="s">
        <v>77</v>
      </c>
      <c r="AR15" s="30" t="s">
        <v>94</v>
      </c>
      <c r="AV15" s="23" t="s">
        <v>107</v>
      </c>
    </row>
    <row r="16" spans="1:53" x14ac:dyDescent="0.15">
      <c r="A16" s="15" t="s">
        <v>156</v>
      </c>
      <c r="B16" s="15" t="s">
        <v>157</v>
      </c>
      <c r="C16" s="15">
        <v>2019</v>
      </c>
      <c r="D16" s="37" t="s">
        <v>167</v>
      </c>
      <c r="E16" s="15" t="s">
        <v>142</v>
      </c>
      <c r="F16" s="7" t="s">
        <v>151</v>
      </c>
      <c r="G16" s="7" t="s">
        <v>36</v>
      </c>
      <c r="H16" s="15" t="s">
        <v>165</v>
      </c>
      <c r="I16" s="7" t="s">
        <v>159</v>
      </c>
      <c r="J16" s="15" t="s">
        <v>38</v>
      </c>
      <c r="K16" s="7" t="s">
        <v>161</v>
      </c>
      <c r="L16" s="7">
        <v>3</v>
      </c>
      <c r="N16" s="53">
        <v>1</v>
      </c>
      <c r="O16" s="7">
        <v>0.9</v>
      </c>
      <c r="P16" s="7">
        <v>1.05</v>
      </c>
      <c r="Q16" s="52">
        <f t="shared" si="0"/>
        <v>0.97500000000000009</v>
      </c>
      <c r="R16" s="7">
        <v>12.7</v>
      </c>
      <c r="S16" s="7">
        <v>109</v>
      </c>
      <c r="T16" s="16">
        <f t="shared" si="1"/>
        <v>33</v>
      </c>
      <c r="U16" s="7">
        <v>149</v>
      </c>
      <c r="V16" s="16">
        <f t="shared" si="2"/>
        <v>4917</v>
      </c>
      <c r="W16" s="7">
        <v>4</v>
      </c>
      <c r="X16" s="15" t="s">
        <v>46</v>
      </c>
      <c r="Y16" s="54" t="s">
        <v>69</v>
      </c>
      <c r="Z16" s="54" t="s">
        <v>55</v>
      </c>
      <c r="AA16" s="54" t="s">
        <v>47</v>
      </c>
      <c r="AB16" s="39" t="s">
        <v>158</v>
      </c>
      <c r="AE16" s="22" t="s">
        <v>82</v>
      </c>
      <c r="AG16" s="28"/>
      <c r="AH16" s="28"/>
      <c r="AP16" s="23" t="s">
        <v>80</v>
      </c>
      <c r="AR16" s="41" t="s">
        <v>63</v>
      </c>
      <c r="AV16" s="23" t="s">
        <v>84</v>
      </c>
    </row>
    <row r="17" spans="1:48" x14ac:dyDescent="0.15">
      <c r="A17" s="15" t="s">
        <v>156</v>
      </c>
      <c r="B17" s="15" t="s">
        <v>157</v>
      </c>
      <c r="C17" s="15">
        <v>2019</v>
      </c>
      <c r="D17" s="37" t="s">
        <v>167</v>
      </c>
      <c r="E17" s="15" t="s">
        <v>142</v>
      </c>
      <c r="F17" s="7" t="s">
        <v>151</v>
      </c>
      <c r="G17" s="7" t="s">
        <v>36</v>
      </c>
      <c r="H17" s="15" t="s">
        <v>160</v>
      </c>
      <c r="I17" s="7" t="s">
        <v>159</v>
      </c>
      <c r="J17" s="15" t="s">
        <v>38</v>
      </c>
      <c r="K17" s="7" t="s">
        <v>161</v>
      </c>
      <c r="L17" s="7">
        <v>1</v>
      </c>
      <c r="N17" s="7">
        <v>1</v>
      </c>
      <c r="O17" s="7">
        <v>0.5</v>
      </c>
      <c r="P17" s="7">
        <v>0.55000000000000004</v>
      </c>
      <c r="Q17" s="52">
        <f t="shared" si="0"/>
        <v>0.52500000000000002</v>
      </c>
      <c r="R17" s="7">
        <v>15.5</v>
      </c>
      <c r="S17" s="7">
        <v>107</v>
      </c>
      <c r="T17" s="16">
        <f t="shared" si="1"/>
        <v>33</v>
      </c>
      <c r="U17" s="7">
        <v>149</v>
      </c>
      <c r="V17" s="16">
        <f t="shared" si="2"/>
        <v>4917</v>
      </c>
      <c r="W17" s="7">
        <v>5</v>
      </c>
      <c r="X17" s="15" t="s">
        <v>46</v>
      </c>
      <c r="Y17" s="54" t="s">
        <v>69</v>
      </c>
      <c r="Z17" s="54" t="s">
        <v>55</v>
      </c>
      <c r="AA17" s="54" t="s">
        <v>47</v>
      </c>
      <c r="AB17" s="39" t="s">
        <v>158</v>
      </c>
      <c r="AE17" s="22" t="s">
        <v>85</v>
      </c>
      <c r="AP17" s="43" t="s">
        <v>110</v>
      </c>
      <c r="AR17" s="41" t="s">
        <v>96</v>
      </c>
      <c r="AV17" s="23" t="s">
        <v>86</v>
      </c>
    </row>
    <row r="18" spans="1:48" x14ac:dyDescent="0.15">
      <c r="A18" s="15" t="s">
        <v>156</v>
      </c>
      <c r="B18" s="15" t="s">
        <v>157</v>
      </c>
      <c r="C18" s="15">
        <v>2019</v>
      </c>
      <c r="D18" s="37" t="s">
        <v>167</v>
      </c>
      <c r="E18" s="15" t="s">
        <v>142</v>
      </c>
      <c r="F18" s="7" t="s">
        <v>151</v>
      </c>
      <c r="G18" s="7" t="s">
        <v>36</v>
      </c>
      <c r="H18" s="15" t="s">
        <v>160</v>
      </c>
      <c r="I18" s="7" t="s">
        <v>159</v>
      </c>
      <c r="J18" s="15" t="s">
        <v>38</v>
      </c>
      <c r="K18" s="7" t="s">
        <v>161</v>
      </c>
      <c r="L18" s="7">
        <v>2</v>
      </c>
      <c r="N18" s="7">
        <v>1</v>
      </c>
      <c r="O18" s="7">
        <v>0.65</v>
      </c>
      <c r="P18" s="7">
        <v>0.65</v>
      </c>
      <c r="Q18" s="52">
        <f t="shared" si="0"/>
        <v>0.65</v>
      </c>
      <c r="R18" s="7">
        <v>15.3</v>
      </c>
      <c r="S18" s="7">
        <v>111</v>
      </c>
      <c r="T18" s="16">
        <f t="shared" si="1"/>
        <v>33</v>
      </c>
      <c r="U18" s="7">
        <v>149</v>
      </c>
      <c r="V18" s="16">
        <f t="shared" si="2"/>
        <v>4917</v>
      </c>
      <c r="W18" s="7">
        <v>5</v>
      </c>
      <c r="X18" s="15" t="s">
        <v>46</v>
      </c>
      <c r="Y18" s="54" t="s">
        <v>69</v>
      </c>
      <c r="Z18" s="54" t="s">
        <v>55</v>
      </c>
      <c r="AA18" s="54" t="s">
        <v>47</v>
      </c>
      <c r="AB18" s="39" t="s">
        <v>158</v>
      </c>
      <c r="AE18" s="22" t="s">
        <v>87</v>
      </c>
      <c r="AP18" s="43" t="s">
        <v>111</v>
      </c>
      <c r="AR18" s="41" t="s">
        <v>101</v>
      </c>
      <c r="AV18" s="23" t="s">
        <v>88</v>
      </c>
    </row>
    <row r="19" spans="1:48" x14ac:dyDescent="0.15">
      <c r="A19" s="15" t="s">
        <v>156</v>
      </c>
      <c r="B19" s="15" t="s">
        <v>157</v>
      </c>
      <c r="C19" s="15">
        <v>2019</v>
      </c>
      <c r="D19" s="37" t="s">
        <v>167</v>
      </c>
      <c r="E19" s="15" t="s">
        <v>142</v>
      </c>
      <c r="F19" s="7" t="s">
        <v>151</v>
      </c>
      <c r="G19" s="7" t="s">
        <v>36</v>
      </c>
      <c r="H19" s="15" t="s">
        <v>160</v>
      </c>
      <c r="I19" s="7" t="s">
        <v>159</v>
      </c>
      <c r="J19" s="15" t="s">
        <v>38</v>
      </c>
      <c r="K19" s="7" t="s">
        <v>161</v>
      </c>
      <c r="L19" s="7">
        <v>3</v>
      </c>
      <c r="N19" s="7">
        <v>1</v>
      </c>
      <c r="O19" s="7">
        <v>0.65</v>
      </c>
      <c r="P19" s="7">
        <v>0.5</v>
      </c>
      <c r="Q19" s="52">
        <f t="shared" si="0"/>
        <v>0.57499999999999996</v>
      </c>
      <c r="R19" s="7">
        <v>15.3</v>
      </c>
      <c r="S19" s="7">
        <v>105</v>
      </c>
      <c r="T19" s="16">
        <f t="shared" si="1"/>
        <v>33</v>
      </c>
      <c r="U19" s="7">
        <v>149</v>
      </c>
      <c r="V19" s="16">
        <f t="shared" si="2"/>
        <v>4917</v>
      </c>
      <c r="W19" s="7">
        <v>5</v>
      </c>
      <c r="X19" s="15" t="s">
        <v>46</v>
      </c>
      <c r="Y19" s="54" t="s">
        <v>69</v>
      </c>
      <c r="Z19" s="54" t="s">
        <v>55</v>
      </c>
      <c r="AA19" s="54" t="s">
        <v>47</v>
      </c>
      <c r="AB19" s="39" t="s">
        <v>158</v>
      </c>
      <c r="AE19" s="35" t="s">
        <v>89</v>
      </c>
      <c r="AP19" s="43" t="s">
        <v>112</v>
      </c>
      <c r="AR19" s="30" t="s">
        <v>126</v>
      </c>
      <c r="AV19" s="23" t="s">
        <v>90</v>
      </c>
    </row>
    <row r="20" spans="1:48" x14ac:dyDescent="0.15">
      <c r="A20" s="15" t="s">
        <v>156</v>
      </c>
      <c r="B20" s="15" t="s">
        <v>157</v>
      </c>
      <c r="C20" s="15">
        <v>2019</v>
      </c>
      <c r="D20" s="37" t="s">
        <v>167</v>
      </c>
      <c r="E20" s="15" t="s">
        <v>143</v>
      </c>
      <c r="F20" s="7" t="s">
        <v>152</v>
      </c>
      <c r="G20" s="7" t="s">
        <v>36</v>
      </c>
      <c r="H20" s="15" t="s">
        <v>165</v>
      </c>
      <c r="I20" s="7" t="s">
        <v>159</v>
      </c>
      <c r="J20" s="15" t="s">
        <v>38</v>
      </c>
      <c r="K20" s="7" t="s">
        <v>161</v>
      </c>
      <c r="L20" s="7">
        <v>1</v>
      </c>
      <c r="N20" s="7">
        <v>1</v>
      </c>
      <c r="O20" s="7">
        <v>0.9</v>
      </c>
      <c r="P20" s="34">
        <v>0.8</v>
      </c>
      <c r="Q20" s="52">
        <f t="shared" si="0"/>
        <v>0.85000000000000009</v>
      </c>
      <c r="R20" s="7">
        <v>13.4</v>
      </c>
      <c r="S20" s="7">
        <v>90</v>
      </c>
      <c r="T20" s="16">
        <f t="shared" si="1"/>
        <v>36</v>
      </c>
      <c r="U20" s="7">
        <v>51</v>
      </c>
      <c r="V20" s="16">
        <f t="shared" si="2"/>
        <v>1836</v>
      </c>
      <c r="W20" s="7">
        <v>5</v>
      </c>
      <c r="X20" s="15" t="s">
        <v>46</v>
      </c>
      <c r="Y20" s="54" t="s">
        <v>55</v>
      </c>
      <c r="Z20" s="54" t="s">
        <v>86</v>
      </c>
      <c r="AA20" s="54" t="s">
        <v>47</v>
      </c>
      <c r="AB20" s="39" t="s">
        <v>158</v>
      </c>
      <c r="AE20" s="22"/>
      <c r="AP20" s="43" t="s">
        <v>113</v>
      </c>
      <c r="AR20" s="41" t="s">
        <v>105</v>
      </c>
      <c r="AV20" s="27" t="s">
        <v>135</v>
      </c>
    </row>
    <row r="21" spans="1:48" x14ac:dyDescent="0.15">
      <c r="A21" s="15" t="s">
        <v>156</v>
      </c>
      <c r="B21" s="15" t="s">
        <v>157</v>
      </c>
      <c r="C21" s="15">
        <v>2019</v>
      </c>
      <c r="D21" s="37" t="s">
        <v>167</v>
      </c>
      <c r="E21" s="15" t="s">
        <v>143</v>
      </c>
      <c r="F21" s="7" t="s">
        <v>152</v>
      </c>
      <c r="G21" s="7" t="s">
        <v>36</v>
      </c>
      <c r="H21" s="15" t="s">
        <v>165</v>
      </c>
      <c r="I21" s="7" t="s">
        <v>159</v>
      </c>
      <c r="J21" s="15" t="s">
        <v>38</v>
      </c>
      <c r="K21" s="7" t="s">
        <v>161</v>
      </c>
      <c r="L21" s="7">
        <v>2</v>
      </c>
      <c r="N21" s="7">
        <v>1</v>
      </c>
      <c r="O21" s="7">
        <v>0.8</v>
      </c>
      <c r="P21" s="7">
        <v>0.65</v>
      </c>
      <c r="Q21" s="52">
        <f t="shared" si="0"/>
        <v>0.72500000000000009</v>
      </c>
      <c r="R21" s="7">
        <v>11.8</v>
      </c>
      <c r="S21" s="7">
        <v>83</v>
      </c>
      <c r="T21" s="16">
        <f t="shared" si="1"/>
        <v>39</v>
      </c>
      <c r="U21" s="7">
        <v>51</v>
      </c>
      <c r="V21" s="16">
        <f t="shared" si="2"/>
        <v>1989</v>
      </c>
      <c r="W21" s="7">
        <v>5</v>
      </c>
      <c r="X21" s="15" t="s">
        <v>46</v>
      </c>
      <c r="Y21" s="54" t="s">
        <v>55</v>
      </c>
      <c r="Z21" s="54" t="s">
        <v>86</v>
      </c>
      <c r="AA21" s="54" t="s">
        <v>47</v>
      </c>
      <c r="AB21" s="39" t="s">
        <v>158</v>
      </c>
      <c r="AE21" s="22"/>
      <c r="AP21" s="43" t="s">
        <v>114</v>
      </c>
      <c r="AR21" s="41" t="s">
        <v>68</v>
      </c>
      <c r="AV21" s="27" t="s">
        <v>136</v>
      </c>
    </row>
    <row r="22" spans="1:48" x14ac:dyDescent="0.15">
      <c r="A22" s="15" t="s">
        <v>156</v>
      </c>
      <c r="B22" s="15" t="s">
        <v>157</v>
      </c>
      <c r="C22" s="15">
        <v>2019</v>
      </c>
      <c r="D22" s="37" t="s">
        <v>167</v>
      </c>
      <c r="E22" s="15" t="s">
        <v>143</v>
      </c>
      <c r="F22" s="7" t="s">
        <v>152</v>
      </c>
      <c r="G22" s="7" t="s">
        <v>36</v>
      </c>
      <c r="H22" s="15" t="s">
        <v>165</v>
      </c>
      <c r="I22" s="7" t="s">
        <v>159</v>
      </c>
      <c r="J22" s="15" t="s">
        <v>38</v>
      </c>
      <c r="K22" s="7" t="s">
        <v>161</v>
      </c>
      <c r="L22" s="7">
        <v>3</v>
      </c>
      <c r="N22" s="7">
        <v>1</v>
      </c>
      <c r="O22" s="34">
        <v>0.7</v>
      </c>
      <c r="P22" s="7">
        <v>0.8</v>
      </c>
      <c r="Q22" s="52">
        <f t="shared" si="0"/>
        <v>0.75</v>
      </c>
      <c r="R22" s="7">
        <v>14.2</v>
      </c>
      <c r="S22" s="7">
        <v>90</v>
      </c>
      <c r="T22" s="16">
        <f t="shared" si="1"/>
        <v>36</v>
      </c>
      <c r="U22" s="7">
        <v>51</v>
      </c>
      <c r="V22" s="16">
        <f t="shared" si="2"/>
        <v>1836</v>
      </c>
      <c r="W22" s="7">
        <v>5</v>
      </c>
      <c r="X22" s="15" t="s">
        <v>46</v>
      </c>
      <c r="Y22" s="54" t="s">
        <v>55</v>
      </c>
      <c r="Z22" s="54" t="s">
        <v>86</v>
      </c>
      <c r="AA22" s="54" t="s">
        <v>47</v>
      </c>
      <c r="AB22" s="39" t="s">
        <v>158</v>
      </c>
      <c r="AE22" s="35"/>
      <c r="AP22" s="43" t="s">
        <v>115</v>
      </c>
      <c r="AR22" s="41" t="s">
        <v>83</v>
      </c>
      <c r="AV22" s="27"/>
    </row>
    <row r="23" spans="1:48" x14ac:dyDescent="0.15">
      <c r="A23" s="15" t="s">
        <v>156</v>
      </c>
      <c r="B23" s="15" t="s">
        <v>157</v>
      </c>
      <c r="C23" s="15">
        <v>2019</v>
      </c>
      <c r="D23" s="37" t="s">
        <v>167</v>
      </c>
      <c r="E23" s="7" t="s">
        <v>143</v>
      </c>
      <c r="F23" s="7" t="s">
        <v>152</v>
      </c>
      <c r="G23" s="7" t="s">
        <v>36</v>
      </c>
      <c r="H23" s="15" t="s">
        <v>160</v>
      </c>
      <c r="I23" s="7" t="s">
        <v>159</v>
      </c>
      <c r="J23" s="15" t="s">
        <v>38</v>
      </c>
      <c r="K23" s="7" t="s">
        <v>161</v>
      </c>
      <c r="L23" s="7">
        <v>1</v>
      </c>
      <c r="N23" s="7">
        <v>1</v>
      </c>
      <c r="O23" s="34">
        <v>0.9</v>
      </c>
      <c r="P23" s="7">
        <v>1</v>
      </c>
      <c r="Q23" s="52">
        <f t="shared" si="0"/>
        <v>0.95</v>
      </c>
      <c r="R23" s="7">
        <v>14.2</v>
      </c>
      <c r="S23" s="7">
        <v>117</v>
      </c>
      <c r="T23" s="16">
        <f t="shared" si="1"/>
        <v>30</v>
      </c>
      <c r="U23" s="7">
        <v>138</v>
      </c>
      <c r="V23" s="16">
        <f t="shared" si="2"/>
        <v>4140</v>
      </c>
      <c r="W23" s="7">
        <v>8</v>
      </c>
      <c r="X23" s="15" t="s">
        <v>46</v>
      </c>
      <c r="Y23" s="54" t="s">
        <v>55</v>
      </c>
      <c r="Z23" s="54" t="s">
        <v>86</v>
      </c>
      <c r="AA23" s="54" t="s">
        <v>47</v>
      </c>
      <c r="AB23" s="39" t="s">
        <v>158</v>
      </c>
      <c r="AE23" s="22"/>
      <c r="AP23" s="43" t="s">
        <v>137</v>
      </c>
      <c r="AR23" s="41" t="s">
        <v>61</v>
      </c>
      <c r="AV23" s="27"/>
    </row>
    <row r="24" spans="1:48" x14ac:dyDescent="0.15">
      <c r="A24" s="15" t="s">
        <v>156</v>
      </c>
      <c r="B24" s="15" t="s">
        <v>157</v>
      </c>
      <c r="C24" s="15">
        <v>2019</v>
      </c>
      <c r="D24" s="37" t="s">
        <v>167</v>
      </c>
      <c r="E24" s="7" t="s">
        <v>143</v>
      </c>
      <c r="F24" s="7" t="s">
        <v>152</v>
      </c>
      <c r="G24" s="7" t="s">
        <v>36</v>
      </c>
      <c r="H24" s="15" t="s">
        <v>160</v>
      </c>
      <c r="I24" s="7" t="s">
        <v>159</v>
      </c>
      <c r="J24" s="15" t="s">
        <v>38</v>
      </c>
      <c r="K24" s="7" t="s">
        <v>161</v>
      </c>
      <c r="L24" s="7">
        <v>2</v>
      </c>
      <c r="N24" s="7">
        <v>1</v>
      </c>
      <c r="O24" s="7">
        <v>0.75</v>
      </c>
      <c r="P24" s="7">
        <v>0.75</v>
      </c>
      <c r="Q24" s="52">
        <f t="shared" si="0"/>
        <v>0.75</v>
      </c>
      <c r="R24" s="7">
        <v>20.7</v>
      </c>
      <c r="S24" s="7">
        <v>126</v>
      </c>
      <c r="T24" s="16">
        <f t="shared" si="1"/>
        <v>27</v>
      </c>
      <c r="U24" s="7">
        <v>138</v>
      </c>
      <c r="V24" s="16">
        <f t="shared" si="2"/>
        <v>3726</v>
      </c>
      <c r="W24" s="7">
        <v>8</v>
      </c>
      <c r="X24" s="15" t="s">
        <v>46</v>
      </c>
      <c r="Y24" s="54" t="s">
        <v>55</v>
      </c>
      <c r="Z24" s="54" t="s">
        <v>86</v>
      </c>
      <c r="AA24" s="54" t="s">
        <v>47</v>
      </c>
      <c r="AB24" s="39" t="s">
        <v>158</v>
      </c>
      <c r="AE24" s="22"/>
      <c r="AP24" s="43" t="s">
        <v>138</v>
      </c>
      <c r="AR24" s="41" t="s">
        <v>91</v>
      </c>
      <c r="AV24" s="27"/>
    </row>
    <row r="25" spans="1:48" x14ac:dyDescent="0.15">
      <c r="A25" s="15" t="s">
        <v>156</v>
      </c>
      <c r="B25" s="15" t="s">
        <v>157</v>
      </c>
      <c r="C25" s="15">
        <v>2019</v>
      </c>
      <c r="D25" s="37" t="s">
        <v>167</v>
      </c>
      <c r="E25" s="7" t="s">
        <v>143</v>
      </c>
      <c r="F25" s="7" t="s">
        <v>152</v>
      </c>
      <c r="G25" s="7" t="s">
        <v>36</v>
      </c>
      <c r="H25" s="15" t="s">
        <v>160</v>
      </c>
      <c r="I25" s="7" t="s">
        <v>159</v>
      </c>
      <c r="J25" s="15" t="s">
        <v>38</v>
      </c>
      <c r="K25" s="7" t="s">
        <v>161</v>
      </c>
      <c r="L25" s="7">
        <v>3</v>
      </c>
      <c r="N25" s="7">
        <v>1</v>
      </c>
      <c r="O25" s="7">
        <v>0.7</v>
      </c>
      <c r="P25" s="7">
        <v>0.6</v>
      </c>
      <c r="Q25" s="52">
        <f t="shared" si="0"/>
        <v>0.64999999999999991</v>
      </c>
      <c r="R25" s="7">
        <v>19.3</v>
      </c>
      <c r="S25" s="7">
        <v>127</v>
      </c>
      <c r="T25" s="16">
        <f t="shared" si="1"/>
        <v>27</v>
      </c>
      <c r="U25" s="7">
        <v>138</v>
      </c>
      <c r="V25" s="16">
        <f t="shared" si="2"/>
        <v>3726</v>
      </c>
      <c r="W25" s="7">
        <v>8</v>
      </c>
      <c r="X25" s="15" t="s">
        <v>46</v>
      </c>
      <c r="Y25" s="54" t="s">
        <v>55</v>
      </c>
      <c r="Z25" s="54" t="s">
        <v>86</v>
      </c>
      <c r="AA25" s="54" t="s">
        <v>47</v>
      </c>
      <c r="AB25" s="39" t="s">
        <v>158</v>
      </c>
      <c r="AE25" s="35"/>
      <c r="AP25" s="43" t="s">
        <v>116</v>
      </c>
      <c r="AR25" s="42" t="s">
        <v>92</v>
      </c>
      <c r="AV25" s="27"/>
    </row>
    <row r="26" spans="1:48" x14ac:dyDescent="0.15">
      <c r="A26" s="15" t="s">
        <v>156</v>
      </c>
      <c r="B26" s="15" t="s">
        <v>157</v>
      </c>
      <c r="C26" s="15">
        <v>2019</v>
      </c>
      <c r="D26" s="37" t="s">
        <v>167</v>
      </c>
      <c r="E26" s="7" t="s">
        <v>131</v>
      </c>
      <c r="F26" s="7" t="s">
        <v>144</v>
      </c>
      <c r="G26" s="7" t="s">
        <v>36</v>
      </c>
      <c r="H26" s="15" t="s">
        <v>165</v>
      </c>
      <c r="I26" s="7" t="s">
        <v>159</v>
      </c>
      <c r="J26" s="15" t="s">
        <v>38</v>
      </c>
      <c r="K26" s="7" t="s">
        <v>161</v>
      </c>
      <c r="L26" s="7">
        <v>1</v>
      </c>
      <c r="N26" s="53">
        <v>1</v>
      </c>
      <c r="O26" s="7">
        <v>1.2</v>
      </c>
      <c r="P26" s="7">
        <v>1.1000000000000001</v>
      </c>
      <c r="Q26" s="52">
        <f t="shared" si="0"/>
        <v>1.1499999999999999</v>
      </c>
      <c r="R26" s="7">
        <v>13.4</v>
      </c>
      <c r="S26" s="7">
        <v>121</v>
      </c>
      <c r="T26" s="16">
        <f t="shared" si="1"/>
        <v>27</v>
      </c>
      <c r="U26" s="7">
        <v>107</v>
      </c>
      <c r="V26" s="16">
        <f t="shared" si="2"/>
        <v>2889</v>
      </c>
      <c r="W26" s="7">
        <v>2</v>
      </c>
      <c r="X26" s="15" t="s">
        <v>46</v>
      </c>
      <c r="Y26" s="54" t="s">
        <v>55</v>
      </c>
      <c r="Z26" s="54" t="s">
        <v>47</v>
      </c>
      <c r="AA26" s="54" t="s">
        <v>86</v>
      </c>
      <c r="AB26" s="39" t="s">
        <v>158</v>
      </c>
      <c r="AE26" s="35"/>
      <c r="AP26" s="43" t="s">
        <v>117</v>
      </c>
      <c r="AR26" s="23" t="s">
        <v>153</v>
      </c>
      <c r="AV26" s="28"/>
    </row>
    <row r="27" spans="1:48" x14ac:dyDescent="0.15">
      <c r="A27" s="15" t="s">
        <v>156</v>
      </c>
      <c r="B27" s="15" t="s">
        <v>157</v>
      </c>
      <c r="C27" s="15">
        <v>2019</v>
      </c>
      <c r="D27" s="37" t="s">
        <v>167</v>
      </c>
      <c r="E27" s="7" t="s">
        <v>131</v>
      </c>
      <c r="F27" s="7" t="s">
        <v>144</v>
      </c>
      <c r="G27" s="7" t="s">
        <v>36</v>
      </c>
      <c r="H27" s="54" t="s">
        <v>165</v>
      </c>
      <c r="I27" s="7" t="s">
        <v>159</v>
      </c>
      <c r="J27" s="15" t="s">
        <v>38</v>
      </c>
      <c r="K27" s="7" t="s">
        <v>161</v>
      </c>
      <c r="L27" s="7">
        <v>2</v>
      </c>
      <c r="N27" s="53">
        <v>1</v>
      </c>
      <c r="O27" s="7">
        <v>1.3</v>
      </c>
      <c r="P27" s="7">
        <v>1.2</v>
      </c>
      <c r="Q27" s="52">
        <f t="shared" si="0"/>
        <v>1.25</v>
      </c>
      <c r="R27" s="7">
        <v>15.3</v>
      </c>
      <c r="S27" s="7">
        <v>119</v>
      </c>
      <c r="T27" s="16">
        <f t="shared" si="1"/>
        <v>30</v>
      </c>
      <c r="U27" s="7">
        <v>107</v>
      </c>
      <c r="V27" s="16">
        <f t="shared" si="2"/>
        <v>3210</v>
      </c>
      <c r="W27" s="7">
        <v>2</v>
      </c>
      <c r="X27" s="15" t="s">
        <v>46</v>
      </c>
      <c r="Y27" s="54" t="s">
        <v>55</v>
      </c>
      <c r="Z27" s="54" t="s">
        <v>47</v>
      </c>
      <c r="AA27" s="54" t="s">
        <v>86</v>
      </c>
      <c r="AB27" s="39" t="s">
        <v>158</v>
      </c>
      <c r="AE27" s="28"/>
      <c r="AP27" s="43" t="s">
        <v>118</v>
      </c>
      <c r="AR27" s="23"/>
    </row>
    <row r="28" spans="1:48" x14ac:dyDescent="0.15">
      <c r="A28" s="15" t="s">
        <v>156</v>
      </c>
      <c r="B28" s="15" t="s">
        <v>157</v>
      </c>
      <c r="C28" s="15">
        <v>2019</v>
      </c>
      <c r="D28" s="37" t="s">
        <v>167</v>
      </c>
      <c r="E28" s="7" t="s">
        <v>131</v>
      </c>
      <c r="F28" s="7" t="s">
        <v>144</v>
      </c>
      <c r="G28" s="7" t="s">
        <v>36</v>
      </c>
      <c r="H28" s="54" t="s">
        <v>165</v>
      </c>
      <c r="I28" s="7" t="s">
        <v>159</v>
      </c>
      <c r="J28" s="15" t="s">
        <v>38</v>
      </c>
      <c r="K28" s="7" t="s">
        <v>161</v>
      </c>
      <c r="L28" s="7">
        <v>3</v>
      </c>
      <c r="N28" s="53">
        <v>1</v>
      </c>
      <c r="O28" s="7">
        <v>0.8</v>
      </c>
      <c r="P28" s="7">
        <v>0.85</v>
      </c>
      <c r="Q28" s="52">
        <f t="shared" si="0"/>
        <v>0.82499999999999996</v>
      </c>
      <c r="R28" s="7">
        <v>15.5</v>
      </c>
      <c r="S28" s="7">
        <v>121</v>
      </c>
      <c r="T28" s="16">
        <f t="shared" si="1"/>
        <v>27</v>
      </c>
      <c r="U28" s="7">
        <v>107</v>
      </c>
      <c r="V28" s="16">
        <f t="shared" si="2"/>
        <v>2889</v>
      </c>
      <c r="W28" s="7">
        <v>2</v>
      </c>
      <c r="X28" s="15" t="s">
        <v>46</v>
      </c>
      <c r="Y28" s="54" t="s">
        <v>55</v>
      </c>
      <c r="Z28" s="54" t="s">
        <v>47</v>
      </c>
      <c r="AA28" s="54" t="s">
        <v>86</v>
      </c>
      <c r="AB28" s="39" t="s">
        <v>158</v>
      </c>
      <c r="AP28" s="27"/>
      <c r="AR28" s="23"/>
    </row>
    <row r="29" spans="1:48" x14ac:dyDescent="0.15">
      <c r="A29" s="15" t="s">
        <v>156</v>
      </c>
      <c r="B29" s="15" t="s">
        <v>157</v>
      </c>
      <c r="C29" s="15">
        <v>2019</v>
      </c>
      <c r="D29" s="37" t="s">
        <v>167</v>
      </c>
      <c r="E29" s="7" t="s">
        <v>131</v>
      </c>
      <c r="F29" s="7" t="s">
        <v>144</v>
      </c>
      <c r="G29" s="7" t="s">
        <v>36</v>
      </c>
      <c r="H29" s="15" t="s">
        <v>164</v>
      </c>
      <c r="I29" s="7" t="s">
        <v>159</v>
      </c>
      <c r="J29" s="15" t="s">
        <v>38</v>
      </c>
      <c r="K29" s="7" t="s">
        <v>161</v>
      </c>
      <c r="L29" s="7">
        <v>1</v>
      </c>
      <c r="N29" s="53">
        <v>4</v>
      </c>
      <c r="O29" s="7">
        <v>0.55000000000000004</v>
      </c>
      <c r="P29" s="7">
        <v>0.6</v>
      </c>
      <c r="Q29" s="52">
        <f t="shared" si="0"/>
        <v>0.57499999999999996</v>
      </c>
      <c r="R29" s="7">
        <v>20.3</v>
      </c>
      <c r="S29" s="7">
        <v>89</v>
      </c>
      <c r="T29" s="16">
        <f t="shared" si="1"/>
        <v>36</v>
      </c>
      <c r="U29" s="7">
        <v>322</v>
      </c>
      <c r="V29" s="16">
        <f t="shared" si="2"/>
        <v>2898</v>
      </c>
      <c r="W29" s="7">
        <v>3</v>
      </c>
      <c r="X29" s="15" t="s">
        <v>46</v>
      </c>
      <c r="Y29" s="54" t="s">
        <v>55</v>
      </c>
      <c r="Z29" s="54" t="s">
        <v>47</v>
      </c>
      <c r="AA29" s="54" t="s">
        <v>86</v>
      </c>
      <c r="AB29" s="39" t="s">
        <v>158</v>
      </c>
      <c r="AP29" s="27"/>
      <c r="AR29" s="27"/>
      <c r="AV29" s="28"/>
    </row>
    <row r="30" spans="1:48" x14ac:dyDescent="0.15">
      <c r="A30" s="15" t="s">
        <v>156</v>
      </c>
      <c r="B30" s="15" t="s">
        <v>157</v>
      </c>
      <c r="C30" s="15">
        <v>2019</v>
      </c>
      <c r="D30" s="37" t="s">
        <v>167</v>
      </c>
      <c r="E30" s="7" t="s">
        <v>131</v>
      </c>
      <c r="F30" s="7" t="s">
        <v>144</v>
      </c>
      <c r="G30" s="7" t="s">
        <v>36</v>
      </c>
      <c r="H30" s="54" t="s">
        <v>164</v>
      </c>
      <c r="I30" s="7" t="s">
        <v>159</v>
      </c>
      <c r="J30" s="15" t="s">
        <v>38</v>
      </c>
      <c r="K30" s="7" t="s">
        <v>161</v>
      </c>
      <c r="L30" s="7">
        <v>2</v>
      </c>
      <c r="N30" s="7">
        <v>4</v>
      </c>
      <c r="O30" s="7">
        <v>0.65</v>
      </c>
      <c r="P30" s="7">
        <v>0.75</v>
      </c>
      <c r="Q30" s="52">
        <f t="shared" si="0"/>
        <v>0.7</v>
      </c>
      <c r="R30" s="7">
        <v>18.8</v>
      </c>
      <c r="S30" s="7">
        <v>83</v>
      </c>
      <c r="T30" s="16">
        <f t="shared" si="1"/>
        <v>39</v>
      </c>
      <c r="U30" s="7">
        <v>322</v>
      </c>
      <c r="V30" s="16">
        <f t="shared" si="2"/>
        <v>3139.5</v>
      </c>
      <c r="W30" s="7">
        <v>3</v>
      </c>
      <c r="X30" s="15" t="s">
        <v>46</v>
      </c>
      <c r="Y30" s="54" t="s">
        <v>55</v>
      </c>
      <c r="Z30" s="54" t="s">
        <v>47</v>
      </c>
      <c r="AA30" s="54" t="s">
        <v>86</v>
      </c>
      <c r="AB30" s="39" t="s">
        <v>158</v>
      </c>
      <c r="AP30" s="27"/>
      <c r="AR30" s="27"/>
    </row>
    <row r="31" spans="1:48" x14ac:dyDescent="0.15">
      <c r="A31" s="15" t="s">
        <v>156</v>
      </c>
      <c r="B31" s="15" t="s">
        <v>157</v>
      </c>
      <c r="C31" s="15">
        <v>2019</v>
      </c>
      <c r="D31" s="37" t="s">
        <v>167</v>
      </c>
      <c r="E31" s="7" t="s">
        <v>131</v>
      </c>
      <c r="F31" s="7" t="s">
        <v>144</v>
      </c>
      <c r="G31" s="7" t="s">
        <v>36</v>
      </c>
      <c r="H31" s="54" t="s">
        <v>164</v>
      </c>
      <c r="I31" s="7" t="s">
        <v>159</v>
      </c>
      <c r="J31" s="15" t="s">
        <v>38</v>
      </c>
      <c r="K31" s="7" t="s">
        <v>161</v>
      </c>
      <c r="L31" s="7">
        <v>3</v>
      </c>
      <c r="N31" s="7">
        <v>4</v>
      </c>
      <c r="O31" s="7">
        <v>0.7</v>
      </c>
      <c r="P31" s="7">
        <v>0.55000000000000004</v>
      </c>
      <c r="Q31" s="52">
        <f t="shared" si="0"/>
        <v>0.625</v>
      </c>
      <c r="R31" s="7">
        <v>19.399999999999999</v>
      </c>
      <c r="S31" s="7">
        <v>92</v>
      </c>
      <c r="T31" s="16">
        <f t="shared" si="1"/>
        <v>36</v>
      </c>
      <c r="U31" s="7">
        <v>322</v>
      </c>
      <c r="V31" s="16">
        <f t="shared" si="2"/>
        <v>2898</v>
      </c>
      <c r="W31" s="7">
        <v>3</v>
      </c>
      <c r="X31" s="15" t="s">
        <v>46</v>
      </c>
      <c r="Y31" s="54" t="s">
        <v>55</v>
      </c>
      <c r="Z31" s="54" t="s">
        <v>47</v>
      </c>
      <c r="AA31" s="54" t="s">
        <v>86</v>
      </c>
      <c r="AB31" s="39" t="s">
        <v>158</v>
      </c>
      <c r="AP31" s="27"/>
      <c r="AR31" s="27"/>
    </row>
    <row r="32" spans="1:48" x14ac:dyDescent="0.15">
      <c r="A32" s="15" t="s">
        <v>156</v>
      </c>
      <c r="B32" s="15" t="s">
        <v>157</v>
      </c>
      <c r="C32" s="15">
        <v>2019</v>
      </c>
      <c r="D32" s="37" t="s">
        <v>167</v>
      </c>
      <c r="E32" s="7" t="s">
        <v>131</v>
      </c>
      <c r="F32" s="7" t="s">
        <v>144</v>
      </c>
      <c r="G32" s="7" t="s">
        <v>36</v>
      </c>
      <c r="H32" s="15" t="s">
        <v>160</v>
      </c>
      <c r="I32" s="7" t="s">
        <v>159</v>
      </c>
      <c r="J32" s="15" t="s">
        <v>38</v>
      </c>
      <c r="K32" s="7" t="s">
        <v>161</v>
      </c>
      <c r="L32" s="7">
        <v>1</v>
      </c>
      <c r="N32" s="7">
        <v>1</v>
      </c>
      <c r="O32" s="7">
        <v>0.6</v>
      </c>
      <c r="P32" s="7">
        <v>0.5</v>
      </c>
      <c r="Q32" s="52">
        <f t="shared" si="0"/>
        <v>0.55000000000000004</v>
      </c>
      <c r="R32" s="7">
        <v>17.399999999999999</v>
      </c>
      <c r="S32" s="7">
        <v>133</v>
      </c>
      <c r="T32" s="16">
        <f t="shared" si="1"/>
        <v>25</v>
      </c>
      <c r="U32" s="7">
        <v>107</v>
      </c>
      <c r="V32" s="16">
        <f t="shared" si="2"/>
        <v>2675</v>
      </c>
      <c r="W32" s="7">
        <v>7</v>
      </c>
      <c r="X32" s="15" t="s">
        <v>46</v>
      </c>
      <c r="Y32" s="54" t="s">
        <v>55</v>
      </c>
      <c r="Z32" s="54" t="s">
        <v>47</v>
      </c>
      <c r="AA32" s="54" t="s">
        <v>86</v>
      </c>
      <c r="AB32" s="39" t="s">
        <v>158</v>
      </c>
      <c r="AP32" s="28"/>
      <c r="AR32" s="28"/>
    </row>
    <row r="33" spans="1:44" x14ac:dyDescent="0.15">
      <c r="A33" s="15" t="s">
        <v>156</v>
      </c>
      <c r="B33" s="15" t="s">
        <v>157</v>
      </c>
      <c r="C33" s="15">
        <v>2019</v>
      </c>
      <c r="D33" s="37" t="s">
        <v>167</v>
      </c>
      <c r="E33" s="7" t="s">
        <v>131</v>
      </c>
      <c r="F33" s="7" t="s">
        <v>144</v>
      </c>
      <c r="G33" s="7" t="s">
        <v>36</v>
      </c>
      <c r="H33" s="15" t="s">
        <v>160</v>
      </c>
      <c r="I33" s="53" t="s">
        <v>159</v>
      </c>
      <c r="J33" s="15" t="s">
        <v>38</v>
      </c>
      <c r="K33" s="7" t="s">
        <v>161</v>
      </c>
      <c r="L33" s="7">
        <v>2</v>
      </c>
      <c r="N33" s="7">
        <v>1</v>
      </c>
      <c r="O33" s="7">
        <v>0.65</v>
      </c>
      <c r="P33" s="7">
        <v>0.65</v>
      </c>
      <c r="Q33" s="52">
        <f t="shared" si="0"/>
        <v>0.65</v>
      </c>
      <c r="R33" s="7">
        <v>18.3</v>
      </c>
      <c r="S33" s="7">
        <v>130</v>
      </c>
      <c r="T33" s="16">
        <f t="shared" si="1"/>
        <v>25</v>
      </c>
      <c r="U33" s="7">
        <v>107</v>
      </c>
      <c r="V33" s="16">
        <f t="shared" si="2"/>
        <v>2675</v>
      </c>
      <c r="W33" s="7">
        <v>7</v>
      </c>
      <c r="X33" s="15" t="s">
        <v>46</v>
      </c>
      <c r="Y33" s="54" t="s">
        <v>55</v>
      </c>
      <c r="Z33" s="54" t="s">
        <v>47</v>
      </c>
      <c r="AA33" s="54" t="s">
        <v>86</v>
      </c>
      <c r="AB33" s="39" t="s">
        <v>158</v>
      </c>
    </row>
    <row r="34" spans="1:44" x14ac:dyDescent="0.15">
      <c r="A34" s="15" t="s">
        <v>156</v>
      </c>
      <c r="B34" s="15" t="s">
        <v>157</v>
      </c>
      <c r="C34" s="15">
        <v>2019</v>
      </c>
      <c r="D34" s="37" t="s">
        <v>167</v>
      </c>
      <c r="E34" s="7" t="s">
        <v>131</v>
      </c>
      <c r="F34" s="7" t="s">
        <v>144</v>
      </c>
      <c r="G34" s="7" t="s">
        <v>36</v>
      </c>
      <c r="H34" s="15" t="s">
        <v>160</v>
      </c>
      <c r="I34" s="53" t="s">
        <v>159</v>
      </c>
      <c r="J34" s="15" t="s">
        <v>38</v>
      </c>
      <c r="K34" s="7" t="s">
        <v>161</v>
      </c>
      <c r="L34" s="7">
        <v>3</v>
      </c>
      <c r="N34" s="7">
        <v>1</v>
      </c>
      <c r="O34" s="7">
        <v>0.6</v>
      </c>
      <c r="P34" s="7">
        <v>0.55000000000000004</v>
      </c>
      <c r="Q34" s="52">
        <f t="shared" si="0"/>
        <v>0.57499999999999996</v>
      </c>
      <c r="R34" s="7">
        <v>18.5</v>
      </c>
      <c r="S34" s="7">
        <v>136</v>
      </c>
      <c r="T34" s="16">
        <f t="shared" si="1"/>
        <v>25</v>
      </c>
      <c r="U34" s="7">
        <v>107</v>
      </c>
      <c r="V34" s="16">
        <f t="shared" si="2"/>
        <v>2675</v>
      </c>
      <c r="W34" s="7">
        <v>7</v>
      </c>
      <c r="X34" s="15" t="s">
        <v>46</v>
      </c>
      <c r="Y34" s="54" t="s">
        <v>55</v>
      </c>
      <c r="Z34" s="54" t="s">
        <v>47</v>
      </c>
      <c r="AA34" s="54" t="s">
        <v>86</v>
      </c>
      <c r="AB34" s="39" t="s">
        <v>158</v>
      </c>
    </row>
    <row r="35" spans="1:44" x14ac:dyDescent="0.15">
      <c r="A35" s="15" t="s">
        <v>156</v>
      </c>
      <c r="B35" s="15" t="s">
        <v>157</v>
      </c>
      <c r="C35" s="15">
        <v>2019</v>
      </c>
      <c r="D35" s="37" t="s">
        <v>167</v>
      </c>
      <c r="E35" s="7" t="s">
        <v>131</v>
      </c>
      <c r="F35" s="7" t="s">
        <v>144</v>
      </c>
      <c r="G35" s="7" t="s">
        <v>36</v>
      </c>
      <c r="H35" s="15" t="s">
        <v>160</v>
      </c>
      <c r="I35" s="7" t="s">
        <v>166</v>
      </c>
      <c r="J35" s="15" t="s">
        <v>38</v>
      </c>
      <c r="K35" s="7" t="s">
        <v>161</v>
      </c>
      <c r="L35" s="7">
        <v>1</v>
      </c>
      <c r="N35" s="7">
        <v>4</v>
      </c>
      <c r="O35" s="7">
        <v>0.7</v>
      </c>
      <c r="P35" s="7">
        <v>0.6</v>
      </c>
      <c r="Q35" s="52">
        <f t="shared" si="0"/>
        <v>0.64999999999999991</v>
      </c>
      <c r="R35" s="7">
        <v>18.600000000000001</v>
      </c>
      <c r="S35" s="7">
        <v>88</v>
      </c>
      <c r="T35" s="16">
        <f t="shared" si="1"/>
        <v>36</v>
      </c>
      <c r="U35" s="7">
        <v>538</v>
      </c>
      <c r="V35" s="16">
        <f t="shared" si="2"/>
        <v>4842</v>
      </c>
      <c r="W35" s="7">
        <v>2</v>
      </c>
      <c r="X35" s="15" t="s">
        <v>46</v>
      </c>
      <c r="Y35" s="54" t="s">
        <v>55</v>
      </c>
      <c r="Z35" s="54" t="s">
        <v>47</v>
      </c>
      <c r="AA35" s="54" t="s">
        <v>86</v>
      </c>
      <c r="AB35" s="39" t="s">
        <v>158</v>
      </c>
      <c r="AP35" s="28"/>
      <c r="AR35" s="28"/>
    </row>
    <row r="36" spans="1:44" x14ac:dyDescent="0.15">
      <c r="A36" s="15" t="s">
        <v>156</v>
      </c>
      <c r="B36" s="15" t="s">
        <v>157</v>
      </c>
      <c r="C36" s="15">
        <v>2019</v>
      </c>
      <c r="D36" s="37" t="s">
        <v>167</v>
      </c>
      <c r="E36" s="7" t="s">
        <v>131</v>
      </c>
      <c r="F36" s="7" t="s">
        <v>144</v>
      </c>
      <c r="G36" s="7" t="s">
        <v>36</v>
      </c>
      <c r="H36" s="54" t="s">
        <v>160</v>
      </c>
      <c r="I36" s="7" t="s">
        <v>166</v>
      </c>
      <c r="J36" s="15" t="s">
        <v>38</v>
      </c>
      <c r="K36" s="7" t="s">
        <v>161</v>
      </c>
      <c r="L36" s="7">
        <v>2</v>
      </c>
      <c r="N36" s="7">
        <v>4</v>
      </c>
      <c r="O36" s="7">
        <v>0.75</v>
      </c>
      <c r="P36" s="7">
        <v>0.7</v>
      </c>
      <c r="Q36" s="52">
        <f t="shared" si="0"/>
        <v>0.72499999999999998</v>
      </c>
      <c r="R36" s="7">
        <v>19</v>
      </c>
      <c r="S36" s="7">
        <v>100</v>
      </c>
      <c r="T36" s="16">
        <f t="shared" si="1"/>
        <v>33</v>
      </c>
      <c r="U36" s="7">
        <v>538</v>
      </c>
      <c r="V36" s="16">
        <f t="shared" si="2"/>
        <v>4438.5</v>
      </c>
      <c r="W36" s="7">
        <v>2</v>
      </c>
      <c r="X36" s="15" t="s">
        <v>46</v>
      </c>
      <c r="Y36" s="54" t="s">
        <v>55</v>
      </c>
      <c r="Z36" s="54" t="s">
        <v>47</v>
      </c>
      <c r="AA36" s="54" t="s">
        <v>86</v>
      </c>
      <c r="AB36" s="39" t="s">
        <v>158</v>
      </c>
    </row>
    <row r="37" spans="1:44" x14ac:dyDescent="0.15">
      <c r="A37" s="15" t="s">
        <v>156</v>
      </c>
      <c r="B37" s="15" t="s">
        <v>157</v>
      </c>
      <c r="C37" s="15">
        <v>2019</v>
      </c>
      <c r="D37" s="37" t="s">
        <v>167</v>
      </c>
      <c r="E37" s="7" t="s">
        <v>131</v>
      </c>
      <c r="F37" s="7" t="s">
        <v>144</v>
      </c>
      <c r="G37" s="7" t="s">
        <v>36</v>
      </c>
      <c r="H37" s="54" t="s">
        <v>160</v>
      </c>
      <c r="I37" s="7" t="s">
        <v>166</v>
      </c>
      <c r="J37" s="15" t="s">
        <v>38</v>
      </c>
      <c r="K37" s="7" t="s">
        <v>161</v>
      </c>
      <c r="L37" s="7">
        <v>3</v>
      </c>
      <c r="N37" s="7">
        <v>4</v>
      </c>
      <c r="O37" s="34">
        <v>0.75</v>
      </c>
      <c r="P37" s="34">
        <v>0.7</v>
      </c>
      <c r="Q37" s="52">
        <f t="shared" si="0"/>
        <v>0.72499999999999998</v>
      </c>
      <c r="R37" s="7">
        <v>15.1</v>
      </c>
      <c r="S37" s="7">
        <v>94</v>
      </c>
      <c r="T37" s="16">
        <f t="shared" si="1"/>
        <v>36</v>
      </c>
      <c r="U37" s="7">
        <v>538</v>
      </c>
      <c r="V37" s="16">
        <f t="shared" si="2"/>
        <v>4842</v>
      </c>
      <c r="W37" s="7">
        <v>2</v>
      </c>
      <c r="X37" s="15" t="s">
        <v>46</v>
      </c>
      <c r="Y37" s="54" t="s">
        <v>55</v>
      </c>
      <c r="Z37" s="54" t="s">
        <v>47</v>
      </c>
      <c r="AA37" s="54" t="s">
        <v>86</v>
      </c>
      <c r="AB37" s="39" t="s">
        <v>158</v>
      </c>
    </row>
    <row r="38" spans="1:44" x14ac:dyDescent="0.15">
      <c r="A38" s="15" t="s">
        <v>156</v>
      </c>
      <c r="B38" s="15" t="s">
        <v>157</v>
      </c>
      <c r="C38" s="15">
        <v>2019</v>
      </c>
      <c r="D38" s="37" t="s">
        <v>167</v>
      </c>
      <c r="E38" s="7" t="s">
        <v>139</v>
      </c>
      <c r="F38" s="7" t="s">
        <v>145</v>
      </c>
      <c r="G38" s="7" t="s">
        <v>36</v>
      </c>
      <c r="H38" s="15" t="s">
        <v>165</v>
      </c>
      <c r="I38" s="7" t="s">
        <v>159</v>
      </c>
      <c r="J38" s="15" t="s">
        <v>38</v>
      </c>
      <c r="K38" s="7" t="s">
        <v>161</v>
      </c>
      <c r="L38" s="7">
        <v>1</v>
      </c>
      <c r="N38" s="53">
        <v>1</v>
      </c>
      <c r="O38" s="34">
        <v>0.5</v>
      </c>
      <c r="P38" s="34">
        <v>0.55000000000000004</v>
      </c>
      <c r="Q38" s="52">
        <f t="shared" si="0"/>
        <v>0.52500000000000002</v>
      </c>
      <c r="R38" s="7">
        <v>16.2</v>
      </c>
      <c r="S38" s="7">
        <v>108</v>
      </c>
      <c r="T38" s="16">
        <f t="shared" si="1"/>
        <v>33</v>
      </c>
      <c r="U38" s="7">
        <v>100</v>
      </c>
      <c r="V38" s="16">
        <f t="shared" si="2"/>
        <v>3300</v>
      </c>
      <c r="W38" s="7">
        <v>6</v>
      </c>
      <c r="X38" s="15" t="s">
        <v>46</v>
      </c>
      <c r="Y38" s="54" t="s">
        <v>97</v>
      </c>
      <c r="Z38" s="54" t="s">
        <v>55</v>
      </c>
      <c r="AA38" s="54" t="s">
        <v>86</v>
      </c>
      <c r="AB38" s="39" t="s">
        <v>158</v>
      </c>
    </row>
    <row r="39" spans="1:44" x14ac:dyDescent="0.15">
      <c r="A39" s="15" t="s">
        <v>156</v>
      </c>
      <c r="B39" s="15" t="s">
        <v>157</v>
      </c>
      <c r="C39" s="15">
        <v>2019</v>
      </c>
      <c r="D39" s="37" t="s">
        <v>167</v>
      </c>
      <c r="E39" s="7" t="s">
        <v>139</v>
      </c>
      <c r="F39" s="7" t="s">
        <v>145</v>
      </c>
      <c r="G39" s="7" t="s">
        <v>36</v>
      </c>
      <c r="H39" s="54" t="s">
        <v>165</v>
      </c>
      <c r="I39" s="7" t="s">
        <v>159</v>
      </c>
      <c r="J39" s="15" t="s">
        <v>38</v>
      </c>
      <c r="K39" s="7" t="s">
        <v>161</v>
      </c>
      <c r="L39" s="7">
        <v>2</v>
      </c>
      <c r="N39" s="53">
        <v>1</v>
      </c>
      <c r="O39" s="7">
        <v>0.75</v>
      </c>
      <c r="P39" s="7">
        <v>0.65</v>
      </c>
      <c r="Q39" s="52">
        <f t="shared" si="0"/>
        <v>0.7</v>
      </c>
      <c r="R39" s="34">
        <v>15</v>
      </c>
      <c r="S39" s="7">
        <v>110</v>
      </c>
      <c r="T39" s="16">
        <f t="shared" si="1"/>
        <v>33</v>
      </c>
      <c r="U39" s="7">
        <v>100</v>
      </c>
      <c r="V39" s="16">
        <f t="shared" si="2"/>
        <v>3300</v>
      </c>
      <c r="W39" s="7">
        <v>6</v>
      </c>
      <c r="X39" s="15" t="s">
        <v>46</v>
      </c>
      <c r="Y39" s="54" t="s">
        <v>97</v>
      </c>
      <c r="Z39" s="54" t="s">
        <v>55</v>
      </c>
      <c r="AA39" s="54" t="s">
        <v>86</v>
      </c>
      <c r="AB39" s="39" t="s">
        <v>158</v>
      </c>
    </row>
    <row r="40" spans="1:44" x14ac:dyDescent="0.15">
      <c r="A40" s="15" t="s">
        <v>156</v>
      </c>
      <c r="B40" s="15" t="s">
        <v>157</v>
      </c>
      <c r="C40" s="15">
        <v>2019</v>
      </c>
      <c r="D40" s="37" t="s">
        <v>167</v>
      </c>
      <c r="E40" s="7" t="s">
        <v>139</v>
      </c>
      <c r="F40" s="7" t="s">
        <v>145</v>
      </c>
      <c r="G40" s="7" t="s">
        <v>36</v>
      </c>
      <c r="H40" s="54" t="s">
        <v>165</v>
      </c>
      <c r="I40" s="7" t="s">
        <v>159</v>
      </c>
      <c r="J40" s="15" t="s">
        <v>38</v>
      </c>
      <c r="K40" s="7" t="s">
        <v>161</v>
      </c>
      <c r="L40" s="7">
        <v>3</v>
      </c>
      <c r="N40" s="53">
        <v>1</v>
      </c>
      <c r="O40" s="7">
        <v>0.85</v>
      </c>
      <c r="P40" s="7">
        <v>0.8</v>
      </c>
      <c r="Q40" s="52">
        <f t="shared" si="0"/>
        <v>0.82499999999999996</v>
      </c>
      <c r="R40" s="7">
        <v>15.8</v>
      </c>
      <c r="S40" s="7">
        <v>112</v>
      </c>
      <c r="T40" s="16">
        <f t="shared" si="1"/>
        <v>33</v>
      </c>
      <c r="U40" s="7">
        <v>100</v>
      </c>
      <c r="V40" s="16">
        <f t="shared" si="2"/>
        <v>3300</v>
      </c>
      <c r="W40" s="7">
        <v>6</v>
      </c>
      <c r="X40" s="15" t="s">
        <v>46</v>
      </c>
      <c r="Y40" s="54" t="s">
        <v>97</v>
      </c>
      <c r="Z40" s="54" t="s">
        <v>55</v>
      </c>
      <c r="AA40" s="54" t="s">
        <v>86</v>
      </c>
      <c r="AB40" s="39" t="s">
        <v>158</v>
      </c>
    </row>
    <row r="41" spans="1:44" ht="12.75" customHeight="1" x14ac:dyDescent="0.15">
      <c r="A41" s="15" t="s">
        <v>156</v>
      </c>
      <c r="B41" s="15" t="s">
        <v>157</v>
      </c>
      <c r="C41" s="15">
        <v>2019</v>
      </c>
      <c r="D41" s="37" t="s">
        <v>167</v>
      </c>
      <c r="E41" s="7" t="s">
        <v>139</v>
      </c>
      <c r="F41" s="7" t="s">
        <v>145</v>
      </c>
      <c r="G41" s="7" t="s">
        <v>36</v>
      </c>
      <c r="H41" s="15" t="s">
        <v>164</v>
      </c>
      <c r="I41" s="7" t="s">
        <v>159</v>
      </c>
      <c r="J41" s="15" t="s">
        <v>38</v>
      </c>
      <c r="K41" s="7" t="s">
        <v>161</v>
      </c>
      <c r="L41" s="7">
        <v>1</v>
      </c>
      <c r="N41" s="7">
        <v>4</v>
      </c>
      <c r="O41" s="7">
        <v>0.65</v>
      </c>
      <c r="P41" s="7">
        <v>0.65</v>
      </c>
      <c r="Q41" s="52">
        <f t="shared" si="0"/>
        <v>0.65</v>
      </c>
      <c r="R41" s="7">
        <v>19.2</v>
      </c>
      <c r="S41" s="7">
        <v>97</v>
      </c>
      <c r="T41" s="16">
        <f t="shared" si="1"/>
        <v>36</v>
      </c>
      <c r="U41" s="7">
        <v>429</v>
      </c>
      <c r="V41" s="16">
        <f t="shared" si="2"/>
        <v>3861</v>
      </c>
      <c r="W41" s="7">
        <v>2</v>
      </c>
      <c r="X41" s="15" t="s">
        <v>46</v>
      </c>
      <c r="Y41" s="54" t="s">
        <v>97</v>
      </c>
      <c r="Z41" s="54" t="s">
        <v>55</v>
      </c>
      <c r="AA41" s="54" t="s">
        <v>86</v>
      </c>
      <c r="AB41" s="39" t="s">
        <v>158</v>
      </c>
    </row>
    <row r="42" spans="1:44" x14ac:dyDescent="0.15">
      <c r="A42" s="15" t="s">
        <v>156</v>
      </c>
      <c r="B42" s="15" t="s">
        <v>157</v>
      </c>
      <c r="C42" s="15">
        <v>2019</v>
      </c>
      <c r="D42" s="37" t="s">
        <v>167</v>
      </c>
      <c r="E42" s="7" t="s">
        <v>139</v>
      </c>
      <c r="F42" s="7" t="s">
        <v>145</v>
      </c>
      <c r="G42" s="7" t="s">
        <v>36</v>
      </c>
      <c r="H42" s="54" t="s">
        <v>164</v>
      </c>
      <c r="I42" s="7" t="s">
        <v>159</v>
      </c>
      <c r="J42" s="15" t="s">
        <v>38</v>
      </c>
      <c r="K42" s="7" t="s">
        <v>161</v>
      </c>
      <c r="L42" s="7">
        <v>2</v>
      </c>
      <c r="N42" s="7">
        <v>4</v>
      </c>
      <c r="O42" s="7">
        <v>0.5</v>
      </c>
      <c r="P42" s="7">
        <v>0.65</v>
      </c>
      <c r="Q42" s="52">
        <f t="shared" si="0"/>
        <v>0.57499999999999996</v>
      </c>
      <c r="R42" s="7">
        <v>16.899999999999999</v>
      </c>
      <c r="S42" s="7">
        <v>95</v>
      </c>
      <c r="T42" s="16">
        <f t="shared" si="1"/>
        <v>36</v>
      </c>
      <c r="U42" s="7">
        <v>429</v>
      </c>
      <c r="V42" s="16">
        <f t="shared" si="2"/>
        <v>3861</v>
      </c>
      <c r="W42" s="7">
        <v>2</v>
      </c>
      <c r="X42" s="15" t="s">
        <v>46</v>
      </c>
      <c r="Y42" s="54" t="s">
        <v>97</v>
      </c>
      <c r="Z42" s="54" t="s">
        <v>55</v>
      </c>
      <c r="AA42" s="54" t="s">
        <v>86</v>
      </c>
      <c r="AB42" s="39" t="s">
        <v>158</v>
      </c>
    </row>
    <row r="43" spans="1:44" x14ac:dyDescent="0.15">
      <c r="A43" s="15" t="s">
        <v>156</v>
      </c>
      <c r="B43" s="15" t="s">
        <v>157</v>
      </c>
      <c r="C43" s="15">
        <v>2019</v>
      </c>
      <c r="D43" s="37" t="s">
        <v>167</v>
      </c>
      <c r="E43" s="7" t="s">
        <v>139</v>
      </c>
      <c r="F43" s="7" t="s">
        <v>145</v>
      </c>
      <c r="G43" s="7" t="s">
        <v>36</v>
      </c>
      <c r="H43" s="54" t="s">
        <v>164</v>
      </c>
      <c r="I43" s="7" t="s">
        <v>159</v>
      </c>
      <c r="J43" s="15" t="s">
        <v>38</v>
      </c>
      <c r="K43" s="7" t="s">
        <v>161</v>
      </c>
      <c r="L43" s="7">
        <v>3</v>
      </c>
      <c r="N43" s="7">
        <v>4</v>
      </c>
      <c r="O43" s="7">
        <v>0.55000000000000004</v>
      </c>
      <c r="P43" s="7">
        <v>0.65</v>
      </c>
      <c r="Q43" s="52">
        <f t="shared" si="0"/>
        <v>0.60000000000000009</v>
      </c>
      <c r="R43" s="7">
        <v>18.600000000000001</v>
      </c>
      <c r="S43" s="7">
        <v>94</v>
      </c>
      <c r="T43" s="16">
        <f t="shared" si="1"/>
        <v>36</v>
      </c>
      <c r="U43" s="7">
        <v>429</v>
      </c>
      <c r="V43" s="16">
        <f t="shared" si="2"/>
        <v>3861</v>
      </c>
      <c r="W43" s="7">
        <v>2</v>
      </c>
      <c r="X43" s="15" t="s">
        <v>46</v>
      </c>
      <c r="Y43" s="54" t="s">
        <v>97</v>
      </c>
      <c r="Z43" s="54" t="s">
        <v>55</v>
      </c>
      <c r="AA43" s="54" t="s">
        <v>86</v>
      </c>
      <c r="AB43" s="39" t="s">
        <v>158</v>
      </c>
    </row>
    <row r="44" spans="1:44" x14ac:dyDescent="0.15">
      <c r="A44" s="15" t="s">
        <v>156</v>
      </c>
      <c r="B44" s="15" t="s">
        <v>157</v>
      </c>
      <c r="C44" s="15">
        <v>2019</v>
      </c>
      <c r="D44" s="37" t="s">
        <v>167</v>
      </c>
      <c r="E44" s="7" t="s">
        <v>139</v>
      </c>
      <c r="F44" s="7" t="s">
        <v>145</v>
      </c>
      <c r="G44" s="7" t="s">
        <v>36</v>
      </c>
      <c r="H44" s="15" t="s">
        <v>160</v>
      </c>
      <c r="I44" s="7" t="s">
        <v>159</v>
      </c>
      <c r="J44" s="15" t="s">
        <v>38</v>
      </c>
      <c r="K44" s="7" t="s">
        <v>161</v>
      </c>
      <c r="L44" s="7">
        <v>1</v>
      </c>
      <c r="N44" s="7">
        <v>1</v>
      </c>
      <c r="O44" s="7">
        <v>0.6</v>
      </c>
      <c r="P44" s="7">
        <v>0.7</v>
      </c>
      <c r="Q44" s="52">
        <f t="shared" si="0"/>
        <v>0.64999999999999991</v>
      </c>
      <c r="R44" s="7">
        <v>18.899999999999999</v>
      </c>
      <c r="S44" s="7">
        <v>115</v>
      </c>
      <c r="T44" s="16">
        <f t="shared" si="1"/>
        <v>30</v>
      </c>
      <c r="U44" s="7">
        <v>100</v>
      </c>
      <c r="V44" s="16">
        <f t="shared" si="2"/>
        <v>3000</v>
      </c>
      <c r="W44" s="7">
        <v>12</v>
      </c>
      <c r="X44" s="15" t="s">
        <v>46</v>
      </c>
      <c r="Y44" s="54" t="s">
        <v>97</v>
      </c>
      <c r="Z44" s="54" t="s">
        <v>55</v>
      </c>
      <c r="AA44" s="54" t="s">
        <v>86</v>
      </c>
      <c r="AB44" s="39" t="s">
        <v>158</v>
      </c>
    </row>
    <row r="45" spans="1:44" x14ac:dyDescent="0.15">
      <c r="A45" s="15" t="s">
        <v>156</v>
      </c>
      <c r="B45" s="15" t="s">
        <v>157</v>
      </c>
      <c r="C45" s="15">
        <v>2019</v>
      </c>
      <c r="D45" s="37" t="s">
        <v>167</v>
      </c>
      <c r="E45" s="7" t="s">
        <v>139</v>
      </c>
      <c r="F45" s="7" t="s">
        <v>145</v>
      </c>
      <c r="G45" s="7" t="s">
        <v>36</v>
      </c>
      <c r="H45" s="15" t="s">
        <v>160</v>
      </c>
      <c r="I45" s="7" t="s">
        <v>159</v>
      </c>
      <c r="J45" s="15" t="s">
        <v>38</v>
      </c>
      <c r="K45" s="7" t="s">
        <v>161</v>
      </c>
      <c r="L45" s="7">
        <v>2</v>
      </c>
      <c r="N45" s="7">
        <v>1</v>
      </c>
      <c r="O45" s="7">
        <v>0.7</v>
      </c>
      <c r="P45" s="7">
        <v>0.6</v>
      </c>
      <c r="Q45" s="52">
        <f t="shared" si="0"/>
        <v>0.64999999999999991</v>
      </c>
      <c r="R45" s="7">
        <v>15.1</v>
      </c>
      <c r="S45" s="7">
        <v>105</v>
      </c>
      <c r="T45" s="16">
        <f t="shared" si="1"/>
        <v>33</v>
      </c>
      <c r="U45" s="7">
        <v>100</v>
      </c>
      <c r="V45" s="16">
        <f t="shared" si="2"/>
        <v>3300</v>
      </c>
      <c r="W45" s="7">
        <v>12</v>
      </c>
      <c r="X45" s="15" t="s">
        <v>46</v>
      </c>
      <c r="Y45" s="54" t="s">
        <v>97</v>
      </c>
      <c r="Z45" s="54" t="s">
        <v>55</v>
      </c>
      <c r="AA45" s="54" t="s">
        <v>86</v>
      </c>
      <c r="AB45" s="39" t="s">
        <v>158</v>
      </c>
    </row>
    <row r="46" spans="1:44" x14ac:dyDescent="0.15">
      <c r="A46" s="15" t="s">
        <v>156</v>
      </c>
      <c r="B46" s="15" t="s">
        <v>157</v>
      </c>
      <c r="C46" s="15">
        <v>2019</v>
      </c>
      <c r="D46" s="37" t="s">
        <v>167</v>
      </c>
      <c r="E46" s="7" t="s">
        <v>139</v>
      </c>
      <c r="F46" s="7" t="s">
        <v>145</v>
      </c>
      <c r="G46" s="7" t="s">
        <v>36</v>
      </c>
      <c r="H46" s="15" t="s">
        <v>160</v>
      </c>
      <c r="I46" s="7" t="s">
        <v>159</v>
      </c>
      <c r="J46" s="15" t="s">
        <v>38</v>
      </c>
      <c r="K46" s="7" t="s">
        <v>161</v>
      </c>
      <c r="L46" s="7">
        <v>3</v>
      </c>
      <c r="N46" s="7">
        <v>1</v>
      </c>
      <c r="O46" s="7">
        <v>0.6</v>
      </c>
      <c r="P46" s="34">
        <v>0.65</v>
      </c>
      <c r="Q46" s="52">
        <f t="shared" si="0"/>
        <v>0.625</v>
      </c>
      <c r="R46" s="7">
        <v>15.7</v>
      </c>
      <c r="S46" s="7">
        <v>122</v>
      </c>
      <c r="T46" s="16">
        <f t="shared" si="1"/>
        <v>27</v>
      </c>
      <c r="U46" s="7">
        <v>100</v>
      </c>
      <c r="V46" s="16">
        <f t="shared" si="2"/>
        <v>2700</v>
      </c>
      <c r="W46" s="7">
        <v>12</v>
      </c>
      <c r="X46" s="15" t="s">
        <v>46</v>
      </c>
      <c r="Y46" s="54" t="s">
        <v>97</v>
      </c>
      <c r="Z46" s="54" t="s">
        <v>55</v>
      </c>
      <c r="AA46" s="54" t="s">
        <v>86</v>
      </c>
      <c r="AB46" s="39" t="s">
        <v>158</v>
      </c>
    </row>
    <row r="47" spans="1:44" x14ac:dyDescent="0.15">
      <c r="A47" s="15" t="s">
        <v>156</v>
      </c>
      <c r="B47" s="15" t="s">
        <v>157</v>
      </c>
      <c r="C47" s="15">
        <v>2019</v>
      </c>
      <c r="D47" s="37" t="s">
        <v>167</v>
      </c>
      <c r="E47" s="7" t="s">
        <v>162</v>
      </c>
      <c r="F47" s="7" t="s">
        <v>163</v>
      </c>
      <c r="G47" s="7" t="s">
        <v>36</v>
      </c>
      <c r="H47" s="15" t="s">
        <v>165</v>
      </c>
      <c r="I47" s="7" t="s">
        <v>159</v>
      </c>
      <c r="J47" s="15" t="s">
        <v>38</v>
      </c>
      <c r="K47" s="7" t="s">
        <v>161</v>
      </c>
      <c r="L47" s="7">
        <v>1</v>
      </c>
      <c r="N47" s="7">
        <v>1</v>
      </c>
      <c r="O47" s="7">
        <v>0.8</v>
      </c>
      <c r="P47" s="7">
        <v>0.8</v>
      </c>
      <c r="Q47" s="52">
        <f t="shared" si="0"/>
        <v>0.8</v>
      </c>
      <c r="R47" s="7">
        <v>15.4</v>
      </c>
      <c r="S47" s="7">
        <v>108</v>
      </c>
      <c r="T47" s="16">
        <f t="shared" si="1"/>
        <v>33</v>
      </c>
      <c r="U47" s="7">
        <v>85</v>
      </c>
      <c r="V47" s="16">
        <f t="shared" si="2"/>
        <v>2805</v>
      </c>
      <c r="W47" s="7">
        <v>6</v>
      </c>
      <c r="X47" s="15" t="s">
        <v>46</v>
      </c>
      <c r="Y47" s="54" t="s">
        <v>55</v>
      </c>
      <c r="Z47" s="54" t="s">
        <v>47</v>
      </c>
      <c r="AA47" s="54" t="s">
        <v>69</v>
      </c>
      <c r="AB47" s="39" t="s">
        <v>158</v>
      </c>
    </row>
    <row r="48" spans="1:44" x14ac:dyDescent="0.15">
      <c r="A48" s="15" t="s">
        <v>156</v>
      </c>
      <c r="B48" s="15" t="s">
        <v>157</v>
      </c>
      <c r="C48" s="15">
        <v>2019</v>
      </c>
      <c r="D48" s="37" t="s">
        <v>167</v>
      </c>
      <c r="E48" s="7" t="s">
        <v>162</v>
      </c>
      <c r="F48" s="7" t="s">
        <v>163</v>
      </c>
      <c r="G48" s="7" t="s">
        <v>36</v>
      </c>
      <c r="H48" s="15" t="s">
        <v>165</v>
      </c>
      <c r="I48" s="7" t="s">
        <v>159</v>
      </c>
      <c r="J48" s="15" t="s">
        <v>38</v>
      </c>
      <c r="K48" s="7" t="s">
        <v>161</v>
      </c>
      <c r="L48" s="7">
        <v>2</v>
      </c>
      <c r="N48" s="7">
        <v>1</v>
      </c>
      <c r="O48" s="7">
        <v>0.9</v>
      </c>
      <c r="P48" s="7">
        <v>0.9</v>
      </c>
      <c r="Q48" s="52">
        <f t="shared" si="0"/>
        <v>0.9</v>
      </c>
      <c r="R48" s="7">
        <v>13.2</v>
      </c>
      <c r="S48" s="7">
        <v>109</v>
      </c>
      <c r="T48" s="16">
        <f t="shared" si="1"/>
        <v>33</v>
      </c>
      <c r="U48" s="7">
        <v>85</v>
      </c>
      <c r="V48" s="16">
        <f t="shared" si="2"/>
        <v>2805</v>
      </c>
      <c r="W48" s="7">
        <v>6</v>
      </c>
      <c r="X48" s="15" t="s">
        <v>46</v>
      </c>
      <c r="Y48" s="54" t="s">
        <v>55</v>
      </c>
      <c r="Z48" s="54" t="s">
        <v>47</v>
      </c>
      <c r="AA48" s="54" t="s">
        <v>69</v>
      </c>
      <c r="AB48" s="39" t="s">
        <v>158</v>
      </c>
    </row>
    <row r="49" spans="1:29" x14ac:dyDescent="0.15">
      <c r="A49" s="15" t="s">
        <v>156</v>
      </c>
      <c r="B49" s="15" t="s">
        <v>157</v>
      </c>
      <c r="C49" s="15">
        <v>2019</v>
      </c>
      <c r="D49" s="37" t="s">
        <v>167</v>
      </c>
      <c r="E49" s="7" t="s">
        <v>162</v>
      </c>
      <c r="F49" s="7" t="s">
        <v>163</v>
      </c>
      <c r="G49" s="7" t="s">
        <v>36</v>
      </c>
      <c r="H49" s="15" t="s">
        <v>165</v>
      </c>
      <c r="I49" s="7" t="s">
        <v>159</v>
      </c>
      <c r="J49" s="15" t="s">
        <v>38</v>
      </c>
      <c r="K49" s="7" t="s">
        <v>161</v>
      </c>
      <c r="L49" s="7">
        <v>3</v>
      </c>
      <c r="N49" s="7">
        <v>1</v>
      </c>
      <c r="O49" s="7">
        <v>0.95</v>
      </c>
      <c r="P49" s="34">
        <v>1.05</v>
      </c>
      <c r="Q49" s="52">
        <f t="shared" si="0"/>
        <v>1</v>
      </c>
      <c r="R49" s="7">
        <v>14.6</v>
      </c>
      <c r="S49" s="7">
        <v>113</v>
      </c>
      <c r="T49" s="16">
        <f t="shared" si="1"/>
        <v>30</v>
      </c>
      <c r="U49" s="7">
        <v>85</v>
      </c>
      <c r="V49" s="16">
        <f t="shared" si="2"/>
        <v>2550</v>
      </c>
      <c r="W49" s="7">
        <v>6</v>
      </c>
      <c r="X49" s="15" t="s">
        <v>46</v>
      </c>
      <c r="Y49" s="54" t="s">
        <v>55</v>
      </c>
      <c r="Z49" s="54" t="s">
        <v>47</v>
      </c>
      <c r="AA49" s="54" t="s">
        <v>69</v>
      </c>
      <c r="AB49" s="39" t="s">
        <v>158</v>
      </c>
    </row>
    <row r="50" spans="1:29" x14ac:dyDescent="0.15">
      <c r="A50" s="15" t="s">
        <v>156</v>
      </c>
      <c r="B50" s="15" t="s">
        <v>157</v>
      </c>
      <c r="C50" s="15">
        <v>2019</v>
      </c>
      <c r="D50" s="37" t="s">
        <v>167</v>
      </c>
      <c r="E50" s="7" t="s">
        <v>162</v>
      </c>
      <c r="F50" s="7" t="s">
        <v>163</v>
      </c>
      <c r="G50" s="7" t="s">
        <v>36</v>
      </c>
      <c r="H50" s="15" t="s">
        <v>160</v>
      </c>
      <c r="I50" s="7" t="s">
        <v>159</v>
      </c>
      <c r="J50" s="15" t="s">
        <v>38</v>
      </c>
      <c r="K50" s="7" t="s">
        <v>161</v>
      </c>
      <c r="L50" s="7">
        <v>1</v>
      </c>
      <c r="N50" s="7">
        <v>1</v>
      </c>
      <c r="O50" s="7">
        <v>0.9</v>
      </c>
      <c r="P50" s="7">
        <v>0.85</v>
      </c>
      <c r="Q50" s="52">
        <f t="shared" si="0"/>
        <v>0.875</v>
      </c>
      <c r="R50" s="7">
        <v>18.100000000000001</v>
      </c>
      <c r="S50" s="7">
        <v>136</v>
      </c>
      <c r="T50" s="16">
        <f t="shared" si="1"/>
        <v>25</v>
      </c>
      <c r="U50" s="7">
        <v>95</v>
      </c>
      <c r="V50" s="16">
        <f t="shared" si="2"/>
        <v>2375</v>
      </c>
      <c r="W50" s="7">
        <v>6</v>
      </c>
      <c r="X50" s="15" t="s">
        <v>46</v>
      </c>
      <c r="Y50" s="54" t="s">
        <v>55</v>
      </c>
      <c r="Z50" s="54" t="s">
        <v>47</v>
      </c>
      <c r="AA50" s="54" t="s">
        <v>69</v>
      </c>
      <c r="AB50" s="39" t="s">
        <v>158</v>
      </c>
    </row>
    <row r="51" spans="1:29" x14ac:dyDescent="0.15">
      <c r="A51" s="15" t="s">
        <v>156</v>
      </c>
      <c r="B51" s="15" t="s">
        <v>157</v>
      </c>
      <c r="C51" s="15">
        <v>2019</v>
      </c>
      <c r="D51" s="37" t="s">
        <v>167</v>
      </c>
      <c r="E51" s="7" t="s">
        <v>162</v>
      </c>
      <c r="F51" s="7" t="s">
        <v>163</v>
      </c>
      <c r="G51" s="7" t="s">
        <v>36</v>
      </c>
      <c r="H51" s="15" t="s">
        <v>160</v>
      </c>
      <c r="I51" s="7" t="s">
        <v>159</v>
      </c>
      <c r="J51" s="15" t="s">
        <v>38</v>
      </c>
      <c r="K51" s="7" t="s">
        <v>161</v>
      </c>
      <c r="L51" s="7">
        <v>2</v>
      </c>
      <c r="N51" s="7">
        <v>1</v>
      </c>
      <c r="O51" s="7">
        <v>0.55000000000000004</v>
      </c>
      <c r="P51" s="7">
        <v>0.55000000000000004</v>
      </c>
      <c r="Q51" s="52">
        <f t="shared" si="0"/>
        <v>0.55000000000000004</v>
      </c>
      <c r="R51" s="7">
        <v>17.600000000000001</v>
      </c>
      <c r="S51" s="7">
        <v>139</v>
      </c>
      <c r="T51" s="16">
        <f t="shared" si="1"/>
        <v>22</v>
      </c>
      <c r="U51" s="7">
        <v>95</v>
      </c>
      <c r="V51" s="16">
        <f t="shared" si="2"/>
        <v>2090</v>
      </c>
      <c r="W51" s="7">
        <v>6</v>
      </c>
      <c r="X51" s="15" t="s">
        <v>46</v>
      </c>
      <c r="Y51" s="54" t="s">
        <v>55</v>
      </c>
      <c r="Z51" s="54" t="s">
        <v>47</v>
      </c>
      <c r="AA51" s="54" t="s">
        <v>69</v>
      </c>
      <c r="AB51" s="39" t="s">
        <v>158</v>
      </c>
    </row>
    <row r="52" spans="1:29" x14ac:dyDescent="0.15">
      <c r="A52" s="15" t="s">
        <v>156</v>
      </c>
      <c r="B52" s="15" t="s">
        <v>157</v>
      </c>
      <c r="C52" s="15">
        <v>2019</v>
      </c>
      <c r="D52" s="37" t="s">
        <v>167</v>
      </c>
      <c r="E52" s="7" t="s">
        <v>162</v>
      </c>
      <c r="F52" s="7" t="s">
        <v>163</v>
      </c>
      <c r="G52" s="7" t="s">
        <v>36</v>
      </c>
      <c r="H52" s="15" t="s">
        <v>160</v>
      </c>
      <c r="I52" s="7" t="s">
        <v>159</v>
      </c>
      <c r="J52" s="15" t="s">
        <v>38</v>
      </c>
      <c r="K52" s="7" t="s">
        <v>161</v>
      </c>
      <c r="L52" s="7">
        <v>3</v>
      </c>
      <c r="N52" s="7">
        <v>1</v>
      </c>
      <c r="O52" s="7">
        <v>0.75</v>
      </c>
      <c r="P52" s="7">
        <v>0.75</v>
      </c>
      <c r="Q52" s="52">
        <f t="shared" si="0"/>
        <v>0.75</v>
      </c>
      <c r="R52" s="7">
        <v>17.2</v>
      </c>
      <c r="S52" s="7">
        <v>132</v>
      </c>
      <c r="T52" s="16">
        <f t="shared" si="1"/>
        <v>25</v>
      </c>
      <c r="U52" s="7">
        <v>95</v>
      </c>
      <c r="V52" s="16">
        <f t="shared" si="2"/>
        <v>2375</v>
      </c>
      <c r="W52" s="7">
        <v>6</v>
      </c>
      <c r="X52" s="15" t="s">
        <v>46</v>
      </c>
      <c r="Y52" s="54" t="s">
        <v>55</v>
      </c>
      <c r="Z52" s="54" t="s">
        <v>47</v>
      </c>
      <c r="AA52" s="54" t="s">
        <v>69</v>
      </c>
      <c r="AB52" s="39" t="s">
        <v>158</v>
      </c>
    </row>
    <row r="53" spans="1:29" x14ac:dyDescent="0.15">
      <c r="A53" s="15" t="s">
        <v>156</v>
      </c>
      <c r="B53" s="15" t="s">
        <v>157</v>
      </c>
      <c r="C53" s="15">
        <v>2019</v>
      </c>
      <c r="D53" s="37" t="s">
        <v>167</v>
      </c>
      <c r="E53" s="7" t="s">
        <v>130</v>
      </c>
      <c r="F53" s="7" t="s">
        <v>146</v>
      </c>
      <c r="G53" s="7" t="s">
        <v>36</v>
      </c>
      <c r="H53" s="15" t="s">
        <v>165</v>
      </c>
      <c r="I53" s="7" t="s">
        <v>159</v>
      </c>
      <c r="J53" s="15" t="s">
        <v>38</v>
      </c>
      <c r="K53" s="7" t="s">
        <v>161</v>
      </c>
      <c r="L53" s="7">
        <v>1</v>
      </c>
      <c r="N53" s="7">
        <v>1</v>
      </c>
      <c r="O53" s="7">
        <v>0.85</v>
      </c>
      <c r="P53" s="7">
        <v>0.85</v>
      </c>
      <c r="Q53" s="52">
        <f t="shared" si="0"/>
        <v>0.85</v>
      </c>
      <c r="R53" s="7">
        <v>14.2</v>
      </c>
      <c r="S53" s="7">
        <v>93</v>
      </c>
      <c r="T53" s="16">
        <f t="shared" si="1"/>
        <v>36</v>
      </c>
      <c r="U53" s="7">
        <v>51</v>
      </c>
      <c r="V53" s="16">
        <f t="shared" si="2"/>
        <v>1836</v>
      </c>
      <c r="W53" s="7">
        <v>2</v>
      </c>
      <c r="X53" s="15" t="s">
        <v>46</v>
      </c>
      <c r="Y53" s="54" t="s">
        <v>55</v>
      </c>
      <c r="Z53" s="54" t="s">
        <v>86</v>
      </c>
      <c r="AA53" s="54" t="s">
        <v>78</v>
      </c>
      <c r="AB53" s="39" t="s">
        <v>158</v>
      </c>
      <c r="AC53" s="36"/>
    </row>
    <row r="54" spans="1:29" x14ac:dyDescent="0.15">
      <c r="A54" s="15" t="s">
        <v>156</v>
      </c>
      <c r="B54" s="15" t="s">
        <v>157</v>
      </c>
      <c r="C54" s="15">
        <v>2019</v>
      </c>
      <c r="D54" s="37" t="s">
        <v>167</v>
      </c>
      <c r="E54" s="7" t="s">
        <v>130</v>
      </c>
      <c r="F54" s="7" t="s">
        <v>146</v>
      </c>
      <c r="G54" s="7" t="s">
        <v>36</v>
      </c>
      <c r="H54" s="15" t="s">
        <v>165</v>
      </c>
      <c r="I54" s="7" t="s">
        <v>159</v>
      </c>
      <c r="J54" s="15" t="s">
        <v>38</v>
      </c>
      <c r="K54" s="7" t="s">
        <v>161</v>
      </c>
      <c r="L54" s="7">
        <v>2</v>
      </c>
      <c r="N54" s="7">
        <v>1</v>
      </c>
      <c r="O54" s="7">
        <v>0.85</v>
      </c>
      <c r="P54" s="7">
        <v>0.9</v>
      </c>
      <c r="Q54" s="52">
        <f t="shared" si="0"/>
        <v>0.875</v>
      </c>
      <c r="R54" s="7">
        <v>14.6</v>
      </c>
      <c r="S54" s="7">
        <v>93</v>
      </c>
      <c r="T54" s="16">
        <f t="shared" si="1"/>
        <v>36</v>
      </c>
      <c r="U54" s="7">
        <v>51</v>
      </c>
      <c r="V54" s="16">
        <f t="shared" si="2"/>
        <v>1836</v>
      </c>
      <c r="W54" s="7">
        <v>2</v>
      </c>
      <c r="X54" s="15" t="s">
        <v>46</v>
      </c>
      <c r="Y54" s="54" t="s">
        <v>55</v>
      </c>
      <c r="Z54" s="54" t="s">
        <v>86</v>
      </c>
      <c r="AA54" s="54" t="s">
        <v>78</v>
      </c>
      <c r="AB54" s="39" t="s">
        <v>158</v>
      </c>
      <c r="AC54" s="36"/>
    </row>
    <row r="55" spans="1:29" x14ac:dyDescent="0.15">
      <c r="A55" s="15" t="s">
        <v>156</v>
      </c>
      <c r="B55" s="15" t="s">
        <v>157</v>
      </c>
      <c r="C55" s="15">
        <v>2019</v>
      </c>
      <c r="D55" s="37" t="s">
        <v>167</v>
      </c>
      <c r="E55" s="7" t="s">
        <v>130</v>
      </c>
      <c r="F55" s="7" t="s">
        <v>146</v>
      </c>
      <c r="G55" s="7" t="s">
        <v>36</v>
      </c>
      <c r="H55" s="15" t="s">
        <v>165</v>
      </c>
      <c r="I55" s="7" t="s">
        <v>159</v>
      </c>
      <c r="J55" s="15" t="s">
        <v>38</v>
      </c>
      <c r="K55" s="7" t="s">
        <v>161</v>
      </c>
      <c r="L55" s="7">
        <v>3</v>
      </c>
      <c r="N55" s="7">
        <v>1</v>
      </c>
      <c r="O55" s="7">
        <v>0.5</v>
      </c>
      <c r="P55" s="7">
        <v>0.55000000000000004</v>
      </c>
      <c r="Q55" s="52">
        <f t="shared" si="0"/>
        <v>0.52500000000000002</v>
      </c>
      <c r="R55" s="7">
        <v>14.1</v>
      </c>
      <c r="S55" s="7">
        <v>92</v>
      </c>
      <c r="T55" s="16">
        <f t="shared" si="1"/>
        <v>36</v>
      </c>
      <c r="U55" s="7">
        <v>51</v>
      </c>
      <c r="V55" s="16">
        <f t="shared" si="2"/>
        <v>1836</v>
      </c>
      <c r="W55" s="7">
        <v>2</v>
      </c>
      <c r="X55" s="15" t="s">
        <v>46</v>
      </c>
      <c r="Y55" s="54" t="s">
        <v>55</v>
      </c>
      <c r="Z55" s="54" t="s">
        <v>86</v>
      </c>
      <c r="AA55" s="54" t="s">
        <v>78</v>
      </c>
      <c r="AB55" s="39" t="s">
        <v>158</v>
      </c>
      <c r="AC55" s="36"/>
    </row>
    <row r="56" spans="1:29" x14ac:dyDescent="0.15">
      <c r="A56" s="15" t="s">
        <v>156</v>
      </c>
      <c r="B56" s="15" t="s">
        <v>157</v>
      </c>
      <c r="C56" s="15">
        <v>2019</v>
      </c>
      <c r="D56" s="37" t="s">
        <v>167</v>
      </c>
      <c r="E56" s="7" t="s">
        <v>130</v>
      </c>
      <c r="F56" s="7" t="s">
        <v>146</v>
      </c>
      <c r="G56" s="7" t="s">
        <v>36</v>
      </c>
      <c r="H56" s="15" t="s">
        <v>160</v>
      </c>
      <c r="I56" s="7" t="s">
        <v>159</v>
      </c>
      <c r="J56" s="15" t="s">
        <v>38</v>
      </c>
      <c r="K56" s="7" t="s">
        <v>161</v>
      </c>
      <c r="L56" s="7">
        <v>1</v>
      </c>
      <c r="N56" s="7">
        <v>1</v>
      </c>
      <c r="O56" s="7">
        <v>0.8</v>
      </c>
      <c r="P56" s="7">
        <v>0.75</v>
      </c>
      <c r="Q56" s="52">
        <f t="shared" si="0"/>
        <v>0.77500000000000002</v>
      </c>
      <c r="R56" s="7">
        <v>17.3</v>
      </c>
      <c r="S56" s="7">
        <v>136</v>
      </c>
      <c r="T56" s="16">
        <f t="shared" si="1"/>
        <v>25</v>
      </c>
      <c r="U56" s="7">
        <v>105</v>
      </c>
      <c r="V56" s="16">
        <f t="shared" si="2"/>
        <v>2625</v>
      </c>
      <c r="W56" s="7">
        <v>18</v>
      </c>
      <c r="X56" s="15" t="s">
        <v>46</v>
      </c>
      <c r="Y56" s="54" t="s">
        <v>55</v>
      </c>
      <c r="Z56" s="54" t="s">
        <v>86</v>
      </c>
      <c r="AA56" s="54" t="s">
        <v>78</v>
      </c>
      <c r="AB56" s="39" t="s">
        <v>158</v>
      </c>
    </row>
    <row r="57" spans="1:29" x14ac:dyDescent="0.15">
      <c r="A57" s="15" t="s">
        <v>156</v>
      </c>
      <c r="B57" s="15" t="s">
        <v>157</v>
      </c>
      <c r="C57" s="15">
        <v>2019</v>
      </c>
      <c r="D57" s="37" t="s">
        <v>167</v>
      </c>
      <c r="E57" s="7" t="s">
        <v>130</v>
      </c>
      <c r="F57" s="7" t="s">
        <v>146</v>
      </c>
      <c r="G57" s="7" t="s">
        <v>36</v>
      </c>
      <c r="H57" s="15" t="s">
        <v>160</v>
      </c>
      <c r="I57" s="7" t="s">
        <v>159</v>
      </c>
      <c r="J57" s="15" t="s">
        <v>38</v>
      </c>
      <c r="K57" s="7" t="s">
        <v>161</v>
      </c>
      <c r="L57" s="7">
        <v>2</v>
      </c>
      <c r="N57" s="7">
        <v>1</v>
      </c>
      <c r="O57" s="7">
        <v>0.65</v>
      </c>
      <c r="P57" s="7">
        <v>0.7</v>
      </c>
      <c r="Q57" s="52">
        <f t="shared" si="0"/>
        <v>0.67500000000000004</v>
      </c>
      <c r="R57" s="7">
        <v>18.7</v>
      </c>
      <c r="S57" s="7">
        <v>130</v>
      </c>
      <c r="T57" s="16">
        <f t="shared" si="1"/>
        <v>25</v>
      </c>
      <c r="U57" s="7">
        <v>105</v>
      </c>
      <c r="V57" s="16">
        <f t="shared" si="2"/>
        <v>2625</v>
      </c>
      <c r="W57" s="7">
        <v>18</v>
      </c>
      <c r="X57" s="15" t="s">
        <v>46</v>
      </c>
      <c r="Y57" s="54" t="s">
        <v>55</v>
      </c>
      <c r="Z57" s="54" t="s">
        <v>86</v>
      </c>
      <c r="AA57" s="54" t="s">
        <v>78</v>
      </c>
      <c r="AB57" s="39" t="s">
        <v>158</v>
      </c>
    </row>
    <row r="58" spans="1:29" x14ac:dyDescent="0.15">
      <c r="A58" s="15" t="s">
        <v>156</v>
      </c>
      <c r="B58" s="15" t="s">
        <v>157</v>
      </c>
      <c r="C58" s="15">
        <v>2019</v>
      </c>
      <c r="D58" s="37" t="s">
        <v>167</v>
      </c>
      <c r="E58" s="7" t="s">
        <v>130</v>
      </c>
      <c r="F58" s="7" t="s">
        <v>146</v>
      </c>
      <c r="G58" s="7" t="s">
        <v>36</v>
      </c>
      <c r="H58" s="15" t="s">
        <v>160</v>
      </c>
      <c r="I58" s="7" t="s">
        <v>159</v>
      </c>
      <c r="J58" s="15" t="s">
        <v>38</v>
      </c>
      <c r="K58" s="7" t="s">
        <v>161</v>
      </c>
      <c r="L58" s="7">
        <v>3</v>
      </c>
      <c r="N58" s="7">
        <v>1</v>
      </c>
      <c r="O58" s="7">
        <v>0.8</v>
      </c>
      <c r="P58" s="7">
        <v>0.8</v>
      </c>
      <c r="Q58" s="52">
        <f t="shared" si="0"/>
        <v>0.8</v>
      </c>
      <c r="R58" s="7">
        <v>18.399999999999999</v>
      </c>
      <c r="S58" s="7">
        <v>127</v>
      </c>
      <c r="T58" s="16">
        <f t="shared" si="1"/>
        <v>27</v>
      </c>
      <c r="U58" s="7">
        <v>105</v>
      </c>
      <c r="V58" s="16">
        <f t="shared" si="2"/>
        <v>2835</v>
      </c>
      <c r="W58" s="7">
        <v>18</v>
      </c>
      <c r="X58" s="15" t="s">
        <v>46</v>
      </c>
      <c r="Y58" s="54" t="s">
        <v>55</v>
      </c>
      <c r="Z58" s="54" t="s">
        <v>86</v>
      </c>
      <c r="AA58" s="54" t="s">
        <v>78</v>
      </c>
      <c r="AB58" s="39" t="s">
        <v>158</v>
      </c>
    </row>
    <row r="59" spans="1:29" x14ac:dyDescent="0.15">
      <c r="A59" s="15" t="s">
        <v>156</v>
      </c>
      <c r="B59" s="15" t="s">
        <v>157</v>
      </c>
      <c r="C59" s="15">
        <v>2019</v>
      </c>
      <c r="D59" s="37" t="s">
        <v>167</v>
      </c>
      <c r="E59" s="7" t="s">
        <v>132</v>
      </c>
      <c r="F59" s="7" t="s">
        <v>147</v>
      </c>
      <c r="G59" s="7" t="s">
        <v>36</v>
      </c>
      <c r="H59" s="15" t="s">
        <v>165</v>
      </c>
      <c r="I59" s="7" t="s">
        <v>159</v>
      </c>
      <c r="J59" s="15" t="s">
        <v>38</v>
      </c>
      <c r="K59" s="7" t="s">
        <v>161</v>
      </c>
      <c r="L59" s="7">
        <v>1</v>
      </c>
      <c r="N59" s="7">
        <v>1</v>
      </c>
      <c r="O59" s="7">
        <v>0.8</v>
      </c>
      <c r="P59" s="7">
        <v>0.9</v>
      </c>
      <c r="Q59" s="52">
        <f t="shared" si="0"/>
        <v>0.85000000000000009</v>
      </c>
      <c r="R59" s="7">
        <v>14.5</v>
      </c>
      <c r="S59" s="7">
        <v>124</v>
      </c>
      <c r="T59" s="16">
        <f t="shared" si="1"/>
        <v>27</v>
      </c>
      <c r="U59" s="7">
        <v>106</v>
      </c>
      <c r="V59" s="16">
        <f t="shared" si="2"/>
        <v>2862</v>
      </c>
      <c r="W59" s="7">
        <v>6</v>
      </c>
      <c r="X59" s="15" t="s">
        <v>46</v>
      </c>
      <c r="Y59" s="54" t="s">
        <v>55</v>
      </c>
      <c r="Z59" s="54" t="s">
        <v>47</v>
      </c>
      <c r="AA59" s="54" t="s">
        <v>90</v>
      </c>
      <c r="AB59" s="39" t="s">
        <v>158</v>
      </c>
    </row>
    <row r="60" spans="1:29" x14ac:dyDescent="0.15">
      <c r="A60" s="15" t="s">
        <v>156</v>
      </c>
      <c r="B60" s="15" t="s">
        <v>157</v>
      </c>
      <c r="C60" s="15">
        <v>2019</v>
      </c>
      <c r="D60" s="37" t="s">
        <v>167</v>
      </c>
      <c r="E60" s="7" t="s">
        <v>132</v>
      </c>
      <c r="F60" s="7" t="s">
        <v>147</v>
      </c>
      <c r="G60" s="7" t="s">
        <v>36</v>
      </c>
      <c r="H60" s="15" t="s">
        <v>165</v>
      </c>
      <c r="I60" s="7" t="s">
        <v>159</v>
      </c>
      <c r="J60" s="15" t="s">
        <v>38</v>
      </c>
      <c r="K60" s="7" t="s">
        <v>161</v>
      </c>
      <c r="L60" s="7">
        <v>2</v>
      </c>
      <c r="N60" s="7">
        <v>1</v>
      </c>
      <c r="O60" s="7">
        <v>0.5</v>
      </c>
      <c r="P60" s="7">
        <v>0.5</v>
      </c>
      <c r="Q60" s="52">
        <f t="shared" si="0"/>
        <v>0.5</v>
      </c>
      <c r="R60" s="7">
        <v>16.2</v>
      </c>
      <c r="S60" s="7">
        <v>120</v>
      </c>
      <c r="T60" s="16">
        <f>IF(H60="","",IF(OR(H60="GREEN",H60="GK"),IF(S60&gt;=$AX$2,VLOOKUP(S60,$AX$2:$AY$12,2,1),""),IF(S60&gt;=$AZ$2,VLOOKUP(S60,$AZ$2:$BA$12,2,1),"")))</f>
        <v>30</v>
      </c>
      <c r="U60" s="7">
        <v>106</v>
      </c>
      <c r="V60" s="16">
        <f t="shared" si="2"/>
        <v>3180</v>
      </c>
      <c r="W60" s="7">
        <v>6</v>
      </c>
      <c r="X60" s="15" t="s">
        <v>46</v>
      </c>
      <c r="Y60" s="54" t="s">
        <v>55</v>
      </c>
      <c r="Z60" s="54" t="s">
        <v>47</v>
      </c>
      <c r="AA60" s="54" t="s">
        <v>90</v>
      </c>
      <c r="AB60" s="39" t="s">
        <v>158</v>
      </c>
    </row>
    <row r="61" spans="1:29" x14ac:dyDescent="0.15">
      <c r="A61" s="15" t="s">
        <v>156</v>
      </c>
      <c r="B61" s="15" t="s">
        <v>157</v>
      </c>
      <c r="C61" s="15">
        <v>2019</v>
      </c>
      <c r="D61" s="37" t="s">
        <v>167</v>
      </c>
      <c r="E61" s="7" t="s">
        <v>132</v>
      </c>
      <c r="F61" s="7" t="s">
        <v>147</v>
      </c>
      <c r="G61" s="7" t="s">
        <v>36</v>
      </c>
      <c r="H61" s="15" t="s">
        <v>165</v>
      </c>
      <c r="I61" s="7" t="s">
        <v>159</v>
      </c>
      <c r="J61" s="15" t="s">
        <v>38</v>
      </c>
      <c r="K61" s="7" t="s">
        <v>161</v>
      </c>
      <c r="L61" s="7">
        <v>3</v>
      </c>
      <c r="N61" s="53">
        <v>1</v>
      </c>
      <c r="O61" s="7">
        <v>0.5</v>
      </c>
      <c r="P61" s="7">
        <v>0.5</v>
      </c>
      <c r="Q61" s="52">
        <f t="shared" si="0"/>
        <v>0.5</v>
      </c>
      <c r="R61" s="7">
        <v>15.6</v>
      </c>
      <c r="S61" s="7">
        <v>119</v>
      </c>
      <c r="T61" s="16">
        <f>IF(H61="","",IF(OR(H61="GREEN",H61="GK"),IF(S61&gt;=$AX$2,VLOOKUP(S61,$AX$2:$AY$12,2,1),""),IF(S61&gt;=$AZ$2,VLOOKUP(S61,$AZ$2:$BA$12,2,1),"")))</f>
        <v>30</v>
      </c>
      <c r="U61" s="7">
        <v>106</v>
      </c>
      <c r="V61" s="16">
        <f t="shared" si="2"/>
        <v>3180</v>
      </c>
      <c r="W61" s="7">
        <v>6</v>
      </c>
      <c r="X61" s="15" t="s">
        <v>46</v>
      </c>
      <c r="Y61" s="54" t="s">
        <v>55</v>
      </c>
      <c r="Z61" s="54" t="s">
        <v>47</v>
      </c>
      <c r="AA61" s="54" t="s">
        <v>90</v>
      </c>
      <c r="AB61" s="39" t="s">
        <v>158</v>
      </c>
    </row>
    <row r="62" spans="1:29" x14ac:dyDescent="0.15">
      <c r="A62" s="15" t="s">
        <v>156</v>
      </c>
      <c r="B62" s="15" t="s">
        <v>157</v>
      </c>
      <c r="C62" s="15">
        <v>2019</v>
      </c>
      <c r="D62" s="37" t="s">
        <v>167</v>
      </c>
      <c r="E62" s="7" t="s">
        <v>132</v>
      </c>
      <c r="F62" s="7" t="s">
        <v>147</v>
      </c>
      <c r="G62" s="7" t="s">
        <v>36</v>
      </c>
      <c r="H62" s="15" t="s">
        <v>160</v>
      </c>
      <c r="I62" s="7" t="s">
        <v>159</v>
      </c>
      <c r="J62" s="15" t="s">
        <v>38</v>
      </c>
      <c r="K62" s="7" t="s">
        <v>161</v>
      </c>
      <c r="L62" s="7">
        <v>1</v>
      </c>
      <c r="N62" s="53">
        <v>1</v>
      </c>
      <c r="O62" s="7">
        <v>0.5</v>
      </c>
      <c r="P62" s="7">
        <v>0.5</v>
      </c>
      <c r="Q62" s="52">
        <f t="shared" si="0"/>
        <v>0.5</v>
      </c>
      <c r="R62" s="7">
        <v>15</v>
      </c>
      <c r="S62" s="7">
        <v>141</v>
      </c>
      <c r="T62" s="16">
        <f t="shared" ref="T62:T120" si="3">IF(H62="","",IF(OR(H62="GREEN",H62="GK"),IF(S62&gt;=$AX$2,VLOOKUP(S62,$AX$2:$AY$12,2,1),""),IF(S62&gt;=$AZ$2,VLOOKUP(S62,$AZ$2:$BA$12,2,1),"")))</f>
        <v>22</v>
      </c>
      <c r="U62" s="7">
        <v>106</v>
      </c>
      <c r="V62" s="16">
        <f t="shared" si="2"/>
        <v>2332</v>
      </c>
      <c r="W62" s="7">
        <v>8</v>
      </c>
      <c r="X62" s="54" t="s">
        <v>46</v>
      </c>
      <c r="Y62" s="54" t="s">
        <v>55</v>
      </c>
      <c r="Z62" s="54" t="s">
        <v>47</v>
      </c>
      <c r="AA62" s="54" t="s">
        <v>90</v>
      </c>
      <c r="AB62" s="39" t="s">
        <v>158</v>
      </c>
    </row>
    <row r="63" spans="1:29" x14ac:dyDescent="0.15">
      <c r="A63" s="15" t="s">
        <v>156</v>
      </c>
      <c r="B63" s="15" t="s">
        <v>157</v>
      </c>
      <c r="C63" s="15">
        <v>2019</v>
      </c>
      <c r="D63" s="37" t="s">
        <v>167</v>
      </c>
      <c r="E63" s="7" t="s">
        <v>132</v>
      </c>
      <c r="F63" s="7" t="s">
        <v>147</v>
      </c>
      <c r="G63" s="7" t="s">
        <v>36</v>
      </c>
      <c r="H63" s="15" t="s">
        <v>160</v>
      </c>
      <c r="I63" s="7" t="s">
        <v>159</v>
      </c>
      <c r="J63" s="15" t="s">
        <v>38</v>
      </c>
      <c r="K63" s="7" t="s">
        <v>161</v>
      </c>
      <c r="L63" s="7">
        <v>2</v>
      </c>
      <c r="N63" s="53">
        <v>1</v>
      </c>
      <c r="O63" s="7">
        <v>0.5</v>
      </c>
      <c r="P63" s="7">
        <v>0.5</v>
      </c>
      <c r="Q63" s="52">
        <f t="shared" si="0"/>
        <v>0.5</v>
      </c>
      <c r="R63" s="7">
        <v>18.5</v>
      </c>
      <c r="S63" s="7">
        <v>148</v>
      </c>
      <c r="T63" s="16">
        <f t="shared" si="3"/>
        <v>22</v>
      </c>
      <c r="U63" s="7">
        <v>106</v>
      </c>
      <c r="V63" s="16">
        <f t="shared" si="2"/>
        <v>2332</v>
      </c>
      <c r="W63" s="7">
        <v>8</v>
      </c>
      <c r="X63" s="54" t="s">
        <v>46</v>
      </c>
      <c r="Y63" s="54" t="s">
        <v>55</v>
      </c>
      <c r="Z63" s="54" t="s">
        <v>47</v>
      </c>
      <c r="AA63" s="54" t="s">
        <v>90</v>
      </c>
      <c r="AB63" s="39" t="s">
        <v>158</v>
      </c>
    </row>
    <row r="64" spans="1:29" x14ac:dyDescent="0.15">
      <c r="A64" s="15" t="s">
        <v>156</v>
      </c>
      <c r="B64" s="15" t="s">
        <v>157</v>
      </c>
      <c r="C64" s="15">
        <v>2019</v>
      </c>
      <c r="D64" s="37" t="s">
        <v>167</v>
      </c>
      <c r="E64" s="7" t="s">
        <v>132</v>
      </c>
      <c r="F64" s="7" t="s">
        <v>147</v>
      </c>
      <c r="G64" s="7" t="s">
        <v>36</v>
      </c>
      <c r="H64" s="15" t="s">
        <v>160</v>
      </c>
      <c r="I64" s="7" t="s">
        <v>159</v>
      </c>
      <c r="J64" s="15" t="s">
        <v>38</v>
      </c>
      <c r="K64" s="7" t="s">
        <v>161</v>
      </c>
      <c r="L64" s="7">
        <v>3</v>
      </c>
      <c r="N64" s="53">
        <v>1</v>
      </c>
      <c r="O64" s="7">
        <v>0.5</v>
      </c>
      <c r="P64" s="7">
        <v>0.5</v>
      </c>
      <c r="Q64" s="52">
        <f t="shared" si="0"/>
        <v>0.5</v>
      </c>
      <c r="R64" s="7">
        <v>18.399999999999999</v>
      </c>
      <c r="S64" s="7">
        <v>143</v>
      </c>
      <c r="T64" s="16">
        <f t="shared" si="3"/>
        <v>22</v>
      </c>
      <c r="U64" s="7">
        <v>106</v>
      </c>
      <c r="V64" s="16">
        <f t="shared" si="2"/>
        <v>2332</v>
      </c>
      <c r="W64" s="7">
        <v>8</v>
      </c>
      <c r="X64" s="54" t="s">
        <v>46</v>
      </c>
      <c r="Y64" s="54" t="s">
        <v>55</v>
      </c>
      <c r="Z64" s="54" t="s">
        <v>47</v>
      </c>
      <c r="AA64" s="54" t="s">
        <v>90</v>
      </c>
      <c r="AB64" s="39" t="s">
        <v>158</v>
      </c>
    </row>
    <row r="65" spans="1:28" x14ac:dyDescent="0.15">
      <c r="A65" s="15" t="s">
        <v>156</v>
      </c>
      <c r="B65" s="15" t="s">
        <v>157</v>
      </c>
      <c r="C65" s="15">
        <v>2019</v>
      </c>
      <c r="D65" s="37" t="s">
        <v>167</v>
      </c>
      <c r="E65" s="7" t="s">
        <v>140</v>
      </c>
      <c r="F65" s="7" t="s">
        <v>148</v>
      </c>
      <c r="G65" s="7" t="s">
        <v>36</v>
      </c>
      <c r="H65" s="15" t="s">
        <v>165</v>
      </c>
      <c r="I65" s="7" t="s">
        <v>159</v>
      </c>
      <c r="J65" s="15" t="s">
        <v>38</v>
      </c>
      <c r="K65" s="7" t="s">
        <v>161</v>
      </c>
      <c r="L65" s="7">
        <v>1</v>
      </c>
      <c r="N65" s="53">
        <v>1</v>
      </c>
      <c r="O65" s="7">
        <v>0.95</v>
      </c>
      <c r="P65" s="7">
        <v>0.85</v>
      </c>
      <c r="Q65" s="52">
        <f t="shared" si="0"/>
        <v>0.89999999999999991</v>
      </c>
      <c r="R65" s="7">
        <v>13.6</v>
      </c>
      <c r="S65" s="7">
        <v>143</v>
      </c>
      <c r="T65" s="16">
        <f t="shared" si="3"/>
        <v>22</v>
      </c>
      <c r="U65" s="7">
        <v>138</v>
      </c>
      <c r="V65" s="16">
        <f t="shared" si="2"/>
        <v>3036</v>
      </c>
      <c r="W65" s="7">
        <v>20</v>
      </c>
      <c r="X65" s="54" t="s">
        <v>46</v>
      </c>
      <c r="Y65" s="54" t="s">
        <v>55</v>
      </c>
      <c r="Z65" s="54" t="s">
        <v>47</v>
      </c>
      <c r="AA65" s="54" t="s">
        <v>86</v>
      </c>
      <c r="AB65" s="39" t="s">
        <v>158</v>
      </c>
    </row>
    <row r="66" spans="1:28" x14ac:dyDescent="0.15">
      <c r="A66" s="15" t="s">
        <v>156</v>
      </c>
      <c r="B66" s="15" t="s">
        <v>157</v>
      </c>
      <c r="C66" s="15">
        <v>2019</v>
      </c>
      <c r="D66" s="37" t="s">
        <v>167</v>
      </c>
      <c r="E66" s="7" t="s">
        <v>140</v>
      </c>
      <c r="F66" s="7" t="s">
        <v>148</v>
      </c>
      <c r="G66" s="7" t="s">
        <v>36</v>
      </c>
      <c r="H66" s="15" t="s">
        <v>165</v>
      </c>
      <c r="I66" s="7" t="s">
        <v>159</v>
      </c>
      <c r="J66" s="15" t="s">
        <v>38</v>
      </c>
      <c r="K66" s="7" t="s">
        <v>161</v>
      </c>
      <c r="L66" s="7">
        <v>2</v>
      </c>
      <c r="N66" s="7">
        <v>1</v>
      </c>
      <c r="O66" s="7">
        <v>0.65</v>
      </c>
      <c r="P66" s="7">
        <v>0.7</v>
      </c>
      <c r="Q66" s="52">
        <f t="shared" ref="Q66:Q77" si="4">IF(OR(O66="",P66=""),"",AVERAGE(O66,P66))</f>
        <v>0.67500000000000004</v>
      </c>
      <c r="R66" s="7">
        <v>15</v>
      </c>
      <c r="S66" s="7">
        <v>129</v>
      </c>
      <c r="T66" s="16">
        <f t="shared" si="3"/>
        <v>25</v>
      </c>
      <c r="U66" s="7">
        <v>138</v>
      </c>
      <c r="V66" s="16">
        <f t="shared" ref="V66:V70" si="5">IF(OR(N66="",U66="",T66=""),"",U66/N66*T66)</f>
        <v>3450</v>
      </c>
      <c r="W66" s="7">
        <v>20</v>
      </c>
      <c r="X66" s="54" t="s">
        <v>46</v>
      </c>
      <c r="Y66" s="54" t="s">
        <v>55</v>
      </c>
      <c r="Z66" s="54" t="s">
        <v>47</v>
      </c>
      <c r="AA66" s="54" t="s">
        <v>86</v>
      </c>
      <c r="AB66" s="39" t="s">
        <v>158</v>
      </c>
    </row>
    <row r="67" spans="1:28" x14ac:dyDescent="0.15">
      <c r="A67" s="15" t="s">
        <v>156</v>
      </c>
      <c r="B67" s="15" t="s">
        <v>157</v>
      </c>
      <c r="C67" s="15">
        <v>2019</v>
      </c>
      <c r="D67" s="37" t="s">
        <v>167</v>
      </c>
      <c r="E67" s="7" t="s">
        <v>140</v>
      </c>
      <c r="F67" s="7" t="s">
        <v>148</v>
      </c>
      <c r="G67" s="7" t="s">
        <v>36</v>
      </c>
      <c r="H67" s="15" t="s">
        <v>165</v>
      </c>
      <c r="I67" s="7" t="s">
        <v>159</v>
      </c>
      <c r="J67" s="15" t="s">
        <v>38</v>
      </c>
      <c r="K67" s="7" t="s">
        <v>161</v>
      </c>
      <c r="L67" s="7">
        <v>3</v>
      </c>
      <c r="N67" s="7">
        <v>1</v>
      </c>
      <c r="O67" s="7">
        <v>1.05</v>
      </c>
      <c r="P67" s="7">
        <v>1.05</v>
      </c>
      <c r="Q67" s="52">
        <f t="shared" si="4"/>
        <v>1.05</v>
      </c>
      <c r="R67" s="7">
        <v>15.2</v>
      </c>
      <c r="S67" s="7">
        <v>132</v>
      </c>
      <c r="T67" s="16">
        <f t="shared" si="3"/>
        <v>25</v>
      </c>
      <c r="U67" s="7">
        <v>138</v>
      </c>
      <c r="V67" s="16">
        <f t="shared" si="5"/>
        <v>3450</v>
      </c>
      <c r="W67" s="7">
        <v>20</v>
      </c>
      <c r="X67" s="54" t="s">
        <v>46</v>
      </c>
      <c r="Y67" s="54" t="s">
        <v>55</v>
      </c>
      <c r="Z67" s="54" t="s">
        <v>47</v>
      </c>
      <c r="AA67" s="54" t="s">
        <v>86</v>
      </c>
      <c r="AB67" s="39" t="s">
        <v>158</v>
      </c>
    </row>
    <row r="68" spans="1:28" x14ac:dyDescent="0.15">
      <c r="A68" s="15" t="s">
        <v>156</v>
      </c>
      <c r="B68" s="15" t="s">
        <v>157</v>
      </c>
      <c r="C68" s="15">
        <v>2019</v>
      </c>
      <c r="D68" s="37" t="s">
        <v>167</v>
      </c>
      <c r="E68" s="7" t="s">
        <v>140</v>
      </c>
      <c r="F68" s="7" t="s">
        <v>148</v>
      </c>
      <c r="G68" s="7" t="s">
        <v>36</v>
      </c>
      <c r="H68" s="15" t="s">
        <v>160</v>
      </c>
      <c r="I68" s="7" t="s">
        <v>159</v>
      </c>
      <c r="J68" s="15" t="s">
        <v>38</v>
      </c>
      <c r="K68" s="7" t="s">
        <v>161</v>
      </c>
      <c r="L68" s="7">
        <v>1</v>
      </c>
      <c r="N68" s="7">
        <v>1</v>
      </c>
      <c r="O68" s="7">
        <v>0.6</v>
      </c>
      <c r="P68" s="7">
        <v>0.6</v>
      </c>
      <c r="Q68" s="52">
        <f t="shared" si="4"/>
        <v>0.6</v>
      </c>
      <c r="R68" s="7">
        <v>17.399999999999999</v>
      </c>
      <c r="S68" s="7">
        <v>93</v>
      </c>
      <c r="T68" s="16">
        <f t="shared" si="3"/>
        <v>36</v>
      </c>
      <c r="U68" s="7">
        <v>138</v>
      </c>
      <c r="V68" s="16">
        <f t="shared" si="5"/>
        <v>4968</v>
      </c>
      <c r="W68" s="7">
        <v>24</v>
      </c>
      <c r="X68" s="54" t="s">
        <v>46</v>
      </c>
      <c r="Y68" s="54" t="s">
        <v>55</v>
      </c>
      <c r="Z68" s="54" t="s">
        <v>47</v>
      </c>
      <c r="AA68" s="54" t="s">
        <v>86</v>
      </c>
      <c r="AB68" s="39" t="s">
        <v>158</v>
      </c>
    </row>
    <row r="69" spans="1:28" x14ac:dyDescent="0.15">
      <c r="A69" s="15" t="s">
        <v>156</v>
      </c>
      <c r="B69" s="15" t="s">
        <v>157</v>
      </c>
      <c r="C69" s="15">
        <v>2019</v>
      </c>
      <c r="D69" s="37" t="s">
        <v>167</v>
      </c>
      <c r="E69" s="7" t="s">
        <v>140</v>
      </c>
      <c r="F69" s="7" t="s">
        <v>148</v>
      </c>
      <c r="G69" s="7" t="s">
        <v>36</v>
      </c>
      <c r="H69" s="54" t="s">
        <v>160</v>
      </c>
      <c r="I69" s="7" t="s">
        <v>159</v>
      </c>
      <c r="J69" s="15" t="s">
        <v>38</v>
      </c>
      <c r="K69" s="7" t="s">
        <v>161</v>
      </c>
      <c r="L69" s="7">
        <v>2</v>
      </c>
      <c r="N69" s="7">
        <v>1</v>
      </c>
      <c r="O69" s="7">
        <v>0.6</v>
      </c>
      <c r="P69" s="7">
        <v>0.6</v>
      </c>
      <c r="Q69" s="52">
        <f t="shared" si="4"/>
        <v>0.6</v>
      </c>
      <c r="R69" s="7">
        <v>15.5</v>
      </c>
      <c r="S69" s="7">
        <v>102</v>
      </c>
      <c r="T69" s="16">
        <f t="shared" si="3"/>
        <v>33</v>
      </c>
      <c r="U69" s="7">
        <v>138</v>
      </c>
      <c r="V69" s="16">
        <f t="shared" si="5"/>
        <v>4554</v>
      </c>
      <c r="W69" s="7">
        <v>24</v>
      </c>
      <c r="X69" s="54" t="s">
        <v>46</v>
      </c>
      <c r="Y69" s="54" t="s">
        <v>55</v>
      </c>
      <c r="Z69" s="54" t="s">
        <v>47</v>
      </c>
      <c r="AA69" s="54" t="s">
        <v>86</v>
      </c>
      <c r="AB69" s="39" t="s">
        <v>158</v>
      </c>
    </row>
    <row r="70" spans="1:28" x14ac:dyDescent="0.15">
      <c r="A70" s="15" t="s">
        <v>156</v>
      </c>
      <c r="B70" s="15" t="s">
        <v>157</v>
      </c>
      <c r="C70" s="15">
        <v>2019</v>
      </c>
      <c r="D70" s="37" t="s">
        <v>167</v>
      </c>
      <c r="E70" s="7" t="s">
        <v>140</v>
      </c>
      <c r="F70" s="7" t="s">
        <v>148</v>
      </c>
      <c r="G70" s="7" t="s">
        <v>36</v>
      </c>
      <c r="H70" s="54" t="s">
        <v>160</v>
      </c>
      <c r="I70" s="7" t="s">
        <v>159</v>
      </c>
      <c r="J70" s="15" t="s">
        <v>38</v>
      </c>
      <c r="K70" s="7" t="s">
        <v>161</v>
      </c>
      <c r="L70" s="7">
        <v>3</v>
      </c>
      <c r="N70" s="7">
        <v>1</v>
      </c>
      <c r="O70" s="7">
        <v>0.65</v>
      </c>
      <c r="P70" s="7">
        <v>0.75</v>
      </c>
      <c r="Q70" s="52">
        <f t="shared" si="4"/>
        <v>0.7</v>
      </c>
      <c r="R70" s="7">
        <v>12.5</v>
      </c>
      <c r="S70" s="7">
        <v>94</v>
      </c>
      <c r="T70" s="16">
        <f t="shared" si="3"/>
        <v>36</v>
      </c>
      <c r="U70" s="7">
        <v>138</v>
      </c>
      <c r="V70" s="16">
        <f t="shared" si="5"/>
        <v>4968</v>
      </c>
      <c r="W70" s="7">
        <v>24</v>
      </c>
      <c r="X70" s="54" t="s">
        <v>46</v>
      </c>
      <c r="Y70" s="54" t="s">
        <v>55</v>
      </c>
      <c r="Z70" s="54" t="s">
        <v>47</v>
      </c>
      <c r="AA70" s="54" t="s">
        <v>86</v>
      </c>
      <c r="AB70" s="39" t="s">
        <v>158</v>
      </c>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12414-FD8F-420F-96C6-997AEB9D7A5F}">
  <dimension ref="A1:BA399"/>
  <sheetViews>
    <sheetView zoomScale="70" zoomScaleNormal="70" workbookViewId="0">
      <selection activeCell="AB109" sqref="AB109"/>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169</v>
      </c>
      <c r="C1" s="55" t="s">
        <v>170</v>
      </c>
      <c r="D1" s="56" t="s">
        <v>3</v>
      </c>
      <c r="E1" s="45" t="s">
        <v>4</v>
      </c>
      <c r="F1" s="45" t="s">
        <v>5</v>
      </c>
      <c r="G1" s="45" t="s">
        <v>6</v>
      </c>
      <c r="H1" s="45" t="s">
        <v>7</v>
      </c>
      <c r="I1" s="45" t="s">
        <v>8</v>
      </c>
      <c r="J1" s="45" t="s">
        <v>9</v>
      </c>
      <c r="K1" s="45" t="s">
        <v>10</v>
      </c>
      <c r="L1" s="56" t="s">
        <v>171</v>
      </c>
      <c r="M1" s="56" t="s">
        <v>172</v>
      </c>
      <c r="N1" s="56" t="s">
        <v>13</v>
      </c>
      <c r="O1" s="56" t="s">
        <v>173</v>
      </c>
      <c r="P1" s="56" t="s">
        <v>174</v>
      </c>
      <c r="Q1" s="57" t="s">
        <v>175</v>
      </c>
      <c r="R1" s="56" t="s">
        <v>176</v>
      </c>
      <c r="S1" s="56" t="s">
        <v>177</v>
      </c>
      <c r="T1" s="57" t="s">
        <v>19</v>
      </c>
      <c r="U1" s="58" t="s">
        <v>108</v>
      </c>
      <c r="V1" s="59" t="s">
        <v>20</v>
      </c>
      <c r="W1" s="56" t="s">
        <v>178</v>
      </c>
      <c r="X1" s="45" t="s">
        <v>22</v>
      </c>
      <c r="Y1" s="45" t="s">
        <v>23</v>
      </c>
      <c r="Z1" s="45" t="s">
        <v>24</v>
      </c>
      <c r="AA1" s="45" t="s">
        <v>25</v>
      </c>
      <c r="AB1" s="46" t="s">
        <v>179</v>
      </c>
      <c r="AE1" s="60" t="s">
        <v>0</v>
      </c>
      <c r="AF1" s="61"/>
      <c r="AG1" s="60" t="s">
        <v>4</v>
      </c>
      <c r="AH1" s="60" t="s">
        <v>5</v>
      </c>
      <c r="AI1" s="61"/>
      <c r="AJ1" s="60" t="s">
        <v>6</v>
      </c>
      <c r="AK1" s="61"/>
      <c r="AL1" s="10" t="s">
        <v>7</v>
      </c>
      <c r="AM1" s="61"/>
      <c r="AN1" s="10" t="s">
        <v>8</v>
      </c>
      <c r="AO1" s="61"/>
      <c r="AP1" s="10" t="s">
        <v>27</v>
      </c>
      <c r="AQ1" s="61"/>
      <c r="AR1" s="10" t="s">
        <v>10</v>
      </c>
      <c r="AS1" s="61"/>
      <c r="AT1" s="11" t="s">
        <v>180</v>
      </c>
      <c r="AU1" s="61"/>
      <c r="AV1" s="10" t="s">
        <v>29</v>
      </c>
      <c r="AX1" s="12" t="s">
        <v>181</v>
      </c>
      <c r="AY1" s="13" t="s">
        <v>182</v>
      </c>
      <c r="AZ1" s="13" t="s">
        <v>183</v>
      </c>
      <c r="BA1" s="14" t="s">
        <v>184</v>
      </c>
    </row>
    <row r="2" spans="1:53" x14ac:dyDescent="0.15">
      <c r="A2" s="53" t="s">
        <v>41</v>
      </c>
      <c r="B2" s="53" t="s">
        <v>157</v>
      </c>
      <c r="C2" s="62">
        <v>2019</v>
      </c>
      <c r="D2" s="63" t="s">
        <v>185</v>
      </c>
      <c r="E2" s="53" t="s">
        <v>133</v>
      </c>
      <c r="F2" s="53" t="s">
        <v>186</v>
      </c>
      <c r="G2" s="53" t="s">
        <v>42</v>
      </c>
      <c r="H2" s="53" t="s">
        <v>164</v>
      </c>
      <c r="I2" s="53" t="s">
        <v>159</v>
      </c>
      <c r="J2" s="53" t="s">
        <v>38</v>
      </c>
      <c r="K2" s="53" t="s">
        <v>161</v>
      </c>
      <c r="L2" s="53">
        <v>1</v>
      </c>
      <c r="N2" s="53">
        <v>8</v>
      </c>
      <c r="O2" s="53">
        <v>0.3</v>
      </c>
      <c r="P2" s="53">
        <v>0.25</v>
      </c>
      <c r="Q2" s="16">
        <f t="shared" ref="Q2:Q65" si="0">IF(OR(O2="",P2=""),"",AVERAGE(O2,P2))</f>
        <v>0.27500000000000002</v>
      </c>
      <c r="R2" s="53">
        <v>16.5</v>
      </c>
      <c r="S2" s="53">
        <v>121</v>
      </c>
      <c r="T2" s="16">
        <f t="shared" ref="T2:T65" si="1">IF(H2="","",IF(OR(H2="GREEN",H2="GK"),IF(S2&gt;=$AX$2,VLOOKUP(S2,$AX$2:$AY$10,2,1),""),IF(S2&gt;=$AZ$2,VLOOKUP(S2,$AZ$2:$BA$10,2,1),"")))</f>
        <v>27</v>
      </c>
      <c r="U2" s="53">
        <v>753</v>
      </c>
      <c r="V2" s="16">
        <f t="shared" ref="V2:V65" si="2">IF(OR(N2="",U2="",T2=""),"",U2/N2*T2)</f>
        <v>2541.375</v>
      </c>
      <c r="W2" s="53">
        <v>2</v>
      </c>
      <c r="X2" s="53" t="s">
        <v>46</v>
      </c>
      <c r="Y2" s="53" t="s">
        <v>55</v>
      </c>
      <c r="Z2" s="53" t="s">
        <v>69</v>
      </c>
      <c r="AA2" s="53" t="s">
        <v>47</v>
      </c>
      <c r="AB2" s="53" t="s">
        <v>158</v>
      </c>
      <c r="AE2" s="64" t="s">
        <v>35</v>
      </c>
      <c r="AG2" s="65" t="s">
        <v>133</v>
      </c>
      <c r="AH2" s="66" t="s">
        <v>186</v>
      </c>
      <c r="AJ2" s="67" t="s">
        <v>36</v>
      </c>
      <c r="AL2" s="67" t="s">
        <v>187</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185</v>
      </c>
      <c r="E3" s="53" t="s">
        <v>133</v>
      </c>
      <c r="F3" s="53" t="s">
        <v>186</v>
      </c>
      <c r="G3" s="53" t="s">
        <v>42</v>
      </c>
      <c r="H3" s="53" t="s">
        <v>164</v>
      </c>
      <c r="I3" s="53" t="s">
        <v>159</v>
      </c>
      <c r="J3" s="53" t="s">
        <v>38</v>
      </c>
      <c r="K3" s="53" t="s">
        <v>161</v>
      </c>
      <c r="L3" s="53">
        <v>2</v>
      </c>
      <c r="N3" s="53">
        <v>8</v>
      </c>
      <c r="O3" s="53">
        <v>0.25</v>
      </c>
      <c r="P3" s="53">
        <v>0.25</v>
      </c>
      <c r="Q3" s="16">
        <f t="shared" si="0"/>
        <v>0.25</v>
      </c>
      <c r="R3" s="53">
        <v>15.1</v>
      </c>
      <c r="S3" s="53">
        <v>120</v>
      </c>
      <c r="T3" s="16">
        <f t="shared" si="1"/>
        <v>30</v>
      </c>
      <c r="U3" s="53">
        <v>753</v>
      </c>
      <c r="V3" s="16">
        <f t="shared" si="2"/>
        <v>2823.75</v>
      </c>
      <c r="W3" s="53">
        <v>2</v>
      </c>
      <c r="X3" s="53" t="s">
        <v>46</v>
      </c>
      <c r="Y3" s="53" t="s">
        <v>55</v>
      </c>
      <c r="Z3" s="53" t="s">
        <v>69</v>
      </c>
      <c r="AA3" s="53" t="s">
        <v>47</v>
      </c>
      <c r="AB3" s="53" t="s">
        <v>158</v>
      </c>
      <c r="AE3" s="22" t="s">
        <v>41</v>
      </c>
      <c r="AG3" s="71" t="s">
        <v>188</v>
      </c>
      <c r="AH3" s="71" t="s">
        <v>186</v>
      </c>
      <c r="AJ3" s="23" t="s">
        <v>42</v>
      </c>
      <c r="AL3" s="23" t="s">
        <v>189</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185</v>
      </c>
      <c r="E4" s="53" t="s">
        <v>133</v>
      </c>
      <c r="F4" s="53" t="s">
        <v>186</v>
      </c>
      <c r="G4" s="53" t="s">
        <v>42</v>
      </c>
      <c r="H4" s="53" t="s">
        <v>164</v>
      </c>
      <c r="I4" s="53" t="s">
        <v>159</v>
      </c>
      <c r="J4" s="53" t="s">
        <v>38</v>
      </c>
      <c r="K4" s="53" t="s">
        <v>161</v>
      </c>
      <c r="L4" s="53">
        <v>3</v>
      </c>
      <c r="N4" s="53">
        <v>8</v>
      </c>
      <c r="O4" s="53">
        <v>0.25</v>
      </c>
      <c r="P4" s="53">
        <v>0.25</v>
      </c>
      <c r="Q4" s="16">
        <f t="shared" si="0"/>
        <v>0.25</v>
      </c>
      <c r="R4" s="53">
        <v>15.2</v>
      </c>
      <c r="S4" s="53">
        <v>120</v>
      </c>
      <c r="T4" s="16">
        <f t="shared" si="1"/>
        <v>30</v>
      </c>
      <c r="U4" s="53">
        <v>753</v>
      </c>
      <c r="V4" s="16">
        <f t="shared" si="2"/>
        <v>2823.75</v>
      </c>
      <c r="W4" s="53">
        <v>2</v>
      </c>
      <c r="X4" s="53" t="s">
        <v>46</v>
      </c>
      <c r="Y4" s="53" t="s">
        <v>55</v>
      </c>
      <c r="Z4" s="53" t="s">
        <v>69</v>
      </c>
      <c r="AA4" s="53" t="s">
        <v>47</v>
      </c>
      <c r="AB4" s="53" t="s">
        <v>158</v>
      </c>
      <c r="AE4" s="22" t="s">
        <v>34</v>
      </c>
      <c r="AG4" s="71" t="s">
        <v>188</v>
      </c>
      <c r="AH4" s="71" t="s">
        <v>190</v>
      </c>
      <c r="AJ4" s="27" t="s">
        <v>48</v>
      </c>
      <c r="AL4" s="27" t="s">
        <v>191</v>
      </c>
      <c r="AN4" s="28" t="s">
        <v>192</v>
      </c>
      <c r="AP4" s="23" t="s">
        <v>193</v>
      </c>
      <c r="AR4" s="23" t="s">
        <v>194</v>
      </c>
      <c r="AT4" s="28"/>
      <c r="AV4" s="23" t="s">
        <v>50</v>
      </c>
      <c r="AX4" s="24">
        <v>75</v>
      </c>
      <c r="AY4" s="25">
        <v>42</v>
      </c>
      <c r="AZ4" s="25">
        <v>76</v>
      </c>
      <c r="BA4" s="26">
        <v>39</v>
      </c>
    </row>
    <row r="5" spans="1:53" ht="13.5" customHeight="1" x14ac:dyDescent="0.15">
      <c r="A5" s="53" t="s">
        <v>41</v>
      </c>
      <c r="B5" s="53" t="s">
        <v>157</v>
      </c>
      <c r="C5" s="62">
        <v>2019</v>
      </c>
      <c r="D5" s="63" t="s">
        <v>185</v>
      </c>
      <c r="E5" s="53" t="s">
        <v>133</v>
      </c>
      <c r="F5" s="53" t="s">
        <v>186</v>
      </c>
      <c r="G5" s="53" t="s">
        <v>42</v>
      </c>
      <c r="H5" s="53" t="s">
        <v>164</v>
      </c>
      <c r="I5" s="53" t="s">
        <v>159</v>
      </c>
      <c r="J5" s="53" t="s">
        <v>38</v>
      </c>
      <c r="K5" s="53" t="s">
        <v>161</v>
      </c>
      <c r="L5" s="53">
        <v>1</v>
      </c>
      <c r="N5" s="53">
        <v>1</v>
      </c>
      <c r="O5" s="53">
        <v>0.35</v>
      </c>
      <c r="P5" s="53">
        <v>0.3</v>
      </c>
      <c r="Q5" s="16">
        <f t="shared" si="0"/>
        <v>0.32499999999999996</v>
      </c>
      <c r="R5" s="53">
        <v>14.1</v>
      </c>
      <c r="S5" s="53">
        <v>123</v>
      </c>
      <c r="T5" s="16">
        <f t="shared" si="1"/>
        <v>27</v>
      </c>
      <c r="U5" s="53">
        <v>105</v>
      </c>
      <c r="V5" s="16">
        <f t="shared" si="2"/>
        <v>2835</v>
      </c>
      <c r="W5" s="53">
        <v>2</v>
      </c>
      <c r="X5" s="53" t="s">
        <v>46</v>
      </c>
      <c r="Y5" s="53" t="s">
        <v>55</v>
      </c>
      <c r="Z5" s="53" t="s">
        <v>69</v>
      </c>
      <c r="AA5" s="53" t="s">
        <v>47</v>
      </c>
      <c r="AB5" s="53" t="s">
        <v>158</v>
      </c>
      <c r="AE5" s="22" t="s">
        <v>51</v>
      </c>
      <c r="AG5" s="71" t="s">
        <v>195</v>
      </c>
      <c r="AH5" s="71" t="s">
        <v>186</v>
      </c>
      <c r="AJ5" s="28"/>
      <c r="AL5" s="72" t="s">
        <v>165</v>
      </c>
      <c r="AN5" s="72" t="s">
        <v>159</v>
      </c>
      <c r="AP5" s="23" t="s">
        <v>196</v>
      </c>
      <c r="AR5" s="23" t="s">
        <v>54</v>
      </c>
      <c r="AV5" s="23" t="s">
        <v>55</v>
      </c>
      <c r="AX5" s="24">
        <v>84</v>
      </c>
      <c r="AY5" s="25">
        <v>39</v>
      </c>
      <c r="AZ5" s="25">
        <v>84</v>
      </c>
      <c r="BA5" s="26">
        <v>36</v>
      </c>
    </row>
    <row r="6" spans="1:53" x14ac:dyDescent="0.15">
      <c r="A6" s="53" t="s">
        <v>41</v>
      </c>
      <c r="B6" s="53" t="s">
        <v>157</v>
      </c>
      <c r="C6" s="62">
        <v>2019</v>
      </c>
      <c r="D6" s="63" t="s">
        <v>185</v>
      </c>
      <c r="E6" s="53" t="s">
        <v>133</v>
      </c>
      <c r="F6" s="53" t="s">
        <v>186</v>
      </c>
      <c r="G6" s="53" t="s">
        <v>42</v>
      </c>
      <c r="H6" s="53" t="s">
        <v>164</v>
      </c>
      <c r="I6" s="53" t="s">
        <v>159</v>
      </c>
      <c r="J6" s="53" t="s">
        <v>38</v>
      </c>
      <c r="K6" s="53" t="s">
        <v>161</v>
      </c>
      <c r="L6" s="53">
        <v>2</v>
      </c>
      <c r="N6" s="53">
        <v>1</v>
      </c>
      <c r="O6" s="53">
        <v>0.45</v>
      </c>
      <c r="P6" s="53">
        <v>0.35</v>
      </c>
      <c r="Q6" s="16">
        <f t="shared" si="0"/>
        <v>0.4</v>
      </c>
      <c r="R6" s="53">
        <v>14.8</v>
      </c>
      <c r="S6" s="53">
        <v>124</v>
      </c>
      <c r="T6" s="16">
        <f t="shared" si="1"/>
        <v>27</v>
      </c>
      <c r="U6" s="53">
        <v>105</v>
      </c>
      <c r="V6" s="16">
        <f t="shared" si="2"/>
        <v>2835</v>
      </c>
      <c r="W6" s="53">
        <v>2</v>
      </c>
      <c r="X6" s="53" t="s">
        <v>46</v>
      </c>
      <c r="Y6" s="53" t="s">
        <v>55</v>
      </c>
      <c r="Z6" s="53" t="s">
        <v>69</v>
      </c>
      <c r="AA6" s="53" t="s">
        <v>47</v>
      </c>
      <c r="AB6" s="53" t="s">
        <v>158</v>
      </c>
      <c r="AE6" s="22" t="s">
        <v>56</v>
      </c>
      <c r="AG6" s="71" t="s">
        <v>195</v>
      </c>
      <c r="AH6" s="71" t="s">
        <v>197</v>
      </c>
      <c r="AL6" s="72" t="s">
        <v>198</v>
      </c>
      <c r="AN6" s="72" t="s">
        <v>166</v>
      </c>
      <c r="AP6" s="23" t="s">
        <v>53</v>
      </c>
      <c r="AR6" s="23" t="s">
        <v>59</v>
      </c>
      <c r="AV6" s="23" t="s">
        <v>60</v>
      </c>
      <c r="AX6" s="24">
        <v>97</v>
      </c>
      <c r="AY6" s="25">
        <v>36</v>
      </c>
      <c r="AZ6" s="25">
        <v>99</v>
      </c>
      <c r="BA6" s="26">
        <v>33</v>
      </c>
    </row>
    <row r="7" spans="1:53" x14ac:dyDescent="0.15">
      <c r="A7" s="53" t="s">
        <v>41</v>
      </c>
      <c r="B7" s="53" t="s">
        <v>157</v>
      </c>
      <c r="C7" s="62">
        <v>2019</v>
      </c>
      <c r="D7" s="63" t="s">
        <v>185</v>
      </c>
      <c r="E7" s="53" t="s">
        <v>133</v>
      </c>
      <c r="F7" s="53" t="s">
        <v>186</v>
      </c>
      <c r="G7" s="53" t="s">
        <v>42</v>
      </c>
      <c r="H7" s="53" t="s">
        <v>164</v>
      </c>
      <c r="I7" s="53" t="s">
        <v>159</v>
      </c>
      <c r="J7" s="53" t="s">
        <v>38</v>
      </c>
      <c r="K7" s="53" t="s">
        <v>161</v>
      </c>
      <c r="L7" s="53">
        <v>3</v>
      </c>
      <c r="N7" s="53">
        <v>1</v>
      </c>
      <c r="O7" s="53">
        <v>0.3</v>
      </c>
      <c r="P7" s="53">
        <v>0.25</v>
      </c>
      <c r="Q7" s="16">
        <f t="shared" si="0"/>
        <v>0.27500000000000002</v>
      </c>
      <c r="R7" s="53">
        <v>13.2</v>
      </c>
      <c r="S7" s="53">
        <v>125</v>
      </c>
      <c r="T7" s="16">
        <f t="shared" si="1"/>
        <v>27</v>
      </c>
      <c r="U7" s="53">
        <v>105</v>
      </c>
      <c r="V7" s="16">
        <f t="shared" si="2"/>
        <v>2835</v>
      </c>
      <c r="W7" s="53">
        <v>2</v>
      </c>
      <c r="X7" s="53" t="s">
        <v>46</v>
      </c>
      <c r="Y7" s="53" t="s">
        <v>55</v>
      </c>
      <c r="Z7" s="53" t="s">
        <v>69</v>
      </c>
      <c r="AA7" s="53" t="s">
        <v>47</v>
      </c>
      <c r="AB7" s="53" t="s">
        <v>158</v>
      </c>
      <c r="AE7" s="22" t="s">
        <v>61</v>
      </c>
      <c r="AG7" s="71" t="s">
        <v>199</v>
      </c>
      <c r="AH7" s="71" t="s">
        <v>197</v>
      </c>
      <c r="AL7" s="73" t="s">
        <v>164</v>
      </c>
      <c r="AP7" s="23" t="s">
        <v>58</v>
      </c>
      <c r="AR7" s="23" t="s">
        <v>200</v>
      </c>
      <c r="AV7" s="23" t="s">
        <v>64</v>
      </c>
      <c r="AX7" s="24">
        <v>109</v>
      </c>
      <c r="AY7" s="25">
        <v>33</v>
      </c>
      <c r="AZ7" s="25">
        <v>113</v>
      </c>
      <c r="BA7" s="26">
        <v>30</v>
      </c>
    </row>
    <row r="8" spans="1:53" x14ac:dyDescent="0.15">
      <c r="A8" s="53" t="s">
        <v>41</v>
      </c>
      <c r="B8" s="53" t="s">
        <v>157</v>
      </c>
      <c r="C8" s="62">
        <v>2019</v>
      </c>
      <c r="D8" s="63" t="s">
        <v>185</v>
      </c>
      <c r="E8" s="53" t="s">
        <v>133</v>
      </c>
      <c r="F8" s="53" t="s">
        <v>186</v>
      </c>
      <c r="G8" s="53" t="s">
        <v>42</v>
      </c>
      <c r="H8" s="53" t="s">
        <v>160</v>
      </c>
      <c r="I8" s="53" t="s">
        <v>159</v>
      </c>
      <c r="J8" s="53" t="s">
        <v>38</v>
      </c>
      <c r="K8" s="53" t="s">
        <v>161</v>
      </c>
      <c r="L8" s="53">
        <v>1</v>
      </c>
      <c r="N8" s="53">
        <v>1</v>
      </c>
      <c r="O8" s="53">
        <v>0.7</v>
      </c>
      <c r="P8" s="53">
        <v>0.85</v>
      </c>
      <c r="Q8" s="16">
        <f t="shared" si="0"/>
        <v>0.77499999999999991</v>
      </c>
      <c r="R8" s="53">
        <v>12.8</v>
      </c>
      <c r="S8" s="53">
        <v>126</v>
      </c>
      <c r="T8" s="16">
        <f t="shared" si="1"/>
        <v>27</v>
      </c>
      <c r="U8" s="53">
        <v>105</v>
      </c>
      <c r="V8" s="16">
        <f t="shared" si="2"/>
        <v>2835</v>
      </c>
      <c r="W8" s="53">
        <v>6</v>
      </c>
      <c r="X8" s="53" t="s">
        <v>46</v>
      </c>
      <c r="Y8" s="53" t="s">
        <v>55</v>
      </c>
      <c r="Z8" s="53" t="s">
        <v>69</v>
      </c>
      <c r="AA8" s="53" t="s">
        <v>47</v>
      </c>
      <c r="AB8" s="53" t="s">
        <v>158</v>
      </c>
      <c r="AE8" s="22" t="s">
        <v>59</v>
      </c>
      <c r="AG8" s="71" t="s">
        <v>201</v>
      </c>
      <c r="AH8" s="71" t="s">
        <v>202</v>
      </c>
      <c r="AL8" s="73" t="s">
        <v>160</v>
      </c>
      <c r="AP8" s="23" t="s">
        <v>62</v>
      </c>
      <c r="AR8" s="23" t="s">
        <v>81</v>
      </c>
      <c r="AV8" s="23" t="s">
        <v>97</v>
      </c>
      <c r="AX8" s="24">
        <v>119</v>
      </c>
      <c r="AY8" s="25">
        <v>30</v>
      </c>
      <c r="AZ8" s="25">
        <v>121</v>
      </c>
      <c r="BA8" s="26">
        <v>27</v>
      </c>
    </row>
    <row r="9" spans="1:53" x14ac:dyDescent="0.15">
      <c r="A9" s="53" t="s">
        <v>41</v>
      </c>
      <c r="B9" s="53" t="s">
        <v>157</v>
      </c>
      <c r="C9" s="62">
        <v>2019</v>
      </c>
      <c r="D9" s="63" t="s">
        <v>185</v>
      </c>
      <c r="E9" s="53" t="s">
        <v>133</v>
      </c>
      <c r="F9" s="53" t="s">
        <v>186</v>
      </c>
      <c r="G9" s="53" t="s">
        <v>42</v>
      </c>
      <c r="H9" s="53" t="s">
        <v>160</v>
      </c>
      <c r="I9" s="53" t="s">
        <v>159</v>
      </c>
      <c r="J9" s="53" t="s">
        <v>38</v>
      </c>
      <c r="K9" s="53" t="s">
        <v>161</v>
      </c>
      <c r="L9" s="53">
        <v>2</v>
      </c>
      <c r="N9" s="53">
        <v>1</v>
      </c>
      <c r="O9" s="53">
        <v>0.5</v>
      </c>
      <c r="P9" s="53">
        <v>0.65</v>
      </c>
      <c r="Q9" s="16">
        <f t="shared" si="0"/>
        <v>0.57499999999999996</v>
      </c>
      <c r="R9" s="53">
        <v>14.7</v>
      </c>
      <c r="S9" s="53">
        <v>127</v>
      </c>
      <c r="T9" s="16">
        <f t="shared" si="1"/>
        <v>27</v>
      </c>
      <c r="U9" s="53">
        <v>105</v>
      </c>
      <c r="V9" s="16">
        <f t="shared" si="2"/>
        <v>2835</v>
      </c>
      <c r="W9" s="53">
        <v>6</v>
      </c>
      <c r="X9" s="53" t="s">
        <v>46</v>
      </c>
      <c r="Y9" s="53" t="s">
        <v>55</v>
      </c>
      <c r="Z9" s="53" t="s">
        <v>69</v>
      </c>
      <c r="AA9" s="53" t="s">
        <v>47</v>
      </c>
      <c r="AB9" s="53" t="s">
        <v>158</v>
      </c>
      <c r="AE9" s="22" t="s">
        <v>203</v>
      </c>
      <c r="AG9" s="71" t="s">
        <v>204</v>
      </c>
      <c r="AH9" s="71" t="s">
        <v>205</v>
      </c>
      <c r="AL9" s="72"/>
      <c r="AP9" s="23" t="s">
        <v>95</v>
      </c>
      <c r="AR9" s="23" t="s">
        <v>206</v>
      </c>
      <c r="AV9" s="23" t="s">
        <v>102</v>
      </c>
      <c r="AX9" s="24">
        <v>128</v>
      </c>
      <c r="AY9" s="25">
        <v>27</v>
      </c>
      <c r="AZ9" s="25">
        <v>129</v>
      </c>
      <c r="BA9" s="26">
        <v>25</v>
      </c>
    </row>
    <row r="10" spans="1:53" x14ac:dyDescent="0.15">
      <c r="A10" s="53" t="s">
        <v>41</v>
      </c>
      <c r="B10" s="53" t="s">
        <v>157</v>
      </c>
      <c r="C10" s="62">
        <v>2019</v>
      </c>
      <c r="D10" s="63" t="s">
        <v>185</v>
      </c>
      <c r="E10" s="53" t="s">
        <v>133</v>
      </c>
      <c r="F10" s="53" t="s">
        <v>186</v>
      </c>
      <c r="G10" s="53" t="s">
        <v>42</v>
      </c>
      <c r="H10" s="53" t="s">
        <v>160</v>
      </c>
      <c r="I10" s="53" t="s">
        <v>159</v>
      </c>
      <c r="J10" s="53" t="s">
        <v>38</v>
      </c>
      <c r="K10" s="53" t="s">
        <v>161</v>
      </c>
      <c r="L10" s="53">
        <v>3</v>
      </c>
      <c r="N10" s="53">
        <v>1</v>
      </c>
      <c r="O10" s="53">
        <v>0.65</v>
      </c>
      <c r="P10" s="53">
        <v>0.7</v>
      </c>
      <c r="Q10" s="16">
        <f t="shared" si="0"/>
        <v>0.67500000000000004</v>
      </c>
      <c r="R10" s="53">
        <v>16.5</v>
      </c>
      <c r="S10" s="53">
        <v>125</v>
      </c>
      <c r="T10" s="16">
        <f t="shared" si="1"/>
        <v>27</v>
      </c>
      <c r="U10" s="53">
        <v>105</v>
      </c>
      <c r="V10" s="16">
        <f t="shared" si="2"/>
        <v>2835</v>
      </c>
      <c r="W10" s="53">
        <v>6</v>
      </c>
      <c r="X10" s="53" t="s">
        <v>46</v>
      </c>
      <c r="Y10" s="53" t="s">
        <v>55</v>
      </c>
      <c r="Z10" s="53" t="s">
        <v>69</v>
      </c>
      <c r="AA10" s="53" t="s">
        <v>47</v>
      </c>
      <c r="AB10" s="53" t="s">
        <v>158</v>
      </c>
      <c r="AE10" s="22" t="s">
        <v>207</v>
      </c>
      <c r="AG10" s="71" t="s">
        <v>201</v>
      </c>
      <c r="AH10" s="71" t="s">
        <v>208</v>
      </c>
      <c r="AL10" s="73"/>
      <c r="AP10" s="23" t="s">
        <v>100</v>
      </c>
      <c r="AR10" s="23" t="s">
        <v>209</v>
      </c>
      <c r="AV10" s="23" t="s">
        <v>106</v>
      </c>
      <c r="AX10" s="24">
        <v>138</v>
      </c>
      <c r="AY10" s="25">
        <v>25</v>
      </c>
      <c r="AZ10" s="25">
        <v>138</v>
      </c>
      <c r="BA10" s="26">
        <v>22</v>
      </c>
    </row>
    <row r="11" spans="1:53" x14ac:dyDescent="0.15">
      <c r="A11" s="53" t="s">
        <v>41</v>
      </c>
      <c r="B11" s="53" t="s">
        <v>157</v>
      </c>
      <c r="C11" s="62">
        <v>2019</v>
      </c>
      <c r="D11" s="63" t="s">
        <v>185</v>
      </c>
      <c r="E11" s="53" t="s">
        <v>133</v>
      </c>
      <c r="F11" s="53" t="s">
        <v>186</v>
      </c>
      <c r="G11" s="53" t="s">
        <v>42</v>
      </c>
      <c r="H11" s="53" t="s">
        <v>160</v>
      </c>
      <c r="I11" s="53" t="s">
        <v>159</v>
      </c>
      <c r="J11" s="53" t="s">
        <v>38</v>
      </c>
      <c r="K11" s="53" t="s">
        <v>161</v>
      </c>
      <c r="L11" s="53">
        <v>1</v>
      </c>
      <c r="N11" s="53">
        <v>16</v>
      </c>
      <c r="O11" s="53">
        <v>0.25</v>
      </c>
      <c r="P11" s="53">
        <v>0.3</v>
      </c>
      <c r="Q11" s="16">
        <f t="shared" si="0"/>
        <v>0.27500000000000002</v>
      </c>
      <c r="R11" s="53">
        <v>15.5</v>
      </c>
      <c r="S11" s="53">
        <v>114</v>
      </c>
      <c r="T11" s="16">
        <f t="shared" si="1"/>
        <v>30</v>
      </c>
      <c r="U11" s="53">
        <v>1382</v>
      </c>
      <c r="V11" s="16">
        <f t="shared" si="2"/>
        <v>2591.25</v>
      </c>
      <c r="W11" s="53">
        <v>2</v>
      </c>
      <c r="X11" s="53" t="s">
        <v>46</v>
      </c>
      <c r="Y11" s="53" t="s">
        <v>55</v>
      </c>
      <c r="Z11" s="53" t="s">
        <v>69</v>
      </c>
      <c r="AA11" s="53" t="s">
        <v>47</v>
      </c>
      <c r="AB11" s="53" t="s">
        <v>158</v>
      </c>
      <c r="AE11" s="22" t="s">
        <v>68</v>
      </c>
      <c r="AG11" s="71" t="s">
        <v>210</v>
      </c>
      <c r="AH11" s="71" t="s">
        <v>211</v>
      </c>
      <c r="AL11" s="73"/>
      <c r="AP11" s="23" t="s">
        <v>104</v>
      </c>
      <c r="AR11" s="23" t="s">
        <v>212</v>
      </c>
      <c r="AV11" s="23" t="s">
        <v>69</v>
      </c>
      <c r="AX11" s="24">
        <v>151</v>
      </c>
      <c r="AY11" s="25">
        <v>22</v>
      </c>
      <c r="AZ11" s="25">
        <v>152</v>
      </c>
      <c r="BA11" s="26">
        <v>18</v>
      </c>
    </row>
    <row r="12" spans="1:53" x14ac:dyDescent="0.15">
      <c r="A12" s="53" t="s">
        <v>41</v>
      </c>
      <c r="B12" s="53" t="s">
        <v>157</v>
      </c>
      <c r="C12" s="62">
        <v>2019</v>
      </c>
      <c r="D12" s="63" t="s">
        <v>185</v>
      </c>
      <c r="E12" s="53" t="s">
        <v>133</v>
      </c>
      <c r="F12" s="53" t="s">
        <v>186</v>
      </c>
      <c r="G12" s="53" t="s">
        <v>42</v>
      </c>
      <c r="H12" s="53" t="s">
        <v>160</v>
      </c>
      <c r="I12" s="53" t="s">
        <v>159</v>
      </c>
      <c r="J12" s="53" t="s">
        <v>38</v>
      </c>
      <c r="K12" s="53" t="s">
        <v>161</v>
      </c>
      <c r="L12" s="53">
        <v>2</v>
      </c>
      <c r="N12" s="53">
        <v>16</v>
      </c>
      <c r="O12" s="53">
        <v>0.35</v>
      </c>
      <c r="P12" s="53">
        <v>0.3</v>
      </c>
      <c r="Q12" s="16">
        <f t="shared" si="0"/>
        <v>0.32499999999999996</v>
      </c>
      <c r="R12" s="53">
        <v>14</v>
      </c>
      <c r="S12" s="53">
        <v>113</v>
      </c>
      <c r="T12" s="16">
        <f t="shared" si="1"/>
        <v>30</v>
      </c>
      <c r="U12" s="53">
        <v>1382</v>
      </c>
      <c r="V12" s="16">
        <f t="shared" si="2"/>
        <v>2591.25</v>
      </c>
      <c r="W12" s="53">
        <v>2</v>
      </c>
      <c r="X12" s="53" t="s">
        <v>46</v>
      </c>
      <c r="Y12" s="53" t="s">
        <v>55</v>
      </c>
      <c r="Z12" s="53" t="s">
        <v>69</v>
      </c>
      <c r="AA12" s="53" t="s">
        <v>47</v>
      </c>
      <c r="AB12" s="53" t="s">
        <v>158</v>
      </c>
      <c r="AE12" s="22" t="s">
        <v>213</v>
      </c>
      <c r="AG12" s="22"/>
      <c r="AH12" s="22"/>
      <c r="AL12" s="73"/>
      <c r="AP12" s="23" t="s">
        <v>67</v>
      </c>
      <c r="AR12" s="23" t="s">
        <v>214</v>
      </c>
      <c r="AV12" s="23" t="s">
        <v>72</v>
      </c>
      <c r="AX12" s="31">
        <v>180</v>
      </c>
      <c r="AY12" s="32">
        <v>18</v>
      </c>
      <c r="AZ12" s="32">
        <v>181</v>
      </c>
      <c r="BA12" s="33">
        <v>16</v>
      </c>
    </row>
    <row r="13" spans="1:53" x14ac:dyDescent="0.15">
      <c r="A13" s="53" t="s">
        <v>41</v>
      </c>
      <c r="B13" s="53" t="s">
        <v>157</v>
      </c>
      <c r="C13" s="62">
        <v>2019</v>
      </c>
      <c r="D13" s="63" t="s">
        <v>185</v>
      </c>
      <c r="E13" s="53" t="s">
        <v>133</v>
      </c>
      <c r="F13" s="53" t="s">
        <v>186</v>
      </c>
      <c r="G13" s="53" t="s">
        <v>42</v>
      </c>
      <c r="H13" s="53" t="s">
        <v>160</v>
      </c>
      <c r="I13" s="53" t="s">
        <v>159</v>
      </c>
      <c r="J13" s="53" t="s">
        <v>38</v>
      </c>
      <c r="K13" s="53" t="s">
        <v>161</v>
      </c>
      <c r="L13" s="53">
        <v>3</v>
      </c>
      <c r="N13" s="53">
        <v>16</v>
      </c>
      <c r="O13" s="53">
        <v>0.25</v>
      </c>
      <c r="P13" s="53">
        <v>0.3</v>
      </c>
      <c r="Q13" s="16">
        <f t="shared" si="0"/>
        <v>0.27500000000000002</v>
      </c>
      <c r="R13" s="53">
        <v>16.2</v>
      </c>
      <c r="S13" s="53">
        <v>116</v>
      </c>
      <c r="T13" s="16">
        <f t="shared" si="1"/>
        <v>30</v>
      </c>
      <c r="U13" s="53">
        <v>1382</v>
      </c>
      <c r="V13" s="16">
        <f t="shared" si="2"/>
        <v>2591.25</v>
      </c>
      <c r="W13" s="53">
        <v>2</v>
      </c>
      <c r="X13" s="53" t="s">
        <v>46</v>
      </c>
      <c r="Y13" s="53" t="s">
        <v>55</v>
      </c>
      <c r="Z13" s="53" t="s">
        <v>69</v>
      </c>
      <c r="AA13" s="53" t="s">
        <v>47</v>
      </c>
      <c r="AB13" s="53" t="s">
        <v>158</v>
      </c>
      <c r="AE13" s="22" t="s">
        <v>215</v>
      </c>
      <c r="AG13" s="23"/>
      <c r="AH13" s="23"/>
      <c r="AP13" s="23" t="s">
        <v>71</v>
      </c>
      <c r="AR13" s="23" t="s">
        <v>207</v>
      </c>
      <c r="AV13" s="23" t="s">
        <v>75</v>
      </c>
    </row>
    <row r="14" spans="1:53" x14ac:dyDescent="0.15">
      <c r="A14" s="53" t="s">
        <v>41</v>
      </c>
      <c r="B14" s="53" t="s">
        <v>157</v>
      </c>
      <c r="C14" s="62">
        <v>2019</v>
      </c>
      <c r="D14" s="63" t="s">
        <v>185</v>
      </c>
      <c r="E14" s="53" t="s">
        <v>188</v>
      </c>
      <c r="F14" s="53" t="s">
        <v>186</v>
      </c>
      <c r="G14" s="53" t="s">
        <v>42</v>
      </c>
      <c r="H14" s="53" t="s">
        <v>160</v>
      </c>
      <c r="I14" s="53" t="s">
        <v>159</v>
      </c>
      <c r="J14" s="53" t="s">
        <v>38</v>
      </c>
      <c r="K14" s="53" t="s">
        <v>161</v>
      </c>
      <c r="L14" s="53">
        <v>1</v>
      </c>
      <c r="N14" s="53">
        <v>1</v>
      </c>
      <c r="O14" s="53">
        <v>0.65</v>
      </c>
      <c r="P14" s="53">
        <v>0.45</v>
      </c>
      <c r="Q14" s="74">
        <f t="shared" si="0"/>
        <v>0.55000000000000004</v>
      </c>
      <c r="R14" s="53">
        <v>14.5</v>
      </c>
      <c r="S14" s="53">
        <v>125</v>
      </c>
      <c r="T14" s="16">
        <f t="shared" si="1"/>
        <v>27</v>
      </c>
      <c r="U14" s="53">
        <v>149</v>
      </c>
      <c r="V14" s="16">
        <f t="shared" si="2"/>
        <v>4023</v>
      </c>
      <c r="W14" s="53">
        <v>5</v>
      </c>
      <c r="X14" s="53" t="s">
        <v>46</v>
      </c>
      <c r="Y14" s="53" t="s">
        <v>55</v>
      </c>
      <c r="Z14" s="53" t="s">
        <v>69</v>
      </c>
      <c r="AA14" s="53" t="s">
        <v>78</v>
      </c>
      <c r="AB14" s="53" t="s">
        <v>158</v>
      </c>
      <c r="AE14" s="22" t="s">
        <v>96</v>
      </c>
      <c r="AG14" s="23"/>
      <c r="AH14" s="23"/>
      <c r="AP14" s="23" t="s">
        <v>74</v>
      </c>
      <c r="AR14" s="23" t="s">
        <v>216</v>
      </c>
      <c r="AV14" s="23" t="s">
        <v>78</v>
      </c>
    </row>
    <row r="15" spans="1:53" x14ac:dyDescent="0.15">
      <c r="A15" s="53" t="s">
        <v>41</v>
      </c>
      <c r="B15" s="53" t="s">
        <v>157</v>
      </c>
      <c r="C15" s="62">
        <v>2019</v>
      </c>
      <c r="D15" s="63" t="s">
        <v>185</v>
      </c>
      <c r="E15" s="53" t="s">
        <v>188</v>
      </c>
      <c r="F15" s="53" t="s">
        <v>186</v>
      </c>
      <c r="G15" s="53" t="s">
        <v>42</v>
      </c>
      <c r="H15" s="53" t="s">
        <v>160</v>
      </c>
      <c r="I15" s="53" t="s">
        <v>159</v>
      </c>
      <c r="J15" s="53" t="s">
        <v>38</v>
      </c>
      <c r="K15" s="53" t="s">
        <v>161</v>
      </c>
      <c r="L15" s="53">
        <v>2</v>
      </c>
      <c r="N15" s="53">
        <v>1</v>
      </c>
      <c r="O15" s="53">
        <v>0.5</v>
      </c>
      <c r="P15" s="53">
        <v>0.5</v>
      </c>
      <c r="Q15" s="74">
        <f t="shared" si="0"/>
        <v>0.5</v>
      </c>
      <c r="R15" s="53">
        <v>14.1</v>
      </c>
      <c r="S15" s="53">
        <v>126</v>
      </c>
      <c r="T15" s="16">
        <f t="shared" si="1"/>
        <v>27</v>
      </c>
      <c r="U15" s="53">
        <v>149</v>
      </c>
      <c r="V15" s="16">
        <f t="shared" si="2"/>
        <v>4023</v>
      </c>
      <c r="W15" s="53">
        <v>5</v>
      </c>
      <c r="X15" s="53" t="s">
        <v>46</v>
      </c>
      <c r="Y15" s="53" t="s">
        <v>55</v>
      </c>
      <c r="Z15" s="53" t="s">
        <v>69</v>
      </c>
      <c r="AA15" s="53" t="s">
        <v>78</v>
      </c>
      <c r="AB15" s="53" t="s">
        <v>158</v>
      </c>
      <c r="AE15" s="22" t="s">
        <v>217</v>
      </c>
      <c r="AG15" s="23"/>
      <c r="AH15" s="23"/>
      <c r="AP15" s="23" t="s">
        <v>77</v>
      </c>
      <c r="AR15" s="23" t="s">
        <v>80</v>
      </c>
      <c r="AV15" s="23" t="s">
        <v>107</v>
      </c>
    </row>
    <row r="16" spans="1:53" x14ac:dyDescent="0.15">
      <c r="A16" s="53" t="s">
        <v>41</v>
      </c>
      <c r="B16" s="53" t="s">
        <v>157</v>
      </c>
      <c r="C16" s="62">
        <v>2019</v>
      </c>
      <c r="D16" s="63" t="s">
        <v>185</v>
      </c>
      <c r="E16" s="53" t="s">
        <v>188</v>
      </c>
      <c r="F16" s="53" t="s">
        <v>186</v>
      </c>
      <c r="G16" s="53" t="s">
        <v>42</v>
      </c>
      <c r="H16" s="53" t="s">
        <v>160</v>
      </c>
      <c r="I16" s="53" t="s">
        <v>159</v>
      </c>
      <c r="J16" s="53" t="s">
        <v>38</v>
      </c>
      <c r="K16" s="53" t="s">
        <v>161</v>
      </c>
      <c r="L16" s="53">
        <v>3</v>
      </c>
      <c r="N16" s="53">
        <v>1</v>
      </c>
      <c r="O16" s="53">
        <v>0.4</v>
      </c>
      <c r="P16" s="53">
        <v>0.5</v>
      </c>
      <c r="Q16" s="74">
        <f t="shared" si="0"/>
        <v>0.45</v>
      </c>
      <c r="R16" s="53">
        <v>16.5</v>
      </c>
      <c r="S16" s="53">
        <v>122</v>
      </c>
      <c r="T16" s="16">
        <f t="shared" si="1"/>
        <v>27</v>
      </c>
      <c r="U16" s="53">
        <v>149</v>
      </c>
      <c r="V16" s="16">
        <f t="shared" si="2"/>
        <v>4023</v>
      </c>
      <c r="W16" s="53">
        <v>5</v>
      </c>
      <c r="X16" s="53" t="s">
        <v>46</v>
      </c>
      <c r="Y16" s="53" t="s">
        <v>55</v>
      </c>
      <c r="Z16" s="53" t="s">
        <v>69</v>
      </c>
      <c r="AA16" s="53" t="s">
        <v>78</v>
      </c>
      <c r="AB16" s="53" t="s">
        <v>158</v>
      </c>
      <c r="AE16" s="22" t="s">
        <v>218</v>
      </c>
      <c r="AG16" s="28"/>
      <c r="AH16" s="28"/>
      <c r="AP16" s="23" t="s">
        <v>80</v>
      </c>
      <c r="AR16" s="23" t="s">
        <v>63</v>
      </c>
      <c r="AV16" s="23" t="s">
        <v>84</v>
      </c>
    </row>
    <row r="17" spans="1:48" x14ac:dyDescent="0.15">
      <c r="A17" s="53" t="s">
        <v>41</v>
      </c>
      <c r="B17" s="53" t="s">
        <v>157</v>
      </c>
      <c r="C17" s="62">
        <v>2019</v>
      </c>
      <c r="D17" s="63" t="s">
        <v>185</v>
      </c>
      <c r="E17" s="53" t="s">
        <v>188</v>
      </c>
      <c r="F17" s="53" t="s">
        <v>186</v>
      </c>
      <c r="G17" s="53" t="s">
        <v>42</v>
      </c>
      <c r="H17" s="53" t="s">
        <v>160</v>
      </c>
      <c r="I17" s="53" t="s">
        <v>159</v>
      </c>
      <c r="J17" s="53" t="s">
        <v>38</v>
      </c>
      <c r="K17" s="53" t="s">
        <v>161</v>
      </c>
      <c r="L17" s="53">
        <v>1</v>
      </c>
      <c r="N17" s="53">
        <v>4</v>
      </c>
      <c r="O17" s="53">
        <v>0.25</v>
      </c>
      <c r="P17" s="53">
        <v>0.35</v>
      </c>
      <c r="Q17" s="75">
        <f t="shared" si="0"/>
        <v>0.3</v>
      </c>
      <c r="R17" s="53">
        <v>14.5</v>
      </c>
      <c r="S17" s="53">
        <v>124</v>
      </c>
      <c r="T17" s="16">
        <f t="shared" si="1"/>
        <v>27</v>
      </c>
      <c r="U17" s="53">
        <v>429</v>
      </c>
      <c r="V17" s="16">
        <f t="shared" si="2"/>
        <v>2895.75</v>
      </c>
      <c r="W17" s="53">
        <v>2</v>
      </c>
      <c r="X17" s="53" t="s">
        <v>46</v>
      </c>
      <c r="Y17" s="53" t="s">
        <v>55</v>
      </c>
      <c r="Z17" s="53" t="s">
        <v>69</v>
      </c>
      <c r="AA17" s="53" t="s">
        <v>78</v>
      </c>
      <c r="AB17" s="53" t="s">
        <v>158</v>
      </c>
      <c r="AE17" s="22" t="s">
        <v>219</v>
      </c>
      <c r="AP17" s="27" t="s">
        <v>220</v>
      </c>
      <c r="AR17" s="23" t="s">
        <v>96</v>
      </c>
      <c r="AV17" s="23" t="s">
        <v>86</v>
      </c>
    </row>
    <row r="18" spans="1:48" x14ac:dyDescent="0.15">
      <c r="A18" s="53" t="s">
        <v>41</v>
      </c>
      <c r="B18" s="53" t="s">
        <v>157</v>
      </c>
      <c r="C18" s="62">
        <v>2019</v>
      </c>
      <c r="D18" s="63" t="s">
        <v>185</v>
      </c>
      <c r="E18" s="53" t="s">
        <v>188</v>
      </c>
      <c r="F18" s="53" t="s">
        <v>186</v>
      </c>
      <c r="G18" s="53" t="s">
        <v>42</v>
      </c>
      <c r="H18" s="53" t="s">
        <v>160</v>
      </c>
      <c r="I18" s="53" t="s">
        <v>159</v>
      </c>
      <c r="J18" s="53" t="s">
        <v>38</v>
      </c>
      <c r="K18" s="53" t="s">
        <v>161</v>
      </c>
      <c r="L18" s="53">
        <v>2</v>
      </c>
      <c r="N18" s="53">
        <v>4</v>
      </c>
      <c r="O18" s="53">
        <v>0.25</v>
      </c>
      <c r="P18" s="53">
        <v>0.4</v>
      </c>
      <c r="Q18" s="75">
        <f t="shared" si="0"/>
        <v>0.32500000000000001</v>
      </c>
      <c r="R18" s="53">
        <v>15</v>
      </c>
      <c r="S18" s="53">
        <v>123</v>
      </c>
      <c r="T18" s="16">
        <f t="shared" si="1"/>
        <v>27</v>
      </c>
      <c r="U18" s="53">
        <v>429</v>
      </c>
      <c r="V18" s="16">
        <f t="shared" si="2"/>
        <v>2895.75</v>
      </c>
      <c r="W18" s="53">
        <v>2</v>
      </c>
      <c r="X18" s="53" t="s">
        <v>46</v>
      </c>
      <c r="Y18" s="53" t="s">
        <v>55</v>
      </c>
      <c r="Z18" s="53" t="s">
        <v>69</v>
      </c>
      <c r="AA18" s="53" t="s">
        <v>78</v>
      </c>
      <c r="AB18" s="53" t="s">
        <v>158</v>
      </c>
      <c r="AE18" s="22" t="s">
        <v>212</v>
      </c>
      <c r="AP18" s="27" t="s">
        <v>221</v>
      </c>
      <c r="AR18" s="23" t="s">
        <v>101</v>
      </c>
      <c r="AV18" s="23" t="s">
        <v>88</v>
      </c>
    </row>
    <row r="19" spans="1:48" x14ac:dyDescent="0.15">
      <c r="A19" s="53" t="s">
        <v>41</v>
      </c>
      <c r="B19" s="53" t="s">
        <v>157</v>
      </c>
      <c r="C19" s="62">
        <v>2019</v>
      </c>
      <c r="D19" s="63" t="s">
        <v>185</v>
      </c>
      <c r="E19" s="53" t="s">
        <v>188</v>
      </c>
      <c r="F19" s="53" t="s">
        <v>186</v>
      </c>
      <c r="G19" s="53" t="s">
        <v>42</v>
      </c>
      <c r="H19" s="53" t="s">
        <v>160</v>
      </c>
      <c r="I19" s="53" t="s">
        <v>159</v>
      </c>
      <c r="J19" s="53" t="s">
        <v>38</v>
      </c>
      <c r="K19" s="53" t="s">
        <v>161</v>
      </c>
      <c r="L19" s="53">
        <v>3</v>
      </c>
      <c r="N19" s="53">
        <v>4</v>
      </c>
      <c r="O19" s="53">
        <v>0.25</v>
      </c>
      <c r="P19" s="53">
        <v>0.35</v>
      </c>
      <c r="Q19" s="75">
        <f t="shared" si="0"/>
        <v>0.3</v>
      </c>
      <c r="R19" s="53">
        <v>14.3</v>
      </c>
      <c r="S19" s="53">
        <v>125</v>
      </c>
      <c r="T19" s="16">
        <f t="shared" si="1"/>
        <v>27</v>
      </c>
      <c r="U19" s="53">
        <v>429</v>
      </c>
      <c r="V19" s="16">
        <f t="shared" si="2"/>
        <v>2895.75</v>
      </c>
      <c r="W19" s="53">
        <v>2</v>
      </c>
      <c r="X19" s="53" t="s">
        <v>46</v>
      </c>
      <c r="Y19" s="53" t="s">
        <v>55</v>
      </c>
      <c r="Z19" s="53" t="s">
        <v>69</v>
      </c>
      <c r="AA19" s="53" t="s">
        <v>78</v>
      </c>
      <c r="AB19" s="53" t="s">
        <v>158</v>
      </c>
      <c r="AE19" s="35" t="s">
        <v>206</v>
      </c>
      <c r="AP19" s="27" t="s">
        <v>222</v>
      </c>
      <c r="AR19" s="23" t="s">
        <v>223</v>
      </c>
      <c r="AV19" s="23" t="s">
        <v>90</v>
      </c>
    </row>
    <row r="20" spans="1:48" x14ac:dyDescent="0.15">
      <c r="A20" s="53" t="s">
        <v>41</v>
      </c>
      <c r="B20" s="53" t="s">
        <v>157</v>
      </c>
      <c r="C20" s="62">
        <v>2019</v>
      </c>
      <c r="D20" s="63" t="s">
        <v>185</v>
      </c>
      <c r="E20" s="53" t="s">
        <v>188</v>
      </c>
      <c r="F20" s="53" t="s">
        <v>186</v>
      </c>
      <c r="G20" s="53" t="s">
        <v>42</v>
      </c>
      <c r="H20" s="53" t="s">
        <v>160</v>
      </c>
      <c r="I20" s="53" t="s">
        <v>159</v>
      </c>
      <c r="J20" s="53" t="s">
        <v>38</v>
      </c>
      <c r="K20" s="53" t="s">
        <v>161</v>
      </c>
      <c r="L20" s="53">
        <v>1</v>
      </c>
      <c r="N20" s="53">
        <v>6</v>
      </c>
      <c r="O20" s="53">
        <v>0.35</v>
      </c>
      <c r="P20" s="73">
        <v>0.4</v>
      </c>
      <c r="Q20" s="75">
        <f t="shared" si="0"/>
        <v>0.375</v>
      </c>
      <c r="R20" s="53">
        <v>13.4</v>
      </c>
      <c r="S20" s="53">
        <v>120</v>
      </c>
      <c r="T20" s="16">
        <f t="shared" si="1"/>
        <v>30</v>
      </c>
      <c r="U20" s="53">
        <v>626</v>
      </c>
      <c r="V20" s="16">
        <f t="shared" si="2"/>
        <v>3130</v>
      </c>
      <c r="W20" s="53">
        <v>2</v>
      </c>
      <c r="X20" s="53" t="s">
        <v>46</v>
      </c>
      <c r="Y20" s="53" t="s">
        <v>55</v>
      </c>
      <c r="Z20" s="53" t="s">
        <v>69</v>
      </c>
      <c r="AA20" s="53" t="s">
        <v>78</v>
      </c>
      <c r="AB20" s="53" t="s">
        <v>158</v>
      </c>
      <c r="AE20" s="35"/>
      <c r="AP20" s="27" t="s">
        <v>224</v>
      </c>
      <c r="AR20" s="23" t="s">
        <v>105</v>
      </c>
      <c r="AV20" s="27" t="s">
        <v>225</v>
      </c>
    </row>
    <row r="21" spans="1:48" x14ac:dyDescent="0.15">
      <c r="A21" s="53" t="s">
        <v>41</v>
      </c>
      <c r="B21" s="53" t="s">
        <v>157</v>
      </c>
      <c r="C21" s="62">
        <v>2019</v>
      </c>
      <c r="D21" s="63" t="s">
        <v>185</v>
      </c>
      <c r="E21" s="53" t="s">
        <v>188</v>
      </c>
      <c r="F21" s="53" t="s">
        <v>186</v>
      </c>
      <c r="G21" s="53" t="s">
        <v>42</v>
      </c>
      <c r="H21" s="53" t="s">
        <v>160</v>
      </c>
      <c r="I21" s="53" t="s">
        <v>159</v>
      </c>
      <c r="J21" s="53" t="s">
        <v>38</v>
      </c>
      <c r="K21" s="53" t="s">
        <v>161</v>
      </c>
      <c r="L21" s="53">
        <v>2</v>
      </c>
      <c r="N21" s="53">
        <v>6</v>
      </c>
      <c r="O21" s="53">
        <v>0.35</v>
      </c>
      <c r="P21" s="53">
        <v>0.4</v>
      </c>
      <c r="Q21" s="75">
        <f t="shared" si="0"/>
        <v>0.375</v>
      </c>
      <c r="R21" s="53">
        <v>16</v>
      </c>
      <c r="S21" s="53">
        <v>118</v>
      </c>
      <c r="T21" s="16">
        <f t="shared" si="1"/>
        <v>30</v>
      </c>
      <c r="U21" s="53">
        <v>626</v>
      </c>
      <c r="V21" s="16">
        <f t="shared" si="2"/>
        <v>3130</v>
      </c>
      <c r="W21" s="53">
        <v>2</v>
      </c>
      <c r="X21" s="53" t="s">
        <v>46</v>
      </c>
      <c r="Y21" s="53" t="s">
        <v>55</v>
      </c>
      <c r="Z21" s="53" t="s">
        <v>69</v>
      </c>
      <c r="AA21" s="53" t="s">
        <v>78</v>
      </c>
      <c r="AB21" s="53" t="s">
        <v>158</v>
      </c>
      <c r="AE21" s="28"/>
      <c r="AP21" s="27" t="s">
        <v>226</v>
      </c>
      <c r="AR21" s="23" t="s">
        <v>68</v>
      </c>
      <c r="AV21" s="27" t="s">
        <v>227</v>
      </c>
    </row>
    <row r="22" spans="1:48" x14ac:dyDescent="0.15">
      <c r="A22" s="53" t="s">
        <v>41</v>
      </c>
      <c r="B22" s="53" t="s">
        <v>157</v>
      </c>
      <c r="C22" s="62">
        <v>2019</v>
      </c>
      <c r="D22" s="63" t="s">
        <v>185</v>
      </c>
      <c r="E22" s="53" t="s">
        <v>188</v>
      </c>
      <c r="F22" s="53" t="s">
        <v>186</v>
      </c>
      <c r="G22" s="53" t="s">
        <v>42</v>
      </c>
      <c r="H22" s="53" t="s">
        <v>160</v>
      </c>
      <c r="I22" s="53" t="s">
        <v>159</v>
      </c>
      <c r="J22" s="53" t="s">
        <v>38</v>
      </c>
      <c r="K22" s="53" t="s">
        <v>161</v>
      </c>
      <c r="L22" s="53">
        <v>3</v>
      </c>
      <c r="N22" s="53">
        <v>6</v>
      </c>
      <c r="O22" s="53">
        <v>0.5</v>
      </c>
      <c r="P22" s="53">
        <v>0.5</v>
      </c>
      <c r="Q22" s="75">
        <f t="shared" si="0"/>
        <v>0.5</v>
      </c>
      <c r="R22" s="53">
        <v>13.9</v>
      </c>
      <c r="S22" s="53">
        <v>115</v>
      </c>
      <c r="T22" s="16">
        <f t="shared" si="1"/>
        <v>30</v>
      </c>
      <c r="U22" s="53">
        <v>626</v>
      </c>
      <c r="V22" s="16">
        <f t="shared" si="2"/>
        <v>3130</v>
      </c>
      <c r="W22" s="53">
        <v>2</v>
      </c>
      <c r="X22" s="53" t="s">
        <v>46</v>
      </c>
      <c r="Y22" s="53" t="s">
        <v>55</v>
      </c>
      <c r="Z22" s="53" t="s">
        <v>69</v>
      </c>
      <c r="AA22" s="53" t="s">
        <v>78</v>
      </c>
      <c r="AB22" s="53" t="s">
        <v>158</v>
      </c>
      <c r="AP22" s="27" t="s">
        <v>228</v>
      </c>
      <c r="AR22" s="23" t="s">
        <v>83</v>
      </c>
      <c r="AV22" s="27"/>
    </row>
    <row r="23" spans="1:48" x14ac:dyDescent="0.15">
      <c r="A23" s="53" t="s">
        <v>41</v>
      </c>
      <c r="B23" s="53" t="s">
        <v>157</v>
      </c>
      <c r="C23" s="62">
        <v>2019</v>
      </c>
      <c r="D23" s="63" t="s">
        <v>185</v>
      </c>
      <c r="E23" s="53" t="s">
        <v>188</v>
      </c>
      <c r="F23" s="53" t="s">
        <v>186</v>
      </c>
      <c r="G23" s="53" t="s">
        <v>42</v>
      </c>
      <c r="H23" s="53" t="s">
        <v>165</v>
      </c>
      <c r="I23" s="53" t="s">
        <v>159</v>
      </c>
      <c r="J23" s="53" t="s">
        <v>38</v>
      </c>
      <c r="K23" s="53" t="s">
        <v>161</v>
      </c>
      <c r="L23" s="53">
        <v>1</v>
      </c>
      <c r="N23" s="53">
        <v>1</v>
      </c>
      <c r="O23" s="53">
        <v>1.1499999999999999</v>
      </c>
      <c r="P23" s="53">
        <v>1</v>
      </c>
      <c r="Q23" s="75">
        <f t="shared" si="0"/>
        <v>1.075</v>
      </c>
      <c r="R23" s="53">
        <v>13.2</v>
      </c>
      <c r="S23" s="53">
        <v>126</v>
      </c>
      <c r="T23" s="16">
        <f t="shared" si="1"/>
        <v>27</v>
      </c>
      <c r="U23" s="53">
        <v>149</v>
      </c>
      <c r="V23" s="16">
        <f t="shared" si="2"/>
        <v>4023</v>
      </c>
      <c r="W23" s="53">
        <v>4</v>
      </c>
      <c r="X23" s="53" t="s">
        <v>46</v>
      </c>
      <c r="Y23" s="53" t="s">
        <v>55</v>
      </c>
      <c r="Z23" s="53" t="s">
        <v>69</v>
      </c>
      <c r="AA23" s="53" t="s">
        <v>78</v>
      </c>
      <c r="AB23" s="53" t="s">
        <v>158</v>
      </c>
      <c r="AP23" s="27" t="s">
        <v>229</v>
      </c>
      <c r="AR23" s="28" t="s">
        <v>230</v>
      </c>
      <c r="AV23" s="28"/>
    </row>
    <row r="24" spans="1:48" x14ac:dyDescent="0.15">
      <c r="A24" s="53" t="s">
        <v>41</v>
      </c>
      <c r="B24" s="53" t="s">
        <v>157</v>
      </c>
      <c r="C24" s="62">
        <v>2019</v>
      </c>
      <c r="D24" s="63" t="s">
        <v>185</v>
      </c>
      <c r="E24" s="53" t="s">
        <v>188</v>
      </c>
      <c r="F24" s="53" t="s">
        <v>186</v>
      </c>
      <c r="G24" s="53" t="s">
        <v>42</v>
      </c>
      <c r="H24" s="53" t="s">
        <v>165</v>
      </c>
      <c r="I24" s="53" t="s">
        <v>159</v>
      </c>
      <c r="J24" s="53" t="s">
        <v>38</v>
      </c>
      <c r="K24" s="53" t="s">
        <v>161</v>
      </c>
      <c r="L24" s="53">
        <v>2</v>
      </c>
      <c r="N24" s="53">
        <v>1</v>
      </c>
      <c r="O24" s="53">
        <v>1.05</v>
      </c>
      <c r="P24" s="53">
        <v>1</v>
      </c>
      <c r="Q24" s="74">
        <f t="shared" si="0"/>
        <v>1.0249999999999999</v>
      </c>
      <c r="R24" s="53">
        <v>13.4</v>
      </c>
      <c r="S24" s="53">
        <v>124</v>
      </c>
      <c r="T24" s="16">
        <f t="shared" si="1"/>
        <v>27</v>
      </c>
      <c r="U24" s="53">
        <v>149</v>
      </c>
      <c r="V24" s="16">
        <f t="shared" si="2"/>
        <v>4023</v>
      </c>
      <c r="W24" s="53">
        <v>4</v>
      </c>
      <c r="X24" s="53" t="s">
        <v>46</v>
      </c>
      <c r="Y24" s="53" t="s">
        <v>55</v>
      </c>
      <c r="Z24" s="53" t="s">
        <v>69</v>
      </c>
      <c r="AA24" s="53" t="s">
        <v>78</v>
      </c>
      <c r="AB24" s="53" t="s">
        <v>158</v>
      </c>
      <c r="AP24" s="27" t="s">
        <v>231</v>
      </c>
    </row>
    <row r="25" spans="1:48" x14ac:dyDescent="0.15">
      <c r="A25" s="53" t="s">
        <v>41</v>
      </c>
      <c r="B25" s="53" t="s">
        <v>157</v>
      </c>
      <c r="C25" s="62">
        <v>2019</v>
      </c>
      <c r="D25" s="63" t="s">
        <v>185</v>
      </c>
      <c r="E25" s="53" t="s">
        <v>188</v>
      </c>
      <c r="F25" s="53" t="s">
        <v>186</v>
      </c>
      <c r="G25" s="53" t="s">
        <v>42</v>
      </c>
      <c r="H25" s="53" t="s">
        <v>165</v>
      </c>
      <c r="I25" s="53" t="s">
        <v>159</v>
      </c>
      <c r="J25" s="53" t="s">
        <v>38</v>
      </c>
      <c r="K25" s="53" t="s">
        <v>161</v>
      </c>
      <c r="L25" s="53">
        <v>3</v>
      </c>
      <c r="N25" s="53">
        <v>1</v>
      </c>
      <c r="O25" s="53">
        <v>1.2</v>
      </c>
      <c r="P25" s="53">
        <v>1.1000000000000001</v>
      </c>
      <c r="Q25" s="74">
        <f t="shared" si="0"/>
        <v>1.1499999999999999</v>
      </c>
      <c r="R25" s="53">
        <v>13</v>
      </c>
      <c r="S25" s="53">
        <v>125</v>
      </c>
      <c r="T25" s="16">
        <f t="shared" si="1"/>
        <v>27</v>
      </c>
      <c r="U25" s="53">
        <v>149</v>
      </c>
      <c r="V25" s="16">
        <f t="shared" si="2"/>
        <v>4023</v>
      </c>
      <c r="W25" s="53">
        <v>4</v>
      </c>
      <c r="X25" s="53" t="s">
        <v>46</v>
      </c>
      <c r="Y25" s="53" t="s">
        <v>55</v>
      </c>
      <c r="Z25" s="53" t="s">
        <v>69</v>
      </c>
      <c r="AA25" s="53" t="s">
        <v>78</v>
      </c>
      <c r="AB25" s="53" t="s">
        <v>158</v>
      </c>
    </row>
    <row r="26" spans="1:48" x14ac:dyDescent="0.15">
      <c r="A26" s="53" t="s">
        <v>41</v>
      </c>
      <c r="B26" s="53" t="s">
        <v>157</v>
      </c>
      <c r="C26" s="62">
        <v>2019</v>
      </c>
      <c r="D26" s="63" t="s">
        <v>185</v>
      </c>
      <c r="E26" s="53" t="s">
        <v>188</v>
      </c>
      <c r="F26" s="53" t="s">
        <v>186</v>
      </c>
      <c r="G26" s="53" t="s">
        <v>42</v>
      </c>
      <c r="H26" s="53" t="s">
        <v>165</v>
      </c>
      <c r="I26" s="53" t="s">
        <v>159</v>
      </c>
      <c r="J26" s="53" t="s">
        <v>38</v>
      </c>
      <c r="K26" s="53" t="s">
        <v>161</v>
      </c>
      <c r="L26" s="53">
        <v>1</v>
      </c>
      <c r="N26" s="53">
        <v>4</v>
      </c>
      <c r="O26" s="53">
        <v>0.65</v>
      </c>
      <c r="P26" s="53">
        <v>0.6</v>
      </c>
      <c r="Q26" s="74">
        <f t="shared" si="0"/>
        <v>0.625</v>
      </c>
      <c r="R26" s="53">
        <v>15.2</v>
      </c>
      <c r="S26" s="53">
        <v>123</v>
      </c>
      <c r="T26" s="16">
        <f t="shared" si="1"/>
        <v>27</v>
      </c>
      <c r="U26" s="53">
        <v>429</v>
      </c>
      <c r="V26" s="16">
        <f t="shared" si="2"/>
        <v>2895.75</v>
      </c>
      <c r="W26" s="53">
        <v>2</v>
      </c>
      <c r="X26" s="53" t="s">
        <v>46</v>
      </c>
      <c r="Y26" s="53" t="s">
        <v>55</v>
      </c>
      <c r="Z26" s="53" t="s">
        <v>69</v>
      </c>
      <c r="AA26" s="53" t="s">
        <v>78</v>
      </c>
      <c r="AB26" s="53" t="s">
        <v>158</v>
      </c>
    </row>
    <row r="27" spans="1:48" x14ac:dyDescent="0.15">
      <c r="A27" s="53" t="s">
        <v>41</v>
      </c>
      <c r="B27" s="53" t="s">
        <v>157</v>
      </c>
      <c r="C27" s="62">
        <v>2019</v>
      </c>
      <c r="D27" s="63" t="s">
        <v>185</v>
      </c>
      <c r="E27" s="53" t="s">
        <v>188</v>
      </c>
      <c r="F27" s="53" t="s">
        <v>186</v>
      </c>
      <c r="G27" s="53" t="s">
        <v>42</v>
      </c>
      <c r="H27" s="53" t="s">
        <v>165</v>
      </c>
      <c r="I27" s="53" t="s">
        <v>159</v>
      </c>
      <c r="J27" s="53" t="s">
        <v>38</v>
      </c>
      <c r="K27" s="53" t="s">
        <v>161</v>
      </c>
      <c r="L27" s="53">
        <v>2</v>
      </c>
      <c r="N27" s="53">
        <v>4</v>
      </c>
      <c r="O27" s="53">
        <v>0.45</v>
      </c>
      <c r="P27" s="53">
        <v>0.5</v>
      </c>
      <c r="Q27" s="74">
        <f t="shared" si="0"/>
        <v>0.47499999999999998</v>
      </c>
      <c r="R27" s="53">
        <v>12.7</v>
      </c>
      <c r="S27" s="53">
        <v>124</v>
      </c>
      <c r="T27" s="16">
        <f t="shared" si="1"/>
        <v>27</v>
      </c>
      <c r="U27" s="53">
        <v>429</v>
      </c>
      <c r="V27" s="16">
        <f t="shared" si="2"/>
        <v>2895.75</v>
      </c>
      <c r="W27" s="53">
        <v>2</v>
      </c>
      <c r="X27" s="53" t="s">
        <v>46</v>
      </c>
      <c r="Y27" s="53" t="s">
        <v>55</v>
      </c>
      <c r="Z27" s="53" t="s">
        <v>69</v>
      </c>
      <c r="AA27" s="53" t="s">
        <v>78</v>
      </c>
      <c r="AB27" s="53" t="s">
        <v>158</v>
      </c>
    </row>
    <row r="28" spans="1:48" x14ac:dyDescent="0.15">
      <c r="A28" s="53" t="s">
        <v>41</v>
      </c>
      <c r="B28" s="53" t="s">
        <v>157</v>
      </c>
      <c r="C28" s="62">
        <v>2019</v>
      </c>
      <c r="D28" s="63" t="s">
        <v>185</v>
      </c>
      <c r="E28" s="53" t="s">
        <v>188</v>
      </c>
      <c r="F28" s="53" t="s">
        <v>186</v>
      </c>
      <c r="G28" s="53" t="s">
        <v>42</v>
      </c>
      <c r="H28" s="53" t="s">
        <v>165</v>
      </c>
      <c r="I28" s="53" t="s">
        <v>159</v>
      </c>
      <c r="J28" s="53" t="s">
        <v>38</v>
      </c>
      <c r="K28" s="53" t="s">
        <v>161</v>
      </c>
      <c r="L28" s="53">
        <v>3</v>
      </c>
      <c r="N28" s="53">
        <v>4</v>
      </c>
      <c r="O28" s="53">
        <v>0.5</v>
      </c>
      <c r="P28" s="53">
        <v>0.65</v>
      </c>
      <c r="Q28" s="74">
        <f t="shared" si="0"/>
        <v>0.57499999999999996</v>
      </c>
      <c r="R28" s="53">
        <v>12.6</v>
      </c>
      <c r="S28" s="53">
        <v>122</v>
      </c>
      <c r="T28" s="16">
        <f t="shared" si="1"/>
        <v>27</v>
      </c>
      <c r="U28" s="53">
        <v>429</v>
      </c>
      <c r="V28" s="16">
        <f t="shared" si="2"/>
        <v>2895.75</v>
      </c>
      <c r="W28" s="53">
        <v>2</v>
      </c>
      <c r="X28" s="53" t="s">
        <v>46</v>
      </c>
      <c r="Y28" s="53" t="s">
        <v>55</v>
      </c>
      <c r="Z28" s="53" t="s">
        <v>69</v>
      </c>
      <c r="AA28" s="53" t="s">
        <v>78</v>
      </c>
      <c r="AB28" s="53" t="s">
        <v>158</v>
      </c>
    </row>
    <row r="29" spans="1:48" x14ac:dyDescent="0.15">
      <c r="A29" s="53" t="s">
        <v>41</v>
      </c>
      <c r="B29" s="53" t="s">
        <v>157</v>
      </c>
      <c r="C29" s="62">
        <v>2019</v>
      </c>
      <c r="D29" s="63" t="s">
        <v>185</v>
      </c>
      <c r="E29" s="53" t="s">
        <v>188</v>
      </c>
      <c r="F29" s="53" t="s">
        <v>186</v>
      </c>
      <c r="G29" s="53" t="s">
        <v>42</v>
      </c>
      <c r="H29" s="53" t="s">
        <v>165</v>
      </c>
      <c r="I29" s="53" t="s">
        <v>159</v>
      </c>
      <c r="J29" s="53" t="s">
        <v>38</v>
      </c>
      <c r="K29" s="53" t="s">
        <v>161</v>
      </c>
      <c r="L29" s="53">
        <v>1</v>
      </c>
      <c r="N29" s="53">
        <v>8</v>
      </c>
      <c r="O29" s="53">
        <v>0.75</v>
      </c>
      <c r="P29" s="53">
        <v>0.6</v>
      </c>
      <c r="Q29" s="74">
        <f t="shared" si="0"/>
        <v>0.67500000000000004</v>
      </c>
      <c r="R29" s="53">
        <v>13.8</v>
      </c>
      <c r="S29" s="53">
        <v>120</v>
      </c>
      <c r="T29" s="16">
        <f t="shared" si="1"/>
        <v>30</v>
      </c>
      <c r="U29" s="53">
        <v>645</v>
      </c>
      <c r="V29" s="16">
        <f t="shared" si="2"/>
        <v>2418.75</v>
      </c>
      <c r="W29" s="53">
        <v>2</v>
      </c>
      <c r="X29" s="53" t="s">
        <v>46</v>
      </c>
      <c r="Y29" s="53" t="s">
        <v>55</v>
      </c>
      <c r="Z29" s="53" t="s">
        <v>69</v>
      </c>
      <c r="AA29" s="53" t="s">
        <v>78</v>
      </c>
      <c r="AB29" s="53" t="s">
        <v>158</v>
      </c>
    </row>
    <row r="30" spans="1:48" x14ac:dyDescent="0.15">
      <c r="A30" s="53" t="s">
        <v>41</v>
      </c>
      <c r="B30" s="53" t="s">
        <v>157</v>
      </c>
      <c r="C30" s="62">
        <v>2019</v>
      </c>
      <c r="D30" s="63" t="s">
        <v>185</v>
      </c>
      <c r="E30" s="53" t="s">
        <v>188</v>
      </c>
      <c r="F30" s="53" t="s">
        <v>186</v>
      </c>
      <c r="G30" s="53" t="s">
        <v>42</v>
      </c>
      <c r="H30" s="53" t="s">
        <v>165</v>
      </c>
      <c r="I30" s="53" t="s">
        <v>159</v>
      </c>
      <c r="J30" s="53" t="s">
        <v>38</v>
      </c>
      <c r="K30" s="53" t="s">
        <v>161</v>
      </c>
      <c r="L30" s="53">
        <v>2</v>
      </c>
      <c r="N30" s="53">
        <v>8</v>
      </c>
      <c r="O30" s="53">
        <v>0.7</v>
      </c>
      <c r="P30" s="53">
        <v>0.5</v>
      </c>
      <c r="Q30" s="74">
        <f t="shared" si="0"/>
        <v>0.6</v>
      </c>
      <c r="R30" s="53">
        <v>14</v>
      </c>
      <c r="S30" s="53">
        <v>118</v>
      </c>
      <c r="T30" s="16">
        <f t="shared" si="1"/>
        <v>30</v>
      </c>
      <c r="U30" s="53">
        <v>645</v>
      </c>
      <c r="V30" s="16">
        <f t="shared" si="2"/>
        <v>2418.75</v>
      </c>
      <c r="W30" s="53">
        <v>2</v>
      </c>
      <c r="X30" s="53" t="s">
        <v>46</v>
      </c>
      <c r="Y30" s="53" t="s">
        <v>55</v>
      </c>
      <c r="Z30" s="53" t="s">
        <v>69</v>
      </c>
      <c r="AA30" s="53" t="s">
        <v>78</v>
      </c>
      <c r="AB30" s="53" t="s">
        <v>158</v>
      </c>
    </row>
    <row r="31" spans="1:48" x14ac:dyDescent="0.15">
      <c r="A31" s="53" t="s">
        <v>41</v>
      </c>
      <c r="B31" s="53" t="s">
        <v>157</v>
      </c>
      <c r="C31" s="62">
        <v>2019</v>
      </c>
      <c r="D31" s="63" t="s">
        <v>185</v>
      </c>
      <c r="E31" s="53" t="s">
        <v>188</v>
      </c>
      <c r="F31" s="53" t="s">
        <v>186</v>
      </c>
      <c r="G31" s="53" t="s">
        <v>42</v>
      </c>
      <c r="H31" s="53" t="s">
        <v>165</v>
      </c>
      <c r="I31" s="53" t="s">
        <v>159</v>
      </c>
      <c r="J31" s="53" t="s">
        <v>38</v>
      </c>
      <c r="K31" s="53" t="s">
        <v>161</v>
      </c>
      <c r="L31" s="53">
        <v>3</v>
      </c>
      <c r="N31" s="53">
        <v>8</v>
      </c>
      <c r="O31" s="53">
        <v>0.85</v>
      </c>
      <c r="P31" s="53">
        <v>0.7</v>
      </c>
      <c r="Q31" s="74">
        <f t="shared" si="0"/>
        <v>0.77499999999999991</v>
      </c>
      <c r="R31" s="53">
        <v>12.8</v>
      </c>
      <c r="S31" s="53">
        <v>120</v>
      </c>
      <c r="T31" s="16">
        <f t="shared" si="1"/>
        <v>30</v>
      </c>
      <c r="U31" s="53">
        <v>645</v>
      </c>
      <c r="V31" s="16">
        <f t="shared" si="2"/>
        <v>2418.75</v>
      </c>
      <c r="W31" s="53">
        <v>2</v>
      </c>
      <c r="X31" s="53" t="s">
        <v>46</v>
      </c>
      <c r="Y31" s="53" t="s">
        <v>55</v>
      </c>
      <c r="Z31" s="53" t="s">
        <v>69</v>
      </c>
      <c r="AA31" s="53" t="s">
        <v>78</v>
      </c>
      <c r="AB31" s="53" t="s">
        <v>158</v>
      </c>
    </row>
    <row r="32" spans="1:48" x14ac:dyDescent="0.15">
      <c r="A32" s="53" t="s">
        <v>41</v>
      </c>
      <c r="B32" s="53" t="s">
        <v>157</v>
      </c>
      <c r="C32" s="62">
        <v>2019</v>
      </c>
      <c r="D32" s="63" t="s">
        <v>185</v>
      </c>
      <c r="E32" s="53" t="s">
        <v>188</v>
      </c>
      <c r="F32" s="53" t="s">
        <v>190</v>
      </c>
      <c r="G32" s="53" t="s">
        <v>42</v>
      </c>
      <c r="H32" s="53" t="s">
        <v>165</v>
      </c>
      <c r="I32" s="53" t="s">
        <v>159</v>
      </c>
      <c r="J32" s="53" t="s">
        <v>38</v>
      </c>
      <c r="K32" s="53" t="s">
        <v>161</v>
      </c>
      <c r="L32" s="53">
        <v>1</v>
      </c>
      <c r="N32" s="53">
        <v>1</v>
      </c>
      <c r="O32" s="53">
        <v>1</v>
      </c>
      <c r="P32" s="53">
        <v>0.95</v>
      </c>
      <c r="Q32" s="74">
        <f t="shared" si="0"/>
        <v>0.97499999999999998</v>
      </c>
      <c r="R32" s="53">
        <v>12.6</v>
      </c>
      <c r="S32" s="53">
        <v>126</v>
      </c>
      <c r="T32" s="16">
        <f t="shared" si="1"/>
        <v>27</v>
      </c>
      <c r="U32" s="53">
        <v>149</v>
      </c>
      <c r="V32" s="16">
        <f t="shared" si="2"/>
        <v>4023</v>
      </c>
      <c r="W32" s="53">
        <v>3</v>
      </c>
      <c r="X32" s="53" t="s">
        <v>46</v>
      </c>
      <c r="Y32" s="53" t="s">
        <v>55</v>
      </c>
      <c r="Z32" s="53" t="s">
        <v>69</v>
      </c>
      <c r="AA32" s="53" t="s">
        <v>78</v>
      </c>
      <c r="AB32" s="53" t="s">
        <v>158</v>
      </c>
    </row>
    <row r="33" spans="1:28" x14ac:dyDescent="0.15">
      <c r="A33" s="53" t="s">
        <v>41</v>
      </c>
      <c r="B33" s="53" t="s">
        <v>157</v>
      </c>
      <c r="C33" s="62">
        <v>2019</v>
      </c>
      <c r="D33" s="63" t="s">
        <v>185</v>
      </c>
      <c r="E33" s="53" t="s">
        <v>188</v>
      </c>
      <c r="F33" s="53" t="s">
        <v>190</v>
      </c>
      <c r="G33" s="53" t="s">
        <v>42</v>
      </c>
      <c r="H33" s="53" t="s">
        <v>165</v>
      </c>
      <c r="I33" s="53" t="s">
        <v>159</v>
      </c>
      <c r="J33" s="53" t="s">
        <v>38</v>
      </c>
      <c r="K33" s="53" t="s">
        <v>161</v>
      </c>
      <c r="L33" s="53">
        <v>2</v>
      </c>
      <c r="N33" s="53">
        <v>1</v>
      </c>
      <c r="O33" s="53">
        <v>0.95</v>
      </c>
      <c r="P33" s="53">
        <v>0.9</v>
      </c>
      <c r="Q33" s="74">
        <f t="shared" si="0"/>
        <v>0.92500000000000004</v>
      </c>
      <c r="R33" s="53">
        <v>13.7</v>
      </c>
      <c r="S33" s="53">
        <v>128</v>
      </c>
      <c r="T33" s="16">
        <f t="shared" si="1"/>
        <v>27</v>
      </c>
      <c r="U33" s="53">
        <v>149</v>
      </c>
      <c r="V33" s="16">
        <f t="shared" si="2"/>
        <v>4023</v>
      </c>
      <c r="W33" s="53">
        <v>3</v>
      </c>
      <c r="X33" s="53" t="s">
        <v>46</v>
      </c>
      <c r="Y33" s="53" t="s">
        <v>55</v>
      </c>
      <c r="Z33" s="53" t="s">
        <v>69</v>
      </c>
      <c r="AA33" s="53" t="s">
        <v>78</v>
      </c>
      <c r="AB33" s="53" t="s">
        <v>158</v>
      </c>
    </row>
    <row r="34" spans="1:28" x14ac:dyDescent="0.15">
      <c r="A34" s="53" t="s">
        <v>41</v>
      </c>
      <c r="B34" s="53" t="s">
        <v>157</v>
      </c>
      <c r="C34" s="62">
        <v>2019</v>
      </c>
      <c r="D34" s="63" t="s">
        <v>185</v>
      </c>
      <c r="E34" s="53" t="s">
        <v>188</v>
      </c>
      <c r="F34" s="53" t="s">
        <v>190</v>
      </c>
      <c r="G34" s="53" t="s">
        <v>42</v>
      </c>
      <c r="H34" s="53" t="s">
        <v>165</v>
      </c>
      <c r="I34" s="53" t="s">
        <v>159</v>
      </c>
      <c r="J34" s="53" t="s">
        <v>38</v>
      </c>
      <c r="K34" s="53" t="s">
        <v>161</v>
      </c>
      <c r="L34" s="53">
        <v>3</v>
      </c>
      <c r="N34" s="53">
        <v>1</v>
      </c>
      <c r="O34" s="53">
        <v>0.9</v>
      </c>
      <c r="P34" s="53">
        <v>0.85</v>
      </c>
      <c r="Q34" s="74">
        <f t="shared" si="0"/>
        <v>0.875</v>
      </c>
      <c r="R34" s="53">
        <v>14.8</v>
      </c>
      <c r="S34" s="53">
        <v>124</v>
      </c>
      <c r="T34" s="16">
        <f t="shared" si="1"/>
        <v>27</v>
      </c>
      <c r="U34" s="53">
        <v>149</v>
      </c>
      <c r="V34" s="16">
        <f t="shared" si="2"/>
        <v>4023</v>
      </c>
      <c r="W34" s="53">
        <v>3</v>
      </c>
      <c r="X34" s="53" t="s">
        <v>46</v>
      </c>
      <c r="Y34" s="53" t="s">
        <v>55</v>
      </c>
      <c r="Z34" s="53" t="s">
        <v>69</v>
      </c>
      <c r="AA34" s="53" t="s">
        <v>78</v>
      </c>
      <c r="AB34" s="53" t="s">
        <v>158</v>
      </c>
    </row>
    <row r="35" spans="1:28" x14ac:dyDescent="0.15">
      <c r="A35" s="53" t="s">
        <v>41</v>
      </c>
      <c r="B35" s="53" t="s">
        <v>157</v>
      </c>
      <c r="C35" s="62">
        <v>2019</v>
      </c>
      <c r="D35" s="63" t="s">
        <v>185</v>
      </c>
      <c r="E35" s="53" t="s">
        <v>188</v>
      </c>
      <c r="F35" s="53" t="s">
        <v>190</v>
      </c>
      <c r="G35" s="53" t="s">
        <v>42</v>
      </c>
      <c r="H35" s="53" t="s">
        <v>165</v>
      </c>
      <c r="I35" s="53" t="s">
        <v>159</v>
      </c>
      <c r="J35" s="53" t="s">
        <v>38</v>
      </c>
      <c r="K35" s="53" t="s">
        <v>161</v>
      </c>
      <c r="L35" s="53">
        <v>1</v>
      </c>
      <c r="N35" s="53">
        <v>4</v>
      </c>
      <c r="O35" s="53">
        <v>0.3</v>
      </c>
      <c r="P35" s="53">
        <v>0.25</v>
      </c>
      <c r="Q35" s="74">
        <f t="shared" si="0"/>
        <v>0.27500000000000002</v>
      </c>
      <c r="R35" s="53">
        <v>12.5</v>
      </c>
      <c r="S35" s="53">
        <v>125</v>
      </c>
      <c r="T35" s="16">
        <f t="shared" si="1"/>
        <v>27</v>
      </c>
      <c r="U35" s="53">
        <v>429</v>
      </c>
      <c r="V35" s="16">
        <f t="shared" si="2"/>
        <v>2895.75</v>
      </c>
      <c r="W35" s="53">
        <v>2</v>
      </c>
      <c r="X35" s="53" t="s">
        <v>46</v>
      </c>
      <c r="Y35" s="53" t="s">
        <v>55</v>
      </c>
      <c r="Z35" s="53" t="s">
        <v>69</v>
      </c>
      <c r="AA35" s="53" t="s">
        <v>78</v>
      </c>
      <c r="AB35" s="53" t="s">
        <v>158</v>
      </c>
    </row>
    <row r="36" spans="1:28" x14ac:dyDescent="0.15">
      <c r="A36" s="53" t="s">
        <v>41</v>
      </c>
      <c r="B36" s="53" t="s">
        <v>157</v>
      </c>
      <c r="C36" s="62">
        <v>2019</v>
      </c>
      <c r="D36" s="63" t="s">
        <v>185</v>
      </c>
      <c r="E36" s="53" t="s">
        <v>188</v>
      </c>
      <c r="F36" s="53" t="s">
        <v>190</v>
      </c>
      <c r="G36" s="53" t="s">
        <v>42</v>
      </c>
      <c r="H36" s="53" t="s">
        <v>165</v>
      </c>
      <c r="I36" s="53" t="s">
        <v>159</v>
      </c>
      <c r="J36" s="53" t="s">
        <v>38</v>
      </c>
      <c r="K36" s="53" t="s">
        <v>161</v>
      </c>
      <c r="L36" s="53">
        <v>2</v>
      </c>
      <c r="N36" s="53">
        <v>4</v>
      </c>
      <c r="O36" s="53">
        <v>0.25</v>
      </c>
      <c r="P36" s="53">
        <v>0.3</v>
      </c>
      <c r="Q36" s="74">
        <f t="shared" si="0"/>
        <v>0.27500000000000002</v>
      </c>
      <c r="R36" s="53">
        <v>13.7</v>
      </c>
      <c r="S36" s="53">
        <v>123</v>
      </c>
      <c r="T36" s="16">
        <f t="shared" si="1"/>
        <v>27</v>
      </c>
      <c r="U36" s="53">
        <v>429</v>
      </c>
      <c r="V36" s="16">
        <f t="shared" si="2"/>
        <v>2895.75</v>
      </c>
      <c r="W36" s="53">
        <v>2</v>
      </c>
      <c r="X36" s="53" t="s">
        <v>46</v>
      </c>
      <c r="Y36" s="53" t="s">
        <v>55</v>
      </c>
      <c r="Z36" s="53" t="s">
        <v>69</v>
      </c>
      <c r="AA36" s="53" t="s">
        <v>78</v>
      </c>
      <c r="AB36" s="53" t="s">
        <v>158</v>
      </c>
    </row>
    <row r="37" spans="1:28" x14ac:dyDescent="0.15">
      <c r="A37" s="53" t="s">
        <v>41</v>
      </c>
      <c r="B37" s="53" t="s">
        <v>157</v>
      </c>
      <c r="C37" s="62">
        <v>2019</v>
      </c>
      <c r="D37" s="63" t="s">
        <v>185</v>
      </c>
      <c r="E37" s="53" t="s">
        <v>188</v>
      </c>
      <c r="F37" s="53" t="s">
        <v>190</v>
      </c>
      <c r="G37" s="53" t="s">
        <v>42</v>
      </c>
      <c r="H37" s="53" t="s">
        <v>165</v>
      </c>
      <c r="I37" s="53" t="s">
        <v>159</v>
      </c>
      <c r="J37" s="53" t="s">
        <v>38</v>
      </c>
      <c r="K37" s="53" t="s">
        <v>161</v>
      </c>
      <c r="L37" s="53">
        <v>3</v>
      </c>
      <c r="N37" s="53">
        <v>4</v>
      </c>
      <c r="O37" s="53">
        <v>0.25</v>
      </c>
      <c r="P37" s="53">
        <v>0.4</v>
      </c>
      <c r="Q37" s="74">
        <f t="shared" si="0"/>
        <v>0.32500000000000001</v>
      </c>
      <c r="R37" s="53">
        <v>12</v>
      </c>
      <c r="S37" s="53">
        <v>124</v>
      </c>
      <c r="T37" s="16">
        <f t="shared" si="1"/>
        <v>27</v>
      </c>
      <c r="U37" s="53">
        <v>429</v>
      </c>
      <c r="V37" s="16">
        <f t="shared" si="2"/>
        <v>2895.75</v>
      </c>
      <c r="W37" s="53">
        <v>2</v>
      </c>
      <c r="X37" s="53" t="s">
        <v>46</v>
      </c>
      <c r="Y37" s="53" t="s">
        <v>55</v>
      </c>
      <c r="Z37" s="53" t="s">
        <v>69</v>
      </c>
      <c r="AA37" s="53" t="s">
        <v>78</v>
      </c>
      <c r="AB37" s="53" t="s">
        <v>158</v>
      </c>
    </row>
    <row r="38" spans="1:28" x14ac:dyDescent="0.15">
      <c r="A38" s="53" t="s">
        <v>41</v>
      </c>
      <c r="B38" s="53" t="s">
        <v>157</v>
      </c>
      <c r="C38" s="62">
        <v>2019</v>
      </c>
      <c r="D38" s="63" t="s">
        <v>185</v>
      </c>
      <c r="E38" s="53" t="s">
        <v>188</v>
      </c>
      <c r="F38" s="53" t="s">
        <v>190</v>
      </c>
      <c r="G38" s="53" t="s">
        <v>42</v>
      </c>
      <c r="H38" s="53" t="s">
        <v>165</v>
      </c>
      <c r="I38" s="53" t="s">
        <v>159</v>
      </c>
      <c r="J38" s="53" t="s">
        <v>38</v>
      </c>
      <c r="K38" s="53" t="s">
        <v>161</v>
      </c>
      <c r="L38" s="53">
        <v>1</v>
      </c>
      <c r="N38" s="53">
        <v>8</v>
      </c>
      <c r="O38" s="53">
        <v>0.95</v>
      </c>
      <c r="P38" s="53">
        <v>0.9</v>
      </c>
      <c r="Q38" s="74">
        <f t="shared" si="0"/>
        <v>0.92500000000000004</v>
      </c>
      <c r="R38" s="53">
        <v>15</v>
      </c>
      <c r="S38" s="53">
        <v>115</v>
      </c>
      <c r="T38" s="16">
        <f t="shared" si="1"/>
        <v>30</v>
      </c>
      <c r="U38" s="53">
        <v>537</v>
      </c>
      <c r="V38" s="16">
        <f t="shared" si="2"/>
        <v>2013.75</v>
      </c>
      <c r="W38" s="53">
        <v>2</v>
      </c>
      <c r="X38" s="53" t="s">
        <v>46</v>
      </c>
      <c r="Y38" s="53" t="s">
        <v>55</v>
      </c>
      <c r="Z38" s="53" t="s">
        <v>69</v>
      </c>
      <c r="AA38" s="53" t="s">
        <v>78</v>
      </c>
      <c r="AB38" s="53" t="s">
        <v>158</v>
      </c>
    </row>
    <row r="39" spans="1:28" x14ac:dyDescent="0.15">
      <c r="A39" s="53" t="s">
        <v>41</v>
      </c>
      <c r="B39" s="53" t="s">
        <v>157</v>
      </c>
      <c r="C39" s="62">
        <v>2019</v>
      </c>
      <c r="D39" s="63" t="s">
        <v>185</v>
      </c>
      <c r="E39" s="53" t="s">
        <v>188</v>
      </c>
      <c r="F39" s="53" t="s">
        <v>190</v>
      </c>
      <c r="G39" s="53" t="s">
        <v>42</v>
      </c>
      <c r="H39" s="53" t="s">
        <v>165</v>
      </c>
      <c r="I39" s="53" t="s">
        <v>159</v>
      </c>
      <c r="J39" s="53" t="s">
        <v>38</v>
      </c>
      <c r="K39" s="53" t="s">
        <v>161</v>
      </c>
      <c r="L39" s="53">
        <v>2</v>
      </c>
      <c r="N39" s="53">
        <v>8</v>
      </c>
      <c r="O39" s="53">
        <v>0.75</v>
      </c>
      <c r="P39" s="53">
        <v>0.8</v>
      </c>
      <c r="Q39" s="74">
        <f t="shared" si="0"/>
        <v>0.77500000000000002</v>
      </c>
      <c r="R39" s="53">
        <v>12.9</v>
      </c>
      <c r="S39" s="53">
        <v>120</v>
      </c>
      <c r="T39" s="16">
        <f t="shared" si="1"/>
        <v>30</v>
      </c>
      <c r="U39" s="53">
        <v>537</v>
      </c>
      <c r="V39" s="16">
        <f t="shared" si="2"/>
        <v>2013.75</v>
      </c>
      <c r="W39" s="53">
        <v>2</v>
      </c>
      <c r="X39" s="53" t="s">
        <v>46</v>
      </c>
      <c r="Y39" s="53" t="s">
        <v>55</v>
      </c>
      <c r="Z39" s="53" t="s">
        <v>69</v>
      </c>
      <c r="AA39" s="53" t="s">
        <v>78</v>
      </c>
      <c r="AB39" s="53" t="s">
        <v>158</v>
      </c>
    </row>
    <row r="40" spans="1:28" x14ac:dyDescent="0.15">
      <c r="A40" s="53" t="s">
        <v>41</v>
      </c>
      <c r="B40" s="53" t="s">
        <v>157</v>
      </c>
      <c r="C40" s="62">
        <v>2019</v>
      </c>
      <c r="D40" s="63" t="s">
        <v>185</v>
      </c>
      <c r="E40" s="53" t="s">
        <v>188</v>
      </c>
      <c r="F40" s="53" t="s">
        <v>190</v>
      </c>
      <c r="G40" s="53" t="s">
        <v>42</v>
      </c>
      <c r="H40" s="53" t="s">
        <v>165</v>
      </c>
      <c r="I40" s="53" t="s">
        <v>159</v>
      </c>
      <c r="J40" s="53" t="s">
        <v>38</v>
      </c>
      <c r="K40" s="53" t="s">
        <v>161</v>
      </c>
      <c r="L40" s="53">
        <v>3</v>
      </c>
      <c r="N40" s="53">
        <v>8</v>
      </c>
      <c r="O40" s="53">
        <v>0.9</v>
      </c>
      <c r="P40" s="53">
        <v>0.85</v>
      </c>
      <c r="Q40" s="74">
        <f t="shared" si="0"/>
        <v>0.875</v>
      </c>
      <c r="R40" s="53">
        <v>14.7</v>
      </c>
      <c r="S40" s="53">
        <v>117</v>
      </c>
      <c r="T40" s="16">
        <f t="shared" si="1"/>
        <v>30</v>
      </c>
      <c r="U40" s="53">
        <v>537</v>
      </c>
      <c r="V40" s="16">
        <f t="shared" si="2"/>
        <v>2013.75</v>
      </c>
      <c r="W40" s="53">
        <v>2</v>
      </c>
      <c r="X40" s="53" t="s">
        <v>46</v>
      </c>
      <c r="Y40" s="53" t="s">
        <v>55</v>
      </c>
      <c r="Z40" s="53" t="s">
        <v>69</v>
      </c>
      <c r="AA40" s="53" t="s">
        <v>78</v>
      </c>
      <c r="AB40" s="53" t="s">
        <v>158</v>
      </c>
    </row>
    <row r="41" spans="1:28" x14ac:dyDescent="0.15">
      <c r="A41" s="53" t="s">
        <v>41</v>
      </c>
      <c r="B41" s="53" t="s">
        <v>157</v>
      </c>
      <c r="C41" s="62">
        <v>2019</v>
      </c>
      <c r="D41" s="63" t="s">
        <v>185</v>
      </c>
      <c r="E41" s="53" t="s">
        <v>188</v>
      </c>
      <c r="F41" s="53" t="s">
        <v>190</v>
      </c>
      <c r="G41" s="53" t="s">
        <v>42</v>
      </c>
      <c r="H41" s="53" t="s">
        <v>160</v>
      </c>
      <c r="I41" s="53" t="s">
        <v>159</v>
      </c>
      <c r="J41" s="53" t="s">
        <v>38</v>
      </c>
      <c r="K41" s="53" t="s">
        <v>161</v>
      </c>
      <c r="L41" s="53">
        <v>1</v>
      </c>
      <c r="N41" s="53">
        <v>1</v>
      </c>
      <c r="O41" s="53">
        <v>0.45</v>
      </c>
      <c r="P41" s="53">
        <v>0.3</v>
      </c>
      <c r="Q41" s="74">
        <f t="shared" si="0"/>
        <v>0.375</v>
      </c>
      <c r="R41" s="53">
        <v>14.1</v>
      </c>
      <c r="S41" s="53">
        <v>125</v>
      </c>
      <c r="T41" s="16">
        <f t="shared" si="1"/>
        <v>27</v>
      </c>
      <c r="U41" s="53">
        <v>149</v>
      </c>
      <c r="V41" s="16">
        <f t="shared" si="2"/>
        <v>4023</v>
      </c>
      <c r="W41" s="53">
        <v>3</v>
      </c>
      <c r="X41" s="53" t="s">
        <v>46</v>
      </c>
      <c r="Y41" s="53" t="s">
        <v>55</v>
      </c>
      <c r="Z41" s="53" t="s">
        <v>69</v>
      </c>
      <c r="AA41" s="53" t="s">
        <v>78</v>
      </c>
      <c r="AB41" s="53" t="s">
        <v>158</v>
      </c>
    </row>
    <row r="42" spans="1:28" x14ac:dyDescent="0.15">
      <c r="A42" s="53" t="s">
        <v>41</v>
      </c>
      <c r="B42" s="53" t="s">
        <v>157</v>
      </c>
      <c r="C42" s="62">
        <v>2019</v>
      </c>
      <c r="D42" s="63" t="s">
        <v>185</v>
      </c>
      <c r="E42" s="53" t="s">
        <v>188</v>
      </c>
      <c r="F42" s="53" t="s">
        <v>190</v>
      </c>
      <c r="G42" s="53" t="s">
        <v>42</v>
      </c>
      <c r="H42" s="53" t="s">
        <v>160</v>
      </c>
      <c r="I42" s="53" t="s">
        <v>159</v>
      </c>
      <c r="J42" s="53" t="s">
        <v>38</v>
      </c>
      <c r="K42" s="53" t="s">
        <v>161</v>
      </c>
      <c r="L42" s="53">
        <v>2</v>
      </c>
      <c r="N42" s="53">
        <v>1</v>
      </c>
      <c r="O42" s="53">
        <v>0.35</v>
      </c>
      <c r="P42" s="53">
        <v>0.3</v>
      </c>
      <c r="Q42" s="74">
        <f t="shared" si="0"/>
        <v>0.32499999999999996</v>
      </c>
      <c r="R42" s="53">
        <v>16</v>
      </c>
      <c r="S42" s="53">
        <v>128</v>
      </c>
      <c r="T42" s="16">
        <f t="shared" si="1"/>
        <v>27</v>
      </c>
      <c r="U42" s="53">
        <v>149</v>
      </c>
      <c r="V42" s="16">
        <f t="shared" si="2"/>
        <v>4023</v>
      </c>
      <c r="W42" s="53">
        <v>3</v>
      </c>
      <c r="X42" s="53" t="s">
        <v>46</v>
      </c>
      <c r="Y42" s="53" t="s">
        <v>55</v>
      </c>
      <c r="Z42" s="53" t="s">
        <v>69</v>
      </c>
      <c r="AA42" s="53" t="s">
        <v>78</v>
      </c>
      <c r="AB42" s="53" t="s">
        <v>158</v>
      </c>
    </row>
    <row r="43" spans="1:28" x14ac:dyDescent="0.15">
      <c r="A43" s="53" t="s">
        <v>41</v>
      </c>
      <c r="B43" s="53" t="s">
        <v>157</v>
      </c>
      <c r="C43" s="62">
        <v>2019</v>
      </c>
      <c r="D43" s="63" t="s">
        <v>185</v>
      </c>
      <c r="E43" s="53" t="s">
        <v>188</v>
      </c>
      <c r="F43" s="53" t="s">
        <v>190</v>
      </c>
      <c r="G43" s="53" t="s">
        <v>42</v>
      </c>
      <c r="H43" s="53" t="s">
        <v>160</v>
      </c>
      <c r="I43" s="53" t="s">
        <v>159</v>
      </c>
      <c r="J43" s="53" t="s">
        <v>38</v>
      </c>
      <c r="K43" s="53" t="s">
        <v>161</v>
      </c>
      <c r="L43" s="53">
        <v>3</v>
      </c>
      <c r="N43" s="53">
        <v>1</v>
      </c>
      <c r="O43" s="53">
        <v>0.6</v>
      </c>
      <c r="P43" s="53">
        <v>0.75</v>
      </c>
      <c r="Q43" s="74">
        <f t="shared" si="0"/>
        <v>0.67500000000000004</v>
      </c>
      <c r="R43" s="53">
        <v>16</v>
      </c>
      <c r="S43" s="53">
        <v>127</v>
      </c>
      <c r="T43" s="16">
        <f t="shared" si="1"/>
        <v>27</v>
      </c>
      <c r="U43" s="53">
        <v>149</v>
      </c>
      <c r="V43" s="16">
        <f t="shared" si="2"/>
        <v>4023</v>
      </c>
      <c r="W43" s="53">
        <v>3</v>
      </c>
      <c r="X43" s="53" t="s">
        <v>46</v>
      </c>
      <c r="Y43" s="53" t="s">
        <v>55</v>
      </c>
      <c r="Z43" s="53" t="s">
        <v>69</v>
      </c>
      <c r="AA43" s="53" t="s">
        <v>78</v>
      </c>
      <c r="AB43" s="53" t="s">
        <v>158</v>
      </c>
    </row>
    <row r="44" spans="1:28" x14ac:dyDescent="0.15">
      <c r="A44" s="53" t="s">
        <v>41</v>
      </c>
      <c r="B44" s="53" t="s">
        <v>157</v>
      </c>
      <c r="C44" s="62">
        <v>2019</v>
      </c>
      <c r="D44" s="63" t="s">
        <v>185</v>
      </c>
      <c r="E44" s="53" t="s">
        <v>188</v>
      </c>
      <c r="F44" s="53" t="s">
        <v>190</v>
      </c>
      <c r="G44" s="53" t="s">
        <v>42</v>
      </c>
      <c r="H44" s="53" t="s">
        <v>160</v>
      </c>
      <c r="I44" s="53" t="s">
        <v>159</v>
      </c>
      <c r="J44" s="53" t="s">
        <v>38</v>
      </c>
      <c r="K44" s="53" t="s">
        <v>161</v>
      </c>
      <c r="L44" s="53">
        <v>1</v>
      </c>
      <c r="N44" s="53">
        <v>4</v>
      </c>
      <c r="O44" s="53">
        <v>0.85</v>
      </c>
      <c r="P44" s="53">
        <v>0.9</v>
      </c>
      <c r="Q44" s="74">
        <f t="shared" si="0"/>
        <v>0.875</v>
      </c>
      <c r="R44" s="53">
        <v>15.8</v>
      </c>
      <c r="S44" s="53">
        <v>124</v>
      </c>
      <c r="T44" s="16">
        <f t="shared" si="1"/>
        <v>27</v>
      </c>
      <c r="U44" s="53">
        <v>429</v>
      </c>
      <c r="V44" s="16">
        <f t="shared" si="2"/>
        <v>2895.75</v>
      </c>
      <c r="W44" s="53">
        <v>3</v>
      </c>
      <c r="X44" s="53" t="s">
        <v>46</v>
      </c>
      <c r="Y44" s="53" t="s">
        <v>55</v>
      </c>
      <c r="Z44" s="53" t="s">
        <v>69</v>
      </c>
      <c r="AA44" s="53" t="s">
        <v>78</v>
      </c>
      <c r="AB44" s="53" t="s">
        <v>158</v>
      </c>
    </row>
    <row r="45" spans="1:28" x14ac:dyDescent="0.15">
      <c r="A45" s="53" t="s">
        <v>41</v>
      </c>
      <c r="B45" s="53" t="s">
        <v>157</v>
      </c>
      <c r="C45" s="62">
        <v>2019</v>
      </c>
      <c r="D45" s="63" t="s">
        <v>185</v>
      </c>
      <c r="E45" s="53" t="s">
        <v>188</v>
      </c>
      <c r="F45" s="53" t="s">
        <v>190</v>
      </c>
      <c r="G45" s="53" t="s">
        <v>42</v>
      </c>
      <c r="H45" s="53" t="s">
        <v>160</v>
      </c>
      <c r="I45" s="53" t="s">
        <v>159</v>
      </c>
      <c r="J45" s="53" t="s">
        <v>38</v>
      </c>
      <c r="K45" s="53" t="s">
        <v>161</v>
      </c>
      <c r="L45" s="53">
        <v>2</v>
      </c>
      <c r="N45" s="53">
        <v>4</v>
      </c>
      <c r="O45" s="53">
        <v>0.9</v>
      </c>
      <c r="P45" s="53">
        <v>0.75</v>
      </c>
      <c r="Q45" s="74">
        <f t="shared" si="0"/>
        <v>0.82499999999999996</v>
      </c>
      <c r="R45" s="53">
        <v>14.8</v>
      </c>
      <c r="S45" s="53">
        <v>123</v>
      </c>
      <c r="T45" s="16">
        <f t="shared" si="1"/>
        <v>27</v>
      </c>
      <c r="U45" s="53">
        <v>429</v>
      </c>
      <c r="V45" s="16">
        <f t="shared" si="2"/>
        <v>2895.75</v>
      </c>
      <c r="W45" s="53">
        <v>3</v>
      </c>
      <c r="X45" s="53" t="s">
        <v>46</v>
      </c>
      <c r="Y45" s="53" t="s">
        <v>55</v>
      </c>
      <c r="Z45" s="53" t="s">
        <v>69</v>
      </c>
      <c r="AA45" s="53" t="s">
        <v>78</v>
      </c>
      <c r="AB45" s="53" t="s">
        <v>158</v>
      </c>
    </row>
    <row r="46" spans="1:28" x14ac:dyDescent="0.15">
      <c r="A46" s="53" t="s">
        <v>41</v>
      </c>
      <c r="B46" s="53" t="s">
        <v>157</v>
      </c>
      <c r="C46" s="62">
        <v>2019</v>
      </c>
      <c r="D46" s="63" t="s">
        <v>185</v>
      </c>
      <c r="E46" s="53" t="s">
        <v>188</v>
      </c>
      <c r="F46" s="53" t="s">
        <v>190</v>
      </c>
      <c r="G46" s="53" t="s">
        <v>42</v>
      </c>
      <c r="H46" s="53" t="s">
        <v>160</v>
      </c>
      <c r="I46" s="53" t="s">
        <v>159</v>
      </c>
      <c r="J46" s="53" t="s">
        <v>38</v>
      </c>
      <c r="K46" s="53" t="s">
        <v>161</v>
      </c>
      <c r="L46" s="53">
        <v>3</v>
      </c>
      <c r="N46" s="53">
        <v>4</v>
      </c>
      <c r="O46" s="53">
        <v>1</v>
      </c>
      <c r="P46" s="53">
        <v>0.95</v>
      </c>
      <c r="Q46" s="74">
        <f t="shared" si="0"/>
        <v>0.97499999999999998</v>
      </c>
      <c r="R46" s="53">
        <v>12.6</v>
      </c>
      <c r="S46" s="53">
        <v>125</v>
      </c>
      <c r="T46" s="16">
        <f t="shared" si="1"/>
        <v>27</v>
      </c>
      <c r="U46" s="53">
        <v>429</v>
      </c>
      <c r="V46" s="16">
        <f t="shared" si="2"/>
        <v>2895.75</v>
      </c>
      <c r="W46" s="53">
        <v>3</v>
      </c>
      <c r="X46" s="53" t="s">
        <v>46</v>
      </c>
      <c r="Y46" s="53" t="s">
        <v>55</v>
      </c>
      <c r="Z46" s="53" t="s">
        <v>69</v>
      </c>
      <c r="AA46" s="53" t="s">
        <v>78</v>
      </c>
      <c r="AB46" s="53" t="s">
        <v>158</v>
      </c>
    </row>
    <row r="47" spans="1:28" x14ac:dyDescent="0.15">
      <c r="A47" s="53" t="s">
        <v>41</v>
      </c>
      <c r="B47" s="53" t="s">
        <v>157</v>
      </c>
      <c r="C47" s="62">
        <v>2019</v>
      </c>
      <c r="D47" s="63" t="s">
        <v>185</v>
      </c>
      <c r="E47" s="53" t="s">
        <v>188</v>
      </c>
      <c r="F47" s="53" t="s">
        <v>190</v>
      </c>
      <c r="G47" s="53" t="s">
        <v>42</v>
      </c>
      <c r="H47" s="53" t="s">
        <v>160</v>
      </c>
      <c r="I47" s="53" t="s">
        <v>159</v>
      </c>
      <c r="J47" s="53" t="s">
        <v>38</v>
      </c>
      <c r="K47" s="53" t="s">
        <v>161</v>
      </c>
      <c r="L47" s="53">
        <v>1</v>
      </c>
      <c r="N47" s="53">
        <v>6</v>
      </c>
      <c r="O47" s="53">
        <v>0.25</v>
      </c>
      <c r="P47" s="53">
        <v>0.45</v>
      </c>
      <c r="Q47" s="74">
        <f t="shared" si="0"/>
        <v>0.35</v>
      </c>
      <c r="R47" s="53">
        <v>15.2</v>
      </c>
      <c r="S47" s="53">
        <v>120</v>
      </c>
      <c r="T47" s="16">
        <f t="shared" si="1"/>
        <v>30</v>
      </c>
      <c r="U47" s="53">
        <v>626</v>
      </c>
      <c r="V47" s="16">
        <f t="shared" si="2"/>
        <v>3130</v>
      </c>
      <c r="W47" s="53">
        <v>2</v>
      </c>
      <c r="X47" s="53" t="s">
        <v>46</v>
      </c>
      <c r="Y47" s="53" t="s">
        <v>55</v>
      </c>
      <c r="Z47" s="53" t="s">
        <v>69</v>
      </c>
      <c r="AA47" s="53" t="s">
        <v>78</v>
      </c>
      <c r="AB47" s="53" t="s">
        <v>158</v>
      </c>
    </row>
    <row r="48" spans="1:28" x14ac:dyDescent="0.15">
      <c r="A48" s="53" t="s">
        <v>41</v>
      </c>
      <c r="B48" s="53" t="s">
        <v>157</v>
      </c>
      <c r="C48" s="62">
        <v>2019</v>
      </c>
      <c r="D48" s="63" t="s">
        <v>185</v>
      </c>
      <c r="E48" s="53" t="s">
        <v>188</v>
      </c>
      <c r="F48" s="53" t="s">
        <v>190</v>
      </c>
      <c r="G48" s="53" t="s">
        <v>42</v>
      </c>
      <c r="H48" s="53" t="s">
        <v>160</v>
      </c>
      <c r="I48" s="53" t="s">
        <v>159</v>
      </c>
      <c r="J48" s="53" t="s">
        <v>38</v>
      </c>
      <c r="K48" s="53" t="s">
        <v>161</v>
      </c>
      <c r="L48" s="53">
        <v>2</v>
      </c>
      <c r="N48" s="53">
        <v>6</v>
      </c>
      <c r="O48" s="53">
        <v>0.35</v>
      </c>
      <c r="P48" s="53">
        <v>0.4</v>
      </c>
      <c r="Q48" s="74">
        <f t="shared" si="0"/>
        <v>0.375</v>
      </c>
      <c r="R48" s="53">
        <v>13.7</v>
      </c>
      <c r="S48" s="53">
        <v>118</v>
      </c>
      <c r="T48" s="16">
        <f t="shared" si="1"/>
        <v>30</v>
      </c>
      <c r="U48" s="53">
        <v>626</v>
      </c>
      <c r="V48" s="16">
        <f t="shared" si="2"/>
        <v>3130</v>
      </c>
      <c r="W48" s="53">
        <v>2</v>
      </c>
      <c r="X48" s="53" t="s">
        <v>46</v>
      </c>
      <c r="Y48" s="53" t="s">
        <v>55</v>
      </c>
      <c r="Z48" s="53" t="s">
        <v>69</v>
      </c>
      <c r="AA48" s="53" t="s">
        <v>78</v>
      </c>
      <c r="AB48" s="53" t="s">
        <v>158</v>
      </c>
    </row>
    <row r="49" spans="1:28" x14ac:dyDescent="0.15">
      <c r="A49" s="53" t="s">
        <v>41</v>
      </c>
      <c r="B49" s="53" t="s">
        <v>157</v>
      </c>
      <c r="C49" s="62">
        <v>2019</v>
      </c>
      <c r="D49" s="63" t="s">
        <v>185</v>
      </c>
      <c r="E49" s="53" t="s">
        <v>188</v>
      </c>
      <c r="F49" s="53" t="s">
        <v>190</v>
      </c>
      <c r="G49" s="53" t="s">
        <v>42</v>
      </c>
      <c r="H49" s="53" t="s">
        <v>160</v>
      </c>
      <c r="I49" s="53" t="s">
        <v>159</v>
      </c>
      <c r="J49" s="53" t="s">
        <v>38</v>
      </c>
      <c r="K49" s="53" t="s">
        <v>161</v>
      </c>
      <c r="L49" s="53">
        <v>3</v>
      </c>
      <c r="N49" s="53">
        <v>6</v>
      </c>
      <c r="O49" s="53">
        <v>0.3</v>
      </c>
      <c r="P49" s="53">
        <v>0.25</v>
      </c>
      <c r="Q49" s="74">
        <f t="shared" si="0"/>
        <v>0.27500000000000002</v>
      </c>
      <c r="R49" s="53">
        <v>14.8</v>
      </c>
      <c r="S49" s="53">
        <v>119</v>
      </c>
      <c r="T49" s="16">
        <f t="shared" si="1"/>
        <v>30</v>
      </c>
      <c r="U49" s="53">
        <v>626</v>
      </c>
      <c r="V49" s="16">
        <f t="shared" si="2"/>
        <v>3130</v>
      </c>
      <c r="W49" s="53">
        <v>2</v>
      </c>
      <c r="X49" s="53" t="s">
        <v>46</v>
      </c>
      <c r="Y49" s="53" t="s">
        <v>55</v>
      </c>
      <c r="Z49" s="53" t="s">
        <v>69</v>
      </c>
      <c r="AA49" s="53" t="s">
        <v>78</v>
      </c>
      <c r="AB49" s="53" t="s">
        <v>158</v>
      </c>
    </row>
    <row r="50" spans="1:28" x14ac:dyDescent="0.15">
      <c r="A50" s="53" t="s">
        <v>41</v>
      </c>
      <c r="B50" s="53" t="s">
        <v>157</v>
      </c>
      <c r="C50" s="62">
        <v>2019</v>
      </c>
      <c r="D50" s="63" t="s">
        <v>185</v>
      </c>
      <c r="E50" s="53" t="s">
        <v>195</v>
      </c>
      <c r="F50" s="53" t="s">
        <v>186</v>
      </c>
      <c r="G50" s="53" t="s">
        <v>42</v>
      </c>
      <c r="H50" s="53" t="s">
        <v>160</v>
      </c>
      <c r="I50" s="53" t="s">
        <v>159</v>
      </c>
      <c r="J50" s="53" t="s">
        <v>38</v>
      </c>
      <c r="K50" s="53" t="s">
        <v>161</v>
      </c>
      <c r="L50" s="53">
        <v>1</v>
      </c>
      <c r="N50" s="53">
        <v>1</v>
      </c>
      <c r="O50" s="53">
        <v>0.35</v>
      </c>
      <c r="P50" s="53">
        <v>0.35</v>
      </c>
      <c r="Q50" s="74">
        <f t="shared" si="0"/>
        <v>0.35</v>
      </c>
      <c r="R50" s="53">
        <v>13.5</v>
      </c>
      <c r="S50" s="53">
        <v>125</v>
      </c>
      <c r="T50" s="16">
        <f t="shared" si="1"/>
        <v>27</v>
      </c>
      <c r="U50" s="53">
        <v>170</v>
      </c>
      <c r="V50" s="16">
        <f t="shared" si="2"/>
        <v>4590</v>
      </c>
      <c r="W50" s="53">
        <v>4</v>
      </c>
      <c r="X50" s="53" t="s">
        <v>46</v>
      </c>
      <c r="Y50" s="53" t="s">
        <v>55</v>
      </c>
      <c r="Z50" s="53" t="s">
        <v>69</v>
      </c>
      <c r="AA50" s="53" t="s">
        <v>47</v>
      </c>
      <c r="AB50" s="53" t="s">
        <v>158</v>
      </c>
    </row>
    <row r="51" spans="1:28" x14ac:dyDescent="0.15">
      <c r="A51" s="53" t="s">
        <v>41</v>
      </c>
      <c r="B51" s="53" t="s">
        <v>157</v>
      </c>
      <c r="C51" s="62">
        <v>2019</v>
      </c>
      <c r="D51" s="63" t="s">
        <v>185</v>
      </c>
      <c r="E51" s="53" t="s">
        <v>195</v>
      </c>
      <c r="F51" s="53" t="s">
        <v>186</v>
      </c>
      <c r="G51" s="53" t="s">
        <v>42</v>
      </c>
      <c r="H51" s="53" t="s">
        <v>160</v>
      </c>
      <c r="I51" s="53" t="s">
        <v>159</v>
      </c>
      <c r="J51" s="53" t="s">
        <v>38</v>
      </c>
      <c r="K51" s="53" t="s">
        <v>161</v>
      </c>
      <c r="L51" s="53">
        <v>2</v>
      </c>
      <c r="N51" s="53">
        <v>1</v>
      </c>
      <c r="O51" s="53">
        <v>0.45</v>
      </c>
      <c r="P51" s="53">
        <v>0.5</v>
      </c>
      <c r="Q51" s="74">
        <f t="shared" si="0"/>
        <v>0.47499999999999998</v>
      </c>
      <c r="R51" s="53">
        <v>16.8</v>
      </c>
      <c r="S51" s="53">
        <v>121</v>
      </c>
      <c r="T51" s="16">
        <f t="shared" si="1"/>
        <v>27</v>
      </c>
      <c r="U51" s="53">
        <v>170</v>
      </c>
      <c r="V51" s="16">
        <f t="shared" si="2"/>
        <v>4590</v>
      </c>
      <c r="W51" s="53">
        <v>4</v>
      </c>
      <c r="X51" s="53" t="s">
        <v>46</v>
      </c>
      <c r="Y51" s="53" t="s">
        <v>55</v>
      </c>
      <c r="Z51" s="53" t="s">
        <v>69</v>
      </c>
      <c r="AA51" s="53" t="s">
        <v>47</v>
      </c>
      <c r="AB51" s="53" t="s">
        <v>158</v>
      </c>
    </row>
    <row r="52" spans="1:28" x14ac:dyDescent="0.15">
      <c r="A52" s="53" t="s">
        <v>41</v>
      </c>
      <c r="B52" s="53" t="s">
        <v>157</v>
      </c>
      <c r="C52" s="62">
        <v>2019</v>
      </c>
      <c r="D52" s="63" t="s">
        <v>185</v>
      </c>
      <c r="E52" s="53" t="s">
        <v>195</v>
      </c>
      <c r="F52" s="53" t="s">
        <v>186</v>
      </c>
      <c r="G52" s="53" t="s">
        <v>42</v>
      </c>
      <c r="H52" s="53" t="s">
        <v>160</v>
      </c>
      <c r="I52" s="53" t="s">
        <v>159</v>
      </c>
      <c r="J52" s="53" t="s">
        <v>38</v>
      </c>
      <c r="K52" s="53" t="s">
        <v>161</v>
      </c>
      <c r="L52" s="53">
        <v>3</v>
      </c>
      <c r="N52" s="53">
        <v>1</v>
      </c>
      <c r="O52" s="53">
        <v>0.35</v>
      </c>
      <c r="P52" s="53">
        <v>0.4</v>
      </c>
      <c r="Q52" s="74">
        <f t="shared" si="0"/>
        <v>0.375</v>
      </c>
      <c r="R52" s="53">
        <v>15</v>
      </c>
      <c r="S52" s="53">
        <v>123</v>
      </c>
      <c r="T52" s="16">
        <f t="shared" si="1"/>
        <v>27</v>
      </c>
      <c r="U52" s="53">
        <v>170</v>
      </c>
      <c r="V52" s="16">
        <f t="shared" si="2"/>
        <v>4590</v>
      </c>
      <c r="W52" s="53">
        <v>4</v>
      </c>
      <c r="X52" s="53" t="s">
        <v>46</v>
      </c>
      <c r="Y52" s="53" t="s">
        <v>55</v>
      </c>
      <c r="Z52" s="53" t="s">
        <v>69</v>
      </c>
      <c r="AA52" s="53" t="s">
        <v>47</v>
      </c>
      <c r="AB52" s="53" t="s">
        <v>158</v>
      </c>
    </row>
    <row r="53" spans="1:28" x14ac:dyDescent="0.15">
      <c r="A53" s="53" t="s">
        <v>41</v>
      </c>
      <c r="B53" s="53" t="s">
        <v>157</v>
      </c>
      <c r="C53" s="62">
        <v>2019</v>
      </c>
      <c r="D53" s="63" t="s">
        <v>185</v>
      </c>
      <c r="E53" s="53" t="s">
        <v>195</v>
      </c>
      <c r="F53" s="53" t="s">
        <v>186</v>
      </c>
      <c r="G53" s="53" t="s">
        <v>42</v>
      </c>
      <c r="H53" s="53" t="s">
        <v>160</v>
      </c>
      <c r="I53" s="53" t="s">
        <v>159</v>
      </c>
      <c r="J53" s="53" t="s">
        <v>38</v>
      </c>
      <c r="K53" s="53" t="s">
        <v>161</v>
      </c>
      <c r="L53" s="53">
        <v>1</v>
      </c>
      <c r="N53" s="53">
        <v>4</v>
      </c>
      <c r="O53" s="53">
        <v>0.45</v>
      </c>
      <c r="P53" s="53">
        <v>0.5</v>
      </c>
      <c r="Q53" s="16">
        <f t="shared" si="0"/>
        <v>0.47499999999999998</v>
      </c>
      <c r="R53" s="53">
        <v>14.7</v>
      </c>
      <c r="S53" s="53">
        <v>120</v>
      </c>
      <c r="T53" s="16">
        <f t="shared" si="1"/>
        <v>30</v>
      </c>
      <c r="U53" s="53">
        <v>537</v>
      </c>
      <c r="V53" s="16">
        <f t="shared" si="2"/>
        <v>4027.5</v>
      </c>
      <c r="W53" s="53">
        <v>2</v>
      </c>
      <c r="X53" s="53" t="s">
        <v>46</v>
      </c>
      <c r="Y53" s="53" t="s">
        <v>55</v>
      </c>
      <c r="Z53" s="53" t="s">
        <v>69</v>
      </c>
      <c r="AA53" s="53" t="s">
        <v>47</v>
      </c>
      <c r="AB53" s="53" t="s">
        <v>158</v>
      </c>
    </row>
    <row r="54" spans="1:28" x14ac:dyDescent="0.15">
      <c r="A54" s="53" t="s">
        <v>41</v>
      </c>
      <c r="B54" s="53" t="s">
        <v>157</v>
      </c>
      <c r="C54" s="62">
        <v>2019</v>
      </c>
      <c r="D54" s="63" t="s">
        <v>185</v>
      </c>
      <c r="E54" s="53" t="s">
        <v>195</v>
      </c>
      <c r="F54" s="53" t="s">
        <v>186</v>
      </c>
      <c r="G54" s="53" t="s">
        <v>42</v>
      </c>
      <c r="H54" s="53" t="s">
        <v>160</v>
      </c>
      <c r="I54" s="53" t="s">
        <v>159</v>
      </c>
      <c r="J54" s="53" t="s">
        <v>38</v>
      </c>
      <c r="K54" s="53" t="s">
        <v>161</v>
      </c>
      <c r="L54" s="53">
        <v>2</v>
      </c>
      <c r="N54" s="53">
        <v>4</v>
      </c>
      <c r="O54" s="53">
        <v>0.5</v>
      </c>
      <c r="P54" s="53">
        <v>0.45</v>
      </c>
      <c r="Q54" s="16">
        <f t="shared" si="0"/>
        <v>0.47499999999999998</v>
      </c>
      <c r="R54" s="53">
        <v>14.2</v>
      </c>
      <c r="S54" s="53">
        <v>118</v>
      </c>
      <c r="T54" s="16">
        <f t="shared" si="1"/>
        <v>30</v>
      </c>
      <c r="U54" s="53">
        <v>537</v>
      </c>
      <c r="V54" s="16">
        <f t="shared" si="2"/>
        <v>4027.5</v>
      </c>
      <c r="W54" s="53">
        <v>2</v>
      </c>
      <c r="X54" s="53" t="s">
        <v>46</v>
      </c>
      <c r="Y54" s="53" t="s">
        <v>55</v>
      </c>
      <c r="Z54" s="53" t="s">
        <v>69</v>
      </c>
      <c r="AA54" s="53" t="s">
        <v>47</v>
      </c>
      <c r="AB54" s="53" t="s">
        <v>158</v>
      </c>
    </row>
    <row r="55" spans="1:28" x14ac:dyDescent="0.15">
      <c r="A55" s="53" t="s">
        <v>41</v>
      </c>
      <c r="B55" s="53" t="s">
        <v>157</v>
      </c>
      <c r="C55" s="62">
        <v>2019</v>
      </c>
      <c r="D55" s="63" t="s">
        <v>185</v>
      </c>
      <c r="E55" s="53" t="s">
        <v>195</v>
      </c>
      <c r="F55" s="53" t="s">
        <v>186</v>
      </c>
      <c r="G55" s="53" t="s">
        <v>42</v>
      </c>
      <c r="H55" s="53" t="s">
        <v>160</v>
      </c>
      <c r="I55" s="53" t="s">
        <v>159</v>
      </c>
      <c r="J55" s="53" t="s">
        <v>38</v>
      </c>
      <c r="K55" s="53" t="s">
        <v>161</v>
      </c>
      <c r="L55" s="53">
        <v>3</v>
      </c>
      <c r="N55" s="53">
        <v>4</v>
      </c>
      <c r="O55" s="53">
        <v>0.5</v>
      </c>
      <c r="P55" s="53">
        <v>0.5</v>
      </c>
      <c r="Q55" s="16">
        <f t="shared" si="0"/>
        <v>0.5</v>
      </c>
      <c r="R55" s="53">
        <v>15.2</v>
      </c>
      <c r="S55" s="53">
        <v>120</v>
      </c>
      <c r="T55" s="16">
        <f t="shared" si="1"/>
        <v>30</v>
      </c>
      <c r="U55" s="53">
        <v>537</v>
      </c>
      <c r="V55" s="16">
        <f t="shared" si="2"/>
        <v>4027.5</v>
      </c>
      <c r="W55" s="53">
        <v>2</v>
      </c>
      <c r="X55" s="53" t="s">
        <v>46</v>
      </c>
      <c r="Y55" s="53" t="s">
        <v>55</v>
      </c>
      <c r="Z55" s="53" t="s">
        <v>69</v>
      </c>
      <c r="AA55" s="53" t="s">
        <v>47</v>
      </c>
      <c r="AB55" s="53" t="s">
        <v>158</v>
      </c>
    </row>
    <row r="56" spans="1:28" x14ac:dyDescent="0.15">
      <c r="A56" s="53" t="s">
        <v>41</v>
      </c>
      <c r="B56" s="53" t="s">
        <v>157</v>
      </c>
      <c r="C56" s="62">
        <v>2019</v>
      </c>
      <c r="D56" s="63" t="s">
        <v>185</v>
      </c>
      <c r="E56" s="53" t="s">
        <v>195</v>
      </c>
      <c r="F56" s="53" t="s">
        <v>186</v>
      </c>
      <c r="G56" s="53" t="s">
        <v>42</v>
      </c>
      <c r="H56" s="53" t="s">
        <v>165</v>
      </c>
      <c r="I56" s="53" t="s">
        <v>159</v>
      </c>
      <c r="J56" s="53" t="s">
        <v>38</v>
      </c>
      <c r="K56" s="53" t="s">
        <v>161</v>
      </c>
      <c r="L56" s="53">
        <v>1</v>
      </c>
      <c r="N56" s="53">
        <v>1</v>
      </c>
      <c r="O56" s="53">
        <v>0.85</v>
      </c>
      <c r="P56" s="53">
        <v>1</v>
      </c>
      <c r="Q56" s="16">
        <f t="shared" si="0"/>
        <v>0.92500000000000004</v>
      </c>
      <c r="R56" s="53">
        <v>13.8</v>
      </c>
      <c r="S56" s="53">
        <v>132</v>
      </c>
      <c r="T56" s="16">
        <f t="shared" si="1"/>
        <v>25</v>
      </c>
      <c r="U56" s="53">
        <v>108</v>
      </c>
      <c r="V56" s="16">
        <f t="shared" si="2"/>
        <v>2700</v>
      </c>
      <c r="W56" s="53">
        <v>2</v>
      </c>
      <c r="X56" s="53" t="s">
        <v>46</v>
      </c>
      <c r="Y56" s="53" t="s">
        <v>55</v>
      </c>
      <c r="Z56" s="53" t="s">
        <v>69</v>
      </c>
      <c r="AA56" s="53" t="s">
        <v>47</v>
      </c>
      <c r="AB56" s="53" t="s">
        <v>158</v>
      </c>
    </row>
    <row r="57" spans="1:28" x14ac:dyDescent="0.15">
      <c r="A57" s="53" t="s">
        <v>41</v>
      </c>
      <c r="B57" s="53" t="s">
        <v>157</v>
      </c>
      <c r="C57" s="62">
        <v>2019</v>
      </c>
      <c r="D57" s="63" t="s">
        <v>185</v>
      </c>
      <c r="E57" s="53" t="s">
        <v>195</v>
      </c>
      <c r="F57" s="53" t="s">
        <v>186</v>
      </c>
      <c r="G57" s="53" t="s">
        <v>42</v>
      </c>
      <c r="H57" s="53" t="s">
        <v>165</v>
      </c>
      <c r="I57" s="53" t="s">
        <v>159</v>
      </c>
      <c r="J57" s="53" t="s">
        <v>38</v>
      </c>
      <c r="K57" s="53" t="s">
        <v>161</v>
      </c>
      <c r="L57" s="53">
        <v>2</v>
      </c>
      <c r="N57" s="53">
        <v>1</v>
      </c>
      <c r="O57" s="53">
        <v>0.65</v>
      </c>
      <c r="P57" s="53">
        <v>0.7</v>
      </c>
      <c r="Q57" s="16">
        <f t="shared" si="0"/>
        <v>0.67500000000000004</v>
      </c>
      <c r="R57" s="53">
        <v>14.1</v>
      </c>
      <c r="S57" s="53">
        <v>126</v>
      </c>
      <c r="T57" s="16">
        <f t="shared" si="1"/>
        <v>27</v>
      </c>
      <c r="U57" s="53">
        <v>108</v>
      </c>
      <c r="V57" s="16">
        <f t="shared" si="2"/>
        <v>2916</v>
      </c>
      <c r="W57" s="53">
        <v>2</v>
      </c>
      <c r="X57" s="53" t="s">
        <v>46</v>
      </c>
      <c r="Y57" s="53" t="s">
        <v>55</v>
      </c>
      <c r="Z57" s="53" t="s">
        <v>69</v>
      </c>
      <c r="AA57" s="53" t="s">
        <v>47</v>
      </c>
      <c r="AB57" s="53" t="s">
        <v>158</v>
      </c>
    </row>
    <row r="58" spans="1:28" x14ac:dyDescent="0.15">
      <c r="A58" s="53" t="s">
        <v>41</v>
      </c>
      <c r="B58" s="53" t="s">
        <v>157</v>
      </c>
      <c r="C58" s="62">
        <v>2019</v>
      </c>
      <c r="D58" s="63" t="s">
        <v>185</v>
      </c>
      <c r="E58" s="53" t="s">
        <v>195</v>
      </c>
      <c r="F58" s="53" t="s">
        <v>186</v>
      </c>
      <c r="G58" s="53" t="s">
        <v>42</v>
      </c>
      <c r="H58" s="53" t="s">
        <v>165</v>
      </c>
      <c r="I58" s="53" t="s">
        <v>159</v>
      </c>
      <c r="J58" s="53" t="s">
        <v>38</v>
      </c>
      <c r="K58" s="53" t="s">
        <v>161</v>
      </c>
      <c r="L58" s="53">
        <v>3</v>
      </c>
      <c r="N58" s="53">
        <v>1</v>
      </c>
      <c r="O58" s="53">
        <v>0.8</v>
      </c>
      <c r="P58" s="53">
        <v>0.75</v>
      </c>
      <c r="Q58" s="16">
        <f t="shared" si="0"/>
        <v>0.77500000000000002</v>
      </c>
      <c r="R58" s="53">
        <v>12.8</v>
      </c>
      <c r="S58" s="53">
        <v>127</v>
      </c>
      <c r="T58" s="16">
        <f t="shared" si="1"/>
        <v>27</v>
      </c>
      <c r="U58" s="53">
        <v>108</v>
      </c>
      <c r="V58" s="16">
        <f t="shared" si="2"/>
        <v>2916</v>
      </c>
      <c r="W58" s="53">
        <v>2</v>
      </c>
      <c r="X58" s="53" t="s">
        <v>46</v>
      </c>
      <c r="Y58" s="53" t="s">
        <v>55</v>
      </c>
      <c r="Z58" s="53" t="s">
        <v>69</v>
      </c>
      <c r="AA58" s="53" t="s">
        <v>47</v>
      </c>
      <c r="AB58" s="53" t="s">
        <v>158</v>
      </c>
    </row>
    <row r="59" spans="1:28" x14ac:dyDescent="0.15">
      <c r="A59" s="53" t="s">
        <v>41</v>
      </c>
      <c r="B59" s="53" t="s">
        <v>157</v>
      </c>
      <c r="C59" s="62">
        <v>2019</v>
      </c>
      <c r="D59" s="63" t="s">
        <v>185</v>
      </c>
      <c r="E59" s="53" t="s">
        <v>195</v>
      </c>
      <c r="F59" s="53" t="s">
        <v>186</v>
      </c>
      <c r="G59" s="53" t="s">
        <v>42</v>
      </c>
      <c r="H59" s="53" t="s">
        <v>160</v>
      </c>
      <c r="I59" s="53" t="s">
        <v>159</v>
      </c>
      <c r="J59" s="53" t="s">
        <v>38</v>
      </c>
      <c r="K59" s="53" t="s">
        <v>161</v>
      </c>
      <c r="L59" s="53">
        <v>1</v>
      </c>
      <c r="N59" s="53">
        <v>8</v>
      </c>
      <c r="O59" s="53">
        <v>0.85</v>
      </c>
      <c r="P59" s="53">
        <v>0.9</v>
      </c>
      <c r="Q59" s="16">
        <f t="shared" si="0"/>
        <v>0.875</v>
      </c>
      <c r="R59" s="53">
        <v>13.4</v>
      </c>
      <c r="S59" s="53">
        <v>122</v>
      </c>
      <c r="T59" s="16">
        <f t="shared" si="1"/>
        <v>27</v>
      </c>
      <c r="U59" s="53">
        <v>1382</v>
      </c>
      <c r="V59" s="16">
        <f t="shared" si="2"/>
        <v>4664.25</v>
      </c>
      <c r="W59" s="53">
        <v>4</v>
      </c>
      <c r="X59" s="53" t="s">
        <v>46</v>
      </c>
      <c r="Y59" s="53" t="s">
        <v>55</v>
      </c>
      <c r="Z59" s="53" t="s">
        <v>69</v>
      </c>
      <c r="AA59" s="53" t="s">
        <v>47</v>
      </c>
      <c r="AB59" s="53" t="s">
        <v>158</v>
      </c>
    </row>
    <row r="60" spans="1:28" x14ac:dyDescent="0.15">
      <c r="A60" s="53" t="s">
        <v>41</v>
      </c>
      <c r="B60" s="53" t="s">
        <v>157</v>
      </c>
      <c r="C60" s="62">
        <v>2019</v>
      </c>
      <c r="D60" s="63" t="s">
        <v>185</v>
      </c>
      <c r="E60" s="53" t="s">
        <v>195</v>
      </c>
      <c r="F60" s="53" t="s">
        <v>186</v>
      </c>
      <c r="G60" s="53" t="s">
        <v>42</v>
      </c>
      <c r="H60" s="53" t="s">
        <v>160</v>
      </c>
      <c r="I60" s="53" t="s">
        <v>159</v>
      </c>
      <c r="J60" s="53" t="s">
        <v>38</v>
      </c>
      <c r="K60" s="53" t="s">
        <v>161</v>
      </c>
      <c r="L60" s="53">
        <v>2</v>
      </c>
      <c r="N60" s="53">
        <v>8</v>
      </c>
      <c r="O60" s="53">
        <v>1</v>
      </c>
      <c r="P60" s="53">
        <v>0.9</v>
      </c>
      <c r="Q60" s="16">
        <f t="shared" si="0"/>
        <v>0.95</v>
      </c>
      <c r="R60" s="53">
        <v>14.9</v>
      </c>
      <c r="S60" s="53">
        <v>124</v>
      </c>
      <c r="T60" s="16">
        <f t="shared" si="1"/>
        <v>27</v>
      </c>
      <c r="U60" s="53">
        <v>1382</v>
      </c>
      <c r="V60" s="16">
        <f t="shared" si="2"/>
        <v>4664.25</v>
      </c>
      <c r="W60" s="53">
        <v>4</v>
      </c>
      <c r="X60" s="53" t="s">
        <v>46</v>
      </c>
      <c r="Y60" s="53" t="s">
        <v>55</v>
      </c>
      <c r="Z60" s="53" t="s">
        <v>69</v>
      </c>
      <c r="AA60" s="53" t="s">
        <v>47</v>
      </c>
      <c r="AB60" s="53" t="s">
        <v>158</v>
      </c>
    </row>
    <row r="61" spans="1:28" x14ac:dyDescent="0.15">
      <c r="A61" s="53" t="s">
        <v>41</v>
      </c>
      <c r="B61" s="53" t="s">
        <v>157</v>
      </c>
      <c r="C61" s="62">
        <v>2019</v>
      </c>
      <c r="D61" s="63" t="s">
        <v>185</v>
      </c>
      <c r="E61" s="53" t="s">
        <v>195</v>
      </c>
      <c r="F61" s="53" t="s">
        <v>186</v>
      </c>
      <c r="G61" s="53" t="s">
        <v>42</v>
      </c>
      <c r="H61" s="53" t="s">
        <v>160</v>
      </c>
      <c r="I61" s="53" t="s">
        <v>159</v>
      </c>
      <c r="J61" s="53" t="s">
        <v>38</v>
      </c>
      <c r="K61" s="53" t="s">
        <v>161</v>
      </c>
      <c r="L61" s="53">
        <v>3</v>
      </c>
      <c r="N61" s="53">
        <v>8</v>
      </c>
      <c r="O61" s="53">
        <v>0.95</v>
      </c>
      <c r="P61" s="53">
        <v>0.8</v>
      </c>
      <c r="Q61" s="16">
        <f t="shared" si="0"/>
        <v>0.875</v>
      </c>
      <c r="R61" s="53">
        <v>15</v>
      </c>
      <c r="S61" s="53">
        <v>121</v>
      </c>
      <c r="T61" s="16">
        <f t="shared" si="1"/>
        <v>27</v>
      </c>
      <c r="U61" s="53">
        <v>1382</v>
      </c>
      <c r="V61" s="16">
        <f t="shared" si="2"/>
        <v>4664.25</v>
      </c>
      <c r="W61" s="53">
        <v>4</v>
      </c>
      <c r="X61" s="53" t="s">
        <v>46</v>
      </c>
      <c r="Y61" s="53" t="s">
        <v>55</v>
      </c>
      <c r="Z61" s="53" t="s">
        <v>69</v>
      </c>
      <c r="AA61" s="53" t="s">
        <v>47</v>
      </c>
      <c r="AB61" s="53" t="s">
        <v>158</v>
      </c>
    </row>
    <row r="62" spans="1:28" x14ac:dyDescent="0.15">
      <c r="A62" s="53" t="s">
        <v>41</v>
      </c>
      <c r="B62" s="53" t="s">
        <v>157</v>
      </c>
      <c r="C62" s="62">
        <v>2019</v>
      </c>
      <c r="D62" s="63" t="s">
        <v>185</v>
      </c>
      <c r="E62" s="53" t="s">
        <v>195</v>
      </c>
      <c r="F62" s="53" t="s">
        <v>197</v>
      </c>
      <c r="G62" s="53" t="s">
        <v>42</v>
      </c>
      <c r="H62" s="53" t="s">
        <v>160</v>
      </c>
      <c r="I62" s="53" t="s">
        <v>159</v>
      </c>
      <c r="J62" s="53" t="s">
        <v>38</v>
      </c>
      <c r="K62" s="53" t="s">
        <v>161</v>
      </c>
      <c r="L62" s="53">
        <v>1</v>
      </c>
      <c r="N62" s="53">
        <v>8</v>
      </c>
      <c r="O62" s="53">
        <v>0.35</v>
      </c>
      <c r="P62" s="53">
        <v>0.25</v>
      </c>
      <c r="Q62" s="16">
        <f t="shared" si="0"/>
        <v>0.3</v>
      </c>
      <c r="R62" s="53">
        <v>14.8</v>
      </c>
      <c r="S62" s="53">
        <v>122</v>
      </c>
      <c r="T62" s="16">
        <f t="shared" si="1"/>
        <v>27</v>
      </c>
      <c r="U62" s="53">
        <v>1069</v>
      </c>
      <c r="V62" s="16">
        <f t="shared" si="2"/>
        <v>3607.875</v>
      </c>
      <c r="W62" s="53">
        <v>2</v>
      </c>
      <c r="X62" s="53" t="s">
        <v>46</v>
      </c>
      <c r="Y62" s="53" t="s">
        <v>55</v>
      </c>
      <c r="Z62" s="53" t="s">
        <v>69</v>
      </c>
      <c r="AA62" s="53" t="s">
        <v>60</v>
      </c>
      <c r="AB62" s="53" t="s">
        <v>158</v>
      </c>
    </row>
    <row r="63" spans="1:28" x14ac:dyDescent="0.15">
      <c r="A63" s="53" t="s">
        <v>41</v>
      </c>
      <c r="B63" s="53" t="s">
        <v>157</v>
      </c>
      <c r="C63" s="62">
        <v>2019</v>
      </c>
      <c r="D63" s="63" t="s">
        <v>185</v>
      </c>
      <c r="E63" s="53" t="s">
        <v>195</v>
      </c>
      <c r="F63" s="53" t="s">
        <v>197</v>
      </c>
      <c r="G63" s="53" t="s">
        <v>42</v>
      </c>
      <c r="H63" s="53" t="s">
        <v>160</v>
      </c>
      <c r="I63" s="53" t="s">
        <v>159</v>
      </c>
      <c r="J63" s="53" t="s">
        <v>38</v>
      </c>
      <c r="K63" s="53" t="s">
        <v>161</v>
      </c>
      <c r="L63" s="53">
        <v>2</v>
      </c>
      <c r="N63" s="53">
        <v>8</v>
      </c>
      <c r="O63" s="53">
        <v>0.25</v>
      </c>
      <c r="P63" s="53">
        <v>0.3</v>
      </c>
      <c r="Q63" s="16">
        <f t="shared" si="0"/>
        <v>0.27500000000000002</v>
      </c>
      <c r="R63" s="53">
        <v>13.8</v>
      </c>
      <c r="S63" s="53">
        <v>124</v>
      </c>
      <c r="T63" s="16">
        <f t="shared" si="1"/>
        <v>27</v>
      </c>
      <c r="U63" s="53">
        <v>1069</v>
      </c>
      <c r="V63" s="16">
        <f t="shared" si="2"/>
        <v>3607.875</v>
      </c>
      <c r="W63" s="53">
        <v>2</v>
      </c>
      <c r="X63" s="53" t="s">
        <v>46</v>
      </c>
      <c r="Y63" s="53" t="s">
        <v>55</v>
      </c>
      <c r="Z63" s="53" t="s">
        <v>69</v>
      </c>
      <c r="AA63" s="53" t="s">
        <v>60</v>
      </c>
      <c r="AB63" s="53" t="s">
        <v>158</v>
      </c>
    </row>
    <row r="64" spans="1:28" x14ac:dyDescent="0.15">
      <c r="A64" s="53" t="s">
        <v>41</v>
      </c>
      <c r="B64" s="53" t="s">
        <v>157</v>
      </c>
      <c r="C64" s="62">
        <v>2019</v>
      </c>
      <c r="D64" s="63" t="s">
        <v>185</v>
      </c>
      <c r="E64" s="53" t="s">
        <v>195</v>
      </c>
      <c r="F64" s="53" t="s">
        <v>197</v>
      </c>
      <c r="G64" s="53" t="s">
        <v>42</v>
      </c>
      <c r="H64" s="53" t="s">
        <v>160</v>
      </c>
      <c r="I64" s="53" t="s">
        <v>159</v>
      </c>
      <c r="J64" s="53" t="s">
        <v>38</v>
      </c>
      <c r="K64" s="53" t="s">
        <v>161</v>
      </c>
      <c r="L64" s="53">
        <v>3</v>
      </c>
      <c r="N64" s="53">
        <v>8</v>
      </c>
      <c r="O64" s="53">
        <v>0.3</v>
      </c>
      <c r="P64" s="53">
        <v>0.25</v>
      </c>
      <c r="Q64" s="16">
        <f t="shared" si="0"/>
        <v>0.27500000000000002</v>
      </c>
      <c r="R64" s="53">
        <v>14</v>
      </c>
      <c r="S64" s="53">
        <v>121</v>
      </c>
      <c r="T64" s="16">
        <f t="shared" si="1"/>
        <v>27</v>
      </c>
      <c r="U64" s="53">
        <v>1069</v>
      </c>
      <c r="V64" s="16">
        <f t="shared" si="2"/>
        <v>3607.875</v>
      </c>
      <c r="W64" s="53">
        <v>2</v>
      </c>
      <c r="X64" s="53" t="s">
        <v>46</v>
      </c>
      <c r="Y64" s="53" t="s">
        <v>55</v>
      </c>
      <c r="Z64" s="53" t="s">
        <v>69</v>
      </c>
      <c r="AA64" s="53" t="s">
        <v>60</v>
      </c>
      <c r="AB64" s="53" t="s">
        <v>158</v>
      </c>
    </row>
    <row r="65" spans="1:28" x14ac:dyDescent="0.15">
      <c r="A65" s="53" t="s">
        <v>41</v>
      </c>
      <c r="B65" s="53" t="s">
        <v>157</v>
      </c>
      <c r="C65" s="62">
        <v>2019</v>
      </c>
      <c r="D65" s="63" t="s">
        <v>185</v>
      </c>
      <c r="E65" s="53" t="s">
        <v>195</v>
      </c>
      <c r="F65" s="53" t="s">
        <v>197</v>
      </c>
      <c r="G65" s="53" t="s">
        <v>42</v>
      </c>
      <c r="H65" s="53" t="s">
        <v>165</v>
      </c>
      <c r="I65" s="53" t="s">
        <v>159</v>
      </c>
      <c r="J65" s="53" t="s">
        <v>38</v>
      </c>
      <c r="K65" s="53" t="s">
        <v>161</v>
      </c>
      <c r="L65" s="53">
        <v>1</v>
      </c>
      <c r="N65" s="53">
        <v>1</v>
      </c>
      <c r="O65" s="53">
        <v>0.85</v>
      </c>
      <c r="P65" s="53">
        <v>0.75</v>
      </c>
      <c r="Q65" s="74">
        <f t="shared" si="0"/>
        <v>0.8</v>
      </c>
      <c r="R65" s="53">
        <v>15.1</v>
      </c>
      <c r="S65" s="53">
        <v>126</v>
      </c>
      <c r="T65" s="16">
        <f t="shared" si="1"/>
        <v>27</v>
      </c>
      <c r="U65" s="53">
        <v>108</v>
      </c>
      <c r="V65" s="16">
        <f t="shared" si="2"/>
        <v>2916</v>
      </c>
      <c r="W65" s="53">
        <v>2</v>
      </c>
      <c r="X65" s="53" t="s">
        <v>46</v>
      </c>
      <c r="Y65" s="53" t="s">
        <v>55</v>
      </c>
      <c r="Z65" s="53" t="s">
        <v>69</v>
      </c>
      <c r="AA65" s="53" t="s">
        <v>60</v>
      </c>
      <c r="AB65" s="53" t="s">
        <v>158</v>
      </c>
    </row>
    <row r="66" spans="1:28" x14ac:dyDescent="0.15">
      <c r="A66" s="53" t="s">
        <v>41</v>
      </c>
      <c r="B66" s="53" t="s">
        <v>157</v>
      </c>
      <c r="C66" s="62">
        <v>2019</v>
      </c>
      <c r="D66" s="63" t="s">
        <v>185</v>
      </c>
      <c r="E66" s="53" t="s">
        <v>195</v>
      </c>
      <c r="F66" s="53" t="s">
        <v>197</v>
      </c>
      <c r="G66" s="53" t="s">
        <v>42</v>
      </c>
      <c r="H66" s="53" t="s">
        <v>165</v>
      </c>
      <c r="I66" s="53" t="s">
        <v>159</v>
      </c>
      <c r="J66" s="53" t="s">
        <v>38</v>
      </c>
      <c r="K66" s="53" t="s">
        <v>161</v>
      </c>
      <c r="L66" s="53">
        <v>2</v>
      </c>
      <c r="N66" s="53">
        <v>1</v>
      </c>
      <c r="O66" s="53">
        <v>0.6</v>
      </c>
      <c r="P66" s="53">
        <v>0.5</v>
      </c>
      <c r="Q66" s="74">
        <f t="shared" ref="Q66:Q129" si="3">IF(OR(O66="",P66=""),"",AVERAGE(O66,P66))</f>
        <v>0.55000000000000004</v>
      </c>
      <c r="R66" s="53">
        <v>13</v>
      </c>
      <c r="S66" s="53">
        <v>127</v>
      </c>
      <c r="T66" s="16">
        <f t="shared" ref="T66:T129" si="4">IF(H66="","",IF(OR(H66="GREEN",H66="GK"),IF(S66&gt;=$AX$2,VLOOKUP(S66,$AX$2:$AY$10,2,1),""),IF(S66&gt;=$AZ$2,VLOOKUP(S66,$AZ$2:$BA$10,2,1),"")))</f>
        <v>27</v>
      </c>
      <c r="U66" s="53">
        <v>108</v>
      </c>
      <c r="V66" s="16">
        <f t="shared" ref="V66:V129" si="5">IF(OR(N66="",U66="",T66=""),"",U66/N66*T66)</f>
        <v>2916</v>
      </c>
      <c r="W66" s="53">
        <v>2</v>
      </c>
      <c r="X66" s="53" t="s">
        <v>46</v>
      </c>
      <c r="Y66" s="53" t="s">
        <v>55</v>
      </c>
      <c r="Z66" s="53" t="s">
        <v>69</v>
      </c>
      <c r="AA66" s="53" t="s">
        <v>60</v>
      </c>
      <c r="AB66" s="53" t="s">
        <v>158</v>
      </c>
    </row>
    <row r="67" spans="1:28" x14ac:dyDescent="0.15">
      <c r="A67" s="53" t="s">
        <v>41</v>
      </c>
      <c r="B67" s="53" t="s">
        <v>157</v>
      </c>
      <c r="C67" s="62">
        <v>2019</v>
      </c>
      <c r="D67" s="63" t="s">
        <v>185</v>
      </c>
      <c r="E67" s="53" t="s">
        <v>195</v>
      </c>
      <c r="F67" s="53" t="s">
        <v>197</v>
      </c>
      <c r="G67" s="53" t="s">
        <v>42</v>
      </c>
      <c r="H67" s="53" t="s">
        <v>165</v>
      </c>
      <c r="I67" s="53" t="s">
        <v>159</v>
      </c>
      <c r="J67" s="53" t="s">
        <v>38</v>
      </c>
      <c r="K67" s="53" t="s">
        <v>161</v>
      </c>
      <c r="L67" s="53">
        <v>3</v>
      </c>
      <c r="N67" s="53">
        <v>1</v>
      </c>
      <c r="O67" s="53">
        <v>0.9</v>
      </c>
      <c r="P67" s="53">
        <v>0.95</v>
      </c>
      <c r="Q67" s="74">
        <f t="shared" si="3"/>
        <v>0.92500000000000004</v>
      </c>
      <c r="R67" s="53">
        <v>13.5</v>
      </c>
      <c r="S67" s="53">
        <v>124</v>
      </c>
      <c r="T67" s="16">
        <f t="shared" si="4"/>
        <v>27</v>
      </c>
      <c r="U67" s="53">
        <v>108</v>
      </c>
      <c r="V67" s="16">
        <f t="shared" si="5"/>
        <v>2916</v>
      </c>
      <c r="W67" s="53">
        <v>2</v>
      </c>
      <c r="X67" s="53" t="s">
        <v>46</v>
      </c>
      <c r="Y67" s="53" t="s">
        <v>55</v>
      </c>
      <c r="Z67" s="53" t="s">
        <v>69</v>
      </c>
      <c r="AA67" s="53" t="s">
        <v>60</v>
      </c>
      <c r="AB67" s="53" t="s">
        <v>158</v>
      </c>
    </row>
    <row r="68" spans="1:28" x14ac:dyDescent="0.15">
      <c r="A68" s="53" t="s">
        <v>41</v>
      </c>
      <c r="B68" s="53" t="s">
        <v>157</v>
      </c>
      <c r="C68" s="62">
        <v>2019</v>
      </c>
      <c r="D68" s="63" t="s">
        <v>185</v>
      </c>
      <c r="E68" s="53" t="s">
        <v>195</v>
      </c>
      <c r="F68" s="53" t="s">
        <v>197</v>
      </c>
      <c r="G68" s="53" t="s">
        <v>42</v>
      </c>
      <c r="H68" s="53" t="s">
        <v>165</v>
      </c>
      <c r="I68" s="53" t="s">
        <v>159</v>
      </c>
      <c r="J68" s="53" t="s">
        <v>38</v>
      </c>
      <c r="K68" s="53" t="s">
        <v>161</v>
      </c>
      <c r="L68" s="53">
        <v>1</v>
      </c>
      <c r="N68" s="53">
        <v>5</v>
      </c>
      <c r="O68" s="53">
        <v>0.45</v>
      </c>
      <c r="P68" s="53">
        <v>0.6</v>
      </c>
      <c r="Q68" s="74">
        <f t="shared" si="3"/>
        <v>0.52500000000000002</v>
      </c>
      <c r="R68" s="53">
        <v>14.5</v>
      </c>
      <c r="S68" s="53">
        <v>122</v>
      </c>
      <c r="T68" s="16">
        <f t="shared" si="4"/>
        <v>27</v>
      </c>
      <c r="U68" s="53">
        <v>429</v>
      </c>
      <c r="V68" s="16">
        <f t="shared" si="5"/>
        <v>2316.6</v>
      </c>
      <c r="W68" s="53">
        <v>2</v>
      </c>
      <c r="X68" s="53" t="s">
        <v>46</v>
      </c>
      <c r="Y68" s="53" t="s">
        <v>55</v>
      </c>
      <c r="Z68" s="53" t="s">
        <v>69</v>
      </c>
      <c r="AA68" s="53" t="s">
        <v>60</v>
      </c>
      <c r="AB68" s="53" t="s">
        <v>158</v>
      </c>
    </row>
    <row r="69" spans="1:28" x14ac:dyDescent="0.15">
      <c r="A69" s="53" t="s">
        <v>41</v>
      </c>
      <c r="B69" s="53" t="s">
        <v>157</v>
      </c>
      <c r="C69" s="62">
        <v>2019</v>
      </c>
      <c r="D69" s="63" t="s">
        <v>185</v>
      </c>
      <c r="E69" s="53" t="s">
        <v>195</v>
      </c>
      <c r="F69" s="53" t="s">
        <v>197</v>
      </c>
      <c r="G69" s="53" t="s">
        <v>42</v>
      </c>
      <c r="H69" s="53" t="s">
        <v>165</v>
      </c>
      <c r="I69" s="53" t="s">
        <v>159</v>
      </c>
      <c r="J69" s="53" t="s">
        <v>38</v>
      </c>
      <c r="K69" s="53" t="s">
        <v>161</v>
      </c>
      <c r="L69" s="53">
        <v>2</v>
      </c>
      <c r="N69" s="53">
        <v>5</v>
      </c>
      <c r="O69" s="53">
        <v>0.35</v>
      </c>
      <c r="P69" s="53">
        <v>0.35</v>
      </c>
      <c r="Q69" s="74">
        <f t="shared" si="3"/>
        <v>0.35</v>
      </c>
      <c r="R69" s="53">
        <v>13.8</v>
      </c>
      <c r="S69" s="53">
        <v>121</v>
      </c>
      <c r="T69" s="16">
        <f t="shared" si="4"/>
        <v>27</v>
      </c>
      <c r="U69" s="53">
        <v>429</v>
      </c>
      <c r="V69" s="16">
        <f t="shared" si="5"/>
        <v>2316.6</v>
      </c>
      <c r="W69" s="53">
        <v>2</v>
      </c>
      <c r="X69" s="53" t="s">
        <v>46</v>
      </c>
      <c r="Y69" s="53" t="s">
        <v>55</v>
      </c>
      <c r="Z69" s="53" t="s">
        <v>69</v>
      </c>
      <c r="AA69" s="53" t="s">
        <v>60</v>
      </c>
      <c r="AB69" s="53" t="s">
        <v>158</v>
      </c>
    </row>
    <row r="70" spans="1:28" x14ac:dyDescent="0.15">
      <c r="A70" s="53" t="s">
        <v>41</v>
      </c>
      <c r="B70" s="53" t="s">
        <v>157</v>
      </c>
      <c r="C70" s="62">
        <v>2019</v>
      </c>
      <c r="D70" s="63" t="s">
        <v>185</v>
      </c>
      <c r="E70" s="53" t="s">
        <v>195</v>
      </c>
      <c r="F70" s="53" t="s">
        <v>197</v>
      </c>
      <c r="G70" s="53" t="s">
        <v>42</v>
      </c>
      <c r="H70" s="53" t="s">
        <v>165</v>
      </c>
      <c r="I70" s="53" t="s">
        <v>159</v>
      </c>
      <c r="J70" s="53" t="s">
        <v>38</v>
      </c>
      <c r="K70" s="53" t="s">
        <v>161</v>
      </c>
      <c r="L70" s="53">
        <v>3</v>
      </c>
      <c r="N70" s="53">
        <v>5</v>
      </c>
      <c r="O70" s="53">
        <v>0.3</v>
      </c>
      <c r="P70" s="53">
        <v>0.45</v>
      </c>
      <c r="Q70" s="74">
        <f t="shared" si="3"/>
        <v>0.375</v>
      </c>
      <c r="R70" s="53">
        <v>15</v>
      </c>
      <c r="S70" s="53">
        <v>120</v>
      </c>
      <c r="T70" s="16">
        <f t="shared" si="4"/>
        <v>30</v>
      </c>
      <c r="U70" s="53">
        <v>429</v>
      </c>
      <c r="V70" s="16">
        <f t="shared" si="5"/>
        <v>2574</v>
      </c>
      <c r="W70" s="53">
        <v>2</v>
      </c>
      <c r="X70" s="53" t="s">
        <v>46</v>
      </c>
      <c r="Y70" s="53" t="s">
        <v>55</v>
      </c>
      <c r="Z70" s="53" t="s">
        <v>69</v>
      </c>
      <c r="AA70" s="53" t="s">
        <v>60</v>
      </c>
      <c r="AB70" s="53" t="s">
        <v>158</v>
      </c>
    </row>
    <row r="71" spans="1:28" x14ac:dyDescent="0.15">
      <c r="A71" s="53" t="s">
        <v>41</v>
      </c>
      <c r="B71" s="53" t="s">
        <v>157</v>
      </c>
      <c r="C71" s="62">
        <v>2019</v>
      </c>
      <c r="D71" s="63" t="s">
        <v>185</v>
      </c>
      <c r="E71" s="53" t="s">
        <v>195</v>
      </c>
      <c r="F71" s="53" t="s">
        <v>197</v>
      </c>
      <c r="G71" s="53" t="s">
        <v>42</v>
      </c>
      <c r="H71" s="53" t="s">
        <v>165</v>
      </c>
      <c r="I71" s="53" t="s">
        <v>159</v>
      </c>
      <c r="J71" s="53" t="s">
        <v>38</v>
      </c>
      <c r="K71" s="53" t="s">
        <v>161</v>
      </c>
      <c r="L71" s="53">
        <v>1</v>
      </c>
      <c r="N71" s="53">
        <v>7</v>
      </c>
      <c r="O71" s="53">
        <v>0.45</v>
      </c>
      <c r="P71" s="53">
        <v>0.5</v>
      </c>
      <c r="Q71" s="74">
        <f t="shared" si="3"/>
        <v>0.47499999999999998</v>
      </c>
      <c r="R71" s="53">
        <v>12.8</v>
      </c>
      <c r="S71" s="53">
        <v>120</v>
      </c>
      <c r="T71" s="16">
        <f t="shared" si="4"/>
        <v>30</v>
      </c>
      <c r="U71" s="53">
        <v>734</v>
      </c>
      <c r="V71" s="16">
        <f t="shared" si="5"/>
        <v>3145.7142857142858</v>
      </c>
      <c r="W71" s="53">
        <v>2</v>
      </c>
      <c r="X71" s="53" t="s">
        <v>46</v>
      </c>
      <c r="Y71" s="53" t="s">
        <v>55</v>
      </c>
      <c r="Z71" s="53" t="s">
        <v>69</v>
      </c>
      <c r="AA71" s="53" t="s">
        <v>60</v>
      </c>
      <c r="AB71" s="53" t="s">
        <v>158</v>
      </c>
    </row>
    <row r="72" spans="1:28" x14ac:dyDescent="0.15">
      <c r="A72" s="53" t="s">
        <v>41</v>
      </c>
      <c r="B72" s="53" t="s">
        <v>157</v>
      </c>
      <c r="C72" s="62">
        <v>2019</v>
      </c>
      <c r="D72" s="63" t="s">
        <v>185</v>
      </c>
      <c r="E72" s="53" t="s">
        <v>195</v>
      </c>
      <c r="F72" s="53" t="s">
        <v>197</v>
      </c>
      <c r="G72" s="53" t="s">
        <v>42</v>
      </c>
      <c r="H72" s="53" t="s">
        <v>165</v>
      </c>
      <c r="I72" s="53" t="s">
        <v>159</v>
      </c>
      <c r="J72" s="53" t="s">
        <v>38</v>
      </c>
      <c r="K72" s="53" t="s">
        <v>161</v>
      </c>
      <c r="L72" s="53">
        <v>2</v>
      </c>
      <c r="N72" s="53">
        <v>7</v>
      </c>
      <c r="O72" s="53">
        <v>0.5</v>
      </c>
      <c r="P72" s="53">
        <v>0.5</v>
      </c>
      <c r="Q72" s="74">
        <f t="shared" si="3"/>
        <v>0.5</v>
      </c>
      <c r="R72" s="53">
        <v>16.5</v>
      </c>
      <c r="S72" s="53">
        <v>118</v>
      </c>
      <c r="T72" s="16">
        <f t="shared" si="4"/>
        <v>30</v>
      </c>
      <c r="U72" s="53">
        <v>734</v>
      </c>
      <c r="V72" s="16">
        <f t="shared" si="5"/>
        <v>3145.7142857142858</v>
      </c>
      <c r="W72" s="53">
        <v>2</v>
      </c>
      <c r="X72" s="53" t="s">
        <v>46</v>
      </c>
      <c r="Y72" s="53" t="s">
        <v>55</v>
      </c>
      <c r="Z72" s="53" t="s">
        <v>69</v>
      </c>
      <c r="AA72" s="53" t="s">
        <v>60</v>
      </c>
      <c r="AB72" s="53" t="s">
        <v>158</v>
      </c>
    </row>
    <row r="73" spans="1:28" x14ac:dyDescent="0.15">
      <c r="A73" s="53" t="s">
        <v>41</v>
      </c>
      <c r="B73" s="53" t="s">
        <v>157</v>
      </c>
      <c r="C73" s="62">
        <v>2019</v>
      </c>
      <c r="D73" s="63" t="s">
        <v>185</v>
      </c>
      <c r="E73" s="53" t="s">
        <v>195</v>
      </c>
      <c r="F73" s="53" t="s">
        <v>197</v>
      </c>
      <c r="G73" s="53" t="s">
        <v>42</v>
      </c>
      <c r="H73" s="53" t="s">
        <v>165</v>
      </c>
      <c r="I73" s="53" t="s">
        <v>159</v>
      </c>
      <c r="J73" s="53" t="s">
        <v>38</v>
      </c>
      <c r="K73" s="53" t="s">
        <v>161</v>
      </c>
      <c r="L73" s="53">
        <v>3</v>
      </c>
      <c r="N73" s="53">
        <v>7</v>
      </c>
      <c r="O73" s="53">
        <v>0.6</v>
      </c>
      <c r="P73" s="53">
        <v>0.65</v>
      </c>
      <c r="Q73" s="74">
        <f t="shared" si="3"/>
        <v>0.625</v>
      </c>
      <c r="R73" s="53">
        <v>14.1</v>
      </c>
      <c r="S73" s="53">
        <v>117</v>
      </c>
      <c r="T73" s="16">
        <f t="shared" si="4"/>
        <v>30</v>
      </c>
      <c r="U73" s="53">
        <v>734</v>
      </c>
      <c r="V73" s="16">
        <f t="shared" si="5"/>
        <v>3145.7142857142858</v>
      </c>
      <c r="W73" s="53">
        <v>2</v>
      </c>
      <c r="X73" s="53" t="s">
        <v>46</v>
      </c>
      <c r="Y73" s="53" t="s">
        <v>55</v>
      </c>
      <c r="Z73" s="53" t="s">
        <v>69</v>
      </c>
      <c r="AA73" s="53" t="s">
        <v>60</v>
      </c>
      <c r="AB73" s="53" t="s">
        <v>158</v>
      </c>
    </row>
    <row r="74" spans="1:28" x14ac:dyDescent="0.15">
      <c r="A74" s="53" t="s">
        <v>41</v>
      </c>
      <c r="B74" s="53" t="s">
        <v>157</v>
      </c>
      <c r="C74" s="62">
        <v>2019</v>
      </c>
      <c r="D74" s="63" t="s">
        <v>185</v>
      </c>
      <c r="E74" s="53" t="s">
        <v>195</v>
      </c>
      <c r="F74" s="53" t="s">
        <v>197</v>
      </c>
      <c r="G74" s="53" t="s">
        <v>42</v>
      </c>
      <c r="H74" s="53" t="s">
        <v>160</v>
      </c>
      <c r="I74" s="53" t="s">
        <v>159</v>
      </c>
      <c r="J74" s="53" t="s">
        <v>38</v>
      </c>
      <c r="K74" s="53" t="s">
        <v>161</v>
      </c>
      <c r="L74" s="53">
        <v>1</v>
      </c>
      <c r="N74" s="53">
        <v>1</v>
      </c>
      <c r="O74" s="53">
        <v>0.8</v>
      </c>
      <c r="P74" s="53">
        <v>0.65</v>
      </c>
      <c r="Q74" s="74">
        <f t="shared" si="3"/>
        <v>0.72500000000000009</v>
      </c>
      <c r="R74" s="53">
        <v>14.8</v>
      </c>
      <c r="S74" s="53">
        <v>127</v>
      </c>
      <c r="T74" s="16">
        <f t="shared" si="4"/>
        <v>27</v>
      </c>
      <c r="U74" s="53">
        <v>170</v>
      </c>
      <c r="V74" s="16">
        <f t="shared" si="5"/>
        <v>4590</v>
      </c>
      <c r="W74" s="53">
        <v>3</v>
      </c>
      <c r="X74" s="53" t="s">
        <v>46</v>
      </c>
      <c r="Y74" s="53" t="s">
        <v>55</v>
      </c>
      <c r="Z74" s="53" t="s">
        <v>69</v>
      </c>
      <c r="AA74" s="53" t="s">
        <v>60</v>
      </c>
      <c r="AB74" s="53" t="s">
        <v>158</v>
      </c>
    </row>
    <row r="75" spans="1:28" x14ac:dyDescent="0.15">
      <c r="A75" s="53" t="s">
        <v>41</v>
      </c>
      <c r="B75" s="53" t="s">
        <v>157</v>
      </c>
      <c r="C75" s="62">
        <v>2019</v>
      </c>
      <c r="D75" s="63" t="s">
        <v>185</v>
      </c>
      <c r="E75" s="53" t="s">
        <v>195</v>
      </c>
      <c r="F75" s="53" t="s">
        <v>197</v>
      </c>
      <c r="G75" s="53" t="s">
        <v>42</v>
      </c>
      <c r="H75" s="53" t="s">
        <v>160</v>
      </c>
      <c r="I75" s="53" t="s">
        <v>159</v>
      </c>
      <c r="J75" s="53" t="s">
        <v>38</v>
      </c>
      <c r="K75" s="53" t="s">
        <v>161</v>
      </c>
      <c r="L75" s="53">
        <v>2</v>
      </c>
      <c r="N75" s="53">
        <v>1</v>
      </c>
      <c r="O75" s="53">
        <v>0.95</v>
      </c>
      <c r="P75" s="53">
        <v>0.9</v>
      </c>
      <c r="Q75" s="74">
        <f t="shared" si="3"/>
        <v>0.92500000000000004</v>
      </c>
      <c r="R75" s="53">
        <v>15.8</v>
      </c>
      <c r="S75" s="53">
        <v>124</v>
      </c>
      <c r="T75" s="16">
        <f t="shared" si="4"/>
        <v>27</v>
      </c>
      <c r="U75" s="53">
        <v>170</v>
      </c>
      <c r="V75" s="16">
        <f t="shared" si="5"/>
        <v>4590</v>
      </c>
      <c r="W75" s="53">
        <v>3</v>
      </c>
      <c r="X75" s="53" t="s">
        <v>46</v>
      </c>
      <c r="Y75" s="53" t="s">
        <v>55</v>
      </c>
      <c r="Z75" s="53" t="s">
        <v>69</v>
      </c>
      <c r="AA75" s="53" t="s">
        <v>60</v>
      </c>
      <c r="AB75" s="53" t="s">
        <v>158</v>
      </c>
    </row>
    <row r="76" spans="1:28" x14ac:dyDescent="0.15">
      <c r="A76" s="53" t="s">
        <v>41</v>
      </c>
      <c r="B76" s="53" t="s">
        <v>157</v>
      </c>
      <c r="C76" s="62">
        <v>2019</v>
      </c>
      <c r="D76" s="63" t="s">
        <v>185</v>
      </c>
      <c r="E76" s="53" t="s">
        <v>195</v>
      </c>
      <c r="F76" s="53" t="s">
        <v>197</v>
      </c>
      <c r="G76" s="53" t="s">
        <v>42</v>
      </c>
      <c r="H76" s="53" t="s">
        <v>160</v>
      </c>
      <c r="I76" s="53" t="s">
        <v>159</v>
      </c>
      <c r="J76" s="53" t="s">
        <v>38</v>
      </c>
      <c r="K76" s="53" t="s">
        <v>161</v>
      </c>
      <c r="L76" s="53">
        <v>3</v>
      </c>
      <c r="N76" s="53">
        <v>1</v>
      </c>
      <c r="O76" s="53">
        <v>0.8</v>
      </c>
      <c r="P76" s="53">
        <v>0.85</v>
      </c>
      <c r="Q76" s="74">
        <f t="shared" si="3"/>
        <v>0.82499999999999996</v>
      </c>
      <c r="R76" s="53">
        <v>17</v>
      </c>
      <c r="S76" s="53">
        <v>125</v>
      </c>
      <c r="T76" s="16">
        <f t="shared" si="4"/>
        <v>27</v>
      </c>
      <c r="U76" s="53">
        <v>170</v>
      </c>
      <c r="V76" s="16">
        <f t="shared" si="5"/>
        <v>4590</v>
      </c>
      <c r="W76" s="53">
        <v>3</v>
      </c>
      <c r="X76" s="53" t="s">
        <v>46</v>
      </c>
      <c r="Y76" s="53" t="s">
        <v>55</v>
      </c>
      <c r="Z76" s="53" t="s">
        <v>69</v>
      </c>
      <c r="AA76" s="53" t="s">
        <v>60</v>
      </c>
      <c r="AB76" s="53" t="s">
        <v>158</v>
      </c>
    </row>
    <row r="77" spans="1:28" x14ac:dyDescent="0.15">
      <c r="A77" s="53" t="s">
        <v>41</v>
      </c>
      <c r="B77" s="53" t="s">
        <v>157</v>
      </c>
      <c r="C77" s="62">
        <v>2019</v>
      </c>
      <c r="D77" s="63" t="s">
        <v>185</v>
      </c>
      <c r="E77" s="53" t="s">
        <v>195</v>
      </c>
      <c r="F77" s="53" t="s">
        <v>197</v>
      </c>
      <c r="G77" s="53" t="s">
        <v>42</v>
      </c>
      <c r="H77" s="53" t="s">
        <v>160</v>
      </c>
      <c r="I77" s="53" t="s">
        <v>159</v>
      </c>
      <c r="J77" s="53" t="s">
        <v>38</v>
      </c>
      <c r="K77" s="53" t="s">
        <v>161</v>
      </c>
      <c r="L77" s="53">
        <v>1</v>
      </c>
      <c r="N77" s="53">
        <v>4</v>
      </c>
      <c r="O77" s="53">
        <v>0.35</v>
      </c>
      <c r="P77" s="53">
        <v>0.4</v>
      </c>
      <c r="Q77" s="74">
        <f t="shared" si="3"/>
        <v>0.375</v>
      </c>
      <c r="R77" s="53">
        <v>12</v>
      </c>
      <c r="S77" s="53">
        <v>122</v>
      </c>
      <c r="T77" s="16">
        <f t="shared" si="4"/>
        <v>27</v>
      </c>
      <c r="U77" s="53">
        <v>645</v>
      </c>
      <c r="V77" s="16">
        <f t="shared" si="5"/>
        <v>4353.75</v>
      </c>
      <c r="W77" s="53">
        <v>3</v>
      </c>
      <c r="X77" s="53" t="s">
        <v>46</v>
      </c>
      <c r="Y77" s="53" t="s">
        <v>55</v>
      </c>
      <c r="Z77" s="53" t="s">
        <v>69</v>
      </c>
      <c r="AA77" s="53" t="s">
        <v>60</v>
      </c>
      <c r="AB77" s="53" t="s">
        <v>158</v>
      </c>
    </row>
    <row r="78" spans="1:28" x14ac:dyDescent="0.15">
      <c r="A78" s="53" t="s">
        <v>41</v>
      </c>
      <c r="B78" s="53" t="s">
        <v>157</v>
      </c>
      <c r="C78" s="62">
        <v>2019</v>
      </c>
      <c r="D78" s="63" t="s">
        <v>185</v>
      </c>
      <c r="E78" s="53" t="s">
        <v>195</v>
      </c>
      <c r="F78" s="53" t="s">
        <v>197</v>
      </c>
      <c r="G78" s="53" t="s">
        <v>42</v>
      </c>
      <c r="H78" s="53" t="s">
        <v>160</v>
      </c>
      <c r="I78" s="53" t="s">
        <v>159</v>
      </c>
      <c r="J78" s="53" t="s">
        <v>38</v>
      </c>
      <c r="K78" s="53" t="s">
        <v>161</v>
      </c>
      <c r="L78" s="53">
        <v>2</v>
      </c>
      <c r="N78" s="53">
        <v>4</v>
      </c>
      <c r="O78" s="53">
        <v>0.45</v>
      </c>
      <c r="P78" s="53">
        <v>0.4</v>
      </c>
      <c r="Q78" s="74">
        <f t="shared" si="3"/>
        <v>0.42500000000000004</v>
      </c>
      <c r="R78" s="53">
        <v>15.7</v>
      </c>
      <c r="S78" s="53">
        <v>124</v>
      </c>
      <c r="T78" s="16">
        <f t="shared" si="4"/>
        <v>27</v>
      </c>
      <c r="U78" s="53">
        <v>645</v>
      </c>
      <c r="V78" s="16">
        <f t="shared" si="5"/>
        <v>4353.75</v>
      </c>
      <c r="W78" s="53">
        <v>3</v>
      </c>
      <c r="X78" s="53" t="s">
        <v>46</v>
      </c>
      <c r="Y78" s="53" t="s">
        <v>55</v>
      </c>
      <c r="Z78" s="53" t="s">
        <v>69</v>
      </c>
      <c r="AA78" s="53" t="s">
        <v>60</v>
      </c>
      <c r="AB78" s="53" t="s">
        <v>158</v>
      </c>
    </row>
    <row r="79" spans="1:28" x14ac:dyDescent="0.15">
      <c r="A79" s="53" t="s">
        <v>41</v>
      </c>
      <c r="B79" s="53" t="s">
        <v>157</v>
      </c>
      <c r="C79" s="62">
        <v>2019</v>
      </c>
      <c r="D79" s="63" t="s">
        <v>185</v>
      </c>
      <c r="E79" s="53" t="s">
        <v>195</v>
      </c>
      <c r="F79" s="53" t="s">
        <v>197</v>
      </c>
      <c r="G79" s="53" t="s">
        <v>42</v>
      </c>
      <c r="H79" s="53" t="s">
        <v>160</v>
      </c>
      <c r="I79" s="53" t="s">
        <v>159</v>
      </c>
      <c r="J79" s="53" t="s">
        <v>38</v>
      </c>
      <c r="K79" s="53" t="s">
        <v>161</v>
      </c>
      <c r="L79" s="53">
        <v>3</v>
      </c>
      <c r="N79" s="53">
        <v>4</v>
      </c>
      <c r="O79" s="53">
        <v>0.6</v>
      </c>
      <c r="P79" s="53">
        <v>0.55000000000000004</v>
      </c>
      <c r="Q79" s="74">
        <f t="shared" si="3"/>
        <v>0.57499999999999996</v>
      </c>
      <c r="R79" s="53">
        <v>15.4</v>
      </c>
      <c r="S79" s="53">
        <v>121</v>
      </c>
      <c r="T79" s="16">
        <f t="shared" si="4"/>
        <v>27</v>
      </c>
      <c r="U79" s="53">
        <v>645</v>
      </c>
      <c r="V79" s="16">
        <f t="shared" si="5"/>
        <v>4353.75</v>
      </c>
      <c r="W79" s="53">
        <v>3</v>
      </c>
      <c r="X79" s="53" t="s">
        <v>46</v>
      </c>
      <c r="Y79" s="53" t="s">
        <v>55</v>
      </c>
      <c r="Z79" s="53" t="s">
        <v>69</v>
      </c>
      <c r="AA79" s="53" t="s">
        <v>60</v>
      </c>
      <c r="AB79" s="53" t="s">
        <v>158</v>
      </c>
    </row>
    <row r="80" spans="1:28" x14ac:dyDescent="0.15">
      <c r="A80" s="53" t="s">
        <v>41</v>
      </c>
      <c r="B80" s="53" t="s">
        <v>157</v>
      </c>
      <c r="C80" s="62">
        <v>2019</v>
      </c>
      <c r="D80" s="63" t="s">
        <v>185</v>
      </c>
      <c r="E80" s="53" t="s">
        <v>199</v>
      </c>
      <c r="F80" s="53" t="s">
        <v>197</v>
      </c>
      <c r="G80" s="53" t="s">
        <v>42</v>
      </c>
      <c r="H80" s="53" t="s">
        <v>160</v>
      </c>
      <c r="I80" s="53" t="s">
        <v>159</v>
      </c>
      <c r="J80" s="53" t="s">
        <v>38</v>
      </c>
      <c r="K80" s="53" t="s">
        <v>161</v>
      </c>
      <c r="L80" s="53">
        <v>1</v>
      </c>
      <c r="N80" s="53">
        <v>1</v>
      </c>
      <c r="O80" s="53">
        <v>0.45</v>
      </c>
      <c r="P80" s="53">
        <v>0.6</v>
      </c>
      <c r="Q80" s="74">
        <f t="shared" si="3"/>
        <v>0.52500000000000002</v>
      </c>
      <c r="R80" s="53">
        <v>13.5</v>
      </c>
      <c r="S80" s="53">
        <v>120</v>
      </c>
      <c r="T80" s="16">
        <f t="shared" si="4"/>
        <v>30</v>
      </c>
      <c r="U80" s="53">
        <v>105</v>
      </c>
      <c r="V80" s="16">
        <f t="shared" si="5"/>
        <v>3150</v>
      </c>
      <c r="W80" s="53">
        <v>4</v>
      </c>
      <c r="X80" s="53" t="s">
        <v>46</v>
      </c>
      <c r="Y80" s="53" t="s">
        <v>69</v>
      </c>
      <c r="Z80" s="53" t="s">
        <v>55</v>
      </c>
      <c r="AA80" s="53" t="s">
        <v>97</v>
      </c>
      <c r="AB80" s="53" t="s">
        <v>158</v>
      </c>
    </row>
    <row r="81" spans="1:34" x14ac:dyDescent="0.15">
      <c r="A81" s="53" t="s">
        <v>41</v>
      </c>
      <c r="B81" s="53" t="s">
        <v>157</v>
      </c>
      <c r="C81" s="62">
        <v>2019</v>
      </c>
      <c r="D81" s="63" t="s">
        <v>185</v>
      </c>
      <c r="E81" s="53" t="s">
        <v>199</v>
      </c>
      <c r="F81" s="53" t="s">
        <v>197</v>
      </c>
      <c r="G81" s="53" t="s">
        <v>42</v>
      </c>
      <c r="H81" s="53" t="s">
        <v>160</v>
      </c>
      <c r="I81" s="53" t="s">
        <v>159</v>
      </c>
      <c r="J81" s="53" t="s">
        <v>38</v>
      </c>
      <c r="K81" s="53" t="s">
        <v>161</v>
      </c>
      <c r="L81" s="53">
        <v>2</v>
      </c>
      <c r="N81" s="53">
        <v>1</v>
      </c>
      <c r="O81" s="53">
        <v>0.75</v>
      </c>
      <c r="P81" s="53">
        <v>0.45</v>
      </c>
      <c r="Q81" s="74">
        <f t="shared" si="3"/>
        <v>0.6</v>
      </c>
      <c r="R81" s="53">
        <v>15.4</v>
      </c>
      <c r="S81" s="53">
        <v>118</v>
      </c>
      <c r="T81" s="16">
        <f t="shared" si="4"/>
        <v>30</v>
      </c>
      <c r="U81" s="53">
        <v>105</v>
      </c>
      <c r="V81" s="16">
        <f t="shared" si="5"/>
        <v>3150</v>
      </c>
      <c r="W81" s="53">
        <v>4</v>
      </c>
      <c r="X81" s="53" t="s">
        <v>46</v>
      </c>
      <c r="Y81" s="53" t="s">
        <v>69</v>
      </c>
      <c r="Z81" s="53" t="s">
        <v>55</v>
      </c>
      <c r="AA81" s="53" t="s">
        <v>97</v>
      </c>
      <c r="AB81" s="53" t="s">
        <v>158</v>
      </c>
    </row>
    <row r="82" spans="1:34" x14ac:dyDescent="0.15">
      <c r="A82" s="53" t="s">
        <v>41</v>
      </c>
      <c r="B82" s="53" t="s">
        <v>157</v>
      </c>
      <c r="C82" s="62">
        <v>2019</v>
      </c>
      <c r="D82" s="63" t="s">
        <v>185</v>
      </c>
      <c r="E82" s="53" t="s">
        <v>199</v>
      </c>
      <c r="F82" s="53" t="s">
        <v>197</v>
      </c>
      <c r="G82" s="53" t="s">
        <v>42</v>
      </c>
      <c r="H82" s="53" t="s">
        <v>160</v>
      </c>
      <c r="I82" s="53" t="s">
        <v>159</v>
      </c>
      <c r="J82" s="53" t="s">
        <v>38</v>
      </c>
      <c r="K82" s="53" t="s">
        <v>161</v>
      </c>
      <c r="L82" s="53">
        <v>3</v>
      </c>
      <c r="N82" s="53">
        <v>1</v>
      </c>
      <c r="O82" s="53">
        <v>0.8</v>
      </c>
      <c r="P82" s="53">
        <v>0.65</v>
      </c>
      <c r="Q82" s="74">
        <f t="shared" si="3"/>
        <v>0.72500000000000009</v>
      </c>
      <c r="R82" s="53">
        <v>16</v>
      </c>
      <c r="S82" s="53">
        <v>115</v>
      </c>
      <c r="T82" s="16">
        <f t="shared" si="4"/>
        <v>30</v>
      </c>
      <c r="U82" s="53">
        <v>105</v>
      </c>
      <c r="V82" s="16">
        <f t="shared" si="5"/>
        <v>3150</v>
      </c>
      <c r="W82" s="53">
        <v>4</v>
      </c>
      <c r="X82" s="53" t="s">
        <v>46</v>
      </c>
      <c r="Y82" s="53" t="s">
        <v>69</v>
      </c>
      <c r="Z82" s="53" t="s">
        <v>55</v>
      </c>
      <c r="AA82" s="53" t="s">
        <v>97</v>
      </c>
      <c r="AB82" s="53" t="s">
        <v>158</v>
      </c>
    </row>
    <row r="83" spans="1:34" x14ac:dyDescent="0.15">
      <c r="A83" s="53" t="s">
        <v>41</v>
      </c>
      <c r="B83" s="53" t="s">
        <v>157</v>
      </c>
      <c r="C83" s="62">
        <v>2019</v>
      </c>
      <c r="D83" s="63" t="s">
        <v>185</v>
      </c>
      <c r="E83" s="53" t="s">
        <v>199</v>
      </c>
      <c r="F83" s="53" t="s">
        <v>197</v>
      </c>
      <c r="G83" s="53" t="s">
        <v>42</v>
      </c>
      <c r="H83" s="53" t="s">
        <v>160</v>
      </c>
      <c r="I83" s="53" t="s">
        <v>159</v>
      </c>
      <c r="J83" s="53" t="s">
        <v>38</v>
      </c>
      <c r="K83" s="53" t="s">
        <v>161</v>
      </c>
      <c r="L83" s="53">
        <v>1</v>
      </c>
      <c r="N83" s="53">
        <v>5</v>
      </c>
      <c r="O83" s="53">
        <v>0.45</v>
      </c>
      <c r="P83" s="53">
        <v>0.6</v>
      </c>
      <c r="Q83" s="74">
        <f t="shared" si="3"/>
        <v>0.52500000000000002</v>
      </c>
      <c r="R83" s="53">
        <v>14.7</v>
      </c>
      <c r="S83" s="53">
        <v>115</v>
      </c>
      <c r="T83" s="16">
        <f t="shared" si="4"/>
        <v>30</v>
      </c>
      <c r="U83" s="53">
        <v>536</v>
      </c>
      <c r="V83" s="16">
        <f t="shared" si="5"/>
        <v>3216</v>
      </c>
      <c r="W83" s="53">
        <v>1</v>
      </c>
      <c r="X83" s="53" t="s">
        <v>46</v>
      </c>
      <c r="Y83" s="53" t="s">
        <v>69</v>
      </c>
      <c r="Z83" s="53" t="s">
        <v>55</v>
      </c>
      <c r="AA83" s="53" t="s">
        <v>97</v>
      </c>
      <c r="AB83" s="53" t="s">
        <v>158</v>
      </c>
    </row>
    <row r="84" spans="1:34" x14ac:dyDescent="0.15">
      <c r="A84" s="53" t="s">
        <v>41</v>
      </c>
      <c r="B84" s="53" t="s">
        <v>157</v>
      </c>
      <c r="C84" s="62">
        <v>2019</v>
      </c>
      <c r="D84" s="63" t="s">
        <v>185</v>
      </c>
      <c r="E84" s="53" t="s">
        <v>199</v>
      </c>
      <c r="F84" s="53" t="s">
        <v>197</v>
      </c>
      <c r="G84" s="53" t="s">
        <v>42</v>
      </c>
      <c r="H84" s="53" t="s">
        <v>160</v>
      </c>
      <c r="I84" s="53" t="s">
        <v>159</v>
      </c>
      <c r="J84" s="53" t="s">
        <v>38</v>
      </c>
      <c r="K84" s="53" t="s">
        <v>161</v>
      </c>
      <c r="L84" s="53">
        <v>2</v>
      </c>
      <c r="N84" s="53">
        <v>5</v>
      </c>
      <c r="O84" s="53">
        <v>0.7</v>
      </c>
      <c r="P84" s="53">
        <v>0.65</v>
      </c>
      <c r="Q84" s="74">
        <f t="shared" si="3"/>
        <v>0.67500000000000004</v>
      </c>
      <c r="R84" s="53">
        <v>14.2</v>
      </c>
      <c r="S84" s="53">
        <v>116</v>
      </c>
      <c r="T84" s="16">
        <f t="shared" si="4"/>
        <v>30</v>
      </c>
      <c r="U84" s="53">
        <v>536</v>
      </c>
      <c r="V84" s="16">
        <f t="shared" si="5"/>
        <v>3216</v>
      </c>
      <c r="W84" s="53">
        <v>1</v>
      </c>
      <c r="X84" s="53" t="s">
        <v>46</v>
      </c>
      <c r="Y84" s="53" t="s">
        <v>69</v>
      </c>
      <c r="Z84" s="53" t="s">
        <v>55</v>
      </c>
      <c r="AA84" s="53" t="s">
        <v>97</v>
      </c>
      <c r="AB84" s="53" t="s">
        <v>158</v>
      </c>
    </row>
    <row r="85" spans="1:34" x14ac:dyDescent="0.15">
      <c r="A85" s="53" t="s">
        <v>41</v>
      </c>
      <c r="B85" s="53" t="s">
        <v>157</v>
      </c>
      <c r="C85" s="62">
        <v>2019</v>
      </c>
      <c r="D85" s="63" t="s">
        <v>185</v>
      </c>
      <c r="E85" s="53" t="s">
        <v>199</v>
      </c>
      <c r="F85" s="53" t="s">
        <v>197</v>
      </c>
      <c r="G85" s="53" t="s">
        <v>42</v>
      </c>
      <c r="H85" s="53" t="s">
        <v>160</v>
      </c>
      <c r="I85" s="53" t="s">
        <v>159</v>
      </c>
      <c r="J85" s="53" t="s">
        <v>38</v>
      </c>
      <c r="K85" s="53" t="s">
        <v>161</v>
      </c>
      <c r="L85" s="53">
        <v>3</v>
      </c>
      <c r="N85" s="53">
        <v>5</v>
      </c>
      <c r="O85" s="53">
        <v>0.6</v>
      </c>
      <c r="P85" s="53">
        <v>0.6</v>
      </c>
      <c r="Q85" s="74">
        <f t="shared" si="3"/>
        <v>0.6</v>
      </c>
      <c r="R85" s="53">
        <v>15.2</v>
      </c>
      <c r="S85" s="53">
        <v>114</v>
      </c>
      <c r="T85" s="16">
        <f t="shared" si="4"/>
        <v>30</v>
      </c>
      <c r="U85" s="53">
        <v>536</v>
      </c>
      <c r="V85" s="16">
        <f t="shared" si="5"/>
        <v>3216</v>
      </c>
      <c r="W85" s="53">
        <v>1</v>
      </c>
      <c r="X85" s="53" t="s">
        <v>46</v>
      </c>
      <c r="Y85" s="53" t="s">
        <v>69</v>
      </c>
      <c r="Z85" s="53" t="s">
        <v>55</v>
      </c>
      <c r="AA85" s="53" t="s">
        <v>97</v>
      </c>
      <c r="AB85" s="53" t="s">
        <v>158</v>
      </c>
    </row>
    <row r="86" spans="1:34" x14ac:dyDescent="0.15">
      <c r="A86" s="53" t="s">
        <v>41</v>
      </c>
      <c r="B86" s="53" t="s">
        <v>157</v>
      </c>
      <c r="C86" s="62">
        <v>2019</v>
      </c>
      <c r="D86" s="63" t="s">
        <v>185</v>
      </c>
      <c r="E86" s="53" t="s">
        <v>199</v>
      </c>
      <c r="F86" s="53" t="s">
        <v>197</v>
      </c>
      <c r="G86" s="53" t="s">
        <v>42</v>
      </c>
      <c r="H86" s="53" t="s">
        <v>165</v>
      </c>
      <c r="I86" s="53" t="s">
        <v>159</v>
      </c>
      <c r="J86" s="53" t="s">
        <v>38</v>
      </c>
      <c r="K86" s="53" t="s">
        <v>161</v>
      </c>
      <c r="L86" s="53">
        <v>1</v>
      </c>
      <c r="N86" s="53">
        <v>1</v>
      </c>
      <c r="O86" s="53">
        <v>0.8</v>
      </c>
      <c r="P86" s="53">
        <v>0.65</v>
      </c>
      <c r="Q86" s="74">
        <f t="shared" si="3"/>
        <v>0.72500000000000009</v>
      </c>
      <c r="R86" s="53">
        <v>12.8</v>
      </c>
      <c r="S86" s="53">
        <v>123</v>
      </c>
      <c r="T86" s="16">
        <f t="shared" si="4"/>
        <v>27</v>
      </c>
      <c r="U86" s="53">
        <v>105</v>
      </c>
      <c r="V86" s="16">
        <f t="shared" si="5"/>
        <v>2835</v>
      </c>
      <c r="W86" s="53">
        <v>1</v>
      </c>
      <c r="X86" s="53" t="s">
        <v>46</v>
      </c>
      <c r="Y86" s="53" t="s">
        <v>69</v>
      </c>
      <c r="Z86" s="53" t="s">
        <v>55</v>
      </c>
      <c r="AA86" s="53" t="s">
        <v>97</v>
      </c>
      <c r="AB86" s="53" t="s">
        <v>158</v>
      </c>
      <c r="AC86" s="76"/>
      <c r="AD86" s="76"/>
      <c r="AE86" s="76"/>
      <c r="AF86" s="76"/>
      <c r="AG86" s="76"/>
      <c r="AH86" s="76"/>
    </row>
    <row r="87" spans="1:34" x14ac:dyDescent="0.15">
      <c r="A87" s="53" t="s">
        <v>41</v>
      </c>
      <c r="B87" s="53" t="s">
        <v>157</v>
      </c>
      <c r="C87" s="62">
        <v>2019</v>
      </c>
      <c r="D87" s="63" t="s">
        <v>185</v>
      </c>
      <c r="E87" s="53" t="s">
        <v>199</v>
      </c>
      <c r="F87" s="53" t="s">
        <v>197</v>
      </c>
      <c r="G87" s="53" t="s">
        <v>42</v>
      </c>
      <c r="H87" s="53" t="s">
        <v>165</v>
      </c>
      <c r="I87" s="53" t="s">
        <v>159</v>
      </c>
      <c r="J87" s="53" t="s">
        <v>38</v>
      </c>
      <c r="K87" s="53" t="s">
        <v>161</v>
      </c>
      <c r="L87" s="53">
        <v>2</v>
      </c>
      <c r="N87" s="53">
        <v>1</v>
      </c>
      <c r="O87" s="53">
        <v>0.65</v>
      </c>
      <c r="P87" s="53">
        <v>0.7</v>
      </c>
      <c r="Q87" s="74">
        <f t="shared" si="3"/>
        <v>0.67500000000000004</v>
      </c>
      <c r="R87" s="53">
        <v>15.4</v>
      </c>
      <c r="S87" s="53">
        <v>124</v>
      </c>
      <c r="T87" s="16">
        <f t="shared" si="4"/>
        <v>27</v>
      </c>
      <c r="U87" s="53">
        <v>105</v>
      </c>
      <c r="V87" s="16">
        <f t="shared" si="5"/>
        <v>2835</v>
      </c>
      <c r="W87" s="53">
        <v>1</v>
      </c>
      <c r="X87" s="53" t="s">
        <v>46</v>
      </c>
      <c r="Y87" s="53" t="s">
        <v>69</v>
      </c>
      <c r="Z87" s="53" t="s">
        <v>55</v>
      </c>
      <c r="AA87" s="53" t="s">
        <v>97</v>
      </c>
      <c r="AB87" s="53" t="s">
        <v>158</v>
      </c>
      <c r="AC87" s="76"/>
      <c r="AD87" s="76"/>
      <c r="AE87" s="76"/>
      <c r="AF87" s="76"/>
      <c r="AG87" s="76"/>
      <c r="AH87" s="76"/>
    </row>
    <row r="88" spans="1:34" x14ac:dyDescent="0.15">
      <c r="A88" s="53" t="s">
        <v>41</v>
      </c>
      <c r="B88" s="53" t="s">
        <v>157</v>
      </c>
      <c r="C88" s="62">
        <v>2019</v>
      </c>
      <c r="D88" s="63" t="s">
        <v>185</v>
      </c>
      <c r="E88" s="53" t="s">
        <v>199</v>
      </c>
      <c r="F88" s="53" t="s">
        <v>197</v>
      </c>
      <c r="G88" s="53" t="s">
        <v>42</v>
      </c>
      <c r="H88" s="53" t="s">
        <v>165</v>
      </c>
      <c r="I88" s="53" t="s">
        <v>159</v>
      </c>
      <c r="J88" s="53" t="s">
        <v>38</v>
      </c>
      <c r="K88" s="53" t="s">
        <v>161</v>
      </c>
      <c r="L88" s="53">
        <v>3</v>
      </c>
      <c r="N88" s="53">
        <v>1</v>
      </c>
      <c r="O88" s="53">
        <v>0.85</v>
      </c>
      <c r="P88" s="53">
        <v>0.7</v>
      </c>
      <c r="Q88" s="74">
        <f t="shared" si="3"/>
        <v>0.77499999999999991</v>
      </c>
      <c r="R88" s="53">
        <v>14.1</v>
      </c>
      <c r="S88" s="53">
        <v>122</v>
      </c>
      <c r="T88" s="16">
        <f t="shared" si="4"/>
        <v>27</v>
      </c>
      <c r="U88" s="53">
        <v>105</v>
      </c>
      <c r="V88" s="16">
        <f t="shared" si="5"/>
        <v>2835</v>
      </c>
      <c r="W88" s="53">
        <v>1</v>
      </c>
      <c r="X88" s="53" t="s">
        <v>46</v>
      </c>
      <c r="Y88" s="53" t="s">
        <v>69</v>
      </c>
      <c r="Z88" s="53" t="s">
        <v>55</v>
      </c>
      <c r="AA88" s="53" t="s">
        <v>97</v>
      </c>
      <c r="AB88" s="53" t="s">
        <v>158</v>
      </c>
      <c r="AC88" s="76"/>
      <c r="AD88" s="76"/>
      <c r="AE88" s="76"/>
      <c r="AF88" s="76"/>
      <c r="AG88" s="76"/>
      <c r="AH88" s="76"/>
    </row>
    <row r="89" spans="1:34" x14ac:dyDescent="0.15">
      <c r="A89" s="53" t="s">
        <v>41</v>
      </c>
      <c r="B89" s="53" t="s">
        <v>157</v>
      </c>
      <c r="C89" s="62">
        <v>2019</v>
      </c>
      <c r="D89" s="63" t="s">
        <v>185</v>
      </c>
      <c r="E89" s="53" t="s">
        <v>199</v>
      </c>
      <c r="F89" s="53" t="s">
        <v>197</v>
      </c>
      <c r="G89" s="53" t="s">
        <v>42</v>
      </c>
      <c r="H89" s="53" t="s">
        <v>165</v>
      </c>
      <c r="I89" s="53" t="s">
        <v>159</v>
      </c>
      <c r="J89" s="53" t="s">
        <v>38</v>
      </c>
      <c r="K89" s="53" t="s">
        <v>161</v>
      </c>
      <c r="L89" s="53">
        <v>1</v>
      </c>
      <c r="N89" s="53">
        <v>6</v>
      </c>
      <c r="O89" s="53">
        <v>0.65</v>
      </c>
      <c r="P89" s="53">
        <v>0.6</v>
      </c>
      <c r="Q89" s="74">
        <f t="shared" si="3"/>
        <v>0.625</v>
      </c>
      <c r="R89" s="53">
        <v>15.7</v>
      </c>
      <c r="S89" s="53">
        <v>119</v>
      </c>
      <c r="T89" s="16">
        <f t="shared" si="4"/>
        <v>30</v>
      </c>
      <c r="U89" s="53">
        <v>428</v>
      </c>
      <c r="V89" s="16">
        <f t="shared" si="5"/>
        <v>2140</v>
      </c>
      <c r="W89" s="53">
        <v>2</v>
      </c>
      <c r="X89" s="53" t="s">
        <v>46</v>
      </c>
      <c r="Y89" s="53" t="s">
        <v>69</v>
      </c>
      <c r="Z89" s="53" t="s">
        <v>55</v>
      </c>
      <c r="AA89" s="53" t="s">
        <v>97</v>
      </c>
      <c r="AB89" s="53" t="s">
        <v>158</v>
      </c>
      <c r="AC89" s="76"/>
      <c r="AD89" s="76"/>
      <c r="AE89" s="76"/>
      <c r="AF89" s="76"/>
      <c r="AG89" s="76"/>
      <c r="AH89" s="76"/>
    </row>
    <row r="90" spans="1:34" x14ac:dyDescent="0.15">
      <c r="A90" s="53" t="s">
        <v>41</v>
      </c>
      <c r="B90" s="53" t="s">
        <v>157</v>
      </c>
      <c r="C90" s="62">
        <v>2019</v>
      </c>
      <c r="D90" s="63" t="s">
        <v>185</v>
      </c>
      <c r="E90" s="53" t="s">
        <v>199</v>
      </c>
      <c r="F90" s="53" t="s">
        <v>197</v>
      </c>
      <c r="G90" s="53" t="s">
        <v>42</v>
      </c>
      <c r="H90" s="53" t="s">
        <v>165</v>
      </c>
      <c r="I90" s="53" t="s">
        <v>159</v>
      </c>
      <c r="J90" s="53" t="s">
        <v>38</v>
      </c>
      <c r="K90" s="53" t="s">
        <v>161</v>
      </c>
      <c r="L90" s="53">
        <v>2</v>
      </c>
      <c r="N90" s="53">
        <v>6</v>
      </c>
      <c r="O90" s="53">
        <v>0.4</v>
      </c>
      <c r="P90" s="53">
        <v>0.55000000000000004</v>
      </c>
      <c r="Q90" s="74">
        <f t="shared" si="3"/>
        <v>0.47500000000000003</v>
      </c>
      <c r="R90" s="53">
        <v>14.2</v>
      </c>
      <c r="S90" s="53">
        <v>120</v>
      </c>
      <c r="T90" s="16">
        <f t="shared" si="4"/>
        <v>30</v>
      </c>
      <c r="U90" s="53">
        <v>428</v>
      </c>
      <c r="V90" s="16">
        <f t="shared" si="5"/>
        <v>2140</v>
      </c>
      <c r="W90" s="53">
        <v>2</v>
      </c>
      <c r="X90" s="53" t="s">
        <v>46</v>
      </c>
      <c r="Y90" s="53" t="s">
        <v>69</v>
      </c>
      <c r="Z90" s="53" t="s">
        <v>55</v>
      </c>
      <c r="AA90" s="53" t="s">
        <v>97</v>
      </c>
      <c r="AB90" s="53" t="s">
        <v>158</v>
      </c>
      <c r="AC90" s="76"/>
      <c r="AD90" s="76"/>
      <c r="AE90" s="76"/>
      <c r="AF90" s="76"/>
      <c r="AG90" s="76"/>
      <c r="AH90" s="76"/>
    </row>
    <row r="91" spans="1:34" x14ac:dyDescent="0.15">
      <c r="A91" s="53" t="s">
        <v>41</v>
      </c>
      <c r="B91" s="53" t="s">
        <v>157</v>
      </c>
      <c r="C91" s="62">
        <v>2019</v>
      </c>
      <c r="D91" s="63" t="s">
        <v>185</v>
      </c>
      <c r="E91" s="53" t="s">
        <v>199</v>
      </c>
      <c r="F91" s="53" t="s">
        <v>197</v>
      </c>
      <c r="G91" s="53" t="s">
        <v>42</v>
      </c>
      <c r="H91" s="53" t="s">
        <v>165</v>
      </c>
      <c r="I91" s="53" t="s">
        <v>159</v>
      </c>
      <c r="J91" s="53" t="s">
        <v>38</v>
      </c>
      <c r="K91" s="53" t="s">
        <v>161</v>
      </c>
      <c r="L91" s="53">
        <v>3</v>
      </c>
      <c r="N91" s="53">
        <v>6</v>
      </c>
      <c r="O91" s="53">
        <v>0.85</v>
      </c>
      <c r="P91" s="53">
        <v>0.7</v>
      </c>
      <c r="Q91" s="74">
        <f t="shared" si="3"/>
        <v>0.77499999999999991</v>
      </c>
      <c r="R91" s="53">
        <v>13.8</v>
      </c>
      <c r="S91" s="53">
        <v>116</v>
      </c>
      <c r="T91" s="16">
        <f t="shared" si="4"/>
        <v>30</v>
      </c>
      <c r="U91" s="53">
        <v>428</v>
      </c>
      <c r="V91" s="16">
        <f t="shared" si="5"/>
        <v>2140</v>
      </c>
      <c r="W91" s="53">
        <v>2</v>
      </c>
      <c r="X91" s="53" t="s">
        <v>46</v>
      </c>
      <c r="Y91" s="53" t="s">
        <v>69</v>
      </c>
      <c r="Z91" s="53" t="s">
        <v>55</v>
      </c>
      <c r="AA91" s="53" t="s">
        <v>97</v>
      </c>
      <c r="AB91" s="53" t="s">
        <v>158</v>
      </c>
      <c r="AC91" s="76"/>
      <c r="AD91" s="76"/>
      <c r="AE91" s="76"/>
      <c r="AF91" s="76"/>
      <c r="AG91" s="76"/>
      <c r="AH91" s="76"/>
    </row>
    <row r="92" spans="1:34" x14ac:dyDescent="0.15">
      <c r="A92" s="53" t="s">
        <v>41</v>
      </c>
      <c r="B92" s="53" t="s">
        <v>157</v>
      </c>
      <c r="C92" s="62">
        <v>2019</v>
      </c>
      <c r="D92" s="63" t="s">
        <v>185</v>
      </c>
      <c r="E92" s="53" t="s">
        <v>201</v>
      </c>
      <c r="F92" s="53" t="s">
        <v>202</v>
      </c>
      <c r="G92" s="53" t="s">
        <v>42</v>
      </c>
      <c r="H92" s="53" t="s">
        <v>165</v>
      </c>
      <c r="I92" s="53" t="s">
        <v>159</v>
      </c>
      <c r="J92" s="53" t="s">
        <v>38</v>
      </c>
      <c r="K92" s="53" t="s">
        <v>161</v>
      </c>
      <c r="L92" s="53">
        <v>1</v>
      </c>
      <c r="N92" s="53">
        <v>1</v>
      </c>
      <c r="O92" s="53">
        <v>0.55000000000000004</v>
      </c>
      <c r="P92" s="53">
        <v>0.7</v>
      </c>
      <c r="Q92" s="74">
        <f t="shared" si="3"/>
        <v>0.625</v>
      </c>
      <c r="R92" s="53">
        <v>14.8</v>
      </c>
      <c r="S92" s="53">
        <v>130</v>
      </c>
      <c r="T92" s="16">
        <f t="shared" si="4"/>
        <v>25</v>
      </c>
      <c r="U92" s="53">
        <v>105</v>
      </c>
      <c r="V92" s="16">
        <f t="shared" si="5"/>
        <v>2625</v>
      </c>
      <c r="W92" s="53">
        <v>2</v>
      </c>
      <c r="X92" s="53" t="s">
        <v>46</v>
      </c>
      <c r="Y92" s="53" t="s">
        <v>55</v>
      </c>
      <c r="Z92" s="53" t="s">
        <v>69</v>
      </c>
      <c r="AA92" s="53" t="s">
        <v>40</v>
      </c>
      <c r="AB92" s="53" t="s">
        <v>158</v>
      </c>
      <c r="AC92" s="76"/>
      <c r="AD92" s="76"/>
      <c r="AE92" s="76"/>
      <c r="AF92" s="76"/>
      <c r="AG92" s="76"/>
      <c r="AH92" s="76"/>
    </row>
    <row r="93" spans="1:34" x14ac:dyDescent="0.15">
      <c r="A93" s="53" t="s">
        <v>41</v>
      </c>
      <c r="B93" s="53" t="s">
        <v>157</v>
      </c>
      <c r="C93" s="62">
        <v>2019</v>
      </c>
      <c r="D93" s="63" t="s">
        <v>185</v>
      </c>
      <c r="E93" s="53" t="s">
        <v>201</v>
      </c>
      <c r="F93" s="53" t="s">
        <v>202</v>
      </c>
      <c r="G93" s="53" t="s">
        <v>42</v>
      </c>
      <c r="H93" s="53" t="s">
        <v>165</v>
      </c>
      <c r="I93" s="53" t="s">
        <v>159</v>
      </c>
      <c r="J93" s="53" t="s">
        <v>38</v>
      </c>
      <c r="K93" s="53" t="s">
        <v>161</v>
      </c>
      <c r="L93" s="53">
        <v>2</v>
      </c>
      <c r="N93" s="53">
        <v>1</v>
      </c>
      <c r="O93" s="53">
        <v>0.65</v>
      </c>
      <c r="P93" s="53">
        <v>0.7</v>
      </c>
      <c r="Q93" s="74">
        <f t="shared" si="3"/>
        <v>0.67500000000000004</v>
      </c>
      <c r="R93" s="53">
        <v>12.6</v>
      </c>
      <c r="S93" s="53">
        <v>131</v>
      </c>
      <c r="T93" s="16">
        <f t="shared" si="4"/>
        <v>25</v>
      </c>
      <c r="U93" s="53">
        <v>105</v>
      </c>
      <c r="V93" s="16">
        <f t="shared" si="5"/>
        <v>2625</v>
      </c>
      <c r="W93" s="53">
        <v>2</v>
      </c>
      <c r="X93" s="53" t="s">
        <v>46</v>
      </c>
      <c r="Y93" s="53" t="s">
        <v>55</v>
      </c>
      <c r="Z93" s="53" t="s">
        <v>69</v>
      </c>
      <c r="AA93" s="53" t="s">
        <v>40</v>
      </c>
      <c r="AB93" s="53" t="s">
        <v>158</v>
      </c>
      <c r="AC93" s="76"/>
      <c r="AD93" s="76"/>
      <c r="AE93" s="76"/>
      <c r="AF93" s="76"/>
      <c r="AG93" s="76"/>
      <c r="AH93" s="76"/>
    </row>
    <row r="94" spans="1:34" x14ac:dyDescent="0.15">
      <c r="A94" s="53" t="s">
        <v>41</v>
      </c>
      <c r="B94" s="53" t="s">
        <v>157</v>
      </c>
      <c r="C94" s="62">
        <v>2019</v>
      </c>
      <c r="D94" s="63" t="s">
        <v>185</v>
      </c>
      <c r="E94" s="53" t="s">
        <v>201</v>
      </c>
      <c r="F94" s="53" t="s">
        <v>202</v>
      </c>
      <c r="G94" s="53" t="s">
        <v>42</v>
      </c>
      <c r="H94" s="53" t="s">
        <v>165</v>
      </c>
      <c r="I94" s="53" t="s">
        <v>159</v>
      </c>
      <c r="J94" s="53" t="s">
        <v>38</v>
      </c>
      <c r="K94" s="53" t="s">
        <v>161</v>
      </c>
      <c r="L94" s="53">
        <v>3</v>
      </c>
      <c r="N94" s="53">
        <v>1</v>
      </c>
      <c r="O94" s="53">
        <v>0.7</v>
      </c>
      <c r="P94" s="53">
        <v>0.8</v>
      </c>
      <c r="Q94" s="74">
        <f t="shared" si="3"/>
        <v>0.75</v>
      </c>
      <c r="R94" s="53">
        <v>12</v>
      </c>
      <c r="S94" s="53">
        <v>129</v>
      </c>
      <c r="T94" s="16">
        <f t="shared" si="4"/>
        <v>25</v>
      </c>
      <c r="U94" s="53">
        <v>105</v>
      </c>
      <c r="V94" s="16">
        <f t="shared" si="5"/>
        <v>2625</v>
      </c>
      <c r="W94" s="53">
        <v>2</v>
      </c>
      <c r="X94" s="53" t="s">
        <v>46</v>
      </c>
      <c r="Y94" s="53" t="s">
        <v>55</v>
      </c>
      <c r="Z94" s="53" t="s">
        <v>69</v>
      </c>
      <c r="AA94" s="53" t="s">
        <v>40</v>
      </c>
      <c r="AB94" s="53" t="s">
        <v>158</v>
      </c>
      <c r="AC94" s="76"/>
      <c r="AD94" s="76"/>
      <c r="AE94" s="76"/>
      <c r="AF94" s="76"/>
      <c r="AG94" s="76"/>
      <c r="AH94" s="76"/>
    </row>
    <row r="95" spans="1:34" x14ac:dyDescent="0.15">
      <c r="A95" s="53" t="s">
        <v>41</v>
      </c>
      <c r="B95" s="53" t="s">
        <v>157</v>
      </c>
      <c r="C95" s="62">
        <v>2019</v>
      </c>
      <c r="D95" s="63" t="s">
        <v>185</v>
      </c>
      <c r="E95" s="53" t="s">
        <v>201</v>
      </c>
      <c r="F95" s="53" t="s">
        <v>202</v>
      </c>
      <c r="G95" s="53" t="s">
        <v>42</v>
      </c>
      <c r="H95" s="53" t="s">
        <v>165</v>
      </c>
      <c r="I95" s="53" t="s">
        <v>159</v>
      </c>
      <c r="J95" s="53" t="s">
        <v>38</v>
      </c>
      <c r="K95" s="53" t="s">
        <v>161</v>
      </c>
      <c r="L95" s="53">
        <v>1</v>
      </c>
      <c r="N95" s="53">
        <v>5</v>
      </c>
      <c r="O95" s="53">
        <v>1</v>
      </c>
      <c r="P95" s="53">
        <v>0.95</v>
      </c>
      <c r="Q95" s="74">
        <f t="shared" si="3"/>
        <v>0.97499999999999998</v>
      </c>
      <c r="R95" s="53">
        <v>12</v>
      </c>
      <c r="S95" s="53">
        <v>124</v>
      </c>
      <c r="T95" s="16">
        <f t="shared" si="4"/>
        <v>27</v>
      </c>
      <c r="U95" s="53">
        <v>378</v>
      </c>
      <c r="V95" s="16">
        <f t="shared" si="5"/>
        <v>2041.1999999999998</v>
      </c>
      <c r="W95" s="53">
        <v>3</v>
      </c>
      <c r="X95" s="53" t="s">
        <v>46</v>
      </c>
      <c r="Y95" s="53" t="s">
        <v>55</v>
      </c>
      <c r="Z95" s="53" t="s">
        <v>69</v>
      </c>
      <c r="AA95" s="53" t="s">
        <v>40</v>
      </c>
      <c r="AB95" s="53" t="s">
        <v>158</v>
      </c>
      <c r="AC95" s="76"/>
      <c r="AD95" s="76"/>
      <c r="AE95" s="76"/>
      <c r="AF95" s="76"/>
      <c r="AG95" s="76"/>
      <c r="AH95" s="76"/>
    </row>
    <row r="96" spans="1:34" x14ac:dyDescent="0.15">
      <c r="A96" s="53" t="s">
        <v>41</v>
      </c>
      <c r="B96" s="53" t="s">
        <v>157</v>
      </c>
      <c r="C96" s="62">
        <v>2019</v>
      </c>
      <c r="D96" s="63" t="s">
        <v>185</v>
      </c>
      <c r="E96" s="53" t="s">
        <v>201</v>
      </c>
      <c r="F96" s="53" t="s">
        <v>202</v>
      </c>
      <c r="G96" s="53" t="s">
        <v>42</v>
      </c>
      <c r="H96" s="53" t="s">
        <v>165</v>
      </c>
      <c r="I96" s="53" t="s">
        <v>159</v>
      </c>
      <c r="J96" s="53" t="s">
        <v>38</v>
      </c>
      <c r="K96" s="53" t="s">
        <v>161</v>
      </c>
      <c r="L96" s="53">
        <v>2</v>
      </c>
      <c r="N96" s="53">
        <v>5</v>
      </c>
      <c r="O96" s="53">
        <v>1.2</v>
      </c>
      <c r="P96" s="53">
        <v>1.1000000000000001</v>
      </c>
      <c r="Q96" s="74">
        <f t="shared" si="3"/>
        <v>1.1499999999999999</v>
      </c>
      <c r="R96" s="53">
        <v>13.2</v>
      </c>
      <c r="S96" s="53">
        <v>122</v>
      </c>
      <c r="T96" s="16">
        <f t="shared" si="4"/>
        <v>27</v>
      </c>
      <c r="U96" s="53">
        <v>378</v>
      </c>
      <c r="V96" s="16">
        <f t="shared" si="5"/>
        <v>2041.1999999999998</v>
      </c>
      <c r="W96" s="53">
        <v>3</v>
      </c>
      <c r="X96" s="53" t="s">
        <v>46</v>
      </c>
      <c r="Y96" s="53" t="s">
        <v>55</v>
      </c>
      <c r="Z96" s="53" t="s">
        <v>69</v>
      </c>
      <c r="AA96" s="53" t="s">
        <v>40</v>
      </c>
      <c r="AB96" s="53" t="s">
        <v>158</v>
      </c>
      <c r="AC96" s="76"/>
      <c r="AD96" s="76"/>
      <c r="AE96" s="76"/>
      <c r="AF96" s="76"/>
      <c r="AG96" s="76"/>
      <c r="AH96" s="76"/>
    </row>
    <row r="97" spans="1:34" x14ac:dyDescent="0.15">
      <c r="A97" s="53" t="s">
        <v>41</v>
      </c>
      <c r="B97" s="53" t="s">
        <v>157</v>
      </c>
      <c r="C97" s="62">
        <v>2019</v>
      </c>
      <c r="D97" s="63" t="s">
        <v>185</v>
      </c>
      <c r="E97" s="53" t="s">
        <v>201</v>
      </c>
      <c r="F97" s="53" t="s">
        <v>202</v>
      </c>
      <c r="G97" s="53" t="s">
        <v>42</v>
      </c>
      <c r="H97" s="53" t="s">
        <v>165</v>
      </c>
      <c r="I97" s="53" t="s">
        <v>159</v>
      </c>
      <c r="J97" s="53" t="s">
        <v>38</v>
      </c>
      <c r="K97" s="53" t="s">
        <v>161</v>
      </c>
      <c r="L97" s="53">
        <v>3</v>
      </c>
      <c r="N97" s="53">
        <v>5</v>
      </c>
      <c r="O97" s="53">
        <v>0.95</v>
      </c>
      <c r="P97" s="53">
        <v>1</v>
      </c>
      <c r="Q97" s="74">
        <f t="shared" si="3"/>
        <v>0.97499999999999998</v>
      </c>
      <c r="R97" s="53">
        <v>15.2</v>
      </c>
      <c r="S97" s="53">
        <v>124</v>
      </c>
      <c r="T97" s="16">
        <f t="shared" si="4"/>
        <v>27</v>
      </c>
      <c r="U97" s="53">
        <v>378</v>
      </c>
      <c r="V97" s="16">
        <f t="shared" si="5"/>
        <v>2041.1999999999998</v>
      </c>
      <c r="W97" s="53">
        <v>3</v>
      </c>
      <c r="X97" s="53" t="s">
        <v>46</v>
      </c>
      <c r="Y97" s="53" t="s">
        <v>55</v>
      </c>
      <c r="Z97" s="53" t="s">
        <v>69</v>
      </c>
      <c r="AA97" s="53" t="s">
        <v>40</v>
      </c>
      <c r="AB97" s="53" t="s">
        <v>158</v>
      </c>
      <c r="AC97" s="76"/>
      <c r="AD97" s="76"/>
      <c r="AE97" s="76"/>
      <c r="AF97" s="76"/>
      <c r="AG97" s="76"/>
      <c r="AH97" s="76"/>
    </row>
    <row r="98" spans="1:34" x14ac:dyDescent="0.15">
      <c r="A98" s="53" t="s">
        <v>41</v>
      </c>
      <c r="B98" s="53" t="s">
        <v>157</v>
      </c>
      <c r="C98" s="62">
        <v>2019</v>
      </c>
      <c r="D98" s="63" t="s">
        <v>185</v>
      </c>
      <c r="E98" s="53" t="s">
        <v>201</v>
      </c>
      <c r="F98" s="53" t="s">
        <v>202</v>
      </c>
      <c r="G98" s="53" t="s">
        <v>42</v>
      </c>
      <c r="H98" s="53" t="s">
        <v>165</v>
      </c>
      <c r="I98" s="53" t="s">
        <v>159</v>
      </c>
      <c r="J98" s="53" t="s">
        <v>38</v>
      </c>
      <c r="K98" s="53" t="s">
        <v>161</v>
      </c>
      <c r="L98" s="53">
        <v>1</v>
      </c>
      <c r="N98" s="53">
        <v>8</v>
      </c>
      <c r="O98" s="53">
        <v>0.65</v>
      </c>
      <c r="P98" s="53">
        <v>0.85</v>
      </c>
      <c r="Q98" s="74">
        <f t="shared" si="3"/>
        <v>0.75</v>
      </c>
      <c r="R98" s="53">
        <v>16.7</v>
      </c>
      <c r="S98" s="53">
        <v>121</v>
      </c>
      <c r="T98" s="16">
        <f t="shared" si="4"/>
        <v>27</v>
      </c>
      <c r="U98" s="53">
        <v>626</v>
      </c>
      <c r="V98" s="16">
        <f t="shared" si="5"/>
        <v>2112.75</v>
      </c>
      <c r="W98" s="53">
        <v>2</v>
      </c>
      <c r="X98" s="53" t="s">
        <v>46</v>
      </c>
      <c r="Y98" s="53" t="s">
        <v>55</v>
      </c>
      <c r="Z98" s="53" t="s">
        <v>69</v>
      </c>
      <c r="AA98" s="53" t="s">
        <v>40</v>
      </c>
      <c r="AB98" s="53" t="s">
        <v>158</v>
      </c>
      <c r="AC98" s="76"/>
      <c r="AD98" s="76"/>
      <c r="AE98" s="76"/>
      <c r="AF98" s="76"/>
      <c r="AG98" s="76"/>
      <c r="AH98" s="76"/>
    </row>
    <row r="99" spans="1:34" x14ac:dyDescent="0.15">
      <c r="A99" s="53" t="s">
        <v>41</v>
      </c>
      <c r="B99" s="53" t="s">
        <v>157</v>
      </c>
      <c r="C99" s="62">
        <v>2019</v>
      </c>
      <c r="D99" s="63" t="s">
        <v>185</v>
      </c>
      <c r="E99" s="53" t="s">
        <v>201</v>
      </c>
      <c r="F99" s="53" t="s">
        <v>202</v>
      </c>
      <c r="G99" s="53" t="s">
        <v>42</v>
      </c>
      <c r="H99" s="53" t="s">
        <v>165</v>
      </c>
      <c r="I99" s="53" t="s">
        <v>159</v>
      </c>
      <c r="J99" s="53" t="s">
        <v>38</v>
      </c>
      <c r="K99" s="53" t="s">
        <v>161</v>
      </c>
      <c r="L99" s="53">
        <v>2</v>
      </c>
      <c r="N99" s="53">
        <v>8</v>
      </c>
      <c r="O99" s="53">
        <v>0.65</v>
      </c>
      <c r="P99" s="53">
        <v>0.7</v>
      </c>
      <c r="Q99" s="74">
        <f t="shared" si="3"/>
        <v>0.67500000000000004</v>
      </c>
      <c r="R99" s="53">
        <v>13.4</v>
      </c>
      <c r="S99" s="53">
        <v>121</v>
      </c>
      <c r="T99" s="16">
        <f t="shared" si="4"/>
        <v>27</v>
      </c>
      <c r="U99" s="53">
        <v>626</v>
      </c>
      <c r="V99" s="16">
        <f t="shared" si="5"/>
        <v>2112.75</v>
      </c>
      <c r="W99" s="53">
        <v>2</v>
      </c>
      <c r="X99" s="53" t="s">
        <v>46</v>
      </c>
      <c r="Y99" s="53" t="s">
        <v>55</v>
      </c>
      <c r="Z99" s="53" t="s">
        <v>69</v>
      </c>
      <c r="AA99" s="53" t="s">
        <v>40</v>
      </c>
      <c r="AB99" s="53" t="s">
        <v>158</v>
      </c>
      <c r="AC99" s="76"/>
      <c r="AD99" s="76"/>
      <c r="AE99" s="76"/>
      <c r="AF99" s="76"/>
      <c r="AG99" s="76"/>
      <c r="AH99" s="76"/>
    </row>
    <row r="100" spans="1:34" x14ac:dyDescent="0.15">
      <c r="A100" s="53" t="s">
        <v>41</v>
      </c>
      <c r="B100" s="53" t="s">
        <v>157</v>
      </c>
      <c r="C100" s="62">
        <v>2019</v>
      </c>
      <c r="D100" s="63" t="s">
        <v>185</v>
      </c>
      <c r="E100" s="53" t="s">
        <v>201</v>
      </c>
      <c r="F100" s="53" t="s">
        <v>202</v>
      </c>
      <c r="G100" s="53" t="s">
        <v>42</v>
      </c>
      <c r="H100" s="53" t="s">
        <v>165</v>
      </c>
      <c r="I100" s="53" t="s">
        <v>159</v>
      </c>
      <c r="J100" s="53" t="s">
        <v>38</v>
      </c>
      <c r="K100" s="53" t="s">
        <v>161</v>
      </c>
      <c r="L100" s="53">
        <v>3</v>
      </c>
      <c r="N100" s="53">
        <v>8</v>
      </c>
      <c r="O100" s="53">
        <v>0.8</v>
      </c>
      <c r="P100" s="53">
        <v>0.85</v>
      </c>
      <c r="Q100" s="75">
        <f t="shared" si="3"/>
        <v>0.82499999999999996</v>
      </c>
      <c r="R100" s="53">
        <v>14.2</v>
      </c>
      <c r="S100" s="53">
        <v>123</v>
      </c>
      <c r="T100" s="38">
        <f t="shared" si="4"/>
        <v>27</v>
      </c>
      <c r="U100" s="53">
        <v>626</v>
      </c>
      <c r="V100" s="16">
        <f t="shared" si="5"/>
        <v>2112.75</v>
      </c>
      <c r="W100" s="53">
        <v>2</v>
      </c>
      <c r="X100" s="53" t="s">
        <v>46</v>
      </c>
      <c r="Y100" s="53" t="s">
        <v>55</v>
      </c>
      <c r="Z100" s="53" t="s">
        <v>69</v>
      </c>
      <c r="AA100" s="53" t="s">
        <v>40</v>
      </c>
      <c r="AB100" s="53" t="s">
        <v>158</v>
      </c>
      <c r="AC100" s="76"/>
      <c r="AD100" s="76"/>
      <c r="AE100" s="76"/>
      <c r="AF100" s="76"/>
      <c r="AG100" s="76"/>
      <c r="AH100" s="76"/>
    </row>
    <row r="101" spans="1:34" x14ac:dyDescent="0.15">
      <c r="A101" s="53" t="s">
        <v>41</v>
      </c>
      <c r="B101" s="53" t="s">
        <v>157</v>
      </c>
      <c r="C101" s="62">
        <v>2019</v>
      </c>
      <c r="D101" s="63" t="s">
        <v>185</v>
      </c>
      <c r="E101" s="53" t="s">
        <v>201</v>
      </c>
      <c r="F101" s="53" t="s">
        <v>202</v>
      </c>
      <c r="G101" s="53" t="s">
        <v>42</v>
      </c>
      <c r="H101" s="53" t="s">
        <v>160</v>
      </c>
      <c r="I101" s="53" t="s">
        <v>159</v>
      </c>
      <c r="J101" s="53" t="s">
        <v>38</v>
      </c>
      <c r="K101" s="53" t="s">
        <v>161</v>
      </c>
      <c r="L101" s="53">
        <v>1</v>
      </c>
      <c r="N101" s="53">
        <v>1</v>
      </c>
      <c r="O101" s="53">
        <v>0.5</v>
      </c>
      <c r="P101" s="53">
        <v>0.65</v>
      </c>
      <c r="Q101" s="75">
        <f t="shared" si="3"/>
        <v>0.57499999999999996</v>
      </c>
      <c r="R101" s="53">
        <v>13.8</v>
      </c>
      <c r="S101" s="53">
        <v>126</v>
      </c>
      <c r="T101" s="38">
        <f t="shared" si="4"/>
        <v>27</v>
      </c>
      <c r="U101" s="53">
        <v>105</v>
      </c>
      <c r="V101" s="16">
        <f t="shared" si="5"/>
        <v>2835</v>
      </c>
      <c r="W101" s="53">
        <v>4</v>
      </c>
      <c r="X101" s="53" t="s">
        <v>46</v>
      </c>
      <c r="Y101" s="53" t="s">
        <v>55</v>
      </c>
      <c r="Z101" s="53" t="s">
        <v>69</v>
      </c>
      <c r="AA101" s="53" t="s">
        <v>40</v>
      </c>
      <c r="AB101" s="53" t="s">
        <v>158</v>
      </c>
      <c r="AC101" s="76"/>
      <c r="AD101" s="76"/>
      <c r="AE101" s="76"/>
      <c r="AF101" s="76"/>
      <c r="AG101" s="76"/>
      <c r="AH101" s="76"/>
    </row>
    <row r="102" spans="1:34" x14ac:dyDescent="0.15">
      <c r="A102" s="53" t="s">
        <v>41</v>
      </c>
      <c r="B102" s="53" t="s">
        <v>157</v>
      </c>
      <c r="C102" s="62">
        <v>2019</v>
      </c>
      <c r="D102" s="63" t="s">
        <v>185</v>
      </c>
      <c r="E102" s="53" t="s">
        <v>201</v>
      </c>
      <c r="F102" s="53" t="s">
        <v>202</v>
      </c>
      <c r="G102" s="53" t="s">
        <v>42</v>
      </c>
      <c r="H102" s="53" t="s">
        <v>160</v>
      </c>
      <c r="I102" s="53" t="s">
        <v>159</v>
      </c>
      <c r="J102" s="53" t="s">
        <v>38</v>
      </c>
      <c r="K102" s="53" t="s">
        <v>161</v>
      </c>
      <c r="L102" s="53">
        <v>2</v>
      </c>
      <c r="N102" s="53">
        <v>1</v>
      </c>
      <c r="O102" s="53">
        <v>0.55000000000000004</v>
      </c>
      <c r="P102" s="53">
        <v>0.6</v>
      </c>
      <c r="Q102" s="75">
        <f t="shared" si="3"/>
        <v>0.57499999999999996</v>
      </c>
      <c r="R102" s="53">
        <v>15.1</v>
      </c>
      <c r="S102" s="53">
        <v>124</v>
      </c>
      <c r="T102" s="38">
        <f t="shared" si="4"/>
        <v>27</v>
      </c>
      <c r="U102" s="53">
        <v>105</v>
      </c>
      <c r="V102" s="16">
        <f t="shared" si="5"/>
        <v>2835</v>
      </c>
      <c r="W102" s="53">
        <v>4</v>
      </c>
      <c r="X102" s="53" t="s">
        <v>46</v>
      </c>
      <c r="Y102" s="53" t="s">
        <v>55</v>
      </c>
      <c r="Z102" s="53" t="s">
        <v>69</v>
      </c>
      <c r="AA102" s="53" t="s">
        <v>40</v>
      </c>
      <c r="AB102" s="53" t="s">
        <v>158</v>
      </c>
      <c r="AC102" s="76"/>
      <c r="AD102" s="76"/>
      <c r="AE102" s="76"/>
      <c r="AF102" s="76"/>
      <c r="AG102" s="76"/>
      <c r="AH102" s="76"/>
    </row>
    <row r="103" spans="1:34" x14ac:dyDescent="0.15">
      <c r="A103" s="53" t="s">
        <v>41</v>
      </c>
      <c r="B103" s="53" t="s">
        <v>157</v>
      </c>
      <c r="C103" s="62">
        <v>2019</v>
      </c>
      <c r="D103" s="63" t="s">
        <v>185</v>
      </c>
      <c r="E103" s="53" t="s">
        <v>201</v>
      </c>
      <c r="F103" s="53" t="s">
        <v>202</v>
      </c>
      <c r="G103" s="53" t="s">
        <v>42</v>
      </c>
      <c r="H103" s="53" t="s">
        <v>160</v>
      </c>
      <c r="I103" s="53" t="s">
        <v>159</v>
      </c>
      <c r="J103" s="53" t="s">
        <v>38</v>
      </c>
      <c r="K103" s="53" t="s">
        <v>161</v>
      </c>
      <c r="L103" s="53">
        <v>3</v>
      </c>
      <c r="N103" s="53">
        <v>1</v>
      </c>
      <c r="O103" s="53">
        <v>0.45</v>
      </c>
      <c r="P103" s="53">
        <v>0.5</v>
      </c>
      <c r="Q103" s="75">
        <f t="shared" si="3"/>
        <v>0.47499999999999998</v>
      </c>
      <c r="R103" s="53">
        <v>12.1</v>
      </c>
      <c r="S103" s="53">
        <v>125</v>
      </c>
      <c r="T103" s="38">
        <f t="shared" si="4"/>
        <v>27</v>
      </c>
      <c r="U103" s="53">
        <v>105</v>
      </c>
      <c r="V103" s="38">
        <f t="shared" si="5"/>
        <v>2835</v>
      </c>
      <c r="W103" s="53">
        <v>4</v>
      </c>
      <c r="X103" s="53" t="s">
        <v>46</v>
      </c>
      <c r="Y103" s="53" t="s">
        <v>55</v>
      </c>
      <c r="Z103" s="53" t="s">
        <v>69</v>
      </c>
      <c r="AA103" s="53" t="s">
        <v>40</v>
      </c>
      <c r="AB103" s="53" t="s">
        <v>158</v>
      </c>
      <c r="AC103" s="76"/>
      <c r="AD103" s="76"/>
      <c r="AE103" s="76"/>
      <c r="AF103" s="76"/>
      <c r="AG103" s="76"/>
      <c r="AH103" s="76"/>
    </row>
    <row r="104" spans="1:34" x14ac:dyDescent="0.15">
      <c r="A104" s="53" t="s">
        <v>41</v>
      </c>
      <c r="B104" s="53" t="s">
        <v>157</v>
      </c>
      <c r="C104" s="62">
        <v>2019</v>
      </c>
      <c r="D104" s="63" t="s">
        <v>185</v>
      </c>
      <c r="E104" s="53" t="s">
        <v>201</v>
      </c>
      <c r="F104" s="53" t="s">
        <v>202</v>
      </c>
      <c r="G104" s="53" t="s">
        <v>42</v>
      </c>
      <c r="H104" s="53" t="s">
        <v>160</v>
      </c>
      <c r="I104" s="53" t="s">
        <v>159</v>
      </c>
      <c r="J104" s="53" t="s">
        <v>38</v>
      </c>
      <c r="K104" s="53" t="s">
        <v>161</v>
      </c>
      <c r="L104" s="53">
        <v>1</v>
      </c>
      <c r="N104" s="53">
        <v>3</v>
      </c>
      <c r="O104" s="53">
        <v>0.85</v>
      </c>
      <c r="P104" s="53">
        <v>0.9</v>
      </c>
      <c r="Q104" s="75">
        <f t="shared" si="3"/>
        <v>0.875</v>
      </c>
      <c r="R104" s="53">
        <v>13.4</v>
      </c>
      <c r="S104" s="53">
        <v>154</v>
      </c>
      <c r="T104" s="38">
        <f t="shared" si="4"/>
        <v>22</v>
      </c>
      <c r="U104" s="53">
        <v>429</v>
      </c>
      <c r="V104" s="38">
        <f t="shared" si="5"/>
        <v>3146</v>
      </c>
      <c r="W104" s="53">
        <v>2</v>
      </c>
      <c r="X104" s="53" t="s">
        <v>46</v>
      </c>
      <c r="Y104" s="53" t="s">
        <v>55</v>
      </c>
      <c r="Z104" s="53" t="s">
        <v>69</v>
      </c>
      <c r="AA104" s="53" t="s">
        <v>40</v>
      </c>
      <c r="AB104" s="53" t="s">
        <v>158</v>
      </c>
      <c r="AC104" s="76"/>
      <c r="AD104" s="76"/>
      <c r="AE104" s="76"/>
      <c r="AF104" s="76"/>
      <c r="AG104" s="76"/>
      <c r="AH104" s="76"/>
    </row>
    <row r="105" spans="1:34" x14ac:dyDescent="0.15">
      <c r="A105" s="53" t="s">
        <v>41</v>
      </c>
      <c r="B105" s="53" t="s">
        <v>157</v>
      </c>
      <c r="C105" s="62">
        <v>2019</v>
      </c>
      <c r="D105" s="63" t="s">
        <v>185</v>
      </c>
      <c r="E105" s="53" t="s">
        <v>201</v>
      </c>
      <c r="F105" s="53" t="s">
        <v>202</v>
      </c>
      <c r="G105" s="53" t="s">
        <v>42</v>
      </c>
      <c r="H105" s="53" t="s">
        <v>160</v>
      </c>
      <c r="I105" s="53" t="s">
        <v>159</v>
      </c>
      <c r="J105" s="53" t="s">
        <v>38</v>
      </c>
      <c r="K105" s="53" t="s">
        <v>161</v>
      </c>
      <c r="L105" s="53">
        <v>2</v>
      </c>
      <c r="N105" s="53">
        <v>3</v>
      </c>
      <c r="O105" s="53">
        <v>0.9</v>
      </c>
      <c r="P105" s="53">
        <v>0.9</v>
      </c>
      <c r="Q105" s="75">
        <f t="shared" si="3"/>
        <v>0.9</v>
      </c>
      <c r="R105" s="53">
        <v>15.5</v>
      </c>
      <c r="S105" s="53">
        <v>165</v>
      </c>
      <c r="T105" s="38">
        <f t="shared" si="4"/>
        <v>22</v>
      </c>
      <c r="U105" s="53">
        <v>429</v>
      </c>
      <c r="V105" s="38">
        <f t="shared" si="5"/>
        <v>3146</v>
      </c>
      <c r="W105" s="53">
        <v>2</v>
      </c>
      <c r="X105" s="53" t="s">
        <v>46</v>
      </c>
      <c r="Y105" s="53" t="s">
        <v>55</v>
      </c>
      <c r="Z105" s="53" t="s">
        <v>69</v>
      </c>
      <c r="AA105" s="53" t="s">
        <v>40</v>
      </c>
      <c r="AB105" s="53" t="s">
        <v>158</v>
      </c>
      <c r="AC105" s="76"/>
      <c r="AD105" s="76"/>
      <c r="AE105" s="76"/>
      <c r="AF105" s="76"/>
      <c r="AG105" s="76"/>
      <c r="AH105" s="76"/>
    </row>
    <row r="106" spans="1:34" x14ac:dyDescent="0.15">
      <c r="A106" s="53" t="s">
        <v>41</v>
      </c>
      <c r="B106" s="53" t="s">
        <v>157</v>
      </c>
      <c r="C106" s="62">
        <v>2019</v>
      </c>
      <c r="D106" s="63" t="s">
        <v>185</v>
      </c>
      <c r="E106" s="53" t="s">
        <v>201</v>
      </c>
      <c r="F106" s="53" t="s">
        <v>202</v>
      </c>
      <c r="G106" s="53" t="s">
        <v>42</v>
      </c>
      <c r="H106" s="53" t="s">
        <v>160</v>
      </c>
      <c r="I106" s="53" t="s">
        <v>159</v>
      </c>
      <c r="J106" s="53" t="s">
        <v>38</v>
      </c>
      <c r="K106" s="53" t="s">
        <v>161</v>
      </c>
      <c r="L106" s="53">
        <v>3</v>
      </c>
      <c r="N106" s="53">
        <v>3</v>
      </c>
      <c r="O106" s="53">
        <v>0.9</v>
      </c>
      <c r="P106" s="53">
        <v>0.85</v>
      </c>
      <c r="Q106" s="75">
        <f t="shared" si="3"/>
        <v>0.875</v>
      </c>
      <c r="R106" s="53">
        <v>15.1</v>
      </c>
      <c r="S106" s="53">
        <v>162</v>
      </c>
      <c r="T106" s="38">
        <f t="shared" si="4"/>
        <v>22</v>
      </c>
      <c r="U106" s="53">
        <v>429</v>
      </c>
      <c r="V106" s="38">
        <f t="shared" si="5"/>
        <v>3146</v>
      </c>
      <c r="W106" s="53">
        <v>2</v>
      </c>
      <c r="X106" s="53" t="s">
        <v>46</v>
      </c>
      <c r="Y106" s="53" t="s">
        <v>55</v>
      </c>
      <c r="Z106" s="53" t="s">
        <v>69</v>
      </c>
      <c r="AA106" s="53" t="s">
        <v>40</v>
      </c>
      <c r="AB106" s="53" t="s">
        <v>158</v>
      </c>
      <c r="AC106" s="76"/>
      <c r="AD106" s="76"/>
      <c r="AE106" s="76"/>
      <c r="AF106" s="76"/>
      <c r="AG106" s="76"/>
      <c r="AH106" s="76"/>
    </row>
    <row r="107" spans="1:34" x14ac:dyDescent="0.15">
      <c r="A107" s="53" t="s">
        <v>41</v>
      </c>
      <c r="B107" s="53" t="s">
        <v>157</v>
      </c>
      <c r="C107" s="62">
        <v>2019</v>
      </c>
      <c r="D107" s="63" t="s">
        <v>185</v>
      </c>
      <c r="E107" s="53" t="s">
        <v>201</v>
      </c>
      <c r="F107" s="53" t="s">
        <v>208</v>
      </c>
      <c r="G107" s="53" t="s">
        <v>42</v>
      </c>
      <c r="H107" s="53" t="s">
        <v>165</v>
      </c>
      <c r="I107" s="53" t="s">
        <v>159</v>
      </c>
      <c r="J107" s="53" t="s">
        <v>38</v>
      </c>
      <c r="K107" s="53" t="s">
        <v>161</v>
      </c>
      <c r="L107" s="53">
        <v>1</v>
      </c>
      <c r="N107" s="53">
        <v>1</v>
      </c>
      <c r="O107" s="53">
        <v>0.75</v>
      </c>
      <c r="P107" s="53">
        <v>0.9</v>
      </c>
      <c r="Q107" s="74">
        <f t="shared" si="3"/>
        <v>0.82499999999999996</v>
      </c>
      <c r="R107" s="53">
        <v>14.1</v>
      </c>
      <c r="S107" s="53">
        <v>131</v>
      </c>
      <c r="T107" s="16">
        <f t="shared" si="4"/>
        <v>25</v>
      </c>
      <c r="U107" s="53">
        <v>105</v>
      </c>
      <c r="V107" s="16">
        <f t="shared" si="5"/>
        <v>2625</v>
      </c>
      <c r="W107" s="53">
        <v>2</v>
      </c>
      <c r="X107" s="53" t="s">
        <v>46</v>
      </c>
      <c r="Y107" s="53" t="s">
        <v>55</v>
      </c>
      <c r="Z107" s="53" t="s">
        <v>69</v>
      </c>
      <c r="AA107" s="53" t="s">
        <v>40</v>
      </c>
      <c r="AB107" s="53" t="s">
        <v>158</v>
      </c>
      <c r="AC107" s="76"/>
      <c r="AD107" s="76"/>
      <c r="AE107" s="76"/>
      <c r="AF107" s="76"/>
      <c r="AG107" s="76"/>
      <c r="AH107" s="76"/>
    </row>
    <row r="108" spans="1:34" x14ac:dyDescent="0.15">
      <c r="A108" s="53" t="s">
        <v>41</v>
      </c>
      <c r="B108" s="53" t="s">
        <v>157</v>
      </c>
      <c r="C108" s="62">
        <v>2019</v>
      </c>
      <c r="D108" s="63" t="s">
        <v>185</v>
      </c>
      <c r="E108" s="53" t="s">
        <v>201</v>
      </c>
      <c r="F108" s="53" t="s">
        <v>208</v>
      </c>
      <c r="G108" s="53" t="s">
        <v>42</v>
      </c>
      <c r="H108" s="53" t="s">
        <v>165</v>
      </c>
      <c r="I108" s="53" t="s">
        <v>159</v>
      </c>
      <c r="J108" s="53" t="s">
        <v>38</v>
      </c>
      <c r="K108" s="53" t="s">
        <v>161</v>
      </c>
      <c r="L108" s="53">
        <v>2</v>
      </c>
      <c r="N108" s="53">
        <v>1</v>
      </c>
      <c r="O108" s="53">
        <v>0.7</v>
      </c>
      <c r="P108" s="53">
        <v>0.8</v>
      </c>
      <c r="Q108" s="74">
        <f t="shared" si="3"/>
        <v>0.75</v>
      </c>
      <c r="R108" s="53">
        <v>13.3</v>
      </c>
      <c r="S108" s="53">
        <v>125</v>
      </c>
      <c r="T108" s="16">
        <f t="shared" si="4"/>
        <v>27</v>
      </c>
      <c r="U108" s="53">
        <v>105</v>
      </c>
      <c r="V108" s="16">
        <f t="shared" si="5"/>
        <v>2835</v>
      </c>
      <c r="W108" s="53">
        <v>2</v>
      </c>
      <c r="X108" s="53" t="s">
        <v>46</v>
      </c>
      <c r="Y108" s="53" t="s">
        <v>55</v>
      </c>
      <c r="Z108" s="53" t="s">
        <v>69</v>
      </c>
      <c r="AA108" s="53" t="s">
        <v>40</v>
      </c>
      <c r="AB108" s="53" t="s">
        <v>158</v>
      </c>
      <c r="AC108" s="76"/>
      <c r="AD108" s="76"/>
      <c r="AE108" s="76"/>
      <c r="AF108" s="76"/>
      <c r="AG108" s="76"/>
      <c r="AH108" s="76"/>
    </row>
    <row r="109" spans="1:34" x14ac:dyDescent="0.15">
      <c r="A109" s="53" t="s">
        <v>41</v>
      </c>
      <c r="B109" s="53" t="s">
        <v>157</v>
      </c>
      <c r="C109" s="62">
        <v>2019</v>
      </c>
      <c r="D109" s="63" t="s">
        <v>185</v>
      </c>
      <c r="E109" s="53" t="s">
        <v>201</v>
      </c>
      <c r="F109" s="53" t="s">
        <v>208</v>
      </c>
      <c r="G109" s="53" t="s">
        <v>42</v>
      </c>
      <c r="H109" s="53" t="s">
        <v>165</v>
      </c>
      <c r="I109" s="53" t="s">
        <v>159</v>
      </c>
      <c r="J109" s="53" t="s">
        <v>38</v>
      </c>
      <c r="K109" s="53" t="s">
        <v>161</v>
      </c>
      <c r="L109" s="53">
        <v>3</v>
      </c>
      <c r="N109" s="53">
        <v>1</v>
      </c>
      <c r="O109" s="53">
        <v>0.8</v>
      </c>
      <c r="P109" s="53">
        <v>0.85</v>
      </c>
      <c r="Q109" s="74">
        <f t="shared" si="3"/>
        <v>0.82499999999999996</v>
      </c>
      <c r="R109" s="53">
        <v>13.2</v>
      </c>
      <c r="S109" s="53">
        <v>126</v>
      </c>
      <c r="T109" s="16">
        <f t="shared" si="4"/>
        <v>27</v>
      </c>
      <c r="U109" s="53">
        <v>105</v>
      </c>
      <c r="V109" s="16">
        <f t="shared" si="5"/>
        <v>2835</v>
      </c>
      <c r="W109" s="53">
        <v>2</v>
      </c>
      <c r="X109" s="53" t="s">
        <v>46</v>
      </c>
      <c r="Y109" s="53" t="s">
        <v>55</v>
      </c>
      <c r="Z109" s="53" t="s">
        <v>69</v>
      </c>
      <c r="AA109" s="53" t="s">
        <v>40</v>
      </c>
      <c r="AB109" s="53" t="s">
        <v>258</v>
      </c>
      <c r="AC109" s="76"/>
      <c r="AD109" s="76"/>
      <c r="AE109" s="76"/>
      <c r="AF109" s="76"/>
      <c r="AG109" s="76"/>
      <c r="AH109" s="76"/>
    </row>
    <row r="110" spans="1:34" x14ac:dyDescent="0.15">
      <c r="A110" s="53" t="s">
        <v>41</v>
      </c>
      <c r="B110" s="53" t="s">
        <v>157</v>
      </c>
      <c r="C110" s="62">
        <v>2019</v>
      </c>
      <c r="D110" s="63" t="s">
        <v>185</v>
      </c>
      <c r="E110" s="53" t="s">
        <v>201</v>
      </c>
      <c r="F110" s="53" t="s">
        <v>208</v>
      </c>
      <c r="G110" s="53" t="s">
        <v>42</v>
      </c>
      <c r="H110" s="53" t="s">
        <v>165</v>
      </c>
      <c r="I110" s="53" t="s">
        <v>159</v>
      </c>
      <c r="J110" s="53" t="s">
        <v>38</v>
      </c>
      <c r="K110" s="53" t="s">
        <v>161</v>
      </c>
      <c r="L110" s="53">
        <v>1</v>
      </c>
      <c r="N110" s="53">
        <v>7</v>
      </c>
      <c r="O110" s="53">
        <v>0.55000000000000004</v>
      </c>
      <c r="P110" s="53">
        <v>0.6</v>
      </c>
      <c r="Q110" s="74">
        <f t="shared" si="3"/>
        <v>0.57499999999999996</v>
      </c>
      <c r="R110" s="53">
        <v>14.1</v>
      </c>
      <c r="S110" s="53">
        <v>124</v>
      </c>
      <c r="T110" s="16">
        <f t="shared" si="4"/>
        <v>27</v>
      </c>
      <c r="U110" s="53">
        <v>537</v>
      </c>
      <c r="V110" s="16">
        <f t="shared" si="5"/>
        <v>2071.2857142857142</v>
      </c>
      <c r="W110" s="53">
        <v>2</v>
      </c>
      <c r="X110" s="53" t="s">
        <v>46</v>
      </c>
      <c r="Y110" s="53" t="s">
        <v>55</v>
      </c>
      <c r="Z110" s="53" t="s">
        <v>69</v>
      </c>
      <c r="AA110" s="53" t="s">
        <v>40</v>
      </c>
      <c r="AB110" s="53" t="s">
        <v>158</v>
      </c>
      <c r="AC110" s="76"/>
      <c r="AD110" s="76"/>
      <c r="AE110" s="76"/>
      <c r="AF110" s="76"/>
      <c r="AG110" s="76"/>
      <c r="AH110" s="76"/>
    </row>
    <row r="111" spans="1:34" x14ac:dyDescent="0.15">
      <c r="A111" s="53" t="s">
        <v>41</v>
      </c>
      <c r="B111" s="53" t="s">
        <v>157</v>
      </c>
      <c r="C111" s="62">
        <v>2019</v>
      </c>
      <c r="D111" s="63" t="s">
        <v>185</v>
      </c>
      <c r="E111" s="53" t="s">
        <v>201</v>
      </c>
      <c r="F111" s="53" t="s">
        <v>208</v>
      </c>
      <c r="G111" s="53" t="s">
        <v>42</v>
      </c>
      <c r="H111" s="53" t="s">
        <v>165</v>
      </c>
      <c r="I111" s="53" t="s">
        <v>159</v>
      </c>
      <c r="J111" s="53" t="s">
        <v>38</v>
      </c>
      <c r="K111" s="53" t="s">
        <v>161</v>
      </c>
      <c r="L111" s="53">
        <v>2</v>
      </c>
      <c r="N111" s="53">
        <v>7</v>
      </c>
      <c r="O111" s="53">
        <v>0.65</v>
      </c>
      <c r="P111" s="53">
        <v>0.6</v>
      </c>
      <c r="Q111" s="74">
        <f t="shared" si="3"/>
        <v>0.625</v>
      </c>
      <c r="R111" s="53">
        <v>13</v>
      </c>
      <c r="S111" s="53">
        <v>122</v>
      </c>
      <c r="T111" s="16">
        <f t="shared" si="4"/>
        <v>27</v>
      </c>
      <c r="U111" s="53">
        <v>537</v>
      </c>
      <c r="V111" s="16">
        <f t="shared" si="5"/>
        <v>2071.2857142857142</v>
      </c>
      <c r="W111" s="53">
        <v>2</v>
      </c>
      <c r="X111" s="53" t="s">
        <v>46</v>
      </c>
      <c r="Y111" s="53" t="s">
        <v>55</v>
      </c>
      <c r="Z111" s="53" t="s">
        <v>69</v>
      </c>
      <c r="AA111" s="53" t="s">
        <v>40</v>
      </c>
      <c r="AB111" s="53" t="s">
        <v>158</v>
      </c>
      <c r="AC111" s="76"/>
      <c r="AD111" s="76"/>
      <c r="AE111" s="76"/>
      <c r="AF111" s="76"/>
      <c r="AG111" s="76"/>
      <c r="AH111" s="76"/>
    </row>
    <row r="112" spans="1:34" x14ac:dyDescent="0.15">
      <c r="A112" s="53" t="s">
        <v>41</v>
      </c>
      <c r="B112" s="53" t="s">
        <v>157</v>
      </c>
      <c r="C112" s="62">
        <v>2019</v>
      </c>
      <c r="D112" s="63" t="s">
        <v>185</v>
      </c>
      <c r="E112" s="53" t="s">
        <v>201</v>
      </c>
      <c r="F112" s="53" t="s">
        <v>208</v>
      </c>
      <c r="G112" s="53" t="s">
        <v>42</v>
      </c>
      <c r="H112" s="53" t="s">
        <v>165</v>
      </c>
      <c r="I112" s="53" t="s">
        <v>159</v>
      </c>
      <c r="J112" s="53" t="s">
        <v>38</v>
      </c>
      <c r="K112" s="53" t="s">
        <v>161</v>
      </c>
      <c r="L112" s="53">
        <v>3</v>
      </c>
      <c r="N112" s="53">
        <v>7</v>
      </c>
      <c r="O112" s="53">
        <v>0.5</v>
      </c>
      <c r="P112" s="53">
        <v>0.6</v>
      </c>
      <c r="Q112" s="74">
        <f t="shared" si="3"/>
        <v>0.55000000000000004</v>
      </c>
      <c r="R112" s="53">
        <v>15.7</v>
      </c>
      <c r="S112" s="53">
        <v>122</v>
      </c>
      <c r="T112" s="16">
        <f t="shared" si="4"/>
        <v>27</v>
      </c>
      <c r="U112" s="53">
        <v>537</v>
      </c>
      <c r="V112" s="16">
        <f t="shared" si="5"/>
        <v>2071.2857142857142</v>
      </c>
      <c r="W112" s="53">
        <v>2</v>
      </c>
      <c r="X112" s="53" t="s">
        <v>46</v>
      </c>
      <c r="Y112" s="53" t="s">
        <v>55</v>
      </c>
      <c r="Z112" s="53" t="s">
        <v>69</v>
      </c>
      <c r="AA112" s="53" t="s">
        <v>40</v>
      </c>
      <c r="AB112" s="53" t="s">
        <v>158</v>
      </c>
      <c r="AC112" s="76"/>
      <c r="AD112" s="76"/>
      <c r="AE112" s="76"/>
      <c r="AF112" s="76"/>
      <c r="AG112" s="76"/>
      <c r="AH112" s="76"/>
    </row>
    <row r="113" spans="1:34" x14ac:dyDescent="0.15">
      <c r="A113" s="53" t="s">
        <v>41</v>
      </c>
      <c r="B113" s="53" t="s">
        <v>157</v>
      </c>
      <c r="C113" s="62">
        <v>2019</v>
      </c>
      <c r="D113" s="63" t="s">
        <v>185</v>
      </c>
      <c r="E113" s="53" t="s">
        <v>201</v>
      </c>
      <c r="F113" s="53" t="s">
        <v>208</v>
      </c>
      <c r="G113" s="53" t="s">
        <v>42</v>
      </c>
      <c r="H113" s="53" t="s">
        <v>160</v>
      </c>
      <c r="I113" s="53" t="s">
        <v>159</v>
      </c>
      <c r="J113" s="53" t="s">
        <v>38</v>
      </c>
      <c r="K113" s="53" t="s">
        <v>161</v>
      </c>
      <c r="L113" s="53">
        <v>1</v>
      </c>
      <c r="N113" s="53">
        <v>1</v>
      </c>
      <c r="O113" s="53">
        <v>0.6</v>
      </c>
      <c r="P113" s="53">
        <v>0.6</v>
      </c>
      <c r="Q113" s="74">
        <f t="shared" si="3"/>
        <v>0.6</v>
      </c>
      <c r="R113" s="53">
        <v>16.100000000000001</v>
      </c>
      <c r="S113" s="53">
        <v>124</v>
      </c>
      <c r="T113" s="16">
        <f t="shared" si="4"/>
        <v>27</v>
      </c>
      <c r="U113" s="53">
        <v>105</v>
      </c>
      <c r="V113" s="16">
        <f t="shared" si="5"/>
        <v>2835</v>
      </c>
      <c r="W113" s="53">
        <v>3</v>
      </c>
      <c r="X113" s="53" t="s">
        <v>46</v>
      </c>
      <c r="Y113" s="53" t="s">
        <v>55</v>
      </c>
      <c r="Z113" s="53" t="s">
        <v>69</v>
      </c>
      <c r="AA113" s="53" t="s">
        <v>40</v>
      </c>
      <c r="AB113" s="53" t="s">
        <v>158</v>
      </c>
      <c r="AC113" s="76"/>
      <c r="AD113" s="76"/>
      <c r="AE113" s="76"/>
      <c r="AF113" s="76"/>
      <c r="AG113" s="76"/>
      <c r="AH113" s="76"/>
    </row>
    <row r="114" spans="1:34" x14ac:dyDescent="0.15">
      <c r="A114" s="53" t="s">
        <v>41</v>
      </c>
      <c r="B114" s="53" t="s">
        <v>157</v>
      </c>
      <c r="C114" s="62">
        <v>2019</v>
      </c>
      <c r="D114" s="63" t="s">
        <v>185</v>
      </c>
      <c r="E114" s="53" t="s">
        <v>201</v>
      </c>
      <c r="F114" s="53" t="s">
        <v>208</v>
      </c>
      <c r="G114" s="53" t="s">
        <v>42</v>
      </c>
      <c r="H114" s="53" t="s">
        <v>160</v>
      </c>
      <c r="I114" s="53" t="s">
        <v>159</v>
      </c>
      <c r="J114" s="53" t="s">
        <v>38</v>
      </c>
      <c r="K114" s="53" t="s">
        <v>161</v>
      </c>
      <c r="L114" s="53">
        <v>2</v>
      </c>
      <c r="N114" s="53">
        <v>1</v>
      </c>
      <c r="O114" s="53">
        <v>0.6</v>
      </c>
      <c r="P114" s="53">
        <v>0.55000000000000004</v>
      </c>
      <c r="Q114" s="74">
        <f t="shared" si="3"/>
        <v>0.57499999999999996</v>
      </c>
      <c r="R114" s="53">
        <v>14.1</v>
      </c>
      <c r="S114" s="53">
        <v>123</v>
      </c>
      <c r="T114" s="16">
        <f t="shared" si="4"/>
        <v>27</v>
      </c>
      <c r="U114" s="53">
        <v>105</v>
      </c>
      <c r="V114" s="16">
        <f t="shared" si="5"/>
        <v>2835</v>
      </c>
      <c r="W114" s="53">
        <v>3</v>
      </c>
      <c r="X114" s="53" t="s">
        <v>46</v>
      </c>
      <c r="Y114" s="53" t="s">
        <v>55</v>
      </c>
      <c r="Z114" s="53" t="s">
        <v>69</v>
      </c>
      <c r="AA114" s="53" t="s">
        <v>40</v>
      </c>
      <c r="AB114" s="53" t="s">
        <v>158</v>
      </c>
      <c r="AC114" s="76"/>
      <c r="AD114" s="76"/>
      <c r="AE114" s="76"/>
      <c r="AF114" s="76"/>
      <c r="AG114" s="76"/>
      <c r="AH114" s="76"/>
    </row>
    <row r="115" spans="1:34" x14ac:dyDescent="0.15">
      <c r="A115" s="53" t="s">
        <v>41</v>
      </c>
      <c r="B115" s="53" t="s">
        <v>157</v>
      </c>
      <c r="C115" s="62">
        <v>2019</v>
      </c>
      <c r="D115" s="63" t="s">
        <v>185</v>
      </c>
      <c r="E115" s="53" t="s">
        <v>201</v>
      </c>
      <c r="F115" s="53" t="s">
        <v>208</v>
      </c>
      <c r="G115" s="53" t="s">
        <v>42</v>
      </c>
      <c r="H115" s="53" t="s">
        <v>160</v>
      </c>
      <c r="I115" s="53" t="s">
        <v>159</v>
      </c>
      <c r="J115" s="53" t="s">
        <v>38</v>
      </c>
      <c r="K115" s="53" t="s">
        <v>161</v>
      </c>
      <c r="L115" s="53">
        <v>3</v>
      </c>
      <c r="N115" s="53">
        <v>1</v>
      </c>
      <c r="O115" s="53">
        <v>0.4</v>
      </c>
      <c r="P115" s="53">
        <v>0.5</v>
      </c>
      <c r="Q115" s="75">
        <f t="shared" si="3"/>
        <v>0.45</v>
      </c>
      <c r="R115" s="53">
        <v>12.6</v>
      </c>
      <c r="S115" s="53">
        <v>121</v>
      </c>
      <c r="T115" s="38">
        <f t="shared" si="4"/>
        <v>27</v>
      </c>
      <c r="U115" s="53">
        <v>105</v>
      </c>
      <c r="V115" s="16">
        <f t="shared" si="5"/>
        <v>2835</v>
      </c>
      <c r="W115" s="53">
        <v>3</v>
      </c>
      <c r="X115" s="53" t="s">
        <v>46</v>
      </c>
      <c r="Y115" s="53" t="s">
        <v>55</v>
      </c>
      <c r="Z115" s="53" t="s">
        <v>69</v>
      </c>
      <c r="AA115" s="53" t="s">
        <v>40</v>
      </c>
      <c r="AB115" s="53" t="s">
        <v>158</v>
      </c>
      <c r="AC115" s="76"/>
      <c r="AD115" s="76"/>
      <c r="AE115" s="76"/>
      <c r="AF115" s="76"/>
      <c r="AG115" s="76"/>
      <c r="AH115" s="76"/>
    </row>
    <row r="116" spans="1:34" x14ac:dyDescent="0.15">
      <c r="A116" s="53" t="s">
        <v>41</v>
      </c>
      <c r="B116" s="53" t="s">
        <v>157</v>
      </c>
      <c r="C116" s="62">
        <v>2019</v>
      </c>
      <c r="D116" s="63" t="s">
        <v>185</v>
      </c>
      <c r="E116" s="53" t="s">
        <v>201</v>
      </c>
      <c r="F116" s="53" t="s">
        <v>208</v>
      </c>
      <c r="G116" s="53" t="s">
        <v>42</v>
      </c>
      <c r="H116" s="53" t="s">
        <v>160</v>
      </c>
      <c r="I116" s="53" t="s">
        <v>159</v>
      </c>
      <c r="J116" s="53" t="s">
        <v>38</v>
      </c>
      <c r="K116" s="53" t="s">
        <v>161</v>
      </c>
      <c r="L116" s="53">
        <v>1</v>
      </c>
      <c r="N116" s="53">
        <v>3</v>
      </c>
      <c r="O116" s="53">
        <v>0.75</v>
      </c>
      <c r="P116" s="53">
        <v>0.8</v>
      </c>
      <c r="Q116" s="75">
        <f t="shared" si="3"/>
        <v>0.77500000000000002</v>
      </c>
      <c r="R116" s="53">
        <v>16.7</v>
      </c>
      <c r="S116" s="53">
        <v>164</v>
      </c>
      <c r="T116" s="38">
        <f t="shared" si="4"/>
        <v>22</v>
      </c>
      <c r="U116" s="53">
        <v>429</v>
      </c>
      <c r="V116" s="16">
        <f t="shared" si="5"/>
        <v>3146</v>
      </c>
      <c r="W116" s="53">
        <v>2</v>
      </c>
      <c r="X116" s="53" t="s">
        <v>46</v>
      </c>
      <c r="Y116" s="53" t="s">
        <v>55</v>
      </c>
      <c r="Z116" s="53" t="s">
        <v>69</v>
      </c>
      <c r="AA116" s="53" t="s">
        <v>40</v>
      </c>
      <c r="AB116" s="53" t="s">
        <v>158</v>
      </c>
      <c r="AC116" s="76"/>
      <c r="AD116" s="76"/>
      <c r="AE116" s="76"/>
      <c r="AF116" s="76"/>
      <c r="AG116" s="76"/>
      <c r="AH116" s="76"/>
    </row>
    <row r="117" spans="1:34" x14ac:dyDescent="0.15">
      <c r="A117" s="53" t="s">
        <v>41</v>
      </c>
      <c r="B117" s="53" t="s">
        <v>157</v>
      </c>
      <c r="C117" s="62">
        <v>2019</v>
      </c>
      <c r="D117" s="63" t="s">
        <v>185</v>
      </c>
      <c r="E117" s="53" t="s">
        <v>201</v>
      </c>
      <c r="F117" s="53" t="s">
        <v>208</v>
      </c>
      <c r="G117" s="53" t="s">
        <v>42</v>
      </c>
      <c r="H117" s="53" t="s">
        <v>160</v>
      </c>
      <c r="I117" s="53" t="s">
        <v>159</v>
      </c>
      <c r="J117" s="53" t="s">
        <v>38</v>
      </c>
      <c r="K117" s="53" t="s">
        <v>161</v>
      </c>
      <c r="L117" s="53">
        <v>2</v>
      </c>
      <c r="N117" s="53">
        <v>3</v>
      </c>
      <c r="O117" s="53">
        <v>0.8</v>
      </c>
      <c r="P117" s="53">
        <v>0.75</v>
      </c>
      <c r="Q117" s="75">
        <f t="shared" si="3"/>
        <v>0.77500000000000002</v>
      </c>
      <c r="R117" s="53">
        <v>15.6</v>
      </c>
      <c r="S117" s="53">
        <v>155</v>
      </c>
      <c r="T117" s="38">
        <f t="shared" si="4"/>
        <v>22</v>
      </c>
      <c r="U117" s="53">
        <v>429</v>
      </c>
      <c r="V117" s="16">
        <f t="shared" si="5"/>
        <v>3146</v>
      </c>
      <c r="W117" s="53">
        <v>2</v>
      </c>
      <c r="X117" s="53" t="s">
        <v>46</v>
      </c>
      <c r="Y117" s="53" t="s">
        <v>55</v>
      </c>
      <c r="Z117" s="53" t="s">
        <v>69</v>
      </c>
      <c r="AA117" s="53" t="s">
        <v>40</v>
      </c>
      <c r="AB117" s="53" t="s">
        <v>158</v>
      </c>
      <c r="AC117" s="76"/>
      <c r="AD117" s="76"/>
      <c r="AE117" s="76"/>
      <c r="AF117" s="76"/>
      <c r="AG117" s="76"/>
      <c r="AH117" s="76"/>
    </row>
    <row r="118" spans="1:34" x14ac:dyDescent="0.15">
      <c r="A118" s="53" t="s">
        <v>41</v>
      </c>
      <c r="B118" s="53" t="s">
        <v>157</v>
      </c>
      <c r="C118" s="62">
        <v>2019</v>
      </c>
      <c r="D118" s="63" t="s">
        <v>185</v>
      </c>
      <c r="E118" s="53" t="s">
        <v>201</v>
      </c>
      <c r="F118" s="53" t="s">
        <v>208</v>
      </c>
      <c r="G118" s="53" t="s">
        <v>42</v>
      </c>
      <c r="H118" s="53" t="s">
        <v>160</v>
      </c>
      <c r="I118" s="53" t="s">
        <v>159</v>
      </c>
      <c r="J118" s="53" t="s">
        <v>38</v>
      </c>
      <c r="K118" s="53" t="s">
        <v>161</v>
      </c>
      <c r="L118" s="53">
        <v>3</v>
      </c>
      <c r="N118" s="53">
        <v>3</v>
      </c>
      <c r="O118" s="53">
        <v>0.9</v>
      </c>
      <c r="P118" s="53">
        <v>0.8</v>
      </c>
      <c r="Q118" s="75">
        <f t="shared" si="3"/>
        <v>0.85000000000000009</v>
      </c>
      <c r="R118" s="53">
        <v>12.4</v>
      </c>
      <c r="S118" s="53">
        <v>159</v>
      </c>
      <c r="T118" s="38">
        <f t="shared" si="4"/>
        <v>22</v>
      </c>
      <c r="U118" s="53">
        <v>429</v>
      </c>
      <c r="V118" s="38">
        <f t="shared" si="5"/>
        <v>3146</v>
      </c>
      <c r="W118" s="53">
        <v>2</v>
      </c>
      <c r="X118" s="53" t="s">
        <v>46</v>
      </c>
      <c r="Y118" s="53" t="s">
        <v>55</v>
      </c>
      <c r="Z118" s="53" t="s">
        <v>69</v>
      </c>
      <c r="AA118" s="53" t="s">
        <v>40</v>
      </c>
      <c r="AB118" s="53" t="s">
        <v>158</v>
      </c>
      <c r="AC118" s="76"/>
      <c r="AD118" s="76"/>
      <c r="AE118" s="76"/>
      <c r="AF118" s="76"/>
      <c r="AG118" s="76"/>
      <c r="AH118" s="76"/>
    </row>
    <row r="119" spans="1:34" x14ac:dyDescent="0.15">
      <c r="A119" s="53" t="s">
        <v>41</v>
      </c>
      <c r="B119" s="53" t="s">
        <v>157</v>
      </c>
      <c r="C119" s="62">
        <v>2019</v>
      </c>
      <c r="D119" s="63" t="s">
        <v>185</v>
      </c>
      <c r="E119" s="53" t="s">
        <v>201</v>
      </c>
      <c r="F119" s="53" t="s">
        <v>208</v>
      </c>
      <c r="G119" s="53" t="s">
        <v>42</v>
      </c>
      <c r="H119" s="53" t="s">
        <v>160</v>
      </c>
      <c r="I119" s="53" t="s">
        <v>159</v>
      </c>
      <c r="J119" s="53" t="s">
        <v>38</v>
      </c>
      <c r="K119" s="53" t="s">
        <v>161</v>
      </c>
      <c r="L119" s="53">
        <v>1</v>
      </c>
      <c r="N119" s="53">
        <v>6</v>
      </c>
      <c r="O119" s="53">
        <v>0.75</v>
      </c>
      <c r="P119" s="53">
        <v>0.95</v>
      </c>
      <c r="Q119" s="75">
        <f t="shared" si="3"/>
        <v>0.85</v>
      </c>
      <c r="R119" s="53">
        <v>13.5</v>
      </c>
      <c r="S119" s="53">
        <v>121</v>
      </c>
      <c r="T119" s="38">
        <f t="shared" si="4"/>
        <v>27</v>
      </c>
      <c r="U119" s="53">
        <v>537</v>
      </c>
      <c r="V119" s="38">
        <f t="shared" si="5"/>
        <v>2416.5</v>
      </c>
      <c r="W119" s="53">
        <v>2</v>
      </c>
      <c r="X119" s="53" t="s">
        <v>46</v>
      </c>
      <c r="Y119" s="53" t="s">
        <v>55</v>
      </c>
      <c r="Z119" s="53" t="s">
        <v>69</v>
      </c>
      <c r="AA119" s="53" t="s">
        <v>40</v>
      </c>
      <c r="AB119" s="53" t="s">
        <v>158</v>
      </c>
      <c r="AC119" s="76"/>
      <c r="AD119" s="76"/>
      <c r="AE119" s="76"/>
      <c r="AF119" s="76"/>
      <c r="AG119" s="76"/>
      <c r="AH119" s="76"/>
    </row>
    <row r="120" spans="1:34" x14ac:dyDescent="0.15">
      <c r="A120" s="53" t="s">
        <v>41</v>
      </c>
      <c r="B120" s="53" t="s">
        <v>157</v>
      </c>
      <c r="C120" s="62">
        <v>2019</v>
      </c>
      <c r="D120" s="63" t="s">
        <v>185</v>
      </c>
      <c r="E120" s="53" t="s">
        <v>201</v>
      </c>
      <c r="F120" s="53" t="s">
        <v>208</v>
      </c>
      <c r="G120" s="53" t="s">
        <v>42</v>
      </c>
      <c r="H120" s="53" t="s">
        <v>160</v>
      </c>
      <c r="I120" s="53" t="s">
        <v>159</v>
      </c>
      <c r="J120" s="53" t="s">
        <v>38</v>
      </c>
      <c r="K120" s="53" t="s">
        <v>161</v>
      </c>
      <c r="L120" s="53">
        <v>2</v>
      </c>
      <c r="N120" s="53">
        <v>6</v>
      </c>
      <c r="O120" s="53">
        <v>0.5</v>
      </c>
      <c r="P120" s="53">
        <v>0.65</v>
      </c>
      <c r="Q120" s="75">
        <f t="shared" si="3"/>
        <v>0.57499999999999996</v>
      </c>
      <c r="R120" s="53">
        <v>13.9</v>
      </c>
      <c r="S120" s="53">
        <v>120</v>
      </c>
      <c r="T120" s="38">
        <f t="shared" si="4"/>
        <v>30</v>
      </c>
      <c r="U120" s="53">
        <v>537</v>
      </c>
      <c r="V120" s="38">
        <f t="shared" si="5"/>
        <v>2685</v>
      </c>
      <c r="W120" s="53">
        <v>2</v>
      </c>
      <c r="X120" s="53" t="s">
        <v>46</v>
      </c>
      <c r="Y120" s="53" t="s">
        <v>55</v>
      </c>
      <c r="Z120" s="53" t="s">
        <v>69</v>
      </c>
      <c r="AA120" s="53" t="s">
        <v>40</v>
      </c>
      <c r="AB120" s="53" t="s">
        <v>158</v>
      </c>
      <c r="AC120" s="76"/>
      <c r="AD120" s="76"/>
      <c r="AE120" s="76"/>
      <c r="AF120" s="76"/>
      <c r="AG120" s="76"/>
      <c r="AH120" s="76"/>
    </row>
    <row r="121" spans="1:34" x14ac:dyDescent="0.15">
      <c r="A121" s="53" t="s">
        <v>41</v>
      </c>
      <c r="B121" s="53" t="s">
        <v>157</v>
      </c>
      <c r="C121" s="62">
        <v>2019</v>
      </c>
      <c r="D121" s="63" t="s">
        <v>185</v>
      </c>
      <c r="E121" s="53" t="s">
        <v>201</v>
      </c>
      <c r="F121" s="53" t="s">
        <v>208</v>
      </c>
      <c r="G121" s="53" t="s">
        <v>42</v>
      </c>
      <c r="H121" s="53" t="s">
        <v>160</v>
      </c>
      <c r="I121" s="53" t="s">
        <v>159</v>
      </c>
      <c r="J121" s="53" t="s">
        <v>38</v>
      </c>
      <c r="K121" s="53" t="s">
        <v>161</v>
      </c>
      <c r="L121" s="53">
        <v>3</v>
      </c>
      <c r="N121" s="53">
        <v>6</v>
      </c>
      <c r="O121" s="53">
        <v>0.45</v>
      </c>
      <c r="P121" s="53">
        <v>0.5</v>
      </c>
      <c r="Q121" s="75">
        <f t="shared" si="3"/>
        <v>0.47499999999999998</v>
      </c>
      <c r="R121" s="53">
        <v>14.1</v>
      </c>
      <c r="S121" s="53">
        <v>120</v>
      </c>
      <c r="T121" s="38">
        <f t="shared" si="4"/>
        <v>30</v>
      </c>
      <c r="U121" s="53">
        <v>537</v>
      </c>
      <c r="V121" s="38">
        <f t="shared" si="5"/>
        <v>2685</v>
      </c>
      <c r="W121" s="53">
        <v>2</v>
      </c>
      <c r="X121" s="53" t="s">
        <v>46</v>
      </c>
      <c r="Y121" s="53" t="s">
        <v>55</v>
      </c>
      <c r="Z121" s="53" t="s">
        <v>69</v>
      </c>
      <c r="AA121" s="53" t="s">
        <v>40</v>
      </c>
      <c r="AB121" s="53" t="s">
        <v>158</v>
      </c>
      <c r="AC121" s="76"/>
      <c r="AD121" s="76"/>
      <c r="AE121" s="76"/>
      <c r="AF121" s="76"/>
      <c r="AG121" s="76"/>
      <c r="AH121" s="76"/>
    </row>
    <row r="122" spans="1:34" x14ac:dyDescent="0.15">
      <c r="A122" s="53" t="s">
        <v>41</v>
      </c>
      <c r="B122" s="53" t="s">
        <v>157</v>
      </c>
      <c r="C122" s="62">
        <v>2019</v>
      </c>
      <c r="D122" s="63" t="s">
        <v>185</v>
      </c>
      <c r="E122" s="53" t="s">
        <v>204</v>
      </c>
      <c r="F122" s="53" t="s">
        <v>205</v>
      </c>
      <c r="G122" s="53" t="s">
        <v>42</v>
      </c>
      <c r="H122" s="53" t="s">
        <v>165</v>
      </c>
      <c r="I122" s="53" t="s">
        <v>159</v>
      </c>
      <c r="J122" s="53" t="s">
        <v>38</v>
      </c>
      <c r="K122" s="53" t="s">
        <v>161</v>
      </c>
      <c r="L122" s="53">
        <v>1</v>
      </c>
      <c r="N122" s="53">
        <v>8</v>
      </c>
      <c r="O122" s="53">
        <v>0.35</v>
      </c>
      <c r="P122" s="53">
        <v>0.3</v>
      </c>
      <c r="Q122" s="74">
        <f t="shared" si="3"/>
        <v>0.32499999999999996</v>
      </c>
      <c r="R122" s="53">
        <v>15.2</v>
      </c>
      <c r="S122" s="53">
        <v>115</v>
      </c>
      <c r="T122" s="16">
        <f t="shared" si="4"/>
        <v>30</v>
      </c>
      <c r="U122" s="53">
        <v>626</v>
      </c>
      <c r="V122" s="16">
        <f t="shared" si="5"/>
        <v>2347.5</v>
      </c>
      <c r="W122" s="53">
        <v>2</v>
      </c>
      <c r="X122" s="53" t="s">
        <v>46</v>
      </c>
      <c r="Y122" s="53" t="s">
        <v>55</v>
      </c>
      <c r="Z122" s="53" t="s">
        <v>69</v>
      </c>
      <c r="AA122" s="53" t="s">
        <v>78</v>
      </c>
      <c r="AB122" s="53" t="s">
        <v>158</v>
      </c>
      <c r="AC122" s="76"/>
      <c r="AD122" s="76"/>
      <c r="AE122" s="76"/>
      <c r="AF122" s="76"/>
      <c r="AG122" s="76"/>
      <c r="AH122" s="76"/>
    </row>
    <row r="123" spans="1:34" x14ac:dyDescent="0.15">
      <c r="A123" s="53" t="s">
        <v>41</v>
      </c>
      <c r="B123" s="53" t="s">
        <v>157</v>
      </c>
      <c r="C123" s="62">
        <v>2019</v>
      </c>
      <c r="D123" s="63" t="s">
        <v>185</v>
      </c>
      <c r="E123" s="53" t="s">
        <v>204</v>
      </c>
      <c r="F123" s="53" t="s">
        <v>205</v>
      </c>
      <c r="G123" s="53" t="s">
        <v>42</v>
      </c>
      <c r="H123" s="53" t="s">
        <v>165</v>
      </c>
      <c r="I123" s="53" t="s">
        <v>159</v>
      </c>
      <c r="J123" s="53" t="s">
        <v>38</v>
      </c>
      <c r="K123" s="53" t="s">
        <v>161</v>
      </c>
      <c r="L123" s="53">
        <v>2</v>
      </c>
      <c r="N123" s="53">
        <v>8</v>
      </c>
      <c r="O123" s="53">
        <v>0.25</v>
      </c>
      <c r="P123" s="53">
        <v>0.25</v>
      </c>
      <c r="Q123" s="74">
        <f t="shared" si="3"/>
        <v>0.25</v>
      </c>
      <c r="R123" s="53">
        <v>13.3</v>
      </c>
      <c r="S123" s="53">
        <v>113</v>
      </c>
      <c r="T123" s="16">
        <f t="shared" si="4"/>
        <v>30</v>
      </c>
      <c r="U123" s="53">
        <v>626</v>
      </c>
      <c r="V123" s="16">
        <f t="shared" si="5"/>
        <v>2347.5</v>
      </c>
      <c r="W123" s="53">
        <v>2</v>
      </c>
      <c r="X123" s="53" t="s">
        <v>46</v>
      </c>
      <c r="Y123" s="53" t="s">
        <v>55</v>
      </c>
      <c r="Z123" s="53" t="s">
        <v>69</v>
      </c>
      <c r="AA123" s="53" t="s">
        <v>78</v>
      </c>
      <c r="AB123" s="53" t="s">
        <v>158</v>
      </c>
      <c r="AC123" s="76"/>
      <c r="AD123" s="76"/>
      <c r="AE123" s="76"/>
      <c r="AF123" s="76"/>
      <c r="AG123" s="76"/>
      <c r="AH123" s="76"/>
    </row>
    <row r="124" spans="1:34" x14ac:dyDescent="0.15">
      <c r="A124" s="53" t="s">
        <v>41</v>
      </c>
      <c r="B124" s="53" t="s">
        <v>157</v>
      </c>
      <c r="C124" s="62">
        <v>2019</v>
      </c>
      <c r="D124" s="63" t="s">
        <v>185</v>
      </c>
      <c r="E124" s="53" t="s">
        <v>204</v>
      </c>
      <c r="F124" s="53" t="s">
        <v>205</v>
      </c>
      <c r="G124" s="53" t="s">
        <v>42</v>
      </c>
      <c r="H124" s="53" t="s">
        <v>165</v>
      </c>
      <c r="I124" s="53" t="s">
        <v>159</v>
      </c>
      <c r="J124" s="53" t="s">
        <v>38</v>
      </c>
      <c r="K124" s="53" t="s">
        <v>161</v>
      </c>
      <c r="L124" s="53">
        <v>3</v>
      </c>
      <c r="N124" s="53">
        <v>8</v>
      </c>
      <c r="O124" s="53">
        <v>0.35</v>
      </c>
      <c r="P124" s="53">
        <v>0.25</v>
      </c>
      <c r="Q124" s="74">
        <f t="shared" si="3"/>
        <v>0.3</v>
      </c>
      <c r="R124" s="53">
        <v>13.8</v>
      </c>
      <c r="S124" s="53">
        <v>117</v>
      </c>
      <c r="T124" s="16">
        <f t="shared" si="4"/>
        <v>30</v>
      </c>
      <c r="U124" s="53">
        <v>626</v>
      </c>
      <c r="V124" s="16">
        <f t="shared" si="5"/>
        <v>2347.5</v>
      </c>
      <c r="W124" s="53">
        <v>2</v>
      </c>
      <c r="X124" s="53" t="s">
        <v>46</v>
      </c>
      <c r="Y124" s="53" t="s">
        <v>55</v>
      </c>
      <c r="Z124" s="53" t="s">
        <v>69</v>
      </c>
      <c r="AA124" s="53" t="s">
        <v>78</v>
      </c>
      <c r="AB124" s="53" t="s">
        <v>158</v>
      </c>
      <c r="AC124" s="76"/>
      <c r="AD124" s="76"/>
      <c r="AE124" s="76"/>
      <c r="AF124" s="76"/>
      <c r="AG124" s="76"/>
      <c r="AH124" s="76"/>
    </row>
    <row r="125" spans="1:34" x14ac:dyDescent="0.15">
      <c r="A125" s="53" t="s">
        <v>41</v>
      </c>
      <c r="B125" s="53" t="s">
        <v>157</v>
      </c>
      <c r="C125" s="62">
        <v>2019</v>
      </c>
      <c r="D125" s="63" t="s">
        <v>185</v>
      </c>
      <c r="E125" s="53" t="s">
        <v>204</v>
      </c>
      <c r="F125" s="53" t="s">
        <v>205</v>
      </c>
      <c r="G125" s="53" t="s">
        <v>42</v>
      </c>
      <c r="H125" s="53" t="s">
        <v>165</v>
      </c>
      <c r="I125" s="53" t="s">
        <v>159</v>
      </c>
      <c r="J125" s="53" t="s">
        <v>38</v>
      </c>
      <c r="K125" s="53" t="s">
        <v>161</v>
      </c>
      <c r="L125" s="53">
        <v>1</v>
      </c>
      <c r="N125" s="53">
        <v>4</v>
      </c>
      <c r="O125" s="53">
        <v>0.35</v>
      </c>
      <c r="P125" s="53">
        <v>0.25</v>
      </c>
      <c r="Q125" s="74">
        <f t="shared" si="3"/>
        <v>0.3</v>
      </c>
      <c r="R125" s="53">
        <v>13.5</v>
      </c>
      <c r="S125" s="53">
        <v>125</v>
      </c>
      <c r="T125" s="16">
        <f t="shared" si="4"/>
        <v>27</v>
      </c>
      <c r="U125" s="53">
        <v>537</v>
      </c>
      <c r="V125" s="16">
        <f t="shared" si="5"/>
        <v>3624.75</v>
      </c>
      <c r="W125" s="53">
        <v>2</v>
      </c>
      <c r="X125" s="53" t="s">
        <v>46</v>
      </c>
      <c r="Y125" s="53" t="s">
        <v>55</v>
      </c>
      <c r="Z125" s="53" t="s">
        <v>69</v>
      </c>
      <c r="AA125" s="53" t="s">
        <v>78</v>
      </c>
      <c r="AB125" s="53" t="s">
        <v>158</v>
      </c>
      <c r="AC125" s="76"/>
      <c r="AD125" s="76"/>
      <c r="AE125" s="76"/>
      <c r="AF125" s="76"/>
      <c r="AG125" s="76"/>
      <c r="AH125" s="76"/>
    </row>
    <row r="126" spans="1:34" x14ac:dyDescent="0.15">
      <c r="A126" s="53" t="s">
        <v>41</v>
      </c>
      <c r="B126" s="53" t="s">
        <v>157</v>
      </c>
      <c r="C126" s="62">
        <v>2019</v>
      </c>
      <c r="D126" s="63" t="s">
        <v>185</v>
      </c>
      <c r="E126" s="53" t="s">
        <v>204</v>
      </c>
      <c r="F126" s="53" t="s">
        <v>205</v>
      </c>
      <c r="G126" s="53" t="s">
        <v>42</v>
      </c>
      <c r="H126" s="53" t="s">
        <v>165</v>
      </c>
      <c r="I126" s="53" t="s">
        <v>159</v>
      </c>
      <c r="J126" s="53" t="s">
        <v>38</v>
      </c>
      <c r="K126" s="53" t="s">
        <v>161</v>
      </c>
      <c r="L126" s="53">
        <v>2</v>
      </c>
      <c r="N126" s="53">
        <v>4</v>
      </c>
      <c r="O126" s="53">
        <v>0.25</v>
      </c>
      <c r="P126" s="53">
        <v>0.3</v>
      </c>
      <c r="Q126" s="74">
        <f t="shared" si="3"/>
        <v>0.27500000000000002</v>
      </c>
      <c r="R126" s="53">
        <v>14</v>
      </c>
      <c r="S126" s="53">
        <v>128</v>
      </c>
      <c r="T126" s="16">
        <f t="shared" si="4"/>
        <v>27</v>
      </c>
      <c r="U126" s="53">
        <v>537</v>
      </c>
      <c r="V126" s="16">
        <f t="shared" si="5"/>
        <v>3624.75</v>
      </c>
      <c r="W126" s="53">
        <v>2</v>
      </c>
      <c r="X126" s="53" t="s">
        <v>46</v>
      </c>
      <c r="Y126" s="53" t="s">
        <v>55</v>
      </c>
      <c r="Z126" s="53" t="s">
        <v>69</v>
      </c>
      <c r="AA126" s="53" t="s">
        <v>78</v>
      </c>
      <c r="AB126" s="53" t="s">
        <v>158</v>
      </c>
      <c r="AC126" s="76"/>
      <c r="AD126" s="76"/>
      <c r="AE126" s="76"/>
      <c r="AF126" s="76"/>
      <c r="AG126" s="76"/>
      <c r="AH126" s="76"/>
    </row>
    <row r="127" spans="1:34" x14ac:dyDescent="0.15">
      <c r="A127" s="53" t="s">
        <v>41</v>
      </c>
      <c r="B127" s="53" t="s">
        <v>157</v>
      </c>
      <c r="C127" s="62">
        <v>2019</v>
      </c>
      <c r="D127" s="63" t="s">
        <v>185</v>
      </c>
      <c r="E127" s="53" t="s">
        <v>204</v>
      </c>
      <c r="F127" s="53" t="s">
        <v>205</v>
      </c>
      <c r="G127" s="53" t="s">
        <v>42</v>
      </c>
      <c r="H127" s="53" t="s">
        <v>165</v>
      </c>
      <c r="I127" s="53" t="s">
        <v>159</v>
      </c>
      <c r="J127" s="53" t="s">
        <v>38</v>
      </c>
      <c r="K127" s="53" t="s">
        <v>161</v>
      </c>
      <c r="L127" s="53">
        <v>3</v>
      </c>
      <c r="N127" s="53">
        <v>4</v>
      </c>
      <c r="O127" s="53">
        <v>0.3</v>
      </c>
      <c r="P127" s="53">
        <v>0.35</v>
      </c>
      <c r="Q127" s="74">
        <f t="shared" si="3"/>
        <v>0.32499999999999996</v>
      </c>
      <c r="R127" s="53">
        <v>14.5</v>
      </c>
      <c r="S127" s="53">
        <v>124</v>
      </c>
      <c r="T127" s="16">
        <f t="shared" si="4"/>
        <v>27</v>
      </c>
      <c r="U127" s="53">
        <v>537</v>
      </c>
      <c r="V127" s="16">
        <f t="shared" si="5"/>
        <v>3624.75</v>
      </c>
      <c r="W127" s="53">
        <v>2</v>
      </c>
      <c r="X127" s="53" t="s">
        <v>46</v>
      </c>
      <c r="Y127" s="53" t="s">
        <v>55</v>
      </c>
      <c r="Z127" s="53" t="s">
        <v>69</v>
      </c>
      <c r="AA127" s="53" t="s">
        <v>78</v>
      </c>
      <c r="AB127" s="53" t="s">
        <v>158</v>
      </c>
      <c r="AC127" s="76"/>
      <c r="AD127" s="76"/>
      <c r="AE127" s="76"/>
      <c r="AF127" s="76"/>
      <c r="AG127" s="76"/>
      <c r="AH127" s="76"/>
    </row>
    <row r="128" spans="1:34" x14ac:dyDescent="0.15">
      <c r="A128" s="53" t="s">
        <v>41</v>
      </c>
      <c r="B128" s="53" t="s">
        <v>157</v>
      </c>
      <c r="C128" s="62">
        <v>2019</v>
      </c>
      <c r="D128" s="63" t="s">
        <v>185</v>
      </c>
      <c r="E128" s="53" t="s">
        <v>204</v>
      </c>
      <c r="F128" s="53" t="s">
        <v>205</v>
      </c>
      <c r="G128" s="53" t="s">
        <v>42</v>
      </c>
      <c r="H128" s="53" t="s">
        <v>165</v>
      </c>
      <c r="I128" s="53" t="s">
        <v>159</v>
      </c>
      <c r="J128" s="53" t="s">
        <v>38</v>
      </c>
      <c r="K128" s="53" t="s">
        <v>161</v>
      </c>
      <c r="L128" s="53">
        <v>1</v>
      </c>
      <c r="N128" s="53">
        <v>1</v>
      </c>
      <c r="O128" s="53">
        <v>1.2</v>
      </c>
      <c r="P128" s="53">
        <v>1.3</v>
      </c>
      <c r="Q128" s="74">
        <f t="shared" si="3"/>
        <v>1.25</v>
      </c>
      <c r="R128" s="53">
        <v>16.100000000000001</v>
      </c>
      <c r="S128" s="53">
        <v>126</v>
      </c>
      <c r="T128" s="16">
        <f t="shared" si="4"/>
        <v>27</v>
      </c>
      <c r="U128" s="53">
        <v>138</v>
      </c>
      <c r="V128" s="16">
        <f t="shared" si="5"/>
        <v>3726</v>
      </c>
      <c r="W128" s="53">
        <v>3</v>
      </c>
      <c r="X128" s="53" t="s">
        <v>46</v>
      </c>
      <c r="Y128" s="53" t="s">
        <v>55</v>
      </c>
      <c r="Z128" s="53" t="s">
        <v>69</v>
      </c>
      <c r="AA128" s="53" t="s">
        <v>78</v>
      </c>
      <c r="AB128" s="53" t="s">
        <v>158</v>
      </c>
      <c r="AC128" s="76"/>
      <c r="AD128" s="76"/>
      <c r="AE128" s="76"/>
      <c r="AF128" s="76"/>
      <c r="AG128" s="76"/>
      <c r="AH128" s="76"/>
    </row>
    <row r="129" spans="1:34" x14ac:dyDescent="0.15">
      <c r="A129" s="53" t="s">
        <v>41</v>
      </c>
      <c r="B129" s="53" t="s">
        <v>157</v>
      </c>
      <c r="C129" s="62">
        <v>2019</v>
      </c>
      <c r="D129" s="63" t="s">
        <v>185</v>
      </c>
      <c r="E129" s="53" t="s">
        <v>204</v>
      </c>
      <c r="F129" s="53" t="s">
        <v>205</v>
      </c>
      <c r="G129" s="53" t="s">
        <v>42</v>
      </c>
      <c r="H129" s="53" t="s">
        <v>165</v>
      </c>
      <c r="I129" s="53" t="s">
        <v>159</v>
      </c>
      <c r="J129" s="53" t="s">
        <v>38</v>
      </c>
      <c r="K129" s="53" t="s">
        <v>161</v>
      </c>
      <c r="L129" s="53">
        <v>2</v>
      </c>
      <c r="N129" s="53">
        <v>1</v>
      </c>
      <c r="O129" s="53">
        <v>0.95</v>
      </c>
      <c r="P129" s="53">
        <v>1.05</v>
      </c>
      <c r="Q129" s="74">
        <f t="shared" si="3"/>
        <v>1</v>
      </c>
      <c r="R129" s="53">
        <v>14.9</v>
      </c>
      <c r="S129" s="53">
        <v>127</v>
      </c>
      <c r="T129" s="16">
        <f t="shared" si="4"/>
        <v>27</v>
      </c>
      <c r="U129" s="53">
        <v>138</v>
      </c>
      <c r="V129" s="16">
        <f t="shared" si="5"/>
        <v>3726</v>
      </c>
      <c r="W129" s="53">
        <v>3</v>
      </c>
      <c r="X129" s="53" t="s">
        <v>46</v>
      </c>
      <c r="Y129" s="53" t="s">
        <v>55</v>
      </c>
      <c r="Z129" s="53" t="s">
        <v>69</v>
      </c>
      <c r="AA129" s="53" t="s">
        <v>78</v>
      </c>
      <c r="AB129" s="53" t="s">
        <v>158</v>
      </c>
      <c r="AC129" s="76"/>
      <c r="AD129" s="76"/>
      <c r="AE129" s="76"/>
      <c r="AF129" s="76"/>
      <c r="AG129" s="76"/>
      <c r="AH129" s="76"/>
    </row>
    <row r="130" spans="1:34" x14ac:dyDescent="0.15">
      <c r="A130" s="53" t="s">
        <v>41</v>
      </c>
      <c r="B130" s="53" t="s">
        <v>157</v>
      </c>
      <c r="C130" s="62">
        <v>2019</v>
      </c>
      <c r="D130" s="63" t="s">
        <v>185</v>
      </c>
      <c r="E130" s="53" t="s">
        <v>204</v>
      </c>
      <c r="F130" s="53" t="s">
        <v>205</v>
      </c>
      <c r="G130" s="53" t="s">
        <v>42</v>
      </c>
      <c r="H130" s="53" t="s">
        <v>165</v>
      </c>
      <c r="I130" s="53" t="s">
        <v>159</v>
      </c>
      <c r="J130" s="53" t="s">
        <v>38</v>
      </c>
      <c r="K130" s="53" t="s">
        <v>161</v>
      </c>
      <c r="L130" s="53">
        <v>3</v>
      </c>
      <c r="N130" s="53">
        <v>1</v>
      </c>
      <c r="O130" s="53">
        <v>1.1499999999999999</v>
      </c>
      <c r="P130" s="53">
        <v>1.05</v>
      </c>
      <c r="Q130" s="74">
        <f t="shared" ref="Q130:Q193" si="6">IF(OR(O130="",P130=""),"",AVERAGE(O130,P130))</f>
        <v>1.1000000000000001</v>
      </c>
      <c r="R130" s="53">
        <v>16.8</v>
      </c>
      <c r="S130" s="53">
        <v>128</v>
      </c>
      <c r="T130" s="16">
        <f t="shared" ref="T130:T193" si="7">IF(H130="","",IF(OR(H130="GREEN",H130="GK"),IF(S130&gt;=$AX$2,VLOOKUP(S130,$AX$2:$AY$10,2,1),""),IF(S130&gt;=$AZ$2,VLOOKUP(S130,$AZ$2:$BA$10,2,1),"")))</f>
        <v>27</v>
      </c>
      <c r="U130" s="53">
        <v>138</v>
      </c>
      <c r="V130" s="16">
        <f t="shared" ref="V130:V193" si="8">IF(OR(N130="",U130="",T130=""),"",U130/N130*T130)</f>
        <v>3726</v>
      </c>
      <c r="W130" s="53">
        <v>3</v>
      </c>
      <c r="X130" s="53" t="s">
        <v>46</v>
      </c>
      <c r="Y130" s="53" t="s">
        <v>55</v>
      </c>
      <c r="Z130" s="53" t="s">
        <v>69</v>
      </c>
      <c r="AA130" s="53" t="s">
        <v>78</v>
      </c>
      <c r="AB130" s="53" t="s">
        <v>158</v>
      </c>
      <c r="AC130" s="76"/>
      <c r="AD130" s="76"/>
      <c r="AE130" s="76"/>
      <c r="AF130" s="76"/>
      <c r="AG130" s="76"/>
      <c r="AH130" s="76"/>
    </row>
    <row r="131" spans="1:34" x14ac:dyDescent="0.15">
      <c r="A131" s="53" t="s">
        <v>41</v>
      </c>
      <c r="B131" s="53" t="s">
        <v>157</v>
      </c>
      <c r="C131" s="62">
        <v>2019</v>
      </c>
      <c r="D131" s="63" t="s">
        <v>185</v>
      </c>
      <c r="E131" s="53" t="s">
        <v>204</v>
      </c>
      <c r="F131" s="53" t="s">
        <v>205</v>
      </c>
      <c r="G131" s="53" t="s">
        <v>42</v>
      </c>
      <c r="H131" s="53" t="s">
        <v>160</v>
      </c>
      <c r="I131" s="53" t="s">
        <v>159</v>
      </c>
      <c r="J131" s="53" t="s">
        <v>38</v>
      </c>
      <c r="K131" s="53" t="s">
        <v>161</v>
      </c>
      <c r="L131" s="53">
        <v>1</v>
      </c>
      <c r="N131" s="53">
        <v>1</v>
      </c>
      <c r="O131" s="53">
        <v>0.7</v>
      </c>
      <c r="P131" s="53">
        <v>0.65</v>
      </c>
      <c r="Q131" s="74">
        <f t="shared" si="6"/>
        <v>0.67500000000000004</v>
      </c>
      <c r="R131" s="53">
        <v>14.5</v>
      </c>
      <c r="S131" s="53">
        <v>127</v>
      </c>
      <c r="T131" s="16">
        <f t="shared" si="7"/>
        <v>27</v>
      </c>
      <c r="U131" s="53">
        <v>138</v>
      </c>
      <c r="V131" s="16">
        <f t="shared" si="8"/>
        <v>3726</v>
      </c>
      <c r="W131" s="53">
        <v>5</v>
      </c>
      <c r="X131" s="53" t="s">
        <v>46</v>
      </c>
      <c r="Y131" s="53" t="s">
        <v>55</v>
      </c>
      <c r="Z131" s="53" t="s">
        <v>69</v>
      </c>
      <c r="AA131" s="53" t="s">
        <v>78</v>
      </c>
      <c r="AB131" s="53" t="s">
        <v>158</v>
      </c>
      <c r="AC131" s="76"/>
      <c r="AD131" s="76"/>
      <c r="AE131" s="76"/>
      <c r="AF131" s="76"/>
      <c r="AG131" s="76"/>
      <c r="AH131" s="76"/>
    </row>
    <row r="132" spans="1:34" x14ac:dyDescent="0.15">
      <c r="A132" s="53" t="s">
        <v>41</v>
      </c>
      <c r="B132" s="53" t="s">
        <v>157</v>
      </c>
      <c r="C132" s="62">
        <v>2019</v>
      </c>
      <c r="D132" s="63" t="s">
        <v>185</v>
      </c>
      <c r="E132" s="53" t="s">
        <v>204</v>
      </c>
      <c r="F132" s="53" t="s">
        <v>205</v>
      </c>
      <c r="G132" s="53" t="s">
        <v>42</v>
      </c>
      <c r="H132" s="53" t="s">
        <v>160</v>
      </c>
      <c r="I132" s="53" t="s">
        <v>159</v>
      </c>
      <c r="J132" s="53" t="s">
        <v>38</v>
      </c>
      <c r="K132" s="53" t="s">
        <v>161</v>
      </c>
      <c r="L132" s="53">
        <v>2</v>
      </c>
      <c r="N132" s="53">
        <v>1</v>
      </c>
      <c r="O132" s="53">
        <v>0.7</v>
      </c>
      <c r="P132" s="53">
        <v>0.6</v>
      </c>
      <c r="Q132" s="74">
        <f t="shared" si="6"/>
        <v>0.64999999999999991</v>
      </c>
      <c r="R132" s="53">
        <v>15.4</v>
      </c>
      <c r="S132" s="53">
        <v>125</v>
      </c>
      <c r="T132" s="16">
        <f t="shared" si="7"/>
        <v>27</v>
      </c>
      <c r="U132" s="53">
        <v>138</v>
      </c>
      <c r="V132" s="16">
        <f t="shared" si="8"/>
        <v>3726</v>
      </c>
      <c r="W132" s="53">
        <v>5</v>
      </c>
      <c r="X132" s="53" t="s">
        <v>46</v>
      </c>
      <c r="Y132" s="53" t="s">
        <v>55</v>
      </c>
      <c r="Z132" s="53" t="s">
        <v>69</v>
      </c>
      <c r="AA132" s="53" t="s">
        <v>78</v>
      </c>
      <c r="AB132" s="53" t="s">
        <v>158</v>
      </c>
      <c r="AC132" s="76"/>
      <c r="AD132" s="76"/>
      <c r="AE132" s="76"/>
      <c r="AF132" s="76"/>
      <c r="AG132" s="76"/>
      <c r="AH132" s="76"/>
    </row>
    <row r="133" spans="1:34" x14ac:dyDescent="0.15">
      <c r="A133" s="53" t="s">
        <v>41</v>
      </c>
      <c r="B133" s="53" t="s">
        <v>157</v>
      </c>
      <c r="C133" s="62">
        <v>2019</v>
      </c>
      <c r="D133" s="63" t="s">
        <v>185</v>
      </c>
      <c r="E133" s="53" t="s">
        <v>204</v>
      </c>
      <c r="F133" s="53" t="s">
        <v>205</v>
      </c>
      <c r="G133" s="53" t="s">
        <v>42</v>
      </c>
      <c r="H133" s="53" t="s">
        <v>160</v>
      </c>
      <c r="I133" s="53" t="s">
        <v>159</v>
      </c>
      <c r="J133" s="53" t="s">
        <v>38</v>
      </c>
      <c r="K133" s="53" t="s">
        <v>161</v>
      </c>
      <c r="L133" s="53">
        <v>3</v>
      </c>
      <c r="N133" s="53">
        <v>1</v>
      </c>
      <c r="O133" s="53">
        <v>0.8</v>
      </c>
      <c r="P133" s="53">
        <v>0.65</v>
      </c>
      <c r="Q133" s="75">
        <f t="shared" si="6"/>
        <v>0.72500000000000009</v>
      </c>
      <c r="R133" s="53">
        <v>15.2</v>
      </c>
      <c r="S133" s="53">
        <v>126</v>
      </c>
      <c r="T133" s="38">
        <f t="shared" si="7"/>
        <v>27</v>
      </c>
      <c r="U133" s="53">
        <v>138</v>
      </c>
      <c r="V133" s="16">
        <f t="shared" si="8"/>
        <v>3726</v>
      </c>
      <c r="W133" s="53">
        <v>5</v>
      </c>
      <c r="X133" s="53" t="s">
        <v>46</v>
      </c>
      <c r="Y133" s="53" t="s">
        <v>55</v>
      </c>
      <c r="Z133" s="53" t="s">
        <v>69</v>
      </c>
      <c r="AA133" s="53" t="s">
        <v>78</v>
      </c>
      <c r="AB133" s="53" t="s">
        <v>158</v>
      </c>
      <c r="AC133" s="76"/>
      <c r="AD133" s="76"/>
      <c r="AE133" s="76"/>
      <c r="AF133" s="76"/>
      <c r="AG133" s="76"/>
      <c r="AH133" s="76"/>
    </row>
    <row r="134" spans="1:34" x14ac:dyDescent="0.15">
      <c r="A134" s="53" t="s">
        <v>41</v>
      </c>
      <c r="B134" s="53" t="s">
        <v>157</v>
      </c>
      <c r="C134" s="62">
        <v>2019</v>
      </c>
      <c r="D134" s="63" t="s">
        <v>185</v>
      </c>
      <c r="E134" s="53" t="s">
        <v>204</v>
      </c>
      <c r="F134" s="53" t="s">
        <v>205</v>
      </c>
      <c r="G134" s="53" t="s">
        <v>42</v>
      </c>
      <c r="H134" s="53" t="s">
        <v>160</v>
      </c>
      <c r="I134" s="53" t="s">
        <v>159</v>
      </c>
      <c r="J134" s="53" t="s">
        <v>38</v>
      </c>
      <c r="K134" s="53" t="s">
        <v>161</v>
      </c>
      <c r="L134" s="53">
        <v>1</v>
      </c>
      <c r="N134" s="53">
        <v>4</v>
      </c>
      <c r="O134" s="53">
        <v>0.4</v>
      </c>
      <c r="P134" s="53">
        <v>0.5</v>
      </c>
      <c r="Q134" s="75">
        <f t="shared" si="6"/>
        <v>0.45</v>
      </c>
      <c r="R134" s="53">
        <v>16.399999999999999</v>
      </c>
      <c r="S134" s="53">
        <v>124</v>
      </c>
      <c r="T134" s="38">
        <f t="shared" si="7"/>
        <v>27</v>
      </c>
      <c r="U134" s="53">
        <v>537</v>
      </c>
      <c r="V134" s="16">
        <f t="shared" si="8"/>
        <v>3624.75</v>
      </c>
      <c r="W134" s="53">
        <v>2</v>
      </c>
      <c r="X134" s="53" t="s">
        <v>46</v>
      </c>
      <c r="Y134" s="53" t="s">
        <v>55</v>
      </c>
      <c r="Z134" s="53" t="s">
        <v>69</v>
      </c>
      <c r="AA134" s="53" t="s">
        <v>78</v>
      </c>
      <c r="AB134" s="53" t="s">
        <v>158</v>
      </c>
      <c r="AC134" s="76"/>
      <c r="AD134" s="76"/>
      <c r="AE134" s="76"/>
      <c r="AF134" s="76"/>
      <c r="AG134" s="76"/>
      <c r="AH134" s="76"/>
    </row>
    <row r="135" spans="1:34" x14ac:dyDescent="0.15">
      <c r="A135" s="53" t="s">
        <v>41</v>
      </c>
      <c r="B135" s="53" t="s">
        <v>157</v>
      </c>
      <c r="C135" s="62">
        <v>2019</v>
      </c>
      <c r="D135" s="63" t="s">
        <v>185</v>
      </c>
      <c r="E135" s="53" t="s">
        <v>204</v>
      </c>
      <c r="F135" s="53" t="s">
        <v>205</v>
      </c>
      <c r="G135" s="53" t="s">
        <v>42</v>
      </c>
      <c r="H135" s="53" t="s">
        <v>160</v>
      </c>
      <c r="I135" s="53" t="s">
        <v>159</v>
      </c>
      <c r="J135" s="53" t="s">
        <v>38</v>
      </c>
      <c r="K135" s="53" t="s">
        <v>161</v>
      </c>
      <c r="L135" s="53">
        <v>2</v>
      </c>
      <c r="N135" s="53">
        <v>4</v>
      </c>
      <c r="O135" s="53">
        <v>0.35</v>
      </c>
      <c r="P135" s="53">
        <v>0.25</v>
      </c>
      <c r="Q135" s="75">
        <f t="shared" si="6"/>
        <v>0.3</v>
      </c>
      <c r="R135" s="53">
        <v>15</v>
      </c>
      <c r="S135" s="53">
        <v>128</v>
      </c>
      <c r="T135" s="38">
        <f t="shared" si="7"/>
        <v>27</v>
      </c>
      <c r="U135" s="53">
        <v>537</v>
      </c>
      <c r="V135" s="16">
        <f t="shared" si="8"/>
        <v>3624.75</v>
      </c>
      <c r="W135" s="53">
        <v>2</v>
      </c>
      <c r="X135" s="53" t="s">
        <v>46</v>
      </c>
      <c r="Y135" s="53" t="s">
        <v>55</v>
      </c>
      <c r="Z135" s="53" t="s">
        <v>69</v>
      </c>
      <c r="AA135" s="53" t="s">
        <v>78</v>
      </c>
      <c r="AB135" s="53" t="s">
        <v>158</v>
      </c>
      <c r="AC135" s="76"/>
      <c r="AD135" s="76"/>
      <c r="AE135" s="76"/>
      <c r="AF135" s="76"/>
      <c r="AG135" s="76"/>
      <c r="AH135" s="76"/>
    </row>
    <row r="136" spans="1:34" x14ac:dyDescent="0.15">
      <c r="A136" s="53" t="s">
        <v>41</v>
      </c>
      <c r="B136" s="53" t="s">
        <v>157</v>
      </c>
      <c r="C136" s="62">
        <v>2019</v>
      </c>
      <c r="D136" s="63" t="s">
        <v>185</v>
      </c>
      <c r="E136" s="53" t="s">
        <v>204</v>
      </c>
      <c r="F136" s="53" t="s">
        <v>205</v>
      </c>
      <c r="G136" s="53" t="s">
        <v>42</v>
      </c>
      <c r="H136" s="53" t="s">
        <v>160</v>
      </c>
      <c r="I136" s="53" t="s">
        <v>159</v>
      </c>
      <c r="J136" s="53" t="s">
        <v>38</v>
      </c>
      <c r="K136" s="53" t="s">
        <v>161</v>
      </c>
      <c r="L136" s="53">
        <v>3</v>
      </c>
      <c r="N136" s="53">
        <v>4</v>
      </c>
      <c r="O136" s="53">
        <v>0.25</v>
      </c>
      <c r="P136" s="53">
        <v>0.3</v>
      </c>
      <c r="Q136" s="75">
        <f t="shared" si="6"/>
        <v>0.27500000000000002</v>
      </c>
      <c r="R136" s="53">
        <v>14.2</v>
      </c>
      <c r="S136" s="53">
        <v>126</v>
      </c>
      <c r="T136" s="38">
        <f t="shared" si="7"/>
        <v>27</v>
      </c>
      <c r="U136" s="53">
        <v>537</v>
      </c>
      <c r="V136" s="38">
        <f t="shared" si="8"/>
        <v>3624.75</v>
      </c>
      <c r="W136" s="53">
        <v>2</v>
      </c>
      <c r="X136" s="53" t="s">
        <v>46</v>
      </c>
      <c r="Y136" s="53" t="s">
        <v>55</v>
      </c>
      <c r="Z136" s="53" t="s">
        <v>69</v>
      </c>
      <c r="AA136" s="53" t="s">
        <v>78</v>
      </c>
      <c r="AB136" s="53" t="s">
        <v>158</v>
      </c>
      <c r="AC136" s="76"/>
      <c r="AD136" s="76"/>
      <c r="AE136" s="76"/>
      <c r="AF136" s="76"/>
      <c r="AG136" s="76"/>
      <c r="AH136" s="76"/>
    </row>
    <row r="137" spans="1:34" x14ac:dyDescent="0.15">
      <c r="A137" s="53" t="s">
        <v>41</v>
      </c>
      <c r="B137" s="53" t="s">
        <v>157</v>
      </c>
      <c r="C137" s="62">
        <v>2019</v>
      </c>
      <c r="D137" s="63" t="s">
        <v>185</v>
      </c>
      <c r="E137" s="53" t="s">
        <v>210</v>
      </c>
      <c r="F137" s="53" t="s">
        <v>211</v>
      </c>
      <c r="G137" s="53" t="s">
        <v>42</v>
      </c>
      <c r="H137" s="53" t="s">
        <v>160</v>
      </c>
      <c r="I137" s="53" t="s">
        <v>159</v>
      </c>
      <c r="J137" s="53" t="s">
        <v>38</v>
      </c>
      <c r="K137" s="53" t="s">
        <v>161</v>
      </c>
      <c r="L137" s="53">
        <v>1</v>
      </c>
      <c r="N137" s="53">
        <v>1</v>
      </c>
      <c r="O137" s="53">
        <v>0.65</v>
      </c>
      <c r="P137" s="53">
        <v>0.45</v>
      </c>
      <c r="Q137" s="75">
        <f t="shared" si="6"/>
        <v>0.55000000000000004</v>
      </c>
      <c r="R137" s="53">
        <v>14.3</v>
      </c>
      <c r="S137" s="53">
        <v>128</v>
      </c>
      <c r="T137" s="38">
        <f t="shared" si="7"/>
        <v>27</v>
      </c>
      <c r="U137" s="53">
        <v>137</v>
      </c>
      <c r="V137" s="38">
        <f t="shared" si="8"/>
        <v>3699</v>
      </c>
      <c r="W137" s="53">
        <v>6</v>
      </c>
      <c r="X137" s="53" t="s">
        <v>46</v>
      </c>
      <c r="Y137" s="53" t="s">
        <v>55</v>
      </c>
      <c r="Z137" s="53" t="s">
        <v>69</v>
      </c>
      <c r="AA137" s="53" t="s">
        <v>40</v>
      </c>
      <c r="AB137" s="53" t="s">
        <v>158</v>
      </c>
      <c r="AC137" s="76"/>
      <c r="AD137" s="76"/>
      <c r="AE137" s="76"/>
      <c r="AF137" s="76"/>
      <c r="AG137" s="76"/>
      <c r="AH137" s="76"/>
    </row>
    <row r="138" spans="1:34" x14ac:dyDescent="0.15">
      <c r="A138" s="53" t="s">
        <v>41</v>
      </c>
      <c r="B138" s="53" t="s">
        <v>157</v>
      </c>
      <c r="C138" s="62">
        <v>2019</v>
      </c>
      <c r="D138" s="63" t="s">
        <v>185</v>
      </c>
      <c r="E138" s="53" t="s">
        <v>210</v>
      </c>
      <c r="F138" s="53" t="s">
        <v>211</v>
      </c>
      <c r="G138" s="53" t="s">
        <v>42</v>
      </c>
      <c r="H138" s="53" t="s">
        <v>160</v>
      </c>
      <c r="I138" s="53" t="s">
        <v>159</v>
      </c>
      <c r="J138" s="53" t="s">
        <v>38</v>
      </c>
      <c r="K138" s="53" t="s">
        <v>161</v>
      </c>
      <c r="L138" s="53">
        <v>2</v>
      </c>
      <c r="N138" s="53">
        <v>1</v>
      </c>
      <c r="O138" s="53">
        <v>0.55000000000000004</v>
      </c>
      <c r="P138" s="53">
        <v>0.4</v>
      </c>
      <c r="Q138" s="75">
        <f t="shared" si="6"/>
        <v>0.47500000000000003</v>
      </c>
      <c r="R138" s="53">
        <v>13.8</v>
      </c>
      <c r="S138" s="53">
        <v>124</v>
      </c>
      <c r="T138" s="38">
        <f t="shared" si="7"/>
        <v>27</v>
      </c>
      <c r="U138" s="53">
        <v>137</v>
      </c>
      <c r="V138" s="38">
        <f t="shared" si="8"/>
        <v>3699</v>
      </c>
      <c r="W138" s="53">
        <v>6</v>
      </c>
      <c r="X138" s="53" t="s">
        <v>46</v>
      </c>
      <c r="Y138" s="53" t="s">
        <v>55</v>
      </c>
      <c r="Z138" s="53" t="s">
        <v>69</v>
      </c>
      <c r="AA138" s="53" t="s">
        <v>40</v>
      </c>
      <c r="AB138" s="53" t="s">
        <v>158</v>
      </c>
      <c r="AC138" s="76"/>
      <c r="AD138" s="76"/>
      <c r="AE138" s="76"/>
      <c r="AF138" s="76"/>
      <c r="AG138" s="76"/>
      <c r="AH138" s="76"/>
    </row>
    <row r="139" spans="1:34" x14ac:dyDescent="0.15">
      <c r="A139" s="53" t="s">
        <v>41</v>
      </c>
      <c r="B139" s="53" t="s">
        <v>157</v>
      </c>
      <c r="C139" s="62">
        <v>2019</v>
      </c>
      <c r="D139" s="63" t="s">
        <v>185</v>
      </c>
      <c r="E139" s="53" t="s">
        <v>210</v>
      </c>
      <c r="F139" s="53" t="s">
        <v>211</v>
      </c>
      <c r="G139" s="53" t="s">
        <v>42</v>
      </c>
      <c r="H139" s="53" t="s">
        <v>160</v>
      </c>
      <c r="I139" s="53" t="s">
        <v>159</v>
      </c>
      <c r="J139" s="53" t="s">
        <v>38</v>
      </c>
      <c r="K139" s="53" t="s">
        <v>161</v>
      </c>
      <c r="L139" s="53">
        <v>3</v>
      </c>
      <c r="N139" s="53">
        <v>1</v>
      </c>
      <c r="O139" s="53">
        <v>0.45</v>
      </c>
      <c r="P139" s="53">
        <v>0.4</v>
      </c>
      <c r="Q139" s="75">
        <f t="shared" si="6"/>
        <v>0.42500000000000004</v>
      </c>
      <c r="R139" s="53">
        <v>16.100000000000001</v>
      </c>
      <c r="S139" s="53">
        <v>125</v>
      </c>
      <c r="T139" s="38">
        <f t="shared" si="7"/>
        <v>27</v>
      </c>
      <c r="U139" s="53">
        <v>137</v>
      </c>
      <c r="V139" s="38">
        <f t="shared" si="8"/>
        <v>3699</v>
      </c>
      <c r="W139" s="53">
        <v>6</v>
      </c>
      <c r="X139" s="53" t="s">
        <v>46</v>
      </c>
      <c r="Y139" s="53" t="s">
        <v>55</v>
      </c>
      <c r="Z139" s="53" t="s">
        <v>69</v>
      </c>
      <c r="AA139" s="53" t="s">
        <v>40</v>
      </c>
      <c r="AB139" s="53" t="s">
        <v>158</v>
      </c>
      <c r="AC139" s="76"/>
      <c r="AD139" s="76"/>
      <c r="AE139" s="76"/>
      <c r="AF139" s="76"/>
      <c r="AG139" s="76"/>
      <c r="AH139" s="76"/>
    </row>
    <row r="140" spans="1:34" x14ac:dyDescent="0.15">
      <c r="A140" s="53" t="s">
        <v>41</v>
      </c>
      <c r="B140" s="53" t="s">
        <v>157</v>
      </c>
      <c r="C140" s="62">
        <v>2019</v>
      </c>
      <c r="D140" s="63" t="s">
        <v>185</v>
      </c>
      <c r="E140" s="53" t="s">
        <v>210</v>
      </c>
      <c r="F140" s="53" t="s">
        <v>211</v>
      </c>
      <c r="G140" s="53" t="s">
        <v>42</v>
      </c>
      <c r="H140" s="53" t="s">
        <v>160</v>
      </c>
      <c r="I140" s="53" t="s">
        <v>159</v>
      </c>
      <c r="J140" s="53" t="s">
        <v>38</v>
      </c>
      <c r="K140" s="53" t="s">
        <v>161</v>
      </c>
      <c r="L140" s="53">
        <v>1</v>
      </c>
      <c r="N140" s="53">
        <v>4</v>
      </c>
      <c r="O140" s="53">
        <v>0.55000000000000004</v>
      </c>
      <c r="P140" s="53">
        <v>0.5</v>
      </c>
      <c r="Q140" s="75">
        <f t="shared" si="6"/>
        <v>0.52500000000000002</v>
      </c>
      <c r="R140" s="53">
        <v>14.2</v>
      </c>
      <c r="S140" s="53">
        <v>126</v>
      </c>
      <c r="T140" s="38">
        <f t="shared" si="7"/>
        <v>27</v>
      </c>
      <c r="U140" s="53">
        <v>428</v>
      </c>
      <c r="V140" s="38">
        <f t="shared" si="8"/>
        <v>2889</v>
      </c>
      <c r="W140" s="53">
        <v>3</v>
      </c>
      <c r="X140" s="53" t="s">
        <v>46</v>
      </c>
      <c r="Y140" s="53" t="s">
        <v>55</v>
      </c>
      <c r="Z140" s="53" t="s">
        <v>69</v>
      </c>
      <c r="AA140" s="53" t="s">
        <v>40</v>
      </c>
      <c r="AB140" s="53" t="s">
        <v>158</v>
      </c>
      <c r="AC140" s="76"/>
      <c r="AD140" s="76"/>
      <c r="AE140" s="76"/>
      <c r="AF140" s="76"/>
      <c r="AG140" s="76"/>
      <c r="AH140" s="76"/>
    </row>
    <row r="141" spans="1:34" x14ac:dyDescent="0.15">
      <c r="A141" s="53" t="s">
        <v>41</v>
      </c>
      <c r="B141" s="53" t="s">
        <v>157</v>
      </c>
      <c r="C141" s="62">
        <v>2019</v>
      </c>
      <c r="D141" s="63" t="s">
        <v>185</v>
      </c>
      <c r="E141" s="53" t="s">
        <v>210</v>
      </c>
      <c r="F141" s="53" t="s">
        <v>211</v>
      </c>
      <c r="G141" s="53" t="s">
        <v>42</v>
      </c>
      <c r="H141" s="53" t="s">
        <v>160</v>
      </c>
      <c r="I141" s="53" t="s">
        <v>159</v>
      </c>
      <c r="J141" s="53" t="s">
        <v>38</v>
      </c>
      <c r="K141" s="53" t="s">
        <v>161</v>
      </c>
      <c r="L141" s="53">
        <v>2</v>
      </c>
      <c r="N141" s="53">
        <v>4</v>
      </c>
      <c r="O141" s="53">
        <v>0.45</v>
      </c>
      <c r="P141" s="53">
        <v>0.4</v>
      </c>
      <c r="Q141" s="75">
        <f t="shared" si="6"/>
        <v>0.42500000000000004</v>
      </c>
      <c r="R141" s="53">
        <v>13.2</v>
      </c>
      <c r="S141" s="53">
        <v>125</v>
      </c>
      <c r="T141" s="38">
        <f t="shared" si="7"/>
        <v>27</v>
      </c>
      <c r="U141" s="53">
        <v>428</v>
      </c>
      <c r="V141" s="38">
        <f t="shared" si="8"/>
        <v>2889</v>
      </c>
      <c r="W141" s="53">
        <v>3</v>
      </c>
      <c r="X141" s="53" t="s">
        <v>46</v>
      </c>
      <c r="Y141" s="53" t="s">
        <v>55</v>
      </c>
      <c r="Z141" s="53" t="s">
        <v>69</v>
      </c>
      <c r="AA141" s="53" t="s">
        <v>40</v>
      </c>
      <c r="AB141" s="53" t="s">
        <v>158</v>
      </c>
      <c r="AC141" s="76"/>
      <c r="AD141" s="76"/>
      <c r="AE141" s="76"/>
      <c r="AF141" s="76"/>
      <c r="AG141" s="76"/>
      <c r="AH141" s="76"/>
    </row>
    <row r="142" spans="1:34" x14ac:dyDescent="0.15">
      <c r="A142" s="53" t="s">
        <v>41</v>
      </c>
      <c r="B142" s="53" t="s">
        <v>157</v>
      </c>
      <c r="C142" s="62">
        <v>2019</v>
      </c>
      <c r="D142" s="63" t="s">
        <v>185</v>
      </c>
      <c r="E142" s="53" t="s">
        <v>210</v>
      </c>
      <c r="F142" s="53" t="s">
        <v>211</v>
      </c>
      <c r="G142" s="53" t="s">
        <v>42</v>
      </c>
      <c r="H142" s="53" t="s">
        <v>160</v>
      </c>
      <c r="I142" s="53" t="s">
        <v>159</v>
      </c>
      <c r="J142" s="53" t="s">
        <v>38</v>
      </c>
      <c r="K142" s="53" t="s">
        <v>161</v>
      </c>
      <c r="L142" s="53">
        <v>3</v>
      </c>
      <c r="N142" s="53">
        <v>4</v>
      </c>
      <c r="O142" s="53">
        <v>0.35</v>
      </c>
      <c r="P142" s="53">
        <v>0.3</v>
      </c>
      <c r="Q142" s="75">
        <f t="shared" si="6"/>
        <v>0.32499999999999996</v>
      </c>
      <c r="R142" s="53">
        <v>15.4</v>
      </c>
      <c r="S142" s="53">
        <v>122</v>
      </c>
      <c r="T142" s="38">
        <f t="shared" si="7"/>
        <v>27</v>
      </c>
      <c r="U142" s="53">
        <v>428</v>
      </c>
      <c r="V142" s="38">
        <f t="shared" si="8"/>
        <v>2889</v>
      </c>
      <c r="W142" s="53">
        <v>3</v>
      </c>
      <c r="X142" s="53" t="s">
        <v>46</v>
      </c>
      <c r="Y142" s="53" t="s">
        <v>55</v>
      </c>
      <c r="Z142" s="53" t="s">
        <v>69</v>
      </c>
      <c r="AA142" s="53" t="s">
        <v>40</v>
      </c>
      <c r="AB142" s="53" t="s">
        <v>158</v>
      </c>
      <c r="AC142" s="76"/>
      <c r="AD142" s="76"/>
      <c r="AE142" s="76"/>
      <c r="AF142" s="76"/>
      <c r="AG142" s="76"/>
      <c r="AH142" s="76"/>
    </row>
    <row r="143" spans="1:34" x14ac:dyDescent="0.15">
      <c r="A143" s="53" t="s">
        <v>41</v>
      </c>
      <c r="B143" s="53" t="s">
        <v>157</v>
      </c>
      <c r="C143" s="62">
        <v>2019</v>
      </c>
      <c r="D143" s="63" t="s">
        <v>185</v>
      </c>
      <c r="E143" s="53" t="s">
        <v>210</v>
      </c>
      <c r="F143" s="53" t="s">
        <v>211</v>
      </c>
      <c r="G143" s="53" t="s">
        <v>42</v>
      </c>
      <c r="H143" s="53" t="s">
        <v>165</v>
      </c>
      <c r="I143" s="53" t="s">
        <v>159</v>
      </c>
      <c r="J143" s="53" t="s">
        <v>38</v>
      </c>
      <c r="K143" s="53" t="s">
        <v>161</v>
      </c>
      <c r="L143" s="53">
        <v>1</v>
      </c>
      <c r="N143" s="53">
        <v>1</v>
      </c>
      <c r="O143" s="53">
        <v>0.85</v>
      </c>
      <c r="P143" s="53">
        <v>0.7</v>
      </c>
      <c r="Q143" s="75">
        <f t="shared" si="6"/>
        <v>0.77499999999999991</v>
      </c>
      <c r="R143" s="53">
        <v>15.2</v>
      </c>
      <c r="S143" s="53">
        <v>130</v>
      </c>
      <c r="T143" s="38">
        <f t="shared" si="7"/>
        <v>25</v>
      </c>
      <c r="U143" s="53">
        <v>137</v>
      </c>
      <c r="V143" s="38">
        <f t="shared" si="8"/>
        <v>3425</v>
      </c>
      <c r="W143" s="53">
        <v>3</v>
      </c>
      <c r="X143" s="53" t="s">
        <v>46</v>
      </c>
      <c r="Y143" s="53" t="s">
        <v>55</v>
      </c>
      <c r="Z143" s="53" t="s">
        <v>69</v>
      </c>
      <c r="AA143" s="53" t="s">
        <v>40</v>
      </c>
      <c r="AB143" s="53" t="s">
        <v>158</v>
      </c>
      <c r="AC143" s="76"/>
      <c r="AD143" s="76"/>
      <c r="AE143" s="76"/>
      <c r="AF143" s="76"/>
      <c r="AG143" s="76"/>
      <c r="AH143" s="76"/>
    </row>
    <row r="144" spans="1:34" x14ac:dyDescent="0.15">
      <c r="A144" s="53" t="s">
        <v>41</v>
      </c>
      <c r="B144" s="53" t="s">
        <v>157</v>
      </c>
      <c r="C144" s="62">
        <v>2019</v>
      </c>
      <c r="D144" s="63" t="s">
        <v>185</v>
      </c>
      <c r="E144" s="53" t="s">
        <v>210</v>
      </c>
      <c r="F144" s="53" t="s">
        <v>211</v>
      </c>
      <c r="G144" s="53" t="s">
        <v>42</v>
      </c>
      <c r="H144" s="53" t="s">
        <v>165</v>
      </c>
      <c r="I144" s="53" t="s">
        <v>159</v>
      </c>
      <c r="J144" s="53" t="s">
        <v>38</v>
      </c>
      <c r="K144" s="53" t="s">
        <v>161</v>
      </c>
      <c r="L144" s="53">
        <v>2</v>
      </c>
      <c r="N144" s="53">
        <v>1</v>
      </c>
      <c r="O144" s="53">
        <v>0.75</v>
      </c>
      <c r="P144" s="53">
        <v>0.6</v>
      </c>
      <c r="Q144" s="75">
        <f t="shared" si="6"/>
        <v>0.67500000000000004</v>
      </c>
      <c r="R144" s="53">
        <v>13.5</v>
      </c>
      <c r="S144" s="53">
        <v>126</v>
      </c>
      <c r="T144" s="38">
        <f t="shared" si="7"/>
        <v>27</v>
      </c>
      <c r="U144" s="53">
        <v>137</v>
      </c>
      <c r="V144" s="38">
        <f t="shared" si="8"/>
        <v>3699</v>
      </c>
      <c r="W144" s="53">
        <v>3</v>
      </c>
      <c r="X144" s="53" t="s">
        <v>46</v>
      </c>
      <c r="Y144" s="53" t="s">
        <v>55</v>
      </c>
      <c r="Z144" s="53" t="s">
        <v>69</v>
      </c>
      <c r="AA144" s="53" t="s">
        <v>40</v>
      </c>
      <c r="AB144" s="53" t="s">
        <v>158</v>
      </c>
      <c r="AC144" s="76"/>
      <c r="AD144" s="76"/>
      <c r="AE144" s="76"/>
      <c r="AF144" s="76"/>
      <c r="AG144" s="76"/>
      <c r="AH144" s="76"/>
    </row>
    <row r="145" spans="1:34" x14ac:dyDescent="0.15">
      <c r="A145" s="53" t="s">
        <v>41</v>
      </c>
      <c r="B145" s="53" t="s">
        <v>157</v>
      </c>
      <c r="C145" s="62">
        <v>2019</v>
      </c>
      <c r="D145" s="63" t="s">
        <v>185</v>
      </c>
      <c r="E145" s="53" t="s">
        <v>210</v>
      </c>
      <c r="F145" s="53" t="s">
        <v>211</v>
      </c>
      <c r="G145" s="53" t="s">
        <v>42</v>
      </c>
      <c r="H145" s="53" t="s">
        <v>165</v>
      </c>
      <c r="I145" s="53" t="s">
        <v>159</v>
      </c>
      <c r="J145" s="53" t="s">
        <v>38</v>
      </c>
      <c r="K145" s="53" t="s">
        <v>161</v>
      </c>
      <c r="L145" s="53">
        <v>3</v>
      </c>
      <c r="N145" s="53">
        <v>1</v>
      </c>
      <c r="O145" s="53">
        <v>0.6</v>
      </c>
      <c r="P145" s="53">
        <v>0.65</v>
      </c>
      <c r="Q145" s="75">
        <f t="shared" si="6"/>
        <v>0.625</v>
      </c>
      <c r="R145" s="53">
        <v>14.2</v>
      </c>
      <c r="S145" s="53">
        <v>128</v>
      </c>
      <c r="T145" s="38">
        <f t="shared" si="7"/>
        <v>27</v>
      </c>
      <c r="U145" s="53">
        <v>137</v>
      </c>
      <c r="V145" s="38">
        <f t="shared" si="8"/>
        <v>3699</v>
      </c>
      <c r="W145" s="53">
        <v>3</v>
      </c>
      <c r="X145" s="53" t="s">
        <v>46</v>
      </c>
      <c r="Y145" s="53" t="s">
        <v>55</v>
      </c>
      <c r="Z145" s="53" t="s">
        <v>69</v>
      </c>
      <c r="AA145" s="53" t="s">
        <v>40</v>
      </c>
      <c r="AB145" s="53" t="s">
        <v>158</v>
      </c>
      <c r="AC145" s="76"/>
      <c r="AD145" s="76"/>
      <c r="AE145" s="76"/>
      <c r="AF145" s="76"/>
      <c r="AG145" s="76"/>
      <c r="AH145" s="76"/>
    </row>
    <row r="146" spans="1:34" x14ac:dyDescent="0.15">
      <c r="A146" s="53" t="s">
        <v>41</v>
      </c>
      <c r="B146" s="53" t="s">
        <v>157</v>
      </c>
      <c r="C146" s="62">
        <v>2019</v>
      </c>
      <c r="D146" s="63" t="s">
        <v>185</v>
      </c>
      <c r="E146" s="53" t="s">
        <v>210</v>
      </c>
      <c r="F146" s="53" t="s">
        <v>211</v>
      </c>
      <c r="G146" s="53" t="s">
        <v>42</v>
      </c>
      <c r="H146" s="53" t="s">
        <v>165</v>
      </c>
      <c r="I146" s="53" t="s">
        <v>159</v>
      </c>
      <c r="J146" s="53" t="s">
        <v>38</v>
      </c>
      <c r="K146" s="53" t="s">
        <v>161</v>
      </c>
      <c r="L146" s="53">
        <v>1</v>
      </c>
      <c r="N146" s="53">
        <v>4</v>
      </c>
      <c r="O146" s="53">
        <v>0.25</v>
      </c>
      <c r="P146" s="53">
        <v>0.25</v>
      </c>
      <c r="Q146" s="75">
        <f t="shared" si="6"/>
        <v>0.25</v>
      </c>
      <c r="R146" s="53">
        <v>14.2</v>
      </c>
      <c r="S146" s="53">
        <v>124</v>
      </c>
      <c r="T146" s="38">
        <f t="shared" si="7"/>
        <v>27</v>
      </c>
      <c r="U146" s="53">
        <v>428</v>
      </c>
      <c r="V146" s="38">
        <f t="shared" si="8"/>
        <v>2889</v>
      </c>
      <c r="W146" s="53">
        <v>3</v>
      </c>
      <c r="X146" s="53" t="s">
        <v>46</v>
      </c>
      <c r="Y146" s="53" t="s">
        <v>55</v>
      </c>
      <c r="Z146" s="53" t="s">
        <v>69</v>
      </c>
      <c r="AA146" s="53" t="s">
        <v>40</v>
      </c>
      <c r="AB146" s="53" t="s">
        <v>158</v>
      </c>
      <c r="AC146" s="76"/>
      <c r="AD146" s="76"/>
      <c r="AE146" s="76"/>
      <c r="AF146" s="76"/>
      <c r="AG146" s="76"/>
      <c r="AH146" s="76"/>
    </row>
    <row r="147" spans="1:34" x14ac:dyDescent="0.15">
      <c r="A147" s="53" t="s">
        <v>41</v>
      </c>
      <c r="B147" s="53" t="s">
        <v>157</v>
      </c>
      <c r="C147" s="62">
        <v>2019</v>
      </c>
      <c r="D147" s="63" t="s">
        <v>185</v>
      </c>
      <c r="E147" s="53" t="s">
        <v>210</v>
      </c>
      <c r="F147" s="53" t="s">
        <v>211</v>
      </c>
      <c r="G147" s="53" t="s">
        <v>42</v>
      </c>
      <c r="H147" s="53" t="s">
        <v>165</v>
      </c>
      <c r="I147" s="53" t="s">
        <v>159</v>
      </c>
      <c r="J147" s="53" t="s">
        <v>38</v>
      </c>
      <c r="K147" s="53" t="s">
        <v>161</v>
      </c>
      <c r="L147" s="53">
        <v>2</v>
      </c>
      <c r="N147" s="53">
        <v>4</v>
      </c>
      <c r="O147" s="53">
        <v>0.3</v>
      </c>
      <c r="P147" s="53">
        <v>0.25</v>
      </c>
      <c r="Q147" s="75">
        <f t="shared" si="6"/>
        <v>0.27500000000000002</v>
      </c>
      <c r="R147" s="53">
        <v>13.6</v>
      </c>
      <c r="S147" s="53">
        <v>123</v>
      </c>
      <c r="T147" s="38">
        <f t="shared" si="7"/>
        <v>27</v>
      </c>
      <c r="U147" s="53">
        <v>428</v>
      </c>
      <c r="V147" s="38">
        <f t="shared" si="8"/>
        <v>2889</v>
      </c>
      <c r="W147" s="53">
        <v>3</v>
      </c>
      <c r="X147" s="53" t="s">
        <v>46</v>
      </c>
      <c r="Y147" s="53" t="s">
        <v>55</v>
      </c>
      <c r="Z147" s="53" t="s">
        <v>69</v>
      </c>
      <c r="AA147" s="53" t="s">
        <v>40</v>
      </c>
      <c r="AB147" s="53" t="s">
        <v>158</v>
      </c>
      <c r="AC147" s="76"/>
      <c r="AD147" s="76"/>
      <c r="AE147" s="76"/>
      <c r="AF147" s="76"/>
      <c r="AG147" s="76"/>
      <c r="AH147" s="76"/>
    </row>
    <row r="148" spans="1:34" x14ac:dyDescent="0.15">
      <c r="A148" s="53" t="s">
        <v>41</v>
      </c>
      <c r="B148" s="53" t="s">
        <v>157</v>
      </c>
      <c r="C148" s="62">
        <v>2019</v>
      </c>
      <c r="D148" s="63" t="s">
        <v>185</v>
      </c>
      <c r="E148" s="53" t="s">
        <v>210</v>
      </c>
      <c r="F148" s="53" t="s">
        <v>211</v>
      </c>
      <c r="G148" s="53" t="s">
        <v>42</v>
      </c>
      <c r="H148" s="53" t="s">
        <v>165</v>
      </c>
      <c r="I148" s="53" t="s">
        <v>159</v>
      </c>
      <c r="J148" s="53" t="s">
        <v>38</v>
      </c>
      <c r="K148" s="53" t="s">
        <v>161</v>
      </c>
      <c r="L148" s="53">
        <v>3</v>
      </c>
      <c r="N148" s="53">
        <v>4</v>
      </c>
      <c r="O148" s="53">
        <v>0.35</v>
      </c>
      <c r="P148" s="53">
        <v>0.45</v>
      </c>
      <c r="Q148" s="75">
        <f t="shared" si="6"/>
        <v>0.4</v>
      </c>
      <c r="R148" s="53">
        <v>15.8</v>
      </c>
      <c r="S148" s="53">
        <v>121</v>
      </c>
      <c r="T148" s="38">
        <f t="shared" si="7"/>
        <v>27</v>
      </c>
      <c r="U148" s="53">
        <v>428</v>
      </c>
      <c r="V148" s="38">
        <f t="shared" si="8"/>
        <v>2889</v>
      </c>
      <c r="W148" s="53">
        <v>3</v>
      </c>
      <c r="X148" s="53" t="s">
        <v>46</v>
      </c>
      <c r="Y148" s="53" t="s">
        <v>55</v>
      </c>
      <c r="Z148" s="53" t="s">
        <v>69</v>
      </c>
      <c r="AA148" s="53" t="s">
        <v>40</v>
      </c>
      <c r="AB148" s="53" t="s">
        <v>158</v>
      </c>
      <c r="AC148" s="76"/>
      <c r="AD148" s="76"/>
      <c r="AE148" s="76"/>
      <c r="AF148" s="76"/>
      <c r="AG148" s="76"/>
      <c r="AH148" s="76"/>
    </row>
    <row r="149" spans="1:34" x14ac:dyDescent="0.15">
      <c r="Q149" s="74" t="str">
        <f t="shared" si="6"/>
        <v/>
      </c>
      <c r="T149" s="16" t="str">
        <f t="shared" si="7"/>
        <v/>
      </c>
      <c r="V149" s="16" t="str">
        <f t="shared" si="8"/>
        <v/>
      </c>
    </row>
    <row r="150" spans="1:34" x14ac:dyDescent="0.15">
      <c r="Q150" s="74" t="str">
        <f t="shared" si="6"/>
        <v/>
      </c>
      <c r="T150" s="16" t="str">
        <f t="shared" si="7"/>
        <v/>
      </c>
      <c r="V150" s="16" t="str">
        <f t="shared" si="8"/>
        <v/>
      </c>
    </row>
    <row r="151" spans="1:34" x14ac:dyDescent="0.15">
      <c r="Q151" s="74" t="str">
        <f t="shared" si="6"/>
        <v/>
      </c>
      <c r="T151" s="16" t="str">
        <f t="shared" si="7"/>
        <v/>
      </c>
      <c r="V151" s="16" t="str">
        <f t="shared" si="8"/>
        <v/>
      </c>
    </row>
    <row r="152" spans="1:34" x14ac:dyDescent="0.15">
      <c r="Q152" s="74" t="str">
        <f t="shared" si="6"/>
        <v/>
      </c>
      <c r="T152" s="16" t="str">
        <f t="shared" si="7"/>
        <v/>
      </c>
      <c r="V152" s="16" t="str">
        <f t="shared" si="8"/>
        <v/>
      </c>
    </row>
    <row r="153" spans="1:34" x14ac:dyDescent="0.15">
      <c r="Q153" s="74" t="str">
        <f t="shared" si="6"/>
        <v/>
      </c>
      <c r="T153" s="16" t="str">
        <f t="shared" si="7"/>
        <v/>
      </c>
      <c r="V153" s="16" t="str">
        <f t="shared" si="8"/>
        <v/>
      </c>
    </row>
    <row r="154" spans="1:34" x14ac:dyDescent="0.15">
      <c r="Q154" s="74" t="str">
        <f t="shared" si="6"/>
        <v/>
      </c>
      <c r="T154" s="16" t="str">
        <f t="shared" si="7"/>
        <v/>
      </c>
      <c r="V154" s="16" t="str">
        <f t="shared" si="8"/>
        <v/>
      </c>
    </row>
    <row r="155" spans="1:34" x14ac:dyDescent="0.15">
      <c r="Q155" s="74" t="str">
        <f t="shared" si="6"/>
        <v/>
      </c>
      <c r="T155" s="16" t="str">
        <f t="shared" si="7"/>
        <v/>
      </c>
      <c r="V155" s="16" t="str">
        <f t="shared" si="8"/>
        <v/>
      </c>
    </row>
    <row r="156" spans="1:34" x14ac:dyDescent="0.15">
      <c r="Q156" s="74" t="str">
        <f t="shared" si="6"/>
        <v/>
      </c>
      <c r="T156" s="16" t="str">
        <f t="shared" si="7"/>
        <v/>
      </c>
      <c r="V156" s="16" t="str">
        <f t="shared" si="8"/>
        <v/>
      </c>
    </row>
    <row r="157" spans="1:34" x14ac:dyDescent="0.15">
      <c r="Q157" s="74" t="str">
        <f t="shared" si="6"/>
        <v/>
      </c>
      <c r="T157" s="16" t="str">
        <f t="shared" si="7"/>
        <v/>
      </c>
      <c r="V157" s="16" t="str">
        <f t="shared" si="8"/>
        <v/>
      </c>
    </row>
    <row r="158" spans="1:34" x14ac:dyDescent="0.15">
      <c r="Q158" s="74" t="str">
        <f t="shared" si="6"/>
        <v/>
      </c>
      <c r="T158" s="16" t="str">
        <f t="shared" si="7"/>
        <v/>
      </c>
      <c r="V158" s="16" t="str">
        <f t="shared" si="8"/>
        <v/>
      </c>
    </row>
    <row r="159" spans="1:34" x14ac:dyDescent="0.15">
      <c r="Q159" s="74" t="str">
        <f t="shared" si="6"/>
        <v/>
      </c>
      <c r="T159" s="16" t="str">
        <f t="shared" si="7"/>
        <v/>
      </c>
      <c r="V159" s="16" t="str">
        <f t="shared" si="8"/>
        <v/>
      </c>
    </row>
    <row r="160" spans="1:34" x14ac:dyDescent="0.15">
      <c r="Q160" s="74" t="str">
        <f t="shared" si="6"/>
        <v/>
      </c>
      <c r="T160" s="16" t="str">
        <f t="shared" si="7"/>
        <v/>
      </c>
      <c r="V160" s="16" t="str">
        <f t="shared" si="8"/>
        <v/>
      </c>
    </row>
    <row r="161" spans="17:22" x14ac:dyDescent="0.15">
      <c r="Q161" s="74" t="str">
        <f t="shared" si="6"/>
        <v/>
      </c>
      <c r="T161" s="16" t="str">
        <f t="shared" si="7"/>
        <v/>
      </c>
      <c r="V161" s="16" t="str">
        <f t="shared" si="8"/>
        <v/>
      </c>
    </row>
    <row r="162" spans="17:22" x14ac:dyDescent="0.15">
      <c r="Q162" s="74" t="str">
        <f t="shared" si="6"/>
        <v/>
      </c>
      <c r="T162" s="16" t="str">
        <f t="shared" si="7"/>
        <v/>
      </c>
      <c r="V162" s="16" t="str">
        <f t="shared" si="8"/>
        <v/>
      </c>
    </row>
    <row r="163" spans="17:22" x14ac:dyDescent="0.15">
      <c r="Q163" s="74" t="str">
        <f t="shared" si="6"/>
        <v/>
      </c>
      <c r="T163" s="16" t="str">
        <f t="shared" si="7"/>
        <v/>
      </c>
      <c r="V163" s="16" t="str">
        <f t="shared" si="8"/>
        <v/>
      </c>
    </row>
    <row r="164" spans="17:22" x14ac:dyDescent="0.15">
      <c r="Q164" s="74" t="str">
        <f t="shared" si="6"/>
        <v/>
      </c>
      <c r="T164" s="16" t="str">
        <f t="shared" si="7"/>
        <v/>
      </c>
      <c r="V164" s="16" t="str">
        <f t="shared" si="8"/>
        <v/>
      </c>
    </row>
    <row r="165" spans="17:22" x14ac:dyDescent="0.15">
      <c r="Q165" s="74" t="str">
        <f t="shared" si="6"/>
        <v/>
      </c>
      <c r="T165" s="16" t="str">
        <f t="shared" si="7"/>
        <v/>
      </c>
      <c r="V165" s="16" t="str">
        <f t="shared" si="8"/>
        <v/>
      </c>
    </row>
    <row r="166" spans="17:22" x14ac:dyDescent="0.15">
      <c r="Q166" s="74" t="str">
        <f t="shared" si="6"/>
        <v/>
      </c>
      <c r="T166" s="16" t="str">
        <f t="shared" si="7"/>
        <v/>
      </c>
      <c r="V166" s="16" t="str">
        <f t="shared" si="8"/>
        <v/>
      </c>
    </row>
    <row r="167" spans="17:22" x14ac:dyDescent="0.15">
      <c r="Q167" s="74" t="str">
        <f t="shared" si="6"/>
        <v/>
      </c>
      <c r="T167" s="16" t="str">
        <f t="shared" si="7"/>
        <v/>
      </c>
      <c r="V167" s="16" t="str">
        <f t="shared" si="8"/>
        <v/>
      </c>
    </row>
    <row r="168" spans="17:22" x14ac:dyDescent="0.15">
      <c r="Q168" s="74" t="str">
        <f t="shared" si="6"/>
        <v/>
      </c>
      <c r="T168" s="16" t="str">
        <f t="shared" si="7"/>
        <v/>
      </c>
      <c r="V168" s="16" t="str">
        <f t="shared" si="8"/>
        <v/>
      </c>
    </row>
    <row r="169" spans="17:22" x14ac:dyDescent="0.15">
      <c r="Q169" s="74" t="str">
        <f t="shared" si="6"/>
        <v/>
      </c>
      <c r="T169" s="16" t="str">
        <f t="shared" si="7"/>
        <v/>
      </c>
      <c r="V169" s="16" t="str">
        <f t="shared" si="8"/>
        <v/>
      </c>
    </row>
    <row r="170" spans="17:22" x14ac:dyDescent="0.15">
      <c r="Q170" s="74" t="str">
        <f t="shared" si="6"/>
        <v/>
      </c>
      <c r="T170" s="16" t="str">
        <f t="shared" si="7"/>
        <v/>
      </c>
      <c r="V170" s="16" t="str">
        <f t="shared" si="8"/>
        <v/>
      </c>
    </row>
    <row r="171" spans="17:22" x14ac:dyDescent="0.15">
      <c r="Q171" s="74" t="str">
        <f t="shared" si="6"/>
        <v/>
      </c>
      <c r="T171" s="16" t="str">
        <f t="shared" si="7"/>
        <v/>
      </c>
      <c r="V171" s="16" t="str">
        <f t="shared" si="8"/>
        <v/>
      </c>
    </row>
    <row r="172" spans="17:22" x14ac:dyDescent="0.15">
      <c r="Q172" s="74" t="str">
        <f t="shared" si="6"/>
        <v/>
      </c>
      <c r="T172" s="16" t="str">
        <f t="shared" si="7"/>
        <v/>
      </c>
      <c r="V172" s="16" t="str">
        <f t="shared" si="8"/>
        <v/>
      </c>
    </row>
    <row r="173" spans="17:22" x14ac:dyDescent="0.15">
      <c r="Q173" s="74" t="str">
        <f t="shared" si="6"/>
        <v/>
      </c>
      <c r="T173" s="16" t="str">
        <f t="shared" si="7"/>
        <v/>
      </c>
      <c r="V173" s="16" t="str">
        <f t="shared" si="8"/>
        <v/>
      </c>
    </row>
    <row r="174" spans="17:22" x14ac:dyDescent="0.15">
      <c r="Q174" s="74" t="str">
        <f t="shared" si="6"/>
        <v/>
      </c>
      <c r="T174" s="16" t="str">
        <f t="shared" si="7"/>
        <v/>
      </c>
      <c r="V174" s="16" t="str">
        <f t="shared" si="8"/>
        <v/>
      </c>
    </row>
    <row r="175" spans="17:22" x14ac:dyDescent="0.15">
      <c r="Q175" s="74" t="str">
        <f t="shared" si="6"/>
        <v/>
      </c>
      <c r="T175" s="16" t="str">
        <f t="shared" si="7"/>
        <v/>
      </c>
      <c r="V175" s="16" t="str">
        <f t="shared" si="8"/>
        <v/>
      </c>
    </row>
    <row r="176" spans="17:22" x14ac:dyDescent="0.15">
      <c r="Q176" s="74" t="str">
        <f t="shared" si="6"/>
        <v/>
      </c>
      <c r="T176" s="16" t="str">
        <f t="shared" si="7"/>
        <v/>
      </c>
      <c r="V176" s="16" t="str">
        <f t="shared" si="8"/>
        <v/>
      </c>
    </row>
    <row r="177" spans="17:22" x14ac:dyDescent="0.15">
      <c r="Q177" s="74" t="str">
        <f t="shared" si="6"/>
        <v/>
      </c>
      <c r="T177" s="16" t="str">
        <f t="shared" si="7"/>
        <v/>
      </c>
      <c r="V177" s="16" t="str">
        <f t="shared" si="8"/>
        <v/>
      </c>
    </row>
    <row r="178" spans="17:22" x14ac:dyDescent="0.15">
      <c r="Q178" s="74" t="str">
        <f t="shared" si="6"/>
        <v/>
      </c>
      <c r="T178" s="16" t="str">
        <f t="shared" si="7"/>
        <v/>
      </c>
      <c r="V178" s="16" t="str">
        <f t="shared" si="8"/>
        <v/>
      </c>
    </row>
    <row r="179" spans="17:22" x14ac:dyDescent="0.15">
      <c r="Q179" s="74" t="str">
        <f t="shared" si="6"/>
        <v/>
      </c>
      <c r="T179" s="16" t="str">
        <f t="shared" si="7"/>
        <v/>
      </c>
      <c r="V179" s="16" t="str">
        <f t="shared" si="8"/>
        <v/>
      </c>
    </row>
    <row r="180" spans="17:22" x14ac:dyDescent="0.15">
      <c r="Q180" s="74" t="str">
        <f t="shared" si="6"/>
        <v/>
      </c>
      <c r="T180" s="16" t="str">
        <f t="shared" si="7"/>
        <v/>
      </c>
      <c r="V180" s="16" t="str">
        <f t="shared" si="8"/>
        <v/>
      </c>
    </row>
    <row r="181" spans="17:22" x14ac:dyDescent="0.15">
      <c r="Q181" s="74" t="str">
        <f t="shared" si="6"/>
        <v/>
      </c>
      <c r="T181" s="16" t="str">
        <f t="shared" si="7"/>
        <v/>
      </c>
      <c r="V181" s="16" t="str">
        <f t="shared" si="8"/>
        <v/>
      </c>
    </row>
    <row r="182" spans="17:22" x14ac:dyDescent="0.15">
      <c r="Q182" s="74" t="str">
        <f t="shared" si="6"/>
        <v/>
      </c>
      <c r="T182" s="16" t="str">
        <f t="shared" si="7"/>
        <v/>
      </c>
      <c r="V182" s="16" t="str">
        <f t="shared" si="8"/>
        <v/>
      </c>
    </row>
    <row r="183" spans="17:22" x14ac:dyDescent="0.15">
      <c r="Q183" s="74" t="str">
        <f t="shared" si="6"/>
        <v/>
      </c>
      <c r="T183" s="16" t="str">
        <f t="shared" si="7"/>
        <v/>
      </c>
      <c r="V183" s="16" t="str">
        <f t="shared" si="8"/>
        <v/>
      </c>
    </row>
    <row r="184" spans="17:22" x14ac:dyDescent="0.15">
      <c r="Q184" s="74" t="str">
        <f t="shared" si="6"/>
        <v/>
      </c>
      <c r="T184" s="16" t="str">
        <f t="shared" si="7"/>
        <v/>
      </c>
      <c r="V184" s="16" t="str">
        <f t="shared" si="8"/>
        <v/>
      </c>
    </row>
    <row r="185" spans="17:22" x14ac:dyDescent="0.15">
      <c r="Q185" s="74" t="str">
        <f t="shared" si="6"/>
        <v/>
      </c>
      <c r="T185" s="16" t="str">
        <f t="shared" si="7"/>
        <v/>
      </c>
      <c r="V185" s="16" t="str">
        <f t="shared" si="8"/>
        <v/>
      </c>
    </row>
    <row r="186" spans="17:22" x14ac:dyDescent="0.15">
      <c r="Q186" s="74" t="str">
        <f t="shared" si="6"/>
        <v/>
      </c>
      <c r="T186" s="16" t="str">
        <f t="shared" si="7"/>
        <v/>
      </c>
      <c r="V186" s="16" t="str">
        <f t="shared" si="8"/>
        <v/>
      </c>
    </row>
    <row r="187" spans="17:22" x14ac:dyDescent="0.15">
      <c r="Q187" s="74" t="str">
        <f t="shared" si="6"/>
        <v/>
      </c>
      <c r="T187" s="16" t="str">
        <f t="shared" si="7"/>
        <v/>
      </c>
      <c r="V187" s="16" t="str">
        <f t="shared" si="8"/>
        <v/>
      </c>
    </row>
    <row r="188" spans="17:22" x14ac:dyDescent="0.15">
      <c r="Q188" s="74" t="str">
        <f t="shared" si="6"/>
        <v/>
      </c>
      <c r="T188" s="16" t="str">
        <f t="shared" si="7"/>
        <v/>
      </c>
      <c r="V188" s="16" t="str">
        <f t="shared" si="8"/>
        <v/>
      </c>
    </row>
    <row r="189" spans="17:22" x14ac:dyDescent="0.15">
      <c r="Q189" s="74" t="str">
        <f t="shared" si="6"/>
        <v/>
      </c>
      <c r="T189" s="16" t="str">
        <f t="shared" si="7"/>
        <v/>
      </c>
      <c r="V189" s="16" t="str">
        <f t="shared" si="8"/>
        <v/>
      </c>
    </row>
    <row r="190" spans="17:22" x14ac:dyDescent="0.15">
      <c r="Q190" s="74" t="str">
        <f t="shared" si="6"/>
        <v/>
      </c>
      <c r="T190" s="16" t="str">
        <f t="shared" si="7"/>
        <v/>
      </c>
      <c r="V190" s="16" t="str">
        <f t="shared" si="8"/>
        <v/>
      </c>
    </row>
    <row r="191" spans="17:22" x14ac:dyDescent="0.15">
      <c r="Q191" s="74" t="str">
        <f t="shared" si="6"/>
        <v/>
      </c>
      <c r="T191" s="16" t="str">
        <f t="shared" si="7"/>
        <v/>
      </c>
      <c r="V191" s="16" t="str">
        <f t="shared" si="8"/>
        <v/>
      </c>
    </row>
    <row r="192" spans="17:22" x14ac:dyDescent="0.15">
      <c r="Q192" s="74" t="str">
        <f t="shared" si="6"/>
        <v/>
      </c>
      <c r="T192" s="16" t="str">
        <f t="shared" si="7"/>
        <v/>
      </c>
      <c r="V192" s="16" t="str">
        <f t="shared" si="8"/>
        <v/>
      </c>
    </row>
    <row r="193" spans="17:22" x14ac:dyDescent="0.15">
      <c r="Q193" s="74" t="str">
        <f t="shared" si="6"/>
        <v/>
      </c>
      <c r="T193" s="16" t="str">
        <f t="shared" si="7"/>
        <v/>
      </c>
      <c r="V193" s="16" t="str">
        <f t="shared" si="8"/>
        <v/>
      </c>
    </row>
    <row r="194" spans="17:22" x14ac:dyDescent="0.15">
      <c r="Q194" s="74" t="str">
        <f t="shared" ref="Q194:Q257" si="9">IF(OR(O194="",P194=""),"",AVERAGE(O194,P194))</f>
        <v/>
      </c>
      <c r="T194" s="16" t="str">
        <f t="shared" ref="T194:T257" si="10">IF(H194="","",IF(OR(H194="GREEN",H194="GK"),IF(S194&gt;=$AX$2,VLOOKUP(S194,$AX$2:$AY$10,2,1),""),IF(S194&gt;=$AZ$2,VLOOKUP(S194,$AZ$2:$BA$10,2,1),"")))</f>
        <v/>
      </c>
      <c r="V194" s="16" t="str">
        <f t="shared" ref="V194:V257" si="11">IF(OR(N194="",U194="",T194=""),"",U194/N194*T194)</f>
        <v/>
      </c>
    </row>
    <row r="195" spans="17:22" x14ac:dyDescent="0.15">
      <c r="Q195" s="74" t="str">
        <f t="shared" si="9"/>
        <v/>
      </c>
      <c r="T195" s="16" t="str">
        <f t="shared" si="10"/>
        <v/>
      </c>
      <c r="V195" s="16" t="str">
        <f t="shared" si="11"/>
        <v/>
      </c>
    </row>
    <row r="196" spans="17:22" x14ac:dyDescent="0.15">
      <c r="Q196" s="74" t="str">
        <f t="shared" si="9"/>
        <v/>
      </c>
      <c r="T196" s="16" t="str">
        <f t="shared" si="10"/>
        <v/>
      </c>
      <c r="V196" s="16" t="str">
        <f t="shared" si="11"/>
        <v/>
      </c>
    </row>
    <row r="197" spans="17:22" x14ac:dyDescent="0.15">
      <c r="Q197" s="74" t="str">
        <f t="shared" si="9"/>
        <v/>
      </c>
      <c r="T197" s="16" t="str">
        <f t="shared" si="10"/>
        <v/>
      </c>
      <c r="V197" s="16" t="str">
        <f t="shared" si="11"/>
        <v/>
      </c>
    </row>
    <row r="198" spans="17:22" x14ac:dyDescent="0.15">
      <c r="Q198" s="74" t="str">
        <f t="shared" si="9"/>
        <v/>
      </c>
      <c r="T198" s="16" t="str">
        <f t="shared" si="10"/>
        <v/>
      </c>
      <c r="V198" s="16" t="str">
        <f t="shared" si="11"/>
        <v/>
      </c>
    </row>
    <row r="199" spans="17:22" x14ac:dyDescent="0.15">
      <c r="Q199" s="74" t="str">
        <f t="shared" si="9"/>
        <v/>
      </c>
      <c r="T199" s="16" t="str">
        <f t="shared" si="10"/>
        <v/>
      </c>
      <c r="V199" s="16" t="str">
        <f t="shared" si="11"/>
        <v/>
      </c>
    </row>
    <row r="200" spans="17:22" x14ac:dyDescent="0.15">
      <c r="Q200" s="74" t="str">
        <f t="shared" si="9"/>
        <v/>
      </c>
      <c r="T200" s="16" t="str">
        <f t="shared" si="10"/>
        <v/>
      </c>
      <c r="V200" s="16" t="str">
        <f t="shared" si="11"/>
        <v/>
      </c>
    </row>
    <row r="201" spans="17:22" x14ac:dyDescent="0.15">
      <c r="Q201" s="74" t="str">
        <f t="shared" si="9"/>
        <v/>
      </c>
      <c r="T201" s="16" t="str">
        <f t="shared" si="10"/>
        <v/>
      </c>
      <c r="V201" s="16" t="str">
        <f t="shared" si="11"/>
        <v/>
      </c>
    </row>
    <row r="202" spans="17:22" x14ac:dyDescent="0.15">
      <c r="Q202" s="74" t="str">
        <f t="shared" si="9"/>
        <v/>
      </c>
      <c r="T202" s="16" t="str">
        <f t="shared" si="10"/>
        <v/>
      </c>
      <c r="V202" s="16" t="str">
        <f t="shared" si="11"/>
        <v/>
      </c>
    </row>
    <row r="203" spans="17:22" x14ac:dyDescent="0.15">
      <c r="Q203" s="74" t="str">
        <f t="shared" si="9"/>
        <v/>
      </c>
      <c r="T203" s="16" t="str">
        <f t="shared" si="10"/>
        <v/>
      </c>
      <c r="V203" s="16" t="str">
        <f t="shared" si="11"/>
        <v/>
      </c>
    </row>
    <row r="204" spans="17:22" x14ac:dyDescent="0.15">
      <c r="Q204" s="74" t="str">
        <f t="shared" si="9"/>
        <v/>
      </c>
      <c r="T204" s="16" t="str">
        <f t="shared" si="10"/>
        <v/>
      </c>
      <c r="V204" s="16" t="str">
        <f t="shared" si="11"/>
        <v/>
      </c>
    </row>
    <row r="205" spans="17:22" x14ac:dyDescent="0.15">
      <c r="Q205" s="74" t="str">
        <f t="shared" si="9"/>
        <v/>
      </c>
      <c r="T205" s="16" t="str">
        <f t="shared" si="10"/>
        <v/>
      </c>
      <c r="V205" s="16" t="str">
        <f t="shared" si="11"/>
        <v/>
      </c>
    </row>
    <row r="206" spans="17:22" x14ac:dyDescent="0.15">
      <c r="Q206" s="74" t="str">
        <f t="shared" si="9"/>
        <v/>
      </c>
      <c r="T206" s="16" t="str">
        <f t="shared" si="10"/>
        <v/>
      </c>
      <c r="V206" s="16" t="str">
        <f t="shared" si="11"/>
        <v/>
      </c>
    </row>
    <row r="207" spans="17:22" x14ac:dyDescent="0.15">
      <c r="Q207" s="74" t="str">
        <f t="shared" si="9"/>
        <v/>
      </c>
      <c r="T207" s="16" t="str">
        <f t="shared" si="10"/>
        <v/>
      </c>
      <c r="V207" s="16" t="str">
        <f t="shared" si="11"/>
        <v/>
      </c>
    </row>
    <row r="208" spans="17:22" x14ac:dyDescent="0.15">
      <c r="Q208" s="74" t="str">
        <f t="shared" si="9"/>
        <v/>
      </c>
      <c r="T208" s="16" t="str">
        <f t="shared" si="10"/>
        <v/>
      </c>
      <c r="V208" s="16" t="str">
        <f t="shared" si="11"/>
        <v/>
      </c>
    </row>
    <row r="209" spans="17:22" x14ac:dyDescent="0.15">
      <c r="Q209" s="74" t="str">
        <f t="shared" si="9"/>
        <v/>
      </c>
      <c r="T209" s="16" t="str">
        <f t="shared" si="10"/>
        <v/>
      </c>
      <c r="V209" s="16" t="str">
        <f t="shared" si="11"/>
        <v/>
      </c>
    </row>
    <row r="210" spans="17:22" x14ac:dyDescent="0.15">
      <c r="Q210" s="74" t="str">
        <f t="shared" si="9"/>
        <v/>
      </c>
      <c r="T210" s="16" t="str">
        <f t="shared" si="10"/>
        <v/>
      </c>
      <c r="V210" s="16" t="str">
        <f t="shared" si="11"/>
        <v/>
      </c>
    </row>
    <row r="211" spans="17:22" x14ac:dyDescent="0.15">
      <c r="Q211" s="74" t="str">
        <f t="shared" si="9"/>
        <v/>
      </c>
      <c r="T211" s="16" t="str">
        <f t="shared" si="10"/>
        <v/>
      </c>
      <c r="V211" s="16" t="str">
        <f t="shared" si="11"/>
        <v/>
      </c>
    </row>
    <row r="212" spans="17:22" x14ac:dyDescent="0.15">
      <c r="Q212" s="74" t="str">
        <f t="shared" si="9"/>
        <v/>
      </c>
      <c r="T212" s="16" t="str">
        <f t="shared" si="10"/>
        <v/>
      </c>
      <c r="V212" s="16" t="str">
        <f t="shared" si="11"/>
        <v/>
      </c>
    </row>
    <row r="213" spans="17:22" x14ac:dyDescent="0.15">
      <c r="Q213" s="74" t="str">
        <f t="shared" si="9"/>
        <v/>
      </c>
      <c r="T213" s="16" t="str">
        <f t="shared" si="10"/>
        <v/>
      </c>
      <c r="V213" s="16" t="str">
        <f t="shared" si="11"/>
        <v/>
      </c>
    </row>
    <row r="214" spans="17:22" x14ac:dyDescent="0.15">
      <c r="Q214" s="74" t="str">
        <f t="shared" si="9"/>
        <v/>
      </c>
      <c r="T214" s="16" t="str">
        <f t="shared" si="10"/>
        <v/>
      </c>
      <c r="V214" s="16" t="str">
        <f t="shared" si="11"/>
        <v/>
      </c>
    </row>
    <row r="215" spans="17:22" x14ac:dyDescent="0.15">
      <c r="Q215" s="74" t="str">
        <f t="shared" si="9"/>
        <v/>
      </c>
      <c r="T215" s="16" t="str">
        <f t="shared" si="10"/>
        <v/>
      </c>
      <c r="V215" s="16" t="str">
        <f t="shared" si="11"/>
        <v/>
      </c>
    </row>
    <row r="216" spans="17:22" x14ac:dyDescent="0.15">
      <c r="Q216" s="74" t="str">
        <f t="shared" si="9"/>
        <v/>
      </c>
      <c r="T216" s="16" t="str">
        <f t="shared" si="10"/>
        <v/>
      </c>
      <c r="V216" s="16" t="str">
        <f t="shared" si="11"/>
        <v/>
      </c>
    </row>
    <row r="217" spans="17:22" x14ac:dyDescent="0.15">
      <c r="Q217" s="74" t="str">
        <f t="shared" si="9"/>
        <v/>
      </c>
      <c r="T217" s="16" t="str">
        <f t="shared" si="10"/>
        <v/>
      </c>
      <c r="V217" s="16" t="str">
        <f t="shared" si="11"/>
        <v/>
      </c>
    </row>
    <row r="218" spans="17:22" x14ac:dyDescent="0.15">
      <c r="Q218" s="74" t="str">
        <f t="shared" si="9"/>
        <v/>
      </c>
      <c r="T218" s="16" t="str">
        <f t="shared" si="10"/>
        <v/>
      </c>
      <c r="V218" s="16" t="str">
        <f t="shared" si="11"/>
        <v/>
      </c>
    </row>
    <row r="219" spans="17:22" x14ac:dyDescent="0.15">
      <c r="Q219" s="74" t="str">
        <f t="shared" si="9"/>
        <v/>
      </c>
      <c r="T219" s="16" t="str">
        <f t="shared" si="10"/>
        <v/>
      </c>
      <c r="V219" s="16" t="str">
        <f t="shared" si="11"/>
        <v/>
      </c>
    </row>
    <row r="220" spans="17:22" x14ac:dyDescent="0.15">
      <c r="Q220" s="74" t="str">
        <f t="shared" si="9"/>
        <v/>
      </c>
      <c r="T220" s="16" t="str">
        <f t="shared" si="10"/>
        <v/>
      </c>
      <c r="V220" s="16" t="str">
        <f t="shared" si="11"/>
        <v/>
      </c>
    </row>
    <row r="221" spans="17:22" x14ac:dyDescent="0.15">
      <c r="Q221" s="74" t="str">
        <f t="shared" si="9"/>
        <v/>
      </c>
      <c r="T221" s="16" t="str">
        <f t="shared" si="10"/>
        <v/>
      </c>
      <c r="V221" s="16" t="str">
        <f t="shared" si="11"/>
        <v/>
      </c>
    </row>
    <row r="222" spans="17:22" x14ac:dyDescent="0.15">
      <c r="Q222" s="74" t="str">
        <f t="shared" si="9"/>
        <v/>
      </c>
      <c r="T222" s="16" t="str">
        <f t="shared" si="10"/>
        <v/>
      </c>
      <c r="V222" s="16" t="str">
        <f t="shared" si="11"/>
        <v/>
      </c>
    </row>
    <row r="223" spans="17:22" x14ac:dyDescent="0.15">
      <c r="Q223" s="74" t="str">
        <f t="shared" si="9"/>
        <v/>
      </c>
      <c r="T223" s="16" t="str">
        <f t="shared" si="10"/>
        <v/>
      </c>
      <c r="V223" s="16" t="str">
        <f t="shared" si="11"/>
        <v/>
      </c>
    </row>
    <row r="224" spans="17:22" x14ac:dyDescent="0.15">
      <c r="Q224" s="74" t="str">
        <f t="shared" si="9"/>
        <v/>
      </c>
      <c r="T224" s="16" t="str">
        <f t="shared" si="10"/>
        <v/>
      </c>
      <c r="V224" s="16" t="str">
        <f t="shared" si="11"/>
        <v/>
      </c>
    </row>
    <row r="225" spans="17:22" x14ac:dyDescent="0.15">
      <c r="Q225" s="74" t="str">
        <f t="shared" si="9"/>
        <v/>
      </c>
      <c r="T225" s="16" t="str">
        <f t="shared" si="10"/>
        <v/>
      </c>
      <c r="V225" s="16" t="str">
        <f t="shared" si="11"/>
        <v/>
      </c>
    </row>
    <row r="226" spans="17:22" x14ac:dyDescent="0.15">
      <c r="Q226" s="74" t="str">
        <f t="shared" si="9"/>
        <v/>
      </c>
      <c r="T226" s="16" t="str">
        <f t="shared" si="10"/>
        <v/>
      </c>
      <c r="V226" s="16" t="str">
        <f t="shared" si="11"/>
        <v/>
      </c>
    </row>
    <row r="227" spans="17:22" x14ac:dyDescent="0.15">
      <c r="Q227" s="74" t="str">
        <f t="shared" si="9"/>
        <v/>
      </c>
      <c r="T227" s="16" t="str">
        <f t="shared" si="10"/>
        <v/>
      </c>
      <c r="V227" s="16" t="str">
        <f t="shared" si="11"/>
        <v/>
      </c>
    </row>
    <row r="228" spans="17:22" x14ac:dyDescent="0.15">
      <c r="Q228" s="74" t="str">
        <f t="shared" si="9"/>
        <v/>
      </c>
      <c r="T228" s="16" t="str">
        <f t="shared" si="10"/>
        <v/>
      </c>
      <c r="V228" s="16" t="str">
        <f t="shared" si="11"/>
        <v/>
      </c>
    </row>
    <row r="229" spans="17:22" x14ac:dyDescent="0.15">
      <c r="Q229" s="74" t="str">
        <f t="shared" si="9"/>
        <v/>
      </c>
      <c r="T229" s="16" t="str">
        <f t="shared" si="10"/>
        <v/>
      </c>
      <c r="V229" s="16" t="str">
        <f t="shared" si="11"/>
        <v/>
      </c>
    </row>
    <row r="230" spans="17:22" x14ac:dyDescent="0.15">
      <c r="Q230" s="74" t="str">
        <f t="shared" si="9"/>
        <v/>
      </c>
      <c r="T230" s="16" t="str">
        <f t="shared" si="10"/>
        <v/>
      </c>
      <c r="V230" s="16" t="str">
        <f t="shared" si="11"/>
        <v/>
      </c>
    </row>
    <row r="231" spans="17:22" x14ac:dyDescent="0.15">
      <c r="Q231" s="74" t="str">
        <f t="shared" si="9"/>
        <v/>
      </c>
      <c r="T231" s="16" t="str">
        <f t="shared" si="10"/>
        <v/>
      </c>
      <c r="V231" s="16" t="str">
        <f t="shared" si="11"/>
        <v/>
      </c>
    </row>
    <row r="232" spans="17:22" x14ac:dyDescent="0.15">
      <c r="Q232" s="74" t="str">
        <f t="shared" si="9"/>
        <v/>
      </c>
      <c r="T232" s="16" t="str">
        <f t="shared" si="10"/>
        <v/>
      </c>
      <c r="V232" s="16" t="str">
        <f t="shared" si="11"/>
        <v/>
      </c>
    </row>
    <row r="233" spans="17:22" x14ac:dyDescent="0.15">
      <c r="Q233" s="74" t="str">
        <f t="shared" si="9"/>
        <v/>
      </c>
      <c r="T233" s="16" t="str">
        <f t="shared" si="10"/>
        <v/>
      </c>
      <c r="V233" s="16" t="str">
        <f t="shared" si="11"/>
        <v/>
      </c>
    </row>
    <row r="234" spans="17:22" x14ac:dyDescent="0.15">
      <c r="Q234" s="74" t="str">
        <f t="shared" si="9"/>
        <v/>
      </c>
      <c r="T234" s="16" t="str">
        <f t="shared" si="10"/>
        <v/>
      </c>
      <c r="V234" s="16" t="str">
        <f t="shared" si="11"/>
        <v/>
      </c>
    </row>
    <row r="235" spans="17:22" x14ac:dyDescent="0.15">
      <c r="Q235" s="74" t="str">
        <f t="shared" si="9"/>
        <v/>
      </c>
      <c r="T235" s="16" t="str">
        <f t="shared" si="10"/>
        <v/>
      </c>
      <c r="V235" s="16" t="str">
        <f t="shared" si="11"/>
        <v/>
      </c>
    </row>
    <row r="236" spans="17:22" x14ac:dyDescent="0.15">
      <c r="Q236" s="74" t="str">
        <f t="shared" si="9"/>
        <v/>
      </c>
      <c r="T236" s="16" t="str">
        <f t="shared" si="10"/>
        <v/>
      </c>
      <c r="V236" s="16" t="str">
        <f t="shared" si="11"/>
        <v/>
      </c>
    </row>
    <row r="237" spans="17:22" x14ac:dyDescent="0.15">
      <c r="Q237" s="74" t="str">
        <f t="shared" si="9"/>
        <v/>
      </c>
      <c r="T237" s="16" t="str">
        <f t="shared" si="10"/>
        <v/>
      </c>
      <c r="V237" s="16" t="str">
        <f t="shared" si="11"/>
        <v/>
      </c>
    </row>
    <row r="238" spans="17:22" x14ac:dyDescent="0.15">
      <c r="Q238" s="74" t="str">
        <f t="shared" si="9"/>
        <v/>
      </c>
      <c r="T238" s="16" t="str">
        <f t="shared" si="10"/>
        <v/>
      </c>
      <c r="V238" s="16" t="str">
        <f t="shared" si="11"/>
        <v/>
      </c>
    </row>
    <row r="239" spans="17:22" x14ac:dyDescent="0.15">
      <c r="Q239" s="74" t="str">
        <f t="shared" si="9"/>
        <v/>
      </c>
      <c r="T239" s="16" t="str">
        <f t="shared" si="10"/>
        <v/>
      </c>
      <c r="V239" s="16" t="str">
        <f t="shared" si="11"/>
        <v/>
      </c>
    </row>
    <row r="240" spans="17:22" x14ac:dyDescent="0.15">
      <c r="Q240" s="74" t="str">
        <f t="shared" si="9"/>
        <v/>
      </c>
      <c r="T240" s="16" t="str">
        <f t="shared" si="10"/>
        <v/>
      </c>
      <c r="V240" s="16" t="str">
        <f t="shared" si="11"/>
        <v/>
      </c>
    </row>
    <row r="241" spans="17:22" x14ac:dyDescent="0.15">
      <c r="Q241" s="74" t="str">
        <f t="shared" si="9"/>
        <v/>
      </c>
      <c r="T241" s="16" t="str">
        <f t="shared" si="10"/>
        <v/>
      </c>
      <c r="V241" s="16" t="str">
        <f t="shared" si="11"/>
        <v/>
      </c>
    </row>
    <row r="242" spans="17:22" x14ac:dyDescent="0.15">
      <c r="Q242" s="74" t="str">
        <f t="shared" si="9"/>
        <v/>
      </c>
      <c r="T242" s="16" t="str">
        <f t="shared" si="10"/>
        <v/>
      </c>
      <c r="V242" s="16" t="str">
        <f t="shared" si="11"/>
        <v/>
      </c>
    </row>
    <row r="243" spans="17:22" x14ac:dyDescent="0.15">
      <c r="Q243" s="74" t="str">
        <f t="shared" si="9"/>
        <v/>
      </c>
      <c r="T243" s="16" t="str">
        <f t="shared" si="10"/>
        <v/>
      </c>
      <c r="V243" s="16" t="str">
        <f t="shared" si="11"/>
        <v/>
      </c>
    </row>
    <row r="244" spans="17:22" x14ac:dyDescent="0.15">
      <c r="Q244" s="74" t="str">
        <f t="shared" si="9"/>
        <v/>
      </c>
      <c r="T244" s="16" t="str">
        <f t="shared" si="10"/>
        <v/>
      </c>
      <c r="V244" s="16" t="str">
        <f t="shared" si="11"/>
        <v/>
      </c>
    </row>
    <row r="245" spans="17:22" x14ac:dyDescent="0.15">
      <c r="Q245" s="74" t="str">
        <f t="shared" si="9"/>
        <v/>
      </c>
      <c r="T245" s="16" t="str">
        <f t="shared" si="10"/>
        <v/>
      </c>
      <c r="V245" s="16" t="str">
        <f t="shared" si="11"/>
        <v/>
      </c>
    </row>
    <row r="246" spans="17:22" x14ac:dyDescent="0.15">
      <c r="Q246" s="74" t="str">
        <f t="shared" si="9"/>
        <v/>
      </c>
      <c r="T246" s="16" t="str">
        <f t="shared" si="10"/>
        <v/>
      </c>
      <c r="V246" s="16" t="str">
        <f t="shared" si="11"/>
        <v/>
      </c>
    </row>
    <row r="247" spans="17:22" x14ac:dyDescent="0.15">
      <c r="Q247" s="74" t="str">
        <f t="shared" si="9"/>
        <v/>
      </c>
      <c r="T247" s="16" t="str">
        <f t="shared" si="10"/>
        <v/>
      </c>
      <c r="V247" s="16" t="str">
        <f t="shared" si="11"/>
        <v/>
      </c>
    </row>
    <row r="248" spans="17:22" x14ac:dyDescent="0.15">
      <c r="Q248" s="74" t="str">
        <f t="shared" si="9"/>
        <v/>
      </c>
      <c r="T248" s="16" t="str">
        <f t="shared" si="10"/>
        <v/>
      </c>
      <c r="V248" s="16" t="str">
        <f t="shared" si="11"/>
        <v/>
      </c>
    </row>
    <row r="249" spans="17:22" x14ac:dyDescent="0.15">
      <c r="Q249" s="74" t="str">
        <f t="shared" si="9"/>
        <v/>
      </c>
      <c r="T249" s="16" t="str">
        <f t="shared" si="10"/>
        <v/>
      </c>
      <c r="V249" s="16" t="str">
        <f t="shared" si="11"/>
        <v/>
      </c>
    </row>
    <row r="250" spans="17:22" x14ac:dyDescent="0.15">
      <c r="Q250" s="74" t="str">
        <f t="shared" si="9"/>
        <v/>
      </c>
      <c r="T250" s="16" t="str">
        <f t="shared" si="10"/>
        <v/>
      </c>
      <c r="V250" s="16" t="str">
        <f t="shared" si="11"/>
        <v/>
      </c>
    </row>
    <row r="251" spans="17:22" x14ac:dyDescent="0.15">
      <c r="Q251" s="74" t="str">
        <f t="shared" si="9"/>
        <v/>
      </c>
      <c r="T251" s="16" t="str">
        <f t="shared" si="10"/>
        <v/>
      </c>
      <c r="V251" s="16" t="str">
        <f t="shared" si="11"/>
        <v/>
      </c>
    </row>
    <row r="252" spans="17:22" x14ac:dyDescent="0.15">
      <c r="Q252" s="74" t="str">
        <f t="shared" si="9"/>
        <v/>
      </c>
      <c r="T252" s="16" t="str">
        <f t="shared" si="10"/>
        <v/>
      </c>
      <c r="V252" s="16" t="str">
        <f t="shared" si="11"/>
        <v/>
      </c>
    </row>
    <row r="253" spans="17:22" x14ac:dyDescent="0.15">
      <c r="Q253" s="74" t="str">
        <f t="shared" si="9"/>
        <v/>
      </c>
      <c r="T253" s="16" t="str">
        <f t="shared" si="10"/>
        <v/>
      </c>
      <c r="V253" s="16" t="str">
        <f t="shared" si="11"/>
        <v/>
      </c>
    </row>
    <row r="254" spans="17:22" x14ac:dyDescent="0.15">
      <c r="Q254" s="74" t="str">
        <f t="shared" si="9"/>
        <v/>
      </c>
      <c r="T254" s="16" t="str">
        <f t="shared" si="10"/>
        <v/>
      </c>
      <c r="V254" s="16" t="str">
        <f t="shared" si="11"/>
        <v/>
      </c>
    </row>
    <row r="255" spans="17:22" x14ac:dyDescent="0.15">
      <c r="Q255" s="74" t="str">
        <f t="shared" si="9"/>
        <v/>
      </c>
      <c r="T255" s="16" t="str">
        <f t="shared" si="10"/>
        <v/>
      </c>
      <c r="V255" s="16" t="str">
        <f t="shared" si="11"/>
        <v/>
      </c>
    </row>
    <row r="256" spans="17:22" x14ac:dyDescent="0.15">
      <c r="Q256" s="74" t="str">
        <f t="shared" si="9"/>
        <v/>
      </c>
      <c r="T256" s="16" t="str">
        <f t="shared" si="10"/>
        <v/>
      </c>
      <c r="V256" s="16" t="str">
        <f t="shared" si="11"/>
        <v/>
      </c>
    </row>
    <row r="257" spans="17:22" x14ac:dyDescent="0.15">
      <c r="Q257" s="74" t="str">
        <f t="shared" si="9"/>
        <v/>
      </c>
      <c r="T257" s="16" t="str">
        <f t="shared" si="10"/>
        <v/>
      </c>
      <c r="V257" s="16" t="str">
        <f t="shared" si="11"/>
        <v/>
      </c>
    </row>
    <row r="258" spans="17:22" x14ac:dyDescent="0.15">
      <c r="Q258" s="74" t="str">
        <f t="shared" ref="Q258:Q321" si="12">IF(OR(O258="",P258=""),"",AVERAGE(O258,P258))</f>
        <v/>
      </c>
      <c r="T258" s="16" t="str">
        <f t="shared" ref="T258:T321" si="13">IF(H258="","",IF(OR(H258="GREEN",H258="GK"),IF(S258&gt;=$AX$2,VLOOKUP(S258,$AX$2:$AY$10,2,1),""),IF(S258&gt;=$AZ$2,VLOOKUP(S258,$AZ$2:$BA$10,2,1),"")))</f>
        <v/>
      </c>
      <c r="V258" s="16" t="str">
        <f t="shared" ref="V258:V321" si="14">IF(OR(N258="",U258="",T258=""),"",U258/N258*T258)</f>
        <v/>
      </c>
    </row>
    <row r="259" spans="17:22" x14ac:dyDescent="0.15">
      <c r="Q259" s="74" t="str">
        <f t="shared" si="12"/>
        <v/>
      </c>
      <c r="T259" s="16" t="str">
        <f t="shared" si="13"/>
        <v/>
      </c>
      <c r="V259" s="16" t="str">
        <f t="shared" si="14"/>
        <v/>
      </c>
    </row>
    <row r="260" spans="17:22" x14ac:dyDescent="0.15">
      <c r="Q260" s="74" t="str">
        <f t="shared" si="12"/>
        <v/>
      </c>
      <c r="T260" s="16" t="str">
        <f t="shared" si="13"/>
        <v/>
      </c>
      <c r="V260" s="16" t="str">
        <f t="shared" si="14"/>
        <v/>
      </c>
    </row>
    <row r="261" spans="17:22" x14ac:dyDescent="0.15">
      <c r="Q261" s="74" t="str">
        <f t="shared" si="12"/>
        <v/>
      </c>
      <c r="T261" s="16" t="str">
        <f t="shared" si="13"/>
        <v/>
      </c>
      <c r="V261" s="16" t="str">
        <f t="shared" si="14"/>
        <v/>
      </c>
    </row>
    <row r="262" spans="17:22" x14ac:dyDescent="0.15">
      <c r="Q262" s="74" t="str">
        <f t="shared" si="12"/>
        <v/>
      </c>
      <c r="T262" s="16" t="str">
        <f t="shared" si="13"/>
        <v/>
      </c>
      <c r="V262" s="16" t="str">
        <f t="shared" si="14"/>
        <v/>
      </c>
    </row>
    <row r="263" spans="17:22" x14ac:dyDescent="0.15">
      <c r="Q263" s="74" t="str">
        <f t="shared" si="12"/>
        <v/>
      </c>
      <c r="T263" s="16" t="str">
        <f t="shared" si="13"/>
        <v/>
      </c>
      <c r="V263" s="16" t="str">
        <f t="shared" si="14"/>
        <v/>
      </c>
    </row>
    <row r="264" spans="17:22" x14ac:dyDescent="0.15">
      <c r="Q264" s="74" t="str">
        <f t="shared" si="12"/>
        <v/>
      </c>
      <c r="T264" s="16" t="str">
        <f t="shared" si="13"/>
        <v/>
      </c>
      <c r="V264" s="16" t="str">
        <f t="shared" si="14"/>
        <v/>
      </c>
    </row>
    <row r="265" spans="17:22" x14ac:dyDescent="0.15">
      <c r="Q265" s="74" t="str">
        <f t="shared" si="12"/>
        <v/>
      </c>
      <c r="T265" s="16" t="str">
        <f t="shared" si="13"/>
        <v/>
      </c>
      <c r="V265" s="16" t="str">
        <f t="shared" si="14"/>
        <v/>
      </c>
    </row>
    <row r="266" spans="17:22" x14ac:dyDescent="0.15">
      <c r="Q266" s="74" t="str">
        <f t="shared" si="12"/>
        <v/>
      </c>
      <c r="T266" s="16" t="str">
        <f t="shared" si="13"/>
        <v/>
      </c>
      <c r="V266" s="16" t="str">
        <f t="shared" si="14"/>
        <v/>
      </c>
    </row>
    <row r="267" spans="17:22" x14ac:dyDescent="0.15">
      <c r="Q267" s="74" t="str">
        <f t="shared" si="12"/>
        <v/>
      </c>
      <c r="T267" s="16" t="str">
        <f t="shared" si="13"/>
        <v/>
      </c>
      <c r="V267" s="16" t="str">
        <f t="shared" si="14"/>
        <v/>
      </c>
    </row>
    <row r="268" spans="17:22" x14ac:dyDescent="0.15">
      <c r="Q268" s="74" t="str">
        <f t="shared" si="12"/>
        <v/>
      </c>
      <c r="T268" s="16" t="str">
        <f t="shared" si="13"/>
        <v/>
      </c>
      <c r="V268" s="16" t="str">
        <f t="shared" si="14"/>
        <v/>
      </c>
    </row>
    <row r="269" spans="17:22" x14ac:dyDescent="0.15">
      <c r="Q269" s="74" t="str">
        <f t="shared" si="12"/>
        <v/>
      </c>
      <c r="T269" s="16" t="str">
        <f t="shared" si="13"/>
        <v/>
      </c>
      <c r="V269" s="16" t="str">
        <f t="shared" si="14"/>
        <v/>
      </c>
    </row>
    <row r="270" spans="17:22" x14ac:dyDescent="0.15">
      <c r="Q270" s="74" t="str">
        <f t="shared" si="12"/>
        <v/>
      </c>
      <c r="T270" s="16" t="str">
        <f t="shared" si="13"/>
        <v/>
      </c>
      <c r="V270" s="16" t="str">
        <f t="shared" si="14"/>
        <v/>
      </c>
    </row>
    <row r="271" spans="17:22" x14ac:dyDescent="0.15">
      <c r="Q271" s="74" t="str">
        <f t="shared" si="12"/>
        <v/>
      </c>
      <c r="T271" s="16" t="str">
        <f t="shared" si="13"/>
        <v/>
      </c>
      <c r="V271" s="16" t="str">
        <f t="shared" si="14"/>
        <v/>
      </c>
    </row>
    <row r="272" spans="17:22" x14ac:dyDescent="0.15">
      <c r="Q272" s="74" t="str">
        <f t="shared" si="12"/>
        <v/>
      </c>
      <c r="T272" s="16" t="str">
        <f t="shared" si="13"/>
        <v/>
      </c>
      <c r="V272" s="16" t="str">
        <f t="shared" si="14"/>
        <v/>
      </c>
    </row>
    <row r="273" spans="17:22" x14ac:dyDescent="0.15">
      <c r="Q273" s="74" t="str">
        <f t="shared" si="12"/>
        <v/>
      </c>
      <c r="T273" s="16" t="str">
        <f t="shared" si="13"/>
        <v/>
      </c>
      <c r="V273" s="16" t="str">
        <f t="shared" si="14"/>
        <v/>
      </c>
    </row>
    <row r="274" spans="17:22" x14ac:dyDescent="0.15">
      <c r="Q274" s="74" t="str">
        <f t="shared" si="12"/>
        <v/>
      </c>
      <c r="T274" s="16" t="str">
        <f t="shared" si="13"/>
        <v/>
      </c>
      <c r="V274" s="16" t="str">
        <f t="shared" si="14"/>
        <v/>
      </c>
    </row>
    <row r="275" spans="17:22" x14ac:dyDescent="0.15">
      <c r="Q275" s="74" t="str">
        <f t="shared" si="12"/>
        <v/>
      </c>
      <c r="T275" s="16" t="str">
        <f t="shared" si="13"/>
        <v/>
      </c>
      <c r="V275" s="16" t="str">
        <f t="shared" si="14"/>
        <v/>
      </c>
    </row>
    <row r="276" spans="17:22" x14ac:dyDescent="0.15">
      <c r="Q276" s="74" t="str">
        <f t="shared" si="12"/>
        <v/>
      </c>
      <c r="T276" s="16" t="str">
        <f t="shared" si="13"/>
        <v/>
      </c>
      <c r="V276" s="16" t="str">
        <f t="shared" si="14"/>
        <v/>
      </c>
    </row>
    <row r="277" spans="17:22" x14ac:dyDescent="0.15">
      <c r="Q277" s="74" t="str">
        <f t="shared" si="12"/>
        <v/>
      </c>
      <c r="T277" s="16" t="str">
        <f t="shared" si="13"/>
        <v/>
      </c>
      <c r="V277" s="16" t="str">
        <f t="shared" si="14"/>
        <v/>
      </c>
    </row>
    <row r="278" spans="17:22" x14ac:dyDescent="0.15">
      <c r="Q278" s="74" t="str">
        <f t="shared" si="12"/>
        <v/>
      </c>
      <c r="T278" s="16" t="str">
        <f t="shared" si="13"/>
        <v/>
      </c>
      <c r="V278" s="16" t="str">
        <f t="shared" si="14"/>
        <v/>
      </c>
    </row>
    <row r="279" spans="17:22" x14ac:dyDescent="0.15">
      <c r="Q279" s="74" t="str">
        <f t="shared" si="12"/>
        <v/>
      </c>
      <c r="T279" s="16" t="str">
        <f t="shared" si="13"/>
        <v/>
      </c>
      <c r="V279" s="16" t="str">
        <f t="shared" si="14"/>
        <v/>
      </c>
    </row>
    <row r="280" spans="17:22" x14ac:dyDescent="0.15">
      <c r="Q280" s="74" t="str">
        <f t="shared" si="12"/>
        <v/>
      </c>
      <c r="T280" s="16" t="str">
        <f t="shared" si="13"/>
        <v/>
      </c>
      <c r="V280" s="16" t="str">
        <f t="shared" si="14"/>
        <v/>
      </c>
    </row>
    <row r="281" spans="17:22" x14ac:dyDescent="0.15">
      <c r="Q281" s="74" t="str">
        <f t="shared" si="12"/>
        <v/>
      </c>
      <c r="T281" s="16" t="str">
        <f t="shared" si="13"/>
        <v/>
      </c>
      <c r="V281" s="16" t="str">
        <f t="shared" si="14"/>
        <v/>
      </c>
    </row>
    <row r="282" spans="17:22" x14ac:dyDescent="0.15">
      <c r="Q282" s="74" t="str">
        <f t="shared" si="12"/>
        <v/>
      </c>
      <c r="T282" s="16" t="str">
        <f t="shared" si="13"/>
        <v/>
      </c>
      <c r="V282" s="16" t="str">
        <f t="shared" si="14"/>
        <v/>
      </c>
    </row>
    <row r="283" spans="17:22" x14ac:dyDescent="0.15">
      <c r="Q283" s="74" t="str">
        <f t="shared" si="12"/>
        <v/>
      </c>
      <c r="T283" s="16" t="str">
        <f t="shared" si="13"/>
        <v/>
      </c>
      <c r="V283" s="16" t="str">
        <f t="shared" si="14"/>
        <v/>
      </c>
    </row>
    <row r="284" spans="17:22" x14ac:dyDescent="0.15">
      <c r="Q284" s="74" t="str">
        <f t="shared" si="12"/>
        <v/>
      </c>
      <c r="T284" s="16" t="str">
        <f t="shared" si="13"/>
        <v/>
      </c>
      <c r="V284" s="16" t="str">
        <f t="shared" si="14"/>
        <v/>
      </c>
    </row>
    <row r="285" spans="17:22" x14ac:dyDescent="0.15">
      <c r="Q285" s="74" t="str">
        <f t="shared" si="12"/>
        <v/>
      </c>
      <c r="T285" s="16" t="str">
        <f t="shared" si="13"/>
        <v/>
      </c>
      <c r="V285" s="16" t="str">
        <f t="shared" si="14"/>
        <v/>
      </c>
    </row>
    <row r="286" spans="17:22" x14ac:dyDescent="0.15">
      <c r="Q286" s="74" t="str">
        <f t="shared" si="12"/>
        <v/>
      </c>
      <c r="T286" s="16" t="str">
        <f t="shared" si="13"/>
        <v/>
      </c>
      <c r="V286" s="16" t="str">
        <f t="shared" si="14"/>
        <v/>
      </c>
    </row>
    <row r="287" spans="17:22" x14ac:dyDescent="0.15">
      <c r="Q287" s="74" t="str">
        <f t="shared" si="12"/>
        <v/>
      </c>
      <c r="T287" s="16" t="str">
        <f t="shared" si="13"/>
        <v/>
      </c>
      <c r="V287" s="16" t="str">
        <f t="shared" si="14"/>
        <v/>
      </c>
    </row>
    <row r="288" spans="17:22" x14ac:dyDescent="0.15">
      <c r="Q288" s="74" t="str">
        <f t="shared" si="12"/>
        <v/>
      </c>
      <c r="T288" s="16" t="str">
        <f t="shared" si="13"/>
        <v/>
      </c>
      <c r="V288" s="16" t="str">
        <f t="shared" si="14"/>
        <v/>
      </c>
    </row>
    <row r="289" spans="17:22" x14ac:dyDescent="0.15">
      <c r="Q289" s="74" t="str">
        <f t="shared" si="12"/>
        <v/>
      </c>
      <c r="T289" s="16" t="str">
        <f t="shared" si="13"/>
        <v/>
      </c>
      <c r="V289" s="16" t="str">
        <f t="shared" si="14"/>
        <v/>
      </c>
    </row>
    <row r="290" spans="17:22" x14ac:dyDescent="0.15">
      <c r="Q290" s="74" t="str">
        <f t="shared" si="12"/>
        <v/>
      </c>
      <c r="T290" s="16" t="str">
        <f t="shared" si="13"/>
        <v/>
      </c>
      <c r="V290" s="16" t="str">
        <f t="shared" si="14"/>
        <v/>
      </c>
    </row>
    <row r="291" spans="17:22" x14ac:dyDescent="0.15">
      <c r="Q291" s="74" t="str">
        <f t="shared" si="12"/>
        <v/>
      </c>
      <c r="T291" s="16" t="str">
        <f t="shared" si="13"/>
        <v/>
      </c>
      <c r="V291" s="16" t="str">
        <f t="shared" si="14"/>
        <v/>
      </c>
    </row>
    <row r="292" spans="17:22" x14ac:dyDescent="0.15">
      <c r="Q292" s="74" t="str">
        <f t="shared" si="12"/>
        <v/>
      </c>
      <c r="T292" s="16" t="str">
        <f t="shared" si="13"/>
        <v/>
      </c>
      <c r="V292" s="16" t="str">
        <f t="shared" si="14"/>
        <v/>
      </c>
    </row>
    <row r="293" spans="17:22" x14ac:dyDescent="0.15">
      <c r="Q293" s="74" t="str">
        <f t="shared" si="12"/>
        <v/>
      </c>
      <c r="T293" s="16" t="str">
        <f t="shared" si="13"/>
        <v/>
      </c>
      <c r="V293" s="16" t="str">
        <f t="shared" si="14"/>
        <v/>
      </c>
    </row>
    <row r="294" spans="17:22" x14ac:dyDescent="0.15">
      <c r="Q294" s="74" t="str">
        <f t="shared" si="12"/>
        <v/>
      </c>
      <c r="T294" s="16" t="str">
        <f t="shared" si="13"/>
        <v/>
      </c>
      <c r="V294" s="16" t="str">
        <f t="shared" si="14"/>
        <v/>
      </c>
    </row>
    <row r="295" spans="17:22" x14ac:dyDescent="0.15">
      <c r="Q295" s="74" t="str">
        <f t="shared" si="12"/>
        <v/>
      </c>
      <c r="T295" s="16" t="str">
        <f t="shared" si="13"/>
        <v/>
      </c>
      <c r="V295" s="16" t="str">
        <f t="shared" si="14"/>
        <v/>
      </c>
    </row>
    <row r="296" spans="17:22" x14ac:dyDescent="0.15">
      <c r="Q296" s="74" t="str">
        <f t="shared" si="12"/>
        <v/>
      </c>
      <c r="T296" s="16" t="str">
        <f t="shared" si="13"/>
        <v/>
      </c>
      <c r="V296" s="16" t="str">
        <f t="shared" si="14"/>
        <v/>
      </c>
    </row>
    <row r="297" spans="17:22" x14ac:dyDescent="0.15">
      <c r="Q297" s="74" t="str">
        <f t="shared" si="12"/>
        <v/>
      </c>
      <c r="T297" s="16" t="str">
        <f t="shared" si="13"/>
        <v/>
      </c>
      <c r="V297" s="16" t="str">
        <f t="shared" si="14"/>
        <v/>
      </c>
    </row>
    <row r="298" spans="17:22" x14ac:dyDescent="0.15">
      <c r="Q298" s="74" t="str">
        <f t="shared" si="12"/>
        <v/>
      </c>
      <c r="T298" s="16" t="str">
        <f t="shared" si="13"/>
        <v/>
      </c>
      <c r="V298" s="16" t="str">
        <f t="shared" si="14"/>
        <v/>
      </c>
    </row>
    <row r="299" spans="17:22" x14ac:dyDescent="0.15">
      <c r="Q299" s="74" t="str">
        <f t="shared" si="12"/>
        <v/>
      </c>
      <c r="T299" s="16" t="str">
        <f t="shared" si="13"/>
        <v/>
      </c>
      <c r="V299" s="16" t="str">
        <f t="shared" si="14"/>
        <v/>
      </c>
    </row>
    <row r="300" spans="17:22" x14ac:dyDescent="0.15">
      <c r="Q300" s="74" t="str">
        <f t="shared" si="12"/>
        <v/>
      </c>
      <c r="T300" s="16" t="str">
        <f t="shared" si="13"/>
        <v/>
      </c>
      <c r="V300" s="16" t="str">
        <f t="shared" si="14"/>
        <v/>
      </c>
    </row>
    <row r="301" spans="17:22" x14ac:dyDescent="0.15">
      <c r="Q301" s="74" t="str">
        <f t="shared" si="12"/>
        <v/>
      </c>
      <c r="T301" s="16" t="str">
        <f t="shared" si="13"/>
        <v/>
      </c>
      <c r="V301" s="16" t="str">
        <f t="shared" si="14"/>
        <v/>
      </c>
    </row>
    <row r="302" spans="17:22" x14ac:dyDescent="0.15">
      <c r="Q302" s="74" t="str">
        <f t="shared" si="12"/>
        <v/>
      </c>
      <c r="T302" s="16" t="str">
        <f t="shared" si="13"/>
        <v/>
      </c>
      <c r="V302" s="16" t="str">
        <f t="shared" si="14"/>
        <v/>
      </c>
    </row>
    <row r="303" spans="17:22" x14ac:dyDescent="0.15">
      <c r="Q303" s="74" t="str">
        <f t="shared" si="12"/>
        <v/>
      </c>
      <c r="T303" s="16" t="str">
        <f t="shared" si="13"/>
        <v/>
      </c>
      <c r="V303" s="16" t="str">
        <f t="shared" si="14"/>
        <v/>
      </c>
    </row>
    <row r="304" spans="17:22" x14ac:dyDescent="0.15">
      <c r="Q304" s="74" t="str">
        <f t="shared" si="12"/>
        <v/>
      </c>
      <c r="T304" s="16" t="str">
        <f t="shared" si="13"/>
        <v/>
      </c>
      <c r="V304" s="16" t="str">
        <f t="shared" si="14"/>
        <v/>
      </c>
    </row>
    <row r="305" spans="17:22" x14ac:dyDescent="0.15">
      <c r="Q305" s="74" t="str">
        <f t="shared" si="12"/>
        <v/>
      </c>
      <c r="T305" s="16" t="str">
        <f t="shared" si="13"/>
        <v/>
      </c>
      <c r="V305" s="16" t="str">
        <f t="shared" si="14"/>
        <v/>
      </c>
    </row>
    <row r="306" spans="17:22" x14ac:dyDescent="0.15">
      <c r="Q306" s="74" t="str">
        <f t="shared" si="12"/>
        <v/>
      </c>
      <c r="T306" s="16" t="str">
        <f t="shared" si="13"/>
        <v/>
      </c>
      <c r="V306" s="16" t="str">
        <f t="shared" si="14"/>
        <v/>
      </c>
    </row>
    <row r="307" spans="17:22" x14ac:dyDescent="0.15">
      <c r="Q307" s="74" t="str">
        <f t="shared" si="12"/>
        <v/>
      </c>
      <c r="T307" s="16" t="str">
        <f t="shared" si="13"/>
        <v/>
      </c>
      <c r="V307" s="16" t="str">
        <f t="shared" si="14"/>
        <v/>
      </c>
    </row>
    <row r="308" spans="17:22" x14ac:dyDescent="0.15">
      <c r="Q308" s="74" t="str">
        <f t="shared" si="12"/>
        <v/>
      </c>
      <c r="T308" s="16" t="str">
        <f t="shared" si="13"/>
        <v/>
      </c>
      <c r="V308" s="16" t="str">
        <f t="shared" si="14"/>
        <v/>
      </c>
    </row>
    <row r="309" spans="17:22" x14ac:dyDescent="0.15">
      <c r="Q309" s="74" t="str">
        <f t="shared" si="12"/>
        <v/>
      </c>
      <c r="T309" s="16" t="str">
        <f t="shared" si="13"/>
        <v/>
      </c>
      <c r="V309" s="16" t="str">
        <f t="shared" si="14"/>
        <v/>
      </c>
    </row>
    <row r="310" spans="17:22" x14ac:dyDescent="0.15">
      <c r="Q310" s="74" t="str">
        <f t="shared" si="12"/>
        <v/>
      </c>
      <c r="T310" s="16" t="str">
        <f t="shared" si="13"/>
        <v/>
      </c>
      <c r="V310" s="16" t="str">
        <f t="shared" si="14"/>
        <v/>
      </c>
    </row>
    <row r="311" spans="17:22" x14ac:dyDescent="0.15">
      <c r="Q311" s="74" t="str">
        <f t="shared" si="12"/>
        <v/>
      </c>
      <c r="T311" s="16" t="str">
        <f t="shared" si="13"/>
        <v/>
      </c>
      <c r="V311" s="16" t="str">
        <f t="shared" si="14"/>
        <v/>
      </c>
    </row>
    <row r="312" spans="17:22" x14ac:dyDescent="0.15">
      <c r="Q312" s="74" t="str">
        <f t="shared" si="12"/>
        <v/>
      </c>
      <c r="T312" s="16" t="str">
        <f t="shared" si="13"/>
        <v/>
      </c>
      <c r="V312" s="16" t="str">
        <f t="shared" si="14"/>
        <v/>
      </c>
    </row>
    <row r="313" spans="17:22" x14ac:dyDescent="0.15">
      <c r="Q313" s="74" t="str">
        <f t="shared" si="12"/>
        <v/>
      </c>
      <c r="T313" s="16" t="str">
        <f t="shared" si="13"/>
        <v/>
      </c>
      <c r="V313" s="16" t="str">
        <f t="shared" si="14"/>
        <v/>
      </c>
    </row>
    <row r="314" spans="17:22" x14ac:dyDescent="0.15">
      <c r="Q314" s="74" t="str">
        <f t="shared" si="12"/>
        <v/>
      </c>
      <c r="T314" s="16" t="str">
        <f t="shared" si="13"/>
        <v/>
      </c>
      <c r="V314" s="16" t="str">
        <f t="shared" si="14"/>
        <v/>
      </c>
    </row>
    <row r="315" spans="17:22" x14ac:dyDescent="0.15">
      <c r="Q315" s="74" t="str">
        <f t="shared" si="12"/>
        <v/>
      </c>
      <c r="T315" s="16" t="str">
        <f t="shared" si="13"/>
        <v/>
      </c>
      <c r="V315" s="16" t="str">
        <f t="shared" si="14"/>
        <v/>
      </c>
    </row>
    <row r="316" spans="17:22" x14ac:dyDescent="0.15">
      <c r="Q316" s="74" t="str">
        <f t="shared" si="12"/>
        <v/>
      </c>
      <c r="T316" s="16" t="str">
        <f t="shared" si="13"/>
        <v/>
      </c>
      <c r="V316" s="16" t="str">
        <f t="shared" si="14"/>
        <v/>
      </c>
    </row>
    <row r="317" spans="17:22" x14ac:dyDescent="0.15">
      <c r="Q317" s="74" t="str">
        <f t="shared" si="12"/>
        <v/>
      </c>
      <c r="T317" s="16" t="str">
        <f t="shared" si="13"/>
        <v/>
      </c>
      <c r="V317" s="16" t="str">
        <f t="shared" si="14"/>
        <v/>
      </c>
    </row>
    <row r="318" spans="17:22" x14ac:dyDescent="0.15">
      <c r="Q318" s="74" t="str">
        <f t="shared" si="12"/>
        <v/>
      </c>
      <c r="T318" s="16" t="str">
        <f t="shared" si="13"/>
        <v/>
      </c>
      <c r="V318" s="16" t="str">
        <f t="shared" si="14"/>
        <v/>
      </c>
    </row>
    <row r="319" spans="17:22" x14ac:dyDescent="0.15">
      <c r="Q319" s="74" t="str">
        <f t="shared" si="12"/>
        <v/>
      </c>
      <c r="T319" s="16" t="str">
        <f t="shared" si="13"/>
        <v/>
      </c>
      <c r="V319" s="16" t="str">
        <f t="shared" si="14"/>
        <v/>
      </c>
    </row>
    <row r="320" spans="17:22" x14ac:dyDescent="0.15">
      <c r="Q320" s="74" t="str">
        <f t="shared" si="12"/>
        <v/>
      </c>
      <c r="T320" s="16" t="str">
        <f t="shared" si="13"/>
        <v/>
      </c>
      <c r="V320" s="16" t="str">
        <f t="shared" si="14"/>
        <v/>
      </c>
    </row>
    <row r="321" spans="17:22" x14ac:dyDescent="0.15">
      <c r="Q321" s="74" t="str">
        <f t="shared" si="12"/>
        <v/>
      </c>
      <c r="T321" s="16" t="str">
        <f t="shared" si="13"/>
        <v/>
      </c>
      <c r="V321" s="16" t="str">
        <f t="shared" si="14"/>
        <v/>
      </c>
    </row>
    <row r="322" spans="17:22" x14ac:dyDescent="0.15">
      <c r="Q322" s="74" t="str">
        <f t="shared" ref="Q322:Q380" si="15">IF(OR(O322="",P322=""),"",AVERAGE(O322,P322))</f>
        <v/>
      </c>
      <c r="T322" s="16" t="str">
        <f t="shared" ref="T322:T385" si="16">IF(H322="","",IF(OR(H322="GREEN",H322="GK"),IF(S322&gt;=$AX$2,VLOOKUP(S322,$AX$2:$AY$10,2,1),""),IF(S322&gt;=$AZ$2,VLOOKUP(S322,$AZ$2:$BA$10,2,1),"")))</f>
        <v/>
      </c>
      <c r="V322" s="16" t="str">
        <f t="shared" ref="V322:V385" si="17">IF(OR(N322="",U322="",T322=""),"",U322/N322*T322)</f>
        <v/>
      </c>
    </row>
    <row r="323" spans="17:22" x14ac:dyDescent="0.15">
      <c r="Q323" s="74" t="str">
        <f t="shared" si="15"/>
        <v/>
      </c>
      <c r="T323" s="16" t="str">
        <f t="shared" si="16"/>
        <v/>
      </c>
      <c r="V323" s="16" t="str">
        <f t="shared" si="17"/>
        <v/>
      </c>
    </row>
    <row r="324" spans="17:22" x14ac:dyDescent="0.15">
      <c r="Q324" s="74" t="str">
        <f t="shared" si="15"/>
        <v/>
      </c>
      <c r="T324" s="16" t="str">
        <f t="shared" si="16"/>
        <v/>
      </c>
      <c r="V324" s="16" t="str">
        <f t="shared" si="17"/>
        <v/>
      </c>
    </row>
    <row r="325" spans="17:22" x14ac:dyDescent="0.15">
      <c r="Q325" s="74" t="str">
        <f t="shared" si="15"/>
        <v/>
      </c>
      <c r="T325" s="16" t="str">
        <f t="shared" si="16"/>
        <v/>
      </c>
      <c r="V325" s="16" t="str">
        <f t="shared" si="17"/>
        <v/>
      </c>
    </row>
    <row r="326" spans="17:22" x14ac:dyDescent="0.15">
      <c r="Q326" s="74" t="str">
        <f t="shared" si="15"/>
        <v/>
      </c>
      <c r="T326" s="16" t="str">
        <f t="shared" si="16"/>
        <v/>
      </c>
      <c r="V326" s="16" t="str">
        <f t="shared" si="17"/>
        <v/>
      </c>
    </row>
    <row r="327" spans="17:22" x14ac:dyDescent="0.15">
      <c r="Q327" s="74" t="str">
        <f t="shared" si="15"/>
        <v/>
      </c>
      <c r="T327" s="16" t="str">
        <f t="shared" si="16"/>
        <v/>
      </c>
      <c r="V327" s="16" t="str">
        <f t="shared" si="17"/>
        <v/>
      </c>
    </row>
    <row r="328" spans="17:22" x14ac:dyDescent="0.15">
      <c r="Q328" s="74" t="str">
        <f t="shared" si="15"/>
        <v/>
      </c>
      <c r="T328" s="16" t="str">
        <f t="shared" si="16"/>
        <v/>
      </c>
      <c r="V328" s="16" t="str">
        <f t="shared" si="17"/>
        <v/>
      </c>
    </row>
    <row r="329" spans="17:22" x14ac:dyDescent="0.15">
      <c r="Q329" s="74" t="str">
        <f t="shared" si="15"/>
        <v/>
      </c>
      <c r="T329" s="16" t="str">
        <f t="shared" si="16"/>
        <v/>
      </c>
      <c r="V329" s="16" t="str">
        <f t="shared" si="17"/>
        <v/>
      </c>
    </row>
    <row r="330" spans="17:22" x14ac:dyDescent="0.15">
      <c r="Q330" s="74" t="str">
        <f t="shared" si="15"/>
        <v/>
      </c>
      <c r="T330" s="16" t="str">
        <f t="shared" si="16"/>
        <v/>
      </c>
      <c r="V330" s="16" t="str">
        <f t="shared" si="17"/>
        <v/>
      </c>
    </row>
    <row r="331" spans="17:22" x14ac:dyDescent="0.15">
      <c r="Q331" s="74" t="str">
        <f t="shared" si="15"/>
        <v/>
      </c>
      <c r="T331" s="16" t="str">
        <f t="shared" si="16"/>
        <v/>
      </c>
      <c r="V331" s="16" t="str">
        <f t="shared" si="17"/>
        <v/>
      </c>
    </row>
    <row r="332" spans="17:22" x14ac:dyDescent="0.15">
      <c r="Q332" s="74" t="str">
        <f t="shared" si="15"/>
        <v/>
      </c>
      <c r="T332" s="16" t="str">
        <f t="shared" si="16"/>
        <v/>
      </c>
      <c r="V332" s="16" t="str">
        <f t="shared" si="17"/>
        <v/>
      </c>
    </row>
    <row r="333" spans="17:22" x14ac:dyDescent="0.15">
      <c r="Q333" s="74" t="str">
        <f t="shared" si="15"/>
        <v/>
      </c>
      <c r="T333" s="16" t="str">
        <f t="shared" si="16"/>
        <v/>
      </c>
      <c r="V333" s="16" t="str">
        <f t="shared" si="17"/>
        <v/>
      </c>
    </row>
    <row r="334" spans="17:22" x14ac:dyDescent="0.15">
      <c r="Q334" s="74" t="str">
        <f t="shared" si="15"/>
        <v/>
      </c>
      <c r="T334" s="16" t="str">
        <f t="shared" si="16"/>
        <v/>
      </c>
      <c r="V334" s="16" t="str">
        <f t="shared" si="17"/>
        <v/>
      </c>
    </row>
    <row r="335" spans="17:22" x14ac:dyDescent="0.15">
      <c r="Q335" s="74" t="str">
        <f t="shared" si="15"/>
        <v/>
      </c>
      <c r="T335" s="16" t="str">
        <f t="shared" si="16"/>
        <v/>
      </c>
      <c r="V335" s="16" t="str">
        <f t="shared" si="17"/>
        <v/>
      </c>
    </row>
    <row r="336" spans="17:22" x14ac:dyDescent="0.15">
      <c r="Q336" s="74" t="str">
        <f t="shared" si="15"/>
        <v/>
      </c>
      <c r="T336" s="16" t="str">
        <f t="shared" si="16"/>
        <v/>
      </c>
      <c r="V336" s="16" t="str">
        <f t="shared" si="17"/>
        <v/>
      </c>
    </row>
    <row r="337" spans="17:22" x14ac:dyDescent="0.15">
      <c r="Q337" s="74" t="str">
        <f t="shared" si="15"/>
        <v/>
      </c>
      <c r="T337" s="16" t="str">
        <f t="shared" si="16"/>
        <v/>
      </c>
      <c r="V337" s="16" t="str">
        <f t="shared" si="17"/>
        <v/>
      </c>
    </row>
    <row r="338" spans="17:22" x14ac:dyDescent="0.15">
      <c r="Q338" s="74" t="str">
        <f t="shared" si="15"/>
        <v/>
      </c>
      <c r="T338" s="16" t="str">
        <f t="shared" si="16"/>
        <v/>
      </c>
      <c r="V338" s="16" t="str">
        <f t="shared" si="17"/>
        <v/>
      </c>
    </row>
    <row r="339" spans="17:22" x14ac:dyDescent="0.15">
      <c r="Q339" s="74" t="str">
        <f t="shared" si="15"/>
        <v/>
      </c>
      <c r="T339" s="16" t="str">
        <f t="shared" si="16"/>
        <v/>
      </c>
      <c r="V339" s="16" t="str">
        <f t="shared" si="17"/>
        <v/>
      </c>
    </row>
    <row r="340" spans="17:22" x14ac:dyDescent="0.15">
      <c r="Q340" s="74" t="str">
        <f t="shared" si="15"/>
        <v/>
      </c>
      <c r="T340" s="16" t="str">
        <f t="shared" si="16"/>
        <v/>
      </c>
      <c r="V340" s="16" t="str">
        <f t="shared" si="17"/>
        <v/>
      </c>
    </row>
    <row r="341" spans="17:22" x14ac:dyDescent="0.15">
      <c r="Q341" s="74" t="str">
        <f t="shared" si="15"/>
        <v/>
      </c>
      <c r="T341" s="16" t="str">
        <f t="shared" si="16"/>
        <v/>
      </c>
      <c r="V341" s="16" t="str">
        <f t="shared" si="17"/>
        <v/>
      </c>
    </row>
    <row r="342" spans="17:22" x14ac:dyDescent="0.15">
      <c r="Q342" s="74" t="str">
        <f t="shared" si="15"/>
        <v/>
      </c>
      <c r="T342" s="16" t="str">
        <f t="shared" si="16"/>
        <v/>
      </c>
      <c r="V342" s="16" t="str">
        <f t="shared" si="17"/>
        <v/>
      </c>
    </row>
    <row r="343" spans="17:22" x14ac:dyDescent="0.15">
      <c r="Q343" s="74" t="str">
        <f t="shared" si="15"/>
        <v/>
      </c>
      <c r="T343" s="16" t="str">
        <f t="shared" si="16"/>
        <v/>
      </c>
      <c r="V343" s="16" t="str">
        <f t="shared" si="17"/>
        <v/>
      </c>
    </row>
    <row r="344" spans="17:22" x14ac:dyDescent="0.15">
      <c r="Q344" s="74" t="str">
        <f t="shared" si="15"/>
        <v/>
      </c>
      <c r="T344" s="16" t="str">
        <f t="shared" si="16"/>
        <v/>
      </c>
      <c r="V344" s="16" t="str">
        <f t="shared" si="17"/>
        <v/>
      </c>
    </row>
    <row r="345" spans="17:22" x14ac:dyDescent="0.15">
      <c r="Q345" s="74" t="str">
        <f t="shared" si="15"/>
        <v/>
      </c>
      <c r="T345" s="16" t="str">
        <f t="shared" si="16"/>
        <v/>
      </c>
      <c r="V345" s="16" t="str">
        <f t="shared" si="17"/>
        <v/>
      </c>
    </row>
    <row r="346" spans="17:22" x14ac:dyDescent="0.15">
      <c r="Q346" s="74" t="str">
        <f t="shared" si="15"/>
        <v/>
      </c>
      <c r="T346" s="16" t="str">
        <f t="shared" si="16"/>
        <v/>
      </c>
      <c r="V346" s="16" t="str">
        <f t="shared" si="17"/>
        <v/>
      </c>
    </row>
    <row r="347" spans="17:22" x14ac:dyDescent="0.15">
      <c r="Q347" s="74" t="str">
        <f t="shared" si="15"/>
        <v/>
      </c>
      <c r="T347" s="16" t="str">
        <f t="shared" si="16"/>
        <v/>
      </c>
      <c r="V347" s="16" t="str">
        <f t="shared" si="17"/>
        <v/>
      </c>
    </row>
    <row r="348" spans="17:22" x14ac:dyDescent="0.15">
      <c r="Q348" s="74" t="str">
        <f t="shared" si="15"/>
        <v/>
      </c>
      <c r="T348" s="16" t="str">
        <f t="shared" si="16"/>
        <v/>
      </c>
      <c r="V348" s="16" t="str">
        <f t="shared" si="17"/>
        <v/>
      </c>
    </row>
    <row r="349" spans="17:22" x14ac:dyDescent="0.15">
      <c r="Q349" s="74" t="str">
        <f t="shared" si="15"/>
        <v/>
      </c>
      <c r="T349" s="16" t="str">
        <f t="shared" si="16"/>
        <v/>
      </c>
      <c r="V349" s="16" t="str">
        <f t="shared" si="17"/>
        <v/>
      </c>
    </row>
    <row r="350" spans="17:22" x14ac:dyDescent="0.15">
      <c r="Q350" s="74" t="str">
        <f t="shared" si="15"/>
        <v/>
      </c>
      <c r="T350" s="16" t="str">
        <f t="shared" si="16"/>
        <v/>
      </c>
      <c r="V350" s="16" t="str">
        <f t="shared" si="17"/>
        <v/>
      </c>
    </row>
    <row r="351" spans="17:22" x14ac:dyDescent="0.15">
      <c r="Q351" s="74" t="str">
        <f t="shared" si="15"/>
        <v/>
      </c>
      <c r="T351" s="16" t="str">
        <f t="shared" si="16"/>
        <v/>
      </c>
      <c r="V351" s="16" t="str">
        <f t="shared" si="17"/>
        <v/>
      </c>
    </row>
    <row r="352" spans="17:22" x14ac:dyDescent="0.15">
      <c r="Q352" s="74" t="str">
        <f t="shared" si="15"/>
        <v/>
      </c>
      <c r="T352" s="16" t="str">
        <f t="shared" si="16"/>
        <v/>
      </c>
      <c r="V352" s="16" t="str">
        <f t="shared" si="17"/>
        <v/>
      </c>
    </row>
    <row r="353" spans="17:22" x14ac:dyDescent="0.15">
      <c r="Q353" s="74" t="str">
        <f t="shared" si="15"/>
        <v/>
      </c>
      <c r="T353" s="16" t="str">
        <f t="shared" si="16"/>
        <v/>
      </c>
      <c r="V353" s="16" t="str">
        <f t="shared" si="17"/>
        <v/>
      </c>
    </row>
    <row r="354" spans="17:22" x14ac:dyDescent="0.15">
      <c r="Q354" s="74" t="str">
        <f t="shared" si="15"/>
        <v/>
      </c>
      <c r="T354" s="16" t="str">
        <f t="shared" si="16"/>
        <v/>
      </c>
      <c r="V354" s="16" t="str">
        <f t="shared" si="17"/>
        <v/>
      </c>
    </row>
    <row r="355" spans="17:22" x14ac:dyDescent="0.15">
      <c r="Q355" s="74" t="str">
        <f t="shared" si="15"/>
        <v/>
      </c>
      <c r="T355" s="16" t="str">
        <f t="shared" si="16"/>
        <v/>
      </c>
      <c r="V355" s="16" t="str">
        <f t="shared" si="17"/>
        <v/>
      </c>
    </row>
    <row r="356" spans="17:22" x14ac:dyDescent="0.15">
      <c r="Q356" s="74" t="str">
        <f t="shared" si="15"/>
        <v/>
      </c>
      <c r="T356" s="16" t="str">
        <f t="shared" si="16"/>
        <v/>
      </c>
      <c r="V356" s="16" t="str">
        <f t="shared" si="17"/>
        <v/>
      </c>
    </row>
    <row r="357" spans="17:22" x14ac:dyDescent="0.15">
      <c r="Q357" s="74" t="str">
        <f t="shared" si="15"/>
        <v/>
      </c>
      <c r="T357" s="16" t="str">
        <f t="shared" si="16"/>
        <v/>
      </c>
      <c r="V357" s="16" t="str">
        <f t="shared" si="17"/>
        <v/>
      </c>
    </row>
    <row r="358" spans="17:22" x14ac:dyDescent="0.15">
      <c r="Q358" s="74" t="str">
        <f t="shared" si="15"/>
        <v/>
      </c>
      <c r="T358" s="16" t="str">
        <f t="shared" si="16"/>
        <v/>
      </c>
      <c r="V358" s="16" t="str">
        <f t="shared" si="17"/>
        <v/>
      </c>
    </row>
    <row r="359" spans="17:22" x14ac:dyDescent="0.15">
      <c r="Q359" s="74" t="str">
        <f t="shared" si="15"/>
        <v/>
      </c>
      <c r="T359" s="16" t="str">
        <f t="shared" si="16"/>
        <v/>
      </c>
      <c r="V359" s="16" t="str">
        <f t="shared" si="17"/>
        <v/>
      </c>
    </row>
    <row r="360" spans="17:22" x14ac:dyDescent="0.15">
      <c r="Q360" s="74" t="str">
        <f t="shared" si="15"/>
        <v/>
      </c>
      <c r="T360" s="16" t="str">
        <f t="shared" si="16"/>
        <v/>
      </c>
      <c r="V360" s="16" t="str">
        <f t="shared" si="17"/>
        <v/>
      </c>
    </row>
    <row r="361" spans="17:22" x14ac:dyDescent="0.15">
      <c r="Q361" s="74" t="str">
        <f t="shared" si="15"/>
        <v/>
      </c>
      <c r="T361" s="16" t="str">
        <f t="shared" si="16"/>
        <v/>
      </c>
      <c r="V361" s="16" t="str">
        <f t="shared" si="17"/>
        <v/>
      </c>
    </row>
    <row r="362" spans="17:22" x14ac:dyDescent="0.15">
      <c r="Q362" s="74" t="str">
        <f t="shared" si="15"/>
        <v/>
      </c>
      <c r="T362" s="16" t="str">
        <f t="shared" si="16"/>
        <v/>
      </c>
      <c r="V362" s="16" t="str">
        <f t="shared" si="17"/>
        <v/>
      </c>
    </row>
    <row r="363" spans="17:22" x14ac:dyDescent="0.15">
      <c r="Q363" s="74" t="str">
        <f t="shared" si="15"/>
        <v/>
      </c>
      <c r="T363" s="16" t="str">
        <f t="shared" si="16"/>
        <v/>
      </c>
      <c r="V363" s="16" t="str">
        <f t="shared" si="17"/>
        <v/>
      </c>
    </row>
    <row r="364" spans="17:22" x14ac:dyDescent="0.15">
      <c r="Q364" s="74" t="str">
        <f t="shared" si="15"/>
        <v/>
      </c>
      <c r="T364" s="16" t="str">
        <f t="shared" si="16"/>
        <v/>
      </c>
      <c r="V364" s="16" t="str">
        <f t="shared" si="17"/>
        <v/>
      </c>
    </row>
    <row r="365" spans="17:22" x14ac:dyDescent="0.15">
      <c r="Q365" s="74" t="str">
        <f t="shared" si="15"/>
        <v/>
      </c>
      <c r="T365" s="16" t="str">
        <f t="shared" si="16"/>
        <v/>
      </c>
      <c r="V365" s="16" t="str">
        <f t="shared" si="17"/>
        <v/>
      </c>
    </row>
    <row r="366" spans="17:22" x14ac:dyDescent="0.15">
      <c r="Q366" s="74" t="str">
        <f t="shared" si="15"/>
        <v/>
      </c>
      <c r="T366" s="16" t="str">
        <f t="shared" si="16"/>
        <v/>
      </c>
      <c r="V366" s="16" t="str">
        <f t="shared" si="17"/>
        <v/>
      </c>
    </row>
    <row r="367" spans="17:22" x14ac:dyDescent="0.15">
      <c r="Q367" s="74" t="str">
        <f t="shared" si="15"/>
        <v/>
      </c>
      <c r="T367" s="16" t="str">
        <f t="shared" si="16"/>
        <v/>
      </c>
      <c r="V367" s="16" t="str">
        <f t="shared" si="17"/>
        <v/>
      </c>
    </row>
    <row r="368" spans="17:22" x14ac:dyDescent="0.15">
      <c r="Q368" s="74" t="str">
        <f t="shared" si="15"/>
        <v/>
      </c>
      <c r="T368" s="16" t="str">
        <f t="shared" si="16"/>
        <v/>
      </c>
      <c r="V368" s="16" t="str">
        <f t="shared" si="17"/>
        <v/>
      </c>
    </row>
    <row r="369" spans="17:22" x14ac:dyDescent="0.15">
      <c r="Q369" s="74" t="str">
        <f t="shared" si="15"/>
        <v/>
      </c>
      <c r="T369" s="16" t="str">
        <f t="shared" si="16"/>
        <v/>
      </c>
      <c r="V369" s="16" t="str">
        <f t="shared" si="17"/>
        <v/>
      </c>
    </row>
    <row r="370" spans="17:22" x14ac:dyDescent="0.15">
      <c r="Q370" s="74" t="str">
        <f t="shared" si="15"/>
        <v/>
      </c>
      <c r="T370" s="16" t="str">
        <f t="shared" si="16"/>
        <v/>
      </c>
      <c r="V370" s="16" t="str">
        <f t="shared" si="17"/>
        <v/>
      </c>
    </row>
    <row r="371" spans="17:22" x14ac:dyDescent="0.15">
      <c r="Q371" s="74" t="str">
        <f t="shared" si="15"/>
        <v/>
      </c>
      <c r="T371" s="16" t="str">
        <f t="shared" si="16"/>
        <v/>
      </c>
      <c r="V371" s="16" t="str">
        <f t="shared" si="17"/>
        <v/>
      </c>
    </row>
    <row r="372" spans="17:22" x14ac:dyDescent="0.15">
      <c r="T372" s="16" t="str">
        <f t="shared" si="16"/>
        <v/>
      </c>
      <c r="V372" s="16" t="str">
        <f t="shared" si="17"/>
        <v/>
      </c>
    </row>
    <row r="373" spans="17:22" x14ac:dyDescent="0.15">
      <c r="T373" s="16" t="str">
        <f t="shared" si="16"/>
        <v/>
      </c>
      <c r="V373" s="16" t="str">
        <f t="shared" si="17"/>
        <v/>
      </c>
    </row>
    <row r="374" spans="17:22" x14ac:dyDescent="0.15">
      <c r="T374" s="16" t="str">
        <f t="shared" si="16"/>
        <v/>
      </c>
      <c r="V374" s="16" t="str">
        <f t="shared" si="17"/>
        <v/>
      </c>
    </row>
    <row r="375" spans="17:22" x14ac:dyDescent="0.15">
      <c r="T375" s="16" t="str">
        <f t="shared" si="16"/>
        <v/>
      </c>
      <c r="V375" s="16" t="str">
        <f t="shared" si="17"/>
        <v/>
      </c>
    </row>
    <row r="376" spans="17:22" x14ac:dyDescent="0.15">
      <c r="T376" s="16" t="str">
        <f t="shared" si="16"/>
        <v/>
      </c>
      <c r="V376" s="16" t="str">
        <f t="shared" si="17"/>
        <v/>
      </c>
    </row>
    <row r="377" spans="17:22" x14ac:dyDescent="0.15">
      <c r="T377" s="16" t="str">
        <f t="shared" si="16"/>
        <v/>
      </c>
      <c r="V377" s="16" t="str">
        <f t="shared" si="17"/>
        <v/>
      </c>
    </row>
    <row r="378" spans="17:22" x14ac:dyDescent="0.15">
      <c r="T378" s="16" t="str">
        <f t="shared" si="16"/>
        <v/>
      </c>
      <c r="V378" s="16" t="str">
        <f t="shared" si="17"/>
        <v/>
      </c>
    </row>
    <row r="379" spans="17:22" x14ac:dyDescent="0.15">
      <c r="T379" s="16" t="str">
        <f t="shared" si="16"/>
        <v/>
      </c>
      <c r="V379" s="16" t="str">
        <f t="shared" si="17"/>
        <v/>
      </c>
    </row>
    <row r="380" spans="17:22" x14ac:dyDescent="0.15">
      <c r="T380" s="16" t="str">
        <f t="shared" si="16"/>
        <v/>
      </c>
    </row>
    <row r="381" spans="17:22" x14ac:dyDescent="0.15">
      <c r="T381" s="16" t="str">
        <f t="shared" si="16"/>
        <v/>
      </c>
    </row>
    <row r="382" spans="17:22" x14ac:dyDescent="0.15">
      <c r="T382" s="16" t="str">
        <f t="shared" si="16"/>
        <v/>
      </c>
    </row>
    <row r="383" spans="17:22" x14ac:dyDescent="0.15">
      <c r="T383" s="16" t="str">
        <f t="shared" si="16"/>
        <v/>
      </c>
    </row>
    <row r="384" spans="17:22" x14ac:dyDescent="0.15">
      <c r="T384" s="16" t="str">
        <f t="shared" si="16"/>
        <v/>
      </c>
    </row>
    <row r="385" spans="20:20" x14ac:dyDescent="0.15">
      <c r="T385" s="16" t="str">
        <f t="shared" si="16"/>
        <v/>
      </c>
    </row>
    <row r="386" spans="20:20" x14ac:dyDescent="0.15">
      <c r="T386" s="16" t="str">
        <f t="shared" ref="T386:T444" si="18">IF(H386="","",IF(OR(H386="GREEN",H386="GK"),IF(S386&gt;=$AX$2,VLOOKUP(S386,$AX$2:$AY$10,2,1),""),IF(S386&gt;=$AZ$2,VLOOKUP(S386,$AZ$2:$BA$10,2,1),"")))</f>
        <v/>
      </c>
    </row>
    <row r="387" spans="20:20" x14ac:dyDescent="0.15">
      <c r="T387" s="16" t="str">
        <f t="shared" si="18"/>
        <v/>
      </c>
    </row>
    <row r="388" spans="20:20" x14ac:dyDescent="0.15">
      <c r="T388" s="16" t="str">
        <f t="shared" si="18"/>
        <v/>
      </c>
    </row>
    <row r="389" spans="20:20" x14ac:dyDescent="0.15">
      <c r="T389" s="16" t="str">
        <f t="shared" si="18"/>
        <v/>
      </c>
    </row>
    <row r="390" spans="20:20" x14ac:dyDescent="0.15">
      <c r="T390" s="16" t="str">
        <f t="shared" si="18"/>
        <v/>
      </c>
    </row>
    <row r="391" spans="20:20" x14ac:dyDescent="0.15">
      <c r="T391" s="16" t="str">
        <f t="shared" si="18"/>
        <v/>
      </c>
    </row>
    <row r="392" spans="20:20" x14ac:dyDescent="0.15">
      <c r="T392" s="16" t="str">
        <f t="shared" si="18"/>
        <v/>
      </c>
    </row>
    <row r="393" spans="20:20" x14ac:dyDescent="0.15">
      <c r="T393" s="16" t="str">
        <f t="shared" si="18"/>
        <v/>
      </c>
    </row>
    <row r="394" spans="20:20" x14ac:dyDescent="0.15">
      <c r="T394" s="16" t="str">
        <f t="shared" si="18"/>
        <v/>
      </c>
    </row>
    <row r="395" spans="20:20" x14ac:dyDescent="0.15">
      <c r="T395" s="16" t="str">
        <f t="shared" si="18"/>
        <v/>
      </c>
    </row>
    <row r="396" spans="20:20" x14ac:dyDescent="0.15">
      <c r="T396" s="16" t="str">
        <f t="shared" si="18"/>
        <v/>
      </c>
    </row>
    <row r="397" spans="20:20" x14ac:dyDescent="0.15">
      <c r="T397" s="16" t="str">
        <f t="shared" si="18"/>
        <v/>
      </c>
    </row>
    <row r="398" spans="20:20" x14ac:dyDescent="0.15">
      <c r="T398" s="16" t="str">
        <f t="shared" si="18"/>
        <v/>
      </c>
    </row>
    <row r="399" spans="20:20" x14ac:dyDescent="0.15">
      <c r="T399" s="16" t="str">
        <f t="shared" si="18"/>
        <v/>
      </c>
    </row>
  </sheetData>
  <autoFilter ref="A1:BA399" xr:uid="{00000000-0009-0000-0000-000001000000}"/>
  <phoneticPr fontId="3"/>
  <dataValidations count="15">
    <dataValidation type="list" allowBlank="1" showInputMessage="1" showErrorMessage="1" sqref="Y149:AA355" xr:uid="{D74445F0-512E-42C6-A671-8B9B31550BEB}">
      <formula1>$AV$2:$AV$16</formula1>
    </dataValidation>
    <dataValidation type="decimal" allowBlank="1" showInputMessage="1" showErrorMessage="1" error="硬度を正しく入力して下さい。" sqref="O2:P355" xr:uid="{30B7ADC2-E9FD-43E2-8DEA-DF655E7B64C3}">
      <formula1>0</formula1>
      <formula2>7</formula2>
    </dataValidation>
    <dataValidation type="list" allowBlank="1" showInputMessage="1" showErrorMessage="1" sqref="X2:X355" xr:uid="{7BB15085-2A6B-4946-B879-B32B1D0BA7DF}">
      <formula1>$AT$2:$AT$3</formula1>
    </dataValidation>
    <dataValidation type="list" allowBlank="1" showInputMessage="1" showErrorMessage="1" sqref="K172:K355" xr:uid="{60588BF7-5487-48CC-8BF4-03EC793AF4EF}">
      <formula1>$AR$2:$AR$19</formula1>
    </dataValidation>
    <dataValidation type="list" allowBlank="1" showInputMessage="1" showErrorMessage="1" sqref="J41:J43" xr:uid="{3AE864BD-9608-4373-9467-1581D9E7A055}">
      <formula1>$AP$2:$AP$25</formula1>
    </dataValidation>
    <dataValidation allowBlank="1" showInputMessage="1" showErrorMessage="1" sqref="B2:B148" xr:uid="{DB1E5B82-AD2F-439A-A282-9DDD469160F7}"/>
    <dataValidation type="list" allowBlank="1" showInputMessage="1" showErrorMessage="1" sqref="F1:F1048576" xr:uid="{D66728E1-8EE0-4388-88D7-175AE27412E6}">
      <formula1>$AH$2:$AH$11</formula1>
    </dataValidation>
    <dataValidation type="list" allowBlank="1" showInputMessage="1" showErrorMessage="1" sqref="J2:J40 J44:J355" xr:uid="{1C2CFD8E-83C1-4639-9D92-0C525D9380F0}">
      <formula1>$AP$2:$AP$19</formula1>
    </dataValidation>
    <dataValidation type="list" allowBlank="1" showInputMessage="1" showErrorMessage="1" sqref="E1:E1048576" xr:uid="{6030B641-21A1-4FD5-BA84-007BAF11AECA}">
      <formula1>$AG$2:$AG$11</formula1>
    </dataValidation>
    <dataValidation type="list" allowBlank="1" showInputMessage="1" showErrorMessage="1" sqref="I2:I355" xr:uid="{74FD3042-7BCB-4564-8A53-4CE4ECAA8BE7}">
      <formula1>$AN$5:$AN$6</formula1>
    </dataValidation>
    <dataValidation type="list" allowBlank="1" showInputMessage="1" showErrorMessage="1" sqref="G2:G355" xr:uid="{92F2532A-0346-4F64-BD5A-E84EC08C9DFD}">
      <formula1>$AJ$2:$AJ$4</formula1>
    </dataValidation>
    <dataValidation type="list" allowBlank="1" showInputMessage="1" showErrorMessage="1" sqref="Y2:AA148" xr:uid="{93524FB6-6614-4228-8453-E69860F1C434}">
      <formula1>$AV$2:$AV$23</formula1>
    </dataValidation>
    <dataValidation type="list" allowBlank="1" showInputMessage="1" showErrorMessage="1" sqref="K2:K171" xr:uid="{3E089D81-D080-410D-B396-7F8ACC32571D}">
      <formula1>$AR$2:$AR$23</formula1>
    </dataValidation>
    <dataValidation type="list" allowBlank="1" showInputMessage="1" showErrorMessage="1" sqref="A2:A355" xr:uid="{A624D3D2-FC52-4530-82F3-FF4AFD73C996}">
      <formula1>$AE$2:$AE$16</formula1>
    </dataValidation>
    <dataValidation type="list" allowBlank="1" showInputMessage="1" showErrorMessage="1" sqref="H2:H355" xr:uid="{EDECE77A-CDB8-4BB9-B9A6-68ACA902F843}">
      <formula1>$AL$2:$AL$8</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12B43-EE84-4109-A7DC-928643592A0D}">
  <dimension ref="A1:BA82"/>
  <sheetViews>
    <sheetView topLeftCell="A22" zoomScale="85" zoomScaleNormal="85" workbookViewId="0">
      <selection activeCell="AB43" sqref="AB43"/>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232</v>
      </c>
      <c r="C2" s="53">
        <v>2019</v>
      </c>
      <c r="D2" s="81" t="s">
        <v>233</v>
      </c>
      <c r="E2" s="53" t="s">
        <v>234</v>
      </c>
      <c r="F2" s="53" t="s">
        <v>235</v>
      </c>
      <c r="G2" s="53" t="s">
        <v>42</v>
      </c>
      <c r="H2" s="53" t="s">
        <v>165</v>
      </c>
      <c r="I2" s="53" t="s">
        <v>166</v>
      </c>
      <c r="J2" s="53" t="s">
        <v>38</v>
      </c>
      <c r="K2" s="53" t="s">
        <v>161</v>
      </c>
      <c r="L2" s="53">
        <v>1</v>
      </c>
      <c r="N2" s="53">
        <v>5</v>
      </c>
      <c r="O2" s="53">
        <v>0.8</v>
      </c>
      <c r="P2" s="53">
        <v>0.8</v>
      </c>
      <c r="Q2" s="74">
        <f t="shared" ref="Q2:Q65" si="0">IF(OR(O2="",P2=""),"",AVERAGE(O2,P2))</f>
        <v>0.8</v>
      </c>
      <c r="R2" s="53">
        <v>15.2</v>
      </c>
      <c r="S2" s="53">
        <v>99</v>
      </c>
      <c r="T2" s="16">
        <f t="shared" ref="T2:T65" si="1">IF(H2="","",IF(OR(H2="GREEN",H2="GK"),IF(S2&gt;=$AX$2,VLOOKUP(S2,$AX$2:$AY$10,2,1),""),IF(S2&gt;=$AZ$2,VLOOKUP(S2,$AZ$2:$BA$10,2,1),"")))</f>
        <v>33</v>
      </c>
      <c r="U2" s="53">
        <v>589</v>
      </c>
      <c r="V2" s="16">
        <f t="shared" ref="V2:V65" si="2">IF(OR(N2="",U2="",T2=""),"",U2/N2*T2)</f>
        <v>3887.4</v>
      </c>
      <c r="W2" s="53">
        <v>6</v>
      </c>
      <c r="X2" s="53" t="s">
        <v>46</v>
      </c>
      <c r="Y2" s="53" t="s">
        <v>55</v>
      </c>
      <c r="Z2" s="53" t="s">
        <v>47</v>
      </c>
      <c r="AA2" s="53" t="s">
        <v>106</v>
      </c>
      <c r="AB2" s="53" t="s">
        <v>158</v>
      </c>
      <c r="AE2" s="64" t="s">
        <v>35</v>
      </c>
      <c r="AG2" s="23" t="s">
        <v>236</v>
      </c>
      <c r="AH2" s="82" t="s">
        <v>237</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232</v>
      </c>
      <c r="C3" s="53">
        <v>2019</v>
      </c>
      <c r="D3" s="81" t="s">
        <v>233</v>
      </c>
      <c r="E3" s="53" t="s">
        <v>234</v>
      </c>
      <c r="F3" s="53" t="s">
        <v>235</v>
      </c>
      <c r="G3" s="53" t="s">
        <v>42</v>
      </c>
      <c r="H3" s="53" t="s">
        <v>165</v>
      </c>
      <c r="I3" s="53" t="s">
        <v>166</v>
      </c>
      <c r="J3" s="53" t="s">
        <v>38</v>
      </c>
      <c r="K3" s="53" t="s">
        <v>161</v>
      </c>
      <c r="L3" s="53">
        <v>2</v>
      </c>
      <c r="N3" s="53">
        <v>5</v>
      </c>
      <c r="O3" s="53">
        <v>0.8</v>
      </c>
      <c r="P3" s="53">
        <v>0.85</v>
      </c>
      <c r="Q3" s="74">
        <f t="shared" si="0"/>
        <v>0.82499999999999996</v>
      </c>
      <c r="R3" s="53">
        <v>11.8</v>
      </c>
      <c r="S3" s="53">
        <v>97</v>
      </c>
      <c r="T3" s="16">
        <f t="shared" si="1"/>
        <v>36</v>
      </c>
      <c r="U3" s="53">
        <v>589</v>
      </c>
      <c r="V3" s="16">
        <f t="shared" si="2"/>
        <v>4240.8</v>
      </c>
      <c r="W3" s="53">
        <v>6</v>
      </c>
      <c r="X3" s="53" t="s">
        <v>46</v>
      </c>
      <c r="Y3" s="53" t="s">
        <v>55</v>
      </c>
      <c r="Z3" s="53" t="s">
        <v>47</v>
      </c>
      <c r="AA3" s="53" t="s">
        <v>106</v>
      </c>
      <c r="AB3" s="53" t="s">
        <v>158</v>
      </c>
      <c r="AE3" s="22" t="s">
        <v>41</v>
      </c>
      <c r="AG3" s="23" t="s">
        <v>238</v>
      </c>
      <c r="AH3" s="82" t="s">
        <v>235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232</v>
      </c>
      <c r="C4" s="53">
        <v>2019</v>
      </c>
      <c r="D4" s="81" t="s">
        <v>233</v>
      </c>
      <c r="E4" s="53" t="s">
        <v>234</v>
      </c>
      <c r="F4" s="53" t="s">
        <v>235</v>
      </c>
      <c r="G4" s="53" t="s">
        <v>42</v>
      </c>
      <c r="H4" s="53" t="s">
        <v>165</v>
      </c>
      <c r="I4" s="53" t="s">
        <v>166</v>
      </c>
      <c r="J4" s="53" t="s">
        <v>38</v>
      </c>
      <c r="K4" s="53" t="s">
        <v>161</v>
      </c>
      <c r="L4" s="53">
        <v>3</v>
      </c>
      <c r="N4" s="53">
        <v>5</v>
      </c>
      <c r="O4" s="53">
        <v>0.85</v>
      </c>
      <c r="P4" s="53">
        <v>0.85</v>
      </c>
      <c r="Q4" s="74">
        <f t="shared" si="0"/>
        <v>0.85</v>
      </c>
      <c r="R4" s="53">
        <v>13.7</v>
      </c>
      <c r="S4" s="53">
        <v>104</v>
      </c>
      <c r="T4" s="16">
        <f t="shared" si="1"/>
        <v>33</v>
      </c>
      <c r="U4" s="53">
        <v>589</v>
      </c>
      <c r="V4" s="16">
        <f t="shared" si="2"/>
        <v>3887.4</v>
      </c>
      <c r="W4" s="53">
        <v>6</v>
      </c>
      <c r="X4" s="53" t="s">
        <v>46</v>
      </c>
      <c r="Y4" s="53" t="s">
        <v>55</v>
      </c>
      <c r="Z4" s="53" t="s">
        <v>47</v>
      </c>
      <c r="AA4" s="53" t="s">
        <v>106</v>
      </c>
      <c r="AB4" s="53" t="s">
        <v>158</v>
      </c>
      <c r="AE4" s="22" t="s">
        <v>34</v>
      </c>
      <c r="AG4" s="23" t="s">
        <v>239</v>
      </c>
      <c r="AH4" s="82" t="s">
        <v>240</v>
      </c>
      <c r="AJ4" s="27" t="s">
        <v>48</v>
      </c>
      <c r="AL4" s="27" t="s">
        <v>241</v>
      </c>
      <c r="AN4" s="28" t="s">
        <v>49</v>
      </c>
      <c r="AP4" s="23" t="s">
        <v>93</v>
      </c>
      <c r="AR4" s="23" t="s">
        <v>121</v>
      </c>
      <c r="AT4" s="28"/>
      <c r="AV4" s="23" t="s">
        <v>50</v>
      </c>
      <c r="AX4" s="24">
        <v>75</v>
      </c>
      <c r="AY4" s="25">
        <v>42</v>
      </c>
      <c r="AZ4" s="25">
        <v>76</v>
      </c>
      <c r="BA4" s="26">
        <v>39</v>
      </c>
    </row>
    <row r="5" spans="1:53" x14ac:dyDescent="0.15">
      <c r="A5" s="53" t="s">
        <v>56</v>
      </c>
      <c r="B5" s="53" t="s">
        <v>232</v>
      </c>
      <c r="C5" s="53">
        <v>2019</v>
      </c>
      <c r="D5" s="81" t="s">
        <v>233</v>
      </c>
      <c r="E5" s="53" t="s">
        <v>234</v>
      </c>
      <c r="F5" s="53" t="s">
        <v>235</v>
      </c>
      <c r="G5" s="53" t="s">
        <v>42</v>
      </c>
      <c r="H5" s="53" t="s">
        <v>160</v>
      </c>
      <c r="I5" s="53" t="s">
        <v>166</v>
      </c>
      <c r="J5" s="53" t="s">
        <v>38</v>
      </c>
      <c r="K5" s="53" t="s">
        <v>161</v>
      </c>
      <c r="L5" s="53">
        <v>1</v>
      </c>
      <c r="N5" s="53">
        <v>1</v>
      </c>
      <c r="O5" s="53">
        <v>0.7</v>
      </c>
      <c r="P5" s="53">
        <v>0.65</v>
      </c>
      <c r="Q5" s="74">
        <f t="shared" si="0"/>
        <v>0.67500000000000004</v>
      </c>
      <c r="R5" s="53">
        <v>15.7</v>
      </c>
      <c r="S5" s="53">
        <v>146</v>
      </c>
      <c r="T5" s="16">
        <f t="shared" si="1"/>
        <v>22</v>
      </c>
      <c r="U5" s="53">
        <v>183</v>
      </c>
      <c r="V5" s="16">
        <f t="shared" si="2"/>
        <v>4026</v>
      </c>
      <c r="W5" s="53">
        <v>6</v>
      </c>
      <c r="X5" s="53" t="s">
        <v>46</v>
      </c>
      <c r="Y5" s="53" t="s">
        <v>55</v>
      </c>
      <c r="Z5" s="53" t="s">
        <v>47</v>
      </c>
      <c r="AA5" s="53" t="s">
        <v>106</v>
      </c>
      <c r="AB5" s="53" t="s">
        <v>158</v>
      </c>
      <c r="AE5" s="22" t="s">
        <v>51</v>
      </c>
      <c r="AG5" s="23" t="s">
        <v>242</v>
      </c>
      <c r="AH5" s="82" t="s">
        <v>243</v>
      </c>
      <c r="AJ5" s="28"/>
      <c r="AL5" s="72" t="s">
        <v>66</v>
      </c>
      <c r="AN5" s="72" t="s">
        <v>52</v>
      </c>
      <c r="AP5" s="23" t="s">
        <v>244</v>
      </c>
      <c r="AR5" s="23" t="s">
        <v>54</v>
      </c>
      <c r="AV5" s="23" t="s">
        <v>55</v>
      </c>
      <c r="AX5" s="24">
        <v>84</v>
      </c>
      <c r="AY5" s="25">
        <v>39</v>
      </c>
      <c r="AZ5" s="25">
        <v>84</v>
      </c>
      <c r="BA5" s="26">
        <v>36</v>
      </c>
    </row>
    <row r="6" spans="1:53" x14ac:dyDescent="0.15">
      <c r="A6" s="53" t="s">
        <v>56</v>
      </c>
      <c r="B6" s="53" t="s">
        <v>232</v>
      </c>
      <c r="C6" s="53">
        <v>2019</v>
      </c>
      <c r="D6" s="81" t="s">
        <v>233</v>
      </c>
      <c r="E6" s="53" t="s">
        <v>234</v>
      </c>
      <c r="F6" s="53" t="s">
        <v>235</v>
      </c>
      <c r="G6" s="53" t="s">
        <v>42</v>
      </c>
      <c r="H6" s="53" t="s">
        <v>160</v>
      </c>
      <c r="I6" s="53" t="s">
        <v>166</v>
      </c>
      <c r="J6" s="53" t="s">
        <v>38</v>
      </c>
      <c r="K6" s="53" t="s">
        <v>161</v>
      </c>
      <c r="L6" s="53">
        <v>2</v>
      </c>
      <c r="N6" s="53">
        <v>1</v>
      </c>
      <c r="O6" s="53">
        <v>0.7</v>
      </c>
      <c r="P6" s="53">
        <v>0.6</v>
      </c>
      <c r="Q6" s="74">
        <f t="shared" si="0"/>
        <v>0.64999999999999991</v>
      </c>
      <c r="R6" s="53">
        <v>16.600000000000001</v>
      </c>
      <c r="S6" s="53">
        <v>143</v>
      </c>
      <c r="T6" s="16">
        <f t="shared" si="1"/>
        <v>22</v>
      </c>
      <c r="U6" s="53">
        <v>183</v>
      </c>
      <c r="V6" s="16">
        <f t="shared" si="2"/>
        <v>4026</v>
      </c>
      <c r="W6" s="53">
        <v>6</v>
      </c>
      <c r="X6" s="53" t="s">
        <v>46</v>
      </c>
      <c r="Y6" s="53" t="s">
        <v>55</v>
      </c>
      <c r="Z6" s="53" t="s">
        <v>47</v>
      </c>
      <c r="AA6" s="53" t="s">
        <v>106</v>
      </c>
      <c r="AB6" s="53" t="s">
        <v>158</v>
      </c>
      <c r="AE6" s="22" t="s">
        <v>56</v>
      </c>
      <c r="AG6" s="23" t="s">
        <v>245</v>
      </c>
      <c r="AH6" s="82" t="s">
        <v>243</v>
      </c>
      <c r="AL6" s="72" t="s">
        <v>99</v>
      </c>
      <c r="AN6" s="72" t="s">
        <v>57</v>
      </c>
      <c r="AP6" s="23" t="s">
        <v>53</v>
      </c>
      <c r="AR6" s="23" t="s">
        <v>59</v>
      </c>
      <c r="AV6" s="23" t="s">
        <v>60</v>
      </c>
      <c r="AX6" s="24">
        <v>97</v>
      </c>
      <c r="AY6" s="25">
        <v>36</v>
      </c>
      <c r="AZ6" s="25">
        <v>99</v>
      </c>
      <c r="BA6" s="26">
        <v>33</v>
      </c>
    </row>
    <row r="7" spans="1:53" x14ac:dyDescent="0.15">
      <c r="A7" s="53" t="s">
        <v>56</v>
      </c>
      <c r="B7" s="53" t="s">
        <v>232</v>
      </c>
      <c r="C7" s="53">
        <v>2019</v>
      </c>
      <c r="D7" s="81" t="s">
        <v>233</v>
      </c>
      <c r="E7" s="53" t="s">
        <v>234</v>
      </c>
      <c r="F7" s="53" t="s">
        <v>235</v>
      </c>
      <c r="G7" s="53" t="s">
        <v>42</v>
      </c>
      <c r="H7" s="53" t="s">
        <v>160</v>
      </c>
      <c r="I7" s="53" t="s">
        <v>166</v>
      </c>
      <c r="J7" s="53" t="s">
        <v>38</v>
      </c>
      <c r="K7" s="53" t="s">
        <v>161</v>
      </c>
      <c r="L7" s="53">
        <v>3</v>
      </c>
      <c r="N7" s="53">
        <v>1</v>
      </c>
      <c r="O7" s="53">
        <v>0.75</v>
      </c>
      <c r="P7" s="53">
        <v>0.75</v>
      </c>
      <c r="Q7" s="74">
        <f t="shared" si="0"/>
        <v>0.75</v>
      </c>
      <c r="R7" s="53">
        <v>15.6</v>
      </c>
      <c r="S7" s="53">
        <v>138</v>
      </c>
      <c r="T7" s="16">
        <f t="shared" si="1"/>
        <v>22</v>
      </c>
      <c r="U7" s="53">
        <v>183</v>
      </c>
      <c r="V7" s="16">
        <f t="shared" si="2"/>
        <v>4026</v>
      </c>
      <c r="W7" s="53">
        <v>6</v>
      </c>
      <c r="X7" s="53" t="s">
        <v>46</v>
      </c>
      <c r="Y7" s="53" t="s">
        <v>55</v>
      </c>
      <c r="Z7" s="53" t="s">
        <v>47</v>
      </c>
      <c r="AA7" s="53" t="s">
        <v>106</v>
      </c>
      <c r="AB7" s="53" t="s">
        <v>158</v>
      </c>
      <c r="AE7" s="22" t="s">
        <v>61</v>
      </c>
      <c r="AG7" s="23" t="s">
        <v>246</v>
      </c>
      <c r="AH7" s="82" t="s">
        <v>247</v>
      </c>
      <c r="AL7" s="83" t="s">
        <v>109</v>
      </c>
      <c r="AP7" s="23" t="s">
        <v>58</v>
      </c>
      <c r="AR7" s="23" t="s">
        <v>122</v>
      </c>
      <c r="AV7" s="23" t="s">
        <v>64</v>
      </c>
      <c r="AX7" s="24">
        <v>109</v>
      </c>
      <c r="AY7" s="25">
        <v>33</v>
      </c>
      <c r="AZ7" s="25">
        <v>113</v>
      </c>
      <c r="BA7" s="26">
        <v>30</v>
      </c>
    </row>
    <row r="8" spans="1:53" x14ac:dyDescent="0.15">
      <c r="A8" s="53" t="s">
        <v>56</v>
      </c>
      <c r="B8" s="53" t="s">
        <v>232</v>
      </c>
      <c r="C8" s="53">
        <v>2019</v>
      </c>
      <c r="D8" s="81" t="s">
        <v>233</v>
      </c>
      <c r="E8" s="53" t="s">
        <v>248</v>
      </c>
      <c r="F8" s="53" t="s">
        <v>235</v>
      </c>
      <c r="G8" s="53" t="s">
        <v>42</v>
      </c>
      <c r="H8" s="53" t="s">
        <v>165</v>
      </c>
      <c r="I8" s="53" t="s">
        <v>159</v>
      </c>
      <c r="J8" s="53" t="s">
        <v>38</v>
      </c>
      <c r="K8" s="53" t="s">
        <v>161</v>
      </c>
      <c r="L8" s="53">
        <v>1</v>
      </c>
      <c r="N8" s="53">
        <v>1</v>
      </c>
      <c r="O8" s="53">
        <v>0.75</v>
      </c>
      <c r="P8" s="53">
        <v>0.75</v>
      </c>
      <c r="Q8" s="74">
        <f t="shared" si="0"/>
        <v>0.75</v>
      </c>
      <c r="R8" s="53">
        <v>15.6</v>
      </c>
      <c r="S8" s="53">
        <v>125</v>
      </c>
      <c r="T8" s="16">
        <f t="shared" si="1"/>
        <v>27</v>
      </c>
      <c r="U8" s="53">
        <v>138</v>
      </c>
      <c r="V8" s="16">
        <f t="shared" si="2"/>
        <v>3726</v>
      </c>
      <c r="W8" s="53">
        <v>8</v>
      </c>
      <c r="X8" s="53" t="s">
        <v>46</v>
      </c>
      <c r="Y8" s="53" t="s">
        <v>55</v>
      </c>
      <c r="Z8" s="53" t="s">
        <v>86</v>
      </c>
      <c r="AA8" s="53" t="s">
        <v>97</v>
      </c>
      <c r="AB8" s="53" t="s">
        <v>158</v>
      </c>
      <c r="AE8" s="22" t="s">
        <v>59</v>
      </c>
      <c r="AG8" s="23" t="s">
        <v>249</v>
      </c>
      <c r="AH8" s="82" t="s">
        <v>247</v>
      </c>
      <c r="AL8" s="83" t="s">
        <v>134</v>
      </c>
      <c r="AP8" s="23" t="s">
        <v>62</v>
      </c>
      <c r="AR8" s="23" t="s">
        <v>81</v>
      </c>
      <c r="AV8" s="23" t="s">
        <v>97</v>
      </c>
      <c r="AX8" s="24">
        <v>119</v>
      </c>
      <c r="AY8" s="25">
        <v>30</v>
      </c>
      <c r="AZ8" s="25">
        <v>121</v>
      </c>
      <c r="BA8" s="26">
        <v>27</v>
      </c>
    </row>
    <row r="9" spans="1:53" x14ac:dyDescent="0.15">
      <c r="A9" s="53" t="s">
        <v>56</v>
      </c>
      <c r="B9" s="53" t="s">
        <v>232</v>
      </c>
      <c r="C9" s="53">
        <v>2019</v>
      </c>
      <c r="D9" s="81" t="s">
        <v>233</v>
      </c>
      <c r="E9" s="53" t="s">
        <v>248</v>
      </c>
      <c r="F9" s="53" t="s">
        <v>235</v>
      </c>
      <c r="G9" s="53" t="s">
        <v>42</v>
      </c>
      <c r="H9" s="53" t="s">
        <v>165</v>
      </c>
      <c r="I9" s="53" t="s">
        <v>159</v>
      </c>
      <c r="J9" s="53" t="s">
        <v>38</v>
      </c>
      <c r="K9" s="53" t="s">
        <v>161</v>
      </c>
      <c r="L9" s="53">
        <v>2</v>
      </c>
      <c r="N9" s="53">
        <v>1</v>
      </c>
      <c r="O9" s="53">
        <v>1.05</v>
      </c>
      <c r="P9" s="53">
        <v>1</v>
      </c>
      <c r="Q9" s="74">
        <f t="shared" si="0"/>
        <v>1.0249999999999999</v>
      </c>
      <c r="R9" s="53">
        <v>15.5</v>
      </c>
      <c r="S9" s="53">
        <v>132</v>
      </c>
      <c r="T9" s="16">
        <f t="shared" si="1"/>
        <v>25</v>
      </c>
      <c r="U9" s="53">
        <v>138</v>
      </c>
      <c r="V9" s="16">
        <f t="shared" si="2"/>
        <v>3450</v>
      </c>
      <c r="W9" s="53">
        <v>8</v>
      </c>
      <c r="X9" s="53" t="s">
        <v>46</v>
      </c>
      <c r="Y9" s="53" t="s">
        <v>55</v>
      </c>
      <c r="Z9" s="53" t="s">
        <v>86</v>
      </c>
      <c r="AA9" s="53" t="s">
        <v>97</v>
      </c>
      <c r="AB9" s="53" t="s">
        <v>158</v>
      </c>
      <c r="AE9" s="22" t="s">
        <v>98</v>
      </c>
      <c r="AG9" s="23" t="s">
        <v>234</v>
      </c>
      <c r="AH9" s="23" t="s">
        <v>235</v>
      </c>
      <c r="AL9" s="72"/>
      <c r="AP9" s="23" t="s">
        <v>95</v>
      </c>
      <c r="AR9" s="23" t="s">
        <v>89</v>
      </c>
      <c r="AV9" s="23" t="s">
        <v>102</v>
      </c>
      <c r="AX9" s="24">
        <v>128</v>
      </c>
      <c r="AY9" s="25">
        <v>27</v>
      </c>
      <c r="AZ9" s="25">
        <v>129</v>
      </c>
      <c r="BA9" s="26">
        <v>25</v>
      </c>
    </row>
    <row r="10" spans="1:53" x14ac:dyDescent="0.15">
      <c r="A10" s="53" t="s">
        <v>56</v>
      </c>
      <c r="B10" s="53" t="s">
        <v>232</v>
      </c>
      <c r="C10" s="53">
        <v>2019</v>
      </c>
      <c r="D10" s="81" t="s">
        <v>233</v>
      </c>
      <c r="E10" s="53" t="s">
        <v>248</v>
      </c>
      <c r="F10" s="53" t="s">
        <v>235</v>
      </c>
      <c r="G10" s="53" t="s">
        <v>42</v>
      </c>
      <c r="H10" s="53" t="s">
        <v>165</v>
      </c>
      <c r="I10" s="53" t="s">
        <v>159</v>
      </c>
      <c r="J10" s="53" t="s">
        <v>38</v>
      </c>
      <c r="K10" s="53" t="s">
        <v>161</v>
      </c>
      <c r="L10" s="53">
        <v>3</v>
      </c>
      <c r="N10" s="53">
        <v>1</v>
      </c>
      <c r="O10" s="53">
        <v>1</v>
      </c>
      <c r="P10" s="53">
        <v>1</v>
      </c>
      <c r="Q10" s="74">
        <f t="shared" si="0"/>
        <v>1</v>
      </c>
      <c r="R10" s="53">
        <v>12.3</v>
      </c>
      <c r="S10" s="53">
        <v>131</v>
      </c>
      <c r="T10" s="16">
        <f t="shared" si="1"/>
        <v>25</v>
      </c>
      <c r="U10" s="53">
        <v>138</v>
      </c>
      <c r="V10" s="16">
        <f t="shared" si="2"/>
        <v>3450</v>
      </c>
      <c r="W10" s="53">
        <v>8</v>
      </c>
      <c r="X10" s="53" t="s">
        <v>46</v>
      </c>
      <c r="Y10" s="53" t="s">
        <v>55</v>
      </c>
      <c r="Z10" s="53" t="s">
        <v>86</v>
      </c>
      <c r="AA10" s="53" t="s">
        <v>97</v>
      </c>
      <c r="AB10" s="53" t="s">
        <v>158</v>
      </c>
      <c r="AE10" s="22" t="s">
        <v>103</v>
      </c>
      <c r="AG10" s="23" t="s">
        <v>246</v>
      </c>
      <c r="AH10" s="82" t="s">
        <v>243</v>
      </c>
      <c r="AL10" s="83"/>
      <c r="AP10" s="23" t="s">
        <v>100</v>
      </c>
      <c r="AR10" s="23" t="s">
        <v>123</v>
      </c>
      <c r="AV10" s="23" t="s">
        <v>106</v>
      </c>
      <c r="AX10" s="24">
        <v>138</v>
      </c>
      <c r="AY10" s="25">
        <v>25</v>
      </c>
      <c r="AZ10" s="25">
        <v>138</v>
      </c>
      <c r="BA10" s="26">
        <v>22</v>
      </c>
    </row>
    <row r="11" spans="1:53" x14ac:dyDescent="0.15">
      <c r="A11" s="53" t="s">
        <v>56</v>
      </c>
      <c r="B11" s="53" t="s">
        <v>232</v>
      </c>
      <c r="C11" s="53">
        <v>2019</v>
      </c>
      <c r="D11" s="81" t="s">
        <v>233</v>
      </c>
      <c r="E11" s="53" t="s">
        <v>248</v>
      </c>
      <c r="F11" s="53" t="s">
        <v>235</v>
      </c>
      <c r="G11" s="53" t="s">
        <v>42</v>
      </c>
      <c r="H11" s="53" t="s">
        <v>160</v>
      </c>
      <c r="I11" s="53" t="s">
        <v>159</v>
      </c>
      <c r="J11" s="53" t="s">
        <v>38</v>
      </c>
      <c r="K11" s="53" t="s">
        <v>161</v>
      </c>
      <c r="L11" s="53">
        <v>1</v>
      </c>
      <c r="N11" s="53">
        <v>1</v>
      </c>
      <c r="O11" s="53">
        <v>1</v>
      </c>
      <c r="P11" s="53">
        <v>0.9</v>
      </c>
      <c r="Q11" s="74">
        <f t="shared" si="0"/>
        <v>0.95</v>
      </c>
      <c r="R11" s="53">
        <v>14.9</v>
      </c>
      <c r="S11" s="53">
        <v>133</v>
      </c>
      <c r="T11" s="16">
        <f t="shared" si="1"/>
        <v>25</v>
      </c>
      <c r="U11" s="53">
        <v>138</v>
      </c>
      <c r="V11" s="16">
        <f t="shared" si="2"/>
        <v>3450</v>
      </c>
      <c r="W11" s="53">
        <v>12</v>
      </c>
      <c r="X11" s="53" t="s">
        <v>46</v>
      </c>
      <c r="Y11" s="53" t="s">
        <v>55</v>
      </c>
      <c r="Z11" s="53" t="s">
        <v>86</v>
      </c>
      <c r="AA11" s="53" t="s">
        <v>97</v>
      </c>
      <c r="AB11" s="53" t="s">
        <v>158</v>
      </c>
      <c r="AE11" s="22" t="s">
        <v>65</v>
      </c>
      <c r="AG11" s="23" t="s">
        <v>245</v>
      </c>
      <c r="AH11" s="82" t="s">
        <v>243</v>
      </c>
      <c r="AJ11" s="83"/>
      <c r="AP11" s="23" t="s">
        <v>104</v>
      </c>
      <c r="AR11" s="23" t="s">
        <v>87</v>
      </c>
      <c r="AV11" s="23" t="s">
        <v>69</v>
      </c>
    </row>
    <row r="12" spans="1:53" x14ac:dyDescent="0.15">
      <c r="A12" s="53" t="s">
        <v>56</v>
      </c>
      <c r="B12" s="53" t="s">
        <v>232</v>
      </c>
      <c r="C12" s="53">
        <v>2019</v>
      </c>
      <c r="D12" s="81" t="s">
        <v>233</v>
      </c>
      <c r="E12" s="53" t="s">
        <v>248</v>
      </c>
      <c r="F12" s="53" t="s">
        <v>235</v>
      </c>
      <c r="G12" s="53" t="s">
        <v>42</v>
      </c>
      <c r="H12" s="53" t="s">
        <v>160</v>
      </c>
      <c r="I12" s="53" t="s">
        <v>159</v>
      </c>
      <c r="J12" s="53" t="s">
        <v>38</v>
      </c>
      <c r="K12" s="53" t="s">
        <v>161</v>
      </c>
      <c r="L12" s="53">
        <v>2</v>
      </c>
      <c r="N12" s="53">
        <v>1</v>
      </c>
      <c r="O12" s="53">
        <v>0.8</v>
      </c>
      <c r="P12" s="53">
        <v>0.9</v>
      </c>
      <c r="Q12" s="74">
        <f t="shared" si="0"/>
        <v>0.85000000000000009</v>
      </c>
      <c r="R12" s="53">
        <v>14.4</v>
      </c>
      <c r="S12" s="53">
        <v>127</v>
      </c>
      <c r="T12" s="16">
        <f t="shared" si="1"/>
        <v>27</v>
      </c>
      <c r="U12" s="53">
        <v>138</v>
      </c>
      <c r="V12" s="16">
        <f t="shared" si="2"/>
        <v>3726</v>
      </c>
      <c r="W12" s="53">
        <v>12</v>
      </c>
      <c r="X12" s="53" t="s">
        <v>46</v>
      </c>
      <c r="Y12" s="53" t="s">
        <v>55</v>
      </c>
      <c r="Z12" s="53" t="s">
        <v>86</v>
      </c>
      <c r="AA12" s="53" t="s">
        <v>97</v>
      </c>
      <c r="AB12" s="53" t="s">
        <v>158</v>
      </c>
      <c r="AE12" s="22" t="s">
        <v>70</v>
      </c>
      <c r="AG12" s="23" t="s">
        <v>238</v>
      </c>
      <c r="AH12" s="82" t="s">
        <v>243</v>
      </c>
      <c r="AJ12" s="83"/>
      <c r="AP12" s="23" t="s">
        <v>67</v>
      </c>
      <c r="AR12" s="23" t="s">
        <v>124</v>
      </c>
      <c r="AV12" s="23" t="s">
        <v>72</v>
      </c>
    </row>
    <row r="13" spans="1:53" x14ac:dyDescent="0.15">
      <c r="A13" s="53" t="s">
        <v>56</v>
      </c>
      <c r="B13" s="53" t="s">
        <v>232</v>
      </c>
      <c r="C13" s="53">
        <v>2019</v>
      </c>
      <c r="D13" s="81" t="s">
        <v>233</v>
      </c>
      <c r="E13" s="53" t="s">
        <v>248</v>
      </c>
      <c r="F13" s="53" t="s">
        <v>235</v>
      </c>
      <c r="G13" s="53" t="s">
        <v>42</v>
      </c>
      <c r="H13" s="53" t="s">
        <v>160</v>
      </c>
      <c r="I13" s="53" t="s">
        <v>159</v>
      </c>
      <c r="J13" s="53" t="s">
        <v>38</v>
      </c>
      <c r="K13" s="53" t="s">
        <v>161</v>
      </c>
      <c r="L13" s="53">
        <v>3</v>
      </c>
      <c r="N13" s="53">
        <v>1</v>
      </c>
      <c r="O13" s="53">
        <v>0.8</v>
      </c>
      <c r="P13" s="53">
        <v>0.8</v>
      </c>
      <c r="Q13" s="74">
        <f t="shared" si="0"/>
        <v>0.8</v>
      </c>
      <c r="R13" s="53">
        <v>14</v>
      </c>
      <c r="S13" s="53">
        <v>131</v>
      </c>
      <c r="T13" s="16">
        <f t="shared" si="1"/>
        <v>25</v>
      </c>
      <c r="U13" s="53">
        <v>138</v>
      </c>
      <c r="V13" s="16">
        <f t="shared" si="2"/>
        <v>3450</v>
      </c>
      <c r="W13" s="53">
        <v>12</v>
      </c>
      <c r="X13" s="53" t="s">
        <v>46</v>
      </c>
      <c r="Y13" s="53" t="s">
        <v>55</v>
      </c>
      <c r="Z13" s="53" t="s">
        <v>86</v>
      </c>
      <c r="AA13" s="53" t="s">
        <v>97</v>
      </c>
      <c r="AB13" s="53" t="s">
        <v>158</v>
      </c>
      <c r="AE13" s="22" t="s">
        <v>73</v>
      </c>
      <c r="AP13" s="23" t="s">
        <v>71</v>
      </c>
      <c r="AR13" s="23" t="s">
        <v>103</v>
      </c>
      <c r="AV13" s="23" t="s">
        <v>75</v>
      </c>
    </row>
    <row r="14" spans="1:53" x14ac:dyDescent="0.15">
      <c r="A14" s="53" t="s">
        <v>56</v>
      </c>
      <c r="B14" s="53" t="s">
        <v>232</v>
      </c>
      <c r="C14" s="53">
        <v>2019</v>
      </c>
      <c r="D14" s="81" t="s">
        <v>233</v>
      </c>
      <c r="E14" s="53" t="s">
        <v>162</v>
      </c>
      <c r="F14" s="53" t="s">
        <v>250</v>
      </c>
      <c r="G14" s="53" t="s">
        <v>42</v>
      </c>
      <c r="H14" s="53" t="s">
        <v>165</v>
      </c>
      <c r="I14" s="53" t="s">
        <v>159</v>
      </c>
      <c r="J14" s="53" t="s">
        <v>38</v>
      </c>
      <c r="K14" s="53" t="s">
        <v>161</v>
      </c>
      <c r="L14" s="53">
        <v>1</v>
      </c>
      <c r="N14" s="53">
        <v>1</v>
      </c>
      <c r="O14" s="53">
        <v>0.8</v>
      </c>
      <c r="P14" s="53">
        <v>0.75</v>
      </c>
      <c r="Q14" s="74">
        <f t="shared" si="0"/>
        <v>0.77500000000000002</v>
      </c>
      <c r="R14" s="53">
        <v>16.399999999999999</v>
      </c>
      <c r="S14" s="53">
        <v>116</v>
      </c>
      <c r="T14" s="16">
        <f t="shared" si="1"/>
        <v>30</v>
      </c>
      <c r="U14" s="53">
        <v>106</v>
      </c>
      <c r="V14" s="16">
        <f t="shared" si="2"/>
        <v>3180</v>
      </c>
      <c r="W14" s="53">
        <v>5</v>
      </c>
      <c r="X14" s="53" t="s">
        <v>46</v>
      </c>
      <c r="Y14" s="53" t="s">
        <v>86</v>
      </c>
      <c r="Z14" s="53" t="s">
        <v>55</v>
      </c>
      <c r="AA14" s="53" t="s">
        <v>47</v>
      </c>
      <c r="AB14" s="53" t="s">
        <v>158</v>
      </c>
      <c r="AE14" s="22" t="s">
        <v>76</v>
      </c>
      <c r="AP14" s="23" t="s">
        <v>74</v>
      </c>
      <c r="AR14" s="23" t="s">
        <v>125</v>
      </c>
      <c r="AV14" s="23" t="s">
        <v>78</v>
      </c>
    </row>
    <row r="15" spans="1:53" x14ac:dyDescent="0.15">
      <c r="A15" s="53" t="s">
        <v>56</v>
      </c>
      <c r="B15" s="53" t="s">
        <v>232</v>
      </c>
      <c r="C15" s="53">
        <v>2019</v>
      </c>
      <c r="D15" s="81" t="s">
        <v>233</v>
      </c>
      <c r="E15" s="53" t="s">
        <v>162</v>
      </c>
      <c r="F15" s="53" t="s">
        <v>250</v>
      </c>
      <c r="G15" s="53" t="s">
        <v>42</v>
      </c>
      <c r="H15" s="53" t="s">
        <v>165</v>
      </c>
      <c r="I15" s="53" t="s">
        <v>159</v>
      </c>
      <c r="J15" s="53" t="s">
        <v>38</v>
      </c>
      <c r="K15" s="53" t="s">
        <v>161</v>
      </c>
      <c r="L15" s="53">
        <v>2</v>
      </c>
      <c r="N15" s="53">
        <v>1</v>
      </c>
      <c r="O15" s="53">
        <v>0.85</v>
      </c>
      <c r="P15" s="53">
        <v>0.85</v>
      </c>
      <c r="Q15" s="74">
        <f t="shared" si="0"/>
        <v>0.85</v>
      </c>
      <c r="R15" s="53">
        <v>15.5</v>
      </c>
      <c r="S15" s="53">
        <v>116</v>
      </c>
      <c r="T15" s="16">
        <f t="shared" si="1"/>
        <v>30</v>
      </c>
      <c r="U15" s="53">
        <v>106</v>
      </c>
      <c r="V15" s="16">
        <f t="shared" si="2"/>
        <v>3180</v>
      </c>
      <c r="W15" s="53">
        <v>5</v>
      </c>
      <c r="X15" s="53" t="s">
        <v>46</v>
      </c>
      <c r="Y15" s="53" t="s">
        <v>86</v>
      </c>
      <c r="Z15" s="53" t="s">
        <v>55</v>
      </c>
      <c r="AA15" s="53" t="s">
        <v>47</v>
      </c>
      <c r="AB15" s="53" t="s">
        <v>158</v>
      </c>
      <c r="AE15" s="22" t="s">
        <v>79</v>
      </c>
      <c r="AP15" s="23" t="s">
        <v>77</v>
      </c>
      <c r="AR15" s="23" t="s">
        <v>94</v>
      </c>
      <c r="AV15" s="23" t="s">
        <v>107</v>
      </c>
    </row>
    <row r="16" spans="1:53" x14ac:dyDescent="0.15">
      <c r="A16" s="53" t="s">
        <v>56</v>
      </c>
      <c r="B16" s="53" t="s">
        <v>232</v>
      </c>
      <c r="C16" s="53">
        <v>2019</v>
      </c>
      <c r="D16" s="81" t="s">
        <v>233</v>
      </c>
      <c r="E16" s="53" t="s">
        <v>162</v>
      </c>
      <c r="F16" s="53" t="s">
        <v>250</v>
      </c>
      <c r="G16" s="53" t="s">
        <v>42</v>
      </c>
      <c r="H16" s="53" t="s">
        <v>165</v>
      </c>
      <c r="I16" s="53" t="s">
        <v>159</v>
      </c>
      <c r="J16" s="53" t="s">
        <v>38</v>
      </c>
      <c r="K16" s="53" t="s">
        <v>161</v>
      </c>
      <c r="L16" s="53">
        <v>3</v>
      </c>
      <c r="N16" s="53">
        <v>1</v>
      </c>
      <c r="O16" s="53">
        <v>0.85</v>
      </c>
      <c r="P16" s="53">
        <v>0.85</v>
      </c>
      <c r="Q16" s="74">
        <f t="shared" si="0"/>
        <v>0.85</v>
      </c>
      <c r="R16" s="53">
        <v>15</v>
      </c>
      <c r="S16" s="53">
        <v>121</v>
      </c>
      <c r="T16" s="16">
        <f t="shared" si="1"/>
        <v>27</v>
      </c>
      <c r="U16" s="53">
        <v>106</v>
      </c>
      <c r="V16" s="16">
        <f t="shared" si="2"/>
        <v>2862</v>
      </c>
      <c r="W16" s="53">
        <v>5</v>
      </c>
      <c r="X16" s="53" t="s">
        <v>46</v>
      </c>
      <c r="Y16" s="53" t="s">
        <v>86</v>
      </c>
      <c r="Z16" s="53" t="s">
        <v>55</v>
      </c>
      <c r="AA16" s="53" t="s">
        <v>47</v>
      </c>
      <c r="AB16" s="53" t="s">
        <v>158</v>
      </c>
      <c r="AE16" s="22" t="s">
        <v>82</v>
      </c>
      <c r="AP16" s="23" t="s">
        <v>80</v>
      </c>
      <c r="AR16" s="23" t="s">
        <v>63</v>
      </c>
      <c r="AV16" s="23" t="s">
        <v>84</v>
      </c>
    </row>
    <row r="17" spans="1:48" x14ac:dyDescent="0.15">
      <c r="A17" s="53" t="s">
        <v>56</v>
      </c>
      <c r="B17" s="53" t="s">
        <v>232</v>
      </c>
      <c r="C17" s="53">
        <v>2019</v>
      </c>
      <c r="D17" s="81" t="s">
        <v>233</v>
      </c>
      <c r="E17" s="53" t="s">
        <v>162</v>
      </c>
      <c r="F17" s="53" t="s">
        <v>250</v>
      </c>
      <c r="G17" s="53" t="s">
        <v>42</v>
      </c>
      <c r="H17" s="53" t="s">
        <v>160</v>
      </c>
      <c r="I17" s="53" t="s">
        <v>159</v>
      </c>
      <c r="J17" s="53" t="s">
        <v>38</v>
      </c>
      <c r="K17" s="53" t="s">
        <v>161</v>
      </c>
      <c r="L17" s="53">
        <v>1</v>
      </c>
      <c r="N17" s="53">
        <v>1</v>
      </c>
      <c r="O17" s="53">
        <v>0.7</v>
      </c>
      <c r="P17" s="53">
        <v>0.6</v>
      </c>
      <c r="Q17" s="74">
        <f t="shared" si="0"/>
        <v>0.64999999999999991</v>
      </c>
      <c r="R17" s="53">
        <v>18.8</v>
      </c>
      <c r="S17" s="53">
        <v>119</v>
      </c>
      <c r="T17" s="16">
        <f t="shared" si="1"/>
        <v>30</v>
      </c>
      <c r="U17" s="53">
        <v>138</v>
      </c>
      <c r="V17" s="16">
        <f t="shared" si="2"/>
        <v>4140</v>
      </c>
      <c r="W17" s="53">
        <v>5</v>
      </c>
      <c r="X17" s="53" t="s">
        <v>46</v>
      </c>
      <c r="Y17" s="53" t="s">
        <v>86</v>
      </c>
      <c r="Z17" s="53" t="s">
        <v>55</v>
      </c>
      <c r="AA17" s="53" t="s">
        <v>47</v>
      </c>
      <c r="AB17" s="53" t="s">
        <v>158</v>
      </c>
      <c r="AE17" s="22" t="s">
        <v>85</v>
      </c>
      <c r="AP17" s="27" t="s">
        <v>110</v>
      </c>
      <c r="AR17" s="23" t="s">
        <v>96</v>
      </c>
      <c r="AV17" s="23" t="s">
        <v>86</v>
      </c>
    </row>
    <row r="18" spans="1:48" x14ac:dyDescent="0.15">
      <c r="A18" s="53" t="s">
        <v>56</v>
      </c>
      <c r="B18" s="53" t="s">
        <v>232</v>
      </c>
      <c r="C18" s="53">
        <v>2019</v>
      </c>
      <c r="D18" s="81" t="s">
        <v>233</v>
      </c>
      <c r="E18" s="53" t="s">
        <v>162</v>
      </c>
      <c r="F18" s="53" t="s">
        <v>250</v>
      </c>
      <c r="G18" s="53" t="s">
        <v>42</v>
      </c>
      <c r="H18" s="53" t="s">
        <v>160</v>
      </c>
      <c r="I18" s="53" t="s">
        <v>159</v>
      </c>
      <c r="J18" s="53" t="s">
        <v>38</v>
      </c>
      <c r="K18" s="53" t="s">
        <v>161</v>
      </c>
      <c r="L18" s="53">
        <v>2</v>
      </c>
      <c r="N18" s="53">
        <v>1</v>
      </c>
      <c r="O18" s="53">
        <v>0.9</v>
      </c>
      <c r="P18" s="53">
        <v>0.85</v>
      </c>
      <c r="Q18" s="74">
        <f t="shared" si="0"/>
        <v>0.875</v>
      </c>
      <c r="R18" s="53">
        <v>17.2</v>
      </c>
      <c r="S18" s="53">
        <v>120</v>
      </c>
      <c r="T18" s="16">
        <f t="shared" si="1"/>
        <v>30</v>
      </c>
      <c r="U18" s="53">
        <v>138</v>
      </c>
      <c r="V18" s="16">
        <f t="shared" si="2"/>
        <v>4140</v>
      </c>
      <c r="W18" s="53">
        <v>5</v>
      </c>
      <c r="X18" s="53" t="s">
        <v>46</v>
      </c>
      <c r="Y18" s="53" t="s">
        <v>86</v>
      </c>
      <c r="Z18" s="53" t="s">
        <v>55</v>
      </c>
      <c r="AA18" s="53" t="s">
        <v>47</v>
      </c>
      <c r="AB18" s="53" t="s">
        <v>158</v>
      </c>
      <c r="AE18" s="22" t="s">
        <v>87</v>
      </c>
      <c r="AP18" s="27" t="s">
        <v>111</v>
      </c>
      <c r="AR18" s="23" t="s">
        <v>101</v>
      </c>
      <c r="AV18" s="23" t="s">
        <v>88</v>
      </c>
    </row>
    <row r="19" spans="1:48" x14ac:dyDescent="0.15">
      <c r="A19" s="53" t="s">
        <v>56</v>
      </c>
      <c r="B19" s="53" t="s">
        <v>232</v>
      </c>
      <c r="C19" s="53">
        <v>2019</v>
      </c>
      <c r="D19" s="81" t="s">
        <v>233</v>
      </c>
      <c r="E19" s="53" t="s">
        <v>162</v>
      </c>
      <c r="F19" s="53" t="s">
        <v>250</v>
      </c>
      <c r="G19" s="53" t="s">
        <v>42</v>
      </c>
      <c r="H19" s="53" t="s">
        <v>160</v>
      </c>
      <c r="I19" s="53" t="s">
        <v>159</v>
      </c>
      <c r="J19" s="53" t="s">
        <v>38</v>
      </c>
      <c r="K19" s="53" t="s">
        <v>161</v>
      </c>
      <c r="L19" s="53">
        <v>3</v>
      </c>
      <c r="N19" s="53">
        <v>1</v>
      </c>
      <c r="O19" s="53">
        <v>0.75</v>
      </c>
      <c r="P19" s="53">
        <v>0.75</v>
      </c>
      <c r="Q19" s="74">
        <f t="shared" si="0"/>
        <v>0.75</v>
      </c>
      <c r="R19" s="53">
        <v>17.2</v>
      </c>
      <c r="S19" s="53">
        <v>116</v>
      </c>
      <c r="T19" s="16">
        <f t="shared" si="1"/>
        <v>30</v>
      </c>
      <c r="U19" s="53">
        <v>138</v>
      </c>
      <c r="V19" s="16">
        <f t="shared" si="2"/>
        <v>4140</v>
      </c>
      <c r="W19" s="53">
        <v>5</v>
      </c>
      <c r="X19" s="53" t="s">
        <v>46</v>
      </c>
      <c r="Y19" s="53" t="s">
        <v>86</v>
      </c>
      <c r="Z19" s="53" t="s">
        <v>55</v>
      </c>
      <c r="AA19" s="53" t="s">
        <v>47</v>
      </c>
      <c r="AB19" s="53" t="s">
        <v>158</v>
      </c>
      <c r="AE19" s="35" t="s">
        <v>89</v>
      </c>
      <c r="AP19" s="27" t="s">
        <v>112</v>
      </c>
      <c r="AR19" s="23" t="s">
        <v>126</v>
      </c>
      <c r="AV19" s="23" t="s">
        <v>90</v>
      </c>
    </row>
    <row r="20" spans="1:48" x14ac:dyDescent="0.15">
      <c r="A20" s="53" t="s">
        <v>56</v>
      </c>
      <c r="B20" s="53" t="s">
        <v>232</v>
      </c>
      <c r="C20" s="53">
        <v>2019</v>
      </c>
      <c r="D20" s="81" t="s">
        <v>233</v>
      </c>
      <c r="E20" s="53" t="s">
        <v>251</v>
      </c>
      <c r="F20" s="53" t="s">
        <v>252</v>
      </c>
      <c r="G20" s="53" t="s">
        <v>42</v>
      </c>
      <c r="H20" s="53" t="s">
        <v>165</v>
      </c>
      <c r="I20" s="53" t="s">
        <v>159</v>
      </c>
      <c r="J20" s="53" t="s">
        <v>38</v>
      </c>
      <c r="K20" s="53" t="s">
        <v>161</v>
      </c>
      <c r="L20" s="53">
        <v>1</v>
      </c>
      <c r="N20" s="53">
        <v>1</v>
      </c>
      <c r="O20" s="53">
        <v>0.8</v>
      </c>
      <c r="P20" s="53">
        <v>0.8</v>
      </c>
      <c r="Q20" s="74">
        <f t="shared" si="0"/>
        <v>0.8</v>
      </c>
      <c r="R20" s="53">
        <v>14.7</v>
      </c>
      <c r="S20" s="53">
        <v>118</v>
      </c>
      <c r="T20" s="16">
        <f t="shared" si="1"/>
        <v>30</v>
      </c>
      <c r="U20" s="53">
        <v>138</v>
      </c>
      <c r="V20" s="16">
        <f t="shared" si="2"/>
        <v>4140</v>
      </c>
      <c r="W20" s="53">
        <v>4</v>
      </c>
      <c r="X20" s="53" t="s">
        <v>46</v>
      </c>
      <c r="Y20" s="53" t="s">
        <v>55</v>
      </c>
      <c r="Z20" s="53" t="s">
        <v>47</v>
      </c>
      <c r="AA20" s="53" t="s">
        <v>86</v>
      </c>
      <c r="AB20" s="53" t="s">
        <v>158</v>
      </c>
      <c r="AP20" s="27" t="s">
        <v>113</v>
      </c>
      <c r="AR20" s="23" t="s">
        <v>105</v>
      </c>
      <c r="AV20" s="27" t="s">
        <v>135</v>
      </c>
    </row>
    <row r="21" spans="1:48" x14ac:dyDescent="0.15">
      <c r="A21" s="53" t="s">
        <v>56</v>
      </c>
      <c r="B21" s="53" t="s">
        <v>232</v>
      </c>
      <c r="C21" s="53">
        <v>2019</v>
      </c>
      <c r="D21" s="81" t="s">
        <v>233</v>
      </c>
      <c r="E21" s="53" t="s">
        <v>251</v>
      </c>
      <c r="F21" s="53" t="s">
        <v>252</v>
      </c>
      <c r="G21" s="53" t="s">
        <v>42</v>
      </c>
      <c r="H21" s="53" t="s">
        <v>165</v>
      </c>
      <c r="I21" s="53" t="s">
        <v>159</v>
      </c>
      <c r="J21" s="53" t="s">
        <v>38</v>
      </c>
      <c r="K21" s="53" t="s">
        <v>161</v>
      </c>
      <c r="L21" s="53">
        <v>2</v>
      </c>
      <c r="N21" s="53">
        <v>1</v>
      </c>
      <c r="O21" s="53">
        <v>0.9</v>
      </c>
      <c r="P21" s="53">
        <v>0.8</v>
      </c>
      <c r="Q21" s="74">
        <f t="shared" si="0"/>
        <v>0.85000000000000009</v>
      </c>
      <c r="R21" s="53">
        <v>11.7</v>
      </c>
      <c r="S21" s="53">
        <v>116</v>
      </c>
      <c r="T21" s="16">
        <f t="shared" si="1"/>
        <v>30</v>
      </c>
      <c r="U21" s="53">
        <v>138</v>
      </c>
      <c r="V21" s="16">
        <f t="shared" si="2"/>
        <v>4140</v>
      </c>
      <c r="W21" s="53">
        <v>4</v>
      </c>
      <c r="X21" s="53" t="s">
        <v>46</v>
      </c>
      <c r="Y21" s="53" t="s">
        <v>55</v>
      </c>
      <c r="Z21" s="53" t="s">
        <v>47</v>
      </c>
      <c r="AA21" s="53" t="s">
        <v>86</v>
      </c>
      <c r="AB21" s="53" t="s">
        <v>158</v>
      </c>
      <c r="AP21" s="27" t="s">
        <v>114</v>
      </c>
      <c r="AR21" s="23" t="s">
        <v>68</v>
      </c>
      <c r="AV21" s="28" t="s">
        <v>253</v>
      </c>
    </row>
    <row r="22" spans="1:48" x14ac:dyDescent="0.15">
      <c r="A22" s="53" t="s">
        <v>56</v>
      </c>
      <c r="B22" s="53" t="s">
        <v>232</v>
      </c>
      <c r="C22" s="53">
        <v>2019</v>
      </c>
      <c r="D22" s="81" t="s">
        <v>233</v>
      </c>
      <c r="E22" s="53" t="s">
        <v>251</v>
      </c>
      <c r="F22" s="53" t="s">
        <v>252</v>
      </c>
      <c r="G22" s="53" t="s">
        <v>42</v>
      </c>
      <c r="H22" s="53" t="s">
        <v>165</v>
      </c>
      <c r="I22" s="53" t="s">
        <v>159</v>
      </c>
      <c r="J22" s="53" t="s">
        <v>38</v>
      </c>
      <c r="K22" s="53" t="s">
        <v>161</v>
      </c>
      <c r="L22" s="53">
        <v>3</v>
      </c>
      <c r="N22" s="53">
        <v>1</v>
      </c>
      <c r="O22" s="53">
        <v>0.85</v>
      </c>
      <c r="P22" s="53">
        <v>0.85</v>
      </c>
      <c r="Q22" s="74">
        <f t="shared" si="0"/>
        <v>0.85</v>
      </c>
      <c r="R22" s="53">
        <v>15.9</v>
      </c>
      <c r="S22" s="53">
        <v>123</v>
      </c>
      <c r="T22" s="16">
        <f t="shared" si="1"/>
        <v>27</v>
      </c>
      <c r="U22" s="53">
        <v>138</v>
      </c>
      <c r="V22" s="16">
        <f t="shared" si="2"/>
        <v>3726</v>
      </c>
      <c r="W22" s="53">
        <v>4</v>
      </c>
      <c r="X22" s="53" t="s">
        <v>46</v>
      </c>
      <c r="Y22" s="53" t="s">
        <v>55</v>
      </c>
      <c r="Z22" s="53" t="s">
        <v>47</v>
      </c>
      <c r="AA22" s="53" t="s">
        <v>86</v>
      </c>
      <c r="AB22" s="53" t="s">
        <v>158</v>
      </c>
      <c r="AP22" s="27" t="s">
        <v>115</v>
      </c>
      <c r="AR22" s="23" t="s">
        <v>83</v>
      </c>
    </row>
    <row r="23" spans="1:48" x14ac:dyDescent="0.15">
      <c r="A23" s="53" t="s">
        <v>56</v>
      </c>
      <c r="B23" s="53" t="s">
        <v>232</v>
      </c>
      <c r="C23" s="53">
        <v>2019</v>
      </c>
      <c r="D23" s="81" t="s">
        <v>233</v>
      </c>
      <c r="E23" s="53" t="s">
        <v>251</v>
      </c>
      <c r="F23" s="53" t="s">
        <v>252</v>
      </c>
      <c r="G23" s="53" t="s">
        <v>42</v>
      </c>
      <c r="H23" s="53" t="s">
        <v>160</v>
      </c>
      <c r="I23" s="53" t="s">
        <v>159</v>
      </c>
      <c r="J23" s="53" t="s">
        <v>38</v>
      </c>
      <c r="K23" s="53" t="s">
        <v>161</v>
      </c>
      <c r="L23" s="53">
        <v>1</v>
      </c>
      <c r="N23" s="53">
        <v>1</v>
      </c>
      <c r="O23" s="53">
        <v>0.65</v>
      </c>
      <c r="P23" s="53">
        <v>0.7</v>
      </c>
      <c r="Q23" s="74">
        <f t="shared" si="0"/>
        <v>0.67500000000000004</v>
      </c>
      <c r="R23" s="53">
        <v>17.600000000000001</v>
      </c>
      <c r="S23" s="53">
        <v>129</v>
      </c>
      <c r="T23" s="16">
        <f t="shared" si="1"/>
        <v>25</v>
      </c>
      <c r="U23" s="53">
        <v>138</v>
      </c>
      <c r="V23" s="16">
        <f t="shared" si="2"/>
        <v>3450</v>
      </c>
      <c r="W23" s="53">
        <v>4</v>
      </c>
      <c r="X23" s="53" t="s">
        <v>46</v>
      </c>
      <c r="Y23" s="53" t="s">
        <v>55</v>
      </c>
      <c r="Z23" s="53" t="s">
        <v>47</v>
      </c>
      <c r="AA23" s="53" t="s">
        <v>86</v>
      </c>
      <c r="AB23" s="53" t="s">
        <v>158</v>
      </c>
      <c r="AP23" s="27" t="s">
        <v>137</v>
      </c>
      <c r="AR23" s="23" t="s">
        <v>61</v>
      </c>
    </row>
    <row r="24" spans="1:48" x14ac:dyDescent="0.15">
      <c r="A24" s="53" t="s">
        <v>56</v>
      </c>
      <c r="B24" s="53" t="s">
        <v>232</v>
      </c>
      <c r="C24" s="53">
        <v>2019</v>
      </c>
      <c r="D24" s="81" t="s">
        <v>233</v>
      </c>
      <c r="E24" s="53" t="s">
        <v>251</v>
      </c>
      <c r="F24" s="53" t="s">
        <v>252</v>
      </c>
      <c r="G24" s="53" t="s">
        <v>42</v>
      </c>
      <c r="H24" s="53" t="s">
        <v>160</v>
      </c>
      <c r="I24" s="53" t="s">
        <v>159</v>
      </c>
      <c r="J24" s="53" t="s">
        <v>38</v>
      </c>
      <c r="K24" s="53" t="s">
        <v>161</v>
      </c>
      <c r="L24" s="53">
        <v>2</v>
      </c>
      <c r="N24" s="53">
        <v>1</v>
      </c>
      <c r="O24" s="53">
        <v>0.65</v>
      </c>
      <c r="P24" s="53">
        <v>0.75</v>
      </c>
      <c r="Q24" s="74">
        <f t="shared" si="0"/>
        <v>0.7</v>
      </c>
      <c r="R24" s="53">
        <v>16.100000000000001</v>
      </c>
      <c r="S24" s="53">
        <v>127</v>
      </c>
      <c r="T24" s="16">
        <f t="shared" si="1"/>
        <v>27</v>
      </c>
      <c r="U24" s="53">
        <v>138</v>
      </c>
      <c r="V24" s="16">
        <f t="shared" si="2"/>
        <v>3726</v>
      </c>
      <c r="W24" s="53">
        <v>4</v>
      </c>
      <c r="X24" s="53" t="s">
        <v>46</v>
      </c>
      <c r="Y24" s="53" t="s">
        <v>55</v>
      </c>
      <c r="Z24" s="53" t="s">
        <v>47</v>
      </c>
      <c r="AA24" s="53" t="s">
        <v>86</v>
      </c>
      <c r="AB24" s="53" t="s">
        <v>158</v>
      </c>
      <c r="AP24" s="27" t="s">
        <v>138</v>
      </c>
      <c r="AR24" s="23" t="s">
        <v>91</v>
      </c>
    </row>
    <row r="25" spans="1:48" x14ac:dyDescent="0.15">
      <c r="A25" s="53" t="s">
        <v>56</v>
      </c>
      <c r="B25" s="53" t="s">
        <v>232</v>
      </c>
      <c r="C25" s="53">
        <v>2019</v>
      </c>
      <c r="D25" s="81" t="s">
        <v>233</v>
      </c>
      <c r="E25" s="53" t="s">
        <v>251</v>
      </c>
      <c r="F25" s="53" t="s">
        <v>252</v>
      </c>
      <c r="G25" s="53" t="s">
        <v>42</v>
      </c>
      <c r="H25" s="53" t="s">
        <v>160</v>
      </c>
      <c r="I25" s="53" t="s">
        <v>159</v>
      </c>
      <c r="J25" s="53" t="s">
        <v>38</v>
      </c>
      <c r="K25" s="53" t="s">
        <v>161</v>
      </c>
      <c r="L25" s="53">
        <v>3</v>
      </c>
      <c r="N25" s="53">
        <v>1</v>
      </c>
      <c r="O25" s="53">
        <v>0.85</v>
      </c>
      <c r="P25" s="53">
        <v>0.85</v>
      </c>
      <c r="Q25" s="74">
        <f t="shared" si="0"/>
        <v>0.85</v>
      </c>
      <c r="R25" s="53">
        <v>17.3</v>
      </c>
      <c r="S25" s="53">
        <v>135</v>
      </c>
      <c r="T25" s="16">
        <f t="shared" si="1"/>
        <v>25</v>
      </c>
      <c r="U25" s="53">
        <v>138</v>
      </c>
      <c r="V25" s="16">
        <f t="shared" si="2"/>
        <v>3450</v>
      </c>
      <c r="W25" s="53">
        <v>4</v>
      </c>
      <c r="X25" s="53" t="s">
        <v>46</v>
      </c>
      <c r="Y25" s="53" t="s">
        <v>55</v>
      </c>
      <c r="Z25" s="53" t="s">
        <v>47</v>
      </c>
      <c r="AA25" s="53" t="s">
        <v>86</v>
      </c>
      <c r="AB25" s="53" t="s">
        <v>158</v>
      </c>
      <c r="AP25" s="27" t="s">
        <v>116</v>
      </c>
      <c r="AR25" s="27" t="s">
        <v>92</v>
      </c>
    </row>
    <row r="26" spans="1:48" x14ac:dyDescent="0.15">
      <c r="A26" s="53" t="s">
        <v>56</v>
      </c>
      <c r="B26" s="53" t="s">
        <v>232</v>
      </c>
      <c r="C26" s="53">
        <v>2019</v>
      </c>
      <c r="D26" s="81" t="s">
        <v>233</v>
      </c>
      <c r="E26" s="53" t="s">
        <v>254</v>
      </c>
      <c r="F26" s="53" t="s">
        <v>250</v>
      </c>
      <c r="G26" s="53" t="s">
        <v>42</v>
      </c>
      <c r="H26" s="53" t="s">
        <v>127</v>
      </c>
      <c r="I26" s="53" t="s">
        <v>166</v>
      </c>
      <c r="J26" s="53" t="s">
        <v>80</v>
      </c>
      <c r="K26" s="53" t="s">
        <v>63</v>
      </c>
      <c r="L26" s="53">
        <v>1</v>
      </c>
      <c r="N26" s="53">
        <v>1</v>
      </c>
      <c r="O26" s="53">
        <v>0.85</v>
      </c>
      <c r="P26" s="53">
        <v>0.75</v>
      </c>
      <c r="Q26" s="74">
        <f t="shared" si="0"/>
        <v>0.8</v>
      </c>
      <c r="R26" s="53">
        <v>14.8</v>
      </c>
      <c r="S26" s="53">
        <v>122</v>
      </c>
      <c r="T26" s="16">
        <f t="shared" si="1"/>
        <v>27</v>
      </c>
      <c r="U26" s="53">
        <v>83</v>
      </c>
      <c r="V26" s="16">
        <f t="shared" si="2"/>
        <v>2241</v>
      </c>
      <c r="W26" s="53">
        <v>2</v>
      </c>
      <c r="X26" s="53" t="s">
        <v>39</v>
      </c>
      <c r="Y26" s="53" t="s">
        <v>55</v>
      </c>
      <c r="Z26" s="53" t="s">
        <v>47</v>
      </c>
      <c r="AA26" s="53" t="s">
        <v>69</v>
      </c>
      <c r="AB26" s="53" t="s">
        <v>158</v>
      </c>
      <c r="AP26" s="27" t="s">
        <v>117</v>
      </c>
      <c r="AR26" s="53" t="s">
        <v>153</v>
      </c>
    </row>
    <row r="27" spans="1:48" x14ac:dyDescent="0.15">
      <c r="A27" s="53" t="s">
        <v>56</v>
      </c>
      <c r="B27" s="53" t="s">
        <v>232</v>
      </c>
      <c r="C27" s="53">
        <v>2019</v>
      </c>
      <c r="D27" s="81" t="s">
        <v>233</v>
      </c>
      <c r="E27" s="53" t="s">
        <v>254</v>
      </c>
      <c r="F27" s="53" t="s">
        <v>250</v>
      </c>
      <c r="G27" s="53" t="s">
        <v>42</v>
      </c>
      <c r="H27" s="53" t="s">
        <v>127</v>
      </c>
      <c r="I27" s="53" t="s">
        <v>166</v>
      </c>
      <c r="J27" s="53" t="s">
        <v>80</v>
      </c>
      <c r="K27" s="53" t="s">
        <v>63</v>
      </c>
      <c r="L27" s="53">
        <v>2</v>
      </c>
      <c r="N27" s="53">
        <v>1</v>
      </c>
      <c r="O27" s="53">
        <v>0.8</v>
      </c>
      <c r="P27" s="53">
        <v>0.75</v>
      </c>
      <c r="Q27" s="74">
        <f t="shared" si="0"/>
        <v>0.77500000000000002</v>
      </c>
      <c r="R27" s="53">
        <v>13.3</v>
      </c>
      <c r="S27" s="53">
        <v>122</v>
      </c>
      <c r="T27" s="16">
        <f t="shared" si="1"/>
        <v>27</v>
      </c>
      <c r="U27" s="53">
        <v>83</v>
      </c>
      <c r="V27" s="16">
        <f t="shared" si="2"/>
        <v>2241</v>
      </c>
      <c r="W27" s="53">
        <v>2</v>
      </c>
      <c r="X27" s="53" t="s">
        <v>39</v>
      </c>
      <c r="Y27" s="53" t="s">
        <v>55</v>
      </c>
      <c r="Z27" s="53" t="s">
        <v>47</v>
      </c>
      <c r="AA27" s="53" t="s">
        <v>69</v>
      </c>
      <c r="AB27" s="53" t="s">
        <v>158</v>
      </c>
      <c r="AP27" s="27" t="s">
        <v>118</v>
      </c>
    </row>
    <row r="28" spans="1:48" x14ac:dyDescent="0.15">
      <c r="A28" s="53" t="s">
        <v>56</v>
      </c>
      <c r="B28" s="53" t="s">
        <v>232</v>
      </c>
      <c r="C28" s="53">
        <v>2019</v>
      </c>
      <c r="D28" s="81" t="s">
        <v>233</v>
      </c>
      <c r="E28" s="53" t="s">
        <v>254</v>
      </c>
      <c r="F28" s="53" t="s">
        <v>250</v>
      </c>
      <c r="G28" s="53" t="s">
        <v>42</v>
      </c>
      <c r="H28" s="53" t="s">
        <v>127</v>
      </c>
      <c r="I28" s="53" t="s">
        <v>166</v>
      </c>
      <c r="J28" s="53" t="s">
        <v>80</v>
      </c>
      <c r="K28" s="53" t="s">
        <v>63</v>
      </c>
      <c r="L28" s="53">
        <v>3</v>
      </c>
      <c r="N28" s="53">
        <v>1</v>
      </c>
      <c r="O28" s="53">
        <v>0.85</v>
      </c>
      <c r="P28" s="53">
        <v>0.85</v>
      </c>
      <c r="Q28" s="74">
        <f t="shared" si="0"/>
        <v>0.85</v>
      </c>
      <c r="R28" s="53">
        <v>12.3</v>
      </c>
      <c r="S28" s="53">
        <v>117</v>
      </c>
      <c r="T28" s="16">
        <f t="shared" si="1"/>
        <v>30</v>
      </c>
      <c r="U28" s="53">
        <v>83</v>
      </c>
      <c r="V28" s="16">
        <f t="shared" si="2"/>
        <v>2490</v>
      </c>
      <c r="W28" s="53">
        <v>2</v>
      </c>
      <c r="X28" s="53" t="s">
        <v>39</v>
      </c>
      <c r="Y28" s="53" t="s">
        <v>55</v>
      </c>
      <c r="Z28" s="53" t="s">
        <v>47</v>
      </c>
      <c r="AA28" s="53" t="s">
        <v>69</v>
      </c>
      <c r="AB28" s="53" t="s">
        <v>158</v>
      </c>
    </row>
    <row r="29" spans="1:48" x14ac:dyDescent="0.15">
      <c r="A29" s="53" t="s">
        <v>56</v>
      </c>
      <c r="B29" s="53" t="s">
        <v>232</v>
      </c>
      <c r="C29" s="53">
        <v>2019</v>
      </c>
      <c r="D29" s="81" t="s">
        <v>233</v>
      </c>
      <c r="E29" s="53" t="s">
        <v>254</v>
      </c>
      <c r="F29" s="53" t="s">
        <v>250</v>
      </c>
      <c r="G29" s="53" t="s">
        <v>42</v>
      </c>
      <c r="H29" s="53" t="s">
        <v>165</v>
      </c>
      <c r="I29" s="53" t="s">
        <v>159</v>
      </c>
      <c r="J29" s="53" t="s">
        <v>38</v>
      </c>
      <c r="K29" s="53" t="s">
        <v>161</v>
      </c>
      <c r="L29" s="53">
        <v>1</v>
      </c>
      <c r="N29" s="53">
        <v>5</v>
      </c>
      <c r="O29" s="53">
        <v>0.65</v>
      </c>
      <c r="P29" s="53">
        <v>0.65</v>
      </c>
      <c r="Q29" s="16">
        <f t="shared" si="0"/>
        <v>0.65</v>
      </c>
      <c r="R29" s="53">
        <v>12.8</v>
      </c>
      <c r="S29" s="53">
        <v>84</v>
      </c>
      <c r="T29" s="16">
        <f t="shared" si="1"/>
        <v>36</v>
      </c>
      <c r="U29" s="53">
        <v>388</v>
      </c>
      <c r="V29" s="16">
        <f t="shared" si="2"/>
        <v>2793.6</v>
      </c>
      <c r="W29" s="53">
        <v>2</v>
      </c>
      <c r="X29" s="53" t="s">
        <v>39</v>
      </c>
      <c r="Y29" s="53" t="s">
        <v>55</v>
      </c>
      <c r="Z29" s="53" t="s">
        <v>47</v>
      </c>
      <c r="AA29" s="53" t="s">
        <v>69</v>
      </c>
      <c r="AB29" s="53" t="s">
        <v>158</v>
      </c>
    </row>
    <row r="30" spans="1:48" x14ac:dyDescent="0.15">
      <c r="A30" s="53" t="s">
        <v>56</v>
      </c>
      <c r="B30" s="53" t="s">
        <v>232</v>
      </c>
      <c r="C30" s="53">
        <v>2019</v>
      </c>
      <c r="D30" s="81" t="s">
        <v>233</v>
      </c>
      <c r="E30" s="53" t="s">
        <v>254</v>
      </c>
      <c r="F30" s="53" t="s">
        <v>250</v>
      </c>
      <c r="G30" s="53" t="s">
        <v>42</v>
      </c>
      <c r="H30" s="53" t="s">
        <v>165</v>
      </c>
      <c r="I30" s="53" t="s">
        <v>159</v>
      </c>
      <c r="J30" s="53" t="s">
        <v>38</v>
      </c>
      <c r="K30" s="53" t="s">
        <v>161</v>
      </c>
      <c r="L30" s="53">
        <v>2</v>
      </c>
      <c r="N30" s="53">
        <v>5</v>
      </c>
      <c r="O30" s="53">
        <v>0.6</v>
      </c>
      <c r="P30" s="53">
        <v>0.7</v>
      </c>
      <c r="Q30" s="16">
        <f t="shared" si="0"/>
        <v>0.64999999999999991</v>
      </c>
      <c r="R30" s="53">
        <v>14.4</v>
      </c>
      <c r="S30" s="53">
        <v>90</v>
      </c>
      <c r="T30" s="16">
        <f t="shared" si="1"/>
        <v>36</v>
      </c>
      <c r="U30" s="53">
        <v>388</v>
      </c>
      <c r="V30" s="16">
        <f t="shared" si="2"/>
        <v>2793.6</v>
      </c>
      <c r="W30" s="53">
        <v>2</v>
      </c>
      <c r="X30" s="53" t="s">
        <v>39</v>
      </c>
      <c r="Y30" s="53" t="s">
        <v>55</v>
      </c>
      <c r="Z30" s="53" t="s">
        <v>47</v>
      </c>
      <c r="AA30" s="53" t="s">
        <v>69</v>
      </c>
      <c r="AB30" s="53" t="s">
        <v>158</v>
      </c>
    </row>
    <row r="31" spans="1:48" x14ac:dyDescent="0.15">
      <c r="A31" s="53" t="s">
        <v>56</v>
      </c>
      <c r="B31" s="53" t="s">
        <v>232</v>
      </c>
      <c r="C31" s="53">
        <v>2019</v>
      </c>
      <c r="D31" s="81" t="s">
        <v>233</v>
      </c>
      <c r="E31" s="53" t="s">
        <v>254</v>
      </c>
      <c r="F31" s="53" t="s">
        <v>250</v>
      </c>
      <c r="G31" s="53" t="s">
        <v>42</v>
      </c>
      <c r="H31" s="53" t="s">
        <v>165</v>
      </c>
      <c r="I31" s="53" t="s">
        <v>159</v>
      </c>
      <c r="J31" s="53" t="s">
        <v>38</v>
      </c>
      <c r="K31" s="53" t="s">
        <v>161</v>
      </c>
      <c r="L31" s="53">
        <v>3</v>
      </c>
      <c r="N31" s="53">
        <v>5</v>
      </c>
      <c r="O31" s="53">
        <v>0.5</v>
      </c>
      <c r="P31" s="53">
        <v>0.5</v>
      </c>
      <c r="Q31" s="16">
        <f t="shared" si="0"/>
        <v>0.5</v>
      </c>
      <c r="R31" s="53">
        <v>14.1</v>
      </c>
      <c r="S31" s="53">
        <v>97</v>
      </c>
      <c r="T31" s="16">
        <f t="shared" si="1"/>
        <v>36</v>
      </c>
      <c r="U31" s="53">
        <v>388</v>
      </c>
      <c r="V31" s="16">
        <f t="shared" si="2"/>
        <v>2793.6</v>
      </c>
      <c r="W31" s="53">
        <v>2</v>
      </c>
      <c r="X31" s="53" t="s">
        <v>39</v>
      </c>
      <c r="Y31" s="53" t="s">
        <v>55</v>
      </c>
      <c r="Z31" s="53" t="s">
        <v>47</v>
      </c>
      <c r="AA31" s="53" t="s">
        <v>69</v>
      </c>
      <c r="AB31" s="53" t="s">
        <v>158</v>
      </c>
    </row>
    <row r="32" spans="1:48" x14ac:dyDescent="0.15">
      <c r="A32" s="53" t="s">
        <v>56</v>
      </c>
      <c r="B32" s="53" t="s">
        <v>232</v>
      </c>
      <c r="C32" s="53">
        <v>2019</v>
      </c>
      <c r="D32" s="81" t="s">
        <v>233</v>
      </c>
      <c r="E32" s="53" t="s">
        <v>254</v>
      </c>
      <c r="F32" s="53" t="s">
        <v>250</v>
      </c>
      <c r="G32" s="53" t="s">
        <v>42</v>
      </c>
      <c r="H32" s="53" t="s">
        <v>160</v>
      </c>
      <c r="I32" s="53" t="s">
        <v>159</v>
      </c>
      <c r="J32" s="53" t="s">
        <v>38</v>
      </c>
      <c r="K32" s="53" t="s">
        <v>161</v>
      </c>
      <c r="L32" s="53">
        <v>1</v>
      </c>
      <c r="N32" s="53">
        <v>4</v>
      </c>
      <c r="O32" s="53">
        <v>0.75</v>
      </c>
      <c r="P32" s="53">
        <v>0.8</v>
      </c>
      <c r="Q32" s="16">
        <f t="shared" si="0"/>
        <v>0.77500000000000002</v>
      </c>
      <c r="R32" s="53">
        <v>18.100000000000001</v>
      </c>
      <c r="S32" s="53">
        <v>99</v>
      </c>
      <c r="T32" s="16">
        <f t="shared" si="1"/>
        <v>33</v>
      </c>
      <c r="U32" s="53">
        <v>418</v>
      </c>
      <c r="V32" s="16">
        <f t="shared" si="2"/>
        <v>3448.5</v>
      </c>
      <c r="W32" s="53">
        <v>4</v>
      </c>
      <c r="X32" s="53" t="s">
        <v>39</v>
      </c>
      <c r="Y32" s="53" t="s">
        <v>55</v>
      </c>
      <c r="Z32" s="53" t="s">
        <v>47</v>
      </c>
      <c r="AA32" s="53" t="s">
        <v>69</v>
      </c>
      <c r="AB32" s="53" t="s">
        <v>158</v>
      </c>
    </row>
    <row r="33" spans="1:28" x14ac:dyDescent="0.15">
      <c r="A33" s="53" t="s">
        <v>56</v>
      </c>
      <c r="B33" s="53" t="s">
        <v>232</v>
      </c>
      <c r="C33" s="53">
        <v>2019</v>
      </c>
      <c r="D33" s="81" t="s">
        <v>233</v>
      </c>
      <c r="E33" s="53" t="s">
        <v>254</v>
      </c>
      <c r="F33" s="53" t="s">
        <v>250</v>
      </c>
      <c r="G33" s="53" t="s">
        <v>42</v>
      </c>
      <c r="H33" s="53" t="s">
        <v>160</v>
      </c>
      <c r="I33" s="53" t="s">
        <v>159</v>
      </c>
      <c r="J33" s="53" t="s">
        <v>38</v>
      </c>
      <c r="K33" s="53" t="s">
        <v>161</v>
      </c>
      <c r="L33" s="53">
        <v>2</v>
      </c>
      <c r="N33" s="53">
        <v>4</v>
      </c>
      <c r="O33" s="53">
        <v>0.6</v>
      </c>
      <c r="P33" s="53">
        <v>0.6</v>
      </c>
      <c r="Q33" s="16">
        <f t="shared" si="0"/>
        <v>0.6</v>
      </c>
      <c r="R33" s="53">
        <v>17.8</v>
      </c>
      <c r="S33" s="53">
        <v>96</v>
      </c>
      <c r="T33" s="16">
        <f t="shared" si="1"/>
        <v>36</v>
      </c>
      <c r="U33" s="53">
        <v>418</v>
      </c>
      <c r="V33" s="16">
        <f t="shared" si="2"/>
        <v>3762</v>
      </c>
      <c r="W33" s="53">
        <v>4</v>
      </c>
      <c r="X33" s="53" t="s">
        <v>39</v>
      </c>
      <c r="Y33" s="53" t="s">
        <v>55</v>
      </c>
      <c r="Z33" s="53" t="s">
        <v>47</v>
      </c>
      <c r="AA33" s="53" t="s">
        <v>69</v>
      </c>
      <c r="AB33" s="53" t="s">
        <v>158</v>
      </c>
    </row>
    <row r="34" spans="1:28" x14ac:dyDescent="0.15">
      <c r="A34" s="53" t="s">
        <v>56</v>
      </c>
      <c r="B34" s="53" t="s">
        <v>232</v>
      </c>
      <c r="C34" s="53">
        <v>2019</v>
      </c>
      <c r="D34" s="81" t="s">
        <v>233</v>
      </c>
      <c r="E34" s="53" t="s">
        <v>254</v>
      </c>
      <c r="F34" s="53" t="s">
        <v>250</v>
      </c>
      <c r="G34" s="53" t="s">
        <v>42</v>
      </c>
      <c r="H34" s="53" t="s">
        <v>160</v>
      </c>
      <c r="I34" s="53" t="s">
        <v>159</v>
      </c>
      <c r="J34" s="53" t="s">
        <v>38</v>
      </c>
      <c r="K34" s="53" t="s">
        <v>161</v>
      </c>
      <c r="L34" s="53">
        <v>3</v>
      </c>
      <c r="N34" s="53">
        <v>4</v>
      </c>
      <c r="O34" s="53">
        <v>0.7</v>
      </c>
      <c r="P34" s="53">
        <v>0.7</v>
      </c>
      <c r="Q34" s="16">
        <f t="shared" si="0"/>
        <v>0.7</v>
      </c>
      <c r="R34" s="53">
        <v>16.399999999999999</v>
      </c>
      <c r="S34" s="53">
        <v>99</v>
      </c>
      <c r="T34" s="16">
        <f t="shared" si="1"/>
        <v>33</v>
      </c>
      <c r="U34" s="53">
        <v>418</v>
      </c>
      <c r="V34" s="16">
        <f t="shared" si="2"/>
        <v>3448.5</v>
      </c>
      <c r="W34" s="53">
        <v>4</v>
      </c>
      <c r="X34" s="53" t="s">
        <v>39</v>
      </c>
      <c r="Y34" s="53" t="s">
        <v>55</v>
      </c>
      <c r="Z34" s="53" t="s">
        <v>47</v>
      </c>
      <c r="AA34" s="53" t="s">
        <v>69</v>
      </c>
      <c r="AB34" s="53" t="s">
        <v>158</v>
      </c>
    </row>
    <row r="35" spans="1:28" x14ac:dyDescent="0.15">
      <c r="A35" s="53" t="s">
        <v>56</v>
      </c>
      <c r="B35" s="53" t="s">
        <v>232</v>
      </c>
      <c r="C35" s="53">
        <v>2019</v>
      </c>
      <c r="D35" s="81" t="s">
        <v>233</v>
      </c>
      <c r="E35" s="53" t="s">
        <v>162</v>
      </c>
      <c r="F35" s="53" t="s">
        <v>247</v>
      </c>
      <c r="G35" s="53" t="s">
        <v>42</v>
      </c>
      <c r="H35" s="53" t="s">
        <v>127</v>
      </c>
      <c r="I35" s="53" t="s">
        <v>159</v>
      </c>
      <c r="J35" s="53" t="s">
        <v>58</v>
      </c>
      <c r="K35" s="53" t="s">
        <v>59</v>
      </c>
      <c r="L35" s="53">
        <v>1</v>
      </c>
      <c r="N35" s="53">
        <v>5</v>
      </c>
      <c r="O35" s="53">
        <v>0.95</v>
      </c>
      <c r="P35" s="53">
        <v>0.95</v>
      </c>
      <c r="Q35" s="16">
        <f t="shared" si="0"/>
        <v>0.95</v>
      </c>
      <c r="R35" s="53">
        <v>12.6</v>
      </c>
      <c r="S35" s="53">
        <v>94</v>
      </c>
      <c r="T35" s="16">
        <f t="shared" si="1"/>
        <v>36</v>
      </c>
      <c r="U35" s="53">
        <v>430</v>
      </c>
      <c r="V35" s="16">
        <f t="shared" si="2"/>
        <v>3096</v>
      </c>
      <c r="W35" s="53">
        <v>2</v>
      </c>
      <c r="X35" s="53" t="s">
        <v>46</v>
      </c>
      <c r="Y35" s="53" t="s">
        <v>86</v>
      </c>
      <c r="Z35" s="53" t="s">
        <v>55</v>
      </c>
      <c r="AA35" s="53" t="s">
        <v>47</v>
      </c>
      <c r="AB35" s="53" t="s">
        <v>158</v>
      </c>
    </row>
    <row r="36" spans="1:28" x14ac:dyDescent="0.15">
      <c r="A36" s="53" t="s">
        <v>56</v>
      </c>
      <c r="B36" s="53" t="s">
        <v>232</v>
      </c>
      <c r="C36" s="53">
        <v>2019</v>
      </c>
      <c r="D36" s="81" t="s">
        <v>233</v>
      </c>
      <c r="E36" s="53" t="s">
        <v>162</v>
      </c>
      <c r="F36" s="53" t="s">
        <v>247</v>
      </c>
      <c r="G36" s="53" t="s">
        <v>42</v>
      </c>
      <c r="H36" s="53" t="s">
        <v>127</v>
      </c>
      <c r="I36" s="53" t="s">
        <v>159</v>
      </c>
      <c r="J36" s="53" t="s">
        <v>58</v>
      </c>
      <c r="K36" s="53" t="s">
        <v>59</v>
      </c>
      <c r="L36" s="53">
        <v>2</v>
      </c>
      <c r="N36" s="53">
        <v>5</v>
      </c>
      <c r="O36" s="53">
        <v>0.6</v>
      </c>
      <c r="P36" s="53">
        <v>0.7</v>
      </c>
      <c r="Q36" s="16">
        <f t="shared" si="0"/>
        <v>0.64999999999999991</v>
      </c>
      <c r="R36" s="53">
        <v>15.4</v>
      </c>
      <c r="S36" s="53">
        <v>96</v>
      </c>
      <c r="T36" s="16">
        <f t="shared" si="1"/>
        <v>36</v>
      </c>
      <c r="U36" s="53">
        <v>430</v>
      </c>
      <c r="V36" s="16">
        <f t="shared" si="2"/>
        <v>3096</v>
      </c>
      <c r="W36" s="53">
        <v>2</v>
      </c>
      <c r="X36" s="53" t="s">
        <v>46</v>
      </c>
      <c r="Y36" s="53" t="s">
        <v>86</v>
      </c>
      <c r="Z36" s="53" t="s">
        <v>55</v>
      </c>
      <c r="AA36" s="53" t="s">
        <v>47</v>
      </c>
      <c r="AB36" s="53" t="s">
        <v>158</v>
      </c>
    </row>
    <row r="37" spans="1:28" x14ac:dyDescent="0.15">
      <c r="A37" s="53" t="s">
        <v>56</v>
      </c>
      <c r="B37" s="53" t="s">
        <v>232</v>
      </c>
      <c r="C37" s="53">
        <v>2019</v>
      </c>
      <c r="D37" s="81" t="s">
        <v>233</v>
      </c>
      <c r="E37" s="53" t="s">
        <v>162</v>
      </c>
      <c r="F37" s="53" t="s">
        <v>247</v>
      </c>
      <c r="G37" s="53" t="s">
        <v>42</v>
      </c>
      <c r="H37" s="53" t="s">
        <v>127</v>
      </c>
      <c r="I37" s="53" t="s">
        <v>159</v>
      </c>
      <c r="J37" s="53" t="s">
        <v>58</v>
      </c>
      <c r="K37" s="53" t="s">
        <v>59</v>
      </c>
      <c r="L37" s="53">
        <v>3</v>
      </c>
      <c r="N37" s="53">
        <v>5</v>
      </c>
      <c r="O37" s="53">
        <v>0.8</v>
      </c>
      <c r="P37" s="53">
        <v>0.9</v>
      </c>
      <c r="Q37" s="16">
        <f t="shared" si="0"/>
        <v>0.85000000000000009</v>
      </c>
      <c r="R37" s="53">
        <v>12.1</v>
      </c>
      <c r="S37" s="53">
        <v>84</v>
      </c>
      <c r="T37" s="16">
        <f t="shared" si="1"/>
        <v>36</v>
      </c>
      <c r="U37" s="53">
        <v>430</v>
      </c>
      <c r="V37" s="16">
        <f t="shared" si="2"/>
        <v>3096</v>
      </c>
      <c r="W37" s="53">
        <v>2</v>
      </c>
      <c r="X37" s="53" t="s">
        <v>46</v>
      </c>
      <c r="Y37" s="53" t="s">
        <v>86</v>
      </c>
      <c r="Z37" s="53" t="s">
        <v>55</v>
      </c>
      <c r="AA37" s="53" t="s">
        <v>47</v>
      </c>
      <c r="AB37" s="53" t="s">
        <v>158</v>
      </c>
    </row>
    <row r="38" spans="1:28" x14ac:dyDescent="0.15">
      <c r="A38" s="53" t="s">
        <v>56</v>
      </c>
      <c r="B38" s="53" t="s">
        <v>232</v>
      </c>
      <c r="C38" s="53">
        <v>2019</v>
      </c>
      <c r="D38" s="81" t="s">
        <v>233</v>
      </c>
      <c r="E38" s="53" t="s">
        <v>162</v>
      </c>
      <c r="F38" s="53" t="s">
        <v>247</v>
      </c>
      <c r="G38" s="53" t="s">
        <v>42</v>
      </c>
      <c r="H38" s="53" t="s">
        <v>165</v>
      </c>
      <c r="I38" s="53" t="s">
        <v>159</v>
      </c>
      <c r="J38" s="53" t="s">
        <v>38</v>
      </c>
      <c r="K38" s="53" t="s">
        <v>161</v>
      </c>
      <c r="L38" s="53">
        <v>1</v>
      </c>
      <c r="N38" s="53">
        <v>1</v>
      </c>
      <c r="O38" s="53">
        <v>0.8</v>
      </c>
      <c r="P38" s="53">
        <v>0.85</v>
      </c>
      <c r="Q38" s="16">
        <f t="shared" si="0"/>
        <v>0.82499999999999996</v>
      </c>
      <c r="R38" s="53">
        <v>15.6</v>
      </c>
      <c r="S38" s="53">
        <v>121</v>
      </c>
      <c r="T38" s="16">
        <f t="shared" si="1"/>
        <v>27</v>
      </c>
      <c r="U38" s="53">
        <v>106</v>
      </c>
      <c r="V38" s="16">
        <f t="shared" si="2"/>
        <v>2862</v>
      </c>
      <c r="W38" s="53">
        <v>2</v>
      </c>
      <c r="X38" s="53" t="s">
        <v>46</v>
      </c>
      <c r="Y38" s="53" t="s">
        <v>86</v>
      </c>
      <c r="Z38" s="53" t="s">
        <v>55</v>
      </c>
      <c r="AA38" s="53" t="s">
        <v>47</v>
      </c>
      <c r="AB38" s="53" t="s">
        <v>158</v>
      </c>
    </row>
    <row r="39" spans="1:28" x14ac:dyDescent="0.15">
      <c r="A39" s="53" t="s">
        <v>56</v>
      </c>
      <c r="B39" s="53" t="s">
        <v>232</v>
      </c>
      <c r="C39" s="53">
        <v>2019</v>
      </c>
      <c r="D39" s="81" t="s">
        <v>233</v>
      </c>
      <c r="E39" s="53" t="s">
        <v>162</v>
      </c>
      <c r="F39" s="53" t="s">
        <v>247</v>
      </c>
      <c r="G39" s="53" t="s">
        <v>42</v>
      </c>
      <c r="H39" s="53" t="s">
        <v>165</v>
      </c>
      <c r="I39" s="53" t="s">
        <v>159</v>
      </c>
      <c r="J39" s="53" t="s">
        <v>38</v>
      </c>
      <c r="K39" s="53" t="s">
        <v>161</v>
      </c>
      <c r="L39" s="53">
        <v>2</v>
      </c>
      <c r="N39" s="53">
        <v>1</v>
      </c>
      <c r="O39" s="53">
        <v>0.8</v>
      </c>
      <c r="P39" s="53">
        <v>0.75</v>
      </c>
      <c r="Q39" s="16">
        <f t="shared" si="0"/>
        <v>0.77500000000000002</v>
      </c>
      <c r="R39" s="53">
        <v>14.8</v>
      </c>
      <c r="S39" s="53">
        <v>122</v>
      </c>
      <c r="T39" s="16">
        <f t="shared" si="1"/>
        <v>27</v>
      </c>
      <c r="U39" s="53">
        <v>106</v>
      </c>
      <c r="V39" s="16">
        <f t="shared" si="2"/>
        <v>2862</v>
      </c>
      <c r="W39" s="53">
        <v>2</v>
      </c>
      <c r="X39" s="53" t="s">
        <v>46</v>
      </c>
      <c r="Y39" s="53" t="s">
        <v>86</v>
      </c>
      <c r="Z39" s="53" t="s">
        <v>55</v>
      </c>
      <c r="AA39" s="53" t="s">
        <v>47</v>
      </c>
      <c r="AB39" s="53" t="s">
        <v>158</v>
      </c>
    </row>
    <row r="40" spans="1:28" x14ac:dyDescent="0.15">
      <c r="A40" s="53" t="s">
        <v>56</v>
      </c>
      <c r="B40" s="53" t="s">
        <v>232</v>
      </c>
      <c r="C40" s="53">
        <v>2019</v>
      </c>
      <c r="D40" s="81" t="s">
        <v>233</v>
      </c>
      <c r="E40" s="53" t="s">
        <v>162</v>
      </c>
      <c r="F40" s="53" t="s">
        <v>247</v>
      </c>
      <c r="G40" s="53" t="s">
        <v>42</v>
      </c>
      <c r="H40" s="53" t="s">
        <v>165</v>
      </c>
      <c r="I40" s="53" t="s">
        <v>159</v>
      </c>
      <c r="J40" s="53" t="s">
        <v>38</v>
      </c>
      <c r="K40" s="53" t="s">
        <v>161</v>
      </c>
      <c r="L40" s="53">
        <v>3</v>
      </c>
      <c r="N40" s="53">
        <v>1</v>
      </c>
      <c r="O40" s="53">
        <v>0.7</v>
      </c>
      <c r="P40" s="53">
        <v>0.8</v>
      </c>
      <c r="Q40" s="16">
        <f t="shared" si="0"/>
        <v>0.75</v>
      </c>
      <c r="R40" s="53">
        <v>15.3</v>
      </c>
      <c r="S40" s="53">
        <v>117</v>
      </c>
      <c r="T40" s="16">
        <f t="shared" si="1"/>
        <v>30</v>
      </c>
      <c r="U40" s="53">
        <v>106</v>
      </c>
      <c r="V40" s="16">
        <f t="shared" si="2"/>
        <v>3180</v>
      </c>
      <c r="W40" s="53">
        <v>2</v>
      </c>
      <c r="X40" s="53" t="s">
        <v>46</v>
      </c>
      <c r="Y40" s="53" t="s">
        <v>86</v>
      </c>
      <c r="Z40" s="53" t="s">
        <v>55</v>
      </c>
      <c r="AA40" s="53" t="s">
        <v>47</v>
      </c>
      <c r="AB40" s="53" t="s">
        <v>158</v>
      </c>
    </row>
    <row r="41" spans="1:28" x14ac:dyDescent="0.15">
      <c r="A41" s="53" t="s">
        <v>56</v>
      </c>
      <c r="B41" s="53" t="s">
        <v>232</v>
      </c>
      <c r="C41" s="53">
        <v>2019</v>
      </c>
      <c r="D41" s="81" t="s">
        <v>233</v>
      </c>
      <c r="E41" s="53" t="s">
        <v>162</v>
      </c>
      <c r="F41" s="53" t="s">
        <v>247</v>
      </c>
      <c r="G41" s="53" t="s">
        <v>42</v>
      </c>
      <c r="H41" s="53" t="s">
        <v>160</v>
      </c>
      <c r="I41" s="53" t="s">
        <v>159</v>
      </c>
      <c r="J41" s="53" t="s">
        <v>38</v>
      </c>
      <c r="K41" s="53" t="s">
        <v>161</v>
      </c>
      <c r="L41" s="53">
        <v>1</v>
      </c>
      <c r="N41" s="53">
        <v>1</v>
      </c>
      <c r="O41" s="53">
        <v>0.7</v>
      </c>
      <c r="P41" s="53">
        <v>0.75</v>
      </c>
      <c r="Q41" s="16">
        <f t="shared" si="0"/>
        <v>0.72499999999999998</v>
      </c>
      <c r="R41" s="53">
        <v>15.8</v>
      </c>
      <c r="S41" s="53">
        <v>109</v>
      </c>
      <c r="T41" s="16">
        <f t="shared" si="1"/>
        <v>33</v>
      </c>
      <c r="U41" s="53">
        <v>138</v>
      </c>
      <c r="V41" s="16">
        <f t="shared" si="2"/>
        <v>4554</v>
      </c>
      <c r="W41" s="53">
        <v>2</v>
      </c>
      <c r="X41" s="53" t="s">
        <v>46</v>
      </c>
      <c r="Y41" s="53" t="s">
        <v>86</v>
      </c>
      <c r="Z41" s="53" t="s">
        <v>55</v>
      </c>
      <c r="AA41" s="53" t="s">
        <v>47</v>
      </c>
      <c r="AB41" s="53" t="s">
        <v>158</v>
      </c>
    </row>
    <row r="42" spans="1:28" x14ac:dyDescent="0.15">
      <c r="A42" s="53" t="s">
        <v>56</v>
      </c>
      <c r="B42" s="53" t="s">
        <v>232</v>
      </c>
      <c r="C42" s="53">
        <v>2019</v>
      </c>
      <c r="D42" s="81" t="s">
        <v>233</v>
      </c>
      <c r="E42" s="53" t="s">
        <v>162</v>
      </c>
      <c r="F42" s="53" t="s">
        <v>247</v>
      </c>
      <c r="G42" s="53" t="s">
        <v>42</v>
      </c>
      <c r="H42" s="53" t="s">
        <v>160</v>
      </c>
      <c r="I42" s="53" t="s">
        <v>159</v>
      </c>
      <c r="J42" s="53" t="s">
        <v>38</v>
      </c>
      <c r="K42" s="53" t="s">
        <v>161</v>
      </c>
      <c r="L42" s="53">
        <v>2</v>
      </c>
      <c r="N42" s="53">
        <v>1</v>
      </c>
      <c r="O42" s="53">
        <v>0.7</v>
      </c>
      <c r="P42" s="53">
        <v>0.65</v>
      </c>
      <c r="Q42" s="16">
        <f t="shared" si="0"/>
        <v>0.67500000000000004</v>
      </c>
      <c r="R42" s="53">
        <v>17</v>
      </c>
      <c r="S42" s="53">
        <v>118</v>
      </c>
      <c r="T42" s="16">
        <f t="shared" si="1"/>
        <v>30</v>
      </c>
      <c r="U42" s="53">
        <v>138</v>
      </c>
      <c r="V42" s="16">
        <f t="shared" si="2"/>
        <v>4140</v>
      </c>
      <c r="W42" s="53">
        <v>2</v>
      </c>
      <c r="X42" s="53" t="s">
        <v>46</v>
      </c>
      <c r="Y42" s="53" t="s">
        <v>86</v>
      </c>
      <c r="Z42" s="53" t="s">
        <v>55</v>
      </c>
      <c r="AA42" s="53" t="s">
        <v>47</v>
      </c>
      <c r="AB42" s="53" t="s">
        <v>158</v>
      </c>
    </row>
    <row r="43" spans="1:28" x14ac:dyDescent="0.15">
      <c r="A43" s="53" t="s">
        <v>56</v>
      </c>
      <c r="B43" s="53" t="s">
        <v>232</v>
      </c>
      <c r="C43" s="53">
        <v>2019</v>
      </c>
      <c r="D43" s="81" t="s">
        <v>233</v>
      </c>
      <c r="E43" s="53" t="s">
        <v>162</v>
      </c>
      <c r="F43" s="53" t="s">
        <v>247</v>
      </c>
      <c r="G43" s="53" t="s">
        <v>42</v>
      </c>
      <c r="H43" s="53" t="s">
        <v>160</v>
      </c>
      <c r="I43" s="53" t="s">
        <v>159</v>
      </c>
      <c r="J43" s="53" t="s">
        <v>38</v>
      </c>
      <c r="K43" s="53" t="s">
        <v>161</v>
      </c>
      <c r="L43" s="53">
        <v>3</v>
      </c>
      <c r="N43" s="53">
        <v>1</v>
      </c>
      <c r="O43" s="53">
        <v>0.7</v>
      </c>
      <c r="P43" s="53">
        <v>0.7</v>
      </c>
      <c r="Q43" s="16">
        <f t="shared" si="0"/>
        <v>0.7</v>
      </c>
      <c r="R43" s="53">
        <v>15</v>
      </c>
      <c r="S43" s="53">
        <v>122</v>
      </c>
      <c r="T43" s="16">
        <f t="shared" si="1"/>
        <v>27</v>
      </c>
      <c r="U43" s="53">
        <v>138</v>
      </c>
      <c r="V43" s="16">
        <f t="shared" si="2"/>
        <v>3726</v>
      </c>
      <c r="W43" s="53">
        <v>2</v>
      </c>
      <c r="X43" s="53" t="s">
        <v>46</v>
      </c>
      <c r="Y43" s="53" t="s">
        <v>86</v>
      </c>
      <c r="Z43" s="53" t="s">
        <v>55</v>
      </c>
      <c r="AA43" s="53" t="s">
        <v>47</v>
      </c>
      <c r="AB43" s="53" t="s">
        <v>158</v>
      </c>
    </row>
    <row r="44" spans="1:28" x14ac:dyDescent="0.15">
      <c r="A44" s="53" t="s">
        <v>56</v>
      </c>
      <c r="B44" s="53" t="s">
        <v>232</v>
      </c>
      <c r="C44" s="53">
        <v>2019</v>
      </c>
      <c r="D44" s="81" t="s">
        <v>233</v>
      </c>
      <c r="E44" s="53" t="s">
        <v>255</v>
      </c>
      <c r="F44" s="53" t="s">
        <v>247</v>
      </c>
      <c r="G44" s="53" t="s">
        <v>42</v>
      </c>
      <c r="H44" s="53" t="s">
        <v>165</v>
      </c>
      <c r="I44" s="53" t="s">
        <v>159</v>
      </c>
      <c r="J44" s="53" t="s">
        <v>38</v>
      </c>
      <c r="K44" s="53" t="s">
        <v>161</v>
      </c>
      <c r="L44" s="53">
        <v>1</v>
      </c>
      <c r="N44" s="53">
        <v>1</v>
      </c>
      <c r="O44" s="53">
        <v>1.25</v>
      </c>
      <c r="P44" s="53">
        <v>1.25</v>
      </c>
      <c r="Q44" s="16">
        <f t="shared" si="0"/>
        <v>1.25</v>
      </c>
      <c r="R44" s="53">
        <v>13.7</v>
      </c>
      <c r="S44" s="53">
        <v>131</v>
      </c>
      <c r="T44" s="16">
        <f t="shared" si="1"/>
        <v>25</v>
      </c>
      <c r="U44" s="53">
        <v>138</v>
      </c>
      <c r="V44" s="16">
        <f t="shared" si="2"/>
        <v>3450</v>
      </c>
      <c r="W44" s="53">
        <v>1</v>
      </c>
      <c r="X44" s="53" t="s">
        <v>39</v>
      </c>
      <c r="Y44" s="53" t="s">
        <v>40</v>
      </c>
      <c r="Z44" s="53" t="s">
        <v>69</v>
      </c>
      <c r="AA44" s="53" t="s">
        <v>47</v>
      </c>
      <c r="AB44" s="53" t="s">
        <v>158</v>
      </c>
    </row>
    <row r="45" spans="1:28" x14ac:dyDescent="0.15">
      <c r="A45" s="53" t="s">
        <v>56</v>
      </c>
      <c r="B45" s="53" t="s">
        <v>232</v>
      </c>
      <c r="C45" s="53">
        <v>2019</v>
      </c>
      <c r="D45" s="81" t="s">
        <v>233</v>
      </c>
      <c r="E45" s="53" t="s">
        <v>255</v>
      </c>
      <c r="F45" s="53" t="s">
        <v>247</v>
      </c>
      <c r="G45" s="53" t="s">
        <v>42</v>
      </c>
      <c r="H45" s="53" t="s">
        <v>165</v>
      </c>
      <c r="I45" s="53" t="s">
        <v>159</v>
      </c>
      <c r="J45" s="53" t="s">
        <v>38</v>
      </c>
      <c r="K45" s="53" t="s">
        <v>161</v>
      </c>
      <c r="L45" s="53">
        <v>2</v>
      </c>
      <c r="N45" s="53">
        <v>1</v>
      </c>
      <c r="O45" s="53">
        <v>1</v>
      </c>
      <c r="P45" s="53">
        <v>1</v>
      </c>
      <c r="Q45" s="16">
        <f t="shared" si="0"/>
        <v>1</v>
      </c>
      <c r="R45" s="53">
        <v>13.2</v>
      </c>
      <c r="S45" s="53">
        <v>126</v>
      </c>
      <c r="T45" s="16">
        <f t="shared" si="1"/>
        <v>27</v>
      </c>
      <c r="U45" s="53">
        <v>138</v>
      </c>
      <c r="V45" s="16">
        <f t="shared" si="2"/>
        <v>3726</v>
      </c>
      <c r="W45" s="53">
        <v>1</v>
      </c>
      <c r="X45" s="53" t="s">
        <v>39</v>
      </c>
      <c r="Y45" s="53" t="s">
        <v>40</v>
      </c>
      <c r="Z45" s="53" t="s">
        <v>69</v>
      </c>
      <c r="AA45" s="53" t="s">
        <v>47</v>
      </c>
      <c r="AB45" s="53" t="s">
        <v>158</v>
      </c>
    </row>
    <row r="46" spans="1:28" x14ac:dyDescent="0.15">
      <c r="A46" s="53" t="s">
        <v>56</v>
      </c>
      <c r="B46" s="53" t="s">
        <v>232</v>
      </c>
      <c r="C46" s="53">
        <v>2019</v>
      </c>
      <c r="D46" s="81" t="s">
        <v>233</v>
      </c>
      <c r="E46" s="53" t="s">
        <v>255</v>
      </c>
      <c r="F46" s="53" t="s">
        <v>247</v>
      </c>
      <c r="G46" s="53" t="s">
        <v>42</v>
      </c>
      <c r="H46" s="53" t="s">
        <v>165</v>
      </c>
      <c r="I46" s="53" t="s">
        <v>159</v>
      </c>
      <c r="J46" s="53" t="s">
        <v>38</v>
      </c>
      <c r="K46" s="53" t="s">
        <v>161</v>
      </c>
      <c r="L46" s="53">
        <v>3</v>
      </c>
      <c r="N46" s="53">
        <v>1</v>
      </c>
      <c r="O46" s="53">
        <v>1.1499999999999999</v>
      </c>
      <c r="P46" s="53">
        <v>1.2</v>
      </c>
      <c r="Q46" s="16">
        <f t="shared" si="0"/>
        <v>1.1749999999999998</v>
      </c>
      <c r="R46" s="53">
        <v>14.6</v>
      </c>
      <c r="S46" s="53">
        <v>132</v>
      </c>
      <c r="T46" s="16">
        <f t="shared" si="1"/>
        <v>25</v>
      </c>
      <c r="U46" s="53">
        <v>138</v>
      </c>
      <c r="V46" s="16">
        <f t="shared" si="2"/>
        <v>3450</v>
      </c>
      <c r="W46" s="53">
        <v>1</v>
      </c>
      <c r="X46" s="53" t="s">
        <v>39</v>
      </c>
      <c r="Y46" s="53" t="s">
        <v>40</v>
      </c>
      <c r="Z46" s="53" t="s">
        <v>69</v>
      </c>
      <c r="AA46" s="53" t="s">
        <v>47</v>
      </c>
      <c r="AB46" s="53" t="s">
        <v>158</v>
      </c>
    </row>
    <row r="47" spans="1:28" x14ac:dyDescent="0.15">
      <c r="A47" s="53" t="s">
        <v>56</v>
      </c>
      <c r="B47" s="53" t="s">
        <v>232</v>
      </c>
      <c r="C47" s="53">
        <v>2019</v>
      </c>
      <c r="D47" s="81" t="s">
        <v>233</v>
      </c>
      <c r="E47" s="53" t="s">
        <v>255</v>
      </c>
      <c r="F47" s="53" t="s">
        <v>247</v>
      </c>
      <c r="G47" s="53" t="s">
        <v>42</v>
      </c>
      <c r="H47" s="53" t="s">
        <v>160</v>
      </c>
      <c r="I47" s="53" t="s">
        <v>159</v>
      </c>
      <c r="J47" s="53" t="s">
        <v>38</v>
      </c>
      <c r="K47" s="53" t="s">
        <v>161</v>
      </c>
      <c r="L47" s="53">
        <v>1</v>
      </c>
      <c r="N47" s="53">
        <v>1</v>
      </c>
      <c r="O47" s="53">
        <v>0.55000000000000004</v>
      </c>
      <c r="P47" s="53">
        <v>0.55000000000000004</v>
      </c>
      <c r="Q47" s="16">
        <f t="shared" si="0"/>
        <v>0.55000000000000004</v>
      </c>
      <c r="R47" s="53">
        <v>17.3</v>
      </c>
      <c r="S47" s="53">
        <v>124</v>
      </c>
      <c r="T47" s="16">
        <f t="shared" si="1"/>
        <v>27</v>
      </c>
      <c r="U47" s="53">
        <v>150</v>
      </c>
      <c r="V47" s="16">
        <f t="shared" si="2"/>
        <v>4050</v>
      </c>
      <c r="W47" s="53">
        <v>1</v>
      </c>
      <c r="X47" s="53" t="s">
        <v>39</v>
      </c>
      <c r="Y47" s="53" t="s">
        <v>40</v>
      </c>
      <c r="Z47" s="53" t="s">
        <v>69</v>
      </c>
      <c r="AA47" s="53" t="s">
        <v>47</v>
      </c>
      <c r="AB47" s="53" t="s">
        <v>158</v>
      </c>
    </row>
    <row r="48" spans="1:28" x14ac:dyDescent="0.15">
      <c r="A48" s="53" t="s">
        <v>56</v>
      </c>
      <c r="B48" s="53" t="s">
        <v>232</v>
      </c>
      <c r="C48" s="53">
        <v>2019</v>
      </c>
      <c r="D48" s="81" t="s">
        <v>233</v>
      </c>
      <c r="E48" s="53" t="s">
        <v>255</v>
      </c>
      <c r="F48" s="53" t="s">
        <v>247</v>
      </c>
      <c r="G48" s="53" t="s">
        <v>42</v>
      </c>
      <c r="H48" s="53" t="s">
        <v>160</v>
      </c>
      <c r="I48" s="53" t="s">
        <v>159</v>
      </c>
      <c r="J48" s="53" t="s">
        <v>38</v>
      </c>
      <c r="K48" s="53" t="s">
        <v>161</v>
      </c>
      <c r="L48" s="53">
        <v>2</v>
      </c>
      <c r="N48" s="53">
        <v>1</v>
      </c>
      <c r="O48" s="53">
        <v>0.6</v>
      </c>
      <c r="P48" s="53">
        <v>0.55000000000000004</v>
      </c>
      <c r="Q48" s="16">
        <f t="shared" si="0"/>
        <v>0.57499999999999996</v>
      </c>
      <c r="R48" s="53">
        <v>17.600000000000001</v>
      </c>
      <c r="S48" s="53">
        <v>129</v>
      </c>
      <c r="T48" s="16">
        <f t="shared" si="1"/>
        <v>25</v>
      </c>
      <c r="U48" s="53">
        <v>150</v>
      </c>
      <c r="V48" s="16">
        <f t="shared" si="2"/>
        <v>3750</v>
      </c>
      <c r="W48" s="53">
        <v>1</v>
      </c>
      <c r="X48" s="53" t="s">
        <v>39</v>
      </c>
      <c r="Y48" s="53" t="s">
        <v>40</v>
      </c>
      <c r="Z48" s="53" t="s">
        <v>69</v>
      </c>
      <c r="AA48" s="53" t="s">
        <v>47</v>
      </c>
      <c r="AB48" s="53" t="s">
        <v>158</v>
      </c>
    </row>
    <row r="49" spans="1:28" x14ac:dyDescent="0.15">
      <c r="A49" s="53" t="s">
        <v>56</v>
      </c>
      <c r="B49" s="53" t="s">
        <v>232</v>
      </c>
      <c r="C49" s="53">
        <v>2019</v>
      </c>
      <c r="D49" s="81" t="s">
        <v>233</v>
      </c>
      <c r="E49" s="53" t="s">
        <v>255</v>
      </c>
      <c r="F49" s="53" t="s">
        <v>247</v>
      </c>
      <c r="G49" s="53" t="s">
        <v>42</v>
      </c>
      <c r="H49" s="53" t="s">
        <v>160</v>
      </c>
      <c r="I49" s="53" t="s">
        <v>159</v>
      </c>
      <c r="J49" s="53" t="s">
        <v>38</v>
      </c>
      <c r="K49" s="53" t="s">
        <v>161</v>
      </c>
      <c r="L49" s="53">
        <v>3</v>
      </c>
      <c r="N49" s="53">
        <v>1</v>
      </c>
      <c r="O49" s="53">
        <v>0.65</v>
      </c>
      <c r="P49" s="53">
        <v>0.7</v>
      </c>
      <c r="Q49" s="16">
        <f t="shared" si="0"/>
        <v>0.67500000000000004</v>
      </c>
      <c r="R49" s="53">
        <v>16.100000000000001</v>
      </c>
      <c r="S49" s="53">
        <v>128</v>
      </c>
      <c r="T49" s="16">
        <f t="shared" si="1"/>
        <v>27</v>
      </c>
      <c r="U49" s="53">
        <v>150</v>
      </c>
      <c r="V49" s="16">
        <f t="shared" si="2"/>
        <v>4050</v>
      </c>
      <c r="W49" s="53">
        <v>1</v>
      </c>
      <c r="X49" s="53" t="s">
        <v>39</v>
      </c>
      <c r="Y49" s="53" t="s">
        <v>40</v>
      </c>
      <c r="Z49" s="53" t="s">
        <v>69</v>
      </c>
      <c r="AA49" s="53" t="s">
        <v>47</v>
      </c>
      <c r="AB49" s="53" t="s">
        <v>158</v>
      </c>
    </row>
    <row r="50" spans="1:28" x14ac:dyDescent="0.15">
      <c r="A50" s="53" t="s">
        <v>56</v>
      </c>
      <c r="B50" s="53" t="s">
        <v>232</v>
      </c>
      <c r="C50" s="53">
        <v>2019</v>
      </c>
      <c r="D50" s="81" t="s">
        <v>233</v>
      </c>
      <c r="E50" s="53" t="s">
        <v>256</v>
      </c>
      <c r="F50" s="53" t="s">
        <v>237</v>
      </c>
      <c r="G50" s="53" t="s">
        <v>42</v>
      </c>
      <c r="H50" s="53" t="s">
        <v>165</v>
      </c>
      <c r="I50" s="53" t="s">
        <v>159</v>
      </c>
      <c r="J50" s="53" t="s">
        <v>38</v>
      </c>
      <c r="K50" s="53" t="s">
        <v>161</v>
      </c>
      <c r="L50" s="53">
        <v>1</v>
      </c>
      <c r="N50" s="53">
        <v>5</v>
      </c>
      <c r="O50" s="53">
        <v>0.95</v>
      </c>
      <c r="P50" s="53">
        <v>0.8</v>
      </c>
      <c r="Q50" s="16">
        <f t="shared" si="0"/>
        <v>0.875</v>
      </c>
      <c r="R50" s="53">
        <v>15.6</v>
      </c>
      <c r="S50" s="53">
        <v>90</v>
      </c>
      <c r="T50" s="16">
        <f t="shared" si="1"/>
        <v>36</v>
      </c>
      <c r="U50" s="53">
        <v>429</v>
      </c>
      <c r="V50" s="16">
        <f t="shared" si="2"/>
        <v>3088.7999999999997</v>
      </c>
      <c r="W50" s="53">
        <v>1</v>
      </c>
      <c r="X50" s="53" t="s">
        <v>39</v>
      </c>
      <c r="Y50" s="53" t="s">
        <v>78</v>
      </c>
      <c r="Z50" s="53" t="s">
        <v>55</v>
      </c>
      <c r="AA50" s="53" t="s">
        <v>47</v>
      </c>
      <c r="AB50" s="53" t="s">
        <v>158</v>
      </c>
    </row>
    <row r="51" spans="1:28" x14ac:dyDescent="0.15">
      <c r="A51" s="53" t="s">
        <v>56</v>
      </c>
      <c r="B51" s="53" t="s">
        <v>232</v>
      </c>
      <c r="C51" s="53">
        <v>2019</v>
      </c>
      <c r="D51" s="81" t="s">
        <v>233</v>
      </c>
      <c r="E51" s="53" t="s">
        <v>256</v>
      </c>
      <c r="F51" s="53" t="s">
        <v>237</v>
      </c>
      <c r="G51" s="53" t="s">
        <v>42</v>
      </c>
      <c r="H51" s="53" t="s">
        <v>165</v>
      </c>
      <c r="I51" s="53" t="s">
        <v>159</v>
      </c>
      <c r="J51" s="53" t="s">
        <v>38</v>
      </c>
      <c r="K51" s="53" t="s">
        <v>161</v>
      </c>
      <c r="L51" s="53">
        <v>2</v>
      </c>
      <c r="N51" s="53">
        <v>5</v>
      </c>
      <c r="O51" s="53">
        <v>0.9</v>
      </c>
      <c r="P51" s="53">
        <v>0.9</v>
      </c>
      <c r="Q51" s="16">
        <f t="shared" si="0"/>
        <v>0.9</v>
      </c>
      <c r="R51" s="53">
        <v>11.8</v>
      </c>
      <c r="S51" s="53">
        <v>89</v>
      </c>
      <c r="T51" s="16">
        <f t="shared" si="1"/>
        <v>36</v>
      </c>
      <c r="U51" s="53">
        <v>429</v>
      </c>
      <c r="V51" s="16">
        <f t="shared" si="2"/>
        <v>3088.7999999999997</v>
      </c>
      <c r="W51" s="53">
        <v>1</v>
      </c>
      <c r="X51" s="53" t="s">
        <v>39</v>
      </c>
      <c r="Y51" s="53" t="s">
        <v>78</v>
      </c>
      <c r="Z51" s="53" t="s">
        <v>55</v>
      </c>
      <c r="AA51" s="53" t="s">
        <v>47</v>
      </c>
      <c r="AB51" s="53" t="s">
        <v>158</v>
      </c>
    </row>
    <row r="52" spans="1:28" x14ac:dyDescent="0.15">
      <c r="A52" s="53" t="s">
        <v>56</v>
      </c>
      <c r="B52" s="53" t="s">
        <v>232</v>
      </c>
      <c r="C52" s="53">
        <v>2019</v>
      </c>
      <c r="D52" s="81" t="s">
        <v>233</v>
      </c>
      <c r="E52" s="53" t="s">
        <v>256</v>
      </c>
      <c r="F52" s="53" t="s">
        <v>237</v>
      </c>
      <c r="G52" s="53" t="s">
        <v>42</v>
      </c>
      <c r="H52" s="53" t="s">
        <v>165</v>
      </c>
      <c r="I52" s="53" t="s">
        <v>159</v>
      </c>
      <c r="J52" s="53" t="s">
        <v>38</v>
      </c>
      <c r="K52" s="53" t="s">
        <v>161</v>
      </c>
      <c r="L52" s="53">
        <v>3</v>
      </c>
      <c r="N52" s="53">
        <v>5</v>
      </c>
      <c r="O52" s="53">
        <v>0.75</v>
      </c>
      <c r="P52" s="53">
        <v>0.8</v>
      </c>
      <c r="Q52" s="16">
        <f t="shared" si="0"/>
        <v>0.77500000000000002</v>
      </c>
      <c r="R52" s="53">
        <v>11.7</v>
      </c>
      <c r="S52" s="53">
        <v>91</v>
      </c>
      <c r="T52" s="16">
        <f t="shared" si="1"/>
        <v>36</v>
      </c>
      <c r="U52" s="53">
        <v>429</v>
      </c>
      <c r="V52" s="16">
        <f t="shared" si="2"/>
        <v>3088.7999999999997</v>
      </c>
      <c r="W52" s="53">
        <v>1</v>
      </c>
      <c r="X52" s="53" t="s">
        <v>39</v>
      </c>
      <c r="Y52" s="53" t="s">
        <v>78</v>
      </c>
      <c r="Z52" s="53" t="s">
        <v>55</v>
      </c>
      <c r="AA52" s="53" t="s">
        <v>47</v>
      </c>
      <c r="AB52" s="53" t="s">
        <v>158</v>
      </c>
    </row>
    <row r="53" spans="1:28" x14ac:dyDescent="0.15">
      <c r="A53" s="53" t="s">
        <v>56</v>
      </c>
      <c r="B53" s="53" t="s">
        <v>232</v>
      </c>
      <c r="C53" s="53">
        <v>2019</v>
      </c>
      <c r="D53" s="81" t="s">
        <v>233</v>
      </c>
      <c r="E53" s="53" t="s">
        <v>256</v>
      </c>
      <c r="F53" s="53" t="s">
        <v>237</v>
      </c>
      <c r="G53" s="53" t="s">
        <v>42</v>
      </c>
      <c r="H53" s="53" t="s">
        <v>160</v>
      </c>
      <c r="I53" s="53" t="s">
        <v>159</v>
      </c>
      <c r="J53" s="53" t="s">
        <v>38</v>
      </c>
      <c r="K53" s="53" t="s">
        <v>161</v>
      </c>
      <c r="L53" s="53">
        <v>1</v>
      </c>
      <c r="N53" s="53">
        <v>4</v>
      </c>
      <c r="O53" s="53">
        <v>0.6</v>
      </c>
      <c r="P53" s="53">
        <v>0.6</v>
      </c>
      <c r="Q53" s="16">
        <f t="shared" si="0"/>
        <v>0.6</v>
      </c>
      <c r="R53" s="53">
        <v>14.9</v>
      </c>
      <c r="S53" s="53">
        <v>94</v>
      </c>
      <c r="T53" s="16">
        <f t="shared" si="1"/>
        <v>36</v>
      </c>
      <c r="U53" s="53">
        <v>429</v>
      </c>
      <c r="V53" s="16">
        <f t="shared" si="2"/>
        <v>3861</v>
      </c>
      <c r="W53" s="53">
        <v>2</v>
      </c>
      <c r="X53" s="53" t="s">
        <v>39</v>
      </c>
      <c r="Y53" s="53" t="s">
        <v>78</v>
      </c>
      <c r="Z53" s="53" t="s">
        <v>55</v>
      </c>
      <c r="AA53" s="53" t="s">
        <v>47</v>
      </c>
      <c r="AB53" s="53" t="s">
        <v>158</v>
      </c>
    </row>
    <row r="54" spans="1:28" x14ac:dyDescent="0.15">
      <c r="A54" s="53" t="s">
        <v>56</v>
      </c>
      <c r="B54" s="53" t="s">
        <v>232</v>
      </c>
      <c r="C54" s="53">
        <v>2019</v>
      </c>
      <c r="D54" s="81" t="s">
        <v>233</v>
      </c>
      <c r="E54" s="53" t="s">
        <v>256</v>
      </c>
      <c r="F54" s="53" t="s">
        <v>237</v>
      </c>
      <c r="G54" s="53" t="s">
        <v>42</v>
      </c>
      <c r="H54" s="53" t="s">
        <v>160</v>
      </c>
      <c r="I54" s="53" t="s">
        <v>159</v>
      </c>
      <c r="J54" s="53" t="s">
        <v>38</v>
      </c>
      <c r="K54" s="53" t="s">
        <v>161</v>
      </c>
      <c r="L54" s="53">
        <v>2</v>
      </c>
      <c r="N54" s="53">
        <v>4</v>
      </c>
      <c r="O54" s="53">
        <v>0.7</v>
      </c>
      <c r="P54" s="53">
        <v>0.7</v>
      </c>
      <c r="Q54" s="16">
        <f t="shared" si="0"/>
        <v>0.7</v>
      </c>
      <c r="R54" s="53">
        <v>14.3</v>
      </c>
      <c r="S54" s="53">
        <v>101</v>
      </c>
      <c r="T54" s="16">
        <f t="shared" si="1"/>
        <v>33</v>
      </c>
      <c r="U54" s="53">
        <v>429</v>
      </c>
      <c r="V54" s="16">
        <f t="shared" si="2"/>
        <v>3539.25</v>
      </c>
      <c r="W54" s="53">
        <v>2</v>
      </c>
      <c r="X54" s="53" t="s">
        <v>39</v>
      </c>
      <c r="Y54" s="53" t="s">
        <v>78</v>
      </c>
      <c r="Z54" s="53" t="s">
        <v>55</v>
      </c>
      <c r="AA54" s="53" t="s">
        <v>47</v>
      </c>
      <c r="AB54" s="53" t="s">
        <v>158</v>
      </c>
    </row>
    <row r="55" spans="1:28" x14ac:dyDescent="0.15">
      <c r="A55" s="53" t="s">
        <v>56</v>
      </c>
      <c r="B55" s="53" t="s">
        <v>232</v>
      </c>
      <c r="C55" s="53">
        <v>2019</v>
      </c>
      <c r="D55" s="81" t="s">
        <v>233</v>
      </c>
      <c r="E55" s="53" t="s">
        <v>256</v>
      </c>
      <c r="F55" s="53" t="s">
        <v>237</v>
      </c>
      <c r="G55" s="53" t="s">
        <v>42</v>
      </c>
      <c r="H55" s="53" t="s">
        <v>160</v>
      </c>
      <c r="I55" s="53" t="s">
        <v>159</v>
      </c>
      <c r="J55" s="53" t="s">
        <v>38</v>
      </c>
      <c r="K55" s="53" t="s">
        <v>161</v>
      </c>
      <c r="L55" s="53">
        <v>3</v>
      </c>
      <c r="N55" s="53">
        <v>4</v>
      </c>
      <c r="O55" s="53">
        <v>0.75</v>
      </c>
      <c r="P55" s="53">
        <v>0.65</v>
      </c>
      <c r="Q55" s="16">
        <f t="shared" si="0"/>
        <v>0.7</v>
      </c>
      <c r="R55" s="53">
        <v>14.6</v>
      </c>
      <c r="S55" s="53">
        <v>100</v>
      </c>
      <c r="T55" s="16">
        <f t="shared" si="1"/>
        <v>33</v>
      </c>
      <c r="U55" s="53">
        <v>429</v>
      </c>
      <c r="V55" s="16">
        <f t="shared" si="2"/>
        <v>3539.25</v>
      </c>
      <c r="W55" s="53">
        <v>2</v>
      </c>
      <c r="X55" s="53" t="s">
        <v>39</v>
      </c>
      <c r="Y55" s="53" t="s">
        <v>78</v>
      </c>
      <c r="Z55" s="53" t="s">
        <v>55</v>
      </c>
      <c r="AA55" s="53" t="s">
        <v>47</v>
      </c>
      <c r="AB55" s="53" t="s">
        <v>158</v>
      </c>
    </row>
    <row r="56" spans="1:28" x14ac:dyDescent="0.15">
      <c r="A56" s="53" t="s">
        <v>56</v>
      </c>
      <c r="B56" s="53" t="s">
        <v>232</v>
      </c>
      <c r="C56" s="53">
        <v>2019</v>
      </c>
      <c r="D56" s="81" t="s">
        <v>233</v>
      </c>
      <c r="E56" s="53" t="s">
        <v>248</v>
      </c>
      <c r="F56" s="53" t="s">
        <v>250</v>
      </c>
      <c r="G56" s="53" t="s">
        <v>42</v>
      </c>
      <c r="H56" s="53" t="s">
        <v>165</v>
      </c>
      <c r="I56" s="53" t="s">
        <v>159</v>
      </c>
      <c r="J56" s="53" t="s">
        <v>38</v>
      </c>
      <c r="K56" s="53" t="s">
        <v>161</v>
      </c>
      <c r="L56" s="53">
        <v>1</v>
      </c>
      <c r="N56" s="53">
        <v>1</v>
      </c>
      <c r="O56" s="53">
        <v>1.2</v>
      </c>
      <c r="P56" s="53">
        <v>1.25</v>
      </c>
      <c r="Q56" s="16">
        <f t="shared" si="0"/>
        <v>1.2250000000000001</v>
      </c>
      <c r="R56" s="53">
        <v>13.8</v>
      </c>
      <c r="S56" s="53">
        <v>147</v>
      </c>
      <c r="T56" s="16">
        <f t="shared" si="1"/>
        <v>22</v>
      </c>
      <c r="U56" s="53">
        <v>117</v>
      </c>
      <c r="V56" s="16">
        <f t="shared" si="2"/>
        <v>2574</v>
      </c>
      <c r="W56" s="53">
        <v>6</v>
      </c>
      <c r="X56" s="53" t="s">
        <v>46</v>
      </c>
      <c r="Y56" s="53" t="s">
        <v>55</v>
      </c>
      <c r="Z56" s="53" t="s">
        <v>86</v>
      </c>
      <c r="AA56" s="53" t="s">
        <v>47</v>
      </c>
      <c r="AB56" s="53" t="s">
        <v>158</v>
      </c>
    </row>
    <row r="57" spans="1:28" x14ac:dyDescent="0.15">
      <c r="A57" s="53" t="s">
        <v>56</v>
      </c>
      <c r="B57" s="53" t="s">
        <v>232</v>
      </c>
      <c r="C57" s="53">
        <v>2019</v>
      </c>
      <c r="D57" s="81" t="s">
        <v>233</v>
      </c>
      <c r="E57" s="53" t="s">
        <v>248</v>
      </c>
      <c r="F57" s="53" t="s">
        <v>250</v>
      </c>
      <c r="G57" s="53" t="s">
        <v>42</v>
      </c>
      <c r="H57" s="53" t="s">
        <v>165</v>
      </c>
      <c r="I57" s="53" t="s">
        <v>159</v>
      </c>
      <c r="J57" s="53" t="s">
        <v>38</v>
      </c>
      <c r="K57" s="53" t="s">
        <v>161</v>
      </c>
      <c r="L57" s="53">
        <v>2</v>
      </c>
      <c r="N57" s="53">
        <v>1</v>
      </c>
      <c r="O57" s="53">
        <v>1</v>
      </c>
      <c r="P57" s="53">
        <v>1.1000000000000001</v>
      </c>
      <c r="Q57" s="16">
        <f t="shared" si="0"/>
        <v>1.05</v>
      </c>
      <c r="R57" s="53">
        <v>14.4</v>
      </c>
      <c r="S57" s="53">
        <v>141</v>
      </c>
      <c r="T57" s="16">
        <f t="shared" si="1"/>
        <v>22</v>
      </c>
      <c r="U57" s="53">
        <v>117</v>
      </c>
      <c r="V57" s="16">
        <f t="shared" si="2"/>
        <v>2574</v>
      </c>
      <c r="W57" s="53">
        <v>6</v>
      </c>
      <c r="X57" s="53" t="s">
        <v>46</v>
      </c>
      <c r="Y57" s="53" t="s">
        <v>55</v>
      </c>
      <c r="Z57" s="53" t="s">
        <v>86</v>
      </c>
      <c r="AA57" s="53" t="s">
        <v>47</v>
      </c>
      <c r="AB57" s="53" t="s">
        <v>158</v>
      </c>
    </row>
    <row r="58" spans="1:28" x14ac:dyDescent="0.15">
      <c r="A58" s="53" t="s">
        <v>56</v>
      </c>
      <c r="B58" s="53" t="s">
        <v>232</v>
      </c>
      <c r="C58" s="53">
        <v>2019</v>
      </c>
      <c r="D58" s="81" t="s">
        <v>233</v>
      </c>
      <c r="E58" s="53" t="s">
        <v>248</v>
      </c>
      <c r="F58" s="53" t="s">
        <v>250</v>
      </c>
      <c r="G58" s="53" t="s">
        <v>42</v>
      </c>
      <c r="H58" s="53" t="s">
        <v>165</v>
      </c>
      <c r="I58" s="53" t="s">
        <v>159</v>
      </c>
      <c r="J58" s="53" t="s">
        <v>38</v>
      </c>
      <c r="K58" s="53" t="s">
        <v>161</v>
      </c>
      <c r="L58" s="53">
        <v>3</v>
      </c>
      <c r="N58" s="53">
        <v>1</v>
      </c>
      <c r="O58" s="53">
        <v>1.4</v>
      </c>
      <c r="P58" s="53">
        <v>1.5</v>
      </c>
      <c r="Q58" s="16">
        <f t="shared" si="0"/>
        <v>1.45</v>
      </c>
      <c r="R58" s="53">
        <v>13.2</v>
      </c>
      <c r="S58" s="53">
        <v>137</v>
      </c>
      <c r="T58" s="16">
        <f t="shared" si="1"/>
        <v>25</v>
      </c>
      <c r="U58" s="53">
        <v>117</v>
      </c>
      <c r="V58" s="16">
        <f t="shared" si="2"/>
        <v>2925</v>
      </c>
      <c r="W58" s="53">
        <v>6</v>
      </c>
      <c r="X58" s="53" t="s">
        <v>46</v>
      </c>
      <c r="Y58" s="53" t="s">
        <v>55</v>
      </c>
      <c r="Z58" s="53" t="s">
        <v>86</v>
      </c>
      <c r="AA58" s="53" t="s">
        <v>47</v>
      </c>
      <c r="AB58" s="53" t="s">
        <v>158</v>
      </c>
    </row>
    <row r="59" spans="1:28" x14ac:dyDescent="0.15">
      <c r="A59" s="53" t="s">
        <v>56</v>
      </c>
      <c r="B59" s="53" t="s">
        <v>232</v>
      </c>
      <c r="C59" s="53">
        <v>2019</v>
      </c>
      <c r="D59" s="81" t="s">
        <v>233</v>
      </c>
      <c r="E59" s="53" t="s">
        <v>248</v>
      </c>
      <c r="F59" s="53" t="s">
        <v>250</v>
      </c>
      <c r="G59" s="53" t="s">
        <v>42</v>
      </c>
      <c r="H59" s="53" t="s">
        <v>160</v>
      </c>
      <c r="I59" s="53" t="s">
        <v>159</v>
      </c>
      <c r="J59" s="53" t="s">
        <v>38</v>
      </c>
      <c r="K59" s="53" t="s">
        <v>161</v>
      </c>
      <c r="L59" s="53">
        <v>1</v>
      </c>
      <c r="N59" s="53">
        <v>1</v>
      </c>
      <c r="O59" s="53">
        <v>0.6</v>
      </c>
      <c r="P59" s="53">
        <v>0.6</v>
      </c>
      <c r="Q59" s="16">
        <f t="shared" si="0"/>
        <v>0.6</v>
      </c>
      <c r="R59" s="53">
        <v>17.2</v>
      </c>
      <c r="S59" s="53">
        <v>124</v>
      </c>
      <c r="T59" s="16">
        <f t="shared" si="1"/>
        <v>27</v>
      </c>
      <c r="U59" s="53">
        <v>117</v>
      </c>
      <c r="V59" s="16">
        <f t="shared" si="2"/>
        <v>3159</v>
      </c>
      <c r="W59" s="53">
        <v>6</v>
      </c>
      <c r="X59" s="53" t="s">
        <v>46</v>
      </c>
      <c r="Y59" s="53" t="s">
        <v>55</v>
      </c>
      <c r="Z59" s="53" t="s">
        <v>86</v>
      </c>
      <c r="AA59" s="53" t="s">
        <v>47</v>
      </c>
      <c r="AB59" s="53" t="s">
        <v>158</v>
      </c>
    </row>
    <row r="60" spans="1:28" x14ac:dyDescent="0.15">
      <c r="A60" s="53" t="s">
        <v>56</v>
      </c>
      <c r="B60" s="53" t="s">
        <v>232</v>
      </c>
      <c r="C60" s="53">
        <v>2019</v>
      </c>
      <c r="D60" s="81" t="s">
        <v>233</v>
      </c>
      <c r="E60" s="53" t="s">
        <v>248</v>
      </c>
      <c r="F60" s="53" t="s">
        <v>250</v>
      </c>
      <c r="G60" s="53" t="s">
        <v>42</v>
      </c>
      <c r="H60" s="53" t="s">
        <v>160</v>
      </c>
      <c r="I60" s="53" t="s">
        <v>159</v>
      </c>
      <c r="J60" s="53" t="s">
        <v>38</v>
      </c>
      <c r="K60" s="53" t="s">
        <v>161</v>
      </c>
      <c r="L60" s="53">
        <v>2</v>
      </c>
      <c r="N60" s="53">
        <v>1</v>
      </c>
      <c r="O60" s="53">
        <v>0.65</v>
      </c>
      <c r="P60" s="53">
        <v>0.75</v>
      </c>
      <c r="Q60" s="16">
        <f t="shared" si="0"/>
        <v>0.7</v>
      </c>
      <c r="R60" s="53">
        <v>16.8</v>
      </c>
      <c r="S60" s="53">
        <v>133</v>
      </c>
      <c r="T60" s="16">
        <f t="shared" si="1"/>
        <v>25</v>
      </c>
      <c r="U60" s="53">
        <v>117</v>
      </c>
      <c r="V60" s="16">
        <f t="shared" si="2"/>
        <v>2925</v>
      </c>
      <c r="W60" s="53">
        <v>6</v>
      </c>
      <c r="X60" s="53" t="s">
        <v>46</v>
      </c>
      <c r="Y60" s="53" t="s">
        <v>55</v>
      </c>
      <c r="Z60" s="53" t="s">
        <v>86</v>
      </c>
      <c r="AA60" s="53" t="s">
        <v>47</v>
      </c>
      <c r="AB60" s="53" t="s">
        <v>158</v>
      </c>
    </row>
    <row r="61" spans="1:28" x14ac:dyDescent="0.15">
      <c r="A61" s="53" t="s">
        <v>56</v>
      </c>
      <c r="B61" s="53" t="s">
        <v>232</v>
      </c>
      <c r="C61" s="53">
        <v>2019</v>
      </c>
      <c r="D61" s="81" t="s">
        <v>233</v>
      </c>
      <c r="E61" s="53" t="s">
        <v>248</v>
      </c>
      <c r="F61" s="53" t="s">
        <v>250</v>
      </c>
      <c r="G61" s="53" t="s">
        <v>42</v>
      </c>
      <c r="H61" s="53" t="s">
        <v>160</v>
      </c>
      <c r="I61" s="53" t="s">
        <v>159</v>
      </c>
      <c r="J61" s="53" t="s">
        <v>38</v>
      </c>
      <c r="K61" s="53" t="s">
        <v>161</v>
      </c>
      <c r="L61" s="53">
        <v>3</v>
      </c>
      <c r="N61" s="53">
        <v>1</v>
      </c>
      <c r="O61" s="53">
        <v>0.8</v>
      </c>
      <c r="P61" s="53">
        <v>0.8</v>
      </c>
      <c r="Q61" s="16">
        <f t="shared" si="0"/>
        <v>0.8</v>
      </c>
      <c r="R61" s="53">
        <v>15.7</v>
      </c>
      <c r="S61" s="53">
        <v>125</v>
      </c>
      <c r="T61" s="16">
        <f t="shared" si="1"/>
        <v>27</v>
      </c>
      <c r="U61" s="53">
        <v>117</v>
      </c>
      <c r="V61" s="16">
        <f t="shared" si="2"/>
        <v>3159</v>
      </c>
      <c r="W61" s="53">
        <v>6</v>
      </c>
      <c r="X61" s="53" t="s">
        <v>46</v>
      </c>
      <c r="Y61" s="53" t="s">
        <v>55</v>
      </c>
      <c r="Z61" s="53" t="s">
        <v>86</v>
      </c>
      <c r="AA61" s="53" t="s">
        <v>47</v>
      </c>
      <c r="AB61" s="53" t="s">
        <v>158</v>
      </c>
    </row>
    <row r="62" spans="1:28" x14ac:dyDescent="0.15">
      <c r="A62" s="53" t="s">
        <v>56</v>
      </c>
      <c r="B62" s="53" t="s">
        <v>232</v>
      </c>
      <c r="C62" s="53">
        <v>2019</v>
      </c>
      <c r="D62" s="81" t="s">
        <v>233</v>
      </c>
      <c r="E62" s="53" t="s">
        <v>257</v>
      </c>
      <c r="F62" s="53" t="s">
        <v>250</v>
      </c>
      <c r="G62" s="53" t="s">
        <v>42</v>
      </c>
      <c r="H62" s="53" t="s">
        <v>160</v>
      </c>
      <c r="I62" s="53" t="s">
        <v>159</v>
      </c>
      <c r="J62" s="53" t="s">
        <v>38</v>
      </c>
      <c r="K62" s="53" t="s">
        <v>161</v>
      </c>
      <c r="L62" s="53">
        <v>1</v>
      </c>
      <c r="N62" s="53">
        <v>5</v>
      </c>
      <c r="O62" s="53">
        <v>0.8</v>
      </c>
      <c r="P62" s="53">
        <v>0.8</v>
      </c>
      <c r="Q62" s="16">
        <f t="shared" si="0"/>
        <v>0.8</v>
      </c>
      <c r="R62" s="53">
        <v>12.5</v>
      </c>
      <c r="S62" s="53">
        <v>101</v>
      </c>
      <c r="T62" s="16">
        <f t="shared" si="1"/>
        <v>33</v>
      </c>
      <c r="U62" s="53">
        <v>430</v>
      </c>
      <c r="V62" s="16">
        <f t="shared" si="2"/>
        <v>2838</v>
      </c>
      <c r="W62" s="53">
        <v>10</v>
      </c>
      <c r="X62" s="53" t="s">
        <v>46</v>
      </c>
      <c r="Y62" s="53" t="s">
        <v>55</v>
      </c>
      <c r="Z62" s="53" t="s">
        <v>78</v>
      </c>
      <c r="AA62" s="53" t="s">
        <v>97</v>
      </c>
      <c r="AB62" s="53" t="s">
        <v>158</v>
      </c>
    </row>
    <row r="63" spans="1:28" x14ac:dyDescent="0.15">
      <c r="A63" s="53" t="s">
        <v>56</v>
      </c>
      <c r="B63" s="53" t="s">
        <v>232</v>
      </c>
      <c r="C63" s="53">
        <v>2019</v>
      </c>
      <c r="D63" s="81" t="s">
        <v>233</v>
      </c>
      <c r="E63" s="53" t="s">
        <v>257</v>
      </c>
      <c r="F63" s="53" t="s">
        <v>250</v>
      </c>
      <c r="G63" s="53" t="s">
        <v>42</v>
      </c>
      <c r="H63" s="53" t="s">
        <v>160</v>
      </c>
      <c r="I63" s="53" t="s">
        <v>159</v>
      </c>
      <c r="J63" s="53" t="s">
        <v>38</v>
      </c>
      <c r="K63" s="53" t="s">
        <v>161</v>
      </c>
      <c r="L63" s="53">
        <v>2</v>
      </c>
      <c r="N63" s="53">
        <v>5</v>
      </c>
      <c r="O63" s="53">
        <v>0.65</v>
      </c>
      <c r="P63" s="53">
        <v>0.6</v>
      </c>
      <c r="Q63" s="16">
        <f t="shared" si="0"/>
        <v>0.625</v>
      </c>
      <c r="R63" s="53">
        <v>14.5</v>
      </c>
      <c r="S63" s="53">
        <v>101</v>
      </c>
      <c r="T63" s="16">
        <f t="shared" si="1"/>
        <v>33</v>
      </c>
      <c r="U63" s="53">
        <v>430</v>
      </c>
      <c r="V63" s="16">
        <f t="shared" si="2"/>
        <v>2838</v>
      </c>
      <c r="W63" s="53">
        <v>10</v>
      </c>
      <c r="X63" s="53" t="s">
        <v>46</v>
      </c>
      <c r="Y63" s="53" t="s">
        <v>55</v>
      </c>
      <c r="Z63" s="53" t="s">
        <v>78</v>
      </c>
      <c r="AA63" s="53" t="s">
        <v>97</v>
      </c>
      <c r="AB63" s="53" t="s">
        <v>158</v>
      </c>
    </row>
    <row r="64" spans="1:28" x14ac:dyDescent="0.15">
      <c r="A64" s="53" t="s">
        <v>56</v>
      </c>
      <c r="B64" s="53" t="s">
        <v>232</v>
      </c>
      <c r="C64" s="53">
        <v>2019</v>
      </c>
      <c r="D64" s="81" t="s">
        <v>233</v>
      </c>
      <c r="E64" s="53" t="s">
        <v>257</v>
      </c>
      <c r="F64" s="53" t="s">
        <v>250</v>
      </c>
      <c r="G64" s="53" t="s">
        <v>42</v>
      </c>
      <c r="H64" s="53" t="s">
        <v>160</v>
      </c>
      <c r="I64" s="53" t="s">
        <v>159</v>
      </c>
      <c r="J64" s="53" t="s">
        <v>38</v>
      </c>
      <c r="K64" s="53" t="s">
        <v>161</v>
      </c>
      <c r="L64" s="53">
        <v>3</v>
      </c>
      <c r="N64" s="53">
        <v>5</v>
      </c>
      <c r="O64" s="53">
        <v>0.7</v>
      </c>
      <c r="P64" s="53">
        <v>0.7</v>
      </c>
      <c r="Q64" s="16">
        <f t="shared" si="0"/>
        <v>0.7</v>
      </c>
      <c r="R64" s="53">
        <v>15</v>
      </c>
      <c r="S64" s="53">
        <v>96</v>
      </c>
      <c r="T64" s="16">
        <f t="shared" si="1"/>
        <v>36</v>
      </c>
      <c r="U64" s="53">
        <v>430</v>
      </c>
      <c r="V64" s="16">
        <f t="shared" si="2"/>
        <v>3096</v>
      </c>
      <c r="W64" s="53">
        <v>10</v>
      </c>
      <c r="X64" s="53" t="s">
        <v>46</v>
      </c>
      <c r="Y64" s="53" t="s">
        <v>55</v>
      </c>
      <c r="Z64" s="53" t="s">
        <v>78</v>
      </c>
      <c r="AA64" s="53" t="s">
        <v>97</v>
      </c>
      <c r="AB64" s="53" t="s">
        <v>158</v>
      </c>
    </row>
    <row r="65" spans="1:28" x14ac:dyDescent="0.15">
      <c r="A65" s="53" t="s">
        <v>56</v>
      </c>
      <c r="B65" s="53" t="s">
        <v>232</v>
      </c>
      <c r="C65" s="53">
        <v>2019</v>
      </c>
      <c r="D65" s="81" t="s">
        <v>233</v>
      </c>
      <c r="E65" s="53" t="s">
        <v>257</v>
      </c>
      <c r="F65" s="53" t="s">
        <v>250</v>
      </c>
      <c r="G65" s="53" t="s">
        <v>42</v>
      </c>
      <c r="H65" s="53" t="s">
        <v>165</v>
      </c>
      <c r="I65" s="53" t="s">
        <v>159</v>
      </c>
      <c r="J65" s="53" t="s">
        <v>38</v>
      </c>
      <c r="K65" s="53" t="s">
        <v>161</v>
      </c>
      <c r="L65" s="53">
        <v>1</v>
      </c>
      <c r="N65" s="53">
        <v>5</v>
      </c>
      <c r="O65" s="53">
        <v>0.85</v>
      </c>
      <c r="P65" s="53">
        <v>0.75</v>
      </c>
      <c r="Q65" s="16">
        <f t="shared" si="0"/>
        <v>0.8</v>
      </c>
      <c r="R65" s="53">
        <v>14.6</v>
      </c>
      <c r="S65" s="53">
        <v>121</v>
      </c>
      <c r="T65" s="16">
        <f t="shared" si="1"/>
        <v>27</v>
      </c>
      <c r="U65" s="53">
        <v>538</v>
      </c>
      <c r="V65" s="16">
        <f t="shared" si="2"/>
        <v>2905.2</v>
      </c>
      <c r="W65" s="53">
        <v>12</v>
      </c>
      <c r="X65" s="53" t="s">
        <v>46</v>
      </c>
      <c r="Y65" s="53" t="s">
        <v>55</v>
      </c>
      <c r="Z65" s="53" t="s">
        <v>78</v>
      </c>
      <c r="AA65" s="53" t="s">
        <v>97</v>
      </c>
      <c r="AB65" s="53" t="s">
        <v>158</v>
      </c>
    </row>
    <row r="66" spans="1:28" x14ac:dyDescent="0.15">
      <c r="A66" s="53" t="s">
        <v>56</v>
      </c>
      <c r="B66" s="53" t="s">
        <v>232</v>
      </c>
      <c r="C66" s="53">
        <v>2019</v>
      </c>
      <c r="D66" s="81" t="s">
        <v>233</v>
      </c>
      <c r="E66" s="53" t="s">
        <v>257</v>
      </c>
      <c r="F66" s="53" t="s">
        <v>250</v>
      </c>
      <c r="G66" s="53" t="s">
        <v>42</v>
      </c>
      <c r="H66" s="53" t="s">
        <v>165</v>
      </c>
      <c r="I66" s="53" t="s">
        <v>159</v>
      </c>
      <c r="J66" s="53" t="s">
        <v>38</v>
      </c>
      <c r="K66" s="53" t="s">
        <v>161</v>
      </c>
      <c r="L66" s="53">
        <v>2</v>
      </c>
      <c r="N66" s="53">
        <v>5</v>
      </c>
      <c r="O66" s="53">
        <v>0.55000000000000004</v>
      </c>
      <c r="P66" s="53">
        <v>0.55000000000000004</v>
      </c>
      <c r="Q66" s="16">
        <f t="shared" ref="Q66:Q92" si="3">IF(OR(O66="",P66=""),"",AVERAGE(O66,P66))</f>
        <v>0.55000000000000004</v>
      </c>
      <c r="R66" s="53">
        <v>17.600000000000001</v>
      </c>
      <c r="S66" s="53">
        <v>116</v>
      </c>
      <c r="T66" s="16">
        <f t="shared" ref="T66:T92" si="4">IF(H66="","",IF(OR(H66="GREEN",H66="GK"),IF(S66&gt;=$AX$2,VLOOKUP(S66,$AX$2:$AY$10,2,1),""),IF(S66&gt;=$AZ$2,VLOOKUP(S66,$AZ$2:$BA$10,2,1),"")))</f>
        <v>30</v>
      </c>
      <c r="U66" s="53">
        <v>538</v>
      </c>
      <c r="V66" s="16">
        <f t="shared" ref="V66:V92" si="5">IF(OR(N66="",U66="",T66=""),"",U66/N66*T66)</f>
        <v>3228</v>
      </c>
      <c r="W66" s="53">
        <v>12</v>
      </c>
      <c r="X66" s="53" t="s">
        <v>46</v>
      </c>
      <c r="Y66" s="53" t="s">
        <v>55</v>
      </c>
      <c r="Z66" s="53" t="s">
        <v>78</v>
      </c>
      <c r="AA66" s="53" t="s">
        <v>97</v>
      </c>
      <c r="AB66" s="53" t="s">
        <v>158</v>
      </c>
    </row>
    <row r="67" spans="1:28" x14ac:dyDescent="0.15">
      <c r="A67" s="53" t="s">
        <v>56</v>
      </c>
      <c r="B67" s="53" t="s">
        <v>232</v>
      </c>
      <c r="C67" s="53">
        <v>2019</v>
      </c>
      <c r="D67" s="81" t="s">
        <v>233</v>
      </c>
      <c r="E67" s="53" t="s">
        <v>257</v>
      </c>
      <c r="F67" s="53" t="s">
        <v>250</v>
      </c>
      <c r="G67" s="53" t="s">
        <v>42</v>
      </c>
      <c r="H67" s="53" t="s">
        <v>165</v>
      </c>
      <c r="I67" s="53" t="s">
        <v>159</v>
      </c>
      <c r="J67" s="53" t="s">
        <v>38</v>
      </c>
      <c r="K67" s="53" t="s">
        <v>161</v>
      </c>
      <c r="L67" s="53">
        <v>3</v>
      </c>
      <c r="N67" s="53">
        <v>5</v>
      </c>
      <c r="O67" s="53">
        <v>0.7</v>
      </c>
      <c r="P67" s="53">
        <v>0.65</v>
      </c>
      <c r="Q67" s="16">
        <f t="shared" si="3"/>
        <v>0.67500000000000004</v>
      </c>
      <c r="R67" s="53">
        <v>16.3</v>
      </c>
      <c r="S67" s="53">
        <v>122</v>
      </c>
      <c r="T67" s="16">
        <f t="shared" si="4"/>
        <v>27</v>
      </c>
      <c r="U67" s="53">
        <v>538</v>
      </c>
      <c r="V67" s="16">
        <f t="shared" si="5"/>
        <v>2905.2</v>
      </c>
      <c r="W67" s="53">
        <v>12</v>
      </c>
      <c r="X67" s="53" t="s">
        <v>46</v>
      </c>
      <c r="Y67" s="53" t="s">
        <v>55</v>
      </c>
      <c r="Z67" s="53" t="s">
        <v>78</v>
      </c>
      <c r="AA67" s="53" t="s">
        <v>97</v>
      </c>
      <c r="AB67" s="53" t="s">
        <v>158</v>
      </c>
    </row>
    <row r="68" spans="1:28" x14ac:dyDescent="0.15">
      <c r="D68" s="81"/>
    </row>
    <row r="69" spans="1:28" x14ac:dyDescent="0.15">
      <c r="D69" s="81"/>
    </row>
    <row r="70" spans="1:28" x14ac:dyDescent="0.15">
      <c r="D70" s="81"/>
    </row>
    <row r="71" spans="1:28" x14ac:dyDescent="0.15">
      <c r="D71" s="81"/>
    </row>
    <row r="72" spans="1:28" x14ac:dyDescent="0.15">
      <c r="D72" s="81"/>
    </row>
    <row r="73" spans="1:28" x14ac:dyDescent="0.15">
      <c r="D73" s="81"/>
    </row>
    <row r="74" spans="1:28" x14ac:dyDescent="0.15">
      <c r="D74" s="81"/>
    </row>
    <row r="75" spans="1:28" x14ac:dyDescent="0.15">
      <c r="D75" s="81"/>
    </row>
    <row r="76" spans="1:28" x14ac:dyDescent="0.15">
      <c r="D76" s="81"/>
    </row>
    <row r="77" spans="1:28" x14ac:dyDescent="0.15">
      <c r="D77" s="81"/>
    </row>
    <row r="78" spans="1:28" x14ac:dyDescent="0.15">
      <c r="D78" s="81"/>
    </row>
    <row r="79" spans="1:28" x14ac:dyDescent="0.15">
      <c r="D79" s="81"/>
    </row>
    <row r="80" spans="1:28"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88AF66A8-36FB-40EC-BFEF-860F106EECEB}">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23E2A8B5-34B3-456B-86DB-F2E6937B83D5}">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E40C3482-C190-4B9B-ABD6-7E7F8587B338}">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FE1E1B20-184F-44E7-85D7-43E52324C370}">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CED56A54-A997-4779-BDB9-58D624314810}">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6E582970-8CDC-4B04-97A9-6F8339CBA94F}"/>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1C9943F4-92A5-4796-90AB-61E27360316F}">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62E46A35-4F97-438E-98FD-9ABAE825A70F}">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80242F31-3D4E-419F-B064-4B6C73FFD2E5}">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3B66D3CC-D61E-4A09-8322-22F9BE30FD23}">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CDC4E8C0-4B78-48F5-8211-1D0953069225}">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3146EC74-6549-4389-88CC-67BC63F84DA7}">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DEBA09D6-EF85-4CA9-A798-56F51FD0F14D}">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AFE9F599-46E9-4E83-874A-0D4A40EF16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B29FA74C-FE7E-4641-8600-8DB3DE46DF4C}">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xr:uid="{F4690FE6-974D-4CBA-8DFF-9DA3062D6EBF}">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B4B47303-0C7C-4276-BF9E-DBBA07B12980}">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089F1398-DB8B-4AD1-89E9-B033E5549B41}">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7C318-BBE6-494F-8D82-C21B45E04BB1}">
  <dimension ref="A1:BA91"/>
  <sheetViews>
    <sheetView zoomScale="70" zoomScaleNormal="70" workbookViewId="0">
      <selection activeCell="AG55" sqref="AG55"/>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169</v>
      </c>
      <c r="C1" s="85" t="s">
        <v>170</v>
      </c>
      <c r="D1" s="86" t="s">
        <v>3</v>
      </c>
      <c r="E1" s="87" t="s">
        <v>4</v>
      </c>
      <c r="F1" s="87" t="s">
        <v>5</v>
      </c>
      <c r="G1" s="87" t="s">
        <v>6</v>
      </c>
      <c r="H1" s="87" t="s">
        <v>7</v>
      </c>
      <c r="I1" s="87" t="s">
        <v>8</v>
      </c>
      <c r="J1" s="87" t="s">
        <v>9</v>
      </c>
      <c r="K1" s="87" t="s">
        <v>10</v>
      </c>
      <c r="L1" s="86" t="s">
        <v>171</v>
      </c>
      <c r="M1" s="86" t="s">
        <v>172</v>
      </c>
      <c r="N1" s="86" t="s">
        <v>13</v>
      </c>
      <c r="O1" s="86" t="s">
        <v>173</v>
      </c>
      <c r="P1" s="86" t="s">
        <v>174</v>
      </c>
      <c r="Q1" s="88" t="s">
        <v>175</v>
      </c>
      <c r="R1" s="86" t="s">
        <v>176</v>
      </c>
      <c r="S1" s="86" t="s">
        <v>177</v>
      </c>
      <c r="T1" s="88" t="s">
        <v>19</v>
      </c>
      <c r="U1" s="89" t="s">
        <v>108</v>
      </c>
      <c r="V1" s="90" t="s">
        <v>20</v>
      </c>
      <c r="W1" s="86" t="s">
        <v>178</v>
      </c>
      <c r="X1" s="87" t="s">
        <v>22</v>
      </c>
      <c r="Y1" s="87" t="s">
        <v>23</v>
      </c>
      <c r="Z1" s="87" t="s">
        <v>24</v>
      </c>
      <c r="AA1" s="91" t="s">
        <v>25</v>
      </c>
      <c r="AB1" s="92" t="s">
        <v>179</v>
      </c>
      <c r="AE1" s="94" t="s">
        <v>0</v>
      </c>
      <c r="AF1" s="95"/>
      <c r="AG1" s="94" t="s">
        <v>4</v>
      </c>
      <c r="AH1" s="94" t="s">
        <v>5</v>
      </c>
      <c r="AI1" s="95"/>
      <c r="AJ1" s="94" t="s">
        <v>6</v>
      </c>
      <c r="AK1" s="95"/>
      <c r="AL1" s="96" t="s">
        <v>7</v>
      </c>
      <c r="AM1" s="95"/>
      <c r="AN1" s="96" t="s">
        <v>8</v>
      </c>
      <c r="AO1" s="95"/>
      <c r="AP1" s="96" t="s">
        <v>27</v>
      </c>
      <c r="AQ1" s="95"/>
      <c r="AR1" s="96" t="s">
        <v>10</v>
      </c>
      <c r="AS1" s="95"/>
      <c r="AT1" s="97" t="s">
        <v>180</v>
      </c>
      <c r="AU1" s="95"/>
      <c r="AV1" s="96" t="s">
        <v>29</v>
      </c>
      <c r="AX1" s="98" t="s">
        <v>259</v>
      </c>
      <c r="AY1" s="99" t="s">
        <v>182</v>
      </c>
      <c r="AZ1" s="99" t="s">
        <v>260</v>
      </c>
      <c r="BA1" s="100" t="s">
        <v>184</v>
      </c>
    </row>
    <row r="2" spans="1:53" x14ac:dyDescent="0.15">
      <c r="A2" s="93" t="s">
        <v>51</v>
      </c>
      <c r="B2" s="93" t="s">
        <v>157</v>
      </c>
      <c r="C2" s="93">
        <v>2019</v>
      </c>
      <c r="D2" s="101" t="s">
        <v>261</v>
      </c>
      <c r="E2" s="93" t="s">
        <v>262</v>
      </c>
      <c r="F2" s="93" t="s">
        <v>263</v>
      </c>
      <c r="G2" s="93" t="s">
        <v>42</v>
      </c>
      <c r="H2" s="93" t="s">
        <v>165</v>
      </c>
      <c r="I2" s="93" t="s">
        <v>159</v>
      </c>
      <c r="J2" s="93" t="s">
        <v>38</v>
      </c>
      <c r="L2" s="93">
        <v>1</v>
      </c>
      <c r="N2" s="93">
        <v>1</v>
      </c>
      <c r="O2" s="93">
        <v>1</v>
      </c>
      <c r="P2" s="93">
        <v>0.95</v>
      </c>
      <c r="Q2" s="102">
        <f t="shared" ref="Q2:Q65" si="0">IF(OR(O2="",P2=""),"",AVERAGE(O2,P2))</f>
        <v>0.97499999999999998</v>
      </c>
      <c r="R2" s="93">
        <v>14.4</v>
      </c>
      <c r="S2" s="93">
        <v>124</v>
      </c>
      <c r="T2" s="103">
        <f t="shared" ref="T2:T65" si="1">IF(H2="","",IF(OR(H2="GREEN",H2="GK"),IF(S2&gt;=$AX$2,VLOOKUP(S2,$AX$2:$AY$12,2,1),""),IF(S2&gt;=$AZ$2,VLOOKUP(S2,$AZ$2:$BA$12,2,1),"")))</f>
        <v>27</v>
      </c>
      <c r="U2" s="93">
        <v>98</v>
      </c>
      <c r="V2" s="104">
        <f t="shared" ref="V2:V65" si="2">IF(OR(N2="",U2="",T2=""),"",U2/N2*T2)</f>
        <v>2646</v>
      </c>
      <c r="W2" s="93">
        <v>12</v>
      </c>
      <c r="X2" s="93" t="s">
        <v>46</v>
      </c>
      <c r="Y2" s="93" t="s">
        <v>69</v>
      </c>
      <c r="Z2" s="93" t="s">
        <v>97</v>
      </c>
      <c r="AA2" s="93" t="s">
        <v>55</v>
      </c>
      <c r="AB2" s="53" t="s">
        <v>158</v>
      </c>
      <c r="AE2" s="105" t="s">
        <v>35</v>
      </c>
      <c r="AG2" s="106" t="s">
        <v>210</v>
      </c>
      <c r="AH2" s="106" t="s">
        <v>264</v>
      </c>
      <c r="AJ2" s="106" t="s">
        <v>36</v>
      </c>
      <c r="AL2" s="106" t="s">
        <v>187</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261</v>
      </c>
      <c r="E3" s="93" t="s">
        <v>262</v>
      </c>
      <c r="F3" s="93" t="s">
        <v>263</v>
      </c>
      <c r="G3" s="93" t="s">
        <v>42</v>
      </c>
      <c r="H3" s="93" t="s">
        <v>165</v>
      </c>
      <c r="I3" s="93" t="s">
        <v>159</v>
      </c>
      <c r="J3" s="93" t="s">
        <v>38</v>
      </c>
      <c r="L3" s="93">
        <v>2</v>
      </c>
      <c r="N3" s="93">
        <v>1</v>
      </c>
      <c r="O3" s="93">
        <v>1.1000000000000001</v>
      </c>
      <c r="P3" s="93">
        <v>1.25</v>
      </c>
      <c r="Q3" s="102">
        <f t="shared" si="0"/>
        <v>1.175</v>
      </c>
      <c r="R3" s="93">
        <v>13.7</v>
      </c>
      <c r="S3" s="93">
        <v>122</v>
      </c>
      <c r="T3" s="103">
        <f t="shared" si="1"/>
        <v>27</v>
      </c>
      <c r="U3" s="93">
        <v>98</v>
      </c>
      <c r="V3" s="104">
        <f t="shared" si="2"/>
        <v>2646</v>
      </c>
      <c r="W3" s="93">
        <v>12</v>
      </c>
      <c r="X3" s="93" t="s">
        <v>46</v>
      </c>
      <c r="Y3" s="93" t="s">
        <v>69</v>
      </c>
      <c r="Z3" s="93" t="s">
        <v>97</v>
      </c>
      <c r="AA3" s="93" t="s">
        <v>55</v>
      </c>
      <c r="AB3" s="53" t="s">
        <v>158</v>
      </c>
      <c r="AE3" s="110" t="s">
        <v>41</v>
      </c>
      <c r="AG3" s="106" t="s">
        <v>265</v>
      </c>
      <c r="AH3" s="106" t="s">
        <v>266</v>
      </c>
      <c r="AJ3" s="111" t="s">
        <v>42</v>
      </c>
      <c r="AL3" s="111" t="s">
        <v>189</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261</v>
      </c>
      <c r="E4" s="93" t="s">
        <v>262</v>
      </c>
      <c r="F4" s="93" t="s">
        <v>263</v>
      </c>
      <c r="G4" s="93" t="s">
        <v>42</v>
      </c>
      <c r="H4" s="93" t="s">
        <v>165</v>
      </c>
      <c r="I4" s="93" t="s">
        <v>159</v>
      </c>
      <c r="J4" s="93" t="s">
        <v>38</v>
      </c>
      <c r="L4" s="93">
        <v>3</v>
      </c>
      <c r="N4" s="93">
        <v>1</v>
      </c>
      <c r="O4" s="93">
        <v>1.1499999999999999</v>
      </c>
      <c r="P4" s="93">
        <v>1</v>
      </c>
      <c r="Q4" s="102">
        <f t="shared" si="0"/>
        <v>1.075</v>
      </c>
      <c r="R4" s="93">
        <v>13.9</v>
      </c>
      <c r="S4" s="93">
        <v>122</v>
      </c>
      <c r="T4" s="103">
        <f t="shared" si="1"/>
        <v>27</v>
      </c>
      <c r="U4" s="93">
        <v>98</v>
      </c>
      <c r="V4" s="104">
        <f t="shared" si="2"/>
        <v>2646</v>
      </c>
      <c r="W4" s="93">
        <v>12</v>
      </c>
      <c r="X4" s="93" t="s">
        <v>46</v>
      </c>
      <c r="Y4" s="93" t="s">
        <v>69</v>
      </c>
      <c r="Z4" s="93" t="s">
        <v>97</v>
      </c>
      <c r="AA4" s="93" t="s">
        <v>55</v>
      </c>
      <c r="AB4" s="53" t="s">
        <v>158</v>
      </c>
      <c r="AE4" s="110" t="s">
        <v>34</v>
      </c>
      <c r="AG4" s="106" t="s">
        <v>267</v>
      </c>
      <c r="AH4" s="106" t="s">
        <v>268</v>
      </c>
      <c r="AJ4" s="115" t="s">
        <v>48</v>
      </c>
      <c r="AL4" s="115" t="s">
        <v>191</v>
      </c>
      <c r="AN4" s="116" t="s">
        <v>192</v>
      </c>
      <c r="AP4" s="111" t="s">
        <v>193</v>
      </c>
      <c r="AR4" s="111" t="s">
        <v>194</v>
      </c>
      <c r="AT4" s="116"/>
      <c r="AV4" s="111" t="s">
        <v>50</v>
      </c>
      <c r="AX4" s="112">
        <v>75</v>
      </c>
      <c r="AY4" s="113">
        <v>42</v>
      </c>
      <c r="AZ4" s="113">
        <v>76</v>
      </c>
      <c r="BA4" s="114">
        <v>39</v>
      </c>
    </row>
    <row r="5" spans="1:53" x14ac:dyDescent="0.15">
      <c r="A5" s="93" t="s">
        <v>51</v>
      </c>
      <c r="B5" s="93" t="s">
        <v>157</v>
      </c>
      <c r="C5" s="93">
        <v>2019</v>
      </c>
      <c r="D5" s="101" t="s">
        <v>261</v>
      </c>
      <c r="E5" s="93" t="s">
        <v>262</v>
      </c>
      <c r="F5" s="93" t="s">
        <v>263</v>
      </c>
      <c r="G5" s="93" t="s">
        <v>42</v>
      </c>
      <c r="H5" s="93" t="s">
        <v>160</v>
      </c>
      <c r="I5" s="93" t="s">
        <v>159</v>
      </c>
      <c r="J5" s="93" t="s">
        <v>38</v>
      </c>
      <c r="L5" s="93">
        <v>1</v>
      </c>
      <c r="N5" s="93">
        <v>1</v>
      </c>
      <c r="O5" s="93">
        <v>0.7</v>
      </c>
      <c r="P5" s="93">
        <v>0.7</v>
      </c>
      <c r="Q5" s="102">
        <f t="shared" si="0"/>
        <v>0.7</v>
      </c>
      <c r="R5" s="93">
        <v>14.8</v>
      </c>
      <c r="S5" s="93">
        <v>138</v>
      </c>
      <c r="T5" s="103">
        <f t="shared" si="1"/>
        <v>22</v>
      </c>
      <c r="U5" s="93">
        <v>138</v>
      </c>
      <c r="V5" s="104">
        <f t="shared" si="2"/>
        <v>3036</v>
      </c>
      <c r="W5" s="93">
        <v>12</v>
      </c>
      <c r="X5" s="93" t="s">
        <v>46</v>
      </c>
      <c r="Y5" s="93" t="s">
        <v>69</v>
      </c>
      <c r="Z5" s="93" t="s">
        <v>97</v>
      </c>
      <c r="AA5" s="93" t="s">
        <v>55</v>
      </c>
      <c r="AB5" s="53" t="s">
        <v>158</v>
      </c>
      <c r="AE5" s="110" t="s">
        <v>51</v>
      </c>
      <c r="AG5" s="106" t="s">
        <v>269</v>
      </c>
      <c r="AH5" s="106" t="s">
        <v>263</v>
      </c>
      <c r="AJ5" s="116"/>
      <c r="AL5" s="117" t="s">
        <v>165</v>
      </c>
      <c r="AN5" s="117" t="s">
        <v>159</v>
      </c>
      <c r="AP5" s="111" t="s">
        <v>196</v>
      </c>
      <c r="AR5" s="111" t="s">
        <v>54</v>
      </c>
      <c r="AV5" s="111" t="s">
        <v>55</v>
      </c>
      <c r="AX5" s="112">
        <v>84</v>
      </c>
      <c r="AY5" s="113">
        <v>39</v>
      </c>
      <c r="AZ5" s="113">
        <v>84</v>
      </c>
      <c r="BA5" s="114">
        <v>36</v>
      </c>
    </row>
    <row r="6" spans="1:53" x14ac:dyDescent="0.15">
      <c r="A6" s="93" t="s">
        <v>51</v>
      </c>
      <c r="B6" s="93" t="s">
        <v>157</v>
      </c>
      <c r="C6" s="93">
        <v>2019</v>
      </c>
      <c r="D6" s="101" t="s">
        <v>261</v>
      </c>
      <c r="E6" s="93" t="s">
        <v>262</v>
      </c>
      <c r="F6" s="93" t="s">
        <v>263</v>
      </c>
      <c r="G6" s="93" t="s">
        <v>42</v>
      </c>
      <c r="H6" s="93" t="s">
        <v>160</v>
      </c>
      <c r="I6" s="93" t="s">
        <v>159</v>
      </c>
      <c r="J6" s="93" t="s">
        <v>38</v>
      </c>
      <c r="L6" s="93">
        <v>2</v>
      </c>
      <c r="N6" s="93">
        <v>1</v>
      </c>
      <c r="O6" s="93">
        <v>0.65</v>
      </c>
      <c r="P6" s="93">
        <v>0.75</v>
      </c>
      <c r="Q6" s="102">
        <f t="shared" si="0"/>
        <v>0.7</v>
      </c>
      <c r="R6" s="93">
        <v>15.1</v>
      </c>
      <c r="S6" s="93">
        <v>136</v>
      </c>
      <c r="T6" s="103">
        <f t="shared" si="1"/>
        <v>25</v>
      </c>
      <c r="U6" s="93">
        <v>138</v>
      </c>
      <c r="V6" s="104">
        <f t="shared" si="2"/>
        <v>3450</v>
      </c>
      <c r="W6" s="93">
        <v>12</v>
      </c>
      <c r="X6" s="93" t="s">
        <v>46</v>
      </c>
      <c r="Y6" s="93" t="s">
        <v>69</v>
      </c>
      <c r="Z6" s="93" t="s">
        <v>97</v>
      </c>
      <c r="AA6" s="93" t="s">
        <v>55</v>
      </c>
      <c r="AB6" s="53" t="s">
        <v>158</v>
      </c>
      <c r="AE6" s="110" t="s">
        <v>56</v>
      </c>
      <c r="AG6" s="106" t="s">
        <v>270</v>
      </c>
      <c r="AH6" s="106" t="s">
        <v>271</v>
      </c>
      <c r="AL6" s="117" t="s">
        <v>198</v>
      </c>
      <c r="AN6" s="117" t="s">
        <v>166</v>
      </c>
      <c r="AP6" s="111" t="s">
        <v>53</v>
      </c>
      <c r="AR6" s="111" t="s">
        <v>59</v>
      </c>
      <c r="AV6" s="111" t="s">
        <v>60</v>
      </c>
      <c r="AX6" s="112">
        <v>97</v>
      </c>
      <c r="AY6" s="113">
        <v>36</v>
      </c>
      <c r="AZ6" s="113">
        <v>99</v>
      </c>
      <c r="BA6" s="114">
        <v>33</v>
      </c>
    </row>
    <row r="7" spans="1:53" x14ac:dyDescent="0.15">
      <c r="A7" s="93" t="s">
        <v>51</v>
      </c>
      <c r="B7" s="93" t="s">
        <v>157</v>
      </c>
      <c r="C7" s="93">
        <v>2019</v>
      </c>
      <c r="D7" s="101" t="s">
        <v>261</v>
      </c>
      <c r="E7" s="93" t="s">
        <v>262</v>
      </c>
      <c r="F7" s="93" t="s">
        <v>263</v>
      </c>
      <c r="G7" s="93" t="s">
        <v>42</v>
      </c>
      <c r="H7" s="93" t="s">
        <v>160</v>
      </c>
      <c r="I7" s="93" t="s">
        <v>159</v>
      </c>
      <c r="J7" s="93" t="s">
        <v>38</v>
      </c>
      <c r="L7" s="93">
        <v>3</v>
      </c>
      <c r="N7" s="93">
        <v>1</v>
      </c>
      <c r="O7" s="93">
        <v>0.75</v>
      </c>
      <c r="P7" s="93">
        <v>0.8</v>
      </c>
      <c r="Q7" s="102">
        <f t="shared" si="0"/>
        <v>0.77500000000000002</v>
      </c>
      <c r="R7" s="93">
        <v>13.8</v>
      </c>
      <c r="S7" s="93">
        <v>134</v>
      </c>
      <c r="T7" s="103">
        <f t="shared" si="1"/>
        <v>25</v>
      </c>
      <c r="U7" s="93">
        <v>138</v>
      </c>
      <c r="V7" s="104">
        <f t="shared" si="2"/>
        <v>3450</v>
      </c>
      <c r="W7" s="93">
        <v>12</v>
      </c>
      <c r="X7" s="93" t="s">
        <v>46</v>
      </c>
      <c r="Y7" s="93" t="s">
        <v>69</v>
      </c>
      <c r="Z7" s="93" t="s">
        <v>97</v>
      </c>
      <c r="AA7" s="93" t="s">
        <v>55</v>
      </c>
      <c r="AB7" s="53" t="s">
        <v>158</v>
      </c>
      <c r="AE7" s="110" t="s">
        <v>61</v>
      </c>
      <c r="AG7" s="106" t="s">
        <v>272</v>
      </c>
      <c r="AH7" s="106" t="s">
        <v>264</v>
      </c>
      <c r="AL7" s="93" t="s">
        <v>164</v>
      </c>
      <c r="AP7" s="111" t="s">
        <v>58</v>
      </c>
      <c r="AR7" s="111" t="s">
        <v>200</v>
      </c>
      <c r="AV7" s="111" t="s">
        <v>64</v>
      </c>
      <c r="AX7" s="112">
        <v>109</v>
      </c>
      <c r="AY7" s="113">
        <v>33</v>
      </c>
      <c r="AZ7" s="113">
        <v>113</v>
      </c>
      <c r="BA7" s="114">
        <v>30</v>
      </c>
    </row>
    <row r="8" spans="1:53" x14ac:dyDescent="0.15">
      <c r="A8" s="93" t="s">
        <v>51</v>
      </c>
      <c r="B8" s="93" t="s">
        <v>157</v>
      </c>
      <c r="C8" s="93">
        <v>2019</v>
      </c>
      <c r="D8" s="101" t="s">
        <v>261</v>
      </c>
      <c r="E8" s="93" t="s">
        <v>265</v>
      </c>
      <c r="F8" s="93" t="s">
        <v>266</v>
      </c>
      <c r="G8" s="93" t="s">
        <v>36</v>
      </c>
      <c r="H8" s="93" t="s">
        <v>165</v>
      </c>
      <c r="I8" s="93" t="s">
        <v>159</v>
      </c>
      <c r="J8" s="93" t="s">
        <v>38</v>
      </c>
      <c r="L8" s="93">
        <v>1</v>
      </c>
      <c r="N8" s="93">
        <v>1</v>
      </c>
      <c r="O8" s="93">
        <v>1.1000000000000001</v>
      </c>
      <c r="P8" s="93">
        <v>1.05</v>
      </c>
      <c r="Q8" s="102">
        <f t="shared" si="0"/>
        <v>1.0750000000000002</v>
      </c>
      <c r="R8" s="93">
        <v>15.5</v>
      </c>
      <c r="S8" s="93">
        <v>130</v>
      </c>
      <c r="T8" s="103">
        <f t="shared" si="1"/>
        <v>25</v>
      </c>
      <c r="U8" s="93">
        <v>138</v>
      </c>
      <c r="V8" s="104">
        <f t="shared" si="2"/>
        <v>3450</v>
      </c>
      <c r="W8" s="93">
        <v>11</v>
      </c>
      <c r="X8" s="93" t="s">
        <v>46</v>
      </c>
      <c r="Y8" s="93" t="s">
        <v>47</v>
      </c>
      <c r="Z8" s="93" t="s">
        <v>55</v>
      </c>
      <c r="AA8" s="93" t="s">
        <v>69</v>
      </c>
      <c r="AB8" s="53" t="s">
        <v>158</v>
      </c>
      <c r="AE8" s="110" t="s">
        <v>59</v>
      </c>
      <c r="AG8" s="106" t="s">
        <v>273</v>
      </c>
      <c r="AH8" s="106" t="s">
        <v>274</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261</v>
      </c>
      <c r="E9" s="93" t="s">
        <v>265</v>
      </c>
      <c r="F9" s="93" t="s">
        <v>266</v>
      </c>
      <c r="G9" s="93" t="s">
        <v>36</v>
      </c>
      <c r="H9" s="93" t="s">
        <v>165</v>
      </c>
      <c r="I9" s="93" t="s">
        <v>159</v>
      </c>
      <c r="J9" s="93" t="s">
        <v>38</v>
      </c>
      <c r="L9" s="93">
        <v>2</v>
      </c>
      <c r="N9" s="93">
        <v>1</v>
      </c>
      <c r="O9" s="93">
        <v>0.95</v>
      </c>
      <c r="P9" s="93">
        <v>1</v>
      </c>
      <c r="Q9" s="102">
        <f t="shared" si="0"/>
        <v>0.97499999999999998</v>
      </c>
      <c r="R9" s="93">
        <v>15.8</v>
      </c>
      <c r="S9" s="93">
        <v>138</v>
      </c>
      <c r="T9" s="103">
        <f t="shared" si="1"/>
        <v>22</v>
      </c>
      <c r="U9" s="93">
        <v>138</v>
      </c>
      <c r="V9" s="104">
        <f t="shared" si="2"/>
        <v>3036</v>
      </c>
      <c r="W9" s="93">
        <v>11</v>
      </c>
      <c r="X9" s="93" t="s">
        <v>46</v>
      </c>
      <c r="Y9" s="93" t="s">
        <v>47</v>
      </c>
      <c r="Z9" s="93" t="s">
        <v>55</v>
      </c>
      <c r="AA9" s="93" t="s">
        <v>69</v>
      </c>
      <c r="AB9" s="53" t="s">
        <v>158</v>
      </c>
      <c r="AE9" s="110" t="s">
        <v>203</v>
      </c>
      <c r="AG9" s="106" t="s">
        <v>275</v>
      </c>
      <c r="AH9" s="106" t="s">
        <v>263</v>
      </c>
      <c r="AL9" s="117"/>
      <c r="AP9" s="111" t="s">
        <v>95</v>
      </c>
      <c r="AR9" s="111" t="s">
        <v>206</v>
      </c>
      <c r="AV9" s="111" t="s">
        <v>102</v>
      </c>
      <c r="AX9" s="112">
        <v>128</v>
      </c>
      <c r="AY9" s="113">
        <v>27</v>
      </c>
      <c r="AZ9" s="113">
        <v>129</v>
      </c>
      <c r="BA9" s="114">
        <v>25</v>
      </c>
    </row>
    <row r="10" spans="1:53" x14ac:dyDescent="0.15">
      <c r="A10" s="93" t="s">
        <v>51</v>
      </c>
      <c r="B10" s="93" t="s">
        <v>157</v>
      </c>
      <c r="C10" s="93">
        <v>2019</v>
      </c>
      <c r="D10" s="101" t="s">
        <v>261</v>
      </c>
      <c r="E10" s="93" t="s">
        <v>265</v>
      </c>
      <c r="F10" s="93" t="s">
        <v>266</v>
      </c>
      <c r="G10" s="93" t="s">
        <v>36</v>
      </c>
      <c r="H10" s="93" t="s">
        <v>165</v>
      </c>
      <c r="I10" s="93" t="s">
        <v>159</v>
      </c>
      <c r="J10" s="93" t="s">
        <v>38</v>
      </c>
      <c r="L10" s="93">
        <v>3</v>
      </c>
      <c r="N10" s="93">
        <v>1</v>
      </c>
      <c r="O10" s="93">
        <v>1.1499999999999999</v>
      </c>
      <c r="P10" s="93">
        <v>1.25</v>
      </c>
      <c r="Q10" s="102">
        <f t="shared" si="0"/>
        <v>1.2</v>
      </c>
      <c r="R10" s="93">
        <v>15.3</v>
      </c>
      <c r="S10" s="93">
        <v>128</v>
      </c>
      <c r="T10" s="103">
        <f t="shared" si="1"/>
        <v>27</v>
      </c>
      <c r="U10" s="93">
        <v>138</v>
      </c>
      <c r="V10" s="104">
        <f t="shared" si="2"/>
        <v>3726</v>
      </c>
      <c r="W10" s="93">
        <v>11</v>
      </c>
      <c r="X10" s="93" t="s">
        <v>46</v>
      </c>
      <c r="Y10" s="93" t="s">
        <v>47</v>
      </c>
      <c r="Z10" s="93" t="s">
        <v>55</v>
      </c>
      <c r="AA10" s="93" t="s">
        <v>69</v>
      </c>
      <c r="AB10" s="53" t="s">
        <v>158</v>
      </c>
      <c r="AE10" s="110" t="s">
        <v>207</v>
      </c>
      <c r="AG10" s="106" t="s">
        <v>262</v>
      </c>
      <c r="AH10" s="111" t="s">
        <v>263</v>
      </c>
      <c r="AP10" s="111" t="s">
        <v>100</v>
      </c>
      <c r="AR10" s="111" t="s">
        <v>209</v>
      </c>
      <c r="AV10" s="111" t="s">
        <v>106</v>
      </c>
      <c r="AX10" s="112">
        <v>138</v>
      </c>
      <c r="AY10" s="113">
        <v>25</v>
      </c>
      <c r="AZ10" s="113">
        <v>138</v>
      </c>
      <c r="BA10" s="114">
        <v>22</v>
      </c>
    </row>
    <row r="11" spans="1:53" x14ac:dyDescent="0.15">
      <c r="A11" s="93" t="s">
        <v>51</v>
      </c>
      <c r="B11" s="93" t="s">
        <v>157</v>
      </c>
      <c r="C11" s="93">
        <v>2019</v>
      </c>
      <c r="D11" s="101" t="s">
        <v>261</v>
      </c>
      <c r="E11" s="93" t="s">
        <v>265</v>
      </c>
      <c r="F11" s="93" t="s">
        <v>266</v>
      </c>
      <c r="G11" s="93" t="s">
        <v>36</v>
      </c>
      <c r="H11" s="93" t="s">
        <v>164</v>
      </c>
      <c r="I11" s="93" t="s">
        <v>159</v>
      </c>
      <c r="J11" s="93" t="s">
        <v>38</v>
      </c>
      <c r="L11" s="93">
        <v>1</v>
      </c>
      <c r="N11" s="93">
        <v>5</v>
      </c>
      <c r="O11" s="93">
        <v>0.25</v>
      </c>
      <c r="P11" s="93">
        <v>0.25</v>
      </c>
      <c r="Q11" s="102">
        <f t="shared" si="0"/>
        <v>0.25</v>
      </c>
      <c r="R11" s="93">
        <v>16.399999999999999</v>
      </c>
      <c r="S11" s="93">
        <v>92</v>
      </c>
      <c r="T11" s="103">
        <f t="shared" si="1"/>
        <v>36</v>
      </c>
      <c r="U11" s="93">
        <v>398</v>
      </c>
      <c r="V11" s="104">
        <f t="shared" si="2"/>
        <v>2865.6</v>
      </c>
      <c r="W11" s="93">
        <v>11</v>
      </c>
      <c r="X11" s="93" t="s">
        <v>46</v>
      </c>
      <c r="Y11" s="93" t="s">
        <v>47</v>
      </c>
      <c r="Z11" s="93" t="s">
        <v>55</v>
      </c>
      <c r="AA11" s="93" t="s">
        <v>69</v>
      </c>
      <c r="AB11" s="53" t="s">
        <v>158</v>
      </c>
      <c r="AE11" s="110" t="s">
        <v>68</v>
      </c>
      <c r="AG11" s="106" t="s">
        <v>139</v>
      </c>
      <c r="AH11" s="111" t="s">
        <v>276</v>
      </c>
      <c r="AP11" s="111" t="s">
        <v>104</v>
      </c>
      <c r="AR11" s="111" t="s">
        <v>212</v>
      </c>
      <c r="AV11" s="111" t="s">
        <v>69</v>
      </c>
      <c r="AX11" s="112">
        <v>151</v>
      </c>
      <c r="AY11" s="113">
        <v>22</v>
      </c>
      <c r="AZ11" s="113">
        <v>152</v>
      </c>
      <c r="BA11" s="114">
        <v>18</v>
      </c>
    </row>
    <row r="12" spans="1:53" x14ac:dyDescent="0.15">
      <c r="A12" s="93" t="s">
        <v>51</v>
      </c>
      <c r="B12" s="93" t="s">
        <v>157</v>
      </c>
      <c r="C12" s="93">
        <v>2019</v>
      </c>
      <c r="D12" s="101" t="s">
        <v>261</v>
      </c>
      <c r="E12" s="93" t="s">
        <v>265</v>
      </c>
      <c r="F12" s="93" t="s">
        <v>266</v>
      </c>
      <c r="G12" s="93" t="s">
        <v>36</v>
      </c>
      <c r="H12" s="93" t="s">
        <v>164</v>
      </c>
      <c r="I12" s="93" t="s">
        <v>159</v>
      </c>
      <c r="J12" s="93" t="s">
        <v>38</v>
      </c>
      <c r="L12" s="93">
        <v>2</v>
      </c>
      <c r="N12" s="93">
        <v>5</v>
      </c>
      <c r="O12" s="93">
        <v>0.5</v>
      </c>
      <c r="P12" s="93">
        <v>0.6</v>
      </c>
      <c r="Q12" s="102">
        <f t="shared" si="0"/>
        <v>0.55000000000000004</v>
      </c>
      <c r="R12" s="93">
        <v>17.2</v>
      </c>
      <c r="S12" s="93">
        <v>88</v>
      </c>
      <c r="T12" s="103">
        <f t="shared" si="1"/>
        <v>36</v>
      </c>
      <c r="U12" s="93">
        <v>398</v>
      </c>
      <c r="V12" s="104">
        <f t="shared" si="2"/>
        <v>2865.6</v>
      </c>
      <c r="W12" s="93">
        <v>11</v>
      </c>
      <c r="X12" s="93" t="s">
        <v>46</v>
      </c>
      <c r="Y12" s="93" t="s">
        <v>47</v>
      </c>
      <c r="Z12" s="93" t="s">
        <v>55</v>
      </c>
      <c r="AA12" s="93" t="s">
        <v>69</v>
      </c>
      <c r="AB12" s="53" t="s">
        <v>158</v>
      </c>
      <c r="AE12" s="110" t="s">
        <v>213</v>
      </c>
      <c r="AG12" s="111"/>
      <c r="AH12" s="111"/>
      <c r="AP12" s="111" t="s">
        <v>67</v>
      </c>
      <c r="AR12" s="111" t="s">
        <v>214</v>
      </c>
      <c r="AV12" s="111" t="s">
        <v>72</v>
      </c>
      <c r="AX12" s="118">
        <v>180</v>
      </c>
      <c r="AY12" s="119">
        <v>18</v>
      </c>
      <c r="AZ12" s="119">
        <v>181</v>
      </c>
      <c r="BA12" s="120">
        <v>16</v>
      </c>
    </row>
    <row r="13" spans="1:53" x14ac:dyDescent="0.15">
      <c r="A13" s="93" t="s">
        <v>51</v>
      </c>
      <c r="B13" s="93" t="s">
        <v>157</v>
      </c>
      <c r="C13" s="93">
        <v>2019</v>
      </c>
      <c r="D13" s="101" t="s">
        <v>261</v>
      </c>
      <c r="E13" s="93" t="s">
        <v>265</v>
      </c>
      <c r="F13" s="93" t="s">
        <v>266</v>
      </c>
      <c r="G13" s="93" t="s">
        <v>36</v>
      </c>
      <c r="H13" s="93" t="s">
        <v>164</v>
      </c>
      <c r="I13" s="93" t="s">
        <v>159</v>
      </c>
      <c r="J13" s="93" t="s">
        <v>38</v>
      </c>
      <c r="L13" s="93">
        <v>3</v>
      </c>
      <c r="N13" s="93">
        <v>5</v>
      </c>
      <c r="O13" s="93">
        <v>0.65</v>
      </c>
      <c r="P13" s="93">
        <v>0.6</v>
      </c>
      <c r="Q13" s="102">
        <f t="shared" si="0"/>
        <v>0.625</v>
      </c>
      <c r="R13" s="93">
        <v>16.899999999999999</v>
      </c>
      <c r="S13" s="93">
        <v>78</v>
      </c>
      <c r="T13" s="103">
        <f t="shared" si="1"/>
        <v>39</v>
      </c>
      <c r="U13" s="93">
        <v>398</v>
      </c>
      <c r="V13" s="104">
        <f t="shared" si="2"/>
        <v>3104.3999999999996</v>
      </c>
      <c r="W13" s="93">
        <v>11</v>
      </c>
      <c r="X13" s="93" t="s">
        <v>46</v>
      </c>
      <c r="Y13" s="93" t="s">
        <v>47</v>
      </c>
      <c r="Z13" s="93" t="s">
        <v>55</v>
      </c>
      <c r="AA13" s="93" t="s">
        <v>69</v>
      </c>
      <c r="AB13" s="53" t="s">
        <v>158</v>
      </c>
      <c r="AE13" s="110" t="s">
        <v>215</v>
      </c>
      <c r="AG13" s="111"/>
      <c r="AH13" s="111"/>
      <c r="AP13" s="111" t="s">
        <v>71</v>
      </c>
      <c r="AR13" s="111" t="s">
        <v>207</v>
      </c>
      <c r="AV13" s="111" t="s">
        <v>75</v>
      </c>
    </row>
    <row r="14" spans="1:53" x14ac:dyDescent="0.15">
      <c r="A14" s="93" t="s">
        <v>51</v>
      </c>
      <c r="B14" s="93" t="s">
        <v>157</v>
      </c>
      <c r="C14" s="93">
        <v>2019</v>
      </c>
      <c r="D14" s="101" t="s">
        <v>261</v>
      </c>
      <c r="E14" s="93" t="s">
        <v>265</v>
      </c>
      <c r="F14" s="93" t="s">
        <v>266</v>
      </c>
      <c r="G14" s="93" t="s">
        <v>36</v>
      </c>
      <c r="H14" s="93" t="s">
        <v>160</v>
      </c>
      <c r="I14" s="93" t="s">
        <v>159</v>
      </c>
      <c r="J14" s="93" t="s">
        <v>38</v>
      </c>
      <c r="L14" s="93">
        <v>1</v>
      </c>
      <c r="N14" s="93">
        <v>1</v>
      </c>
      <c r="O14" s="93">
        <v>0.7</v>
      </c>
      <c r="P14" s="93">
        <v>0.65</v>
      </c>
      <c r="Q14" s="102">
        <f t="shared" si="0"/>
        <v>0.67500000000000004</v>
      </c>
      <c r="R14" s="93">
        <v>18.5</v>
      </c>
      <c r="S14" s="93">
        <v>136</v>
      </c>
      <c r="T14" s="103">
        <f t="shared" si="1"/>
        <v>25</v>
      </c>
      <c r="U14" s="93">
        <v>138</v>
      </c>
      <c r="V14" s="104">
        <f t="shared" si="2"/>
        <v>3450</v>
      </c>
      <c r="W14" s="93">
        <v>11</v>
      </c>
      <c r="X14" s="93" t="s">
        <v>46</v>
      </c>
      <c r="Y14" s="93" t="s">
        <v>47</v>
      </c>
      <c r="Z14" s="93" t="s">
        <v>55</v>
      </c>
      <c r="AA14" s="93" t="s">
        <v>69</v>
      </c>
      <c r="AB14" s="53" t="s">
        <v>158</v>
      </c>
      <c r="AE14" s="110" t="s">
        <v>96</v>
      </c>
      <c r="AG14" s="111"/>
      <c r="AH14" s="111"/>
      <c r="AP14" s="111" t="s">
        <v>74</v>
      </c>
      <c r="AR14" s="111" t="s">
        <v>216</v>
      </c>
      <c r="AV14" s="111" t="s">
        <v>78</v>
      </c>
    </row>
    <row r="15" spans="1:53" x14ac:dyDescent="0.15">
      <c r="A15" s="93" t="s">
        <v>51</v>
      </c>
      <c r="B15" s="93" t="s">
        <v>157</v>
      </c>
      <c r="C15" s="93">
        <v>2019</v>
      </c>
      <c r="D15" s="101" t="s">
        <v>261</v>
      </c>
      <c r="E15" s="93" t="s">
        <v>265</v>
      </c>
      <c r="F15" s="93" t="s">
        <v>266</v>
      </c>
      <c r="G15" s="93" t="s">
        <v>36</v>
      </c>
      <c r="H15" s="93" t="s">
        <v>160</v>
      </c>
      <c r="I15" s="93" t="s">
        <v>159</v>
      </c>
      <c r="J15" s="93" t="s">
        <v>38</v>
      </c>
      <c r="L15" s="93">
        <v>2</v>
      </c>
      <c r="N15" s="93">
        <v>1</v>
      </c>
      <c r="O15" s="93">
        <v>0.75</v>
      </c>
      <c r="P15" s="93">
        <v>0.75</v>
      </c>
      <c r="Q15" s="102">
        <f t="shared" si="0"/>
        <v>0.75</v>
      </c>
      <c r="R15" s="93">
        <v>18.2</v>
      </c>
      <c r="S15" s="93">
        <v>134</v>
      </c>
      <c r="T15" s="103">
        <f t="shared" si="1"/>
        <v>25</v>
      </c>
      <c r="U15" s="93">
        <v>138</v>
      </c>
      <c r="V15" s="104">
        <f t="shared" si="2"/>
        <v>3450</v>
      </c>
      <c r="W15" s="93">
        <v>11</v>
      </c>
      <c r="X15" s="93" t="s">
        <v>46</v>
      </c>
      <c r="Y15" s="93" t="s">
        <v>47</v>
      </c>
      <c r="Z15" s="93" t="s">
        <v>55</v>
      </c>
      <c r="AA15" s="93" t="s">
        <v>69</v>
      </c>
      <c r="AB15" s="53" t="s">
        <v>158</v>
      </c>
      <c r="AE15" s="110" t="s">
        <v>217</v>
      </c>
      <c r="AG15" s="111"/>
      <c r="AH15" s="111"/>
      <c r="AP15" s="111" t="s">
        <v>77</v>
      </c>
      <c r="AR15" s="111" t="s">
        <v>80</v>
      </c>
      <c r="AV15" s="111" t="s">
        <v>107</v>
      </c>
    </row>
    <row r="16" spans="1:53" x14ac:dyDescent="0.15">
      <c r="A16" s="93" t="s">
        <v>51</v>
      </c>
      <c r="B16" s="93" t="s">
        <v>157</v>
      </c>
      <c r="C16" s="93">
        <v>2019</v>
      </c>
      <c r="D16" s="101" t="s">
        <v>261</v>
      </c>
      <c r="E16" s="93" t="s">
        <v>265</v>
      </c>
      <c r="F16" s="93" t="s">
        <v>266</v>
      </c>
      <c r="G16" s="93" t="s">
        <v>36</v>
      </c>
      <c r="H16" s="93" t="s">
        <v>160</v>
      </c>
      <c r="I16" s="93" t="s">
        <v>159</v>
      </c>
      <c r="J16" s="93" t="s">
        <v>38</v>
      </c>
      <c r="L16" s="93">
        <v>3</v>
      </c>
      <c r="N16" s="93">
        <v>1</v>
      </c>
      <c r="O16" s="93">
        <v>0.8</v>
      </c>
      <c r="P16" s="93">
        <v>0.8</v>
      </c>
      <c r="Q16" s="102">
        <f t="shared" si="0"/>
        <v>0.8</v>
      </c>
      <c r="R16" s="93">
        <v>17.899999999999999</v>
      </c>
      <c r="S16" s="93">
        <v>134</v>
      </c>
      <c r="T16" s="103">
        <f t="shared" si="1"/>
        <v>25</v>
      </c>
      <c r="U16" s="93">
        <v>138</v>
      </c>
      <c r="V16" s="104">
        <f t="shared" si="2"/>
        <v>3450</v>
      </c>
      <c r="W16" s="93">
        <v>11</v>
      </c>
      <c r="X16" s="93" t="s">
        <v>46</v>
      </c>
      <c r="Y16" s="93" t="s">
        <v>47</v>
      </c>
      <c r="Z16" s="93" t="s">
        <v>55</v>
      </c>
      <c r="AA16" s="93" t="s">
        <v>69</v>
      </c>
      <c r="AB16" s="53" t="s">
        <v>158</v>
      </c>
      <c r="AE16" s="110" t="s">
        <v>218</v>
      </c>
      <c r="AG16" s="116"/>
      <c r="AH16" s="116"/>
      <c r="AP16" s="111" t="s">
        <v>80</v>
      </c>
      <c r="AR16" s="111" t="s">
        <v>63</v>
      </c>
      <c r="AV16" s="111" t="s">
        <v>84</v>
      </c>
    </row>
    <row r="17" spans="1:48" x14ac:dyDescent="0.15">
      <c r="A17" s="93" t="s">
        <v>51</v>
      </c>
      <c r="B17" s="93" t="s">
        <v>157</v>
      </c>
      <c r="C17" s="93">
        <v>2019</v>
      </c>
      <c r="D17" s="101" t="s">
        <v>261</v>
      </c>
      <c r="E17" s="93" t="s">
        <v>139</v>
      </c>
      <c r="F17" s="93" t="s">
        <v>276</v>
      </c>
      <c r="G17" s="93" t="s">
        <v>42</v>
      </c>
      <c r="H17" s="93" t="s">
        <v>160</v>
      </c>
      <c r="I17" s="93" t="s">
        <v>159</v>
      </c>
      <c r="J17" s="93" t="s">
        <v>38</v>
      </c>
      <c r="L17" s="93">
        <v>1</v>
      </c>
      <c r="N17" s="93">
        <v>1</v>
      </c>
      <c r="O17" s="93">
        <v>0.95</v>
      </c>
      <c r="P17" s="93">
        <v>1.1499999999999999</v>
      </c>
      <c r="Q17" s="102">
        <f t="shared" si="0"/>
        <v>1.0499999999999998</v>
      </c>
      <c r="R17" s="93">
        <v>15.8</v>
      </c>
      <c r="S17" s="93">
        <v>95</v>
      </c>
      <c r="T17" s="103">
        <f t="shared" si="1"/>
        <v>36</v>
      </c>
      <c r="U17" s="93">
        <v>128</v>
      </c>
      <c r="V17" s="104">
        <f t="shared" si="2"/>
        <v>4608</v>
      </c>
      <c r="W17" s="93">
        <v>18</v>
      </c>
      <c r="X17" s="93" t="s">
        <v>46</v>
      </c>
      <c r="Y17" s="93" t="s">
        <v>69</v>
      </c>
      <c r="Z17" s="93" t="s">
        <v>55</v>
      </c>
      <c r="AA17" s="93" t="s">
        <v>97</v>
      </c>
      <c r="AB17" s="53" t="s">
        <v>158</v>
      </c>
      <c r="AE17" s="110" t="s">
        <v>219</v>
      </c>
      <c r="AP17" s="115" t="s">
        <v>220</v>
      </c>
      <c r="AR17" s="111" t="s">
        <v>96</v>
      </c>
      <c r="AV17" s="111" t="s">
        <v>86</v>
      </c>
    </row>
    <row r="18" spans="1:48" x14ac:dyDescent="0.15">
      <c r="A18" s="93" t="s">
        <v>51</v>
      </c>
      <c r="B18" s="93" t="s">
        <v>157</v>
      </c>
      <c r="C18" s="93">
        <v>2019</v>
      </c>
      <c r="D18" s="101" t="s">
        <v>261</v>
      </c>
      <c r="E18" s="93" t="s">
        <v>139</v>
      </c>
      <c r="F18" s="93" t="s">
        <v>276</v>
      </c>
      <c r="G18" s="93" t="s">
        <v>42</v>
      </c>
      <c r="H18" s="93" t="s">
        <v>160</v>
      </c>
      <c r="I18" s="93" t="s">
        <v>159</v>
      </c>
      <c r="J18" s="93" t="s">
        <v>38</v>
      </c>
      <c r="L18" s="93">
        <v>2</v>
      </c>
      <c r="N18" s="93">
        <v>1</v>
      </c>
      <c r="O18" s="93">
        <v>1.05</v>
      </c>
      <c r="P18" s="93">
        <v>0.9</v>
      </c>
      <c r="Q18" s="102">
        <f t="shared" si="0"/>
        <v>0.97500000000000009</v>
      </c>
      <c r="R18" s="93">
        <v>16.2</v>
      </c>
      <c r="S18" s="93">
        <v>102</v>
      </c>
      <c r="T18" s="103">
        <f t="shared" si="1"/>
        <v>33</v>
      </c>
      <c r="U18" s="93">
        <v>128</v>
      </c>
      <c r="V18" s="104">
        <f t="shared" si="2"/>
        <v>4224</v>
      </c>
      <c r="W18" s="93">
        <v>18</v>
      </c>
      <c r="X18" s="93" t="s">
        <v>46</v>
      </c>
      <c r="Y18" s="93" t="s">
        <v>69</v>
      </c>
      <c r="Z18" s="93" t="s">
        <v>55</v>
      </c>
      <c r="AA18" s="93" t="s">
        <v>97</v>
      </c>
      <c r="AB18" s="53" t="s">
        <v>158</v>
      </c>
      <c r="AE18" s="110" t="s">
        <v>212</v>
      </c>
      <c r="AP18" s="115" t="s">
        <v>221</v>
      </c>
      <c r="AR18" s="111" t="s">
        <v>101</v>
      </c>
      <c r="AV18" s="111" t="s">
        <v>88</v>
      </c>
    </row>
    <row r="19" spans="1:48" x14ac:dyDescent="0.15">
      <c r="A19" s="93" t="s">
        <v>51</v>
      </c>
      <c r="B19" s="93" t="s">
        <v>157</v>
      </c>
      <c r="C19" s="93">
        <v>2019</v>
      </c>
      <c r="D19" s="101" t="s">
        <v>261</v>
      </c>
      <c r="E19" s="93" t="s">
        <v>139</v>
      </c>
      <c r="F19" s="93" t="s">
        <v>276</v>
      </c>
      <c r="G19" s="93" t="s">
        <v>42</v>
      </c>
      <c r="H19" s="93" t="s">
        <v>160</v>
      </c>
      <c r="I19" s="93" t="s">
        <v>159</v>
      </c>
      <c r="J19" s="93" t="s">
        <v>38</v>
      </c>
      <c r="L19" s="93">
        <v>3</v>
      </c>
      <c r="N19" s="93">
        <v>1</v>
      </c>
      <c r="O19" s="93">
        <v>1</v>
      </c>
      <c r="P19" s="93">
        <v>1</v>
      </c>
      <c r="Q19" s="102">
        <f t="shared" si="0"/>
        <v>1</v>
      </c>
      <c r="R19" s="93">
        <v>15.1</v>
      </c>
      <c r="S19" s="93">
        <v>94</v>
      </c>
      <c r="T19" s="103">
        <f t="shared" si="1"/>
        <v>36</v>
      </c>
      <c r="U19" s="93">
        <v>128</v>
      </c>
      <c r="V19" s="104">
        <f t="shared" si="2"/>
        <v>4608</v>
      </c>
      <c r="W19" s="93">
        <v>18</v>
      </c>
      <c r="X19" s="93" t="s">
        <v>46</v>
      </c>
      <c r="Y19" s="93" t="s">
        <v>69</v>
      </c>
      <c r="Z19" s="93" t="s">
        <v>55</v>
      </c>
      <c r="AA19" s="93" t="s">
        <v>97</v>
      </c>
      <c r="AB19" s="53" t="s">
        <v>158</v>
      </c>
      <c r="AE19" s="121" t="s">
        <v>206</v>
      </c>
      <c r="AP19" s="115" t="s">
        <v>222</v>
      </c>
      <c r="AR19" s="111" t="s">
        <v>223</v>
      </c>
      <c r="AV19" s="111" t="s">
        <v>90</v>
      </c>
    </row>
    <row r="20" spans="1:48" x14ac:dyDescent="0.15">
      <c r="A20" s="93" t="s">
        <v>51</v>
      </c>
      <c r="B20" s="93" t="s">
        <v>157</v>
      </c>
      <c r="C20" s="93">
        <v>2019</v>
      </c>
      <c r="D20" s="101" t="s">
        <v>261</v>
      </c>
      <c r="E20" s="93" t="s">
        <v>139</v>
      </c>
      <c r="F20" s="93" t="s">
        <v>276</v>
      </c>
      <c r="G20" s="93" t="s">
        <v>42</v>
      </c>
      <c r="H20" s="93" t="s">
        <v>165</v>
      </c>
      <c r="I20" s="93" t="s">
        <v>159</v>
      </c>
      <c r="J20" s="93" t="s">
        <v>38</v>
      </c>
      <c r="L20" s="93">
        <v>1</v>
      </c>
      <c r="N20" s="93">
        <v>4</v>
      </c>
      <c r="O20" s="93">
        <v>0.8</v>
      </c>
      <c r="P20" s="93">
        <v>0.7</v>
      </c>
      <c r="Q20" s="102">
        <f t="shared" si="0"/>
        <v>0.75</v>
      </c>
      <c r="R20" s="93">
        <v>16.600000000000001</v>
      </c>
      <c r="S20" s="93">
        <v>134</v>
      </c>
      <c r="T20" s="103">
        <f t="shared" si="1"/>
        <v>25</v>
      </c>
      <c r="U20" s="93">
        <v>398</v>
      </c>
      <c r="V20" s="104">
        <f t="shared" si="2"/>
        <v>2487.5</v>
      </c>
      <c r="W20" s="93">
        <v>18</v>
      </c>
      <c r="X20" s="93" t="s">
        <v>46</v>
      </c>
      <c r="Y20" s="93" t="s">
        <v>69</v>
      </c>
      <c r="Z20" s="93" t="s">
        <v>55</v>
      </c>
      <c r="AA20" s="93" t="s">
        <v>97</v>
      </c>
      <c r="AB20" s="53" t="s">
        <v>158</v>
      </c>
      <c r="AE20" s="121"/>
      <c r="AP20" s="115" t="s">
        <v>224</v>
      </c>
      <c r="AR20" s="111" t="s">
        <v>105</v>
      </c>
      <c r="AV20" s="115" t="s">
        <v>225</v>
      </c>
    </row>
    <row r="21" spans="1:48" x14ac:dyDescent="0.15">
      <c r="A21" s="93" t="s">
        <v>51</v>
      </c>
      <c r="B21" s="93" t="s">
        <v>157</v>
      </c>
      <c r="C21" s="93">
        <v>2019</v>
      </c>
      <c r="D21" s="101" t="s">
        <v>261</v>
      </c>
      <c r="E21" s="93" t="s">
        <v>139</v>
      </c>
      <c r="F21" s="93" t="s">
        <v>276</v>
      </c>
      <c r="G21" s="93" t="s">
        <v>42</v>
      </c>
      <c r="H21" s="93" t="s">
        <v>165</v>
      </c>
      <c r="I21" s="93" t="s">
        <v>159</v>
      </c>
      <c r="J21" s="93" t="s">
        <v>38</v>
      </c>
      <c r="L21" s="93">
        <v>2</v>
      </c>
      <c r="N21" s="93">
        <v>4</v>
      </c>
      <c r="O21" s="93">
        <v>0.8</v>
      </c>
      <c r="P21" s="93">
        <v>0.75</v>
      </c>
      <c r="Q21" s="102">
        <f t="shared" si="0"/>
        <v>0.77500000000000002</v>
      </c>
      <c r="R21" s="93">
        <v>15.3</v>
      </c>
      <c r="S21" s="93">
        <v>126</v>
      </c>
      <c r="T21" s="103">
        <f t="shared" si="1"/>
        <v>27</v>
      </c>
      <c r="U21" s="93">
        <v>398</v>
      </c>
      <c r="V21" s="104">
        <f t="shared" si="2"/>
        <v>2686.5</v>
      </c>
      <c r="W21" s="93">
        <v>18</v>
      </c>
      <c r="X21" s="93" t="s">
        <v>46</v>
      </c>
      <c r="Y21" s="93" t="s">
        <v>69</v>
      </c>
      <c r="Z21" s="93" t="s">
        <v>55</v>
      </c>
      <c r="AA21" s="93" t="s">
        <v>97</v>
      </c>
      <c r="AB21" s="53" t="s">
        <v>158</v>
      </c>
      <c r="AE21" s="116"/>
      <c r="AP21" s="115" t="s">
        <v>226</v>
      </c>
      <c r="AR21" s="111" t="s">
        <v>68</v>
      </c>
      <c r="AV21" s="115" t="s">
        <v>227</v>
      </c>
    </row>
    <row r="22" spans="1:48" x14ac:dyDescent="0.15">
      <c r="A22" s="93" t="s">
        <v>51</v>
      </c>
      <c r="B22" s="93" t="s">
        <v>157</v>
      </c>
      <c r="C22" s="93">
        <v>2019</v>
      </c>
      <c r="D22" s="101" t="s">
        <v>261</v>
      </c>
      <c r="E22" s="93" t="s">
        <v>139</v>
      </c>
      <c r="F22" s="93" t="s">
        <v>276</v>
      </c>
      <c r="G22" s="93" t="s">
        <v>42</v>
      </c>
      <c r="H22" s="93" t="s">
        <v>165</v>
      </c>
      <c r="I22" s="93" t="s">
        <v>159</v>
      </c>
      <c r="J22" s="93" t="s">
        <v>38</v>
      </c>
      <c r="L22" s="93">
        <v>3</v>
      </c>
      <c r="N22" s="93">
        <v>4</v>
      </c>
      <c r="O22" s="93">
        <v>0.75</v>
      </c>
      <c r="P22" s="93">
        <v>0.7</v>
      </c>
      <c r="Q22" s="102">
        <f t="shared" si="0"/>
        <v>0.72499999999999998</v>
      </c>
      <c r="R22" s="93">
        <v>15.9</v>
      </c>
      <c r="S22" s="93">
        <v>128</v>
      </c>
      <c r="T22" s="103">
        <f t="shared" si="1"/>
        <v>27</v>
      </c>
      <c r="U22" s="93">
        <v>398</v>
      </c>
      <c r="V22" s="104">
        <f t="shared" si="2"/>
        <v>2686.5</v>
      </c>
      <c r="W22" s="93">
        <v>18</v>
      </c>
      <c r="X22" s="93" t="s">
        <v>46</v>
      </c>
      <c r="Y22" s="93" t="s">
        <v>69</v>
      </c>
      <c r="Z22" s="93" t="s">
        <v>55</v>
      </c>
      <c r="AA22" s="93" t="s">
        <v>97</v>
      </c>
      <c r="AB22" s="53" t="s">
        <v>158</v>
      </c>
      <c r="AP22" s="115" t="s">
        <v>228</v>
      </c>
      <c r="AR22" s="111" t="s">
        <v>83</v>
      </c>
      <c r="AV22" s="115"/>
    </row>
    <row r="23" spans="1:48" x14ac:dyDescent="0.15">
      <c r="A23" s="93" t="s">
        <v>51</v>
      </c>
      <c r="B23" s="93" t="s">
        <v>157</v>
      </c>
      <c r="C23" s="93">
        <v>2019</v>
      </c>
      <c r="D23" s="101" t="s">
        <v>261</v>
      </c>
      <c r="E23" s="93" t="s">
        <v>270</v>
      </c>
      <c r="F23" s="93" t="s">
        <v>271</v>
      </c>
      <c r="G23" s="93" t="s">
        <v>36</v>
      </c>
      <c r="H23" s="93" t="s">
        <v>165</v>
      </c>
      <c r="I23" s="93" t="s">
        <v>159</v>
      </c>
      <c r="J23" s="93" t="s">
        <v>38</v>
      </c>
      <c r="L23" s="93">
        <v>1</v>
      </c>
      <c r="N23" s="93">
        <v>1</v>
      </c>
      <c r="O23" s="93">
        <v>0.55000000000000004</v>
      </c>
      <c r="P23" s="93">
        <v>0.65</v>
      </c>
      <c r="Q23" s="102">
        <f t="shared" si="0"/>
        <v>0.60000000000000009</v>
      </c>
      <c r="R23" s="93">
        <v>13.4</v>
      </c>
      <c r="S23" s="93">
        <v>130</v>
      </c>
      <c r="T23" s="103">
        <f t="shared" si="1"/>
        <v>25</v>
      </c>
      <c r="U23" s="93">
        <v>128</v>
      </c>
      <c r="V23" s="104">
        <f t="shared" si="2"/>
        <v>3200</v>
      </c>
      <c r="W23" s="93">
        <v>10</v>
      </c>
      <c r="X23" s="93" t="s">
        <v>46</v>
      </c>
      <c r="Y23" s="93" t="s">
        <v>69</v>
      </c>
      <c r="Z23" s="93" t="s">
        <v>55</v>
      </c>
      <c r="AA23" s="93" t="s">
        <v>47</v>
      </c>
      <c r="AB23" s="53" t="s">
        <v>158</v>
      </c>
      <c r="AP23" s="115" t="s">
        <v>277</v>
      </c>
      <c r="AR23" s="111" t="s">
        <v>61</v>
      </c>
    </row>
    <row r="24" spans="1:48" x14ac:dyDescent="0.15">
      <c r="A24" s="93" t="s">
        <v>51</v>
      </c>
      <c r="B24" s="93" t="s">
        <v>157</v>
      </c>
      <c r="C24" s="93">
        <v>2019</v>
      </c>
      <c r="D24" s="101" t="s">
        <v>261</v>
      </c>
      <c r="E24" s="93" t="s">
        <v>270</v>
      </c>
      <c r="F24" s="93" t="s">
        <v>271</v>
      </c>
      <c r="G24" s="93" t="s">
        <v>36</v>
      </c>
      <c r="H24" s="93" t="s">
        <v>165</v>
      </c>
      <c r="I24" s="93" t="s">
        <v>159</v>
      </c>
      <c r="J24" s="93" t="s">
        <v>38</v>
      </c>
      <c r="L24" s="93">
        <v>2</v>
      </c>
      <c r="N24" s="93">
        <v>1</v>
      </c>
      <c r="O24" s="93">
        <v>0.75</v>
      </c>
      <c r="P24" s="93">
        <v>0.7</v>
      </c>
      <c r="Q24" s="102">
        <f t="shared" si="0"/>
        <v>0.72499999999999998</v>
      </c>
      <c r="R24" s="93">
        <v>14.7</v>
      </c>
      <c r="S24" s="93">
        <v>142</v>
      </c>
      <c r="T24" s="103">
        <f t="shared" si="1"/>
        <v>22</v>
      </c>
      <c r="U24" s="93">
        <v>128</v>
      </c>
      <c r="V24" s="104">
        <f t="shared" si="2"/>
        <v>2816</v>
      </c>
      <c r="W24" s="93">
        <v>10</v>
      </c>
      <c r="X24" s="93" t="s">
        <v>46</v>
      </c>
      <c r="Y24" s="93" t="s">
        <v>69</v>
      </c>
      <c r="Z24" s="93" t="s">
        <v>55</v>
      </c>
      <c r="AA24" s="93" t="s">
        <v>47</v>
      </c>
      <c r="AB24" s="53" t="s">
        <v>158</v>
      </c>
      <c r="AP24" s="115" t="s">
        <v>278</v>
      </c>
      <c r="AR24" s="111" t="s">
        <v>91</v>
      </c>
    </row>
    <row r="25" spans="1:48" x14ac:dyDescent="0.15">
      <c r="A25" s="93" t="s">
        <v>51</v>
      </c>
      <c r="B25" s="93" t="s">
        <v>157</v>
      </c>
      <c r="C25" s="93">
        <v>2019</v>
      </c>
      <c r="D25" s="101" t="s">
        <v>261</v>
      </c>
      <c r="E25" s="93" t="s">
        <v>270</v>
      </c>
      <c r="F25" s="93" t="s">
        <v>271</v>
      </c>
      <c r="G25" s="93" t="s">
        <v>36</v>
      </c>
      <c r="H25" s="93" t="s">
        <v>165</v>
      </c>
      <c r="I25" s="93" t="s">
        <v>159</v>
      </c>
      <c r="J25" s="93" t="s">
        <v>38</v>
      </c>
      <c r="L25" s="93">
        <v>3</v>
      </c>
      <c r="N25" s="93">
        <v>1</v>
      </c>
      <c r="O25" s="93">
        <v>0.7</v>
      </c>
      <c r="P25" s="93">
        <v>0.6</v>
      </c>
      <c r="Q25" s="102">
        <f t="shared" si="0"/>
        <v>0.64999999999999991</v>
      </c>
      <c r="R25" s="93">
        <v>14.3</v>
      </c>
      <c r="S25" s="93">
        <v>140</v>
      </c>
      <c r="T25" s="103">
        <f t="shared" si="1"/>
        <v>22</v>
      </c>
      <c r="U25" s="93">
        <v>128</v>
      </c>
      <c r="V25" s="104">
        <f t="shared" si="2"/>
        <v>2816</v>
      </c>
      <c r="W25" s="93">
        <v>10</v>
      </c>
      <c r="X25" s="93" t="s">
        <v>46</v>
      </c>
      <c r="Y25" s="93" t="s">
        <v>69</v>
      </c>
      <c r="Z25" s="93" t="s">
        <v>55</v>
      </c>
      <c r="AA25" s="93" t="s">
        <v>47</v>
      </c>
      <c r="AB25" s="53" t="s">
        <v>158</v>
      </c>
      <c r="AP25" s="115" t="s">
        <v>279</v>
      </c>
      <c r="AR25" s="115" t="s">
        <v>51</v>
      </c>
    </row>
    <row r="26" spans="1:48" x14ac:dyDescent="0.15">
      <c r="A26" s="93" t="s">
        <v>51</v>
      </c>
      <c r="B26" s="93" t="s">
        <v>157</v>
      </c>
      <c r="C26" s="93">
        <v>2019</v>
      </c>
      <c r="D26" s="101" t="s">
        <v>261</v>
      </c>
      <c r="E26" s="93" t="s">
        <v>270</v>
      </c>
      <c r="F26" s="93" t="s">
        <v>271</v>
      </c>
      <c r="G26" s="93" t="s">
        <v>36</v>
      </c>
      <c r="H26" s="93" t="s">
        <v>164</v>
      </c>
      <c r="I26" s="93" t="s">
        <v>159</v>
      </c>
      <c r="J26" s="93" t="s">
        <v>38</v>
      </c>
      <c r="L26" s="93">
        <v>1</v>
      </c>
      <c r="N26" s="93">
        <v>5</v>
      </c>
      <c r="O26" s="93">
        <v>0.6</v>
      </c>
      <c r="P26" s="93">
        <v>0.6</v>
      </c>
      <c r="Q26" s="102">
        <f t="shared" si="0"/>
        <v>0.6</v>
      </c>
      <c r="R26" s="93">
        <v>17.8</v>
      </c>
      <c r="S26" s="93">
        <v>77</v>
      </c>
      <c r="T26" s="103">
        <f t="shared" si="1"/>
        <v>39</v>
      </c>
      <c r="U26" s="93">
        <v>398</v>
      </c>
      <c r="V26" s="104">
        <f t="shared" si="2"/>
        <v>3104.3999999999996</v>
      </c>
      <c r="W26" s="93">
        <v>10</v>
      </c>
      <c r="X26" s="93" t="s">
        <v>46</v>
      </c>
      <c r="Y26" s="93" t="s">
        <v>69</v>
      </c>
      <c r="Z26" s="93" t="s">
        <v>55</v>
      </c>
      <c r="AA26" s="93" t="s">
        <v>47</v>
      </c>
      <c r="AB26" s="53" t="s">
        <v>158</v>
      </c>
      <c r="AP26" s="115" t="s">
        <v>229</v>
      </c>
      <c r="AR26" s="93" t="s">
        <v>230</v>
      </c>
    </row>
    <row r="27" spans="1:48" x14ac:dyDescent="0.15">
      <c r="A27" s="93" t="s">
        <v>51</v>
      </c>
      <c r="B27" s="93" t="s">
        <v>157</v>
      </c>
      <c r="C27" s="93">
        <v>2019</v>
      </c>
      <c r="D27" s="101" t="s">
        <v>261</v>
      </c>
      <c r="E27" s="93" t="s">
        <v>270</v>
      </c>
      <c r="F27" s="93" t="s">
        <v>271</v>
      </c>
      <c r="G27" s="93" t="s">
        <v>36</v>
      </c>
      <c r="H27" s="93" t="s">
        <v>164</v>
      </c>
      <c r="I27" s="93" t="s">
        <v>159</v>
      </c>
      <c r="J27" s="93" t="s">
        <v>38</v>
      </c>
      <c r="L27" s="93">
        <v>2</v>
      </c>
      <c r="N27" s="93">
        <v>5</v>
      </c>
      <c r="O27" s="93">
        <v>0.55000000000000004</v>
      </c>
      <c r="P27" s="93">
        <v>0.65</v>
      </c>
      <c r="Q27" s="102">
        <f t="shared" si="0"/>
        <v>0.60000000000000009</v>
      </c>
      <c r="R27" s="93">
        <v>17.600000000000001</v>
      </c>
      <c r="S27" s="93">
        <v>77</v>
      </c>
      <c r="T27" s="103">
        <f t="shared" si="1"/>
        <v>39</v>
      </c>
      <c r="U27" s="93">
        <v>398</v>
      </c>
      <c r="V27" s="104">
        <f t="shared" si="2"/>
        <v>3104.3999999999996</v>
      </c>
      <c r="W27" s="93">
        <v>10</v>
      </c>
      <c r="X27" s="93" t="s">
        <v>46</v>
      </c>
      <c r="Y27" s="93" t="s">
        <v>69</v>
      </c>
      <c r="Z27" s="93" t="s">
        <v>55</v>
      </c>
      <c r="AA27" s="93" t="s">
        <v>47</v>
      </c>
      <c r="AB27" s="53" t="s">
        <v>158</v>
      </c>
      <c r="AP27" s="115" t="s">
        <v>231</v>
      </c>
    </row>
    <row r="28" spans="1:48" x14ac:dyDescent="0.15">
      <c r="A28" s="93" t="s">
        <v>51</v>
      </c>
      <c r="B28" s="93" t="s">
        <v>157</v>
      </c>
      <c r="C28" s="93">
        <v>2019</v>
      </c>
      <c r="D28" s="101" t="s">
        <v>261</v>
      </c>
      <c r="E28" s="93" t="s">
        <v>270</v>
      </c>
      <c r="F28" s="93" t="s">
        <v>271</v>
      </c>
      <c r="G28" s="93" t="s">
        <v>36</v>
      </c>
      <c r="H28" s="93" t="s">
        <v>164</v>
      </c>
      <c r="I28" s="93" t="s">
        <v>159</v>
      </c>
      <c r="J28" s="93" t="s">
        <v>38</v>
      </c>
      <c r="L28" s="93">
        <v>3</v>
      </c>
      <c r="N28" s="93">
        <v>5</v>
      </c>
      <c r="O28" s="93">
        <v>0.7</v>
      </c>
      <c r="P28" s="93">
        <v>0.75</v>
      </c>
      <c r="Q28" s="102">
        <f t="shared" si="0"/>
        <v>0.72499999999999998</v>
      </c>
      <c r="R28" s="93">
        <v>18</v>
      </c>
      <c r="S28" s="93">
        <v>79</v>
      </c>
      <c r="T28" s="103">
        <f t="shared" si="1"/>
        <v>39</v>
      </c>
      <c r="U28" s="93">
        <v>398</v>
      </c>
      <c r="V28" s="104">
        <f t="shared" si="2"/>
        <v>3104.3999999999996</v>
      </c>
      <c r="W28" s="93">
        <v>10</v>
      </c>
      <c r="X28" s="93" t="s">
        <v>46</v>
      </c>
      <c r="Y28" s="93" t="s">
        <v>69</v>
      </c>
      <c r="Z28" s="93" t="s">
        <v>55</v>
      </c>
      <c r="AA28" s="93" t="s">
        <v>47</v>
      </c>
      <c r="AB28" s="53" t="s">
        <v>158</v>
      </c>
    </row>
    <row r="29" spans="1:48" x14ac:dyDescent="0.15">
      <c r="A29" s="93" t="s">
        <v>51</v>
      </c>
      <c r="B29" s="93" t="s">
        <v>157</v>
      </c>
      <c r="C29" s="93">
        <v>2019</v>
      </c>
      <c r="D29" s="101" t="s">
        <v>261</v>
      </c>
      <c r="E29" s="93" t="s">
        <v>270</v>
      </c>
      <c r="F29" s="93" t="s">
        <v>271</v>
      </c>
      <c r="G29" s="93" t="s">
        <v>36</v>
      </c>
      <c r="H29" s="93" t="s">
        <v>160</v>
      </c>
      <c r="I29" s="93" t="s">
        <v>159</v>
      </c>
      <c r="J29" s="93" t="s">
        <v>38</v>
      </c>
      <c r="L29" s="93">
        <v>1</v>
      </c>
      <c r="N29" s="93">
        <v>1</v>
      </c>
      <c r="O29" s="93">
        <v>0.65</v>
      </c>
      <c r="P29" s="93">
        <v>0.7</v>
      </c>
      <c r="Q29" s="102">
        <f t="shared" si="0"/>
        <v>0.67500000000000004</v>
      </c>
      <c r="R29" s="93">
        <v>18.5</v>
      </c>
      <c r="S29" s="93">
        <v>152</v>
      </c>
      <c r="T29" s="103">
        <f t="shared" si="1"/>
        <v>18</v>
      </c>
      <c r="U29" s="93">
        <v>128</v>
      </c>
      <c r="V29" s="104">
        <f t="shared" si="2"/>
        <v>2304</v>
      </c>
      <c r="W29" s="93">
        <v>10</v>
      </c>
      <c r="X29" s="93" t="s">
        <v>46</v>
      </c>
      <c r="Y29" s="93" t="s">
        <v>69</v>
      </c>
      <c r="Z29" s="93" t="s">
        <v>55</v>
      </c>
      <c r="AA29" s="93" t="s">
        <v>47</v>
      </c>
      <c r="AB29" s="53" t="s">
        <v>158</v>
      </c>
    </row>
    <row r="30" spans="1:48" x14ac:dyDescent="0.15">
      <c r="A30" s="93" t="s">
        <v>51</v>
      </c>
      <c r="B30" s="93" t="s">
        <v>157</v>
      </c>
      <c r="C30" s="93">
        <v>2019</v>
      </c>
      <c r="D30" s="101" t="s">
        <v>261</v>
      </c>
      <c r="E30" s="93" t="s">
        <v>270</v>
      </c>
      <c r="F30" s="93" t="s">
        <v>271</v>
      </c>
      <c r="G30" s="93" t="s">
        <v>36</v>
      </c>
      <c r="H30" s="93" t="s">
        <v>160</v>
      </c>
      <c r="I30" s="93" t="s">
        <v>159</v>
      </c>
      <c r="J30" s="93" t="s">
        <v>38</v>
      </c>
      <c r="L30" s="93">
        <v>2</v>
      </c>
      <c r="N30" s="93">
        <v>1</v>
      </c>
      <c r="O30" s="93">
        <v>0.6</v>
      </c>
      <c r="P30" s="93">
        <v>0.6</v>
      </c>
      <c r="Q30" s="102">
        <f t="shared" si="0"/>
        <v>0.6</v>
      </c>
      <c r="R30" s="93">
        <v>18.3</v>
      </c>
      <c r="S30" s="93">
        <v>150</v>
      </c>
      <c r="T30" s="103">
        <f t="shared" si="1"/>
        <v>22</v>
      </c>
      <c r="U30" s="93">
        <v>128</v>
      </c>
      <c r="V30" s="104">
        <f t="shared" si="2"/>
        <v>2816</v>
      </c>
      <c r="W30" s="93">
        <v>10</v>
      </c>
      <c r="X30" s="93" t="s">
        <v>46</v>
      </c>
      <c r="Y30" s="93" t="s">
        <v>69</v>
      </c>
      <c r="Z30" s="93" t="s">
        <v>55</v>
      </c>
      <c r="AA30" s="93" t="s">
        <v>47</v>
      </c>
      <c r="AB30" s="53" t="s">
        <v>158</v>
      </c>
    </row>
    <row r="31" spans="1:48" x14ac:dyDescent="0.15">
      <c r="A31" s="93" t="s">
        <v>51</v>
      </c>
      <c r="B31" s="93" t="s">
        <v>157</v>
      </c>
      <c r="C31" s="93">
        <v>2019</v>
      </c>
      <c r="D31" s="101" t="s">
        <v>261</v>
      </c>
      <c r="E31" s="93" t="s">
        <v>270</v>
      </c>
      <c r="F31" s="93" t="s">
        <v>271</v>
      </c>
      <c r="G31" s="93" t="s">
        <v>36</v>
      </c>
      <c r="H31" s="93" t="s">
        <v>160</v>
      </c>
      <c r="I31" s="93" t="s">
        <v>159</v>
      </c>
      <c r="J31" s="93" t="s">
        <v>38</v>
      </c>
      <c r="L31" s="93">
        <v>3</v>
      </c>
      <c r="N31" s="93">
        <v>1</v>
      </c>
      <c r="O31" s="93">
        <v>0.5</v>
      </c>
      <c r="P31" s="93">
        <v>0.55000000000000004</v>
      </c>
      <c r="Q31" s="102">
        <f t="shared" si="0"/>
        <v>0.52500000000000002</v>
      </c>
      <c r="R31" s="93">
        <v>19.399999999999999</v>
      </c>
      <c r="S31" s="93">
        <v>146</v>
      </c>
      <c r="T31" s="103">
        <f t="shared" si="1"/>
        <v>22</v>
      </c>
      <c r="U31" s="93">
        <v>128</v>
      </c>
      <c r="V31" s="104">
        <f t="shared" si="2"/>
        <v>2816</v>
      </c>
      <c r="W31" s="93">
        <v>10</v>
      </c>
      <c r="X31" s="93" t="s">
        <v>46</v>
      </c>
      <c r="Y31" s="93" t="s">
        <v>69</v>
      </c>
      <c r="Z31" s="93" t="s">
        <v>55</v>
      </c>
      <c r="AA31" s="93" t="s">
        <v>47</v>
      </c>
      <c r="AB31" s="53" t="s">
        <v>158</v>
      </c>
    </row>
    <row r="32" spans="1:48" x14ac:dyDescent="0.15">
      <c r="A32" s="93" t="s">
        <v>51</v>
      </c>
      <c r="B32" s="93" t="s">
        <v>157</v>
      </c>
      <c r="C32" s="93">
        <v>2019</v>
      </c>
      <c r="D32" s="101" t="s">
        <v>261</v>
      </c>
      <c r="E32" s="93" t="s">
        <v>210</v>
      </c>
      <c r="F32" s="93" t="s">
        <v>264</v>
      </c>
      <c r="G32" s="93" t="s">
        <v>42</v>
      </c>
      <c r="H32" s="93" t="s">
        <v>164</v>
      </c>
      <c r="I32" s="93" t="s">
        <v>159</v>
      </c>
      <c r="J32" s="93" t="s">
        <v>38</v>
      </c>
      <c r="L32" s="93">
        <v>1</v>
      </c>
      <c r="N32" s="93">
        <v>1</v>
      </c>
      <c r="O32" s="93">
        <v>0.75</v>
      </c>
      <c r="P32" s="93">
        <v>0.8</v>
      </c>
      <c r="Q32" s="102">
        <f t="shared" si="0"/>
        <v>0.77500000000000002</v>
      </c>
      <c r="R32" s="93">
        <v>16.8</v>
      </c>
      <c r="S32" s="93">
        <v>116</v>
      </c>
      <c r="T32" s="103">
        <f t="shared" si="1"/>
        <v>30</v>
      </c>
      <c r="U32" s="93">
        <v>97</v>
      </c>
      <c r="V32" s="104">
        <f t="shared" si="2"/>
        <v>2910</v>
      </c>
      <c r="W32" s="93">
        <v>12</v>
      </c>
      <c r="X32" s="93" t="s">
        <v>46</v>
      </c>
      <c r="Y32" s="93" t="s">
        <v>69</v>
      </c>
      <c r="Z32" s="93" t="s">
        <v>55</v>
      </c>
      <c r="AA32" s="93" t="s">
        <v>47</v>
      </c>
      <c r="AB32" s="53" t="s">
        <v>158</v>
      </c>
    </row>
    <row r="33" spans="1:28" x14ac:dyDescent="0.15">
      <c r="A33" s="93" t="s">
        <v>51</v>
      </c>
      <c r="B33" s="93" t="s">
        <v>157</v>
      </c>
      <c r="C33" s="93">
        <v>2019</v>
      </c>
      <c r="D33" s="101" t="s">
        <v>261</v>
      </c>
      <c r="E33" s="93" t="s">
        <v>210</v>
      </c>
      <c r="F33" s="93" t="s">
        <v>264</v>
      </c>
      <c r="G33" s="93" t="s">
        <v>42</v>
      </c>
      <c r="H33" s="93" t="s">
        <v>164</v>
      </c>
      <c r="I33" s="93" t="s">
        <v>159</v>
      </c>
      <c r="J33" s="93" t="s">
        <v>38</v>
      </c>
      <c r="L33" s="93">
        <v>2</v>
      </c>
      <c r="N33" s="93">
        <v>1</v>
      </c>
      <c r="O33" s="93">
        <v>0.8</v>
      </c>
      <c r="P33" s="93">
        <v>0.8</v>
      </c>
      <c r="Q33" s="102">
        <f t="shared" si="0"/>
        <v>0.8</v>
      </c>
      <c r="R33" s="93">
        <v>16.600000000000001</v>
      </c>
      <c r="S33" s="93">
        <v>114</v>
      </c>
      <c r="T33" s="103">
        <f t="shared" si="1"/>
        <v>30</v>
      </c>
      <c r="U33" s="93">
        <v>97</v>
      </c>
      <c r="V33" s="104">
        <f t="shared" si="2"/>
        <v>2910</v>
      </c>
      <c r="W33" s="93">
        <v>12</v>
      </c>
      <c r="X33" s="93" t="s">
        <v>46</v>
      </c>
      <c r="Y33" s="93" t="s">
        <v>69</v>
      </c>
      <c r="Z33" s="93" t="s">
        <v>55</v>
      </c>
      <c r="AA33" s="93" t="s">
        <v>47</v>
      </c>
      <c r="AB33" s="53" t="s">
        <v>158</v>
      </c>
    </row>
    <row r="34" spans="1:28" x14ac:dyDescent="0.15">
      <c r="A34" s="93" t="s">
        <v>51</v>
      </c>
      <c r="B34" s="93" t="s">
        <v>157</v>
      </c>
      <c r="C34" s="93">
        <v>2019</v>
      </c>
      <c r="D34" s="101" t="s">
        <v>261</v>
      </c>
      <c r="E34" s="93" t="s">
        <v>210</v>
      </c>
      <c r="F34" s="93" t="s">
        <v>264</v>
      </c>
      <c r="G34" s="93" t="s">
        <v>42</v>
      </c>
      <c r="H34" s="93" t="s">
        <v>164</v>
      </c>
      <c r="I34" s="93" t="s">
        <v>159</v>
      </c>
      <c r="J34" s="93" t="s">
        <v>38</v>
      </c>
      <c r="L34" s="93">
        <v>3</v>
      </c>
      <c r="N34" s="93">
        <v>1</v>
      </c>
      <c r="O34" s="93">
        <v>0.8</v>
      </c>
      <c r="P34" s="93">
        <v>0.7</v>
      </c>
      <c r="Q34" s="102">
        <f t="shared" si="0"/>
        <v>0.75</v>
      </c>
      <c r="R34" s="93">
        <v>15.9</v>
      </c>
      <c r="S34" s="93">
        <v>118</v>
      </c>
      <c r="T34" s="103">
        <f t="shared" si="1"/>
        <v>30</v>
      </c>
      <c r="U34" s="93">
        <v>97</v>
      </c>
      <c r="V34" s="104">
        <f t="shared" si="2"/>
        <v>2910</v>
      </c>
      <c r="W34" s="93">
        <v>12</v>
      </c>
      <c r="X34" s="93" t="s">
        <v>46</v>
      </c>
      <c r="Y34" s="93" t="s">
        <v>69</v>
      </c>
      <c r="Z34" s="93" t="s">
        <v>55</v>
      </c>
      <c r="AA34" s="93" t="s">
        <v>47</v>
      </c>
      <c r="AB34" s="53" t="s">
        <v>158</v>
      </c>
    </row>
    <row r="35" spans="1:28" x14ac:dyDescent="0.15">
      <c r="A35" s="93" t="s">
        <v>51</v>
      </c>
      <c r="B35" s="93" t="s">
        <v>157</v>
      </c>
      <c r="C35" s="93">
        <v>2019</v>
      </c>
      <c r="D35" s="101" t="s">
        <v>261</v>
      </c>
      <c r="E35" s="93" t="s">
        <v>210</v>
      </c>
      <c r="F35" s="93" t="s">
        <v>264</v>
      </c>
      <c r="G35" s="93" t="s">
        <v>42</v>
      </c>
      <c r="H35" s="93" t="s">
        <v>160</v>
      </c>
      <c r="I35" s="93" t="s">
        <v>159</v>
      </c>
      <c r="J35" s="93" t="s">
        <v>38</v>
      </c>
      <c r="L35" s="93">
        <v>1</v>
      </c>
      <c r="N35" s="93">
        <v>1</v>
      </c>
      <c r="O35" s="93">
        <v>1.05</v>
      </c>
      <c r="P35" s="93">
        <v>0.95</v>
      </c>
      <c r="Q35" s="102">
        <f t="shared" si="0"/>
        <v>1</v>
      </c>
      <c r="R35" s="93">
        <v>14.8</v>
      </c>
      <c r="S35" s="93">
        <v>150</v>
      </c>
      <c r="T35" s="103">
        <f t="shared" si="1"/>
        <v>22</v>
      </c>
      <c r="U35" s="93">
        <v>97</v>
      </c>
      <c r="V35" s="104">
        <f t="shared" si="2"/>
        <v>2134</v>
      </c>
      <c r="W35" s="93">
        <v>12</v>
      </c>
      <c r="X35" s="93" t="s">
        <v>46</v>
      </c>
      <c r="Y35" s="93" t="s">
        <v>69</v>
      </c>
      <c r="Z35" s="93" t="s">
        <v>55</v>
      </c>
      <c r="AA35" s="93" t="s">
        <v>47</v>
      </c>
      <c r="AB35" s="53" t="s">
        <v>158</v>
      </c>
    </row>
    <row r="36" spans="1:28" x14ac:dyDescent="0.15">
      <c r="A36" s="93" t="s">
        <v>51</v>
      </c>
      <c r="B36" s="93" t="s">
        <v>157</v>
      </c>
      <c r="C36" s="93">
        <v>2019</v>
      </c>
      <c r="D36" s="101" t="s">
        <v>261</v>
      </c>
      <c r="E36" s="93" t="s">
        <v>210</v>
      </c>
      <c r="F36" s="93" t="s">
        <v>264</v>
      </c>
      <c r="G36" s="93" t="s">
        <v>42</v>
      </c>
      <c r="H36" s="93" t="s">
        <v>160</v>
      </c>
      <c r="I36" s="93" t="s">
        <v>159</v>
      </c>
      <c r="J36" s="93" t="s">
        <v>38</v>
      </c>
      <c r="L36" s="93">
        <v>2</v>
      </c>
      <c r="N36" s="93">
        <v>1</v>
      </c>
      <c r="O36" s="93">
        <v>1</v>
      </c>
      <c r="P36" s="93">
        <v>1</v>
      </c>
      <c r="Q36" s="102">
        <f t="shared" si="0"/>
        <v>1</v>
      </c>
      <c r="R36" s="93">
        <v>14.1</v>
      </c>
      <c r="S36" s="93">
        <v>140</v>
      </c>
      <c r="T36" s="103">
        <f t="shared" si="1"/>
        <v>22</v>
      </c>
      <c r="U36" s="93">
        <v>97</v>
      </c>
      <c r="V36" s="104">
        <f t="shared" si="2"/>
        <v>2134</v>
      </c>
      <c r="W36" s="93">
        <v>12</v>
      </c>
      <c r="X36" s="93" t="s">
        <v>46</v>
      </c>
      <c r="Y36" s="93" t="s">
        <v>69</v>
      </c>
      <c r="Z36" s="93" t="s">
        <v>55</v>
      </c>
      <c r="AA36" s="93" t="s">
        <v>47</v>
      </c>
      <c r="AB36" s="53" t="s">
        <v>158</v>
      </c>
    </row>
    <row r="37" spans="1:28" x14ac:dyDescent="0.15">
      <c r="A37" s="93" t="s">
        <v>51</v>
      </c>
      <c r="B37" s="93" t="s">
        <v>157</v>
      </c>
      <c r="C37" s="93">
        <v>2019</v>
      </c>
      <c r="D37" s="101" t="s">
        <v>261</v>
      </c>
      <c r="E37" s="93" t="s">
        <v>210</v>
      </c>
      <c r="F37" s="93" t="s">
        <v>264</v>
      </c>
      <c r="G37" s="93" t="s">
        <v>42</v>
      </c>
      <c r="H37" s="93" t="s">
        <v>160</v>
      </c>
      <c r="I37" s="93" t="s">
        <v>159</v>
      </c>
      <c r="J37" s="93" t="s">
        <v>38</v>
      </c>
      <c r="L37" s="93">
        <v>3</v>
      </c>
      <c r="N37" s="93">
        <v>1</v>
      </c>
      <c r="O37" s="93">
        <v>1</v>
      </c>
      <c r="P37" s="93">
        <v>0.9</v>
      </c>
      <c r="Q37" s="102">
        <f t="shared" si="0"/>
        <v>0.95</v>
      </c>
      <c r="R37" s="93">
        <v>15</v>
      </c>
      <c r="S37" s="93">
        <v>150</v>
      </c>
      <c r="T37" s="103">
        <f t="shared" si="1"/>
        <v>22</v>
      </c>
      <c r="U37" s="93">
        <v>97</v>
      </c>
      <c r="V37" s="104">
        <f t="shared" si="2"/>
        <v>2134</v>
      </c>
      <c r="W37" s="93">
        <v>12</v>
      </c>
      <c r="X37" s="93" t="s">
        <v>46</v>
      </c>
      <c r="Y37" s="93" t="s">
        <v>69</v>
      </c>
      <c r="Z37" s="93" t="s">
        <v>55</v>
      </c>
      <c r="AA37" s="93" t="s">
        <v>47</v>
      </c>
      <c r="AB37" s="53" t="s">
        <v>158</v>
      </c>
    </row>
    <row r="38" spans="1:28" x14ac:dyDescent="0.15">
      <c r="A38" s="93" t="s">
        <v>51</v>
      </c>
      <c r="B38" s="93" t="s">
        <v>157</v>
      </c>
      <c r="C38" s="93">
        <v>2019</v>
      </c>
      <c r="D38" s="101" t="s">
        <v>261</v>
      </c>
      <c r="E38" s="93" t="s">
        <v>272</v>
      </c>
      <c r="F38" s="93" t="s">
        <v>264</v>
      </c>
      <c r="G38" s="93" t="s">
        <v>42</v>
      </c>
      <c r="H38" s="93" t="s">
        <v>164</v>
      </c>
      <c r="I38" s="93" t="s">
        <v>159</v>
      </c>
      <c r="J38" s="93" t="s">
        <v>38</v>
      </c>
      <c r="L38" s="93">
        <v>1</v>
      </c>
      <c r="N38" s="93">
        <v>5</v>
      </c>
      <c r="O38" s="93">
        <v>0.75</v>
      </c>
      <c r="P38" s="93">
        <v>0.8</v>
      </c>
      <c r="Q38" s="102">
        <f t="shared" si="0"/>
        <v>0.77500000000000002</v>
      </c>
      <c r="R38" s="93">
        <v>19.100000000000001</v>
      </c>
      <c r="S38" s="93">
        <v>80</v>
      </c>
      <c r="T38" s="103">
        <f t="shared" si="1"/>
        <v>39</v>
      </c>
      <c r="U38" s="93">
        <v>298</v>
      </c>
      <c r="V38" s="104">
        <f t="shared" si="2"/>
        <v>2324.4</v>
      </c>
      <c r="W38" s="93">
        <v>28</v>
      </c>
      <c r="X38" s="93" t="s">
        <v>46</v>
      </c>
      <c r="Y38" s="93" t="s">
        <v>55</v>
      </c>
      <c r="Z38" s="93" t="s">
        <v>47</v>
      </c>
      <c r="AA38" s="93" t="s">
        <v>69</v>
      </c>
      <c r="AB38" s="53" t="s">
        <v>158</v>
      </c>
    </row>
    <row r="39" spans="1:28" x14ac:dyDescent="0.15">
      <c r="A39" s="93" t="s">
        <v>51</v>
      </c>
      <c r="B39" s="93" t="s">
        <v>157</v>
      </c>
      <c r="C39" s="93">
        <v>2019</v>
      </c>
      <c r="D39" s="101" t="s">
        <v>261</v>
      </c>
      <c r="E39" s="93" t="s">
        <v>272</v>
      </c>
      <c r="F39" s="93" t="s">
        <v>264</v>
      </c>
      <c r="G39" s="93" t="s">
        <v>42</v>
      </c>
      <c r="H39" s="93" t="s">
        <v>164</v>
      </c>
      <c r="I39" s="93" t="s">
        <v>159</v>
      </c>
      <c r="J39" s="93" t="s">
        <v>38</v>
      </c>
      <c r="L39" s="93">
        <v>2</v>
      </c>
      <c r="N39" s="93">
        <v>5</v>
      </c>
      <c r="O39" s="93">
        <v>0.8</v>
      </c>
      <c r="P39" s="93">
        <v>0.7</v>
      </c>
      <c r="Q39" s="102">
        <f t="shared" si="0"/>
        <v>0.75</v>
      </c>
      <c r="R39" s="93">
        <v>18.2</v>
      </c>
      <c r="S39" s="93">
        <v>89</v>
      </c>
      <c r="T39" s="103">
        <f t="shared" si="1"/>
        <v>36</v>
      </c>
      <c r="U39" s="93">
        <v>298</v>
      </c>
      <c r="V39" s="104">
        <f t="shared" si="2"/>
        <v>2145.6</v>
      </c>
      <c r="W39" s="93">
        <v>28</v>
      </c>
      <c r="X39" s="93" t="s">
        <v>46</v>
      </c>
      <c r="Y39" s="93" t="s">
        <v>55</v>
      </c>
      <c r="Z39" s="93" t="s">
        <v>47</v>
      </c>
      <c r="AA39" s="93" t="s">
        <v>69</v>
      </c>
      <c r="AB39" s="53" t="s">
        <v>158</v>
      </c>
    </row>
    <row r="40" spans="1:28" x14ac:dyDescent="0.15">
      <c r="A40" s="93" t="s">
        <v>51</v>
      </c>
      <c r="B40" s="93" t="s">
        <v>157</v>
      </c>
      <c r="C40" s="93">
        <v>2019</v>
      </c>
      <c r="D40" s="101" t="s">
        <v>261</v>
      </c>
      <c r="E40" s="93" t="s">
        <v>272</v>
      </c>
      <c r="F40" s="93" t="s">
        <v>264</v>
      </c>
      <c r="G40" s="93" t="s">
        <v>42</v>
      </c>
      <c r="H40" s="93" t="s">
        <v>164</v>
      </c>
      <c r="I40" s="93" t="s">
        <v>159</v>
      </c>
      <c r="J40" s="93" t="s">
        <v>38</v>
      </c>
      <c r="L40" s="93">
        <v>3</v>
      </c>
      <c r="N40" s="93">
        <v>5</v>
      </c>
      <c r="O40" s="93">
        <v>0.75</v>
      </c>
      <c r="P40" s="93">
        <v>0.75</v>
      </c>
      <c r="Q40" s="102">
        <f t="shared" si="0"/>
        <v>0.75</v>
      </c>
      <c r="R40" s="93">
        <v>18.5</v>
      </c>
      <c r="S40" s="93">
        <v>87</v>
      </c>
      <c r="T40" s="103">
        <f t="shared" si="1"/>
        <v>36</v>
      </c>
      <c r="U40" s="93">
        <v>298</v>
      </c>
      <c r="V40" s="104">
        <f t="shared" si="2"/>
        <v>2145.6</v>
      </c>
      <c r="W40" s="93">
        <v>28</v>
      </c>
      <c r="X40" s="93" t="s">
        <v>46</v>
      </c>
      <c r="Y40" s="93" t="s">
        <v>55</v>
      </c>
      <c r="Z40" s="93" t="s">
        <v>47</v>
      </c>
      <c r="AA40" s="93" t="s">
        <v>69</v>
      </c>
      <c r="AB40" s="53" t="s">
        <v>158</v>
      </c>
    </row>
    <row r="41" spans="1:28" x14ac:dyDescent="0.15">
      <c r="A41" s="93" t="s">
        <v>51</v>
      </c>
      <c r="B41" s="93" t="s">
        <v>157</v>
      </c>
      <c r="C41" s="93">
        <v>2019</v>
      </c>
      <c r="D41" s="101" t="s">
        <v>261</v>
      </c>
      <c r="E41" s="93" t="s">
        <v>272</v>
      </c>
      <c r="F41" s="93" t="s">
        <v>264</v>
      </c>
      <c r="G41" s="93" t="s">
        <v>42</v>
      </c>
      <c r="H41" s="93" t="s">
        <v>160</v>
      </c>
      <c r="I41" s="93" t="s">
        <v>159</v>
      </c>
      <c r="J41" s="93" t="s">
        <v>38</v>
      </c>
      <c r="L41" s="93">
        <v>1</v>
      </c>
      <c r="N41" s="93">
        <v>1</v>
      </c>
      <c r="O41" s="93">
        <v>0.65</v>
      </c>
      <c r="P41" s="93">
        <v>0.75</v>
      </c>
      <c r="Q41" s="102">
        <f t="shared" si="0"/>
        <v>0.7</v>
      </c>
      <c r="R41" s="93">
        <v>17.600000000000001</v>
      </c>
      <c r="S41" s="93">
        <v>108</v>
      </c>
      <c r="T41" s="103">
        <f t="shared" si="1"/>
        <v>33</v>
      </c>
      <c r="U41" s="93">
        <v>98</v>
      </c>
      <c r="V41" s="104">
        <f t="shared" si="2"/>
        <v>3234</v>
      </c>
      <c r="W41" s="93">
        <v>28</v>
      </c>
      <c r="X41" s="93" t="s">
        <v>46</v>
      </c>
      <c r="Y41" s="93" t="s">
        <v>55</v>
      </c>
      <c r="Z41" s="93" t="s">
        <v>47</v>
      </c>
      <c r="AA41" s="93" t="s">
        <v>69</v>
      </c>
      <c r="AB41" s="53" t="s">
        <v>158</v>
      </c>
    </row>
    <row r="42" spans="1:28" x14ac:dyDescent="0.15">
      <c r="A42" s="93" t="s">
        <v>51</v>
      </c>
      <c r="B42" s="93" t="s">
        <v>157</v>
      </c>
      <c r="C42" s="93">
        <v>2019</v>
      </c>
      <c r="D42" s="101" t="s">
        <v>261</v>
      </c>
      <c r="E42" s="93" t="s">
        <v>272</v>
      </c>
      <c r="F42" s="93" t="s">
        <v>264</v>
      </c>
      <c r="G42" s="93" t="s">
        <v>42</v>
      </c>
      <c r="H42" s="93" t="s">
        <v>160</v>
      </c>
      <c r="I42" s="93" t="s">
        <v>159</v>
      </c>
      <c r="J42" s="93" t="s">
        <v>38</v>
      </c>
      <c r="L42" s="93">
        <v>2</v>
      </c>
      <c r="N42" s="93">
        <v>1</v>
      </c>
      <c r="O42" s="93">
        <v>0.8</v>
      </c>
      <c r="P42" s="93">
        <v>0.75</v>
      </c>
      <c r="Q42" s="102">
        <f t="shared" si="0"/>
        <v>0.77500000000000002</v>
      </c>
      <c r="R42" s="93">
        <v>17</v>
      </c>
      <c r="S42" s="93">
        <v>114</v>
      </c>
      <c r="T42" s="103">
        <f t="shared" si="1"/>
        <v>30</v>
      </c>
      <c r="U42" s="93">
        <v>98</v>
      </c>
      <c r="V42" s="104">
        <f t="shared" si="2"/>
        <v>2940</v>
      </c>
      <c r="W42" s="93">
        <v>28</v>
      </c>
      <c r="X42" s="93" t="s">
        <v>46</v>
      </c>
      <c r="Y42" s="93" t="s">
        <v>55</v>
      </c>
      <c r="Z42" s="93" t="s">
        <v>47</v>
      </c>
      <c r="AA42" s="93" t="s">
        <v>69</v>
      </c>
      <c r="AB42" s="53" t="s">
        <v>158</v>
      </c>
    </row>
    <row r="43" spans="1:28" x14ac:dyDescent="0.15">
      <c r="A43" s="93" t="s">
        <v>51</v>
      </c>
      <c r="B43" s="93" t="s">
        <v>157</v>
      </c>
      <c r="C43" s="93">
        <v>2019</v>
      </c>
      <c r="D43" s="101" t="s">
        <v>261</v>
      </c>
      <c r="E43" s="93" t="s">
        <v>272</v>
      </c>
      <c r="F43" s="93" t="s">
        <v>264</v>
      </c>
      <c r="G43" s="93" t="s">
        <v>42</v>
      </c>
      <c r="H43" s="93" t="s">
        <v>160</v>
      </c>
      <c r="I43" s="93" t="s">
        <v>159</v>
      </c>
      <c r="J43" s="93" t="s">
        <v>38</v>
      </c>
      <c r="L43" s="93">
        <v>3</v>
      </c>
      <c r="N43" s="93">
        <v>1</v>
      </c>
      <c r="O43" s="93">
        <v>0.7</v>
      </c>
      <c r="P43" s="93">
        <v>0.7</v>
      </c>
      <c r="Q43" s="102">
        <f t="shared" si="0"/>
        <v>0.7</v>
      </c>
      <c r="R43" s="93">
        <v>16.8</v>
      </c>
      <c r="S43" s="93">
        <v>112</v>
      </c>
      <c r="T43" s="103">
        <f t="shared" si="1"/>
        <v>33</v>
      </c>
      <c r="U43" s="93">
        <v>98</v>
      </c>
      <c r="V43" s="104">
        <f t="shared" si="2"/>
        <v>3234</v>
      </c>
      <c r="W43" s="93">
        <v>28</v>
      </c>
      <c r="X43" s="93" t="s">
        <v>46</v>
      </c>
      <c r="Y43" s="93" t="s">
        <v>55</v>
      </c>
      <c r="Z43" s="93" t="s">
        <v>47</v>
      </c>
      <c r="AA43" s="93" t="s">
        <v>69</v>
      </c>
      <c r="AB43" s="53" t="s">
        <v>158</v>
      </c>
    </row>
    <row r="44" spans="1:28" x14ac:dyDescent="0.15">
      <c r="A44" s="93" t="s">
        <v>51</v>
      </c>
      <c r="B44" s="93" t="s">
        <v>157</v>
      </c>
      <c r="C44" s="93">
        <v>2019</v>
      </c>
      <c r="D44" s="101" t="s">
        <v>261</v>
      </c>
      <c r="E44" s="93" t="s">
        <v>267</v>
      </c>
      <c r="F44" s="93" t="s">
        <v>268</v>
      </c>
      <c r="G44" s="93" t="s">
        <v>42</v>
      </c>
      <c r="H44" s="93" t="s">
        <v>165</v>
      </c>
      <c r="I44" s="93" t="s">
        <v>159</v>
      </c>
      <c r="J44" s="93" t="s">
        <v>38</v>
      </c>
      <c r="L44" s="93">
        <v>1</v>
      </c>
      <c r="N44" s="93">
        <v>1</v>
      </c>
      <c r="O44" s="93">
        <v>1.1499999999999999</v>
      </c>
      <c r="P44" s="93">
        <v>1.25</v>
      </c>
      <c r="Q44" s="102">
        <f t="shared" si="0"/>
        <v>1.2</v>
      </c>
      <c r="R44" s="93">
        <v>14.8</v>
      </c>
      <c r="S44" s="93">
        <v>132</v>
      </c>
      <c r="T44" s="103">
        <f t="shared" si="1"/>
        <v>25</v>
      </c>
      <c r="U44" s="93">
        <v>99</v>
      </c>
      <c r="V44" s="104">
        <f t="shared" si="2"/>
        <v>2475</v>
      </c>
      <c r="W44" s="93">
        <v>10</v>
      </c>
      <c r="X44" s="93" t="s">
        <v>46</v>
      </c>
      <c r="Y44" s="93" t="s">
        <v>69</v>
      </c>
      <c r="Z44" s="93" t="s">
        <v>55</v>
      </c>
      <c r="AA44" s="93" t="s">
        <v>97</v>
      </c>
      <c r="AB44" s="53" t="s">
        <v>158</v>
      </c>
    </row>
    <row r="45" spans="1:28" x14ac:dyDescent="0.15">
      <c r="A45" s="93" t="s">
        <v>51</v>
      </c>
      <c r="B45" s="93" t="s">
        <v>157</v>
      </c>
      <c r="C45" s="93">
        <v>2019</v>
      </c>
      <c r="D45" s="101" t="s">
        <v>261</v>
      </c>
      <c r="E45" s="93" t="s">
        <v>267</v>
      </c>
      <c r="F45" s="93" t="s">
        <v>268</v>
      </c>
      <c r="G45" s="93" t="s">
        <v>42</v>
      </c>
      <c r="H45" s="93" t="s">
        <v>165</v>
      </c>
      <c r="I45" s="93" t="s">
        <v>159</v>
      </c>
      <c r="J45" s="93" t="s">
        <v>38</v>
      </c>
      <c r="L45" s="93">
        <v>2</v>
      </c>
      <c r="N45" s="93">
        <v>1</v>
      </c>
      <c r="O45" s="93">
        <v>1.1000000000000001</v>
      </c>
      <c r="P45" s="93">
        <v>1</v>
      </c>
      <c r="Q45" s="102">
        <f t="shared" si="0"/>
        <v>1.05</v>
      </c>
      <c r="R45" s="93">
        <v>15.3</v>
      </c>
      <c r="S45" s="93">
        <v>134</v>
      </c>
      <c r="T45" s="103">
        <f t="shared" si="1"/>
        <v>25</v>
      </c>
      <c r="U45" s="93">
        <v>99</v>
      </c>
      <c r="V45" s="104">
        <f t="shared" si="2"/>
        <v>2475</v>
      </c>
      <c r="W45" s="93">
        <v>10</v>
      </c>
      <c r="X45" s="93" t="s">
        <v>46</v>
      </c>
      <c r="Y45" s="93" t="s">
        <v>69</v>
      </c>
      <c r="Z45" s="93" t="s">
        <v>55</v>
      </c>
      <c r="AA45" s="93" t="s">
        <v>97</v>
      </c>
      <c r="AB45" s="53" t="s">
        <v>158</v>
      </c>
    </row>
    <row r="46" spans="1:28" x14ac:dyDescent="0.15">
      <c r="A46" s="93" t="s">
        <v>51</v>
      </c>
      <c r="B46" s="93" t="s">
        <v>157</v>
      </c>
      <c r="C46" s="93">
        <v>2019</v>
      </c>
      <c r="D46" s="101" t="s">
        <v>261</v>
      </c>
      <c r="E46" s="93" t="s">
        <v>267</v>
      </c>
      <c r="F46" s="93" t="s">
        <v>268</v>
      </c>
      <c r="G46" s="93" t="s">
        <v>42</v>
      </c>
      <c r="H46" s="93" t="s">
        <v>165</v>
      </c>
      <c r="I46" s="93" t="s">
        <v>159</v>
      </c>
      <c r="J46" s="93" t="s">
        <v>38</v>
      </c>
      <c r="L46" s="93">
        <v>3</v>
      </c>
      <c r="N46" s="93">
        <v>1</v>
      </c>
      <c r="O46" s="93">
        <v>0.95</v>
      </c>
      <c r="P46" s="93">
        <v>1.05</v>
      </c>
      <c r="Q46" s="102">
        <f t="shared" si="0"/>
        <v>1</v>
      </c>
      <c r="R46" s="93">
        <v>15.5</v>
      </c>
      <c r="S46" s="93">
        <v>134</v>
      </c>
      <c r="T46" s="103">
        <f t="shared" si="1"/>
        <v>25</v>
      </c>
      <c r="U46" s="93">
        <v>99</v>
      </c>
      <c r="V46" s="104">
        <f t="shared" si="2"/>
        <v>2475</v>
      </c>
      <c r="W46" s="93">
        <v>10</v>
      </c>
      <c r="X46" s="93" t="s">
        <v>46</v>
      </c>
      <c r="Y46" s="93" t="s">
        <v>69</v>
      </c>
      <c r="Z46" s="93" t="s">
        <v>55</v>
      </c>
      <c r="AA46" s="93" t="s">
        <v>97</v>
      </c>
      <c r="AB46" s="53" t="s">
        <v>158</v>
      </c>
    </row>
    <row r="47" spans="1:28" x14ac:dyDescent="0.15">
      <c r="A47" s="93" t="s">
        <v>51</v>
      </c>
      <c r="B47" s="93" t="s">
        <v>157</v>
      </c>
      <c r="C47" s="93">
        <v>2019</v>
      </c>
      <c r="D47" s="101" t="s">
        <v>261</v>
      </c>
      <c r="E47" s="93" t="s">
        <v>267</v>
      </c>
      <c r="F47" s="93" t="s">
        <v>268</v>
      </c>
      <c r="G47" s="93" t="s">
        <v>42</v>
      </c>
      <c r="H47" s="93" t="s">
        <v>160</v>
      </c>
      <c r="I47" s="93" t="s">
        <v>159</v>
      </c>
      <c r="J47" s="93" t="s">
        <v>38</v>
      </c>
      <c r="L47" s="93">
        <v>1</v>
      </c>
      <c r="N47" s="93">
        <v>1</v>
      </c>
      <c r="O47" s="93">
        <v>0.75</v>
      </c>
      <c r="P47" s="93">
        <v>0.8</v>
      </c>
      <c r="Q47" s="102">
        <f t="shared" si="0"/>
        <v>0.77500000000000002</v>
      </c>
      <c r="R47" s="93">
        <v>17.7</v>
      </c>
      <c r="S47" s="93">
        <v>140</v>
      </c>
      <c r="T47" s="103">
        <f t="shared" si="1"/>
        <v>22</v>
      </c>
      <c r="U47" s="93">
        <v>99</v>
      </c>
      <c r="V47" s="104">
        <f t="shared" si="2"/>
        <v>2178</v>
      </c>
      <c r="W47" s="93">
        <v>10</v>
      </c>
      <c r="X47" s="93" t="s">
        <v>46</v>
      </c>
      <c r="Y47" s="93" t="s">
        <v>69</v>
      </c>
      <c r="Z47" s="93" t="s">
        <v>55</v>
      </c>
      <c r="AA47" s="93" t="s">
        <v>97</v>
      </c>
      <c r="AB47" s="53" t="s">
        <v>158</v>
      </c>
    </row>
    <row r="48" spans="1:28" x14ac:dyDescent="0.15">
      <c r="A48" s="93" t="s">
        <v>51</v>
      </c>
      <c r="B48" s="93" t="s">
        <v>157</v>
      </c>
      <c r="C48" s="93">
        <v>2019</v>
      </c>
      <c r="D48" s="101" t="s">
        <v>261</v>
      </c>
      <c r="E48" s="93" t="s">
        <v>267</v>
      </c>
      <c r="F48" s="93" t="s">
        <v>268</v>
      </c>
      <c r="G48" s="93" t="s">
        <v>42</v>
      </c>
      <c r="H48" s="93" t="s">
        <v>160</v>
      </c>
      <c r="I48" s="93" t="s">
        <v>159</v>
      </c>
      <c r="J48" s="93" t="s">
        <v>38</v>
      </c>
      <c r="L48" s="93">
        <v>2</v>
      </c>
      <c r="N48" s="93">
        <v>1</v>
      </c>
      <c r="O48" s="93">
        <v>0.7</v>
      </c>
      <c r="P48" s="93">
        <v>0.65</v>
      </c>
      <c r="Q48" s="102">
        <f t="shared" si="0"/>
        <v>0.67500000000000004</v>
      </c>
      <c r="R48" s="93">
        <v>16.8</v>
      </c>
      <c r="S48" s="93">
        <v>126</v>
      </c>
      <c r="T48" s="103">
        <f t="shared" si="1"/>
        <v>27</v>
      </c>
      <c r="U48" s="93">
        <v>99</v>
      </c>
      <c r="V48" s="104">
        <f t="shared" si="2"/>
        <v>2673</v>
      </c>
      <c r="W48" s="93">
        <v>10</v>
      </c>
      <c r="X48" s="93" t="s">
        <v>46</v>
      </c>
      <c r="Y48" s="93" t="s">
        <v>69</v>
      </c>
      <c r="Z48" s="93" t="s">
        <v>55</v>
      </c>
      <c r="AA48" s="93" t="s">
        <v>97</v>
      </c>
      <c r="AB48" s="53" t="s">
        <v>158</v>
      </c>
    </row>
    <row r="49" spans="1:28" x14ac:dyDescent="0.15">
      <c r="A49" s="93" t="s">
        <v>51</v>
      </c>
      <c r="B49" s="93" t="s">
        <v>157</v>
      </c>
      <c r="C49" s="93">
        <v>2019</v>
      </c>
      <c r="D49" s="101" t="s">
        <v>261</v>
      </c>
      <c r="E49" s="93" t="s">
        <v>267</v>
      </c>
      <c r="F49" s="93" t="s">
        <v>268</v>
      </c>
      <c r="G49" s="93" t="s">
        <v>42</v>
      </c>
      <c r="H49" s="93" t="s">
        <v>160</v>
      </c>
      <c r="I49" s="93" t="s">
        <v>159</v>
      </c>
      <c r="J49" s="93" t="s">
        <v>38</v>
      </c>
      <c r="L49" s="93">
        <v>3</v>
      </c>
      <c r="N49" s="93">
        <v>1</v>
      </c>
      <c r="O49" s="93">
        <v>0.7</v>
      </c>
      <c r="P49" s="93">
        <v>0.7</v>
      </c>
      <c r="Q49" s="102">
        <f t="shared" si="0"/>
        <v>0.7</v>
      </c>
      <c r="R49" s="93">
        <v>17.5</v>
      </c>
      <c r="S49" s="93">
        <v>136</v>
      </c>
      <c r="T49" s="103">
        <f t="shared" si="1"/>
        <v>25</v>
      </c>
      <c r="U49" s="93">
        <v>99</v>
      </c>
      <c r="V49" s="104">
        <f t="shared" si="2"/>
        <v>2475</v>
      </c>
      <c r="W49" s="93">
        <v>10</v>
      </c>
      <c r="X49" s="93" t="s">
        <v>46</v>
      </c>
      <c r="Y49" s="93" t="s">
        <v>69</v>
      </c>
      <c r="Z49" s="93" t="s">
        <v>55</v>
      </c>
      <c r="AA49" s="93" t="s">
        <v>97</v>
      </c>
      <c r="AB49" s="53" t="s">
        <v>158</v>
      </c>
    </row>
    <row r="50" spans="1:28" x14ac:dyDescent="0.15">
      <c r="A50" s="93" t="s">
        <v>51</v>
      </c>
      <c r="B50" s="93" t="s">
        <v>157</v>
      </c>
      <c r="C50" s="93">
        <v>2019</v>
      </c>
      <c r="D50" s="101" t="s">
        <v>261</v>
      </c>
      <c r="E50" s="93" t="s">
        <v>269</v>
      </c>
      <c r="F50" s="93" t="s">
        <v>263</v>
      </c>
      <c r="G50" s="93" t="s">
        <v>36</v>
      </c>
      <c r="H50" s="93" t="s">
        <v>165</v>
      </c>
      <c r="I50" s="93" t="s">
        <v>159</v>
      </c>
      <c r="J50" s="93" t="s">
        <v>38</v>
      </c>
      <c r="L50" s="93">
        <v>1</v>
      </c>
      <c r="N50" s="93">
        <v>1</v>
      </c>
      <c r="O50" s="93">
        <v>1</v>
      </c>
      <c r="P50" s="93">
        <v>0.85</v>
      </c>
      <c r="Q50" s="102">
        <f t="shared" si="0"/>
        <v>0.92500000000000004</v>
      </c>
      <c r="R50" s="93">
        <v>14</v>
      </c>
      <c r="S50" s="93">
        <v>122</v>
      </c>
      <c r="T50" s="103">
        <f t="shared" si="1"/>
        <v>27</v>
      </c>
      <c r="U50" s="93">
        <v>98</v>
      </c>
      <c r="V50" s="104">
        <f t="shared" si="2"/>
        <v>2646</v>
      </c>
      <c r="W50" s="93">
        <v>10</v>
      </c>
      <c r="X50" s="93" t="s">
        <v>46</v>
      </c>
      <c r="Y50" s="93" t="s">
        <v>97</v>
      </c>
      <c r="Z50" s="93" t="s">
        <v>55</v>
      </c>
      <c r="AA50" s="93" t="s">
        <v>69</v>
      </c>
      <c r="AB50" s="53" t="s">
        <v>158</v>
      </c>
    </row>
    <row r="51" spans="1:28" x14ac:dyDescent="0.15">
      <c r="A51" s="93" t="s">
        <v>51</v>
      </c>
      <c r="B51" s="93" t="s">
        <v>157</v>
      </c>
      <c r="C51" s="93">
        <v>2019</v>
      </c>
      <c r="D51" s="101" t="s">
        <v>261</v>
      </c>
      <c r="E51" s="93" t="s">
        <v>269</v>
      </c>
      <c r="F51" s="93" t="s">
        <v>263</v>
      </c>
      <c r="G51" s="93" t="s">
        <v>36</v>
      </c>
      <c r="H51" s="93" t="s">
        <v>165</v>
      </c>
      <c r="I51" s="93" t="s">
        <v>159</v>
      </c>
      <c r="J51" s="93" t="s">
        <v>38</v>
      </c>
      <c r="L51" s="93">
        <v>2</v>
      </c>
      <c r="N51" s="93">
        <v>1</v>
      </c>
      <c r="O51" s="93">
        <v>1.05</v>
      </c>
      <c r="P51" s="93">
        <v>1.1000000000000001</v>
      </c>
      <c r="Q51" s="102">
        <f t="shared" si="0"/>
        <v>1.0750000000000002</v>
      </c>
      <c r="R51" s="93">
        <v>13.7</v>
      </c>
      <c r="S51" s="93">
        <v>114</v>
      </c>
      <c r="T51" s="103">
        <f t="shared" si="1"/>
        <v>30</v>
      </c>
      <c r="U51" s="93">
        <v>98</v>
      </c>
      <c r="V51" s="104">
        <f t="shared" si="2"/>
        <v>2940</v>
      </c>
      <c r="W51" s="93">
        <v>10</v>
      </c>
      <c r="X51" s="93" t="s">
        <v>46</v>
      </c>
      <c r="Y51" s="93" t="s">
        <v>97</v>
      </c>
      <c r="Z51" s="93" t="s">
        <v>55</v>
      </c>
      <c r="AA51" s="93" t="s">
        <v>69</v>
      </c>
      <c r="AB51" s="53" t="s">
        <v>158</v>
      </c>
    </row>
    <row r="52" spans="1:28" x14ac:dyDescent="0.15">
      <c r="A52" s="93" t="s">
        <v>51</v>
      </c>
      <c r="B52" s="93" t="s">
        <v>157</v>
      </c>
      <c r="C52" s="93">
        <v>2019</v>
      </c>
      <c r="D52" s="101" t="s">
        <v>261</v>
      </c>
      <c r="E52" s="93" t="s">
        <v>269</v>
      </c>
      <c r="F52" s="93" t="s">
        <v>263</v>
      </c>
      <c r="G52" s="93" t="s">
        <v>36</v>
      </c>
      <c r="H52" s="93" t="s">
        <v>165</v>
      </c>
      <c r="I52" s="93" t="s">
        <v>159</v>
      </c>
      <c r="J52" s="93" t="s">
        <v>38</v>
      </c>
      <c r="L52" s="93">
        <v>3</v>
      </c>
      <c r="N52" s="93">
        <v>1</v>
      </c>
      <c r="O52" s="93">
        <v>0.95</v>
      </c>
      <c r="P52" s="93">
        <v>1</v>
      </c>
      <c r="Q52" s="102">
        <f t="shared" si="0"/>
        <v>0.97499999999999998</v>
      </c>
      <c r="R52" s="93">
        <v>13.9</v>
      </c>
      <c r="S52" s="93">
        <v>114</v>
      </c>
      <c r="T52" s="103">
        <f t="shared" si="1"/>
        <v>30</v>
      </c>
      <c r="U52" s="93">
        <v>98</v>
      </c>
      <c r="V52" s="104">
        <f t="shared" si="2"/>
        <v>2940</v>
      </c>
      <c r="W52" s="93">
        <v>10</v>
      </c>
      <c r="X52" s="93" t="s">
        <v>46</v>
      </c>
      <c r="Y52" s="93" t="s">
        <v>97</v>
      </c>
      <c r="Z52" s="93" t="s">
        <v>55</v>
      </c>
      <c r="AA52" s="93" t="s">
        <v>69</v>
      </c>
      <c r="AB52" s="53" t="s">
        <v>158</v>
      </c>
    </row>
    <row r="53" spans="1:28" x14ac:dyDescent="0.15">
      <c r="A53" s="93" t="s">
        <v>51</v>
      </c>
      <c r="B53" s="93" t="s">
        <v>157</v>
      </c>
      <c r="C53" s="93">
        <v>2019</v>
      </c>
      <c r="D53" s="101" t="s">
        <v>261</v>
      </c>
      <c r="E53" s="93" t="s">
        <v>269</v>
      </c>
      <c r="F53" s="93" t="s">
        <v>263</v>
      </c>
      <c r="G53" s="93" t="s">
        <v>36</v>
      </c>
      <c r="H53" s="93" t="s">
        <v>160</v>
      </c>
      <c r="I53" s="93" t="s">
        <v>159</v>
      </c>
      <c r="J53" s="93" t="s">
        <v>38</v>
      </c>
      <c r="L53" s="93">
        <v>1</v>
      </c>
      <c r="N53" s="93">
        <v>1</v>
      </c>
      <c r="O53" s="93">
        <v>0.7</v>
      </c>
      <c r="P53" s="93">
        <v>0.75</v>
      </c>
      <c r="Q53" s="102">
        <f t="shared" si="0"/>
        <v>0.72499999999999998</v>
      </c>
      <c r="R53" s="93">
        <v>14.5</v>
      </c>
      <c r="S53" s="93">
        <v>114</v>
      </c>
      <c r="T53" s="103">
        <f t="shared" si="1"/>
        <v>30</v>
      </c>
      <c r="U53" s="93">
        <v>98</v>
      </c>
      <c r="V53" s="104">
        <f t="shared" si="2"/>
        <v>2940</v>
      </c>
      <c r="W53" s="93">
        <v>10</v>
      </c>
      <c r="X53" s="93" t="s">
        <v>46</v>
      </c>
      <c r="Y53" s="93" t="s">
        <v>97</v>
      </c>
      <c r="Z53" s="93" t="s">
        <v>55</v>
      </c>
      <c r="AA53" s="93" t="s">
        <v>69</v>
      </c>
      <c r="AB53" s="53" t="s">
        <v>158</v>
      </c>
    </row>
    <row r="54" spans="1:28" x14ac:dyDescent="0.15">
      <c r="A54" s="93" t="s">
        <v>51</v>
      </c>
      <c r="B54" s="93" t="s">
        <v>157</v>
      </c>
      <c r="C54" s="93">
        <v>2019</v>
      </c>
      <c r="D54" s="101" t="s">
        <v>261</v>
      </c>
      <c r="E54" s="93" t="s">
        <v>269</v>
      </c>
      <c r="F54" s="93" t="s">
        <v>263</v>
      </c>
      <c r="G54" s="93" t="s">
        <v>36</v>
      </c>
      <c r="H54" s="93" t="s">
        <v>160</v>
      </c>
      <c r="I54" s="93" t="s">
        <v>159</v>
      </c>
      <c r="J54" s="93" t="s">
        <v>38</v>
      </c>
      <c r="L54" s="93">
        <v>2</v>
      </c>
      <c r="N54" s="93">
        <v>1</v>
      </c>
      <c r="O54" s="93">
        <v>0.75</v>
      </c>
      <c r="P54" s="93">
        <v>0.75</v>
      </c>
      <c r="Q54" s="102">
        <f t="shared" si="0"/>
        <v>0.75</v>
      </c>
      <c r="R54" s="93">
        <v>14.1</v>
      </c>
      <c r="S54" s="93">
        <v>110</v>
      </c>
      <c r="T54" s="103">
        <f t="shared" si="1"/>
        <v>33</v>
      </c>
      <c r="U54" s="93">
        <v>98</v>
      </c>
      <c r="V54" s="104">
        <f t="shared" si="2"/>
        <v>3234</v>
      </c>
      <c r="W54" s="93">
        <v>10</v>
      </c>
      <c r="X54" s="93" t="s">
        <v>46</v>
      </c>
      <c r="Y54" s="93" t="s">
        <v>97</v>
      </c>
      <c r="Z54" s="93" t="s">
        <v>55</v>
      </c>
      <c r="AA54" s="93" t="s">
        <v>69</v>
      </c>
      <c r="AB54" s="53" t="s">
        <v>158</v>
      </c>
    </row>
    <row r="55" spans="1:28" x14ac:dyDescent="0.15">
      <c r="A55" s="93" t="s">
        <v>51</v>
      </c>
      <c r="B55" s="93" t="s">
        <v>157</v>
      </c>
      <c r="C55" s="93">
        <v>2019</v>
      </c>
      <c r="D55" s="101" t="s">
        <v>261</v>
      </c>
      <c r="E55" s="93" t="s">
        <v>269</v>
      </c>
      <c r="F55" s="93" t="s">
        <v>263</v>
      </c>
      <c r="G55" s="93" t="s">
        <v>36</v>
      </c>
      <c r="H55" s="93" t="s">
        <v>160</v>
      </c>
      <c r="I55" s="93" t="s">
        <v>159</v>
      </c>
      <c r="J55" s="93" t="s">
        <v>38</v>
      </c>
      <c r="L55" s="93">
        <v>3</v>
      </c>
      <c r="N55" s="93">
        <v>1</v>
      </c>
      <c r="O55" s="93">
        <v>0.65</v>
      </c>
      <c r="P55" s="93">
        <v>0.8</v>
      </c>
      <c r="Q55" s="102">
        <f t="shared" si="0"/>
        <v>0.72500000000000009</v>
      </c>
      <c r="R55" s="93">
        <v>13.7</v>
      </c>
      <c r="S55" s="93">
        <v>106</v>
      </c>
      <c r="T55" s="103">
        <f t="shared" si="1"/>
        <v>33</v>
      </c>
      <c r="U55" s="93">
        <v>98</v>
      </c>
      <c r="V55" s="104">
        <f t="shared" si="2"/>
        <v>3234</v>
      </c>
      <c r="W55" s="93">
        <v>10</v>
      </c>
      <c r="X55" s="93" t="s">
        <v>46</v>
      </c>
      <c r="Y55" s="93" t="s">
        <v>97</v>
      </c>
      <c r="Z55" s="93" t="s">
        <v>55</v>
      </c>
      <c r="AA55" s="93" t="s">
        <v>69</v>
      </c>
      <c r="AB55" s="53" t="s">
        <v>158</v>
      </c>
    </row>
    <row r="56" spans="1:28" x14ac:dyDescent="0.15">
      <c r="A56" s="93" t="s">
        <v>51</v>
      </c>
      <c r="B56" s="93" t="s">
        <v>157</v>
      </c>
      <c r="C56" s="93">
        <v>2019</v>
      </c>
      <c r="D56" s="101" t="s">
        <v>261</v>
      </c>
      <c r="E56" s="93" t="s">
        <v>273</v>
      </c>
      <c r="F56" s="93" t="s">
        <v>274</v>
      </c>
      <c r="G56" s="93" t="s">
        <v>36</v>
      </c>
      <c r="H56" s="93" t="s">
        <v>165</v>
      </c>
      <c r="I56" s="93" t="s">
        <v>159</v>
      </c>
      <c r="J56" s="93" t="s">
        <v>38</v>
      </c>
      <c r="L56" s="93">
        <v>1</v>
      </c>
      <c r="N56" s="93">
        <v>1</v>
      </c>
      <c r="O56" s="93">
        <v>0.85</v>
      </c>
      <c r="P56" s="93">
        <v>0.8</v>
      </c>
      <c r="Q56" s="102">
        <f t="shared" si="0"/>
        <v>0.82499999999999996</v>
      </c>
      <c r="R56" s="93">
        <v>16.600000000000001</v>
      </c>
      <c r="S56" s="93">
        <v>146</v>
      </c>
      <c r="T56" s="103">
        <f t="shared" si="1"/>
        <v>22</v>
      </c>
      <c r="U56" s="93">
        <v>98</v>
      </c>
      <c r="V56" s="104">
        <f t="shared" si="2"/>
        <v>2156</v>
      </c>
      <c r="W56" s="93">
        <v>12</v>
      </c>
      <c r="X56" s="93" t="s">
        <v>46</v>
      </c>
      <c r="Y56" s="93" t="s">
        <v>55</v>
      </c>
      <c r="Z56" s="93" t="s">
        <v>97</v>
      </c>
      <c r="AA56" s="93" t="s">
        <v>47</v>
      </c>
      <c r="AB56" s="53" t="s">
        <v>158</v>
      </c>
    </row>
    <row r="57" spans="1:28" x14ac:dyDescent="0.15">
      <c r="A57" s="93" t="s">
        <v>51</v>
      </c>
      <c r="B57" s="93" t="s">
        <v>157</v>
      </c>
      <c r="C57" s="93">
        <v>2019</v>
      </c>
      <c r="D57" s="101" t="s">
        <v>261</v>
      </c>
      <c r="E57" s="93" t="s">
        <v>273</v>
      </c>
      <c r="F57" s="93" t="s">
        <v>274</v>
      </c>
      <c r="G57" s="93" t="s">
        <v>36</v>
      </c>
      <c r="H57" s="93" t="s">
        <v>165</v>
      </c>
      <c r="I57" s="93" t="s">
        <v>159</v>
      </c>
      <c r="J57" s="93" t="s">
        <v>38</v>
      </c>
      <c r="L57" s="93">
        <v>2</v>
      </c>
      <c r="N57" s="93">
        <v>1</v>
      </c>
      <c r="O57" s="93">
        <v>0.9</v>
      </c>
      <c r="P57" s="93">
        <v>0.8</v>
      </c>
      <c r="Q57" s="102">
        <f t="shared" si="0"/>
        <v>0.85000000000000009</v>
      </c>
      <c r="R57" s="93">
        <v>16.399999999999999</v>
      </c>
      <c r="S57" s="93">
        <v>146</v>
      </c>
      <c r="T57" s="103">
        <f t="shared" si="1"/>
        <v>22</v>
      </c>
      <c r="U57" s="93">
        <v>98</v>
      </c>
      <c r="V57" s="104">
        <f t="shared" si="2"/>
        <v>2156</v>
      </c>
      <c r="W57" s="93">
        <v>12</v>
      </c>
      <c r="X57" s="93" t="s">
        <v>46</v>
      </c>
      <c r="Y57" s="93" t="s">
        <v>55</v>
      </c>
      <c r="Z57" s="93" t="s">
        <v>97</v>
      </c>
      <c r="AA57" s="93" t="s">
        <v>47</v>
      </c>
      <c r="AB57" s="53" t="s">
        <v>158</v>
      </c>
    </row>
    <row r="58" spans="1:28" x14ac:dyDescent="0.15">
      <c r="A58" s="93" t="s">
        <v>51</v>
      </c>
      <c r="B58" s="93" t="s">
        <v>157</v>
      </c>
      <c r="C58" s="93">
        <v>2019</v>
      </c>
      <c r="D58" s="101" t="s">
        <v>261</v>
      </c>
      <c r="E58" s="93" t="s">
        <v>273</v>
      </c>
      <c r="F58" s="93" t="s">
        <v>274</v>
      </c>
      <c r="G58" s="93" t="s">
        <v>36</v>
      </c>
      <c r="H58" s="93" t="s">
        <v>165</v>
      </c>
      <c r="I58" s="93" t="s">
        <v>159</v>
      </c>
      <c r="J58" s="93" t="s">
        <v>38</v>
      </c>
      <c r="L58" s="93">
        <v>3</v>
      </c>
      <c r="N58" s="93">
        <v>1</v>
      </c>
      <c r="O58" s="93">
        <v>0.85</v>
      </c>
      <c r="P58" s="93">
        <v>0.95</v>
      </c>
      <c r="Q58" s="102">
        <f t="shared" si="0"/>
        <v>0.89999999999999991</v>
      </c>
      <c r="R58" s="93">
        <v>15.4</v>
      </c>
      <c r="S58" s="93">
        <v>138</v>
      </c>
      <c r="T58" s="103">
        <f t="shared" si="1"/>
        <v>22</v>
      </c>
      <c r="U58" s="93">
        <v>98</v>
      </c>
      <c r="V58" s="104">
        <f t="shared" si="2"/>
        <v>2156</v>
      </c>
      <c r="W58" s="93">
        <v>12</v>
      </c>
      <c r="X58" s="93" t="s">
        <v>46</v>
      </c>
      <c r="Y58" s="93" t="s">
        <v>55</v>
      </c>
      <c r="Z58" s="93" t="s">
        <v>97</v>
      </c>
      <c r="AA58" s="93" t="s">
        <v>47</v>
      </c>
      <c r="AB58" s="53" t="s">
        <v>158</v>
      </c>
    </row>
    <row r="59" spans="1:28" x14ac:dyDescent="0.15">
      <c r="A59" s="93" t="s">
        <v>51</v>
      </c>
      <c r="B59" s="93" t="s">
        <v>157</v>
      </c>
      <c r="C59" s="93">
        <v>2019</v>
      </c>
      <c r="D59" s="101" t="s">
        <v>261</v>
      </c>
      <c r="E59" s="93" t="s">
        <v>273</v>
      </c>
      <c r="F59" s="93" t="s">
        <v>274</v>
      </c>
      <c r="G59" s="93" t="s">
        <v>36</v>
      </c>
      <c r="H59" s="93" t="s">
        <v>160</v>
      </c>
      <c r="I59" s="93" t="s">
        <v>159</v>
      </c>
      <c r="J59" s="93" t="s">
        <v>38</v>
      </c>
      <c r="L59" s="93">
        <v>1</v>
      </c>
      <c r="N59" s="93">
        <v>1</v>
      </c>
      <c r="O59" s="93">
        <v>0.75</v>
      </c>
      <c r="P59" s="93">
        <v>0.9</v>
      </c>
      <c r="Q59" s="102">
        <f t="shared" si="0"/>
        <v>0.82499999999999996</v>
      </c>
      <c r="R59" s="93">
        <v>15.3</v>
      </c>
      <c r="S59" s="93">
        <v>132</v>
      </c>
      <c r="T59" s="103">
        <f t="shared" si="1"/>
        <v>25</v>
      </c>
      <c r="U59" s="93">
        <v>98</v>
      </c>
      <c r="V59" s="104">
        <f t="shared" si="2"/>
        <v>2450</v>
      </c>
      <c r="W59" s="93">
        <v>12</v>
      </c>
      <c r="X59" s="93" t="s">
        <v>46</v>
      </c>
      <c r="Y59" s="93" t="s">
        <v>55</v>
      </c>
      <c r="Z59" s="93" t="s">
        <v>97</v>
      </c>
      <c r="AA59" s="93" t="s">
        <v>47</v>
      </c>
      <c r="AB59" s="53" t="s">
        <v>158</v>
      </c>
    </row>
    <row r="60" spans="1:28" x14ac:dyDescent="0.15">
      <c r="A60" s="93" t="s">
        <v>51</v>
      </c>
      <c r="B60" s="93" t="s">
        <v>157</v>
      </c>
      <c r="C60" s="93">
        <v>2019</v>
      </c>
      <c r="D60" s="101" t="s">
        <v>261</v>
      </c>
      <c r="E60" s="93" t="s">
        <v>273</v>
      </c>
      <c r="F60" s="93" t="s">
        <v>274</v>
      </c>
      <c r="G60" s="93" t="s">
        <v>36</v>
      </c>
      <c r="H60" s="93" t="s">
        <v>160</v>
      </c>
      <c r="I60" s="93" t="s">
        <v>159</v>
      </c>
      <c r="J60" s="93" t="s">
        <v>38</v>
      </c>
      <c r="L60" s="93">
        <v>2</v>
      </c>
      <c r="N60" s="93">
        <v>1</v>
      </c>
      <c r="O60" s="93">
        <v>0.85</v>
      </c>
      <c r="P60" s="93">
        <v>0.85</v>
      </c>
      <c r="Q60" s="102">
        <f t="shared" si="0"/>
        <v>0.85</v>
      </c>
      <c r="R60" s="93">
        <v>15</v>
      </c>
      <c r="S60" s="93">
        <v>132</v>
      </c>
      <c r="T60" s="103">
        <f t="shared" si="1"/>
        <v>25</v>
      </c>
      <c r="U60" s="93">
        <v>98</v>
      </c>
      <c r="V60" s="104">
        <f t="shared" si="2"/>
        <v>2450</v>
      </c>
      <c r="W60" s="93">
        <v>12</v>
      </c>
      <c r="X60" s="93" t="s">
        <v>46</v>
      </c>
      <c r="Y60" s="93" t="s">
        <v>55</v>
      </c>
      <c r="Z60" s="93" t="s">
        <v>97</v>
      </c>
      <c r="AA60" s="93" t="s">
        <v>47</v>
      </c>
      <c r="AB60" s="53" t="s">
        <v>158</v>
      </c>
    </row>
    <row r="61" spans="1:28" x14ac:dyDescent="0.15">
      <c r="A61" s="93" t="s">
        <v>51</v>
      </c>
      <c r="B61" s="93" t="s">
        <v>157</v>
      </c>
      <c r="C61" s="93">
        <v>2019</v>
      </c>
      <c r="D61" s="101" t="s">
        <v>261</v>
      </c>
      <c r="E61" s="93" t="s">
        <v>273</v>
      </c>
      <c r="F61" s="93" t="s">
        <v>274</v>
      </c>
      <c r="G61" s="93" t="s">
        <v>36</v>
      </c>
      <c r="H61" s="93" t="s">
        <v>160</v>
      </c>
      <c r="I61" s="93" t="s">
        <v>159</v>
      </c>
      <c r="J61" s="93" t="s">
        <v>38</v>
      </c>
      <c r="L61" s="93">
        <v>3</v>
      </c>
      <c r="N61" s="93">
        <v>1</v>
      </c>
      <c r="O61" s="93">
        <v>0.9</v>
      </c>
      <c r="P61" s="93">
        <v>0.85</v>
      </c>
      <c r="Q61" s="102">
        <f t="shared" si="0"/>
        <v>0.875</v>
      </c>
      <c r="R61" s="93">
        <v>14.7</v>
      </c>
      <c r="S61" s="93">
        <v>130</v>
      </c>
      <c r="T61" s="103">
        <f t="shared" si="1"/>
        <v>25</v>
      </c>
      <c r="U61" s="93">
        <v>98</v>
      </c>
      <c r="V61" s="104">
        <f t="shared" si="2"/>
        <v>2450</v>
      </c>
      <c r="W61" s="93">
        <v>12</v>
      </c>
      <c r="X61" s="93" t="s">
        <v>46</v>
      </c>
      <c r="Y61" s="93" t="s">
        <v>55</v>
      </c>
      <c r="Z61" s="93" t="s">
        <v>97</v>
      </c>
      <c r="AA61" s="93" t="s">
        <v>47</v>
      </c>
      <c r="AB61" s="53" t="s">
        <v>158</v>
      </c>
    </row>
    <row r="62" spans="1:28" x14ac:dyDescent="0.15">
      <c r="A62" s="93" t="s">
        <v>51</v>
      </c>
      <c r="B62" s="93" t="s">
        <v>157</v>
      </c>
      <c r="C62" s="93">
        <v>2019</v>
      </c>
      <c r="D62" s="101" t="s">
        <v>261</v>
      </c>
      <c r="E62" s="93" t="s">
        <v>275</v>
      </c>
      <c r="F62" s="93" t="s">
        <v>263</v>
      </c>
      <c r="G62" s="93" t="s">
        <v>42</v>
      </c>
      <c r="H62" s="93" t="s">
        <v>165</v>
      </c>
      <c r="I62" s="93" t="s">
        <v>159</v>
      </c>
      <c r="J62" s="93" t="s">
        <v>38</v>
      </c>
      <c r="L62" s="93">
        <v>1</v>
      </c>
      <c r="N62" s="93">
        <v>1</v>
      </c>
      <c r="O62" s="93">
        <v>0.75</v>
      </c>
      <c r="P62" s="93">
        <v>0.85</v>
      </c>
      <c r="Q62" s="102">
        <f t="shared" si="0"/>
        <v>0.8</v>
      </c>
      <c r="R62" s="93">
        <v>14.7</v>
      </c>
      <c r="S62" s="93">
        <v>120</v>
      </c>
      <c r="T62" s="103">
        <f t="shared" si="1"/>
        <v>30</v>
      </c>
      <c r="U62" s="93">
        <v>98</v>
      </c>
      <c r="V62" s="104">
        <f t="shared" si="2"/>
        <v>2940</v>
      </c>
      <c r="W62" s="93">
        <v>8</v>
      </c>
      <c r="X62" s="93" t="s">
        <v>46</v>
      </c>
      <c r="Y62" s="93" t="s">
        <v>47</v>
      </c>
      <c r="Z62" s="93" t="s">
        <v>69</v>
      </c>
      <c r="AA62" s="93" t="s">
        <v>55</v>
      </c>
      <c r="AB62" s="53" t="s">
        <v>158</v>
      </c>
    </row>
    <row r="63" spans="1:28" x14ac:dyDescent="0.15">
      <c r="A63" s="93" t="s">
        <v>51</v>
      </c>
      <c r="B63" s="93" t="s">
        <v>157</v>
      </c>
      <c r="C63" s="93">
        <v>2019</v>
      </c>
      <c r="D63" s="101" t="s">
        <v>261</v>
      </c>
      <c r="E63" s="93" t="s">
        <v>275</v>
      </c>
      <c r="F63" s="93" t="s">
        <v>263</v>
      </c>
      <c r="G63" s="93" t="s">
        <v>42</v>
      </c>
      <c r="H63" s="93" t="s">
        <v>165</v>
      </c>
      <c r="I63" s="93" t="s">
        <v>159</v>
      </c>
      <c r="J63" s="93" t="s">
        <v>38</v>
      </c>
      <c r="L63" s="93">
        <v>2</v>
      </c>
      <c r="N63" s="93">
        <v>1</v>
      </c>
      <c r="O63" s="93">
        <v>0.8</v>
      </c>
      <c r="P63" s="93">
        <v>0.75</v>
      </c>
      <c r="Q63" s="102">
        <f t="shared" si="0"/>
        <v>0.77500000000000002</v>
      </c>
      <c r="R63" s="93">
        <v>15.3</v>
      </c>
      <c r="S63" s="93">
        <v>126</v>
      </c>
      <c r="T63" s="103">
        <f t="shared" si="1"/>
        <v>27</v>
      </c>
      <c r="U63" s="93">
        <v>98</v>
      </c>
      <c r="V63" s="104">
        <f t="shared" si="2"/>
        <v>2646</v>
      </c>
      <c r="W63" s="93">
        <v>8</v>
      </c>
      <c r="X63" s="93" t="s">
        <v>46</v>
      </c>
      <c r="Y63" s="93" t="s">
        <v>47</v>
      </c>
      <c r="Z63" s="93" t="s">
        <v>69</v>
      </c>
      <c r="AA63" s="93" t="s">
        <v>55</v>
      </c>
      <c r="AB63" s="53" t="s">
        <v>158</v>
      </c>
    </row>
    <row r="64" spans="1:28" x14ac:dyDescent="0.15">
      <c r="A64" s="93" t="s">
        <v>51</v>
      </c>
      <c r="B64" s="93" t="s">
        <v>157</v>
      </c>
      <c r="C64" s="93">
        <v>2019</v>
      </c>
      <c r="D64" s="101" t="s">
        <v>261</v>
      </c>
      <c r="E64" s="93" t="s">
        <v>275</v>
      </c>
      <c r="F64" s="93" t="s">
        <v>263</v>
      </c>
      <c r="G64" s="93" t="s">
        <v>42</v>
      </c>
      <c r="H64" s="93" t="s">
        <v>165</v>
      </c>
      <c r="I64" s="93" t="s">
        <v>159</v>
      </c>
      <c r="J64" s="93" t="s">
        <v>38</v>
      </c>
      <c r="L64" s="93">
        <v>3</v>
      </c>
      <c r="N64" s="93">
        <v>1</v>
      </c>
      <c r="O64" s="93">
        <v>0.8</v>
      </c>
      <c r="P64" s="93">
        <v>0.8</v>
      </c>
      <c r="Q64" s="102">
        <f t="shared" si="0"/>
        <v>0.8</v>
      </c>
      <c r="R64" s="93">
        <v>14.9</v>
      </c>
      <c r="S64" s="93">
        <v>124</v>
      </c>
      <c r="T64" s="103">
        <f t="shared" si="1"/>
        <v>27</v>
      </c>
      <c r="U64" s="93">
        <v>98</v>
      </c>
      <c r="V64" s="104">
        <f t="shared" si="2"/>
        <v>2646</v>
      </c>
      <c r="W64" s="93">
        <v>8</v>
      </c>
      <c r="X64" s="93" t="s">
        <v>46</v>
      </c>
      <c r="Y64" s="93" t="s">
        <v>47</v>
      </c>
      <c r="Z64" s="93" t="s">
        <v>69</v>
      </c>
      <c r="AA64" s="93" t="s">
        <v>55</v>
      </c>
      <c r="AB64" s="53" t="s">
        <v>158</v>
      </c>
    </row>
    <row r="65" spans="1:28" x14ac:dyDescent="0.15">
      <c r="A65" s="93" t="s">
        <v>51</v>
      </c>
      <c r="B65" s="93" t="s">
        <v>157</v>
      </c>
      <c r="C65" s="93">
        <v>2019</v>
      </c>
      <c r="D65" s="101" t="s">
        <v>261</v>
      </c>
      <c r="E65" s="93" t="s">
        <v>275</v>
      </c>
      <c r="F65" s="93" t="s">
        <v>263</v>
      </c>
      <c r="G65" s="93" t="s">
        <v>42</v>
      </c>
      <c r="H65" s="93" t="s">
        <v>164</v>
      </c>
      <c r="I65" s="93" t="s">
        <v>159</v>
      </c>
      <c r="J65" s="93" t="s">
        <v>38</v>
      </c>
      <c r="L65" s="93">
        <v>1</v>
      </c>
      <c r="N65" s="93">
        <v>5</v>
      </c>
      <c r="O65" s="93">
        <v>0.7</v>
      </c>
      <c r="P65" s="93">
        <v>0.7</v>
      </c>
      <c r="Q65" s="103">
        <f t="shared" si="0"/>
        <v>0.7</v>
      </c>
      <c r="R65" s="93">
        <v>16.100000000000001</v>
      </c>
      <c r="S65" s="93">
        <v>77</v>
      </c>
      <c r="T65" s="103">
        <f t="shared" si="1"/>
        <v>39</v>
      </c>
      <c r="U65" s="93">
        <v>398</v>
      </c>
      <c r="V65" s="103">
        <f t="shared" si="2"/>
        <v>3104.3999999999996</v>
      </c>
      <c r="W65" s="93">
        <v>8</v>
      </c>
      <c r="X65" s="93" t="s">
        <v>46</v>
      </c>
      <c r="Y65" s="93" t="s">
        <v>47</v>
      </c>
      <c r="Z65" s="93" t="s">
        <v>69</v>
      </c>
      <c r="AA65" s="93" t="s">
        <v>55</v>
      </c>
      <c r="AB65" s="53" t="s">
        <v>158</v>
      </c>
    </row>
    <row r="66" spans="1:28" x14ac:dyDescent="0.15">
      <c r="A66" s="93" t="s">
        <v>51</v>
      </c>
      <c r="B66" s="93" t="s">
        <v>157</v>
      </c>
      <c r="C66" s="93">
        <v>2019</v>
      </c>
      <c r="D66" s="101" t="s">
        <v>261</v>
      </c>
      <c r="E66" s="93" t="s">
        <v>275</v>
      </c>
      <c r="F66" s="93" t="s">
        <v>263</v>
      </c>
      <c r="G66" s="93" t="s">
        <v>42</v>
      </c>
      <c r="H66" s="93" t="s">
        <v>164</v>
      </c>
      <c r="I66" s="93" t="s">
        <v>159</v>
      </c>
      <c r="J66" s="93" t="s">
        <v>38</v>
      </c>
      <c r="L66" s="93">
        <v>2</v>
      </c>
      <c r="N66" s="93">
        <v>5</v>
      </c>
      <c r="O66" s="93">
        <v>0.6</v>
      </c>
      <c r="P66" s="93">
        <v>0.6</v>
      </c>
      <c r="Q66" s="103">
        <f t="shared" ref="Q66:Q85" si="3">IF(OR(O66="",P66=""),"",AVERAGE(O66,P66))</f>
        <v>0.6</v>
      </c>
      <c r="R66" s="93">
        <v>15.6</v>
      </c>
      <c r="S66" s="93">
        <v>85</v>
      </c>
      <c r="T66" s="103">
        <f t="shared" ref="T66:T85" si="4">IF(H66="","",IF(OR(H66="GREEN",H66="GK"),IF(S66&gt;=$AX$2,VLOOKUP(S66,$AX$2:$AY$12,2,1),""),IF(S66&gt;=$AZ$2,VLOOKUP(S66,$AZ$2:$BA$12,2,1),"")))</f>
        <v>36</v>
      </c>
      <c r="U66" s="93">
        <v>398</v>
      </c>
      <c r="V66" s="103">
        <f t="shared" ref="V66:V85" si="5">IF(OR(N66="",U66="",T66=""),"",U66/N66*T66)</f>
        <v>2865.6</v>
      </c>
      <c r="W66" s="93">
        <v>8</v>
      </c>
      <c r="X66" s="93" t="s">
        <v>46</v>
      </c>
      <c r="Y66" s="93" t="s">
        <v>47</v>
      </c>
      <c r="Z66" s="93" t="s">
        <v>69</v>
      </c>
      <c r="AA66" s="93" t="s">
        <v>55</v>
      </c>
      <c r="AB66" s="53" t="s">
        <v>158</v>
      </c>
    </row>
    <row r="67" spans="1:28" x14ac:dyDescent="0.15">
      <c r="A67" s="93" t="s">
        <v>51</v>
      </c>
      <c r="B67" s="93" t="s">
        <v>157</v>
      </c>
      <c r="C67" s="93">
        <v>2019</v>
      </c>
      <c r="D67" s="101" t="s">
        <v>261</v>
      </c>
      <c r="E67" s="93" t="s">
        <v>275</v>
      </c>
      <c r="F67" s="93" t="s">
        <v>263</v>
      </c>
      <c r="G67" s="93" t="s">
        <v>42</v>
      </c>
      <c r="H67" s="93" t="s">
        <v>164</v>
      </c>
      <c r="I67" s="93" t="s">
        <v>159</v>
      </c>
      <c r="J67" s="93" t="s">
        <v>38</v>
      </c>
      <c r="L67" s="93">
        <v>3</v>
      </c>
      <c r="N67" s="93">
        <v>5</v>
      </c>
      <c r="O67" s="93">
        <v>0.65</v>
      </c>
      <c r="P67" s="93">
        <v>0.7</v>
      </c>
      <c r="Q67" s="103">
        <f t="shared" si="3"/>
        <v>0.67500000000000004</v>
      </c>
      <c r="R67" s="93">
        <v>16.2</v>
      </c>
      <c r="S67" s="93">
        <v>85</v>
      </c>
      <c r="T67" s="103">
        <f t="shared" si="4"/>
        <v>36</v>
      </c>
      <c r="U67" s="93">
        <v>398</v>
      </c>
      <c r="V67" s="103">
        <f t="shared" si="5"/>
        <v>2865.6</v>
      </c>
      <c r="W67" s="93">
        <v>8</v>
      </c>
      <c r="X67" s="93" t="s">
        <v>46</v>
      </c>
      <c r="Y67" s="93" t="s">
        <v>47</v>
      </c>
      <c r="Z67" s="93" t="s">
        <v>69</v>
      </c>
      <c r="AA67" s="93" t="s">
        <v>55</v>
      </c>
      <c r="AB67" s="53" t="s">
        <v>158</v>
      </c>
    </row>
    <row r="68" spans="1:28" x14ac:dyDescent="0.15">
      <c r="A68" s="93" t="s">
        <v>51</v>
      </c>
      <c r="B68" s="93" t="s">
        <v>157</v>
      </c>
      <c r="C68" s="93">
        <v>2019</v>
      </c>
      <c r="D68" s="101" t="s">
        <v>261</v>
      </c>
      <c r="E68" s="93" t="s">
        <v>275</v>
      </c>
      <c r="F68" s="93" t="s">
        <v>263</v>
      </c>
      <c r="G68" s="93" t="s">
        <v>42</v>
      </c>
      <c r="H68" s="93" t="s">
        <v>160</v>
      </c>
      <c r="I68" s="93" t="s">
        <v>159</v>
      </c>
      <c r="J68" s="93" t="s">
        <v>38</v>
      </c>
      <c r="L68" s="93">
        <v>1</v>
      </c>
      <c r="N68" s="93">
        <v>1</v>
      </c>
      <c r="O68" s="93">
        <v>0.6</v>
      </c>
      <c r="P68" s="93">
        <v>0.75</v>
      </c>
      <c r="Q68" s="103">
        <f t="shared" si="3"/>
        <v>0.67500000000000004</v>
      </c>
      <c r="R68" s="93">
        <v>17.100000000000001</v>
      </c>
      <c r="S68" s="93">
        <v>138</v>
      </c>
      <c r="T68" s="103">
        <f t="shared" si="4"/>
        <v>22</v>
      </c>
      <c r="U68" s="93">
        <v>98</v>
      </c>
      <c r="V68" s="103">
        <f t="shared" si="5"/>
        <v>2156</v>
      </c>
      <c r="W68" s="93">
        <v>8</v>
      </c>
      <c r="X68" s="93" t="s">
        <v>46</v>
      </c>
      <c r="Y68" s="93" t="s">
        <v>47</v>
      </c>
      <c r="Z68" s="93" t="s">
        <v>69</v>
      </c>
      <c r="AA68" s="93" t="s">
        <v>55</v>
      </c>
      <c r="AB68" s="53" t="s">
        <v>158</v>
      </c>
    </row>
    <row r="69" spans="1:28" x14ac:dyDescent="0.15">
      <c r="A69" s="93" t="s">
        <v>51</v>
      </c>
      <c r="B69" s="93" t="s">
        <v>157</v>
      </c>
      <c r="C69" s="93">
        <v>2019</v>
      </c>
      <c r="D69" s="101" t="s">
        <v>261</v>
      </c>
      <c r="E69" s="93" t="s">
        <v>275</v>
      </c>
      <c r="F69" s="93" t="s">
        <v>263</v>
      </c>
      <c r="G69" s="93" t="s">
        <v>42</v>
      </c>
      <c r="H69" s="93" t="s">
        <v>160</v>
      </c>
      <c r="I69" s="93" t="s">
        <v>159</v>
      </c>
      <c r="J69" s="93" t="s">
        <v>38</v>
      </c>
      <c r="L69" s="93">
        <v>2</v>
      </c>
      <c r="N69" s="93">
        <v>1</v>
      </c>
      <c r="O69" s="93">
        <v>0.7</v>
      </c>
      <c r="P69" s="93">
        <v>0.7</v>
      </c>
      <c r="Q69" s="103">
        <f t="shared" si="3"/>
        <v>0.7</v>
      </c>
      <c r="R69" s="93">
        <v>16.100000000000001</v>
      </c>
      <c r="S69" s="93">
        <v>126</v>
      </c>
      <c r="T69" s="103">
        <f t="shared" si="4"/>
        <v>27</v>
      </c>
      <c r="U69" s="93">
        <v>98</v>
      </c>
      <c r="V69" s="103">
        <f t="shared" si="5"/>
        <v>2646</v>
      </c>
      <c r="W69" s="93">
        <v>8</v>
      </c>
      <c r="X69" s="93" t="s">
        <v>46</v>
      </c>
      <c r="Y69" s="93" t="s">
        <v>47</v>
      </c>
      <c r="Z69" s="93" t="s">
        <v>69</v>
      </c>
      <c r="AA69" s="93" t="s">
        <v>55</v>
      </c>
      <c r="AB69" s="53" t="s">
        <v>158</v>
      </c>
    </row>
    <row r="70" spans="1:28" x14ac:dyDescent="0.15">
      <c r="A70" s="93" t="s">
        <v>51</v>
      </c>
      <c r="B70" s="93" t="s">
        <v>157</v>
      </c>
      <c r="C70" s="93">
        <v>2019</v>
      </c>
      <c r="D70" s="101" t="s">
        <v>261</v>
      </c>
      <c r="E70" s="93" t="s">
        <v>275</v>
      </c>
      <c r="F70" s="93" t="s">
        <v>263</v>
      </c>
      <c r="G70" s="93" t="s">
        <v>42</v>
      </c>
      <c r="H70" s="93" t="s">
        <v>160</v>
      </c>
      <c r="I70" s="93" t="s">
        <v>159</v>
      </c>
      <c r="J70" s="93" t="s">
        <v>38</v>
      </c>
      <c r="L70" s="93">
        <v>3</v>
      </c>
      <c r="N70" s="93">
        <v>1</v>
      </c>
      <c r="O70" s="93">
        <v>0.75</v>
      </c>
      <c r="P70" s="93">
        <v>0.65</v>
      </c>
      <c r="Q70" s="103">
        <f t="shared" si="3"/>
        <v>0.7</v>
      </c>
      <c r="R70" s="93">
        <v>16.600000000000001</v>
      </c>
      <c r="S70" s="93">
        <v>134</v>
      </c>
      <c r="T70" s="103">
        <f t="shared" si="4"/>
        <v>25</v>
      </c>
      <c r="U70" s="93">
        <v>98</v>
      </c>
      <c r="V70" s="103">
        <f t="shared" si="5"/>
        <v>2450</v>
      </c>
      <c r="W70" s="93">
        <v>8</v>
      </c>
      <c r="X70" s="93" t="s">
        <v>46</v>
      </c>
      <c r="Y70" s="93" t="s">
        <v>47</v>
      </c>
      <c r="Z70" s="93" t="s">
        <v>69</v>
      </c>
      <c r="AA70" s="93" t="s">
        <v>55</v>
      </c>
      <c r="AB70" s="53" t="s">
        <v>158</v>
      </c>
    </row>
    <row r="71" spans="1:28" x14ac:dyDescent="0.15">
      <c r="D71" s="122"/>
      <c r="Q71" s="103" t="str">
        <f t="shared" si="3"/>
        <v/>
      </c>
      <c r="T71" s="103" t="str">
        <f t="shared" si="4"/>
        <v/>
      </c>
      <c r="V71" s="103" t="str">
        <f t="shared" si="5"/>
        <v/>
      </c>
    </row>
    <row r="72" spans="1:28" x14ac:dyDescent="0.15">
      <c r="D72" s="122"/>
      <c r="Q72" s="103" t="str">
        <f t="shared" si="3"/>
        <v/>
      </c>
      <c r="T72" s="103" t="str">
        <f t="shared" si="4"/>
        <v/>
      </c>
      <c r="V72" s="103" t="str">
        <f t="shared" si="5"/>
        <v/>
      </c>
    </row>
    <row r="73" spans="1:28" x14ac:dyDescent="0.15">
      <c r="D73" s="122"/>
      <c r="Q73" s="103" t="str">
        <f t="shared" si="3"/>
        <v/>
      </c>
      <c r="T73" s="103" t="str">
        <f t="shared" si="4"/>
        <v/>
      </c>
      <c r="V73" s="103" t="str">
        <f t="shared" si="5"/>
        <v/>
      </c>
    </row>
    <row r="74" spans="1:28" x14ac:dyDescent="0.15">
      <c r="D74" s="122"/>
      <c r="Q74" s="103" t="str">
        <f t="shared" si="3"/>
        <v/>
      </c>
      <c r="T74" s="103" t="str">
        <f t="shared" si="4"/>
        <v/>
      </c>
      <c r="V74" s="103" t="str">
        <f t="shared" si="5"/>
        <v/>
      </c>
    </row>
    <row r="75" spans="1:28" x14ac:dyDescent="0.15">
      <c r="D75" s="122"/>
      <c r="Q75" s="103" t="str">
        <f t="shared" si="3"/>
        <v/>
      </c>
      <c r="T75" s="103" t="str">
        <f t="shared" si="4"/>
        <v/>
      </c>
      <c r="V75" s="103" t="str">
        <f t="shared" si="5"/>
        <v/>
      </c>
    </row>
    <row r="76" spans="1:28" x14ac:dyDescent="0.15">
      <c r="D76" s="122"/>
      <c r="Q76" s="103" t="str">
        <f t="shared" si="3"/>
        <v/>
      </c>
      <c r="T76" s="103" t="str">
        <f t="shared" si="4"/>
        <v/>
      </c>
      <c r="V76" s="103" t="str">
        <f t="shared" si="5"/>
        <v/>
      </c>
    </row>
    <row r="77" spans="1:28" x14ac:dyDescent="0.15">
      <c r="D77" s="122"/>
      <c r="Q77" s="103" t="str">
        <f t="shared" si="3"/>
        <v/>
      </c>
      <c r="T77" s="103" t="str">
        <f t="shared" si="4"/>
        <v/>
      </c>
      <c r="V77" s="103" t="str">
        <f t="shared" si="5"/>
        <v/>
      </c>
    </row>
    <row r="78" spans="1:28" x14ac:dyDescent="0.15">
      <c r="D78" s="122"/>
      <c r="Q78" s="103" t="str">
        <f t="shared" si="3"/>
        <v/>
      </c>
      <c r="T78" s="103" t="str">
        <f t="shared" si="4"/>
        <v/>
      </c>
      <c r="V78" s="103" t="str">
        <f t="shared" si="5"/>
        <v/>
      </c>
    </row>
    <row r="79" spans="1:28" x14ac:dyDescent="0.15">
      <c r="D79" s="122"/>
      <c r="Q79" s="103" t="str">
        <f t="shared" si="3"/>
        <v/>
      </c>
      <c r="T79" s="103" t="str">
        <f t="shared" si="4"/>
        <v/>
      </c>
      <c r="V79" s="103" t="str">
        <f t="shared" si="5"/>
        <v/>
      </c>
    </row>
    <row r="80" spans="1:28"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E0AEE754-9ADD-4F4D-BA5E-33D01C6F3F06}">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5E7926A7-250D-4461-8746-876DE76079CF}">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EE9CAA31-C242-4F35-BB84-A312CAAC8652}">
      <formula1>$AT$2:$AT$3</formula1>
    </dataValidation>
    <dataValidation type="list" allowBlank="1" showInputMessage="1" showErrorMessage="1" sqref="K2:K89" xr:uid="{E3F08C7D-3B12-40A1-9E16-CC42D1889C77}">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7E8EBB1E-996A-4C91-971F-6C38B704D163}">
      <formula1>$AR$2:$AR$25</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A8F5D65A-6762-4001-A86D-2AF85EC638D3}">
      <formula1>$AN$5:$AN$6</formula1>
    </dataValidation>
    <dataValidation type="list" allowBlank="1" showInputMessage="1" showErrorMessage="1" sqref="Y2:AA500" xr:uid="{7354AED8-0363-4F01-AA6F-9D5E8E32DE2E}">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9C2EE40B-222D-47DB-9C36-4668D125D314}">
      <formula1>$AP$2:$AP$27</formula1>
    </dataValidation>
    <dataValidation type="list" allowBlank="1" showInputMessage="1" showErrorMessage="1" sqref="H2:H500" xr:uid="{C39BF5C7-1A93-4786-A3D0-1A88F93CB151}">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5E586478-50BA-41AE-8835-7C84D86B484F}">
      <formula1>$AH$2:$AH$11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8E2B1E18-E673-4F46-B160-6B83656D66C5}"/>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72E3049C-D34C-454D-BAA2-B958EA973E98}">
      <formula1>$AG$2:$AG$11</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954B22B6-C9FF-4705-9F3F-ACDBB064750D}">
      <formula1>$AL$4:$AL$12</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833E8FDD-EE40-4775-89BB-3539CAD1D93B}">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36CE9580-D546-4CF8-B843-A848D1D32688}">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EF6CB-082E-44A9-8616-0E996C11A54F}">
  <sheetPr>
    <pageSetUpPr fitToPage="1"/>
  </sheetPr>
  <dimension ref="A1:BA114"/>
  <sheetViews>
    <sheetView topLeftCell="A19" zoomScale="80" zoomScaleNormal="80" workbookViewId="0">
      <selection activeCell="I75" sqref="I75"/>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280</v>
      </c>
      <c r="B1" s="55" t="s">
        <v>1</v>
      </c>
      <c r="C1" s="55" t="s">
        <v>2</v>
      </c>
      <c r="D1" s="56" t="s">
        <v>3</v>
      </c>
      <c r="E1" s="56" t="s">
        <v>281</v>
      </c>
      <c r="F1" s="56" t="s">
        <v>5</v>
      </c>
      <c r="G1" s="56" t="s">
        <v>6</v>
      </c>
      <c r="H1" s="56" t="s">
        <v>282</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232</v>
      </c>
      <c r="C2" s="127">
        <v>2019</v>
      </c>
      <c r="D2" s="128" t="s">
        <v>283</v>
      </c>
      <c r="E2" s="127" t="s">
        <v>284</v>
      </c>
      <c r="F2" s="127" t="s">
        <v>285</v>
      </c>
      <c r="G2" s="127" t="s">
        <v>42</v>
      </c>
      <c r="H2" s="53" t="s">
        <v>165</v>
      </c>
      <c r="I2" s="53" t="s">
        <v>159</v>
      </c>
      <c r="J2" s="127" t="s">
        <v>38</v>
      </c>
      <c r="K2" s="53" t="s">
        <v>161</v>
      </c>
      <c r="L2" s="53">
        <v>1</v>
      </c>
      <c r="M2" s="53"/>
      <c r="N2" s="53">
        <v>1</v>
      </c>
      <c r="O2" s="53">
        <v>1.25</v>
      </c>
      <c r="P2" s="53">
        <v>1.4</v>
      </c>
      <c r="Q2" s="74">
        <f t="shared" ref="Q2:Q65" si="0">IF(OR(O2="",P2=""),"",AVERAGE(O2,P2))</f>
        <v>1.325</v>
      </c>
      <c r="R2" s="53">
        <v>17.100000000000001</v>
      </c>
      <c r="S2" s="53">
        <v>126</v>
      </c>
      <c r="T2" s="16">
        <f t="shared" ref="T2:T65" si="1">IF(H2="","",IF(OR(H2="GREEN",H2="GK"),IF(S2&gt;=$AX$2,VLOOKUP(S2,$AX$2:$AY$15,2,1),""),IF(S2&gt;=$AZ$2,VLOOKUP(S2,$AZ$2:$BA$15,2,1),"")))</f>
        <v>27</v>
      </c>
      <c r="U2" s="53">
        <v>118</v>
      </c>
      <c r="V2" s="129">
        <f t="shared" ref="V2:V65" si="2">IF(OR(N2="",U2="",T2=""),"",U2/N2*T2)</f>
        <v>3186</v>
      </c>
      <c r="W2" s="53">
        <v>4</v>
      </c>
      <c r="X2" s="127" t="s">
        <v>39</v>
      </c>
      <c r="Y2" s="53" t="s">
        <v>97</v>
      </c>
      <c r="Z2" s="53" t="s">
        <v>40</v>
      </c>
      <c r="AA2" s="53" t="s">
        <v>55</v>
      </c>
      <c r="AB2" s="127" t="s">
        <v>258</v>
      </c>
      <c r="AC2" s="34"/>
      <c r="AE2" s="64" t="s">
        <v>35</v>
      </c>
      <c r="AG2" s="49" t="s">
        <v>284</v>
      </c>
      <c r="AH2" s="49" t="s">
        <v>285</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232</v>
      </c>
      <c r="C3" s="127">
        <v>2019</v>
      </c>
      <c r="D3" s="128" t="s">
        <v>283</v>
      </c>
      <c r="E3" s="127" t="s">
        <v>284</v>
      </c>
      <c r="F3" s="127" t="s">
        <v>285</v>
      </c>
      <c r="G3" s="127" t="s">
        <v>42</v>
      </c>
      <c r="H3" s="53" t="s">
        <v>165</v>
      </c>
      <c r="I3" s="53" t="s">
        <v>159</v>
      </c>
      <c r="J3" s="127" t="s">
        <v>38</v>
      </c>
      <c r="K3" s="53" t="s">
        <v>161</v>
      </c>
      <c r="L3" s="53">
        <v>2</v>
      </c>
      <c r="N3" s="53">
        <v>1</v>
      </c>
      <c r="O3" s="53">
        <v>1.3</v>
      </c>
      <c r="P3" s="53">
        <v>1</v>
      </c>
      <c r="Q3" s="74">
        <f t="shared" si="0"/>
        <v>1.1499999999999999</v>
      </c>
      <c r="R3" s="53">
        <v>17.399999999999999</v>
      </c>
      <c r="S3" s="53">
        <v>132</v>
      </c>
      <c r="T3" s="16">
        <f t="shared" si="1"/>
        <v>25</v>
      </c>
      <c r="U3" s="53">
        <v>118</v>
      </c>
      <c r="V3" s="129">
        <f t="shared" si="2"/>
        <v>2950</v>
      </c>
      <c r="W3" s="53">
        <v>4</v>
      </c>
      <c r="X3" s="127" t="s">
        <v>39</v>
      </c>
      <c r="Y3" s="53" t="s">
        <v>97</v>
      </c>
      <c r="Z3" s="53" t="s">
        <v>40</v>
      </c>
      <c r="AA3" s="53" t="s">
        <v>55</v>
      </c>
      <c r="AB3" s="127" t="s">
        <v>258</v>
      </c>
      <c r="AC3" s="34"/>
      <c r="AE3" s="22" t="s">
        <v>41</v>
      </c>
      <c r="AG3" s="49" t="s">
        <v>286</v>
      </c>
      <c r="AH3" s="49" t="s">
        <v>287</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232</v>
      </c>
      <c r="C4" s="127">
        <v>2019</v>
      </c>
      <c r="D4" s="128" t="s">
        <v>283</v>
      </c>
      <c r="E4" s="127" t="s">
        <v>284</v>
      </c>
      <c r="F4" s="127" t="s">
        <v>285</v>
      </c>
      <c r="G4" s="127" t="s">
        <v>42</v>
      </c>
      <c r="H4" s="53" t="s">
        <v>165</v>
      </c>
      <c r="I4" s="53" t="s">
        <v>159</v>
      </c>
      <c r="J4" s="127" t="s">
        <v>38</v>
      </c>
      <c r="K4" s="53" t="s">
        <v>161</v>
      </c>
      <c r="L4" s="53">
        <v>3</v>
      </c>
      <c r="N4" s="53">
        <v>1</v>
      </c>
      <c r="O4" s="53">
        <v>1.05</v>
      </c>
      <c r="P4" s="53">
        <v>0.5</v>
      </c>
      <c r="Q4" s="74">
        <f t="shared" si="0"/>
        <v>0.77500000000000002</v>
      </c>
      <c r="R4" s="53">
        <v>16.5</v>
      </c>
      <c r="S4" s="53">
        <v>124</v>
      </c>
      <c r="T4" s="16">
        <f t="shared" si="1"/>
        <v>27</v>
      </c>
      <c r="U4" s="53">
        <v>118</v>
      </c>
      <c r="V4" s="129">
        <f t="shared" si="2"/>
        <v>3186</v>
      </c>
      <c r="W4" s="53">
        <v>4</v>
      </c>
      <c r="X4" s="127" t="s">
        <v>39</v>
      </c>
      <c r="Y4" s="53" t="s">
        <v>97</v>
      </c>
      <c r="Z4" s="53" t="s">
        <v>40</v>
      </c>
      <c r="AA4" s="53" t="s">
        <v>55</v>
      </c>
      <c r="AB4" s="127" t="s">
        <v>258</v>
      </c>
      <c r="AC4" s="34"/>
      <c r="AE4" s="22" t="s">
        <v>34</v>
      </c>
      <c r="AG4" s="49" t="s">
        <v>288</v>
      </c>
      <c r="AH4" s="49" t="s">
        <v>289</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232</v>
      </c>
      <c r="C5" s="127">
        <v>2019</v>
      </c>
      <c r="D5" s="128" t="s">
        <v>283</v>
      </c>
      <c r="E5" s="127" t="s">
        <v>284</v>
      </c>
      <c r="F5" s="127" t="s">
        <v>285</v>
      </c>
      <c r="G5" s="127" t="s">
        <v>42</v>
      </c>
      <c r="H5" s="53" t="s">
        <v>160</v>
      </c>
      <c r="I5" s="53" t="s">
        <v>159</v>
      </c>
      <c r="J5" s="127" t="s">
        <v>38</v>
      </c>
      <c r="K5" s="53" t="s">
        <v>161</v>
      </c>
      <c r="L5" s="53">
        <v>1</v>
      </c>
      <c r="N5" s="53">
        <v>1</v>
      </c>
      <c r="O5" s="53">
        <v>0.75</v>
      </c>
      <c r="P5" s="53">
        <v>0.8</v>
      </c>
      <c r="Q5" s="74">
        <f t="shared" si="0"/>
        <v>0.77500000000000002</v>
      </c>
      <c r="R5" s="53">
        <v>17.600000000000001</v>
      </c>
      <c r="S5" s="53">
        <v>131</v>
      </c>
      <c r="T5" s="16">
        <f t="shared" si="1"/>
        <v>25</v>
      </c>
      <c r="U5" s="53">
        <v>118</v>
      </c>
      <c r="V5" s="129">
        <f t="shared" si="2"/>
        <v>2950</v>
      </c>
      <c r="W5" s="53">
        <v>4</v>
      </c>
      <c r="X5" s="127" t="s">
        <v>39</v>
      </c>
      <c r="Y5" s="53" t="s">
        <v>97</v>
      </c>
      <c r="Z5" s="53" t="s">
        <v>40</v>
      </c>
      <c r="AA5" s="53" t="s">
        <v>55</v>
      </c>
      <c r="AB5" s="127" t="s">
        <v>258</v>
      </c>
      <c r="AC5" s="34"/>
      <c r="AE5" s="22" t="s">
        <v>51</v>
      </c>
      <c r="AG5" s="49" t="s">
        <v>290</v>
      </c>
      <c r="AH5" s="49" t="s">
        <v>291</v>
      </c>
      <c r="AJ5" s="27"/>
      <c r="AL5" s="72" t="s">
        <v>66</v>
      </c>
      <c r="AN5" s="72" t="s">
        <v>52</v>
      </c>
      <c r="AP5" s="23" t="s">
        <v>119</v>
      </c>
      <c r="AR5" s="23" t="s">
        <v>54</v>
      </c>
      <c r="AV5" s="23" t="s">
        <v>55</v>
      </c>
      <c r="AX5" s="24">
        <v>84</v>
      </c>
      <c r="AY5" s="25">
        <v>39</v>
      </c>
      <c r="AZ5" s="25">
        <v>84</v>
      </c>
      <c r="BA5" s="26">
        <v>36</v>
      </c>
    </row>
    <row r="6" spans="1:53" x14ac:dyDescent="0.15">
      <c r="A6" s="127" t="s">
        <v>61</v>
      </c>
      <c r="B6" s="127" t="s">
        <v>232</v>
      </c>
      <c r="C6" s="127">
        <v>2019</v>
      </c>
      <c r="D6" s="128" t="s">
        <v>283</v>
      </c>
      <c r="E6" s="127" t="s">
        <v>284</v>
      </c>
      <c r="F6" s="127" t="s">
        <v>285</v>
      </c>
      <c r="G6" s="127" t="s">
        <v>42</v>
      </c>
      <c r="H6" s="53" t="s">
        <v>160</v>
      </c>
      <c r="I6" s="53" t="s">
        <v>159</v>
      </c>
      <c r="J6" s="127" t="s">
        <v>38</v>
      </c>
      <c r="K6" s="53" t="s">
        <v>161</v>
      </c>
      <c r="L6" s="53">
        <v>2</v>
      </c>
      <c r="N6" s="53">
        <v>1</v>
      </c>
      <c r="O6" s="53">
        <v>0.5</v>
      </c>
      <c r="P6" s="53">
        <v>0.5</v>
      </c>
      <c r="Q6" s="74">
        <f t="shared" si="0"/>
        <v>0.5</v>
      </c>
      <c r="R6" s="53">
        <v>17.8</v>
      </c>
      <c r="S6" s="53">
        <v>130</v>
      </c>
      <c r="T6" s="16">
        <f t="shared" si="1"/>
        <v>25</v>
      </c>
      <c r="U6" s="53">
        <v>118</v>
      </c>
      <c r="V6" s="129">
        <f t="shared" si="2"/>
        <v>2950</v>
      </c>
      <c r="W6" s="53">
        <v>4</v>
      </c>
      <c r="X6" s="127" t="s">
        <v>39</v>
      </c>
      <c r="Y6" s="53" t="s">
        <v>97</v>
      </c>
      <c r="Z6" s="53" t="s">
        <v>40</v>
      </c>
      <c r="AA6" s="53" t="s">
        <v>55</v>
      </c>
      <c r="AB6" s="127" t="s">
        <v>258</v>
      </c>
      <c r="AC6" s="34"/>
      <c r="AE6" s="22" t="s">
        <v>56</v>
      </c>
      <c r="AG6" s="49" t="s">
        <v>292</v>
      </c>
      <c r="AH6" s="49" t="s">
        <v>293</v>
      </c>
      <c r="AJ6" s="27"/>
      <c r="AL6" s="72" t="s">
        <v>99</v>
      </c>
      <c r="AN6" s="72" t="s">
        <v>57</v>
      </c>
      <c r="AP6" s="23" t="s">
        <v>53</v>
      </c>
      <c r="AR6" s="23" t="s">
        <v>59</v>
      </c>
      <c r="AV6" s="23" t="s">
        <v>60</v>
      </c>
      <c r="AX6" s="24">
        <v>97</v>
      </c>
      <c r="AY6" s="25">
        <v>36</v>
      </c>
      <c r="AZ6" s="25">
        <v>99</v>
      </c>
      <c r="BA6" s="26">
        <v>33</v>
      </c>
    </row>
    <row r="7" spans="1:53" x14ac:dyDescent="0.15">
      <c r="A7" s="127" t="s">
        <v>61</v>
      </c>
      <c r="B7" s="127" t="s">
        <v>232</v>
      </c>
      <c r="C7" s="127">
        <v>2019</v>
      </c>
      <c r="D7" s="128" t="s">
        <v>283</v>
      </c>
      <c r="E7" s="127" t="s">
        <v>284</v>
      </c>
      <c r="F7" s="127" t="s">
        <v>285</v>
      </c>
      <c r="G7" s="127" t="s">
        <v>42</v>
      </c>
      <c r="H7" s="53" t="s">
        <v>160</v>
      </c>
      <c r="I7" s="53" t="s">
        <v>159</v>
      </c>
      <c r="J7" s="127" t="s">
        <v>38</v>
      </c>
      <c r="K7" s="53" t="s">
        <v>161</v>
      </c>
      <c r="L7" s="53">
        <v>3</v>
      </c>
      <c r="N7" s="53">
        <v>1</v>
      </c>
      <c r="O7" s="53">
        <v>0.9</v>
      </c>
      <c r="P7" s="53">
        <v>0.9</v>
      </c>
      <c r="Q7" s="74">
        <f t="shared" si="0"/>
        <v>0.9</v>
      </c>
      <c r="R7" s="53">
        <v>17.600000000000001</v>
      </c>
      <c r="S7" s="53">
        <v>128</v>
      </c>
      <c r="T7" s="16">
        <f t="shared" si="1"/>
        <v>27</v>
      </c>
      <c r="U7" s="53">
        <v>118</v>
      </c>
      <c r="V7" s="129">
        <f t="shared" si="2"/>
        <v>3186</v>
      </c>
      <c r="W7" s="53">
        <v>4</v>
      </c>
      <c r="X7" s="127" t="s">
        <v>39</v>
      </c>
      <c r="Y7" s="53" t="s">
        <v>97</v>
      </c>
      <c r="Z7" s="53" t="s">
        <v>40</v>
      </c>
      <c r="AA7" s="53" t="s">
        <v>55</v>
      </c>
      <c r="AB7" s="127" t="s">
        <v>258</v>
      </c>
      <c r="AC7" s="34"/>
      <c r="AE7" s="22" t="s">
        <v>61</v>
      </c>
      <c r="AG7" s="49" t="s">
        <v>294</v>
      </c>
      <c r="AH7" s="49" t="s">
        <v>295</v>
      </c>
      <c r="AJ7" s="27"/>
      <c r="AL7" s="34" t="s">
        <v>109</v>
      </c>
      <c r="AN7" s="72"/>
      <c r="AP7" s="23" t="s">
        <v>58</v>
      </c>
      <c r="AR7" s="23" t="s">
        <v>122</v>
      </c>
      <c r="AV7" s="23" t="s">
        <v>64</v>
      </c>
      <c r="AX7" s="24">
        <v>109</v>
      </c>
      <c r="AY7" s="25">
        <v>33</v>
      </c>
      <c r="AZ7" s="25">
        <v>113</v>
      </c>
      <c r="BA7" s="26">
        <v>30</v>
      </c>
    </row>
    <row r="8" spans="1:53" x14ac:dyDescent="0.15">
      <c r="A8" s="127" t="s">
        <v>61</v>
      </c>
      <c r="B8" s="127" t="s">
        <v>232</v>
      </c>
      <c r="C8" s="127">
        <v>2019</v>
      </c>
      <c r="D8" s="128" t="s">
        <v>283</v>
      </c>
      <c r="E8" s="127" t="s">
        <v>286</v>
      </c>
      <c r="F8" s="127" t="s">
        <v>287</v>
      </c>
      <c r="G8" s="127" t="s">
        <v>42</v>
      </c>
      <c r="H8" s="53" t="s">
        <v>165</v>
      </c>
      <c r="I8" s="53" t="s">
        <v>159</v>
      </c>
      <c r="J8" s="127" t="s">
        <v>38</v>
      </c>
      <c r="K8" s="53" t="s">
        <v>161</v>
      </c>
      <c r="L8" s="53">
        <v>1</v>
      </c>
      <c r="N8" s="53">
        <v>4</v>
      </c>
      <c r="O8" s="53">
        <v>0.5</v>
      </c>
      <c r="P8" s="53">
        <v>0.5</v>
      </c>
      <c r="Q8" s="74">
        <f t="shared" si="0"/>
        <v>0.5</v>
      </c>
      <c r="R8" s="53">
        <v>16.600000000000001</v>
      </c>
      <c r="S8" s="53">
        <v>95</v>
      </c>
      <c r="T8" s="16">
        <f t="shared" si="1"/>
        <v>36</v>
      </c>
      <c r="U8" s="53">
        <v>398</v>
      </c>
      <c r="V8" s="129">
        <f t="shared" si="2"/>
        <v>3582</v>
      </c>
      <c r="W8" s="53">
        <v>6</v>
      </c>
      <c r="X8" s="127" t="s">
        <v>46</v>
      </c>
      <c r="Y8" s="53" t="s">
        <v>47</v>
      </c>
      <c r="Z8" s="53" t="s">
        <v>97</v>
      </c>
      <c r="AA8" s="53" t="s">
        <v>69</v>
      </c>
      <c r="AB8" s="127" t="s">
        <v>258</v>
      </c>
      <c r="AC8" s="34"/>
      <c r="AE8" s="22" t="s">
        <v>59</v>
      </c>
      <c r="AG8" s="49" t="s">
        <v>296</v>
      </c>
      <c r="AH8" s="49" t="s">
        <v>297</v>
      </c>
      <c r="AJ8" s="28"/>
      <c r="AL8" s="34" t="s">
        <v>134</v>
      </c>
      <c r="AN8" s="72"/>
      <c r="AP8" s="23" t="s">
        <v>62</v>
      </c>
      <c r="AR8" s="23" t="s">
        <v>81</v>
      </c>
      <c r="AV8" s="23" t="s">
        <v>97</v>
      </c>
      <c r="AX8" s="24">
        <v>119</v>
      </c>
      <c r="AY8" s="25">
        <v>30</v>
      </c>
      <c r="AZ8" s="25">
        <v>121</v>
      </c>
      <c r="BA8" s="26">
        <v>27</v>
      </c>
    </row>
    <row r="9" spans="1:53" x14ac:dyDescent="0.15">
      <c r="A9" s="127" t="s">
        <v>61</v>
      </c>
      <c r="B9" s="127" t="s">
        <v>232</v>
      </c>
      <c r="C9" s="127">
        <v>2019</v>
      </c>
      <c r="D9" s="128" t="s">
        <v>283</v>
      </c>
      <c r="E9" s="127" t="s">
        <v>286</v>
      </c>
      <c r="F9" s="127" t="s">
        <v>287</v>
      </c>
      <c r="G9" s="127" t="s">
        <v>42</v>
      </c>
      <c r="H9" s="53" t="s">
        <v>165</v>
      </c>
      <c r="I9" s="53" t="s">
        <v>159</v>
      </c>
      <c r="J9" s="127" t="s">
        <v>38</v>
      </c>
      <c r="K9" s="53" t="s">
        <v>161</v>
      </c>
      <c r="L9" s="53">
        <v>2</v>
      </c>
      <c r="N9" s="53">
        <v>4</v>
      </c>
      <c r="O9" s="53">
        <v>1</v>
      </c>
      <c r="P9" s="53">
        <v>1.2</v>
      </c>
      <c r="Q9" s="74">
        <f t="shared" si="0"/>
        <v>1.1000000000000001</v>
      </c>
      <c r="R9" s="34">
        <v>17.2</v>
      </c>
      <c r="S9" s="53">
        <v>113</v>
      </c>
      <c r="T9" s="16">
        <f t="shared" si="1"/>
        <v>30</v>
      </c>
      <c r="U9" s="53">
        <v>398</v>
      </c>
      <c r="V9" s="129">
        <f t="shared" si="2"/>
        <v>2985</v>
      </c>
      <c r="W9" s="53">
        <v>6</v>
      </c>
      <c r="X9" s="127" t="s">
        <v>46</v>
      </c>
      <c r="Y9" s="53" t="s">
        <v>47</v>
      </c>
      <c r="Z9" s="53" t="s">
        <v>97</v>
      </c>
      <c r="AA9" s="53" t="s">
        <v>69</v>
      </c>
      <c r="AB9" s="127" t="s">
        <v>258</v>
      </c>
      <c r="AC9" s="34"/>
      <c r="AE9" s="22" t="s">
        <v>98</v>
      </c>
      <c r="AG9" s="49" t="s">
        <v>133</v>
      </c>
      <c r="AH9" s="49" t="s">
        <v>298</v>
      </c>
      <c r="AL9" s="72"/>
      <c r="AN9" s="72"/>
      <c r="AP9" s="23" t="s">
        <v>95</v>
      </c>
      <c r="AR9" s="23" t="s">
        <v>89</v>
      </c>
      <c r="AV9" s="23" t="s">
        <v>102</v>
      </c>
      <c r="AX9" s="24">
        <v>128</v>
      </c>
      <c r="AY9" s="25">
        <v>27</v>
      </c>
      <c r="AZ9" s="25">
        <v>129</v>
      </c>
      <c r="BA9" s="26">
        <v>25</v>
      </c>
    </row>
    <row r="10" spans="1:53" x14ac:dyDescent="0.15">
      <c r="A10" s="127" t="s">
        <v>61</v>
      </c>
      <c r="B10" s="127" t="s">
        <v>232</v>
      </c>
      <c r="C10" s="127">
        <v>2019</v>
      </c>
      <c r="D10" s="128" t="s">
        <v>283</v>
      </c>
      <c r="E10" s="127" t="s">
        <v>286</v>
      </c>
      <c r="F10" s="127" t="s">
        <v>287</v>
      </c>
      <c r="G10" s="127" t="s">
        <v>42</v>
      </c>
      <c r="H10" s="53" t="s">
        <v>165</v>
      </c>
      <c r="I10" s="53" t="s">
        <v>159</v>
      </c>
      <c r="J10" s="127" t="s">
        <v>38</v>
      </c>
      <c r="K10" s="53" t="s">
        <v>161</v>
      </c>
      <c r="L10" s="53">
        <v>3</v>
      </c>
      <c r="N10" s="53">
        <v>4</v>
      </c>
      <c r="O10" s="53">
        <v>0.75</v>
      </c>
      <c r="P10" s="53">
        <v>0.5</v>
      </c>
      <c r="Q10" s="74">
        <f t="shared" si="0"/>
        <v>0.625</v>
      </c>
      <c r="R10" s="53">
        <v>17</v>
      </c>
      <c r="S10" s="53">
        <v>99</v>
      </c>
      <c r="T10" s="16">
        <f t="shared" si="1"/>
        <v>33</v>
      </c>
      <c r="U10" s="53">
        <v>398</v>
      </c>
      <c r="V10" s="129">
        <f t="shared" si="2"/>
        <v>3283.5</v>
      </c>
      <c r="W10" s="53">
        <v>6</v>
      </c>
      <c r="X10" s="127" t="s">
        <v>46</v>
      </c>
      <c r="Y10" s="53" t="s">
        <v>47</v>
      </c>
      <c r="Z10" s="53" t="s">
        <v>97</v>
      </c>
      <c r="AA10" s="53" t="s">
        <v>69</v>
      </c>
      <c r="AB10" s="127" t="s">
        <v>258</v>
      </c>
      <c r="AC10" s="34"/>
      <c r="AE10" s="22" t="s">
        <v>103</v>
      </c>
      <c r="AG10" s="49" t="s">
        <v>299</v>
      </c>
      <c r="AH10" s="49" t="s">
        <v>300</v>
      </c>
      <c r="AL10" s="27"/>
      <c r="AP10" s="23" t="s">
        <v>100</v>
      </c>
      <c r="AR10" s="23" t="s">
        <v>123</v>
      </c>
      <c r="AV10" s="23" t="s">
        <v>106</v>
      </c>
      <c r="AX10" s="24">
        <v>138</v>
      </c>
      <c r="AY10" s="25">
        <v>25</v>
      </c>
      <c r="AZ10" s="25">
        <v>138</v>
      </c>
      <c r="BA10" s="26">
        <v>22</v>
      </c>
    </row>
    <row r="11" spans="1:53" x14ac:dyDescent="0.15">
      <c r="A11" s="127" t="s">
        <v>61</v>
      </c>
      <c r="B11" s="127" t="s">
        <v>232</v>
      </c>
      <c r="C11" s="127">
        <v>2019</v>
      </c>
      <c r="D11" s="128" t="s">
        <v>283</v>
      </c>
      <c r="E11" s="127" t="s">
        <v>286</v>
      </c>
      <c r="F11" s="127" t="s">
        <v>287</v>
      </c>
      <c r="G11" s="127" t="s">
        <v>42</v>
      </c>
      <c r="H11" s="53" t="s">
        <v>160</v>
      </c>
      <c r="I11" s="53" t="s">
        <v>159</v>
      </c>
      <c r="J11" s="127" t="s">
        <v>38</v>
      </c>
      <c r="K11" s="53" t="s">
        <v>161</v>
      </c>
      <c r="L11" s="53">
        <v>1</v>
      </c>
      <c r="N11" s="53">
        <v>3</v>
      </c>
      <c r="O11" s="53">
        <v>0.5</v>
      </c>
      <c r="P11" s="53">
        <v>0.5</v>
      </c>
      <c r="Q11" s="74">
        <f t="shared" si="0"/>
        <v>0.5</v>
      </c>
      <c r="R11" s="53">
        <v>17.7</v>
      </c>
      <c r="S11" s="53">
        <v>112</v>
      </c>
      <c r="T11" s="16">
        <f t="shared" si="1"/>
        <v>33</v>
      </c>
      <c r="U11" s="53">
        <v>458</v>
      </c>
      <c r="V11" s="129">
        <f t="shared" si="2"/>
        <v>5038</v>
      </c>
      <c r="W11" s="53">
        <v>6</v>
      </c>
      <c r="X11" s="127" t="s">
        <v>46</v>
      </c>
      <c r="Y11" s="53" t="s">
        <v>47</v>
      </c>
      <c r="Z11" s="53" t="s">
        <v>97</v>
      </c>
      <c r="AA11" s="53" t="s">
        <v>69</v>
      </c>
      <c r="AB11" s="127" t="s">
        <v>258</v>
      </c>
      <c r="AC11" s="34"/>
      <c r="AE11" s="22" t="s">
        <v>65</v>
      </c>
      <c r="AG11" s="49" t="s">
        <v>301</v>
      </c>
      <c r="AH11" s="49" t="s">
        <v>300</v>
      </c>
      <c r="AL11" s="134"/>
      <c r="AP11" s="23" t="s">
        <v>104</v>
      </c>
      <c r="AR11" s="23" t="s">
        <v>87</v>
      </c>
      <c r="AV11" s="135" t="s">
        <v>302</v>
      </c>
      <c r="AX11" s="24">
        <v>151</v>
      </c>
      <c r="AY11" s="25">
        <v>22</v>
      </c>
      <c r="AZ11" s="25">
        <v>152</v>
      </c>
      <c r="BA11" s="26">
        <v>18</v>
      </c>
    </row>
    <row r="12" spans="1:53" x14ac:dyDescent="0.15">
      <c r="A12" s="127" t="s">
        <v>61</v>
      </c>
      <c r="B12" s="127" t="s">
        <v>232</v>
      </c>
      <c r="C12" s="127">
        <v>2019</v>
      </c>
      <c r="D12" s="128" t="s">
        <v>283</v>
      </c>
      <c r="E12" s="127" t="s">
        <v>286</v>
      </c>
      <c r="F12" s="127" t="s">
        <v>287</v>
      </c>
      <c r="G12" s="127" t="s">
        <v>42</v>
      </c>
      <c r="H12" s="53" t="s">
        <v>160</v>
      </c>
      <c r="I12" s="53" t="s">
        <v>159</v>
      </c>
      <c r="J12" s="127" t="s">
        <v>38</v>
      </c>
      <c r="K12" s="53" t="s">
        <v>161</v>
      </c>
      <c r="L12" s="53">
        <v>2</v>
      </c>
      <c r="N12" s="53">
        <v>3</v>
      </c>
      <c r="O12" s="53">
        <v>0.5</v>
      </c>
      <c r="P12" s="53">
        <v>0.5</v>
      </c>
      <c r="Q12" s="74">
        <f t="shared" si="0"/>
        <v>0.5</v>
      </c>
      <c r="R12" s="34">
        <v>17.899999999999999</v>
      </c>
      <c r="S12" s="53">
        <v>110</v>
      </c>
      <c r="T12" s="16">
        <f t="shared" si="1"/>
        <v>33</v>
      </c>
      <c r="U12" s="53">
        <v>458</v>
      </c>
      <c r="V12" s="129">
        <f t="shared" si="2"/>
        <v>5038</v>
      </c>
      <c r="W12" s="53">
        <v>6</v>
      </c>
      <c r="X12" s="127" t="s">
        <v>46</v>
      </c>
      <c r="Y12" s="53" t="s">
        <v>47</v>
      </c>
      <c r="Z12" s="53" t="s">
        <v>97</v>
      </c>
      <c r="AA12" s="53" t="s">
        <v>69</v>
      </c>
      <c r="AB12" s="127" t="s">
        <v>258</v>
      </c>
      <c r="AC12" s="34"/>
      <c r="AE12" s="22" t="s">
        <v>70</v>
      </c>
      <c r="AG12" s="23"/>
      <c r="AH12" s="22"/>
      <c r="AL12" s="134"/>
      <c r="AP12" s="23" t="s">
        <v>67</v>
      </c>
      <c r="AR12" s="23" t="s">
        <v>124</v>
      </c>
      <c r="AV12" s="135" t="s">
        <v>303</v>
      </c>
      <c r="AX12" s="24">
        <v>180</v>
      </c>
      <c r="AY12" s="25">
        <v>18</v>
      </c>
      <c r="AZ12" s="25">
        <v>181</v>
      </c>
      <c r="BA12" s="26">
        <v>16</v>
      </c>
    </row>
    <row r="13" spans="1:53" x14ac:dyDescent="0.15">
      <c r="A13" s="127" t="s">
        <v>61</v>
      </c>
      <c r="B13" s="127" t="s">
        <v>232</v>
      </c>
      <c r="C13" s="127">
        <v>2019</v>
      </c>
      <c r="D13" s="128" t="s">
        <v>283</v>
      </c>
      <c r="E13" s="127" t="s">
        <v>286</v>
      </c>
      <c r="F13" s="127" t="s">
        <v>287</v>
      </c>
      <c r="G13" s="127" t="s">
        <v>42</v>
      </c>
      <c r="H13" s="53" t="s">
        <v>160</v>
      </c>
      <c r="I13" s="53" t="s">
        <v>159</v>
      </c>
      <c r="J13" s="127" t="s">
        <v>38</v>
      </c>
      <c r="K13" s="53" t="s">
        <v>161</v>
      </c>
      <c r="L13" s="53">
        <v>3</v>
      </c>
      <c r="N13" s="53">
        <v>3</v>
      </c>
      <c r="O13" s="53">
        <v>0.5</v>
      </c>
      <c r="P13" s="53">
        <v>0.5</v>
      </c>
      <c r="Q13" s="74">
        <f t="shared" si="0"/>
        <v>0.5</v>
      </c>
      <c r="R13" s="53">
        <v>17.600000000000001</v>
      </c>
      <c r="S13" s="53">
        <v>129</v>
      </c>
      <c r="T13" s="16">
        <f t="shared" si="1"/>
        <v>25</v>
      </c>
      <c r="U13" s="53">
        <v>458</v>
      </c>
      <c r="V13" s="129">
        <f t="shared" si="2"/>
        <v>3816.6666666666665</v>
      </c>
      <c r="W13" s="53">
        <v>6</v>
      </c>
      <c r="X13" s="127" t="s">
        <v>46</v>
      </c>
      <c r="Y13" s="53" t="s">
        <v>47</v>
      </c>
      <c r="Z13" s="53" t="s">
        <v>97</v>
      </c>
      <c r="AA13" s="53" t="s">
        <v>69</v>
      </c>
      <c r="AB13" s="127" t="s">
        <v>258</v>
      </c>
      <c r="AC13" s="34"/>
      <c r="AE13" s="22" t="s">
        <v>73</v>
      </c>
      <c r="AG13" s="23"/>
      <c r="AH13" s="22"/>
      <c r="AL13" s="136"/>
      <c r="AP13" s="23" t="s">
        <v>71</v>
      </c>
      <c r="AR13" s="23" t="s">
        <v>103</v>
      </c>
      <c r="AV13" s="135" t="s">
        <v>304</v>
      </c>
      <c r="AX13" s="24"/>
      <c r="AY13" s="25"/>
      <c r="AZ13" s="25"/>
      <c r="BA13" s="26"/>
    </row>
    <row r="14" spans="1:53" x14ac:dyDescent="0.15">
      <c r="A14" s="127" t="s">
        <v>61</v>
      </c>
      <c r="B14" s="127" t="s">
        <v>232</v>
      </c>
      <c r="C14" s="127">
        <v>2019</v>
      </c>
      <c r="D14" s="128" t="s">
        <v>283</v>
      </c>
      <c r="E14" s="127" t="s">
        <v>288</v>
      </c>
      <c r="F14" s="127" t="s">
        <v>289</v>
      </c>
      <c r="G14" s="127" t="s">
        <v>42</v>
      </c>
      <c r="H14" s="53" t="s">
        <v>165</v>
      </c>
      <c r="I14" s="53" t="s">
        <v>159</v>
      </c>
      <c r="J14" s="127" t="s">
        <v>38</v>
      </c>
      <c r="K14" s="53" t="s">
        <v>161</v>
      </c>
      <c r="L14" s="53">
        <v>1</v>
      </c>
      <c r="N14" s="53">
        <v>4</v>
      </c>
      <c r="O14" s="53">
        <v>0.75</v>
      </c>
      <c r="P14" s="53">
        <v>0.9</v>
      </c>
      <c r="Q14" s="74">
        <f t="shared" si="0"/>
        <v>0.82499999999999996</v>
      </c>
      <c r="R14" s="53">
        <v>15.6</v>
      </c>
      <c r="S14" s="53">
        <v>89</v>
      </c>
      <c r="T14" s="16">
        <f t="shared" si="1"/>
        <v>36</v>
      </c>
      <c r="U14" s="53">
        <v>298</v>
      </c>
      <c r="V14" s="129">
        <f t="shared" si="2"/>
        <v>2682</v>
      </c>
      <c r="W14" s="53">
        <v>8</v>
      </c>
      <c r="X14" s="127" t="s">
        <v>46</v>
      </c>
      <c r="Y14" s="53" t="s">
        <v>69</v>
      </c>
      <c r="Z14" s="53" t="s">
        <v>55</v>
      </c>
      <c r="AA14" s="53" t="s">
        <v>47</v>
      </c>
      <c r="AB14" s="127" t="s">
        <v>258</v>
      </c>
      <c r="AC14" s="34"/>
      <c r="AE14" s="22" t="s">
        <v>76</v>
      </c>
      <c r="AG14" s="23"/>
      <c r="AH14" s="22"/>
      <c r="AL14" s="34"/>
      <c r="AP14" s="23" t="s">
        <v>74</v>
      </c>
      <c r="AR14" s="23" t="s">
        <v>125</v>
      </c>
      <c r="AV14" s="135" t="s">
        <v>305</v>
      </c>
      <c r="AX14" s="24"/>
      <c r="AY14" s="25"/>
      <c r="AZ14" s="25"/>
      <c r="BA14" s="26"/>
    </row>
    <row r="15" spans="1:53" x14ac:dyDescent="0.15">
      <c r="A15" s="127" t="s">
        <v>61</v>
      </c>
      <c r="B15" s="127" t="s">
        <v>232</v>
      </c>
      <c r="C15" s="127">
        <v>2019</v>
      </c>
      <c r="D15" s="128" t="s">
        <v>283</v>
      </c>
      <c r="E15" s="127" t="s">
        <v>288</v>
      </c>
      <c r="F15" s="127" t="s">
        <v>289</v>
      </c>
      <c r="G15" s="127" t="s">
        <v>42</v>
      </c>
      <c r="H15" s="53" t="s">
        <v>165</v>
      </c>
      <c r="I15" s="53" t="s">
        <v>159</v>
      </c>
      <c r="J15" s="127" t="s">
        <v>38</v>
      </c>
      <c r="K15" s="53" t="s">
        <v>161</v>
      </c>
      <c r="L15" s="53">
        <v>2</v>
      </c>
      <c r="N15" s="53">
        <v>4</v>
      </c>
      <c r="O15" s="53">
        <v>1.2</v>
      </c>
      <c r="P15" s="53">
        <v>1.35</v>
      </c>
      <c r="Q15" s="74">
        <f t="shared" si="0"/>
        <v>1.2749999999999999</v>
      </c>
      <c r="R15" s="34">
        <v>11.5</v>
      </c>
      <c r="S15" s="53">
        <v>105</v>
      </c>
      <c r="T15" s="16">
        <f t="shared" si="1"/>
        <v>33</v>
      </c>
      <c r="U15" s="53">
        <v>298</v>
      </c>
      <c r="V15" s="129">
        <f t="shared" si="2"/>
        <v>2458.5</v>
      </c>
      <c r="W15" s="53">
        <v>8</v>
      </c>
      <c r="X15" s="127" t="s">
        <v>46</v>
      </c>
      <c r="Y15" s="53" t="s">
        <v>69</v>
      </c>
      <c r="Z15" s="53" t="s">
        <v>55</v>
      </c>
      <c r="AA15" s="53" t="s">
        <v>47</v>
      </c>
      <c r="AB15" s="127" t="s">
        <v>258</v>
      </c>
      <c r="AC15" s="34"/>
      <c r="AE15" s="22" t="s">
        <v>79</v>
      </c>
      <c r="AG15" s="23"/>
      <c r="AH15" s="23"/>
      <c r="AL15" s="34"/>
      <c r="AP15" s="23" t="s">
        <v>77</v>
      </c>
      <c r="AR15" s="23" t="s">
        <v>94</v>
      </c>
      <c r="AV15" s="135" t="s">
        <v>306</v>
      </c>
      <c r="AX15" s="31"/>
      <c r="AY15" s="32"/>
      <c r="AZ15" s="32"/>
      <c r="BA15" s="33"/>
    </row>
    <row r="16" spans="1:53" x14ac:dyDescent="0.15">
      <c r="A16" s="127" t="s">
        <v>61</v>
      </c>
      <c r="B16" s="127" t="s">
        <v>232</v>
      </c>
      <c r="C16" s="127">
        <v>2019</v>
      </c>
      <c r="D16" s="128" t="s">
        <v>283</v>
      </c>
      <c r="E16" s="127" t="s">
        <v>288</v>
      </c>
      <c r="F16" s="127" t="s">
        <v>289</v>
      </c>
      <c r="G16" s="127" t="s">
        <v>42</v>
      </c>
      <c r="H16" s="53" t="s">
        <v>165</v>
      </c>
      <c r="I16" s="53" t="s">
        <v>159</v>
      </c>
      <c r="J16" s="127" t="s">
        <v>38</v>
      </c>
      <c r="K16" s="53" t="s">
        <v>161</v>
      </c>
      <c r="L16" s="53">
        <v>3</v>
      </c>
      <c r="N16" s="53">
        <v>4</v>
      </c>
      <c r="O16" s="53">
        <v>1.25</v>
      </c>
      <c r="P16" s="53">
        <v>1.35</v>
      </c>
      <c r="Q16" s="74">
        <f t="shared" si="0"/>
        <v>1.3</v>
      </c>
      <c r="R16" s="53">
        <v>14.2</v>
      </c>
      <c r="S16" s="53">
        <v>102</v>
      </c>
      <c r="T16" s="16">
        <f t="shared" si="1"/>
        <v>33</v>
      </c>
      <c r="U16" s="53">
        <v>298</v>
      </c>
      <c r="V16" s="129">
        <f t="shared" si="2"/>
        <v>2458.5</v>
      </c>
      <c r="W16" s="53">
        <v>8</v>
      </c>
      <c r="X16" s="127" t="s">
        <v>46</v>
      </c>
      <c r="Y16" s="53" t="s">
        <v>69</v>
      </c>
      <c r="Z16" s="53" t="s">
        <v>55</v>
      </c>
      <c r="AA16" s="53" t="s">
        <v>47</v>
      </c>
      <c r="AB16" s="127" t="s">
        <v>258</v>
      </c>
      <c r="AC16" s="34"/>
      <c r="AE16" s="22" t="s">
        <v>82</v>
      </c>
      <c r="AG16" s="23"/>
      <c r="AH16" s="23"/>
      <c r="AP16" s="23" t="s">
        <v>80</v>
      </c>
      <c r="AR16" s="23" t="s">
        <v>63</v>
      </c>
      <c r="AV16" s="135" t="s">
        <v>307</v>
      </c>
    </row>
    <row r="17" spans="1:48" x14ac:dyDescent="0.15">
      <c r="A17" s="127" t="s">
        <v>61</v>
      </c>
      <c r="B17" s="127" t="s">
        <v>232</v>
      </c>
      <c r="C17" s="127">
        <v>2019</v>
      </c>
      <c r="D17" s="128" t="s">
        <v>283</v>
      </c>
      <c r="E17" s="127" t="s">
        <v>288</v>
      </c>
      <c r="F17" s="127" t="s">
        <v>289</v>
      </c>
      <c r="G17" s="127" t="s">
        <v>42</v>
      </c>
      <c r="H17" s="53" t="s">
        <v>160</v>
      </c>
      <c r="I17" s="53" t="s">
        <v>159</v>
      </c>
      <c r="J17" s="127" t="s">
        <v>38</v>
      </c>
      <c r="K17" s="53" t="s">
        <v>161</v>
      </c>
      <c r="L17" s="53">
        <v>1</v>
      </c>
      <c r="N17" s="53">
        <v>4</v>
      </c>
      <c r="O17" s="53">
        <v>1.85</v>
      </c>
      <c r="P17" s="53">
        <v>1.05</v>
      </c>
      <c r="Q17" s="74">
        <f t="shared" si="0"/>
        <v>1.4500000000000002</v>
      </c>
      <c r="R17" s="53">
        <v>18.3</v>
      </c>
      <c r="S17" s="53">
        <v>136</v>
      </c>
      <c r="T17" s="16">
        <f t="shared" si="1"/>
        <v>25</v>
      </c>
      <c r="U17" s="53">
        <v>450</v>
      </c>
      <c r="V17" s="129">
        <f t="shared" si="2"/>
        <v>2812.5</v>
      </c>
      <c r="W17" s="53">
        <v>8</v>
      </c>
      <c r="X17" s="127" t="s">
        <v>46</v>
      </c>
      <c r="Y17" s="53" t="s">
        <v>69</v>
      </c>
      <c r="Z17" s="53" t="s">
        <v>55</v>
      </c>
      <c r="AA17" s="53" t="s">
        <v>47</v>
      </c>
      <c r="AB17" s="127" t="s">
        <v>258</v>
      </c>
      <c r="AC17" s="34"/>
      <c r="AE17" s="22" t="s">
        <v>85</v>
      </c>
      <c r="AP17" s="27" t="s">
        <v>110</v>
      </c>
      <c r="AR17" s="23" t="s">
        <v>96</v>
      </c>
      <c r="AV17" s="135" t="s">
        <v>253</v>
      </c>
    </row>
    <row r="18" spans="1:48" x14ac:dyDescent="0.15">
      <c r="A18" s="127" t="s">
        <v>61</v>
      </c>
      <c r="B18" s="127" t="s">
        <v>232</v>
      </c>
      <c r="C18" s="127">
        <v>2019</v>
      </c>
      <c r="D18" s="128" t="s">
        <v>283</v>
      </c>
      <c r="E18" s="127" t="s">
        <v>288</v>
      </c>
      <c r="F18" s="127" t="s">
        <v>289</v>
      </c>
      <c r="G18" s="127" t="s">
        <v>42</v>
      </c>
      <c r="H18" s="53" t="s">
        <v>160</v>
      </c>
      <c r="I18" s="53" t="s">
        <v>159</v>
      </c>
      <c r="J18" s="127" t="s">
        <v>38</v>
      </c>
      <c r="K18" s="53" t="s">
        <v>161</v>
      </c>
      <c r="L18" s="53">
        <v>2</v>
      </c>
      <c r="N18" s="53">
        <v>4</v>
      </c>
      <c r="O18" s="53">
        <v>1.25</v>
      </c>
      <c r="P18" s="53">
        <v>1.35</v>
      </c>
      <c r="Q18" s="74">
        <f t="shared" si="0"/>
        <v>1.3</v>
      </c>
      <c r="R18" s="34">
        <v>17.2</v>
      </c>
      <c r="S18" s="53">
        <v>138</v>
      </c>
      <c r="T18" s="16">
        <f t="shared" si="1"/>
        <v>22</v>
      </c>
      <c r="U18" s="53">
        <v>450</v>
      </c>
      <c r="V18" s="129">
        <f t="shared" si="2"/>
        <v>2475</v>
      </c>
      <c r="W18" s="53">
        <v>8</v>
      </c>
      <c r="X18" s="127" t="s">
        <v>46</v>
      </c>
      <c r="Y18" s="53" t="s">
        <v>69</v>
      </c>
      <c r="Z18" s="53" t="s">
        <v>55</v>
      </c>
      <c r="AA18" s="53" t="s">
        <v>47</v>
      </c>
      <c r="AB18" s="127" t="s">
        <v>258</v>
      </c>
      <c r="AC18" s="34"/>
      <c r="AE18" s="22" t="s">
        <v>87</v>
      </c>
      <c r="AP18" s="27" t="s">
        <v>111</v>
      </c>
      <c r="AR18" s="23" t="s">
        <v>101</v>
      </c>
      <c r="AV18" s="135" t="s">
        <v>135</v>
      </c>
    </row>
    <row r="19" spans="1:48" x14ac:dyDescent="0.15">
      <c r="A19" s="127" t="s">
        <v>61</v>
      </c>
      <c r="B19" s="127" t="s">
        <v>232</v>
      </c>
      <c r="C19" s="127">
        <v>2019</v>
      </c>
      <c r="D19" s="128" t="s">
        <v>283</v>
      </c>
      <c r="E19" s="127" t="s">
        <v>288</v>
      </c>
      <c r="F19" s="127" t="s">
        <v>289</v>
      </c>
      <c r="G19" s="127" t="s">
        <v>42</v>
      </c>
      <c r="H19" s="53" t="s">
        <v>160</v>
      </c>
      <c r="I19" s="53" t="s">
        <v>159</v>
      </c>
      <c r="J19" s="127" t="s">
        <v>38</v>
      </c>
      <c r="K19" s="53" t="s">
        <v>161</v>
      </c>
      <c r="L19" s="53">
        <v>3</v>
      </c>
      <c r="N19" s="53">
        <v>4</v>
      </c>
      <c r="O19" s="34">
        <v>1.25</v>
      </c>
      <c r="P19" s="53">
        <v>0.9</v>
      </c>
      <c r="Q19" s="74">
        <f t="shared" si="0"/>
        <v>1.075</v>
      </c>
      <c r="R19" s="53">
        <v>13.2</v>
      </c>
      <c r="S19" s="53">
        <v>140</v>
      </c>
      <c r="T19" s="16">
        <f t="shared" si="1"/>
        <v>22</v>
      </c>
      <c r="U19" s="53">
        <v>450</v>
      </c>
      <c r="V19" s="129">
        <f t="shared" si="2"/>
        <v>2475</v>
      </c>
      <c r="W19" s="53">
        <v>8</v>
      </c>
      <c r="X19" s="127" t="s">
        <v>46</v>
      </c>
      <c r="Y19" s="53" t="s">
        <v>69</v>
      </c>
      <c r="Z19" s="53" t="s">
        <v>55</v>
      </c>
      <c r="AA19" s="53" t="s">
        <v>47</v>
      </c>
      <c r="AB19" s="127" t="s">
        <v>258</v>
      </c>
      <c r="AC19" s="34"/>
      <c r="AE19" s="35" t="s">
        <v>89</v>
      </c>
      <c r="AP19" s="27" t="s">
        <v>112</v>
      </c>
      <c r="AR19" s="23" t="s">
        <v>126</v>
      </c>
      <c r="AV19" s="135" t="s">
        <v>308</v>
      </c>
    </row>
    <row r="20" spans="1:48" x14ac:dyDescent="0.15">
      <c r="A20" s="127" t="s">
        <v>61</v>
      </c>
      <c r="B20" s="127" t="s">
        <v>232</v>
      </c>
      <c r="C20" s="127">
        <v>2019</v>
      </c>
      <c r="D20" s="128" t="s">
        <v>283</v>
      </c>
      <c r="E20" s="127" t="s">
        <v>290</v>
      </c>
      <c r="F20" s="127" t="s">
        <v>291</v>
      </c>
      <c r="G20" s="127" t="s">
        <v>42</v>
      </c>
      <c r="H20" s="53" t="s">
        <v>165</v>
      </c>
      <c r="I20" s="53" t="s">
        <v>159</v>
      </c>
      <c r="J20" s="127" t="s">
        <v>38</v>
      </c>
      <c r="K20" s="53" t="s">
        <v>161</v>
      </c>
      <c r="L20" s="53">
        <v>1</v>
      </c>
      <c r="N20" s="53">
        <v>1</v>
      </c>
      <c r="O20" s="53">
        <v>0.5</v>
      </c>
      <c r="P20" s="53">
        <v>0.5</v>
      </c>
      <c r="Q20" s="74">
        <f t="shared" si="0"/>
        <v>0.5</v>
      </c>
      <c r="R20" s="53">
        <v>15.8</v>
      </c>
      <c r="S20" s="53">
        <v>131</v>
      </c>
      <c r="T20" s="16">
        <f t="shared" si="1"/>
        <v>25</v>
      </c>
      <c r="U20" s="53">
        <v>128</v>
      </c>
      <c r="V20" s="129">
        <f t="shared" si="2"/>
        <v>3200</v>
      </c>
      <c r="W20" s="53">
        <v>16</v>
      </c>
      <c r="X20" s="127" t="s">
        <v>46</v>
      </c>
      <c r="Y20" s="53" t="s">
        <v>55</v>
      </c>
      <c r="Z20" s="53" t="s">
        <v>97</v>
      </c>
      <c r="AA20" s="53" t="s">
        <v>47</v>
      </c>
      <c r="AB20" s="127" t="s">
        <v>258</v>
      </c>
      <c r="AC20" s="34"/>
      <c r="AE20" s="22"/>
      <c r="AP20" s="27" t="s">
        <v>113</v>
      </c>
      <c r="AR20" s="23" t="s">
        <v>105</v>
      </c>
      <c r="AV20" s="135" t="s">
        <v>309</v>
      </c>
    </row>
    <row r="21" spans="1:48" x14ac:dyDescent="0.15">
      <c r="A21" s="127" t="s">
        <v>61</v>
      </c>
      <c r="B21" s="127" t="s">
        <v>232</v>
      </c>
      <c r="C21" s="127">
        <v>2019</v>
      </c>
      <c r="D21" s="128" t="s">
        <v>283</v>
      </c>
      <c r="E21" s="127" t="s">
        <v>290</v>
      </c>
      <c r="F21" s="127" t="s">
        <v>291</v>
      </c>
      <c r="G21" s="127" t="s">
        <v>42</v>
      </c>
      <c r="H21" s="53" t="s">
        <v>165</v>
      </c>
      <c r="I21" s="53" t="s">
        <v>159</v>
      </c>
      <c r="J21" s="127" t="s">
        <v>38</v>
      </c>
      <c r="K21" s="53" t="s">
        <v>161</v>
      </c>
      <c r="L21" s="53">
        <v>2</v>
      </c>
      <c r="N21" s="53">
        <v>1</v>
      </c>
      <c r="O21" s="53">
        <v>0.75</v>
      </c>
      <c r="P21" s="53">
        <v>1</v>
      </c>
      <c r="Q21" s="74">
        <f t="shared" si="0"/>
        <v>0.875</v>
      </c>
      <c r="R21" s="53">
        <v>17.100000000000001</v>
      </c>
      <c r="S21" s="53">
        <v>128</v>
      </c>
      <c r="T21" s="16">
        <f t="shared" si="1"/>
        <v>27</v>
      </c>
      <c r="U21" s="53">
        <v>128</v>
      </c>
      <c r="V21" s="129">
        <f t="shared" si="2"/>
        <v>3456</v>
      </c>
      <c r="W21" s="53">
        <v>16</v>
      </c>
      <c r="X21" s="127" t="s">
        <v>46</v>
      </c>
      <c r="Y21" s="53" t="s">
        <v>55</v>
      </c>
      <c r="Z21" s="53" t="s">
        <v>97</v>
      </c>
      <c r="AA21" s="53" t="s">
        <v>47</v>
      </c>
      <c r="AB21" s="127" t="s">
        <v>258</v>
      </c>
      <c r="AC21" s="34"/>
      <c r="AE21" s="22"/>
      <c r="AP21" s="27" t="s">
        <v>114</v>
      </c>
      <c r="AR21" s="23" t="s">
        <v>68</v>
      </c>
      <c r="AV21" s="135" t="s">
        <v>310</v>
      </c>
    </row>
    <row r="22" spans="1:48" x14ac:dyDescent="0.15">
      <c r="A22" s="127" t="s">
        <v>61</v>
      </c>
      <c r="B22" s="127" t="s">
        <v>232</v>
      </c>
      <c r="C22" s="127">
        <v>2019</v>
      </c>
      <c r="D22" s="128" t="s">
        <v>283</v>
      </c>
      <c r="E22" s="127" t="s">
        <v>290</v>
      </c>
      <c r="F22" s="127" t="s">
        <v>291</v>
      </c>
      <c r="G22" s="127" t="s">
        <v>42</v>
      </c>
      <c r="H22" s="53" t="s">
        <v>165</v>
      </c>
      <c r="I22" s="53" t="s">
        <v>159</v>
      </c>
      <c r="J22" s="127" t="s">
        <v>38</v>
      </c>
      <c r="K22" s="53" t="s">
        <v>161</v>
      </c>
      <c r="L22" s="53">
        <v>3</v>
      </c>
      <c r="N22" s="53">
        <v>1</v>
      </c>
      <c r="O22" s="53">
        <v>0.75</v>
      </c>
      <c r="P22" s="53">
        <v>1</v>
      </c>
      <c r="Q22" s="74">
        <f t="shared" si="0"/>
        <v>0.875</v>
      </c>
      <c r="R22" s="53">
        <v>17.100000000000001</v>
      </c>
      <c r="S22" s="53">
        <v>129</v>
      </c>
      <c r="T22" s="16">
        <f t="shared" si="1"/>
        <v>25</v>
      </c>
      <c r="U22" s="53">
        <v>128</v>
      </c>
      <c r="V22" s="129">
        <f t="shared" si="2"/>
        <v>3200</v>
      </c>
      <c r="W22" s="53">
        <v>16</v>
      </c>
      <c r="X22" s="127" t="s">
        <v>46</v>
      </c>
      <c r="Y22" s="53" t="s">
        <v>55</v>
      </c>
      <c r="Z22" s="53" t="s">
        <v>97</v>
      </c>
      <c r="AA22" s="53" t="s">
        <v>47</v>
      </c>
      <c r="AB22" s="127" t="s">
        <v>258</v>
      </c>
      <c r="AC22" s="34"/>
      <c r="AE22" s="35"/>
      <c r="AP22" s="27" t="s">
        <v>115</v>
      </c>
      <c r="AR22" s="23" t="s">
        <v>83</v>
      </c>
      <c r="AV22" s="23"/>
    </row>
    <row r="23" spans="1:48" x14ac:dyDescent="0.15">
      <c r="A23" s="127" t="s">
        <v>61</v>
      </c>
      <c r="B23" s="127" t="s">
        <v>232</v>
      </c>
      <c r="C23" s="127">
        <v>2019</v>
      </c>
      <c r="D23" s="128" t="s">
        <v>283</v>
      </c>
      <c r="E23" s="127" t="s">
        <v>290</v>
      </c>
      <c r="F23" s="127" t="s">
        <v>291</v>
      </c>
      <c r="G23" s="127" t="s">
        <v>42</v>
      </c>
      <c r="H23" s="53" t="s">
        <v>160</v>
      </c>
      <c r="I23" s="53" t="s">
        <v>159</v>
      </c>
      <c r="J23" s="127" t="s">
        <v>38</v>
      </c>
      <c r="K23" s="53" t="s">
        <v>161</v>
      </c>
      <c r="L23" s="53">
        <v>1</v>
      </c>
      <c r="N23" s="53">
        <v>4</v>
      </c>
      <c r="O23" s="53">
        <v>0.5</v>
      </c>
      <c r="P23" s="53">
        <v>0.5</v>
      </c>
      <c r="Q23" s="74">
        <f t="shared" si="0"/>
        <v>0.5</v>
      </c>
      <c r="R23" s="53">
        <v>17.600000000000001</v>
      </c>
      <c r="S23" s="53">
        <v>99</v>
      </c>
      <c r="T23" s="16">
        <f t="shared" si="1"/>
        <v>33</v>
      </c>
      <c r="U23" s="53">
        <v>398</v>
      </c>
      <c r="V23" s="129">
        <f t="shared" si="2"/>
        <v>3283.5</v>
      </c>
      <c r="W23" s="53">
        <v>16</v>
      </c>
      <c r="X23" s="127" t="s">
        <v>46</v>
      </c>
      <c r="Y23" s="53" t="s">
        <v>55</v>
      </c>
      <c r="Z23" s="53" t="s">
        <v>97</v>
      </c>
      <c r="AA23" s="53" t="s">
        <v>47</v>
      </c>
      <c r="AB23" s="127" t="s">
        <v>258</v>
      </c>
      <c r="AC23" s="34"/>
      <c r="AE23" s="22"/>
      <c r="AP23" s="27" t="s">
        <v>137</v>
      </c>
      <c r="AR23" s="23" t="s">
        <v>61</v>
      </c>
    </row>
    <row r="24" spans="1:48" x14ac:dyDescent="0.15">
      <c r="A24" s="127" t="s">
        <v>61</v>
      </c>
      <c r="B24" s="127" t="s">
        <v>232</v>
      </c>
      <c r="C24" s="127">
        <v>2019</v>
      </c>
      <c r="D24" s="128" t="s">
        <v>283</v>
      </c>
      <c r="E24" s="127" t="s">
        <v>290</v>
      </c>
      <c r="F24" s="127" t="s">
        <v>291</v>
      </c>
      <c r="G24" s="127" t="s">
        <v>42</v>
      </c>
      <c r="H24" s="53" t="s">
        <v>160</v>
      </c>
      <c r="I24" s="53" t="s">
        <v>159</v>
      </c>
      <c r="J24" s="127" t="s">
        <v>38</v>
      </c>
      <c r="K24" s="53" t="s">
        <v>161</v>
      </c>
      <c r="L24" s="53">
        <v>2</v>
      </c>
      <c r="N24" s="53">
        <v>4</v>
      </c>
      <c r="O24" s="53">
        <v>0.5</v>
      </c>
      <c r="P24" s="53">
        <v>0.5</v>
      </c>
      <c r="Q24" s="74">
        <f t="shared" si="0"/>
        <v>0.5</v>
      </c>
      <c r="R24" s="53">
        <v>18.2</v>
      </c>
      <c r="S24" s="53">
        <v>95</v>
      </c>
      <c r="T24" s="16">
        <f t="shared" si="1"/>
        <v>36</v>
      </c>
      <c r="U24" s="53">
        <v>398</v>
      </c>
      <c r="V24" s="129">
        <f t="shared" si="2"/>
        <v>3582</v>
      </c>
      <c r="W24" s="53">
        <v>16</v>
      </c>
      <c r="X24" s="127" t="s">
        <v>46</v>
      </c>
      <c r="Y24" s="53" t="s">
        <v>55</v>
      </c>
      <c r="Z24" s="53" t="s">
        <v>97</v>
      </c>
      <c r="AA24" s="53" t="s">
        <v>47</v>
      </c>
      <c r="AB24" s="127" t="s">
        <v>258</v>
      </c>
      <c r="AC24" s="34"/>
      <c r="AE24" s="22"/>
      <c r="AP24" s="27" t="s">
        <v>138</v>
      </c>
      <c r="AR24" s="23" t="s">
        <v>91</v>
      </c>
    </row>
    <row r="25" spans="1:48" x14ac:dyDescent="0.15">
      <c r="A25" s="127" t="s">
        <v>61</v>
      </c>
      <c r="B25" s="127" t="s">
        <v>232</v>
      </c>
      <c r="C25" s="127">
        <v>2019</v>
      </c>
      <c r="D25" s="128" t="s">
        <v>283</v>
      </c>
      <c r="E25" s="127" t="s">
        <v>290</v>
      </c>
      <c r="F25" s="127" t="s">
        <v>291</v>
      </c>
      <c r="G25" s="127" t="s">
        <v>42</v>
      </c>
      <c r="H25" s="53" t="s">
        <v>160</v>
      </c>
      <c r="I25" s="53" t="s">
        <v>159</v>
      </c>
      <c r="J25" s="127" t="s">
        <v>38</v>
      </c>
      <c r="K25" s="53" t="s">
        <v>161</v>
      </c>
      <c r="L25" s="53">
        <v>3</v>
      </c>
      <c r="N25" s="53">
        <v>4</v>
      </c>
      <c r="O25" s="34">
        <v>0.5</v>
      </c>
      <c r="P25" s="53">
        <v>0.5</v>
      </c>
      <c r="Q25" s="74">
        <f t="shared" si="0"/>
        <v>0.5</v>
      </c>
      <c r="R25" s="53">
        <v>17.600000000000001</v>
      </c>
      <c r="S25" s="53">
        <v>100</v>
      </c>
      <c r="T25" s="16">
        <f t="shared" si="1"/>
        <v>33</v>
      </c>
      <c r="U25" s="53">
        <v>398</v>
      </c>
      <c r="V25" s="129">
        <f t="shared" si="2"/>
        <v>3283.5</v>
      </c>
      <c r="W25" s="53">
        <v>16</v>
      </c>
      <c r="X25" s="127" t="s">
        <v>46</v>
      </c>
      <c r="Y25" s="53" t="s">
        <v>55</v>
      </c>
      <c r="Z25" s="53" t="s">
        <v>97</v>
      </c>
      <c r="AA25" s="53" t="s">
        <v>47</v>
      </c>
      <c r="AB25" s="127" t="s">
        <v>258</v>
      </c>
      <c r="AC25" s="34"/>
      <c r="AE25" s="35"/>
      <c r="AP25" s="27" t="s">
        <v>116</v>
      </c>
      <c r="AR25" s="27" t="s">
        <v>92</v>
      </c>
    </row>
    <row r="26" spans="1:48" x14ac:dyDescent="0.15">
      <c r="A26" s="127" t="s">
        <v>61</v>
      </c>
      <c r="B26" s="127" t="s">
        <v>232</v>
      </c>
      <c r="C26" s="127">
        <v>2019</v>
      </c>
      <c r="D26" s="128" t="s">
        <v>283</v>
      </c>
      <c r="E26" s="127" t="s">
        <v>292</v>
      </c>
      <c r="F26" s="127" t="s">
        <v>293</v>
      </c>
      <c r="G26" s="127" t="s">
        <v>42</v>
      </c>
      <c r="H26" s="53" t="s">
        <v>165</v>
      </c>
      <c r="I26" s="53" t="s">
        <v>159</v>
      </c>
      <c r="J26" s="127" t="s">
        <v>38</v>
      </c>
      <c r="K26" s="53" t="s">
        <v>161</v>
      </c>
      <c r="L26" s="53">
        <v>1</v>
      </c>
      <c r="N26" s="53">
        <v>1</v>
      </c>
      <c r="O26" s="34">
        <v>0.5</v>
      </c>
      <c r="P26" s="53">
        <v>0.5</v>
      </c>
      <c r="Q26" s="74">
        <f t="shared" si="0"/>
        <v>0.5</v>
      </c>
      <c r="R26" s="53">
        <v>17.399999999999999</v>
      </c>
      <c r="S26" s="53">
        <v>127</v>
      </c>
      <c r="T26" s="16">
        <f t="shared" si="1"/>
        <v>27</v>
      </c>
      <c r="U26" s="53">
        <v>138</v>
      </c>
      <c r="V26" s="129">
        <f t="shared" si="2"/>
        <v>3726</v>
      </c>
      <c r="W26" s="53">
        <v>6</v>
      </c>
      <c r="X26" s="127" t="s">
        <v>46</v>
      </c>
      <c r="Y26" s="53" t="s">
        <v>47</v>
      </c>
      <c r="Z26" s="53" t="s">
        <v>55</v>
      </c>
      <c r="AA26" s="53" t="s">
        <v>97</v>
      </c>
      <c r="AB26" s="127" t="s">
        <v>258</v>
      </c>
      <c r="AC26" s="34"/>
      <c r="AD26" s="34"/>
      <c r="AE26" s="35"/>
      <c r="AP26" s="27" t="s">
        <v>117</v>
      </c>
      <c r="AR26" s="23" t="s">
        <v>153</v>
      </c>
    </row>
    <row r="27" spans="1:48" x14ac:dyDescent="0.15">
      <c r="A27" s="127" t="s">
        <v>61</v>
      </c>
      <c r="B27" s="127" t="s">
        <v>232</v>
      </c>
      <c r="C27" s="127">
        <v>2019</v>
      </c>
      <c r="D27" s="128" t="s">
        <v>283</v>
      </c>
      <c r="E27" s="127" t="s">
        <v>292</v>
      </c>
      <c r="F27" s="127" t="s">
        <v>293</v>
      </c>
      <c r="G27" s="127" t="s">
        <v>42</v>
      </c>
      <c r="H27" s="53" t="s">
        <v>165</v>
      </c>
      <c r="I27" s="53" t="s">
        <v>159</v>
      </c>
      <c r="J27" s="127" t="s">
        <v>38</v>
      </c>
      <c r="K27" s="53" t="s">
        <v>161</v>
      </c>
      <c r="L27" s="53">
        <v>2</v>
      </c>
      <c r="N27" s="53">
        <v>1</v>
      </c>
      <c r="O27" s="34">
        <v>0.5</v>
      </c>
      <c r="P27" s="53">
        <v>0.5</v>
      </c>
      <c r="Q27" s="74">
        <f t="shared" si="0"/>
        <v>0.5</v>
      </c>
      <c r="R27" s="53">
        <v>17.899999999999999</v>
      </c>
      <c r="S27" s="53">
        <v>119</v>
      </c>
      <c r="T27" s="16">
        <f t="shared" si="1"/>
        <v>30</v>
      </c>
      <c r="U27" s="53">
        <v>138</v>
      </c>
      <c r="V27" s="129">
        <f t="shared" si="2"/>
        <v>4140</v>
      </c>
      <c r="W27" s="53">
        <v>6</v>
      </c>
      <c r="X27" s="127" t="s">
        <v>46</v>
      </c>
      <c r="Y27" s="53" t="s">
        <v>47</v>
      </c>
      <c r="Z27" s="53" t="s">
        <v>55</v>
      </c>
      <c r="AA27" s="53" t="s">
        <v>97</v>
      </c>
      <c r="AB27" s="127" t="s">
        <v>258</v>
      </c>
      <c r="AC27" s="34"/>
      <c r="AD27" s="34"/>
      <c r="AE27" s="28"/>
      <c r="AP27" s="27" t="s">
        <v>118</v>
      </c>
      <c r="AR27" s="23"/>
    </row>
    <row r="28" spans="1:48" x14ac:dyDescent="0.15">
      <c r="A28" s="127" t="s">
        <v>61</v>
      </c>
      <c r="B28" s="127" t="s">
        <v>232</v>
      </c>
      <c r="C28" s="127">
        <v>2019</v>
      </c>
      <c r="D28" s="128" t="s">
        <v>283</v>
      </c>
      <c r="E28" s="127" t="s">
        <v>292</v>
      </c>
      <c r="F28" s="127" t="s">
        <v>293</v>
      </c>
      <c r="G28" s="127" t="s">
        <v>42</v>
      </c>
      <c r="H28" s="53" t="s">
        <v>165</v>
      </c>
      <c r="I28" s="53" t="s">
        <v>159</v>
      </c>
      <c r="J28" s="127" t="s">
        <v>38</v>
      </c>
      <c r="K28" s="53" t="s">
        <v>161</v>
      </c>
      <c r="L28" s="53">
        <v>3</v>
      </c>
      <c r="N28" s="53">
        <v>1</v>
      </c>
      <c r="O28" s="34">
        <v>0.5</v>
      </c>
      <c r="P28" s="53">
        <v>0.5</v>
      </c>
      <c r="Q28" s="74">
        <f t="shared" si="0"/>
        <v>0.5</v>
      </c>
      <c r="R28" s="53">
        <v>14.5</v>
      </c>
      <c r="S28" s="53">
        <v>117</v>
      </c>
      <c r="T28" s="16">
        <f t="shared" si="1"/>
        <v>30</v>
      </c>
      <c r="U28" s="53">
        <v>138</v>
      </c>
      <c r="V28" s="129">
        <f t="shared" si="2"/>
        <v>4140</v>
      </c>
      <c r="W28" s="53">
        <v>6</v>
      </c>
      <c r="X28" s="127" t="s">
        <v>46</v>
      </c>
      <c r="Y28" s="53" t="s">
        <v>47</v>
      </c>
      <c r="Z28" s="53" t="s">
        <v>55</v>
      </c>
      <c r="AA28" s="53" t="s">
        <v>97</v>
      </c>
      <c r="AB28" s="127" t="s">
        <v>258</v>
      </c>
      <c r="AC28" s="34"/>
      <c r="AD28" s="34"/>
      <c r="AP28" s="27"/>
      <c r="AR28" s="23"/>
    </row>
    <row r="29" spans="1:48" x14ac:dyDescent="0.15">
      <c r="A29" s="127" t="s">
        <v>61</v>
      </c>
      <c r="B29" s="127" t="s">
        <v>232</v>
      </c>
      <c r="C29" s="127">
        <v>2019</v>
      </c>
      <c r="D29" s="128" t="s">
        <v>283</v>
      </c>
      <c r="E29" s="127" t="s">
        <v>292</v>
      </c>
      <c r="F29" s="127" t="s">
        <v>293</v>
      </c>
      <c r="G29" s="127" t="s">
        <v>42</v>
      </c>
      <c r="H29" s="53" t="s">
        <v>160</v>
      </c>
      <c r="I29" s="53" t="s">
        <v>159</v>
      </c>
      <c r="J29" s="127" t="s">
        <v>38</v>
      </c>
      <c r="K29" s="53" t="s">
        <v>161</v>
      </c>
      <c r="L29" s="53">
        <v>1</v>
      </c>
      <c r="N29" s="53">
        <v>1</v>
      </c>
      <c r="O29" s="34">
        <v>0.5</v>
      </c>
      <c r="P29" s="53">
        <v>0.5</v>
      </c>
      <c r="Q29" s="74">
        <f t="shared" si="0"/>
        <v>0.5</v>
      </c>
      <c r="R29" s="53">
        <v>17.3</v>
      </c>
      <c r="S29" s="53">
        <v>139</v>
      </c>
      <c r="T29" s="16">
        <f t="shared" si="1"/>
        <v>22</v>
      </c>
      <c r="U29" s="53">
        <v>138</v>
      </c>
      <c r="V29" s="129">
        <f t="shared" si="2"/>
        <v>3036</v>
      </c>
      <c r="W29" s="53">
        <v>6</v>
      </c>
      <c r="X29" s="127" t="s">
        <v>46</v>
      </c>
      <c r="Y29" s="53" t="s">
        <v>47</v>
      </c>
      <c r="Z29" s="53" t="s">
        <v>55</v>
      </c>
      <c r="AA29" s="53" t="s">
        <v>97</v>
      </c>
      <c r="AB29" s="127" t="s">
        <v>258</v>
      </c>
      <c r="AC29" s="34"/>
    </row>
    <row r="30" spans="1:48" x14ac:dyDescent="0.15">
      <c r="A30" s="127" t="s">
        <v>61</v>
      </c>
      <c r="B30" s="127" t="s">
        <v>232</v>
      </c>
      <c r="C30" s="127">
        <v>2019</v>
      </c>
      <c r="D30" s="128" t="s">
        <v>283</v>
      </c>
      <c r="E30" s="127" t="s">
        <v>292</v>
      </c>
      <c r="F30" s="127" t="s">
        <v>293</v>
      </c>
      <c r="G30" s="127" t="s">
        <v>42</v>
      </c>
      <c r="H30" s="53" t="s">
        <v>160</v>
      </c>
      <c r="I30" s="53" t="s">
        <v>159</v>
      </c>
      <c r="J30" s="127" t="s">
        <v>38</v>
      </c>
      <c r="K30" s="53" t="s">
        <v>161</v>
      </c>
      <c r="L30" s="53">
        <v>2</v>
      </c>
      <c r="N30" s="53">
        <v>1</v>
      </c>
      <c r="O30" s="34">
        <v>0.5</v>
      </c>
      <c r="P30" s="53">
        <v>0.5</v>
      </c>
      <c r="Q30" s="74">
        <f t="shared" si="0"/>
        <v>0.5</v>
      </c>
      <c r="R30" s="53">
        <v>17.5</v>
      </c>
      <c r="S30" s="53">
        <v>137</v>
      </c>
      <c r="T30" s="16">
        <f t="shared" si="1"/>
        <v>25</v>
      </c>
      <c r="U30" s="53">
        <v>138</v>
      </c>
      <c r="V30" s="129">
        <f t="shared" si="2"/>
        <v>3450</v>
      </c>
      <c r="W30" s="53">
        <v>6</v>
      </c>
      <c r="X30" s="127" t="s">
        <v>46</v>
      </c>
      <c r="Y30" s="53" t="s">
        <v>47</v>
      </c>
      <c r="Z30" s="53" t="s">
        <v>55</v>
      </c>
      <c r="AA30" s="53" t="s">
        <v>97</v>
      </c>
      <c r="AB30" s="127" t="s">
        <v>258</v>
      </c>
      <c r="AC30" s="34"/>
    </row>
    <row r="31" spans="1:48" x14ac:dyDescent="0.15">
      <c r="A31" s="127" t="s">
        <v>61</v>
      </c>
      <c r="B31" s="127" t="s">
        <v>232</v>
      </c>
      <c r="C31" s="127">
        <v>2019</v>
      </c>
      <c r="D31" s="128" t="s">
        <v>283</v>
      </c>
      <c r="E31" s="127" t="s">
        <v>292</v>
      </c>
      <c r="F31" s="127" t="s">
        <v>293</v>
      </c>
      <c r="G31" s="127" t="s">
        <v>42</v>
      </c>
      <c r="H31" s="53" t="s">
        <v>160</v>
      </c>
      <c r="I31" s="53" t="s">
        <v>159</v>
      </c>
      <c r="J31" s="127" t="s">
        <v>38</v>
      </c>
      <c r="K31" s="53" t="s">
        <v>161</v>
      </c>
      <c r="L31" s="53">
        <v>3</v>
      </c>
      <c r="N31" s="53">
        <v>1</v>
      </c>
      <c r="O31" s="34">
        <v>0.5</v>
      </c>
      <c r="P31" s="53">
        <v>0.5</v>
      </c>
      <c r="Q31" s="74">
        <f t="shared" si="0"/>
        <v>0.5</v>
      </c>
      <c r="R31" s="53">
        <v>17.8</v>
      </c>
      <c r="S31" s="53">
        <v>144</v>
      </c>
      <c r="T31" s="16">
        <f t="shared" si="1"/>
        <v>22</v>
      </c>
      <c r="U31" s="53">
        <v>138</v>
      </c>
      <c r="V31" s="129">
        <f t="shared" si="2"/>
        <v>3036</v>
      </c>
      <c r="W31" s="53">
        <v>6</v>
      </c>
      <c r="X31" s="127" t="s">
        <v>46</v>
      </c>
      <c r="Y31" s="53" t="s">
        <v>47</v>
      </c>
      <c r="Z31" s="53" t="s">
        <v>55</v>
      </c>
      <c r="AA31" s="53" t="s">
        <v>97</v>
      </c>
      <c r="AB31" s="127" t="s">
        <v>258</v>
      </c>
      <c r="AC31" s="34"/>
    </row>
    <row r="32" spans="1:48" x14ac:dyDescent="0.15">
      <c r="A32" s="127" t="s">
        <v>61</v>
      </c>
      <c r="B32" s="127" t="s">
        <v>232</v>
      </c>
      <c r="C32" s="127">
        <v>2019</v>
      </c>
      <c r="D32" s="128" t="s">
        <v>283</v>
      </c>
      <c r="E32" s="127" t="s">
        <v>292</v>
      </c>
      <c r="F32" s="127" t="s">
        <v>293</v>
      </c>
      <c r="G32" s="127" t="s">
        <v>42</v>
      </c>
      <c r="H32" s="53" t="s">
        <v>160</v>
      </c>
      <c r="I32" s="53" t="s">
        <v>166</v>
      </c>
      <c r="J32" s="127" t="s">
        <v>38</v>
      </c>
      <c r="K32" s="53" t="s">
        <v>161</v>
      </c>
      <c r="L32" s="53">
        <v>1</v>
      </c>
      <c r="N32" s="53">
        <v>1</v>
      </c>
      <c r="O32" s="34">
        <v>0.5</v>
      </c>
      <c r="P32" s="53">
        <v>0.5</v>
      </c>
      <c r="Q32" s="74">
        <f t="shared" si="0"/>
        <v>0.5</v>
      </c>
      <c r="R32" s="53">
        <v>17.399999999999999</v>
      </c>
      <c r="S32" s="53">
        <v>116</v>
      </c>
      <c r="T32" s="16">
        <f t="shared" si="1"/>
        <v>30</v>
      </c>
      <c r="U32" s="53">
        <v>138</v>
      </c>
      <c r="V32" s="129">
        <f t="shared" si="2"/>
        <v>4140</v>
      </c>
      <c r="W32" s="53">
        <v>6</v>
      </c>
      <c r="X32" s="127" t="s">
        <v>46</v>
      </c>
      <c r="Y32" s="53" t="s">
        <v>47</v>
      </c>
      <c r="Z32" s="53" t="s">
        <v>55</v>
      </c>
      <c r="AA32" s="53" t="s">
        <v>97</v>
      </c>
      <c r="AB32" s="127" t="s">
        <v>258</v>
      </c>
      <c r="AC32" s="34"/>
    </row>
    <row r="33" spans="1:29" x14ac:dyDescent="0.15">
      <c r="A33" s="127" t="s">
        <v>61</v>
      </c>
      <c r="B33" s="127" t="s">
        <v>232</v>
      </c>
      <c r="C33" s="127">
        <v>2019</v>
      </c>
      <c r="D33" s="128" t="s">
        <v>283</v>
      </c>
      <c r="E33" s="127" t="s">
        <v>292</v>
      </c>
      <c r="F33" s="127" t="s">
        <v>293</v>
      </c>
      <c r="G33" s="127" t="s">
        <v>42</v>
      </c>
      <c r="H33" s="53" t="s">
        <v>160</v>
      </c>
      <c r="I33" s="53" t="s">
        <v>166</v>
      </c>
      <c r="J33" s="127" t="s">
        <v>38</v>
      </c>
      <c r="K33" s="53" t="s">
        <v>161</v>
      </c>
      <c r="L33" s="53">
        <v>2</v>
      </c>
      <c r="N33" s="53">
        <v>1</v>
      </c>
      <c r="O33" s="34">
        <v>0.5</v>
      </c>
      <c r="P33" s="53">
        <v>0.5</v>
      </c>
      <c r="Q33" s="74">
        <f t="shared" si="0"/>
        <v>0.5</v>
      </c>
      <c r="R33" s="53">
        <v>17.8</v>
      </c>
      <c r="S33" s="53">
        <v>113</v>
      </c>
      <c r="T33" s="16">
        <f t="shared" si="1"/>
        <v>30</v>
      </c>
      <c r="U33" s="53">
        <v>138</v>
      </c>
      <c r="V33" s="129">
        <f t="shared" si="2"/>
        <v>4140</v>
      </c>
      <c r="W33" s="53">
        <v>6</v>
      </c>
      <c r="X33" s="127" t="s">
        <v>46</v>
      </c>
      <c r="Y33" s="53" t="s">
        <v>47</v>
      </c>
      <c r="Z33" s="53" t="s">
        <v>55</v>
      </c>
      <c r="AA33" s="53" t="s">
        <v>97</v>
      </c>
      <c r="AB33" s="127" t="s">
        <v>258</v>
      </c>
      <c r="AC33" s="34"/>
    </row>
    <row r="34" spans="1:29" x14ac:dyDescent="0.15">
      <c r="A34" s="127" t="s">
        <v>61</v>
      </c>
      <c r="B34" s="127" t="s">
        <v>232</v>
      </c>
      <c r="C34" s="127">
        <v>2019</v>
      </c>
      <c r="D34" s="128" t="s">
        <v>283</v>
      </c>
      <c r="E34" s="127" t="s">
        <v>292</v>
      </c>
      <c r="F34" s="127" t="s">
        <v>293</v>
      </c>
      <c r="G34" s="127" t="s">
        <v>42</v>
      </c>
      <c r="H34" s="53" t="s">
        <v>160</v>
      </c>
      <c r="I34" s="53" t="s">
        <v>166</v>
      </c>
      <c r="J34" s="127" t="s">
        <v>38</v>
      </c>
      <c r="K34" s="53" t="s">
        <v>161</v>
      </c>
      <c r="L34" s="53">
        <v>3</v>
      </c>
      <c r="N34" s="53">
        <v>1</v>
      </c>
      <c r="O34" s="34">
        <v>0.5</v>
      </c>
      <c r="P34" s="53">
        <v>0.5</v>
      </c>
      <c r="Q34" s="74">
        <f t="shared" si="0"/>
        <v>0.5</v>
      </c>
      <c r="R34" s="53">
        <v>18</v>
      </c>
      <c r="S34" s="53">
        <v>110</v>
      </c>
      <c r="T34" s="16">
        <f t="shared" si="1"/>
        <v>33</v>
      </c>
      <c r="U34" s="53">
        <v>138</v>
      </c>
      <c r="V34" s="129">
        <f t="shared" si="2"/>
        <v>4554</v>
      </c>
      <c r="W34" s="53">
        <v>6</v>
      </c>
      <c r="X34" s="127" t="s">
        <v>46</v>
      </c>
      <c r="Y34" s="53" t="s">
        <v>47</v>
      </c>
      <c r="Z34" s="53" t="s">
        <v>55</v>
      </c>
      <c r="AA34" s="53" t="s">
        <v>97</v>
      </c>
      <c r="AB34" s="127" t="s">
        <v>258</v>
      </c>
      <c r="AC34" s="34"/>
    </row>
    <row r="35" spans="1:29" x14ac:dyDescent="0.15">
      <c r="A35" s="127" t="s">
        <v>61</v>
      </c>
      <c r="B35" s="127" t="s">
        <v>232</v>
      </c>
      <c r="C35" s="127">
        <v>2019</v>
      </c>
      <c r="D35" s="128" t="s">
        <v>283</v>
      </c>
      <c r="E35" s="127" t="s">
        <v>294</v>
      </c>
      <c r="F35" s="127" t="s">
        <v>295</v>
      </c>
      <c r="G35" s="127" t="s">
        <v>42</v>
      </c>
      <c r="H35" s="53" t="s">
        <v>160</v>
      </c>
      <c r="I35" s="53" t="s">
        <v>159</v>
      </c>
      <c r="J35" s="127" t="s">
        <v>38</v>
      </c>
      <c r="K35" s="53" t="s">
        <v>161</v>
      </c>
      <c r="L35" s="53">
        <v>1</v>
      </c>
      <c r="N35" s="53">
        <v>1</v>
      </c>
      <c r="O35" s="34">
        <v>0.5</v>
      </c>
      <c r="P35" s="53">
        <v>0.5</v>
      </c>
      <c r="Q35" s="74">
        <f t="shared" si="0"/>
        <v>0.5</v>
      </c>
      <c r="R35" s="53">
        <v>16.899999999999999</v>
      </c>
      <c r="S35" s="53">
        <v>94</v>
      </c>
      <c r="T35" s="16">
        <f t="shared" si="1"/>
        <v>36</v>
      </c>
      <c r="U35" s="53">
        <v>98</v>
      </c>
      <c r="V35" s="129">
        <f t="shared" si="2"/>
        <v>3528</v>
      </c>
      <c r="W35" s="53">
        <v>8</v>
      </c>
      <c r="X35" s="127" t="s">
        <v>46</v>
      </c>
      <c r="Y35" s="53" t="s">
        <v>47</v>
      </c>
      <c r="Z35" s="53" t="s">
        <v>97</v>
      </c>
      <c r="AA35" s="53" t="s">
        <v>55</v>
      </c>
      <c r="AB35" s="127" t="s">
        <v>258</v>
      </c>
      <c r="AC35" s="34"/>
    </row>
    <row r="36" spans="1:29" x14ac:dyDescent="0.15">
      <c r="A36" s="127" t="s">
        <v>61</v>
      </c>
      <c r="B36" s="127" t="s">
        <v>232</v>
      </c>
      <c r="C36" s="127">
        <v>2019</v>
      </c>
      <c r="D36" s="128" t="s">
        <v>283</v>
      </c>
      <c r="E36" s="127" t="s">
        <v>294</v>
      </c>
      <c r="F36" s="127" t="s">
        <v>295</v>
      </c>
      <c r="G36" s="127" t="s">
        <v>42</v>
      </c>
      <c r="H36" s="53" t="s">
        <v>160</v>
      </c>
      <c r="I36" s="53" t="s">
        <v>159</v>
      </c>
      <c r="J36" s="127" t="s">
        <v>38</v>
      </c>
      <c r="K36" s="53" t="s">
        <v>161</v>
      </c>
      <c r="L36" s="53">
        <v>2</v>
      </c>
      <c r="N36" s="53">
        <v>1</v>
      </c>
      <c r="O36" s="34">
        <v>0.5</v>
      </c>
      <c r="P36" s="53">
        <v>0.5</v>
      </c>
      <c r="Q36" s="74">
        <f t="shared" si="0"/>
        <v>0.5</v>
      </c>
      <c r="R36" s="53">
        <v>16.899999999999999</v>
      </c>
      <c r="S36" s="53">
        <v>105</v>
      </c>
      <c r="T36" s="16">
        <f t="shared" si="1"/>
        <v>33</v>
      </c>
      <c r="U36" s="53">
        <v>98</v>
      </c>
      <c r="V36" s="129">
        <f t="shared" si="2"/>
        <v>3234</v>
      </c>
      <c r="W36" s="53">
        <v>8</v>
      </c>
      <c r="X36" s="127" t="s">
        <v>46</v>
      </c>
      <c r="Y36" s="53" t="s">
        <v>47</v>
      </c>
      <c r="Z36" s="53" t="s">
        <v>97</v>
      </c>
      <c r="AA36" s="53" t="s">
        <v>55</v>
      </c>
      <c r="AB36" s="127" t="s">
        <v>258</v>
      </c>
      <c r="AC36" s="34"/>
    </row>
    <row r="37" spans="1:29" x14ac:dyDescent="0.15">
      <c r="A37" s="127" t="s">
        <v>61</v>
      </c>
      <c r="B37" s="127" t="s">
        <v>232</v>
      </c>
      <c r="C37" s="127">
        <v>2019</v>
      </c>
      <c r="D37" s="128" t="s">
        <v>283</v>
      </c>
      <c r="E37" s="127" t="s">
        <v>294</v>
      </c>
      <c r="F37" s="127" t="s">
        <v>295</v>
      </c>
      <c r="G37" s="127" t="s">
        <v>42</v>
      </c>
      <c r="H37" s="53" t="s">
        <v>160</v>
      </c>
      <c r="I37" s="53" t="s">
        <v>159</v>
      </c>
      <c r="J37" s="127" t="s">
        <v>38</v>
      </c>
      <c r="K37" s="53" t="s">
        <v>161</v>
      </c>
      <c r="L37" s="53">
        <v>3</v>
      </c>
      <c r="N37" s="53">
        <v>1</v>
      </c>
      <c r="O37" s="34">
        <v>0.5</v>
      </c>
      <c r="P37" s="53">
        <v>0.5</v>
      </c>
      <c r="Q37" s="74">
        <f t="shared" si="0"/>
        <v>0.5</v>
      </c>
      <c r="R37" s="53">
        <v>17.399999999999999</v>
      </c>
      <c r="S37" s="53">
        <v>112</v>
      </c>
      <c r="T37" s="16">
        <f t="shared" si="1"/>
        <v>33</v>
      </c>
      <c r="U37" s="53">
        <v>98</v>
      </c>
      <c r="V37" s="129">
        <f t="shared" si="2"/>
        <v>3234</v>
      </c>
      <c r="W37" s="53">
        <v>8</v>
      </c>
      <c r="X37" s="127" t="s">
        <v>46</v>
      </c>
      <c r="Y37" s="53" t="s">
        <v>47</v>
      </c>
      <c r="Z37" s="53" t="s">
        <v>97</v>
      </c>
      <c r="AA37" s="53" t="s">
        <v>55</v>
      </c>
      <c r="AB37" s="127" t="s">
        <v>258</v>
      </c>
      <c r="AC37" s="34"/>
    </row>
    <row r="38" spans="1:29" x14ac:dyDescent="0.15">
      <c r="A38" s="127" t="s">
        <v>61</v>
      </c>
      <c r="B38" s="127" t="s">
        <v>232</v>
      </c>
      <c r="C38" s="127">
        <v>2019</v>
      </c>
      <c r="D38" s="128" t="s">
        <v>283</v>
      </c>
      <c r="E38" s="127" t="s">
        <v>294</v>
      </c>
      <c r="F38" s="127" t="s">
        <v>295</v>
      </c>
      <c r="G38" s="127" t="s">
        <v>42</v>
      </c>
      <c r="H38" s="53" t="s">
        <v>160</v>
      </c>
      <c r="I38" s="53" t="s">
        <v>159</v>
      </c>
      <c r="J38" s="127" t="s">
        <v>38</v>
      </c>
      <c r="K38" s="53" t="s">
        <v>161</v>
      </c>
      <c r="L38" s="53">
        <v>1</v>
      </c>
      <c r="N38" s="53">
        <v>1</v>
      </c>
      <c r="O38" s="34">
        <v>0.5</v>
      </c>
      <c r="P38" s="53">
        <v>0.5</v>
      </c>
      <c r="Q38" s="74">
        <f t="shared" si="0"/>
        <v>0.5</v>
      </c>
      <c r="R38" s="53">
        <v>17.3</v>
      </c>
      <c r="S38" s="53">
        <v>149</v>
      </c>
      <c r="T38" s="16">
        <f t="shared" si="1"/>
        <v>22</v>
      </c>
      <c r="U38" s="53">
        <v>128</v>
      </c>
      <c r="V38" s="129">
        <f t="shared" si="2"/>
        <v>2816</v>
      </c>
      <c r="W38" s="53">
        <v>8</v>
      </c>
      <c r="X38" s="127" t="s">
        <v>46</v>
      </c>
      <c r="Y38" s="53" t="s">
        <v>47</v>
      </c>
      <c r="Z38" s="53" t="s">
        <v>97</v>
      </c>
      <c r="AA38" s="53" t="s">
        <v>55</v>
      </c>
      <c r="AB38" s="127" t="s">
        <v>258</v>
      </c>
      <c r="AC38" s="34"/>
    </row>
    <row r="39" spans="1:29" x14ac:dyDescent="0.15">
      <c r="A39" s="127" t="s">
        <v>61</v>
      </c>
      <c r="B39" s="127" t="s">
        <v>232</v>
      </c>
      <c r="C39" s="127">
        <v>2019</v>
      </c>
      <c r="D39" s="128" t="s">
        <v>283</v>
      </c>
      <c r="E39" s="127" t="s">
        <v>294</v>
      </c>
      <c r="F39" s="127" t="s">
        <v>295</v>
      </c>
      <c r="G39" s="127" t="s">
        <v>42</v>
      </c>
      <c r="H39" s="53" t="s">
        <v>160</v>
      </c>
      <c r="I39" s="53" t="s">
        <v>159</v>
      </c>
      <c r="J39" s="127" t="s">
        <v>38</v>
      </c>
      <c r="K39" s="53" t="s">
        <v>161</v>
      </c>
      <c r="L39" s="53">
        <v>2</v>
      </c>
      <c r="N39" s="53">
        <v>1</v>
      </c>
      <c r="O39" s="34">
        <v>0.5</v>
      </c>
      <c r="P39" s="53">
        <v>0.5</v>
      </c>
      <c r="Q39" s="74">
        <f t="shared" si="0"/>
        <v>0.5</v>
      </c>
      <c r="R39" s="53">
        <v>17.2</v>
      </c>
      <c r="S39" s="53">
        <v>144</v>
      </c>
      <c r="T39" s="16">
        <f t="shared" si="1"/>
        <v>22</v>
      </c>
      <c r="U39" s="53">
        <v>128</v>
      </c>
      <c r="V39" s="129">
        <f t="shared" si="2"/>
        <v>2816</v>
      </c>
      <c r="W39" s="53">
        <v>8</v>
      </c>
      <c r="X39" s="127" t="s">
        <v>46</v>
      </c>
      <c r="Y39" s="53" t="s">
        <v>47</v>
      </c>
      <c r="Z39" s="53" t="s">
        <v>97</v>
      </c>
      <c r="AA39" s="53" t="s">
        <v>55</v>
      </c>
      <c r="AB39" s="127" t="s">
        <v>258</v>
      </c>
      <c r="AC39" s="34"/>
    </row>
    <row r="40" spans="1:29" x14ac:dyDescent="0.15">
      <c r="A40" s="127" t="s">
        <v>61</v>
      </c>
      <c r="B40" s="127" t="s">
        <v>232</v>
      </c>
      <c r="C40" s="127">
        <v>2019</v>
      </c>
      <c r="D40" s="128" t="s">
        <v>283</v>
      </c>
      <c r="E40" s="127" t="s">
        <v>294</v>
      </c>
      <c r="F40" s="127" t="s">
        <v>295</v>
      </c>
      <c r="G40" s="127" t="s">
        <v>42</v>
      </c>
      <c r="H40" s="53" t="s">
        <v>160</v>
      </c>
      <c r="I40" s="53" t="s">
        <v>159</v>
      </c>
      <c r="J40" s="127" t="s">
        <v>38</v>
      </c>
      <c r="K40" s="53" t="s">
        <v>161</v>
      </c>
      <c r="L40" s="53">
        <v>3</v>
      </c>
      <c r="N40" s="53">
        <v>1</v>
      </c>
      <c r="O40" s="53">
        <v>1.1499999999999999</v>
      </c>
      <c r="P40" s="53">
        <v>1.1000000000000001</v>
      </c>
      <c r="Q40" s="74">
        <f t="shared" si="0"/>
        <v>1.125</v>
      </c>
      <c r="R40" s="53">
        <v>14.4</v>
      </c>
      <c r="S40" s="53">
        <v>136</v>
      </c>
      <c r="T40" s="16">
        <f t="shared" si="1"/>
        <v>25</v>
      </c>
      <c r="U40" s="53">
        <v>128</v>
      </c>
      <c r="V40" s="129">
        <f t="shared" si="2"/>
        <v>3200</v>
      </c>
      <c r="W40" s="53">
        <v>8</v>
      </c>
      <c r="X40" s="127" t="s">
        <v>46</v>
      </c>
      <c r="Y40" s="53" t="s">
        <v>47</v>
      </c>
      <c r="Z40" s="53" t="s">
        <v>97</v>
      </c>
      <c r="AA40" s="53" t="s">
        <v>55</v>
      </c>
      <c r="AB40" s="127" t="s">
        <v>258</v>
      </c>
      <c r="AC40" s="34"/>
    </row>
    <row r="41" spans="1:29" x14ac:dyDescent="0.15">
      <c r="A41" s="127" t="s">
        <v>61</v>
      </c>
      <c r="B41" s="127" t="s">
        <v>232</v>
      </c>
      <c r="C41" s="127">
        <v>2019</v>
      </c>
      <c r="D41" s="128" t="s">
        <v>283</v>
      </c>
      <c r="E41" s="127" t="s">
        <v>296</v>
      </c>
      <c r="F41" s="127" t="s">
        <v>297</v>
      </c>
      <c r="G41" s="127" t="s">
        <v>42</v>
      </c>
      <c r="H41" s="53" t="s">
        <v>164</v>
      </c>
      <c r="I41" s="53" t="s">
        <v>159</v>
      </c>
      <c r="J41" s="127" t="s">
        <v>38</v>
      </c>
      <c r="K41" s="53" t="s">
        <v>161</v>
      </c>
      <c r="L41" s="53">
        <v>1</v>
      </c>
      <c r="N41" s="53">
        <v>4</v>
      </c>
      <c r="O41" s="34">
        <v>0.5</v>
      </c>
      <c r="P41" s="53">
        <v>0.5</v>
      </c>
      <c r="Q41" s="74">
        <f t="shared" si="0"/>
        <v>0.5</v>
      </c>
      <c r="R41" s="53">
        <v>17.2</v>
      </c>
      <c r="S41" s="53">
        <v>78</v>
      </c>
      <c r="T41" s="16">
        <f t="shared" si="1"/>
        <v>39</v>
      </c>
      <c r="U41" s="53">
        <v>429</v>
      </c>
      <c r="V41" s="129">
        <f t="shared" si="2"/>
        <v>4182.75</v>
      </c>
      <c r="W41" s="53">
        <v>12</v>
      </c>
      <c r="X41" s="127" t="s">
        <v>46</v>
      </c>
      <c r="Y41" s="53" t="s">
        <v>311</v>
      </c>
      <c r="Z41" s="53" t="s">
        <v>69</v>
      </c>
      <c r="AA41" s="53" t="s">
        <v>55</v>
      </c>
      <c r="AB41" s="127" t="s">
        <v>258</v>
      </c>
    </row>
    <row r="42" spans="1:29" x14ac:dyDescent="0.15">
      <c r="A42" s="127" t="s">
        <v>61</v>
      </c>
      <c r="B42" s="127" t="s">
        <v>232</v>
      </c>
      <c r="C42" s="127">
        <v>2020</v>
      </c>
      <c r="D42" s="128" t="s">
        <v>283</v>
      </c>
      <c r="E42" s="127" t="s">
        <v>296</v>
      </c>
      <c r="F42" s="127" t="s">
        <v>297</v>
      </c>
      <c r="G42" s="127" t="s">
        <v>42</v>
      </c>
      <c r="H42" s="53" t="s">
        <v>164</v>
      </c>
      <c r="I42" s="53" t="s">
        <v>159</v>
      </c>
      <c r="J42" s="127" t="s">
        <v>38</v>
      </c>
      <c r="K42" s="53" t="s">
        <v>161</v>
      </c>
      <c r="L42" s="53">
        <v>2</v>
      </c>
      <c r="N42" s="53">
        <v>4</v>
      </c>
      <c r="O42" s="34">
        <v>0.5</v>
      </c>
      <c r="P42" s="53">
        <v>0.5</v>
      </c>
      <c r="Q42" s="74">
        <f t="shared" si="0"/>
        <v>0.5</v>
      </c>
      <c r="R42" s="53">
        <v>15.7</v>
      </c>
      <c r="S42" s="53">
        <v>75</v>
      </c>
      <c r="T42" s="16">
        <f t="shared" si="1"/>
        <v>42</v>
      </c>
      <c r="U42" s="53">
        <v>429</v>
      </c>
      <c r="V42" s="129">
        <f t="shared" si="2"/>
        <v>4504.5</v>
      </c>
      <c r="W42" s="53">
        <v>12</v>
      </c>
      <c r="X42" s="127" t="s">
        <v>46</v>
      </c>
      <c r="Y42" s="53" t="s">
        <v>311</v>
      </c>
      <c r="Z42" s="53" t="s">
        <v>69</v>
      </c>
      <c r="AA42" s="53" t="s">
        <v>55</v>
      </c>
      <c r="AB42" s="127" t="s">
        <v>258</v>
      </c>
    </row>
    <row r="43" spans="1:29" x14ac:dyDescent="0.15">
      <c r="A43" s="127" t="s">
        <v>61</v>
      </c>
      <c r="B43" s="127" t="s">
        <v>232</v>
      </c>
      <c r="C43" s="127">
        <v>2021</v>
      </c>
      <c r="D43" s="128" t="s">
        <v>283</v>
      </c>
      <c r="E43" s="127" t="s">
        <v>296</v>
      </c>
      <c r="F43" s="127" t="s">
        <v>297</v>
      </c>
      <c r="G43" s="127" t="s">
        <v>42</v>
      </c>
      <c r="H43" s="53" t="s">
        <v>164</v>
      </c>
      <c r="I43" s="53" t="s">
        <v>159</v>
      </c>
      <c r="J43" s="127" t="s">
        <v>38</v>
      </c>
      <c r="K43" s="53" t="s">
        <v>161</v>
      </c>
      <c r="L43" s="53">
        <v>3</v>
      </c>
      <c r="N43" s="53">
        <v>4</v>
      </c>
      <c r="O43" s="34">
        <v>0.5</v>
      </c>
      <c r="P43" s="53">
        <v>0.5</v>
      </c>
      <c r="Q43" s="74">
        <f t="shared" si="0"/>
        <v>0.5</v>
      </c>
      <c r="R43" s="53">
        <v>17.100000000000001</v>
      </c>
      <c r="S43" s="53">
        <v>75</v>
      </c>
      <c r="T43" s="16">
        <f t="shared" si="1"/>
        <v>42</v>
      </c>
      <c r="U43" s="53">
        <v>429</v>
      </c>
      <c r="V43" s="129">
        <f t="shared" si="2"/>
        <v>4504.5</v>
      </c>
      <c r="W43" s="53">
        <v>12</v>
      </c>
      <c r="X43" s="127" t="s">
        <v>46</v>
      </c>
      <c r="Y43" s="53" t="s">
        <v>311</v>
      </c>
      <c r="Z43" s="53" t="s">
        <v>69</v>
      </c>
      <c r="AA43" s="53" t="s">
        <v>55</v>
      </c>
      <c r="AB43" s="127" t="s">
        <v>258</v>
      </c>
    </row>
    <row r="44" spans="1:29" x14ac:dyDescent="0.15">
      <c r="A44" s="127" t="s">
        <v>61</v>
      </c>
      <c r="B44" s="127" t="s">
        <v>232</v>
      </c>
      <c r="C44" s="127">
        <v>2022</v>
      </c>
      <c r="D44" s="128" t="s">
        <v>283</v>
      </c>
      <c r="E44" s="127" t="s">
        <v>296</v>
      </c>
      <c r="F44" s="127" t="s">
        <v>297</v>
      </c>
      <c r="G44" s="127" t="s">
        <v>42</v>
      </c>
      <c r="H44" s="53" t="s">
        <v>160</v>
      </c>
      <c r="I44" s="53" t="s">
        <v>159</v>
      </c>
      <c r="J44" s="127" t="s">
        <v>38</v>
      </c>
      <c r="K44" s="53" t="s">
        <v>161</v>
      </c>
      <c r="L44" s="53">
        <v>1</v>
      </c>
      <c r="N44" s="53">
        <v>1</v>
      </c>
      <c r="O44" s="34">
        <v>0.5</v>
      </c>
      <c r="P44" s="53">
        <v>0.5</v>
      </c>
      <c r="Q44" s="74">
        <f t="shared" si="0"/>
        <v>0.5</v>
      </c>
      <c r="R44" s="53">
        <v>18</v>
      </c>
      <c r="S44" s="53">
        <v>87</v>
      </c>
      <c r="T44" s="16">
        <f t="shared" si="1"/>
        <v>36</v>
      </c>
      <c r="U44" s="53">
        <v>105</v>
      </c>
      <c r="V44" s="129">
        <f t="shared" si="2"/>
        <v>3780</v>
      </c>
      <c r="W44" s="53">
        <v>12</v>
      </c>
      <c r="X44" s="127" t="s">
        <v>46</v>
      </c>
      <c r="Y44" s="53" t="s">
        <v>311</v>
      </c>
      <c r="Z44" s="53" t="s">
        <v>69</v>
      </c>
      <c r="AA44" s="53" t="s">
        <v>55</v>
      </c>
      <c r="AB44" s="127" t="s">
        <v>258</v>
      </c>
      <c r="AC44" s="34"/>
    </row>
    <row r="45" spans="1:29" x14ac:dyDescent="0.15">
      <c r="A45" s="127" t="s">
        <v>61</v>
      </c>
      <c r="B45" s="127" t="s">
        <v>232</v>
      </c>
      <c r="C45" s="127">
        <v>2023</v>
      </c>
      <c r="D45" s="128" t="s">
        <v>283</v>
      </c>
      <c r="E45" s="127" t="s">
        <v>296</v>
      </c>
      <c r="F45" s="127" t="s">
        <v>297</v>
      </c>
      <c r="G45" s="127" t="s">
        <v>42</v>
      </c>
      <c r="H45" s="53" t="s">
        <v>160</v>
      </c>
      <c r="I45" s="53" t="s">
        <v>159</v>
      </c>
      <c r="J45" s="127" t="s">
        <v>38</v>
      </c>
      <c r="K45" s="53" t="s">
        <v>161</v>
      </c>
      <c r="L45" s="53">
        <v>2</v>
      </c>
      <c r="N45" s="53">
        <v>1</v>
      </c>
      <c r="O45" s="34">
        <v>0.5</v>
      </c>
      <c r="P45" s="53">
        <v>0.5</v>
      </c>
      <c r="Q45" s="74">
        <f t="shared" si="0"/>
        <v>0.5</v>
      </c>
      <c r="R45" s="53">
        <v>17.7</v>
      </c>
      <c r="S45" s="53">
        <v>93</v>
      </c>
      <c r="T45" s="16">
        <f t="shared" si="1"/>
        <v>36</v>
      </c>
      <c r="U45" s="53">
        <v>105</v>
      </c>
      <c r="V45" s="129">
        <f t="shared" si="2"/>
        <v>3780</v>
      </c>
      <c r="W45" s="53">
        <v>12</v>
      </c>
      <c r="X45" s="127" t="s">
        <v>46</v>
      </c>
      <c r="Y45" s="53" t="s">
        <v>311</v>
      </c>
      <c r="Z45" s="53" t="s">
        <v>69</v>
      </c>
      <c r="AA45" s="53" t="s">
        <v>55</v>
      </c>
      <c r="AB45" s="127" t="s">
        <v>258</v>
      </c>
      <c r="AC45" s="34"/>
    </row>
    <row r="46" spans="1:29" x14ac:dyDescent="0.15">
      <c r="A46" s="127" t="s">
        <v>61</v>
      </c>
      <c r="B46" s="127" t="s">
        <v>232</v>
      </c>
      <c r="C46" s="127">
        <v>2024</v>
      </c>
      <c r="D46" s="128" t="s">
        <v>283</v>
      </c>
      <c r="E46" s="127" t="s">
        <v>296</v>
      </c>
      <c r="F46" s="127" t="s">
        <v>297</v>
      </c>
      <c r="G46" s="127" t="s">
        <v>42</v>
      </c>
      <c r="H46" s="53" t="s">
        <v>160</v>
      </c>
      <c r="I46" s="53" t="s">
        <v>159</v>
      </c>
      <c r="J46" s="127" t="s">
        <v>38</v>
      </c>
      <c r="K46" s="53" t="s">
        <v>161</v>
      </c>
      <c r="L46" s="53">
        <v>3</v>
      </c>
      <c r="N46" s="53">
        <v>1</v>
      </c>
      <c r="O46" s="34">
        <v>0.5</v>
      </c>
      <c r="P46" s="53">
        <v>0.75</v>
      </c>
      <c r="Q46" s="74">
        <f t="shared" si="0"/>
        <v>0.625</v>
      </c>
      <c r="R46" s="34">
        <v>17</v>
      </c>
      <c r="S46" s="53">
        <v>102</v>
      </c>
      <c r="T46" s="16">
        <f t="shared" si="1"/>
        <v>33</v>
      </c>
      <c r="U46" s="53">
        <v>105</v>
      </c>
      <c r="V46" s="129">
        <f t="shared" si="2"/>
        <v>3465</v>
      </c>
      <c r="W46" s="53">
        <v>12</v>
      </c>
      <c r="X46" s="127" t="s">
        <v>46</v>
      </c>
      <c r="Y46" s="53" t="s">
        <v>311</v>
      </c>
      <c r="Z46" s="53" t="s">
        <v>69</v>
      </c>
      <c r="AA46" s="53" t="s">
        <v>55</v>
      </c>
      <c r="AB46" s="127" t="s">
        <v>258</v>
      </c>
      <c r="AC46" s="34"/>
    </row>
    <row r="47" spans="1:29" x14ac:dyDescent="0.15">
      <c r="A47" s="127" t="s">
        <v>61</v>
      </c>
      <c r="B47" s="127" t="s">
        <v>232</v>
      </c>
      <c r="C47" s="127">
        <v>2019</v>
      </c>
      <c r="D47" s="128" t="s">
        <v>283</v>
      </c>
      <c r="E47" s="127" t="s">
        <v>133</v>
      </c>
      <c r="F47" s="127" t="s">
        <v>298</v>
      </c>
      <c r="G47" s="127" t="s">
        <v>42</v>
      </c>
      <c r="H47" s="53" t="s">
        <v>164</v>
      </c>
      <c r="I47" s="53" t="s">
        <v>159</v>
      </c>
      <c r="J47" s="127" t="s">
        <v>38</v>
      </c>
      <c r="K47" s="53" t="s">
        <v>161</v>
      </c>
      <c r="L47" s="53">
        <v>1</v>
      </c>
      <c r="N47" s="53">
        <v>1</v>
      </c>
      <c r="O47" s="53">
        <v>0.5</v>
      </c>
      <c r="P47" s="53">
        <v>0.5</v>
      </c>
      <c r="Q47" s="74">
        <f t="shared" si="0"/>
        <v>0.5</v>
      </c>
      <c r="R47" s="53">
        <v>18.8</v>
      </c>
      <c r="S47" s="53">
        <v>119</v>
      </c>
      <c r="T47" s="16">
        <f t="shared" si="1"/>
        <v>30</v>
      </c>
      <c r="U47" s="53">
        <v>138</v>
      </c>
      <c r="V47" s="129">
        <f t="shared" si="2"/>
        <v>4140</v>
      </c>
      <c r="W47" s="53">
        <v>16</v>
      </c>
      <c r="X47" s="127" t="s">
        <v>46</v>
      </c>
      <c r="Y47" s="53" t="s">
        <v>69</v>
      </c>
      <c r="Z47" s="53" t="s">
        <v>55</v>
      </c>
      <c r="AA47" s="53" t="s">
        <v>97</v>
      </c>
      <c r="AB47" s="127" t="s">
        <v>258</v>
      </c>
      <c r="AC47" s="34"/>
    </row>
    <row r="48" spans="1:29" x14ac:dyDescent="0.15">
      <c r="A48" s="127" t="s">
        <v>61</v>
      </c>
      <c r="B48" s="127" t="s">
        <v>232</v>
      </c>
      <c r="C48" s="127">
        <v>2019</v>
      </c>
      <c r="D48" s="128" t="s">
        <v>283</v>
      </c>
      <c r="E48" s="127" t="s">
        <v>133</v>
      </c>
      <c r="F48" s="127" t="s">
        <v>298</v>
      </c>
      <c r="G48" s="127" t="s">
        <v>42</v>
      </c>
      <c r="H48" s="53" t="s">
        <v>164</v>
      </c>
      <c r="I48" s="53" t="s">
        <v>159</v>
      </c>
      <c r="J48" s="127" t="s">
        <v>38</v>
      </c>
      <c r="K48" s="53" t="s">
        <v>161</v>
      </c>
      <c r="L48" s="53">
        <v>2</v>
      </c>
      <c r="N48" s="53">
        <v>1</v>
      </c>
      <c r="O48" s="53">
        <v>0.5</v>
      </c>
      <c r="P48" s="53">
        <v>0.5</v>
      </c>
      <c r="Q48" s="74">
        <f t="shared" si="0"/>
        <v>0.5</v>
      </c>
      <c r="R48" s="53">
        <v>18.8</v>
      </c>
      <c r="S48" s="53">
        <v>128</v>
      </c>
      <c r="T48" s="16">
        <f t="shared" si="1"/>
        <v>27</v>
      </c>
      <c r="U48" s="53">
        <v>138</v>
      </c>
      <c r="V48" s="129">
        <f t="shared" si="2"/>
        <v>3726</v>
      </c>
      <c r="W48" s="53">
        <v>16</v>
      </c>
      <c r="X48" s="127" t="s">
        <v>46</v>
      </c>
      <c r="Y48" s="53" t="s">
        <v>69</v>
      </c>
      <c r="Z48" s="53" t="s">
        <v>55</v>
      </c>
      <c r="AA48" s="53" t="s">
        <v>97</v>
      </c>
      <c r="AB48" s="127" t="s">
        <v>258</v>
      </c>
      <c r="AC48" s="34"/>
    </row>
    <row r="49" spans="1:29" x14ac:dyDescent="0.15">
      <c r="A49" s="127" t="s">
        <v>61</v>
      </c>
      <c r="B49" s="127" t="s">
        <v>232</v>
      </c>
      <c r="C49" s="127">
        <v>2019</v>
      </c>
      <c r="D49" s="128" t="s">
        <v>283</v>
      </c>
      <c r="E49" s="127" t="s">
        <v>133</v>
      </c>
      <c r="F49" s="127" t="s">
        <v>298</v>
      </c>
      <c r="G49" s="127" t="s">
        <v>42</v>
      </c>
      <c r="H49" s="53" t="s">
        <v>164</v>
      </c>
      <c r="I49" s="53" t="s">
        <v>159</v>
      </c>
      <c r="J49" s="127" t="s">
        <v>38</v>
      </c>
      <c r="K49" s="53" t="s">
        <v>161</v>
      </c>
      <c r="L49" s="53">
        <v>3</v>
      </c>
      <c r="N49" s="53">
        <v>1</v>
      </c>
      <c r="O49" s="53">
        <v>0.5</v>
      </c>
      <c r="P49" s="53">
        <v>0.9</v>
      </c>
      <c r="Q49" s="74">
        <f t="shared" si="0"/>
        <v>0.7</v>
      </c>
      <c r="R49" s="53">
        <v>18.899999999999999</v>
      </c>
      <c r="S49" s="53">
        <v>128</v>
      </c>
      <c r="T49" s="16">
        <f t="shared" si="1"/>
        <v>27</v>
      </c>
      <c r="U49" s="53">
        <v>138</v>
      </c>
      <c r="V49" s="129">
        <f t="shared" si="2"/>
        <v>3726</v>
      </c>
      <c r="W49" s="53">
        <v>16</v>
      </c>
      <c r="X49" s="127" t="s">
        <v>46</v>
      </c>
      <c r="Y49" s="53" t="s">
        <v>69</v>
      </c>
      <c r="Z49" s="53" t="s">
        <v>55</v>
      </c>
      <c r="AA49" s="53" t="s">
        <v>97</v>
      </c>
      <c r="AB49" s="127" t="s">
        <v>258</v>
      </c>
      <c r="AC49" s="34"/>
    </row>
    <row r="50" spans="1:29" x14ac:dyDescent="0.15">
      <c r="A50" s="127" t="s">
        <v>61</v>
      </c>
      <c r="B50" s="127" t="s">
        <v>232</v>
      </c>
      <c r="C50" s="127">
        <v>2019</v>
      </c>
      <c r="D50" s="128" t="s">
        <v>283</v>
      </c>
      <c r="E50" s="127" t="s">
        <v>133</v>
      </c>
      <c r="F50" s="127" t="s">
        <v>298</v>
      </c>
      <c r="G50" s="127" t="s">
        <v>42</v>
      </c>
      <c r="H50" s="53" t="s">
        <v>160</v>
      </c>
      <c r="I50" s="53" t="s">
        <v>159</v>
      </c>
      <c r="J50" s="127" t="s">
        <v>38</v>
      </c>
      <c r="K50" s="53" t="s">
        <v>161</v>
      </c>
      <c r="L50" s="53">
        <v>1</v>
      </c>
      <c r="N50" s="53">
        <v>1</v>
      </c>
      <c r="O50" s="53">
        <v>0.5</v>
      </c>
      <c r="P50" s="53">
        <v>0.5</v>
      </c>
      <c r="Q50" s="74">
        <f t="shared" si="0"/>
        <v>0.5</v>
      </c>
      <c r="R50" s="53">
        <v>17.5</v>
      </c>
      <c r="S50" s="53">
        <v>99</v>
      </c>
      <c r="T50" s="16">
        <f t="shared" si="1"/>
        <v>33</v>
      </c>
      <c r="U50" s="53">
        <v>138</v>
      </c>
      <c r="V50" s="129">
        <f t="shared" si="2"/>
        <v>4554</v>
      </c>
      <c r="W50" s="53">
        <v>16</v>
      </c>
      <c r="X50" s="127" t="s">
        <v>46</v>
      </c>
      <c r="Y50" s="53" t="s">
        <v>69</v>
      </c>
      <c r="Z50" s="53" t="s">
        <v>55</v>
      </c>
      <c r="AA50" s="53" t="s">
        <v>97</v>
      </c>
      <c r="AB50" s="127" t="s">
        <v>258</v>
      </c>
      <c r="AC50" s="34"/>
    </row>
    <row r="51" spans="1:29" x14ac:dyDescent="0.15">
      <c r="A51" s="127" t="s">
        <v>61</v>
      </c>
      <c r="B51" s="127" t="s">
        <v>232</v>
      </c>
      <c r="C51" s="127">
        <v>2019</v>
      </c>
      <c r="D51" s="128" t="s">
        <v>283</v>
      </c>
      <c r="E51" s="127" t="s">
        <v>133</v>
      </c>
      <c r="F51" s="127" t="s">
        <v>298</v>
      </c>
      <c r="G51" s="127" t="s">
        <v>42</v>
      </c>
      <c r="H51" s="53" t="s">
        <v>160</v>
      </c>
      <c r="I51" s="53" t="s">
        <v>159</v>
      </c>
      <c r="J51" s="127" t="s">
        <v>38</v>
      </c>
      <c r="K51" s="53" t="s">
        <v>161</v>
      </c>
      <c r="L51" s="53">
        <v>2</v>
      </c>
      <c r="N51" s="53">
        <v>1</v>
      </c>
      <c r="O51" s="53">
        <v>0.5</v>
      </c>
      <c r="P51" s="53">
        <v>0.5</v>
      </c>
      <c r="Q51" s="74">
        <f t="shared" si="0"/>
        <v>0.5</v>
      </c>
      <c r="R51" s="53">
        <v>17.399999999999999</v>
      </c>
      <c r="S51" s="53">
        <v>127</v>
      </c>
      <c r="T51" s="16">
        <f t="shared" si="1"/>
        <v>27</v>
      </c>
      <c r="U51" s="53">
        <v>138</v>
      </c>
      <c r="V51" s="129">
        <f t="shared" si="2"/>
        <v>3726</v>
      </c>
      <c r="W51" s="53">
        <v>16</v>
      </c>
      <c r="X51" s="127" t="s">
        <v>46</v>
      </c>
      <c r="Y51" s="53" t="s">
        <v>69</v>
      </c>
      <c r="Z51" s="53" t="s">
        <v>55</v>
      </c>
      <c r="AA51" s="53" t="s">
        <v>97</v>
      </c>
      <c r="AB51" s="127" t="s">
        <v>258</v>
      </c>
      <c r="AC51" s="34"/>
    </row>
    <row r="52" spans="1:29" x14ac:dyDescent="0.15">
      <c r="A52" s="127" t="s">
        <v>61</v>
      </c>
      <c r="B52" s="127" t="s">
        <v>232</v>
      </c>
      <c r="C52" s="127">
        <v>2019</v>
      </c>
      <c r="D52" s="128" t="s">
        <v>283</v>
      </c>
      <c r="E52" s="127" t="s">
        <v>133</v>
      </c>
      <c r="F52" s="127" t="s">
        <v>298</v>
      </c>
      <c r="G52" s="127" t="s">
        <v>42</v>
      </c>
      <c r="H52" s="53" t="s">
        <v>160</v>
      </c>
      <c r="I52" s="53" t="s">
        <v>159</v>
      </c>
      <c r="J52" s="127" t="s">
        <v>38</v>
      </c>
      <c r="K52" s="53" t="s">
        <v>161</v>
      </c>
      <c r="L52" s="53">
        <v>3</v>
      </c>
      <c r="N52" s="53">
        <v>1</v>
      </c>
      <c r="O52" s="53">
        <v>0.5</v>
      </c>
      <c r="P52" s="53">
        <v>0.5</v>
      </c>
      <c r="Q52" s="74">
        <f t="shared" si="0"/>
        <v>0.5</v>
      </c>
      <c r="R52" s="53">
        <v>18.5</v>
      </c>
      <c r="S52" s="53">
        <v>128</v>
      </c>
      <c r="T52" s="16">
        <f t="shared" si="1"/>
        <v>27</v>
      </c>
      <c r="U52" s="53">
        <v>138</v>
      </c>
      <c r="V52" s="129">
        <f t="shared" si="2"/>
        <v>3726</v>
      </c>
      <c r="W52" s="53">
        <v>16</v>
      </c>
      <c r="X52" s="127" t="s">
        <v>46</v>
      </c>
      <c r="Y52" s="53" t="s">
        <v>69</v>
      </c>
      <c r="Z52" s="53" t="s">
        <v>55</v>
      </c>
      <c r="AA52" s="53" t="s">
        <v>97</v>
      </c>
      <c r="AB52" s="127" t="s">
        <v>258</v>
      </c>
      <c r="AC52" s="34"/>
    </row>
    <row r="53" spans="1:29" x14ac:dyDescent="0.15">
      <c r="A53" s="127" t="s">
        <v>61</v>
      </c>
      <c r="B53" s="127" t="s">
        <v>232</v>
      </c>
      <c r="C53" s="127">
        <v>2019</v>
      </c>
      <c r="D53" s="128" t="s">
        <v>283</v>
      </c>
      <c r="E53" s="127" t="s">
        <v>299</v>
      </c>
      <c r="F53" s="127" t="s">
        <v>300</v>
      </c>
      <c r="G53" s="127" t="s">
        <v>42</v>
      </c>
      <c r="H53" s="53" t="s">
        <v>165</v>
      </c>
      <c r="I53" s="53" t="s">
        <v>159</v>
      </c>
      <c r="J53" s="127" t="s">
        <v>38</v>
      </c>
      <c r="K53" s="53" t="s">
        <v>161</v>
      </c>
      <c r="L53" s="53">
        <v>1</v>
      </c>
      <c r="N53" s="53">
        <v>5</v>
      </c>
      <c r="O53" s="53">
        <v>0.5</v>
      </c>
      <c r="P53" s="53">
        <v>0.5</v>
      </c>
      <c r="Q53" s="74">
        <f t="shared" si="0"/>
        <v>0.5</v>
      </c>
      <c r="R53" s="53">
        <v>15.8</v>
      </c>
      <c r="S53" s="53">
        <v>87</v>
      </c>
      <c r="T53" s="16">
        <f t="shared" si="1"/>
        <v>36</v>
      </c>
      <c r="U53" s="53">
        <v>398</v>
      </c>
      <c r="V53" s="129">
        <f t="shared" si="2"/>
        <v>2865.6</v>
      </c>
      <c r="W53" s="53">
        <v>14</v>
      </c>
      <c r="X53" s="127" t="s">
        <v>46</v>
      </c>
      <c r="Y53" s="53" t="s">
        <v>97</v>
      </c>
      <c r="Z53" s="53" t="s">
        <v>55</v>
      </c>
      <c r="AA53" s="53" t="s">
        <v>69</v>
      </c>
      <c r="AB53" s="127" t="s">
        <v>258</v>
      </c>
    </row>
    <row r="54" spans="1:29" x14ac:dyDescent="0.15">
      <c r="A54" s="127" t="s">
        <v>61</v>
      </c>
      <c r="B54" s="127" t="s">
        <v>232</v>
      </c>
      <c r="C54" s="127">
        <v>2019</v>
      </c>
      <c r="D54" s="128" t="s">
        <v>283</v>
      </c>
      <c r="E54" s="127" t="s">
        <v>299</v>
      </c>
      <c r="F54" s="127" t="s">
        <v>300</v>
      </c>
      <c r="G54" s="127" t="s">
        <v>42</v>
      </c>
      <c r="H54" s="53" t="s">
        <v>165</v>
      </c>
      <c r="I54" s="53" t="s">
        <v>159</v>
      </c>
      <c r="J54" s="127" t="s">
        <v>38</v>
      </c>
      <c r="K54" s="53" t="s">
        <v>161</v>
      </c>
      <c r="L54" s="53">
        <v>2</v>
      </c>
      <c r="N54" s="53">
        <v>5</v>
      </c>
      <c r="O54" s="53">
        <v>0.5</v>
      </c>
      <c r="P54" s="53">
        <v>0.5</v>
      </c>
      <c r="Q54" s="74">
        <f t="shared" si="0"/>
        <v>0.5</v>
      </c>
      <c r="R54" s="53">
        <v>17.5</v>
      </c>
      <c r="S54" s="53">
        <v>80</v>
      </c>
      <c r="T54" s="16">
        <f t="shared" si="1"/>
        <v>39</v>
      </c>
      <c r="U54" s="53">
        <v>398</v>
      </c>
      <c r="V54" s="129">
        <f t="shared" si="2"/>
        <v>3104.3999999999996</v>
      </c>
      <c r="W54" s="53">
        <v>14</v>
      </c>
      <c r="X54" s="127" t="s">
        <v>46</v>
      </c>
      <c r="Y54" s="53" t="s">
        <v>97</v>
      </c>
      <c r="Z54" s="53" t="s">
        <v>55</v>
      </c>
      <c r="AA54" s="53" t="s">
        <v>69</v>
      </c>
      <c r="AB54" s="127" t="s">
        <v>258</v>
      </c>
    </row>
    <row r="55" spans="1:29" x14ac:dyDescent="0.15">
      <c r="A55" s="127" t="s">
        <v>61</v>
      </c>
      <c r="B55" s="127" t="s">
        <v>232</v>
      </c>
      <c r="C55" s="127">
        <v>2019</v>
      </c>
      <c r="D55" s="128" t="s">
        <v>283</v>
      </c>
      <c r="E55" s="127" t="s">
        <v>299</v>
      </c>
      <c r="F55" s="127" t="s">
        <v>300</v>
      </c>
      <c r="G55" s="127" t="s">
        <v>42</v>
      </c>
      <c r="H55" s="53" t="s">
        <v>165</v>
      </c>
      <c r="I55" s="53" t="s">
        <v>159</v>
      </c>
      <c r="J55" s="127" t="s">
        <v>38</v>
      </c>
      <c r="K55" s="53" t="s">
        <v>161</v>
      </c>
      <c r="L55" s="53">
        <v>3</v>
      </c>
      <c r="N55" s="53">
        <v>5</v>
      </c>
      <c r="O55" s="53">
        <v>0.5</v>
      </c>
      <c r="P55" s="53">
        <v>0.5</v>
      </c>
      <c r="Q55" s="74">
        <f t="shared" si="0"/>
        <v>0.5</v>
      </c>
      <c r="R55" s="53">
        <v>18.2</v>
      </c>
      <c r="S55" s="53">
        <v>84</v>
      </c>
      <c r="T55" s="16">
        <f t="shared" si="1"/>
        <v>36</v>
      </c>
      <c r="U55" s="53">
        <v>398</v>
      </c>
      <c r="V55" s="129">
        <f t="shared" si="2"/>
        <v>2865.6</v>
      </c>
      <c r="W55" s="53">
        <v>14</v>
      </c>
      <c r="X55" s="127" t="s">
        <v>46</v>
      </c>
      <c r="Y55" s="53" t="s">
        <v>97</v>
      </c>
      <c r="Z55" s="53" t="s">
        <v>55</v>
      </c>
      <c r="AA55" s="53" t="s">
        <v>69</v>
      </c>
      <c r="AB55" s="127" t="s">
        <v>258</v>
      </c>
    </row>
    <row r="56" spans="1:29" x14ac:dyDescent="0.15">
      <c r="A56" s="127" t="s">
        <v>61</v>
      </c>
      <c r="B56" s="127" t="s">
        <v>232</v>
      </c>
      <c r="C56" s="127">
        <v>2019</v>
      </c>
      <c r="D56" s="128" t="s">
        <v>283</v>
      </c>
      <c r="E56" s="127" t="s">
        <v>299</v>
      </c>
      <c r="F56" s="127" t="s">
        <v>300</v>
      </c>
      <c r="G56" s="127" t="s">
        <v>42</v>
      </c>
      <c r="H56" s="53" t="s">
        <v>160</v>
      </c>
      <c r="I56" s="53" t="s">
        <v>159</v>
      </c>
      <c r="J56" s="127" t="s">
        <v>38</v>
      </c>
      <c r="K56" s="53" t="s">
        <v>161</v>
      </c>
      <c r="L56" s="53">
        <v>1</v>
      </c>
      <c r="N56" s="53">
        <v>1</v>
      </c>
      <c r="O56" s="53">
        <v>0.5</v>
      </c>
      <c r="P56" s="53">
        <v>0.5</v>
      </c>
      <c r="Q56" s="74">
        <f t="shared" si="0"/>
        <v>0.5</v>
      </c>
      <c r="R56" s="53">
        <v>17.8</v>
      </c>
      <c r="S56" s="53">
        <v>141</v>
      </c>
      <c r="T56" s="16">
        <f t="shared" si="1"/>
        <v>22</v>
      </c>
      <c r="U56" s="53">
        <v>138</v>
      </c>
      <c r="V56" s="129">
        <f t="shared" si="2"/>
        <v>3036</v>
      </c>
      <c r="W56" s="53">
        <v>14</v>
      </c>
      <c r="X56" s="127" t="s">
        <v>46</v>
      </c>
      <c r="Y56" s="53" t="s">
        <v>97</v>
      </c>
      <c r="Z56" s="53" t="s">
        <v>55</v>
      </c>
      <c r="AA56" s="53" t="s">
        <v>69</v>
      </c>
      <c r="AB56" s="127" t="s">
        <v>258</v>
      </c>
      <c r="AC56" s="34"/>
    </row>
    <row r="57" spans="1:29" x14ac:dyDescent="0.15">
      <c r="A57" s="127" t="s">
        <v>61</v>
      </c>
      <c r="B57" s="127" t="s">
        <v>232</v>
      </c>
      <c r="C57" s="127">
        <v>2019</v>
      </c>
      <c r="D57" s="128" t="s">
        <v>283</v>
      </c>
      <c r="E57" s="127" t="s">
        <v>299</v>
      </c>
      <c r="F57" s="127" t="s">
        <v>300</v>
      </c>
      <c r="G57" s="127" t="s">
        <v>42</v>
      </c>
      <c r="H57" s="53" t="s">
        <v>160</v>
      </c>
      <c r="I57" s="53" t="s">
        <v>159</v>
      </c>
      <c r="J57" s="127" t="s">
        <v>38</v>
      </c>
      <c r="K57" s="53" t="s">
        <v>161</v>
      </c>
      <c r="L57" s="53">
        <v>2</v>
      </c>
      <c r="N57" s="53">
        <v>1</v>
      </c>
      <c r="O57" s="53">
        <v>0.5</v>
      </c>
      <c r="P57" s="53">
        <v>0.5</v>
      </c>
      <c r="Q57" s="74">
        <f t="shared" si="0"/>
        <v>0.5</v>
      </c>
      <c r="R57" s="53">
        <v>17.899999999999999</v>
      </c>
      <c r="S57" s="53">
        <v>129</v>
      </c>
      <c r="T57" s="16">
        <f t="shared" si="1"/>
        <v>25</v>
      </c>
      <c r="U57" s="53">
        <v>138</v>
      </c>
      <c r="V57" s="129">
        <f t="shared" si="2"/>
        <v>3450</v>
      </c>
      <c r="W57" s="53">
        <v>14</v>
      </c>
      <c r="X57" s="127" t="s">
        <v>46</v>
      </c>
      <c r="Y57" s="53" t="s">
        <v>97</v>
      </c>
      <c r="Z57" s="53" t="s">
        <v>55</v>
      </c>
      <c r="AA57" s="53" t="s">
        <v>69</v>
      </c>
      <c r="AB57" s="127" t="s">
        <v>258</v>
      </c>
      <c r="AC57" s="34"/>
    </row>
    <row r="58" spans="1:29" x14ac:dyDescent="0.15">
      <c r="A58" s="127" t="s">
        <v>61</v>
      </c>
      <c r="B58" s="127" t="s">
        <v>232</v>
      </c>
      <c r="C58" s="127">
        <v>2019</v>
      </c>
      <c r="D58" s="128" t="s">
        <v>283</v>
      </c>
      <c r="E58" s="127" t="s">
        <v>299</v>
      </c>
      <c r="F58" s="127" t="s">
        <v>300</v>
      </c>
      <c r="G58" s="127" t="s">
        <v>42</v>
      </c>
      <c r="H58" s="53" t="s">
        <v>160</v>
      </c>
      <c r="I58" s="53" t="s">
        <v>159</v>
      </c>
      <c r="J58" s="127" t="s">
        <v>38</v>
      </c>
      <c r="K58" s="53" t="s">
        <v>161</v>
      </c>
      <c r="L58" s="53">
        <v>3</v>
      </c>
      <c r="N58" s="53">
        <v>1</v>
      </c>
      <c r="O58" s="53">
        <v>0.5</v>
      </c>
      <c r="P58" s="53">
        <v>0.5</v>
      </c>
      <c r="Q58" s="74">
        <f t="shared" si="0"/>
        <v>0.5</v>
      </c>
      <c r="R58" s="53">
        <v>17.2</v>
      </c>
      <c r="S58" s="53">
        <v>138</v>
      </c>
      <c r="T58" s="16">
        <f t="shared" si="1"/>
        <v>22</v>
      </c>
      <c r="U58" s="53">
        <v>138</v>
      </c>
      <c r="V58" s="129">
        <f t="shared" si="2"/>
        <v>3036</v>
      </c>
      <c r="W58" s="53">
        <v>14</v>
      </c>
      <c r="X58" s="127" t="s">
        <v>46</v>
      </c>
      <c r="Y58" s="53" t="s">
        <v>97</v>
      </c>
      <c r="Z58" s="53" t="s">
        <v>55</v>
      </c>
      <c r="AA58" s="53" t="s">
        <v>69</v>
      </c>
      <c r="AB58" s="127" t="s">
        <v>258</v>
      </c>
      <c r="AC58" s="34"/>
    </row>
    <row r="59" spans="1:29" x14ac:dyDescent="0.15">
      <c r="A59" s="127" t="s">
        <v>61</v>
      </c>
      <c r="B59" s="127" t="s">
        <v>232</v>
      </c>
      <c r="C59" s="127">
        <v>2019</v>
      </c>
      <c r="D59" s="128" t="s">
        <v>283</v>
      </c>
      <c r="E59" s="127" t="s">
        <v>301</v>
      </c>
      <c r="F59" s="127" t="s">
        <v>300</v>
      </c>
      <c r="G59" s="127" t="s">
        <v>42</v>
      </c>
      <c r="H59" s="53" t="s">
        <v>165</v>
      </c>
      <c r="I59" s="53" t="s">
        <v>159</v>
      </c>
      <c r="J59" s="127" t="s">
        <v>38</v>
      </c>
      <c r="K59" s="53" t="s">
        <v>161</v>
      </c>
      <c r="L59" s="53">
        <v>1</v>
      </c>
      <c r="N59" s="53">
        <v>4</v>
      </c>
      <c r="O59" s="53">
        <v>0.5</v>
      </c>
      <c r="P59" s="53">
        <v>0.5</v>
      </c>
      <c r="Q59" s="74">
        <f t="shared" si="0"/>
        <v>0.5</v>
      </c>
      <c r="R59" s="53">
        <v>18.2</v>
      </c>
      <c r="S59" s="53">
        <v>95</v>
      </c>
      <c r="T59" s="16">
        <f t="shared" si="1"/>
        <v>36</v>
      </c>
      <c r="U59" s="53">
        <v>321</v>
      </c>
      <c r="V59" s="129">
        <f t="shared" si="2"/>
        <v>2889</v>
      </c>
      <c r="W59" s="53">
        <v>20</v>
      </c>
      <c r="X59" s="127" t="s">
        <v>46</v>
      </c>
      <c r="Y59" s="53" t="s">
        <v>55</v>
      </c>
      <c r="Z59" s="53" t="s">
        <v>97</v>
      </c>
      <c r="AA59" s="53" t="s">
        <v>69</v>
      </c>
      <c r="AB59" s="127" t="s">
        <v>258</v>
      </c>
      <c r="AC59" s="34"/>
    </row>
    <row r="60" spans="1:29" x14ac:dyDescent="0.15">
      <c r="A60" s="127" t="s">
        <v>61</v>
      </c>
      <c r="B60" s="127" t="s">
        <v>232</v>
      </c>
      <c r="C60" s="127">
        <v>2019</v>
      </c>
      <c r="D60" s="128" t="s">
        <v>283</v>
      </c>
      <c r="E60" s="127" t="s">
        <v>301</v>
      </c>
      <c r="F60" s="127" t="s">
        <v>300</v>
      </c>
      <c r="G60" s="127" t="s">
        <v>42</v>
      </c>
      <c r="H60" s="53" t="s">
        <v>165</v>
      </c>
      <c r="I60" s="53" t="s">
        <v>159</v>
      </c>
      <c r="J60" s="127" t="s">
        <v>38</v>
      </c>
      <c r="K60" s="53" t="s">
        <v>161</v>
      </c>
      <c r="L60" s="53">
        <v>2</v>
      </c>
      <c r="N60" s="53">
        <v>4</v>
      </c>
      <c r="O60" s="53">
        <v>1.25</v>
      </c>
      <c r="P60" s="53">
        <v>0.85</v>
      </c>
      <c r="Q60" s="74">
        <f t="shared" si="0"/>
        <v>1.05</v>
      </c>
      <c r="R60" s="53">
        <v>13.7</v>
      </c>
      <c r="S60" s="53">
        <v>103</v>
      </c>
      <c r="T60" s="16">
        <f t="shared" si="1"/>
        <v>33</v>
      </c>
      <c r="U60" s="53">
        <v>321</v>
      </c>
      <c r="V60" s="129">
        <f t="shared" si="2"/>
        <v>2648.25</v>
      </c>
      <c r="W60" s="53">
        <v>20</v>
      </c>
      <c r="X60" s="127" t="s">
        <v>46</v>
      </c>
      <c r="Y60" s="53" t="s">
        <v>55</v>
      </c>
      <c r="Z60" s="53" t="s">
        <v>97</v>
      </c>
      <c r="AA60" s="53" t="s">
        <v>69</v>
      </c>
      <c r="AB60" s="127" t="s">
        <v>258</v>
      </c>
      <c r="AC60" s="34"/>
    </row>
    <row r="61" spans="1:29" x14ac:dyDescent="0.15">
      <c r="A61" s="127" t="s">
        <v>61</v>
      </c>
      <c r="B61" s="127" t="s">
        <v>232</v>
      </c>
      <c r="C61" s="127">
        <v>2019</v>
      </c>
      <c r="D61" s="128" t="s">
        <v>283</v>
      </c>
      <c r="E61" s="127" t="s">
        <v>301</v>
      </c>
      <c r="F61" s="127" t="s">
        <v>300</v>
      </c>
      <c r="G61" s="127" t="s">
        <v>42</v>
      </c>
      <c r="H61" s="53" t="s">
        <v>165</v>
      </c>
      <c r="I61" s="53" t="s">
        <v>159</v>
      </c>
      <c r="J61" s="127" t="s">
        <v>38</v>
      </c>
      <c r="K61" s="53" t="s">
        <v>161</v>
      </c>
      <c r="L61" s="53">
        <v>3</v>
      </c>
      <c r="N61" s="53">
        <v>4</v>
      </c>
      <c r="O61" s="53">
        <v>0.75</v>
      </c>
      <c r="P61" s="53">
        <v>0.9</v>
      </c>
      <c r="Q61" s="74">
        <f t="shared" si="0"/>
        <v>0.82499999999999996</v>
      </c>
      <c r="R61" s="53">
        <v>11.5</v>
      </c>
      <c r="S61" s="53">
        <v>94</v>
      </c>
      <c r="T61" s="16">
        <f t="shared" si="1"/>
        <v>36</v>
      </c>
      <c r="U61" s="53">
        <v>321</v>
      </c>
      <c r="V61" s="129">
        <f t="shared" si="2"/>
        <v>2889</v>
      </c>
      <c r="W61" s="53">
        <v>20</v>
      </c>
      <c r="X61" s="127" t="s">
        <v>46</v>
      </c>
      <c r="Y61" s="53" t="s">
        <v>55</v>
      </c>
      <c r="Z61" s="53" t="s">
        <v>97</v>
      </c>
      <c r="AA61" s="53" t="s">
        <v>69</v>
      </c>
      <c r="AB61" s="127" t="s">
        <v>258</v>
      </c>
      <c r="AC61" s="34"/>
    </row>
    <row r="62" spans="1:29" x14ac:dyDescent="0.15">
      <c r="A62" s="127" t="s">
        <v>61</v>
      </c>
      <c r="B62" s="127" t="s">
        <v>232</v>
      </c>
      <c r="C62" s="127">
        <v>2019</v>
      </c>
      <c r="D62" s="128" t="s">
        <v>283</v>
      </c>
      <c r="E62" s="127" t="s">
        <v>301</v>
      </c>
      <c r="F62" s="127" t="s">
        <v>300</v>
      </c>
      <c r="G62" s="127" t="s">
        <v>42</v>
      </c>
      <c r="H62" s="53" t="s">
        <v>164</v>
      </c>
      <c r="I62" s="53" t="s">
        <v>159</v>
      </c>
      <c r="J62" s="127" t="s">
        <v>38</v>
      </c>
      <c r="K62" s="53" t="s">
        <v>161</v>
      </c>
      <c r="L62" s="53">
        <v>1</v>
      </c>
      <c r="N62" s="53">
        <v>4</v>
      </c>
      <c r="O62" s="53">
        <v>0.5</v>
      </c>
      <c r="P62" s="53">
        <v>0.5</v>
      </c>
      <c r="Q62" s="74">
        <f t="shared" si="0"/>
        <v>0.5</v>
      </c>
      <c r="R62" s="53">
        <v>18.3</v>
      </c>
      <c r="S62" s="53">
        <v>77</v>
      </c>
      <c r="T62" s="16">
        <f t="shared" si="1"/>
        <v>39</v>
      </c>
      <c r="U62" s="53">
        <v>321</v>
      </c>
      <c r="V62" s="129">
        <f t="shared" si="2"/>
        <v>3129.75</v>
      </c>
      <c r="W62" s="53">
        <v>20</v>
      </c>
      <c r="X62" s="127" t="s">
        <v>46</v>
      </c>
      <c r="Y62" s="53" t="s">
        <v>55</v>
      </c>
      <c r="Z62" s="53" t="s">
        <v>97</v>
      </c>
      <c r="AA62" s="53" t="s">
        <v>69</v>
      </c>
      <c r="AB62" s="127" t="s">
        <v>258</v>
      </c>
      <c r="AC62" s="34"/>
    </row>
    <row r="63" spans="1:29" x14ac:dyDescent="0.15">
      <c r="A63" s="127" t="s">
        <v>61</v>
      </c>
      <c r="B63" s="127" t="s">
        <v>232</v>
      </c>
      <c r="C63" s="127">
        <v>2019</v>
      </c>
      <c r="D63" s="128" t="s">
        <v>283</v>
      </c>
      <c r="E63" s="127" t="s">
        <v>301</v>
      </c>
      <c r="F63" s="127" t="s">
        <v>300</v>
      </c>
      <c r="G63" s="127" t="s">
        <v>42</v>
      </c>
      <c r="H63" s="53" t="s">
        <v>164</v>
      </c>
      <c r="I63" s="53" t="s">
        <v>159</v>
      </c>
      <c r="J63" s="127" t="s">
        <v>38</v>
      </c>
      <c r="K63" s="53" t="s">
        <v>161</v>
      </c>
      <c r="L63" s="53">
        <v>2</v>
      </c>
      <c r="N63" s="53">
        <v>4</v>
      </c>
      <c r="O63" s="53">
        <v>0.5</v>
      </c>
      <c r="P63" s="53">
        <v>0.5</v>
      </c>
      <c r="Q63" s="74">
        <f t="shared" si="0"/>
        <v>0.5</v>
      </c>
      <c r="R63" s="53">
        <v>17.899999999999999</v>
      </c>
      <c r="S63" s="53">
        <v>78</v>
      </c>
      <c r="T63" s="16">
        <f t="shared" si="1"/>
        <v>39</v>
      </c>
      <c r="U63" s="53">
        <v>321</v>
      </c>
      <c r="V63" s="129">
        <f t="shared" si="2"/>
        <v>3129.75</v>
      </c>
      <c r="W63" s="53">
        <v>20</v>
      </c>
      <c r="X63" s="127" t="s">
        <v>46</v>
      </c>
      <c r="Y63" s="53" t="s">
        <v>55</v>
      </c>
      <c r="Z63" s="53" t="s">
        <v>97</v>
      </c>
      <c r="AA63" s="53" t="s">
        <v>69</v>
      </c>
      <c r="AB63" s="127" t="s">
        <v>258</v>
      </c>
      <c r="AC63" s="34"/>
    </row>
    <row r="64" spans="1:29" x14ac:dyDescent="0.15">
      <c r="A64" s="127" t="s">
        <v>61</v>
      </c>
      <c r="B64" s="127" t="s">
        <v>232</v>
      </c>
      <c r="C64" s="127">
        <v>2019</v>
      </c>
      <c r="D64" s="128" t="s">
        <v>283</v>
      </c>
      <c r="E64" s="127" t="s">
        <v>301</v>
      </c>
      <c r="F64" s="127" t="s">
        <v>300</v>
      </c>
      <c r="G64" s="127" t="s">
        <v>42</v>
      </c>
      <c r="H64" s="53" t="s">
        <v>164</v>
      </c>
      <c r="I64" s="53" t="s">
        <v>159</v>
      </c>
      <c r="J64" s="127" t="s">
        <v>38</v>
      </c>
      <c r="K64" s="53" t="s">
        <v>161</v>
      </c>
      <c r="L64" s="53">
        <v>3</v>
      </c>
      <c r="N64" s="53">
        <v>4</v>
      </c>
      <c r="O64" s="53">
        <v>0.5</v>
      </c>
      <c r="P64" s="53">
        <v>0.5</v>
      </c>
      <c r="Q64" s="74">
        <f t="shared" si="0"/>
        <v>0.5</v>
      </c>
      <c r="R64" s="53">
        <v>16.899999999999999</v>
      </c>
      <c r="S64" s="53">
        <v>73</v>
      </c>
      <c r="T64" s="16">
        <f t="shared" si="1"/>
        <v>42</v>
      </c>
      <c r="U64" s="53">
        <v>321</v>
      </c>
      <c r="V64" s="129">
        <f t="shared" si="2"/>
        <v>3370.5</v>
      </c>
      <c r="W64" s="53">
        <v>20</v>
      </c>
      <c r="X64" s="127" t="s">
        <v>46</v>
      </c>
      <c r="Y64" s="53" t="s">
        <v>55</v>
      </c>
      <c r="Z64" s="53" t="s">
        <v>97</v>
      </c>
      <c r="AA64" s="53" t="s">
        <v>69</v>
      </c>
      <c r="AB64" s="127" t="s">
        <v>258</v>
      </c>
      <c r="AC64" s="34"/>
    </row>
    <row r="65" spans="1:29" x14ac:dyDescent="0.15">
      <c r="A65" s="127" t="s">
        <v>61</v>
      </c>
      <c r="B65" s="127" t="s">
        <v>232</v>
      </c>
      <c r="C65" s="127">
        <v>2019</v>
      </c>
      <c r="D65" s="128" t="s">
        <v>283</v>
      </c>
      <c r="E65" s="127" t="s">
        <v>301</v>
      </c>
      <c r="F65" s="127" t="s">
        <v>300</v>
      </c>
      <c r="G65" s="127" t="s">
        <v>42</v>
      </c>
      <c r="H65" s="53" t="s">
        <v>160</v>
      </c>
      <c r="I65" s="53" t="s">
        <v>159</v>
      </c>
      <c r="J65" s="127" t="s">
        <v>38</v>
      </c>
      <c r="K65" s="53" t="s">
        <v>161</v>
      </c>
      <c r="L65" s="53">
        <v>1</v>
      </c>
      <c r="N65" s="53">
        <v>4</v>
      </c>
      <c r="O65" s="53">
        <v>0.5</v>
      </c>
      <c r="P65" s="53">
        <v>0.5</v>
      </c>
      <c r="Q65" s="74">
        <f t="shared" si="0"/>
        <v>0.5</v>
      </c>
      <c r="R65" s="53">
        <v>18.5</v>
      </c>
      <c r="S65" s="53">
        <v>100</v>
      </c>
      <c r="T65" s="16">
        <f t="shared" si="1"/>
        <v>33</v>
      </c>
      <c r="U65" s="53">
        <v>429</v>
      </c>
      <c r="V65" s="129">
        <f t="shared" si="2"/>
        <v>3539.25</v>
      </c>
      <c r="W65" s="53">
        <v>20</v>
      </c>
      <c r="X65" s="127" t="s">
        <v>46</v>
      </c>
      <c r="Y65" s="53" t="s">
        <v>55</v>
      </c>
      <c r="Z65" s="53" t="s">
        <v>97</v>
      </c>
      <c r="AA65" s="53" t="s">
        <v>69</v>
      </c>
      <c r="AB65" s="127" t="s">
        <v>258</v>
      </c>
    </row>
    <row r="66" spans="1:29" x14ac:dyDescent="0.15">
      <c r="A66" s="127" t="s">
        <v>61</v>
      </c>
      <c r="B66" s="127" t="s">
        <v>232</v>
      </c>
      <c r="C66" s="127">
        <v>2019</v>
      </c>
      <c r="D66" s="128" t="s">
        <v>283</v>
      </c>
      <c r="E66" s="127" t="s">
        <v>301</v>
      </c>
      <c r="F66" s="127" t="s">
        <v>300</v>
      </c>
      <c r="G66" s="127" t="s">
        <v>42</v>
      </c>
      <c r="H66" s="53" t="s">
        <v>160</v>
      </c>
      <c r="I66" s="53" t="s">
        <v>159</v>
      </c>
      <c r="J66" s="127" t="s">
        <v>38</v>
      </c>
      <c r="K66" s="53" t="s">
        <v>161</v>
      </c>
      <c r="L66" s="53">
        <v>2</v>
      </c>
      <c r="N66" s="53">
        <v>4</v>
      </c>
      <c r="O66" s="53">
        <v>0.5</v>
      </c>
      <c r="P66" s="53">
        <v>0.5</v>
      </c>
      <c r="Q66" s="74">
        <f t="shared" ref="Q66:Q98" si="3">IF(OR(O66="",P66=""),"",AVERAGE(O66,P66))</f>
        <v>0.5</v>
      </c>
      <c r="R66" s="53">
        <v>17.600000000000001</v>
      </c>
      <c r="S66" s="53">
        <v>102</v>
      </c>
      <c r="T66" s="16">
        <f t="shared" ref="T66:T73" si="4">IF(H66="","",IF(OR(H66="GREEN",H66="GK"),IF(S66&gt;=$AX$2,VLOOKUP(S66,$AX$2:$AY$15,2,1),""),IF(S66&gt;=$AZ$2,VLOOKUP(S66,$AZ$2:$BA$15,2,1),"")))</f>
        <v>33</v>
      </c>
      <c r="U66" s="53">
        <v>429</v>
      </c>
      <c r="V66" s="129">
        <f t="shared" ref="V66:V98" si="5">IF(OR(N66="",U66="",T66=""),"",U66/N66*T66)</f>
        <v>3539.25</v>
      </c>
      <c r="W66" s="53">
        <v>20</v>
      </c>
      <c r="X66" s="127" t="s">
        <v>46</v>
      </c>
      <c r="Y66" s="53" t="s">
        <v>55</v>
      </c>
      <c r="Z66" s="53" t="s">
        <v>97</v>
      </c>
      <c r="AA66" s="53" t="s">
        <v>69</v>
      </c>
      <c r="AB66" s="127" t="s">
        <v>258</v>
      </c>
    </row>
    <row r="67" spans="1:29" x14ac:dyDescent="0.15">
      <c r="A67" s="127" t="s">
        <v>61</v>
      </c>
      <c r="B67" s="127" t="s">
        <v>232</v>
      </c>
      <c r="C67" s="127">
        <v>2019</v>
      </c>
      <c r="D67" s="128" t="s">
        <v>283</v>
      </c>
      <c r="E67" s="127" t="s">
        <v>301</v>
      </c>
      <c r="F67" s="127" t="s">
        <v>300</v>
      </c>
      <c r="G67" s="127" t="s">
        <v>42</v>
      </c>
      <c r="H67" s="53" t="s">
        <v>160</v>
      </c>
      <c r="I67" s="53" t="s">
        <v>159</v>
      </c>
      <c r="J67" s="127" t="s">
        <v>38</v>
      </c>
      <c r="K67" s="53" t="s">
        <v>161</v>
      </c>
      <c r="L67" s="53">
        <v>3</v>
      </c>
      <c r="N67" s="53">
        <v>4</v>
      </c>
      <c r="O67" s="53">
        <v>0.5</v>
      </c>
      <c r="P67" s="53">
        <v>0.5</v>
      </c>
      <c r="Q67" s="74">
        <f t="shared" si="3"/>
        <v>0.5</v>
      </c>
      <c r="R67" s="53">
        <v>17.5</v>
      </c>
      <c r="S67" s="53">
        <v>100</v>
      </c>
      <c r="T67" s="16">
        <f t="shared" si="4"/>
        <v>33</v>
      </c>
      <c r="U67" s="53">
        <v>429</v>
      </c>
      <c r="V67" s="129">
        <f t="shared" si="5"/>
        <v>3539.25</v>
      </c>
      <c r="W67" s="53">
        <v>20</v>
      </c>
      <c r="X67" s="127" t="s">
        <v>46</v>
      </c>
      <c r="Y67" s="53" t="s">
        <v>55</v>
      </c>
      <c r="Z67" s="53" t="s">
        <v>97</v>
      </c>
      <c r="AA67" s="53" t="s">
        <v>69</v>
      </c>
      <c r="AB67" s="127" t="s">
        <v>258</v>
      </c>
    </row>
    <row r="68" spans="1:29" x14ac:dyDescent="0.15">
      <c r="A68" s="127"/>
      <c r="B68" s="127"/>
      <c r="C68" s="127"/>
      <c r="D68" s="128"/>
      <c r="E68" s="127"/>
      <c r="F68" s="127"/>
      <c r="G68" s="127"/>
      <c r="J68" s="127"/>
      <c r="Q68" s="74" t="str">
        <f t="shared" si="3"/>
        <v/>
      </c>
      <c r="T68" s="16" t="str">
        <f t="shared" si="4"/>
        <v/>
      </c>
      <c r="V68" s="129" t="str">
        <f t="shared" si="5"/>
        <v/>
      </c>
      <c r="X68" s="127"/>
      <c r="AB68" s="127"/>
      <c r="AC68" s="34"/>
    </row>
    <row r="69" spans="1:29" x14ac:dyDescent="0.15">
      <c r="A69" s="127"/>
      <c r="B69" s="127"/>
      <c r="C69" s="127"/>
      <c r="D69" s="128"/>
      <c r="E69" s="127"/>
      <c r="F69" s="127"/>
      <c r="G69" s="127"/>
      <c r="J69" s="127"/>
      <c r="Q69" s="74" t="str">
        <f t="shared" si="3"/>
        <v/>
      </c>
      <c r="R69" s="34"/>
      <c r="T69" s="16" t="str">
        <f t="shared" si="4"/>
        <v/>
      </c>
      <c r="V69" s="129" t="str">
        <f t="shared" si="5"/>
        <v/>
      </c>
      <c r="X69" s="127"/>
      <c r="AB69" s="127"/>
      <c r="AC69" s="34"/>
    </row>
    <row r="70" spans="1:29" x14ac:dyDescent="0.15">
      <c r="A70" s="127"/>
      <c r="B70" s="127"/>
      <c r="C70" s="127"/>
      <c r="D70" s="128"/>
      <c r="F70" s="127"/>
      <c r="G70" s="127"/>
      <c r="J70" s="127"/>
      <c r="Q70" s="74" t="str">
        <f t="shared" si="3"/>
        <v/>
      </c>
      <c r="R70" s="34"/>
      <c r="T70" s="16" t="str">
        <f t="shared" si="4"/>
        <v/>
      </c>
      <c r="V70" s="129" t="str">
        <f t="shared" si="5"/>
        <v/>
      </c>
      <c r="X70" s="127"/>
      <c r="AB70" s="127"/>
      <c r="AC70" s="34"/>
    </row>
    <row r="71" spans="1:29" x14ac:dyDescent="0.15">
      <c r="A71" s="127"/>
      <c r="B71" s="127"/>
      <c r="C71" s="127"/>
      <c r="D71" s="128"/>
      <c r="F71" s="127"/>
      <c r="G71" s="127"/>
      <c r="J71" s="127"/>
      <c r="Q71" s="74" t="str">
        <f t="shared" si="3"/>
        <v/>
      </c>
      <c r="T71" s="16" t="str">
        <f t="shared" si="4"/>
        <v/>
      </c>
      <c r="V71" s="129" t="str">
        <f t="shared" si="5"/>
        <v/>
      </c>
      <c r="X71" s="127"/>
      <c r="AB71" s="127"/>
      <c r="AC71" s="34"/>
    </row>
    <row r="72" spans="1:29" x14ac:dyDescent="0.15">
      <c r="A72" s="127"/>
      <c r="B72" s="127"/>
      <c r="C72" s="127"/>
      <c r="D72" s="128"/>
      <c r="F72" s="127"/>
      <c r="G72" s="127"/>
      <c r="J72" s="127"/>
      <c r="Q72" s="74" t="str">
        <f t="shared" si="3"/>
        <v/>
      </c>
      <c r="T72" s="16" t="str">
        <f t="shared" si="4"/>
        <v/>
      </c>
      <c r="V72" s="129" t="str">
        <f t="shared" si="5"/>
        <v/>
      </c>
      <c r="X72" s="127"/>
      <c r="AB72" s="127"/>
      <c r="AC72" s="34"/>
    </row>
    <row r="73" spans="1:29" x14ac:dyDescent="0.15">
      <c r="A73" s="127"/>
      <c r="B73" s="127"/>
      <c r="C73" s="127"/>
      <c r="D73" s="128"/>
      <c r="G73" s="127"/>
      <c r="J73" s="127"/>
      <c r="Q73" s="74" t="str">
        <f t="shared" si="3"/>
        <v/>
      </c>
      <c r="T73" s="16" t="str">
        <f t="shared" si="4"/>
        <v/>
      </c>
      <c r="V73" s="129" t="str">
        <f t="shared" si="5"/>
        <v/>
      </c>
      <c r="X73" s="127"/>
      <c r="AB73" s="127"/>
      <c r="AC73" s="34"/>
    </row>
    <row r="74" spans="1:29" x14ac:dyDescent="0.15">
      <c r="A74" s="127"/>
      <c r="B74" s="127"/>
      <c r="C74" s="127"/>
      <c r="D74" s="128"/>
      <c r="G74" s="127"/>
      <c r="J74" s="127"/>
      <c r="Q74" s="74"/>
      <c r="V74" s="129"/>
      <c r="X74" s="127"/>
      <c r="AB74" s="127"/>
    </row>
    <row r="75" spans="1:29" x14ac:dyDescent="0.15">
      <c r="A75" s="127"/>
      <c r="B75" s="127"/>
      <c r="C75" s="127"/>
      <c r="D75" s="128"/>
      <c r="G75" s="127"/>
      <c r="J75" s="127"/>
      <c r="Q75" s="74"/>
      <c r="V75" s="129"/>
      <c r="X75" s="127"/>
      <c r="AB75" s="127"/>
    </row>
    <row r="76" spans="1:29" x14ac:dyDescent="0.15">
      <c r="A76" s="127"/>
      <c r="B76" s="127"/>
      <c r="C76" s="127"/>
      <c r="D76" s="128"/>
      <c r="G76" s="127"/>
      <c r="J76" s="127"/>
      <c r="Q76" s="74"/>
      <c r="V76" s="129"/>
      <c r="X76" s="127"/>
      <c r="AB76" s="127"/>
    </row>
    <row r="77" spans="1:29" x14ac:dyDescent="0.15">
      <c r="A77" s="127"/>
      <c r="B77" s="127"/>
      <c r="C77" s="127"/>
      <c r="D77" s="128"/>
      <c r="G77" s="127"/>
      <c r="J77" s="127"/>
      <c r="Q77" s="74" t="str">
        <f t="shared" ref="Q77:Q79" si="6">IF(OR(O77="",P77=""),"",AVERAGE(O77,P77))</f>
        <v/>
      </c>
      <c r="T77" s="16" t="str">
        <f>IF(H77="","",IF(OR(H77="GREEN",H77="GK"),IF(S77&gt;=$AX$2,VLOOKUP(S77,$AX$2:$AY$15,2,1),""),IF(S77&gt;=$AZ$2,VLOOKUP(S77,$AZ$2:$BA$15,2,1),"")))</f>
        <v/>
      </c>
      <c r="V77" s="129" t="str">
        <f t="shared" ref="V77:V79" si="7">IF(OR(N77="",U77="",T77=""),"",U77/N77*T77)</f>
        <v/>
      </c>
      <c r="X77" s="127"/>
      <c r="AB77" s="127"/>
    </row>
    <row r="78" spans="1:29" x14ac:dyDescent="0.15">
      <c r="A78" s="127"/>
      <c r="B78" s="127"/>
      <c r="C78" s="127"/>
      <c r="D78" s="128"/>
      <c r="G78" s="127"/>
      <c r="J78" s="127"/>
      <c r="Q78" s="74" t="str">
        <f t="shared" si="6"/>
        <v/>
      </c>
      <c r="T78" s="16" t="str">
        <f>IF(H78="","",IF(OR(H78="GREEN",H78="GK"),IF(S78&gt;=$AX$2,VLOOKUP(S78,$AX$2:$AY$15,2,1),""),IF(S78&gt;=$AZ$2,VLOOKUP(S78,$AZ$2:$BA$15,2,1),"")))</f>
        <v/>
      </c>
      <c r="V78" s="129" t="str">
        <f t="shared" si="7"/>
        <v/>
      </c>
      <c r="X78" s="127"/>
      <c r="AB78" s="127"/>
    </row>
    <row r="79" spans="1:29" x14ac:dyDescent="0.15">
      <c r="A79" s="127"/>
      <c r="B79" s="127"/>
      <c r="C79" s="127"/>
      <c r="D79" s="128"/>
      <c r="G79" s="127"/>
      <c r="J79" s="127"/>
      <c r="Q79" s="74" t="str">
        <f t="shared" si="6"/>
        <v/>
      </c>
      <c r="T79" s="16" t="str">
        <f>IF(H79="","",IF(OR(H79="GREEN",H79="GK"),IF(S79&gt;=$AX$2,VLOOKUP(S79,$AX$2:$AY$15,2,1),""),IF(S79&gt;=$AZ$2,VLOOKUP(S79,$AZ$2:$BA$15,2,1),"")))</f>
        <v/>
      </c>
      <c r="V79" s="129" t="str">
        <f t="shared" si="7"/>
        <v/>
      </c>
      <c r="X79" s="127"/>
      <c r="AB79" s="127"/>
    </row>
    <row r="80" spans="1:29" x14ac:dyDescent="0.15">
      <c r="A80" s="127"/>
      <c r="B80" s="127"/>
      <c r="C80" s="127"/>
      <c r="D80" s="128"/>
      <c r="G80" s="127"/>
      <c r="J80" s="127"/>
      <c r="Q80" s="74"/>
      <c r="V80" s="129"/>
      <c r="X80" s="127"/>
      <c r="AB80" s="127"/>
    </row>
    <row r="81" spans="1:28" x14ac:dyDescent="0.15">
      <c r="A81" s="127"/>
      <c r="B81" s="127"/>
      <c r="C81" s="127"/>
      <c r="D81" s="128"/>
      <c r="G81" s="127"/>
      <c r="J81" s="127"/>
      <c r="Q81" s="74"/>
      <c r="V81" s="129"/>
      <c r="X81" s="127"/>
      <c r="AB81" s="127"/>
    </row>
    <row r="82" spans="1:28" x14ac:dyDescent="0.15">
      <c r="A82" s="127"/>
      <c r="B82" s="127"/>
      <c r="C82" s="127"/>
      <c r="D82" s="128"/>
      <c r="G82" s="127"/>
      <c r="J82" s="127"/>
      <c r="Q82" s="74"/>
      <c r="V82" s="129"/>
      <c r="X82" s="127"/>
      <c r="AB82" s="127"/>
    </row>
    <row r="83" spans="1:28" x14ac:dyDescent="0.15">
      <c r="A83" s="127"/>
      <c r="B83" s="127"/>
      <c r="C83" s="127"/>
      <c r="D83" s="128"/>
      <c r="G83" s="127"/>
      <c r="J83" s="127"/>
      <c r="Q83" s="74"/>
      <c r="V83" s="129"/>
      <c r="X83" s="127"/>
      <c r="AB83" s="127"/>
    </row>
    <row r="84" spans="1:28" x14ac:dyDescent="0.15">
      <c r="A84" s="127"/>
      <c r="B84" s="127"/>
      <c r="C84" s="127"/>
      <c r="D84" s="128"/>
      <c r="G84" s="127"/>
      <c r="J84" s="127"/>
      <c r="Q84" s="74"/>
      <c r="V84" s="129"/>
      <c r="X84" s="127"/>
      <c r="AB84" s="127"/>
    </row>
    <row r="85" spans="1:28" x14ac:dyDescent="0.15">
      <c r="A85" s="127"/>
      <c r="B85" s="127"/>
      <c r="C85" s="127"/>
      <c r="D85" s="128"/>
      <c r="G85" s="127"/>
      <c r="J85" s="127"/>
      <c r="Q85" s="74"/>
      <c r="V85" s="129"/>
      <c r="X85" s="127"/>
      <c r="AB85" s="127"/>
    </row>
    <row r="86" spans="1:28" x14ac:dyDescent="0.15">
      <c r="A86" s="127"/>
      <c r="B86" s="127"/>
      <c r="C86" s="127"/>
      <c r="D86" s="128"/>
      <c r="G86" s="127"/>
      <c r="J86" s="127"/>
      <c r="Q86" s="74"/>
      <c r="V86" s="129"/>
      <c r="X86" s="127"/>
      <c r="AB86" s="127"/>
    </row>
    <row r="87" spans="1:28" x14ac:dyDescent="0.15">
      <c r="A87" s="127"/>
      <c r="B87" s="127"/>
      <c r="C87" s="127"/>
      <c r="D87" s="128"/>
      <c r="G87" s="127"/>
      <c r="J87" s="127"/>
      <c r="Q87" s="74"/>
      <c r="V87" s="129"/>
      <c r="X87" s="127"/>
      <c r="AB87" s="127"/>
    </row>
    <row r="88" spans="1:28" x14ac:dyDescent="0.15">
      <c r="A88" s="127"/>
      <c r="B88" s="127"/>
      <c r="C88" s="127"/>
      <c r="D88" s="128"/>
      <c r="G88" s="127"/>
      <c r="J88" s="127"/>
      <c r="Q88" s="74"/>
      <c r="V88" s="129"/>
      <c r="X88" s="127"/>
      <c r="AB88" s="127"/>
    </row>
    <row r="89" spans="1:28" x14ac:dyDescent="0.15">
      <c r="A89" s="127"/>
      <c r="B89" s="127"/>
      <c r="C89" s="127"/>
      <c r="D89" s="128"/>
      <c r="G89" s="127"/>
      <c r="J89" s="127"/>
      <c r="Q89" s="74"/>
      <c r="V89" s="129"/>
      <c r="X89" s="127"/>
      <c r="AB89" s="127"/>
    </row>
    <row r="90" spans="1:28" x14ac:dyDescent="0.15">
      <c r="A90" s="127"/>
      <c r="B90" s="127"/>
      <c r="C90" s="127"/>
      <c r="D90" s="128"/>
      <c r="G90" s="127"/>
      <c r="J90" s="127"/>
      <c r="Q90" s="74"/>
      <c r="V90" s="129"/>
      <c r="X90" s="127"/>
      <c r="AB90" s="127"/>
    </row>
    <row r="91" spans="1:28" x14ac:dyDescent="0.15">
      <c r="A91" s="127"/>
      <c r="B91" s="127"/>
      <c r="C91" s="127"/>
      <c r="D91" s="128"/>
      <c r="G91" s="127"/>
      <c r="J91" s="127"/>
      <c r="Q91" s="74"/>
      <c r="V91" s="129"/>
      <c r="X91" s="127"/>
      <c r="AB91" s="127"/>
    </row>
    <row r="92" spans="1:28" x14ac:dyDescent="0.15">
      <c r="A92" s="127"/>
      <c r="B92" s="127"/>
      <c r="C92" s="127"/>
      <c r="D92" s="128"/>
      <c r="G92" s="127"/>
      <c r="J92" s="127"/>
      <c r="Q92" s="74"/>
      <c r="V92" s="129"/>
      <c r="X92" s="127"/>
      <c r="AB92" s="127"/>
    </row>
    <row r="93" spans="1:28" x14ac:dyDescent="0.15">
      <c r="A93" s="127"/>
      <c r="B93" s="127"/>
      <c r="C93" s="127"/>
      <c r="D93" s="128"/>
      <c r="G93" s="127"/>
      <c r="J93" s="127"/>
      <c r="Q93" s="74"/>
      <c r="V93" s="129"/>
      <c r="X93" s="127"/>
      <c r="AB93" s="127"/>
    </row>
    <row r="94" spans="1:28" x14ac:dyDescent="0.15">
      <c r="A94" s="127"/>
      <c r="B94" s="127"/>
      <c r="C94" s="127"/>
      <c r="D94" s="128"/>
      <c r="G94" s="127"/>
      <c r="J94" s="127"/>
      <c r="Q94" s="74"/>
      <c r="V94" s="129"/>
      <c r="X94" s="127"/>
      <c r="AB94" s="127"/>
    </row>
    <row r="95" spans="1:28" x14ac:dyDescent="0.15">
      <c r="D95" s="128"/>
    </row>
    <row r="96" spans="1:28" x14ac:dyDescent="0.15">
      <c r="A96" s="127"/>
      <c r="B96" s="127"/>
      <c r="C96" s="127"/>
      <c r="D96" s="128"/>
      <c r="G96" s="127"/>
      <c r="J96" s="127"/>
      <c r="Q96" s="74"/>
      <c r="V96" s="129"/>
      <c r="X96" s="127"/>
      <c r="AB96" s="127"/>
    </row>
    <row r="97" spans="1:28" x14ac:dyDescent="0.15">
      <c r="A97" s="127"/>
      <c r="B97" s="127"/>
      <c r="C97" s="127"/>
      <c r="G97" s="127"/>
      <c r="J97" s="127"/>
      <c r="Q97" s="74"/>
      <c r="V97" s="129"/>
      <c r="X97" s="127"/>
      <c r="AB97" s="127"/>
    </row>
    <row r="98" spans="1:28" x14ac:dyDescent="0.15">
      <c r="A98" s="127"/>
      <c r="B98" s="127"/>
      <c r="C98" s="127"/>
      <c r="D98" s="128"/>
      <c r="G98" s="127"/>
      <c r="J98" s="127"/>
      <c r="Q98" s="74"/>
      <c r="V98" s="129"/>
      <c r="X98" s="127"/>
      <c r="AB98" s="127"/>
    </row>
    <row r="99" spans="1:28" x14ac:dyDescent="0.15">
      <c r="A99" s="127"/>
      <c r="B99" s="127"/>
      <c r="C99" s="127"/>
      <c r="D99" s="128"/>
      <c r="G99" s="127"/>
      <c r="J99" s="127"/>
      <c r="Q99" s="74"/>
      <c r="V99" s="129"/>
      <c r="X99" s="127"/>
      <c r="AB99" s="127"/>
    </row>
    <row r="100" spans="1:28" x14ac:dyDescent="0.15">
      <c r="A100" s="127"/>
      <c r="B100" s="127"/>
      <c r="C100" s="127"/>
      <c r="D100" s="128"/>
      <c r="G100" s="127"/>
      <c r="J100" s="127"/>
      <c r="Q100" s="74"/>
      <c r="V100" s="129"/>
      <c r="X100" s="127"/>
      <c r="AB100" s="127"/>
    </row>
    <row r="101" spans="1:28" x14ac:dyDescent="0.15">
      <c r="A101" s="127"/>
      <c r="B101" s="127"/>
      <c r="C101" s="127"/>
      <c r="D101" s="128"/>
      <c r="G101" s="127"/>
      <c r="J101" s="127"/>
      <c r="Q101" s="74"/>
      <c r="V101" s="129"/>
      <c r="X101" s="127"/>
      <c r="AB101" s="127"/>
    </row>
    <row r="102" spans="1:28" x14ac:dyDescent="0.15">
      <c r="A102" s="127"/>
      <c r="B102" s="127"/>
      <c r="C102" s="127"/>
      <c r="D102" s="128"/>
      <c r="G102" s="127"/>
      <c r="J102" s="127"/>
      <c r="Q102" s="74"/>
      <c r="V102" s="129"/>
      <c r="X102" s="127"/>
      <c r="AB102" s="127"/>
    </row>
    <row r="103" spans="1:28" x14ac:dyDescent="0.15">
      <c r="A103" s="127"/>
      <c r="B103" s="127"/>
      <c r="C103" s="127"/>
      <c r="D103" s="128"/>
      <c r="G103" s="127"/>
      <c r="J103" s="127"/>
      <c r="Q103" s="74"/>
      <c r="V103" s="129"/>
      <c r="X103" s="127"/>
      <c r="AB103" s="127"/>
    </row>
    <row r="104" spans="1:28" x14ac:dyDescent="0.15">
      <c r="A104" s="127"/>
      <c r="B104" s="127"/>
      <c r="C104" s="127"/>
      <c r="D104" s="128"/>
      <c r="G104" s="127"/>
      <c r="J104" s="127"/>
      <c r="Q104" s="74"/>
      <c r="V104" s="129"/>
      <c r="X104" s="127"/>
      <c r="AB104" s="127"/>
    </row>
    <row r="105" spans="1:28" x14ac:dyDescent="0.15">
      <c r="A105" s="127"/>
      <c r="B105" s="127"/>
      <c r="C105" s="127"/>
      <c r="D105" s="128"/>
      <c r="G105" s="127"/>
      <c r="J105" s="127"/>
      <c r="Q105" s="74"/>
      <c r="V105" s="129"/>
      <c r="X105" s="127"/>
      <c r="AB105" s="127"/>
    </row>
    <row r="106" spans="1:28" x14ac:dyDescent="0.15">
      <c r="A106" s="127"/>
      <c r="B106" s="127"/>
      <c r="C106" s="127"/>
      <c r="D106" s="128"/>
      <c r="G106" s="127"/>
      <c r="J106" s="127"/>
      <c r="Q106" s="74"/>
      <c r="V106" s="129"/>
      <c r="X106" s="127"/>
      <c r="AB106" s="127"/>
    </row>
    <row r="107" spans="1:28" x14ac:dyDescent="0.15">
      <c r="A107" s="127"/>
      <c r="B107" s="127"/>
      <c r="C107" s="127"/>
      <c r="D107" s="128"/>
      <c r="G107" s="127"/>
      <c r="J107" s="127"/>
      <c r="Q107" s="74"/>
      <c r="V107" s="129"/>
      <c r="X107" s="127"/>
      <c r="AB107" s="127"/>
    </row>
    <row r="108" spans="1:28" x14ac:dyDescent="0.15">
      <c r="A108" s="127"/>
      <c r="B108" s="127"/>
      <c r="C108" s="127"/>
      <c r="D108" s="128"/>
      <c r="G108" s="127"/>
      <c r="J108" s="127"/>
      <c r="Q108" s="74"/>
      <c r="V108" s="129"/>
      <c r="X108" s="127"/>
      <c r="AB108" s="127"/>
    </row>
    <row r="109" spans="1:28" x14ac:dyDescent="0.15">
      <c r="A109" s="127"/>
      <c r="B109" s="127"/>
      <c r="C109" s="127"/>
      <c r="D109" s="128"/>
      <c r="G109" s="127"/>
      <c r="J109" s="127"/>
      <c r="Q109" s="74"/>
      <c r="V109" s="129"/>
      <c r="X109" s="127"/>
      <c r="AB109" s="127"/>
    </row>
    <row r="110" spans="1:28" x14ac:dyDescent="0.15">
      <c r="A110" s="127"/>
      <c r="B110" s="127"/>
      <c r="C110" s="127"/>
      <c r="D110" s="128"/>
      <c r="G110" s="127"/>
      <c r="J110" s="127"/>
      <c r="Q110" s="74"/>
      <c r="V110" s="129"/>
      <c r="X110" s="127"/>
      <c r="AB110" s="127"/>
    </row>
    <row r="111" spans="1:28" x14ac:dyDescent="0.15">
      <c r="A111" s="127"/>
      <c r="B111" s="127"/>
      <c r="C111" s="127"/>
      <c r="D111" s="128"/>
      <c r="G111" s="127"/>
      <c r="J111" s="127"/>
      <c r="Q111" s="74"/>
      <c r="V111" s="129"/>
      <c r="X111" s="127"/>
      <c r="AB111" s="127"/>
    </row>
    <row r="112" spans="1:28" x14ac:dyDescent="0.15">
      <c r="A112" s="127"/>
      <c r="B112" s="127"/>
      <c r="C112" s="127"/>
      <c r="D112" s="128"/>
      <c r="G112" s="127"/>
      <c r="J112" s="127"/>
      <c r="Q112" s="74"/>
      <c r="V112" s="129"/>
      <c r="X112" s="127"/>
      <c r="AB112" s="127"/>
    </row>
    <row r="113" spans="4:4" x14ac:dyDescent="0.15">
      <c r="D113" s="128"/>
    </row>
    <row r="114" spans="4:4" x14ac:dyDescent="0.15">
      <c r="D114" s="128"/>
    </row>
  </sheetData>
  <autoFilter ref="A1:BA1" xr:uid="{00000000-0009-0000-0000-000004000000}"/>
  <phoneticPr fontId="3"/>
  <dataValidations count="21">
    <dataValidation type="list" allowBlank="1" showInputMessage="1" showErrorMessage="1" sqref="K2:K120" xr:uid="{C0F92958-9961-4358-B687-BB01F07A5F38}">
      <formula1>$AR$2:$AR$26</formula1>
    </dataValidation>
    <dataValidation type="list" allowBlank="1" showInputMessage="1" showErrorMessage="1" sqref="I64406:I64411 WVQ981889:WVQ981894 WLU981889:WLU981894 WBY981889:WBY981894 VSC981889:VSC981894 VIG981889:VIG981894 UYK981889:UYK981894 UOO981889:UOO981894 UES981889:UES981894 TUW981889:TUW981894 TLA981889:TLA981894 TBE981889:TBE981894 SRI981889:SRI981894 SHM981889:SHM981894 RXQ981889:RXQ981894 RNU981889:RNU981894 RDY981889:RDY981894 QUC981889:QUC981894 QKG981889:QKG981894 QAK981889:QAK981894 PQO981889:PQO981894 PGS981889:PGS981894 OWW981889:OWW981894 ONA981889:ONA981894 ODE981889:ODE981894 NTI981889:NTI981894 NJM981889:NJM981894 MZQ981889:MZQ981894 MPU981889:MPU981894 MFY981889:MFY981894 LWC981889:LWC981894 LMG981889:LMG981894 LCK981889:LCK981894 KSO981889:KSO981894 KIS981889:KIS981894 JYW981889:JYW981894 JPA981889:JPA981894 JFE981889:JFE981894 IVI981889:IVI981894 ILM981889:ILM981894 IBQ981889:IBQ981894 HRU981889:HRU981894 HHY981889:HHY981894 GYC981889:GYC981894 GOG981889:GOG981894 GEK981889:GEK981894 FUO981889:FUO981894 FKS981889:FKS981894 FAW981889:FAW981894 ERA981889:ERA981894 EHE981889:EHE981894 DXI981889:DXI981894 DNM981889:DNM981894 DDQ981889:DDQ981894 CTU981889:CTU981894 CJY981889:CJY981894 CAC981889:CAC981894 BQG981889:BQG981894 BGK981889:BGK981894 AWO981889:AWO981894 AMS981889:AMS981894 ACW981889:ACW981894 TA981889:TA981894 JE981889:JE981894 I981910:I981915 WVQ916353:WVQ916358 WLU916353:WLU916358 WBY916353:WBY916358 VSC916353:VSC916358 VIG916353:VIG916358 UYK916353:UYK916358 UOO916353:UOO916358 UES916353:UES916358 TUW916353:TUW916358 TLA916353:TLA916358 TBE916353:TBE916358 SRI916353:SRI916358 SHM916353:SHM916358 RXQ916353:RXQ916358 RNU916353:RNU916358 RDY916353:RDY916358 QUC916353:QUC916358 QKG916353:QKG916358 QAK916353:QAK916358 PQO916353:PQO916358 PGS916353:PGS916358 OWW916353:OWW916358 ONA916353:ONA916358 ODE916353:ODE916358 NTI916353:NTI916358 NJM916353:NJM916358 MZQ916353:MZQ916358 MPU916353:MPU916358 MFY916353:MFY916358 LWC916353:LWC916358 LMG916353:LMG916358 LCK916353:LCK916358 KSO916353:KSO916358 KIS916353:KIS916358 JYW916353:JYW916358 JPA916353:JPA916358 JFE916353:JFE916358 IVI916353:IVI916358 ILM916353:ILM916358 IBQ916353:IBQ916358 HRU916353:HRU916358 HHY916353:HHY916358 GYC916353:GYC916358 GOG916353:GOG916358 GEK916353:GEK916358 FUO916353:FUO916358 FKS916353:FKS916358 FAW916353:FAW916358 ERA916353:ERA916358 EHE916353:EHE916358 DXI916353:DXI916358 DNM916353:DNM916358 DDQ916353:DDQ916358 CTU916353:CTU916358 CJY916353:CJY916358 CAC916353:CAC916358 BQG916353:BQG916358 BGK916353:BGK916358 AWO916353:AWO916358 AMS916353:AMS916358 ACW916353:ACW916358 TA916353:TA916358 JE916353:JE916358 I916374:I916379 WVQ850817:WVQ850822 WLU850817:WLU850822 WBY850817:WBY850822 VSC850817:VSC850822 VIG850817:VIG850822 UYK850817:UYK850822 UOO850817:UOO850822 UES850817:UES850822 TUW850817:TUW850822 TLA850817:TLA850822 TBE850817:TBE850822 SRI850817:SRI850822 SHM850817:SHM850822 RXQ850817:RXQ850822 RNU850817:RNU850822 RDY850817:RDY850822 QUC850817:QUC850822 QKG850817:QKG850822 QAK850817:QAK850822 PQO850817:PQO850822 PGS850817:PGS850822 OWW850817:OWW850822 ONA850817:ONA850822 ODE850817:ODE850822 NTI850817:NTI850822 NJM850817:NJM850822 MZQ850817:MZQ850822 MPU850817:MPU850822 MFY850817:MFY850822 LWC850817:LWC850822 LMG850817:LMG850822 LCK850817:LCK850822 KSO850817:KSO850822 KIS850817:KIS850822 JYW850817:JYW850822 JPA850817:JPA850822 JFE850817:JFE850822 IVI850817:IVI850822 ILM850817:ILM850822 IBQ850817:IBQ850822 HRU850817:HRU850822 HHY850817:HHY850822 GYC850817:GYC850822 GOG850817:GOG850822 GEK850817:GEK850822 FUO850817:FUO850822 FKS850817:FKS850822 FAW850817:FAW850822 ERA850817:ERA850822 EHE850817:EHE850822 DXI850817:DXI850822 DNM850817:DNM850822 DDQ850817:DDQ850822 CTU850817:CTU850822 CJY850817:CJY850822 CAC850817:CAC850822 BQG850817:BQG850822 BGK850817:BGK850822 AWO850817:AWO850822 AMS850817:AMS850822 ACW850817:ACW850822 TA850817:TA850822 JE850817:JE850822 I850838:I850843 WVQ785281:WVQ785286 WLU785281:WLU785286 WBY785281:WBY785286 VSC785281:VSC785286 VIG785281:VIG785286 UYK785281:UYK785286 UOO785281:UOO785286 UES785281:UES785286 TUW785281:TUW785286 TLA785281:TLA785286 TBE785281:TBE785286 SRI785281:SRI785286 SHM785281:SHM785286 RXQ785281:RXQ785286 RNU785281:RNU785286 RDY785281:RDY785286 QUC785281:QUC785286 QKG785281:QKG785286 QAK785281:QAK785286 PQO785281:PQO785286 PGS785281:PGS785286 OWW785281:OWW785286 ONA785281:ONA785286 ODE785281:ODE785286 NTI785281:NTI785286 NJM785281:NJM785286 MZQ785281:MZQ785286 MPU785281:MPU785286 MFY785281:MFY785286 LWC785281:LWC785286 LMG785281:LMG785286 LCK785281:LCK785286 KSO785281:KSO785286 KIS785281:KIS785286 JYW785281:JYW785286 JPA785281:JPA785286 JFE785281:JFE785286 IVI785281:IVI785286 ILM785281:ILM785286 IBQ785281:IBQ785286 HRU785281:HRU785286 HHY785281:HHY785286 GYC785281:GYC785286 GOG785281:GOG785286 GEK785281:GEK785286 FUO785281:FUO785286 FKS785281:FKS785286 FAW785281:FAW785286 ERA785281:ERA785286 EHE785281:EHE785286 DXI785281:DXI785286 DNM785281:DNM785286 DDQ785281:DDQ785286 CTU785281:CTU785286 CJY785281:CJY785286 CAC785281:CAC785286 BQG785281:BQG785286 BGK785281:BGK785286 AWO785281:AWO785286 AMS785281:AMS785286 ACW785281:ACW785286 TA785281:TA785286 JE785281:JE785286 I785302:I785307 WVQ719745:WVQ719750 WLU719745:WLU719750 WBY719745:WBY719750 VSC719745:VSC719750 VIG719745:VIG719750 UYK719745:UYK719750 UOO719745:UOO719750 UES719745:UES719750 TUW719745:TUW719750 TLA719745:TLA719750 TBE719745:TBE719750 SRI719745:SRI719750 SHM719745:SHM719750 RXQ719745:RXQ719750 RNU719745:RNU719750 RDY719745:RDY719750 QUC719745:QUC719750 QKG719745:QKG719750 QAK719745:QAK719750 PQO719745:PQO719750 PGS719745:PGS719750 OWW719745:OWW719750 ONA719745:ONA719750 ODE719745:ODE719750 NTI719745:NTI719750 NJM719745:NJM719750 MZQ719745:MZQ719750 MPU719745:MPU719750 MFY719745:MFY719750 LWC719745:LWC719750 LMG719745:LMG719750 LCK719745:LCK719750 KSO719745:KSO719750 KIS719745:KIS719750 JYW719745:JYW719750 JPA719745:JPA719750 JFE719745:JFE719750 IVI719745:IVI719750 ILM719745:ILM719750 IBQ719745:IBQ719750 HRU719745:HRU719750 HHY719745:HHY719750 GYC719745:GYC719750 GOG719745:GOG719750 GEK719745:GEK719750 FUO719745:FUO719750 FKS719745:FKS719750 FAW719745:FAW719750 ERA719745:ERA719750 EHE719745:EHE719750 DXI719745:DXI719750 DNM719745:DNM719750 DDQ719745:DDQ719750 CTU719745:CTU719750 CJY719745:CJY719750 CAC719745:CAC719750 BQG719745:BQG719750 BGK719745:BGK719750 AWO719745:AWO719750 AMS719745:AMS719750 ACW719745:ACW719750 TA719745:TA719750 JE719745:JE719750 I719766:I719771 WVQ654209:WVQ654214 WLU654209:WLU654214 WBY654209:WBY654214 VSC654209:VSC654214 VIG654209:VIG654214 UYK654209:UYK654214 UOO654209:UOO654214 UES654209:UES654214 TUW654209:TUW654214 TLA654209:TLA654214 TBE654209:TBE654214 SRI654209:SRI654214 SHM654209:SHM654214 RXQ654209:RXQ654214 RNU654209:RNU654214 RDY654209:RDY654214 QUC654209:QUC654214 QKG654209:QKG654214 QAK654209:QAK654214 PQO654209:PQO654214 PGS654209:PGS654214 OWW654209:OWW654214 ONA654209:ONA654214 ODE654209:ODE654214 NTI654209:NTI654214 NJM654209:NJM654214 MZQ654209:MZQ654214 MPU654209:MPU654214 MFY654209:MFY654214 LWC654209:LWC654214 LMG654209:LMG654214 LCK654209:LCK654214 KSO654209:KSO654214 KIS654209:KIS654214 JYW654209:JYW654214 JPA654209:JPA654214 JFE654209:JFE654214 IVI654209:IVI654214 ILM654209:ILM654214 IBQ654209:IBQ654214 HRU654209:HRU654214 HHY654209:HHY654214 GYC654209:GYC654214 GOG654209:GOG654214 GEK654209:GEK654214 FUO654209:FUO654214 FKS654209:FKS654214 FAW654209:FAW654214 ERA654209:ERA654214 EHE654209:EHE654214 DXI654209:DXI654214 DNM654209:DNM654214 DDQ654209:DDQ654214 CTU654209:CTU654214 CJY654209:CJY654214 CAC654209:CAC654214 BQG654209:BQG654214 BGK654209:BGK654214 AWO654209:AWO654214 AMS654209:AMS654214 ACW654209:ACW654214 TA654209:TA654214 JE654209:JE654214 I654230:I654235 WVQ588673:WVQ588678 WLU588673:WLU588678 WBY588673:WBY588678 VSC588673:VSC588678 VIG588673:VIG588678 UYK588673:UYK588678 UOO588673:UOO588678 UES588673:UES588678 TUW588673:TUW588678 TLA588673:TLA588678 TBE588673:TBE588678 SRI588673:SRI588678 SHM588673:SHM588678 RXQ588673:RXQ588678 RNU588673:RNU588678 RDY588673:RDY588678 QUC588673:QUC588678 QKG588673:QKG588678 QAK588673:QAK588678 PQO588673:PQO588678 PGS588673:PGS588678 OWW588673:OWW588678 ONA588673:ONA588678 ODE588673:ODE588678 NTI588673:NTI588678 NJM588673:NJM588678 MZQ588673:MZQ588678 MPU588673:MPU588678 MFY588673:MFY588678 LWC588673:LWC588678 LMG588673:LMG588678 LCK588673:LCK588678 KSO588673:KSO588678 KIS588673:KIS588678 JYW588673:JYW588678 JPA588673:JPA588678 JFE588673:JFE588678 IVI588673:IVI588678 ILM588673:ILM588678 IBQ588673:IBQ588678 HRU588673:HRU588678 HHY588673:HHY588678 GYC588673:GYC588678 GOG588673:GOG588678 GEK588673:GEK588678 FUO588673:FUO588678 FKS588673:FKS588678 FAW588673:FAW588678 ERA588673:ERA588678 EHE588673:EHE588678 DXI588673:DXI588678 DNM588673:DNM588678 DDQ588673:DDQ588678 CTU588673:CTU588678 CJY588673:CJY588678 CAC588673:CAC588678 BQG588673:BQG588678 BGK588673:BGK588678 AWO588673:AWO588678 AMS588673:AMS588678 ACW588673:ACW588678 TA588673:TA588678 JE588673:JE588678 I588694:I588699 WVQ523137:WVQ523142 WLU523137:WLU523142 WBY523137:WBY523142 VSC523137:VSC523142 VIG523137:VIG523142 UYK523137:UYK523142 UOO523137:UOO523142 UES523137:UES523142 TUW523137:TUW523142 TLA523137:TLA523142 TBE523137:TBE523142 SRI523137:SRI523142 SHM523137:SHM523142 RXQ523137:RXQ523142 RNU523137:RNU523142 RDY523137:RDY523142 QUC523137:QUC523142 QKG523137:QKG523142 QAK523137:QAK523142 PQO523137:PQO523142 PGS523137:PGS523142 OWW523137:OWW523142 ONA523137:ONA523142 ODE523137:ODE523142 NTI523137:NTI523142 NJM523137:NJM523142 MZQ523137:MZQ523142 MPU523137:MPU523142 MFY523137:MFY523142 LWC523137:LWC523142 LMG523137:LMG523142 LCK523137:LCK523142 KSO523137:KSO523142 KIS523137:KIS523142 JYW523137:JYW523142 JPA523137:JPA523142 JFE523137:JFE523142 IVI523137:IVI523142 ILM523137:ILM523142 IBQ523137:IBQ523142 HRU523137:HRU523142 HHY523137:HHY523142 GYC523137:GYC523142 GOG523137:GOG523142 GEK523137:GEK523142 FUO523137:FUO523142 FKS523137:FKS523142 FAW523137:FAW523142 ERA523137:ERA523142 EHE523137:EHE523142 DXI523137:DXI523142 DNM523137:DNM523142 DDQ523137:DDQ523142 CTU523137:CTU523142 CJY523137:CJY523142 CAC523137:CAC523142 BQG523137:BQG523142 BGK523137:BGK523142 AWO523137:AWO523142 AMS523137:AMS523142 ACW523137:ACW523142 TA523137:TA523142 JE523137:JE523142 I523158:I523163 WVQ457601:WVQ457606 WLU457601:WLU457606 WBY457601:WBY457606 VSC457601:VSC457606 VIG457601:VIG457606 UYK457601:UYK457606 UOO457601:UOO457606 UES457601:UES457606 TUW457601:TUW457606 TLA457601:TLA457606 TBE457601:TBE457606 SRI457601:SRI457606 SHM457601:SHM457606 RXQ457601:RXQ457606 RNU457601:RNU457606 RDY457601:RDY457606 QUC457601:QUC457606 QKG457601:QKG457606 QAK457601:QAK457606 PQO457601:PQO457606 PGS457601:PGS457606 OWW457601:OWW457606 ONA457601:ONA457606 ODE457601:ODE457606 NTI457601:NTI457606 NJM457601:NJM457606 MZQ457601:MZQ457606 MPU457601:MPU457606 MFY457601:MFY457606 LWC457601:LWC457606 LMG457601:LMG457606 LCK457601:LCK457606 KSO457601:KSO457606 KIS457601:KIS457606 JYW457601:JYW457606 JPA457601:JPA457606 JFE457601:JFE457606 IVI457601:IVI457606 ILM457601:ILM457606 IBQ457601:IBQ457606 HRU457601:HRU457606 HHY457601:HHY457606 GYC457601:GYC457606 GOG457601:GOG457606 GEK457601:GEK457606 FUO457601:FUO457606 FKS457601:FKS457606 FAW457601:FAW457606 ERA457601:ERA457606 EHE457601:EHE457606 DXI457601:DXI457606 DNM457601:DNM457606 DDQ457601:DDQ457606 CTU457601:CTU457606 CJY457601:CJY457606 CAC457601:CAC457606 BQG457601:BQG457606 BGK457601:BGK457606 AWO457601:AWO457606 AMS457601:AMS457606 ACW457601:ACW457606 TA457601:TA457606 JE457601:JE457606 I457622:I457627 WVQ392065:WVQ392070 WLU392065:WLU392070 WBY392065:WBY392070 VSC392065:VSC392070 VIG392065:VIG392070 UYK392065:UYK392070 UOO392065:UOO392070 UES392065:UES392070 TUW392065:TUW392070 TLA392065:TLA392070 TBE392065:TBE392070 SRI392065:SRI392070 SHM392065:SHM392070 RXQ392065:RXQ392070 RNU392065:RNU392070 RDY392065:RDY392070 QUC392065:QUC392070 QKG392065:QKG392070 QAK392065:QAK392070 PQO392065:PQO392070 PGS392065:PGS392070 OWW392065:OWW392070 ONA392065:ONA392070 ODE392065:ODE392070 NTI392065:NTI392070 NJM392065:NJM392070 MZQ392065:MZQ392070 MPU392065:MPU392070 MFY392065:MFY392070 LWC392065:LWC392070 LMG392065:LMG392070 LCK392065:LCK392070 KSO392065:KSO392070 KIS392065:KIS392070 JYW392065:JYW392070 JPA392065:JPA392070 JFE392065:JFE392070 IVI392065:IVI392070 ILM392065:ILM392070 IBQ392065:IBQ392070 HRU392065:HRU392070 HHY392065:HHY392070 GYC392065:GYC392070 GOG392065:GOG392070 GEK392065:GEK392070 FUO392065:FUO392070 FKS392065:FKS392070 FAW392065:FAW392070 ERA392065:ERA392070 EHE392065:EHE392070 DXI392065:DXI392070 DNM392065:DNM392070 DDQ392065:DDQ392070 CTU392065:CTU392070 CJY392065:CJY392070 CAC392065:CAC392070 BQG392065:BQG392070 BGK392065:BGK392070 AWO392065:AWO392070 AMS392065:AMS392070 ACW392065:ACW392070 TA392065:TA392070 JE392065:JE392070 I392086:I392091 WVQ326529:WVQ326534 WLU326529:WLU326534 WBY326529:WBY326534 VSC326529:VSC326534 VIG326529:VIG326534 UYK326529:UYK326534 UOO326529:UOO326534 UES326529:UES326534 TUW326529:TUW326534 TLA326529:TLA326534 TBE326529:TBE326534 SRI326529:SRI326534 SHM326529:SHM326534 RXQ326529:RXQ326534 RNU326529:RNU326534 RDY326529:RDY326534 QUC326529:QUC326534 QKG326529:QKG326534 QAK326529:QAK326534 PQO326529:PQO326534 PGS326529:PGS326534 OWW326529:OWW326534 ONA326529:ONA326534 ODE326529:ODE326534 NTI326529:NTI326534 NJM326529:NJM326534 MZQ326529:MZQ326534 MPU326529:MPU326534 MFY326529:MFY326534 LWC326529:LWC326534 LMG326529:LMG326534 LCK326529:LCK326534 KSO326529:KSO326534 KIS326529:KIS326534 JYW326529:JYW326534 JPA326529:JPA326534 JFE326529:JFE326534 IVI326529:IVI326534 ILM326529:ILM326534 IBQ326529:IBQ326534 HRU326529:HRU326534 HHY326529:HHY326534 GYC326529:GYC326534 GOG326529:GOG326534 GEK326529:GEK326534 FUO326529:FUO326534 FKS326529:FKS326534 FAW326529:FAW326534 ERA326529:ERA326534 EHE326529:EHE326534 DXI326529:DXI326534 DNM326529:DNM326534 DDQ326529:DDQ326534 CTU326529:CTU326534 CJY326529:CJY326534 CAC326529:CAC326534 BQG326529:BQG326534 BGK326529:BGK326534 AWO326529:AWO326534 AMS326529:AMS326534 ACW326529:ACW326534 TA326529:TA326534 JE326529:JE326534 I326550:I326555 WVQ260993:WVQ260998 WLU260993:WLU260998 WBY260993:WBY260998 VSC260993:VSC260998 VIG260993:VIG260998 UYK260993:UYK260998 UOO260993:UOO260998 UES260993:UES260998 TUW260993:TUW260998 TLA260993:TLA260998 TBE260993:TBE260998 SRI260993:SRI260998 SHM260993:SHM260998 RXQ260993:RXQ260998 RNU260993:RNU260998 RDY260993:RDY260998 QUC260993:QUC260998 QKG260993:QKG260998 QAK260993:QAK260998 PQO260993:PQO260998 PGS260993:PGS260998 OWW260993:OWW260998 ONA260993:ONA260998 ODE260993:ODE260998 NTI260993:NTI260998 NJM260993:NJM260998 MZQ260993:MZQ260998 MPU260993:MPU260998 MFY260993:MFY260998 LWC260993:LWC260998 LMG260993:LMG260998 LCK260993:LCK260998 KSO260993:KSO260998 KIS260993:KIS260998 JYW260993:JYW260998 JPA260993:JPA260998 JFE260993:JFE260998 IVI260993:IVI260998 ILM260993:ILM260998 IBQ260993:IBQ260998 HRU260993:HRU260998 HHY260993:HHY260998 GYC260993:GYC260998 GOG260993:GOG260998 GEK260993:GEK260998 FUO260993:FUO260998 FKS260993:FKS260998 FAW260993:FAW260998 ERA260993:ERA260998 EHE260993:EHE260998 DXI260993:DXI260998 DNM260993:DNM260998 DDQ260993:DDQ260998 CTU260993:CTU260998 CJY260993:CJY260998 CAC260993:CAC260998 BQG260993:BQG260998 BGK260993:BGK260998 AWO260993:AWO260998 AMS260993:AMS260998 ACW260993:ACW260998 TA260993:TA260998 JE260993:JE260998 I261014:I261019 WVQ195457:WVQ195462 WLU195457:WLU195462 WBY195457:WBY195462 VSC195457:VSC195462 VIG195457:VIG195462 UYK195457:UYK195462 UOO195457:UOO195462 UES195457:UES195462 TUW195457:TUW195462 TLA195457:TLA195462 TBE195457:TBE195462 SRI195457:SRI195462 SHM195457:SHM195462 RXQ195457:RXQ195462 RNU195457:RNU195462 RDY195457:RDY195462 QUC195457:QUC195462 QKG195457:QKG195462 QAK195457:QAK195462 PQO195457:PQO195462 PGS195457:PGS195462 OWW195457:OWW195462 ONA195457:ONA195462 ODE195457:ODE195462 NTI195457:NTI195462 NJM195457:NJM195462 MZQ195457:MZQ195462 MPU195457:MPU195462 MFY195457:MFY195462 LWC195457:LWC195462 LMG195457:LMG195462 LCK195457:LCK195462 KSO195457:KSO195462 KIS195457:KIS195462 JYW195457:JYW195462 JPA195457:JPA195462 JFE195457:JFE195462 IVI195457:IVI195462 ILM195457:ILM195462 IBQ195457:IBQ195462 HRU195457:HRU195462 HHY195457:HHY195462 GYC195457:GYC195462 GOG195457:GOG195462 GEK195457:GEK195462 FUO195457:FUO195462 FKS195457:FKS195462 FAW195457:FAW195462 ERA195457:ERA195462 EHE195457:EHE195462 DXI195457:DXI195462 DNM195457:DNM195462 DDQ195457:DDQ195462 CTU195457:CTU195462 CJY195457:CJY195462 CAC195457:CAC195462 BQG195457:BQG195462 BGK195457:BGK195462 AWO195457:AWO195462 AMS195457:AMS195462 ACW195457:ACW195462 TA195457:TA195462 JE195457:JE195462 I195478:I195483 WVQ129921:WVQ129926 WLU129921:WLU129926 WBY129921:WBY129926 VSC129921:VSC129926 VIG129921:VIG129926 UYK129921:UYK129926 UOO129921:UOO129926 UES129921:UES129926 TUW129921:TUW129926 TLA129921:TLA129926 TBE129921:TBE129926 SRI129921:SRI129926 SHM129921:SHM129926 RXQ129921:RXQ129926 RNU129921:RNU129926 RDY129921:RDY129926 QUC129921:QUC129926 QKG129921:QKG129926 QAK129921:QAK129926 PQO129921:PQO129926 PGS129921:PGS129926 OWW129921:OWW129926 ONA129921:ONA129926 ODE129921:ODE129926 NTI129921:NTI129926 NJM129921:NJM129926 MZQ129921:MZQ129926 MPU129921:MPU129926 MFY129921:MFY129926 LWC129921:LWC129926 LMG129921:LMG129926 LCK129921:LCK129926 KSO129921:KSO129926 KIS129921:KIS129926 JYW129921:JYW129926 JPA129921:JPA129926 JFE129921:JFE129926 IVI129921:IVI129926 ILM129921:ILM129926 IBQ129921:IBQ129926 HRU129921:HRU129926 HHY129921:HHY129926 GYC129921:GYC129926 GOG129921:GOG129926 GEK129921:GEK129926 FUO129921:FUO129926 FKS129921:FKS129926 FAW129921:FAW129926 ERA129921:ERA129926 EHE129921:EHE129926 DXI129921:DXI129926 DNM129921:DNM129926 DDQ129921:DDQ129926 CTU129921:CTU129926 CJY129921:CJY129926 CAC129921:CAC129926 BQG129921:BQG129926 BGK129921:BGK129926 AWO129921:AWO129926 AMS129921:AMS129926 ACW129921:ACW129926 TA129921:TA129926 JE129921:JE129926 I129942:I129947 WVQ64385:WVQ64390 WLU64385:WLU64390 WBY64385:WBY64390 VSC64385:VSC64390 VIG64385:VIG64390 UYK64385:UYK64390 UOO64385:UOO64390 UES64385:UES64390 TUW64385:TUW64390 TLA64385:TLA64390 TBE64385:TBE64390 SRI64385:SRI64390 SHM64385:SHM64390 RXQ64385:RXQ64390 RNU64385:RNU64390 RDY64385:RDY64390 QUC64385:QUC64390 QKG64385:QKG64390 QAK64385:QAK64390 PQO64385:PQO64390 PGS64385:PGS64390 OWW64385:OWW64390 ONA64385:ONA64390 ODE64385:ODE64390 NTI64385:NTI64390 NJM64385:NJM64390 MZQ64385:MZQ64390 MPU64385:MPU64390 MFY64385:MFY64390 LWC64385:LWC64390 LMG64385:LMG64390 LCK64385:LCK64390 KSO64385:KSO64390 KIS64385:KIS64390 JYW64385:JYW64390 JPA64385:JPA64390 JFE64385:JFE64390 IVI64385:IVI64390 ILM64385:ILM64390 IBQ64385:IBQ64390 HRU64385:HRU64390 HHY64385:HHY64390 GYC64385:GYC64390 GOG64385:GOG64390 GEK64385:GEK64390 FUO64385:FUO64390 FKS64385:FKS64390 FAW64385:FAW64390 ERA64385:ERA64390 EHE64385:EHE64390 DXI64385:DXI64390 DNM64385:DNM64390 DDQ64385:DDQ64390 CTU64385:CTU64390 CJY64385:CJY64390 CAC64385:CAC64390 BQG64385:BQG64390 BGK64385:BGK64390 AWO64385:AWO64390 AMS64385:AMS64390 ACW64385:ACW64390 TA64385:TA64390 JE64385:JE64390" xr:uid="{63775B09-ABDD-4D83-8918-7EB44536194B}">
      <formula1>$AN$8:$AN$9</formula1>
    </dataValidation>
    <dataValidation type="list" allowBlank="1" showInputMessage="1" showErrorMessage="1" sqref="WVS981805:WVS981894 WLW981805:WLW981894 WCA981805:WCA981894 VSE981805:VSE981894 VII981805:VII981894 UYM981805:UYM981894 UOQ981805:UOQ981894 UEU981805:UEU981894 TUY981805:TUY981894 TLC981805:TLC981894 TBG981805:TBG981894 SRK981805:SRK981894 SHO981805:SHO981894 RXS981805:RXS981894 RNW981805:RNW981894 REA981805:REA981894 QUE981805:QUE981894 QKI981805:QKI981894 QAM981805:QAM981894 PQQ981805:PQQ981894 PGU981805:PGU981894 OWY981805:OWY981894 ONC981805:ONC981894 ODG981805:ODG981894 NTK981805:NTK981894 NJO981805:NJO981894 MZS981805:MZS981894 MPW981805:MPW981894 MGA981805:MGA981894 LWE981805:LWE981894 LMI981805:LMI981894 LCM981805:LCM981894 KSQ981805:KSQ981894 KIU981805:KIU981894 JYY981805:JYY981894 JPC981805:JPC981894 JFG981805:JFG981894 IVK981805:IVK981894 ILO981805:ILO981894 IBS981805:IBS981894 HRW981805:HRW981894 HIA981805:HIA981894 GYE981805:GYE981894 GOI981805:GOI981894 GEM981805:GEM981894 FUQ981805:FUQ981894 FKU981805:FKU981894 FAY981805:FAY981894 ERC981805:ERC981894 EHG981805:EHG981894 DXK981805:DXK981894 DNO981805:DNO981894 DDS981805:DDS981894 CTW981805:CTW981894 CKA981805:CKA981894 CAE981805:CAE981894 BQI981805:BQI981894 BGM981805:BGM981894 AWQ981805:AWQ981894 AMU981805:AMU981894 ACY981805:ACY981894 TC981805:TC981894 JG981805:JG981894 K981814:K981903 WVS916269:WVS916358 WLW916269:WLW916358 WCA916269:WCA916358 VSE916269:VSE916358 VII916269:VII916358 UYM916269:UYM916358 UOQ916269:UOQ916358 UEU916269:UEU916358 TUY916269:TUY916358 TLC916269:TLC916358 TBG916269:TBG916358 SRK916269:SRK916358 SHO916269:SHO916358 RXS916269:RXS916358 RNW916269:RNW916358 REA916269:REA916358 QUE916269:QUE916358 QKI916269:QKI916358 QAM916269:QAM916358 PQQ916269:PQQ916358 PGU916269:PGU916358 OWY916269:OWY916358 ONC916269:ONC916358 ODG916269:ODG916358 NTK916269:NTK916358 NJO916269:NJO916358 MZS916269:MZS916358 MPW916269:MPW916358 MGA916269:MGA916358 LWE916269:LWE916358 LMI916269:LMI916358 LCM916269:LCM916358 KSQ916269:KSQ916358 KIU916269:KIU916358 JYY916269:JYY916358 JPC916269:JPC916358 JFG916269:JFG916358 IVK916269:IVK916358 ILO916269:ILO916358 IBS916269:IBS916358 HRW916269:HRW916358 HIA916269:HIA916358 GYE916269:GYE916358 GOI916269:GOI916358 GEM916269:GEM916358 FUQ916269:FUQ916358 FKU916269:FKU916358 FAY916269:FAY916358 ERC916269:ERC916358 EHG916269:EHG916358 DXK916269:DXK916358 DNO916269:DNO916358 DDS916269:DDS916358 CTW916269:CTW916358 CKA916269:CKA916358 CAE916269:CAE916358 BQI916269:BQI916358 BGM916269:BGM916358 AWQ916269:AWQ916358 AMU916269:AMU916358 ACY916269:ACY916358 TC916269:TC916358 JG916269:JG916358 K916278:K916367 WVS850733:WVS850822 WLW850733:WLW850822 WCA850733:WCA850822 VSE850733:VSE850822 VII850733:VII850822 UYM850733:UYM850822 UOQ850733:UOQ850822 UEU850733:UEU850822 TUY850733:TUY850822 TLC850733:TLC850822 TBG850733:TBG850822 SRK850733:SRK850822 SHO850733:SHO850822 RXS850733:RXS850822 RNW850733:RNW850822 REA850733:REA850822 QUE850733:QUE850822 QKI850733:QKI850822 QAM850733:QAM850822 PQQ850733:PQQ850822 PGU850733:PGU850822 OWY850733:OWY850822 ONC850733:ONC850822 ODG850733:ODG850822 NTK850733:NTK850822 NJO850733:NJO850822 MZS850733:MZS850822 MPW850733:MPW850822 MGA850733:MGA850822 LWE850733:LWE850822 LMI850733:LMI850822 LCM850733:LCM850822 KSQ850733:KSQ850822 KIU850733:KIU850822 JYY850733:JYY850822 JPC850733:JPC850822 JFG850733:JFG850822 IVK850733:IVK850822 ILO850733:ILO850822 IBS850733:IBS850822 HRW850733:HRW850822 HIA850733:HIA850822 GYE850733:GYE850822 GOI850733:GOI850822 GEM850733:GEM850822 FUQ850733:FUQ850822 FKU850733:FKU850822 FAY850733:FAY850822 ERC850733:ERC850822 EHG850733:EHG850822 DXK850733:DXK850822 DNO850733:DNO850822 DDS850733:DDS850822 CTW850733:CTW850822 CKA850733:CKA850822 CAE850733:CAE850822 BQI850733:BQI850822 BGM850733:BGM850822 AWQ850733:AWQ850822 AMU850733:AMU850822 ACY850733:ACY850822 TC850733:TC850822 JG850733:JG850822 K850742:K850831 WVS785197:WVS785286 WLW785197:WLW785286 WCA785197:WCA785286 VSE785197:VSE785286 VII785197:VII785286 UYM785197:UYM785286 UOQ785197:UOQ785286 UEU785197:UEU785286 TUY785197:TUY785286 TLC785197:TLC785286 TBG785197:TBG785286 SRK785197:SRK785286 SHO785197:SHO785286 RXS785197:RXS785286 RNW785197:RNW785286 REA785197:REA785286 QUE785197:QUE785286 QKI785197:QKI785286 QAM785197:QAM785286 PQQ785197:PQQ785286 PGU785197:PGU785286 OWY785197:OWY785286 ONC785197:ONC785286 ODG785197:ODG785286 NTK785197:NTK785286 NJO785197:NJO785286 MZS785197:MZS785286 MPW785197:MPW785286 MGA785197:MGA785286 LWE785197:LWE785286 LMI785197:LMI785286 LCM785197:LCM785286 KSQ785197:KSQ785286 KIU785197:KIU785286 JYY785197:JYY785286 JPC785197:JPC785286 JFG785197:JFG785286 IVK785197:IVK785286 ILO785197:ILO785286 IBS785197:IBS785286 HRW785197:HRW785286 HIA785197:HIA785286 GYE785197:GYE785286 GOI785197:GOI785286 GEM785197:GEM785286 FUQ785197:FUQ785286 FKU785197:FKU785286 FAY785197:FAY785286 ERC785197:ERC785286 EHG785197:EHG785286 DXK785197:DXK785286 DNO785197:DNO785286 DDS785197:DDS785286 CTW785197:CTW785286 CKA785197:CKA785286 CAE785197:CAE785286 BQI785197:BQI785286 BGM785197:BGM785286 AWQ785197:AWQ785286 AMU785197:AMU785286 ACY785197:ACY785286 TC785197:TC785286 JG785197:JG785286 K785206:K785295 WVS719661:WVS719750 WLW719661:WLW719750 WCA719661:WCA719750 VSE719661:VSE719750 VII719661:VII719750 UYM719661:UYM719750 UOQ719661:UOQ719750 UEU719661:UEU719750 TUY719661:TUY719750 TLC719661:TLC719750 TBG719661:TBG719750 SRK719661:SRK719750 SHO719661:SHO719750 RXS719661:RXS719750 RNW719661:RNW719750 REA719661:REA719750 QUE719661:QUE719750 QKI719661:QKI719750 QAM719661:QAM719750 PQQ719661:PQQ719750 PGU719661:PGU719750 OWY719661:OWY719750 ONC719661:ONC719750 ODG719661:ODG719750 NTK719661:NTK719750 NJO719661:NJO719750 MZS719661:MZS719750 MPW719661:MPW719750 MGA719661:MGA719750 LWE719661:LWE719750 LMI719661:LMI719750 LCM719661:LCM719750 KSQ719661:KSQ719750 KIU719661:KIU719750 JYY719661:JYY719750 JPC719661:JPC719750 JFG719661:JFG719750 IVK719661:IVK719750 ILO719661:ILO719750 IBS719661:IBS719750 HRW719661:HRW719750 HIA719661:HIA719750 GYE719661:GYE719750 GOI719661:GOI719750 GEM719661:GEM719750 FUQ719661:FUQ719750 FKU719661:FKU719750 FAY719661:FAY719750 ERC719661:ERC719750 EHG719661:EHG719750 DXK719661:DXK719750 DNO719661:DNO719750 DDS719661:DDS719750 CTW719661:CTW719750 CKA719661:CKA719750 CAE719661:CAE719750 BQI719661:BQI719750 BGM719661:BGM719750 AWQ719661:AWQ719750 AMU719661:AMU719750 ACY719661:ACY719750 TC719661:TC719750 JG719661:JG719750 K719670:K719759 WVS654125:WVS654214 WLW654125:WLW654214 WCA654125:WCA654214 VSE654125:VSE654214 VII654125:VII654214 UYM654125:UYM654214 UOQ654125:UOQ654214 UEU654125:UEU654214 TUY654125:TUY654214 TLC654125:TLC654214 TBG654125:TBG654214 SRK654125:SRK654214 SHO654125:SHO654214 RXS654125:RXS654214 RNW654125:RNW654214 REA654125:REA654214 QUE654125:QUE654214 QKI654125:QKI654214 QAM654125:QAM654214 PQQ654125:PQQ654214 PGU654125:PGU654214 OWY654125:OWY654214 ONC654125:ONC654214 ODG654125:ODG654214 NTK654125:NTK654214 NJO654125:NJO654214 MZS654125:MZS654214 MPW654125:MPW654214 MGA654125:MGA654214 LWE654125:LWE654214 LMI654125:LMI654214 LCM654125:LCM654214 KSQ654125:KSQ654214 KIU654125:KIU654214 JYY654125:JYY654214 JPC654125:JPC654214 JFG654125:JFG654214 IVK654125:IVK654214 ILO654125:ILO654214 IBS654125:IBS654214 HRW654125:HRW654214 HIA654125:HIA654214 GYE654125:GYE654214 GOI654125:GOI654214 GEM654125:GEM654214 FUQ654125:FUQ654214 FKU654125:FKU654214 FAY654125:FAY654214 ERC654125:ERC654214 EHG654125:EHG654214 DXK654125:DXK654214 DNO654125:DNO654214 DDS654125:DDS654214 CTW654125:CTW654214 CKA654125:CKA654214 CAE654125:CAE654214 BQI654125:BQI654214 BGM654125:BGM654214 AWQ654125:AWQ654214 AMU654125:AMU654214 ACY654125:ACY654214 TC654125:TC654214 JG654125:JG654214 K654134:K654223 WVS588589:WVS588678 WLW588589:WLW588678 WCA588589:WCA588678 VSE588589:VSE588678 VII588589:VII588678 UYM588589:UYM588678 UOQ588589:UOQ588678 UEU588589:UEU588678 TUY588589:TUY588678 TLC588589:TLC588678 TBG588589:TBG588678 SRK588589:SRK588678 SHO588589:SHO588678 RXS588589:RXS588678 RNW588589:RNW588678 REA588589:REA588678 QUE588589:QUE588678 QKI588589:QKI588678 QAM588589:QAM588678 PQQ588589:PQQ588678 PGU588589:PGU588678 OWY588589:OWY588678 ONC588589:ONC588678 ODG588589:ODG588678 NTK588589:NTK588678 NJO588589:NJO588678 MZS588589:MZS588678 MPW588589:MPW588678 MGA588589:MGA588678 LWE588589:LWE588678 LMI588589:LMI588678 LCM588589:LCM588678 KSQ588589:KSQ588678 KIU588589:KIU588678 JYY588589:JYY588678 JPC588589:JPC588678 JFG588589:JFG588678 IVK588589:IVK588678 ILO588589:ILO588678 IBS588589:IBS588678 HRW588589:HRW588678 HIA588589:HIA588678 GYE588589:GYE588678 GOI588589:GOI588678 GEM588589:GEM588678 FUQ588589:FUQ588678 FKU588589:FKU588678 FAY588589:FAY588678 ERC588589:ERC588678 EHG588589:EHG588678 DXK588589:DXK588678 DNO588589:DNO588678 DDS588589:DDS588678 CTW588589:CTW588678 CKA588589:CKA588678 CAE588589:CAE588678 BQI588589:BQI588678 BGM588589:BGM588678 AWQ588589:AWQ588678 AMU588589:AMU588678 ACY588589:ACY588678 TC588589:TC588678 JG588589:JG588678 K588598:K588687 WVS523053:WVS523142 WLW523053:WLW523142 WCA523053:WCA523142 VSE523053:VSE523142 VII523053:VII523142 UYM523053:UYM523142 UOQ523053:UOQ523142 UEU523053:UEU523142 TUY523053:TUY523142 TLC523053:TLC523142 TBG523053:TBG523142 SRK523053:SRK523142 SHO523053:SHO523142 RXS523053:RXS523142 RNW523053:RNW523142 REA523053:REA523142 QUE523053:QUE523142 QKI523053:QKI523142 QAM523053:QAM523142 PQQ523053:PQQ523142 PGU523053:PGU523142 OWY523053:OWY523142 ONC523053:ONC523142 ODG523053:ODG523142 NTK523053:NTK523142 NJO523053:NJO523142 MZS523053:MZS523142 MPW523053:MPW523142 MGA523053:MGA523142 LWE523053:LWE523142 LMI523053:LMI523142 LCM523053:LCM523142 KSQ523053:KSQ523142 KIU523053:KIU523142 JYY523053:JYY523142 JPC523053:JPC523142 JFG523053:JFG523142 IVK523053:IVK523142 ILO523053:ILO523142 IBS523053:IBS523142 HRW523053:HRW523142 HIA523053:HIA523142 GYE523053:GYE523142 GOI523053:GOI523142 GEM523053:GEM523142 FUQ523053:FUQ523142 FKU523053:FKU523142 FAY523053:FAY523142 ERC523053:ERC523142 EHG523053:EHG523142 DXK523053:DXK523142 DNO523053:DNO523142 DDS523053:DDS523142 CTW523053:CTW523142 CKA523053:CKA523142 CAE523053:CAE523142 BQI523053:BQI523142 BGM523053:BGM523142 AWQ523053:AWQ523142 AMU523053:AMU523142 ACY523053:ACY523142 TC523053:TC523142 JG523053:JG523142 K523062:K523151 WVS457517:WVS457606 WLW457517:WLW457606 WCA457517:WCA457606 VSE457517:VSE457606 VII457517:VII457606 UYM457517:UYM457606 UOQ457517:UOQ457606 UEU457517:UEU457606 TUY457517:TUY457606 TLC457517:TLC457606 TBG457517:TBG457606 SRK457517:SRK457606 SHO457517:SHO457606 RXS457517:RXS457606 RNW457517:RNW457606 REA457517:REA457606 QUE457517:QUE457606 QKI457517:QKI457606 QAM457517:QAM457606 PQQ457517:PQQ457606 PGU457517:PGU457606 OWY457517:OWY457606 ONC457517:ONC457606 ODG457517:ODG457606 NTK457517:NTK457606 NJO457517:NJO457606 MZS457517:MZS457606 MPW457517:MPW457606 MGA457517:MGA457606 LWE457517:LWE457606 LMI457517:LMI457606 LCM457517:LCM457606 KSQ457517:KSQ457606 KIU457517:KIU457606 JYY457517:JYY457606 JPC457517:JPC457606 JFG457517:JFG457606 IVK457517:IVK457606 ILO457517:ILO457606 IBS457517:IBS457606 HRW457517:HRW457606 HIA457517:HIA457606 GYE457517:GYE457606 GOI457517:GOI457606 GEM457517:GEM457606 FUQ457517:FUQ457606 FKU457517:FKU457606 FAY457517:FAY457606 ERC457517:ERC457606 EHG457517:EHG457606 DXK457517:DXK457606 DNO457517:DNO457606 DDS457517:DDS457606 CTW457517:CTW457606 CKA457517:CKA457606 CAE457517:CAE457606 BQI457517:BQI457606 BGM457517:BGM457606 AWQ457517:AWQ457606 AMU457517:AMU457606 ACY457517:ACY457606 TC457517:TC457606 JG457517:JG457606 K457526:K457615 WVS391981:WVS392070 WLW391981:WLW392070 WCA391981:WCA392070 VSE391981:VSE392070 VII391981:VII392070 UYM391981:UYM392070 UOQ391981:UOQ392070 UEU391981:UEU392070 TUY391981:TUY392070 TLC391981:TLC392070 TBG391981:TBG392070 SRK391981:SRK392070 SHO391981:SHO392070 RXS391981:RXS392070 RNW391981:RNW392070 REA391981:REA392070 QUE391981:QUE392070 QKI391981:QKI392070 QAM391981:QAM392070 PQQ391981:PQQ392070 PGU391981:PGU392070 OWY391981:OWY392070 ONC391981:ONC392070 ODG391981:ODG392070 NTK391981:NTK392070 NJO391981:NJO392070 MZS391981:MZS392070 MPW391981:MPW392070 MGA391981:MGA392070 LWE391981:LWE392070 LMI391981:LMI392070 LCM391981:LCM392070 KSQ391981:KSQ392070 KIU391981:KIU392070 JYY391981:JYY392070 JPC391981:JPC392070 JFG391981:JFG392070 IVK391981:IVK392070 ILO391981:ILO392070 IBS391981:IBS392070 HRW391981:HRW392070 HIA391981:HIA392070 GYE391981:GYE392070 GOI391981:GOI392070 GEM391981:GEM392070 FUQ391981:FUQ392070 FKU391981:FKU392070 FAY391981:FAY392070 ERC391981:ERC392070 EHG391981:EHG392070 DXK391981:DXK392070 DNO391981:DNO392070 DDS391981:DDS392070 CTW391981:CTW392070 CKA391981:CKA392070 CAE391981:CAE392070 BQI391981:BQI392070 BGM391981:BGM392070 AWQ391981:AWQ392070 AMU391981:AMU392070 ACY391981:ACY392070 TC391981:TC392070 JG391981:JG392070 K391990:K392079 WVS326445:WVS326534 WLW326445:WLW326534 WCA326445:WCA326534 VSE326445:VSE326534 VII326445:VII326534 UYM326445:UYM326534 UOQ326445:UOQ326534 UEU326445:UEU326534 TUY326445:TUY326534 TLC326445:TLC326534 TBG326445:TBG326534 SRK326445:SRK326534 SHO326445:SHO326534 RXS326445:RXS326534 RNW326445:RNW326534 REA326445:REA326534 QUE326445:QUE326534 QKI326445:QKI326534 QAM326445:QAM326534 PQQ326445:PQQ326534 PGU326445:PGU326534 OWY326445:OWY326534 ONC326445:ONC326534 ODG326445:ODG326534 NTK326445:NTK326534 NJO326445:NJO326534 MZS326445:MZS326534 MPW326445:MPW326534 MGA326445:MGA326534 LWE326445:LWE326534 LMI326445:LMI326534 LCM326445:LCM326534 KSQ326445:KSQ326534 KIU326445:KIU326534 JYY326445:JYY326534 JPC326445:JPC326534 JFG326445:JFG326534 IVK326445:IVK326534 ILO326445:ILO326534 IBS326445:IBS326534 HRW326445:HRW326534 HIA326445:HIA326534 GYE326445:GYE326534 GOI326445:GOI326534 GEM326445:GEM326534 FUQ326445:FUQ326534 FKU326445:FKU326534 FAY326445:FAY326534 ERC326445:ERC326534 EHG326445:EHG326534 DXK326445:DXK326534 DNO326445:DNO326534 DDS326445:DDS326534 CTW326445:CTW326534 CKA326445:CKA326534 CAE326445:CAE326534 BQI326445:BQI326534 BGM326445:BGM326534 AWQ326445:AWQ326534 AMU326445:AMU326534 ACY326445:ACY326534 TC326445:TC326534 JG326445:JG326534 K326454:K326543 WVS260909:WVS260998 WLW260909:WLW260998 WCA260909:WCA260998 VSE260909:VSE260998 VII260909:VII260998 UYM260909:UYM260998 UOQ260909:UOQ260998 UEU260909:UEU260998 TUY260909:TUY260998 TLC260909:TLC260998 TBG260909:TBG260998 SRK260909:SRK260998 SHO260909:SHO260998 RXS260909:RXS260998 RNW260909:RNW260998 REA260909:REA260998 QUE260909:QUE260998 QKI260909:QKI260998 QAM260909:QAM260998 PQQ260909:PQQ260998 PGU260909:PGU260998 OWY260909:OWY260998 ONC260909:ONC260998 ODG260909:ODG260998 NTK260909:NTK260998 NJO260909:NJO260998 MZS260909:MZS260998 MPW260909:MPW260998 MGA260909:MGA260998 LWE260909:LWE260998 LMI260909:LMI260998 LCM260909:LCM260998 KSQ260909:KSQ260998 KIU260909:KIU260998 JYY260909:JYY260998 JPC260909:JPC260998 JFG260909:JFG260998 IVK260909:IVK260998 ILO260909:ILO260998 IBS260909:IBS260998 HRW260909:HRW260998 HIA260909:HIA260998 GYE260909:GYE260998 GOI260909:GOI260998 GEM260909:GEM260998 FUQ260909:FUQ260998 FKU260909:FKU260998 FAY260909:FAY260998 ERC260909:ERC260998 EHG260909:EHG260998 DXK260909:DXK260998 DNO260909:DNO260998 DDS260909:DDS260998 CTW260909:CTW260998 CKA260909:CKA260998 CAE260909:CAE260998 BQI260909:BQI260998 BGM260909:BGM260998 AWQ260909:AWQ260998 AMU260909:AMU260998 ACY260909:ACY260998 TC260909:TC260998 JG260909:JG260998 K260918:K261007 WVS195373:WVS195462 WLW195373:WLW195462 WCA195373:WCA195462 VSE195373:VSE195462 VII195373:VII195462 UYM195373:UYM195462 UOQ195373:UOQ195462 UEU195373:UEU195462 TUY195373:TUY195462 TLC195373:TLC195462 TBG195373:TBG195462 SRK195373:SRK195462 SHO195373:SHO195462 RXS195373:RXS195462 RNW195373:RNW195462 REA195373:REA195462 QUE195373:QUE195462 QKI195373:QKI195462 QAM195373:QAM195462 PQQ195373:PQQ195462 PGU195373:PGU195462 OWY195373:OWY195462 ONC195373:ONC195462 ODG195373:ODG195462 NTK195373:NTK195462 NJO195373:NJO195462 MZS195373:MZS195462 MPW195373:MPW195462 MGA195373:MGA195462 LWE195373:LWE195462 LMI195373:LMI195462 LCM195373:LCM195462 KSQ195373:KSQ195462 KIU195373:KIU195462 JYY195373:JYY195462 JPC195373:JPC195462 JFG195373:JFG195462 IVK195373:IVK195462 ILO195373:ILO195462 IBS195373:IBS195462 HRW195373:HRW195462 HIA195373:HIA195462 GYE195373:GYE195462 GOI195373:GOI195462 GEM195373:GEM195462 FUQ195373:FUQ195462 FKU195373:FKU195462 FAY195373:FAY195462 ERC195373:ERC195462 EHG195373:EHG195462 DXK195373:DXK195462 DNO195373:DNO195462 DDS195373:DDS195462 CTW195373:CTW195462 CKA195373:CKA195462 CAE195373:CAE195462 BQI195373:BQI195462 BGM195373:BGM195462 AWQ195373:AWQ195462 AMU195373:AMU195462 ACY195373:ACY195462 TC195373:TC195462 JG195373:JG195462 K195382:K195471 WVS129837:WVS129926 WLW129837:WLW129926 WCA129837:WCA129926 VSE129837:VSE129926 VII129837:VII129926 UYM129837:UYM129926 UOQ129837:UOQ129926 UEU129837:UEU129926 TUY129837:TUY129926 TLC129837:TLC129926 TBG129837:TBG129926 SRK129837:SRK129926 SHO129837:SHO129926 RXS129837:RXS129926 RNW129837:RNW129926 REA129837:REA129926 QUE129837:QUE129926 QKI129837:QKI129926 QAM129837:QAM129926 PQQ129837:PQQ129926 PGU129837:PGU129926 OWY129837:OWY129926 ONC129837:ONC129926 ODG129837:ODG129926 NTK129837:NTK129926 NJO129837:NJO129926 MZS129837:MZS129926 MPW129837:MPW129926 MGA129837:MGA129926 LWE129837:LWE129926 LMI129837:LMI129926 LCM129837:LCM129926 KSQ129837:KSQ129926 KIU129837:KIU129926 JYY129837:JYY129926 JPC129837:JPC129926 JFG129837:JFG129926 IVK129837:IVK129926 ILO129837:ILO129926 IBS129837:IBS129926 HRW129837:HRW129926 HIA129837:HIA129926 GYE129837:GYE129926 GOI129837:GOI129926 GEM129837:GEM129926 FUQ129837:FUQ129926 FKU129837:FKU129926 FAY129837:FAY129926 ERC129837:ERC129926 EHG129837:EHG129926 DXK129837:DXK129926 DNO129837:DNO129926 DDS129837:DDS129926 CTW129837:CTW129926 CKA129837:CKA129926 CAE129837:CAE129926 BQI129837:BQI129926 BGM129837:BGM129926 AWQ129837:AWQ129926 AMU129837:AMU129926 ACY129837:ACY129926 TC129837:TC129926 JG129837:JG129926 K129846:K129935 WVS64301:WVS64390 WLW64301:WLW64390 WCA64301:WCA64390 VSE64301:VSE64390 VII64301:VII64390 UYM64301:UYM64390 UOQ64301:UOQ64390 UEU64301:UEU64390 TUY64301:TUY64390 TLC64301:TLC64390 TBG64301:TBG64390 SRK64301:SRK64390 SHO64301:SHO64390 RXS64301:RXS64390 RNW64301:RNW64390 REA64301:REA64390 QUE64301:QUE64390 QKI64301:QKI64390 QAM64301:QAM64390 PQQ64301:PQQ64390 PGU64301:PGU64390 OWY64301:OWY64390 ONC64301:ONC64390 ODG64301:ODG64390 NTK64301:NTK64390 NJO64301:NJO64390 MZS64301:MZS64390 MPW64301:MPW64390 MGA64301:MGA64390 LWE64301:LWE64390 LMI64301:LMI64390 LCM64301:LCM64390 KSQ64301:KSQ64390 KIU64301:KIU64390 JYY64301:JYY64390 JPC64301:JPC64390 JFG64301:JFG64390 IVK64301:IVK64390 ILO64301:ILO64390 IBS64301:IBS64390 HRW64301:HRW64390 HIA64301:HIA64390 GYE64301:GYE64390 GOI64301:GOI64390 GEM64301:GEM64390 FUQ64301:FUQ64390 FKU64301:FKU64390 FAY64301:FAY64390 ERC64301:ERC64390 EHG64301:EHG64390 DXK64301:DXK64390 DNO64301:DNO64390 DDS64301:DDS64390 CTW64301:CTW64390 CKA64301:CKA64390 CAE64301:CAE64390 BQI64301:BQI64390 BGM64301:BGM64390 AWQ64301:AWQ64390 AMU64301:AMU64390 ACY64301:ACY64390 TC64301:TC64390 JG64301:JG64390 K64310:K64399 JG2:JG73 TC2:TC73 ACY2:ACY73 AMU2:AMU73 AWQ2:AWQ73 BGM2:BGM73 BQI2:BQI73 CAE2:CAE73 CKA2:CKA73 CTW2:CTW73 DDS2:DDS73 DNO2:DNO73 DXK2:DXK73 EHG2:EHG73 ERC2:ERC73 FAY2:FAY73 FKU2:FKU73 FUQ2:FUQ73 GEM2:GEM73 GOI2:GOI73 GYE2:GYE73 HIA2:HIA73 HRW2:HRW73 IBS2:IBS73 ILO2:ILO73 IVK2:IVK73 JFG2:JFG73 JPC2:JPC73 JYY2:JYY73 KIU2:KIU73 KSQ2:KSQ73 LCM2:LCM73 LMI2:LMI73 LWE2:LWE73 MGA2:MGA73 MPW2:MPW73 MZS2:MZS73 NJO2:NJO73 NTK2:NTK73 ODG2:ODG73 ONC2:ONC73 OWY2:OWY73 PGU2:PGU73 PQQ2:PQQ73 QAM2:QAM73 QKI2:QKI73 QUE2:QUE73 REA2:REA73 RNW2:RNW73 RXS2:RXS73 SHO2:SHO73 SRK2:SRK73 TBG2:TBG73 TLC2:TLC73 TUY2:TUY73 UEU2:UEU73 UOQ2:UOQ73 UYM2:UYM73 VII2:VII73 VSE2:VSE73 WCA2:WCA73 WLW2:WLW73 WVS2:WVS73" xr:uid="{C591F216-FC8A-4DE8-9646-5792EE4B5A07}">
      <formula1>$AR$2:$AR$24</formula1>
    </dataValidation>
    <dataValidation type="list" allowBlank="1" showInputMessage="1" showErrorMessage="1" sqref="WVR981805:WVR981894 WLV981805:WLV981894 WBZ981805:WBZ981894 VSD981805:VSD981894 VIH981805:VIH981894 UYL981805:UYL981894 UOP981805:UOP981894 UET981805:UET981894 TUX981805:TUX981894 TLB981805:TLB981894 TBF981805:TBF981894 SRJ981805:SRJ981894 SHN981805:SHN981894 RXR981805:RXR981894 RNV981805:RNV981894 RDZ981805:RDZ981894 QUD981805:QUD981894 QKH981805:QKH981894 QAL981805:QAL981894 PQP981805:PQP981894 PGT981805:PGT981894 OWX981805:OWX981894 ONB981805:ONB981894 ODF981805:ODF981894 NTJ981805:NTJ981894 NJN981805:NJN981894 MZR981805:MZR981894 MPV981805:MPV981894 MFZ981805:MFZ981894 LWD981805:LWD981894 LMH981805:LMH981894 LCL981805:LCL981894 KSP981805:KSP981894 KIT981805:KIT981894 JYX981805:JYX981894 JPB981805:JPB981894 JFF981805:JFF981894 IVJ981805:IVJ981894 ILN981805:ILN981894 IBR981805:IBR981894 HRV981805:HRV981894 HHZ981805:HHZ981894 GYD981805:GYD981894 GOH981805:GOH981894 GEL981805:GEL981894 FUP981805:FUP981894 FKT981805:FKT981894 FAX981805:FAX981894 ERB981805:ERB981894 EHF981805:EHF981894 DXJ981805:DXJ981894 DNN981805:DNN981894 DDR981805:DDR981894 CTV981805:CTV981894 CJZ981805:CJZ981894 CAD981805:CAD981894 BQH981805:BQH981894 BGL981805:BGL981894 AWP981805:AWP981894 AMT981805:AMT981894 ACX981805:ACX981894 TB981805:TB981894 JF981805:JF981894 J981814:J981903 WVR916269:WVR916358 WLV916269:WLV916358 WBZ916269:WBZ916358 VSD916269:VSD916358 VIH916269:VIH916358 UYL916269:UYL916358 UOP916269:UOP916358 UET916269:UET916358 TUX916269:TUX916358 TLB916269:TLB916358 TBF916269:TBF916358 SRJ916269:SRJ916358 SHN916269:SHN916358 RXR916269:RXR916358 RNV916269:RNV916358 RDZ916269:RDZ916358 QUD916269:QUD916358 QKH916269:QKH916358 QAL916269:QAL916358 PQP916269:PQP916358 PGT916269:PGT916358 OWX916269:OWX916358 ONB916269:ONB916358 ODF916269:ODF916358 NTJ916269:NTJ916358 NJN916269:NJN916358 MZR916269:MZR916358 MPV916269:MPV916358 MFZ916269:MFZ916358 LWD916269:LWD916358 LMH916269:LMH916358 LCL916269:LCL916358 KSP916269:KSP916358 KIT916269:KIT916358 JYX916269:JYX916358 JPB916269:JPB916358 JFF916269:JFF916358 IVJ916269:IVJ916358 ILN916269:ILN916358 IBR916269:IBR916358 HRV916269:HRV916358 HHZ916269:HHZ916358 GYD916269:GYD916358 GOH916269:GOH916358 GEL916269:GEL916358 FUP916269:FUP916358 FKT916269:FKT916358 FAX916269:FAX916358 ERB916269:ERB916358 EHF916269:EHF916358 DXJ916269:DXJ916358 DNN916269:DNN916358 DDR916269:DDR916358 CTV916269:CTV916358 CJZ916269:CJZ916358 CAD916269:CAD916358 BQH916269:BQH916358 BGL916269:BGL916358 AWP916269:AWP916358 AMT916269:AMT916358 ACX916269:ACX916358 TB916269:TB916358 JF916269:JF916358 J916278:J916367 WVR850733:WVR850822 WLV850733:WLV850822 WBZ850733:WBZ850822 VSD850733:VSD850822 VIH850733:VIH850822 UYL850733:UYL850822 UOP850733:UOP850822 UET850733:UET850822 TUX850733:TUX850822 TLB850733:TLB850822 TBF850733:TBF850822 SRJ850733:SRJ850822 SHN850733:SHN850822 RXR850733:RXR850822 RNV850733:RNV850822 RDZ850733:RDZ850822 QUD850733:QUD850822 QKH850733:QKH850822 QAL850733:QAL850822 PQP850733:PQP850822 PGT850733:PGT850822 OWX850733:OWX850822 ONB850733:ONB850822 ODF850733:ODF850822 NTJ850733:NTJ850822 NJN850733:NJN850822 MZR850733:MZR850822 MPV850733:MPV850822 MFZ850733:MFZ850822 LWD850733:LWD850822 LMH850733:LMH850822 LCL850733:LCL850822 KSP850733:KSP850822 KIT850733:KIT850822 JYX850733:JYX850822 JPB850733:JPB850822 JFF850733:JFF850822 IVJ850733:IVJ850822 ILN850733:ILN850822 IBR850733:IBR850822 HRV850733:HRV850822 HHZ850733:HHZ850822 GYD850733:GYD850822 GOH850733:GOH850822 GEL850733:GEL850822 FUP850733:FUP850822 FKT850733:FKT850822 FAX850733:FAX850822 ERB850733:ERB850822 EHF850733:EHF850822 DXJ850733:DXJ850822 DNN850733:DNN850822 DDR850733:DDR850822 CTV850733:CTV850822 CJZ850733:CJZ850822 CAD850733:CAD850822 BQH850733:BQH850822 BGL850733:BGL850822 AWP850733:AWP850822 AMT850733:AMT850822 ACX850733:ACX850822 TB850733:TB850822 JF850733:JF850822 J850742:J850831 WVR785197:WVR785286 WLV785197:WLV785286 WBZ785197:WBZ785286 VSD785197:VSD785286 VIH785197:VIH785286 UYL785197:UYL785286 UOP785197:UOP785286 UET785197:UET785286 TUX785197:TUX785286 TLB785197:TLB785286 TBF785197:TBF785286 SRJ785197:SRJ785286 SHN785197:SHN785286 RXR785197:RXR785286 RNV785197:RNV785286 RDZ785197:RDZ785286 QUD785197:QUD785286 QKH785197:QKH785286 QAL785197:QAL785286 PQP785197:PQP785286 PGT785197:PGT785286 OWX785197:OWX785286 ONB785197:ONB785286 ODF785197:ODF785286 NTJ785197:NTJ785286 NJN785197:NJN785286 MZR785197:MZR785286 MPV785197:MPV785286 MFZ785197:MFZ785286 LWD785197:LWD785286 LMH785197:LMH785286 LCL785197:LCL785286 KSP785197:KSP785286 KIT785197:KIT785286 JYX785197:JYX785286 JPB785197:JPB785286 JFF785197:JFF785286 IVJ785197:IVJ785286 ILN785197:ILN785286 IBR785197:IBR785286 HRV785197:HRV785286 HHZ785197:HHZ785286 GYD785197:GYD785286 GOH785197:GOH785286 GEL785197:GEL785286 FUP785197:FUP785286 FKT785197:FKT785286 FAX785197:FAX785286 ERB785197:ERB785286 EHF785197:EHF785286 DXJ785197:DXJ785286 DNN785197:DNN785286 DDR785197:DDR785286 CTV785197:CTV785286 CJZ785197:CJZ785286 CAD785197:CAD785286 BQH785197:BQH785286 BGL785197:BGL785286 AWP785197:AWP785286 AMT785197:AMT785286 ACX785197:ACX785286 TB785197:TB785286 JF785197:JF785286 J785206:J785295 WVR719661:WVR719750 WLV719661:WLV719750 WBZ719661:WBZ719750 VSD719661:VSD719750 VIH719661:VIH719750 UYL719661:UYL719750 UOP719661:UOP719750 UET719661:UET719750 TUX719661:TUX719750 TLB719661:TLB719750 TBF719661:TBF719750 SRJ719661:SRJ719750 SHN719661:SHN719750 RXR719661:RXR719750 RNV719661:RNV719750 RDZ719661:RDZ719750 QUD719661:QUD719750 QKH719661:QKH719750 QAL719661:QAL719750 PQP719661:PQP719750 PGT719661:PGT719750 OWX719661:OWX719750 ONB719661:ONB719750 ODF719661:ODF719750 NTJ719661:NTJ719750 NJN719661:NJN719750 MZR719661:MZR719750 MPV719661:MPV719750 MFZ719661:MFZ719750 LWD719661:LWD719750 LMH719661:LMH719750 LCL719661:LCL719750 KSP719661:KSP719750 KIT719661:KIT719750 JYX719661:JYX719750 JPB719661:JPB719750 JFF719661:JFF719750 IVJ719661:IVJ719750 ILN719661:ILN719750 IBR719661:IBR719750 HRV719661:HRV719750 HHZ719661:HHZ719750 GYD719661:GYD719750 GOH719661:GOH719750 GEL719661:GEL719750 FUP719661:FUP719750 FKT719661:FKT719750 FAX719661:FAX719750 ERB719661:ERB719750 EHF719661:EHF719750 DXJ719661:DXJ719750 DNN719661:DNN719750 DDR719661:DDR719750 CTV719661:CTV719750 CJZ719661:CJZ719750 CAD719661:CAD719750 BQH719661:BQH719750 BGL719661:BGL719750 AWP719661:AWP719750 AMT719661:AMT719750 ACX719661:ACX719750 TB719661:TB719750 JF719661:JF719750 J719670:J719759 WVR654125:WVR654214 WLV654125:WLV654214 WBZ654125:WBZ654214 VSD654125:VSD654214 VIH654125:VIH654214 UYL654125:UYL654214 UOP654125:UOP654214 UET654125:UET654214 TUX654125:TUX654214 TLB654125:TLB654214 TBF654125:TBF654214 SRJ654125:SRJ654214 SHN654125:SHN654214 RXR654125:RXR654214 RNV654125:RNV654214 RDZ654125:RDZ654214 QUD654125:QUD654214 QKH654125:QKH654214 QAL654125:QAL654214 PQP654125:PQP654214 PGT654125:PGT654214 OWX654125:OWX654214 ONB654125:ONB654214 ODF654125:ODF654214 NTJ654125:NTJ654214 NJN654125:NJN654214 MZR654125:MZR654214 MPV654125:MPV654214 MFZ654125:MFZ654214 LWD654125:LWD654214 LMH654125:LMH654214 LCL654125:LCL654214 KSP654125:KSP654214 KIT654125:KIT654214 JYX654125:JYX654214 JPB654125:JPB654214 JFF654125:JFF654214 IVJ654125:IVJ654214 ILN654125:ILN654214 IBR654125:IBR654214 HRV654125:HRV654214 HHZ654125:HHZ654214 GYD654125:GYD654214 GOH654125:GOH654214 GEL654125:GEL654214 FUP654125:FUP654214 FKT654125:FKT654214 FAX654125:FAX654214 ERB654125:ERB654214 EHF654125:EHF654214 DXJ654125:DXJ654214 DNN654125:DNN654214 DDR654125:DDR654214 CTV654125:CTV654214 CJZ654125:CJZ654214 CAD654125:CAD654214 BQH654125:BQH654214 BGL654125:BGL654214 AWP654125:AWP654214 AMT654125:AMT654214 ACX654125:ACX654214 TB654125:TB654214 JF654125:JF654214 J654134:J654223 WVR588589:WVR588678 WLV588589:WLV588678 WBZ588589:WBZ588678 VSD588589:VSD588678 VIH588589:VIH588678 UYL588589:UYL588678 UOP588589:UOP588678 UET588589:UET588678 TUX588589:TUX588678 TLB588589:TLB588678 TBF588589:TBF588678 SRJ588589:SRJ588678 SHN588589:SHN588678 RXR588589:RXR588678 RNV588589:RNV588678 RDZ588589:RDZ588678 QUD588589:QUD588678 QKH588589:QKH588678 QAL588589:QAL588678 PQP588589:PQP588678 PGT588589:PGT588678 OWX588589:OWX588678 ONB588589:ONB588678 ODF588589:ODF588678 NTJ588589:NTJ588678 NJN588589:NJN588678 MZR588589:MZR588678 MPV588589:MPV588678 MFZ588589:MFZ588678 LWD588589:LWD588678 LMH588589:LMH588678 LCL588589:LCL588678 KSP588589:KSP588678 KIT588589:KIT588678 JYX588589:JYX588678 JPB588589:JPB588678 JFF588589:JFF588678 IVJ588589:IVJ588678 ILN588589:ILN588678 IBR588589:IBR588678 HRV588589:HRV588678 HHZ588589:HHZ588678 GYD588589:GYD588678 GOH588589:GOH588678 GEL588589:GEL588678 FUP588589:FUP588678 FKT588589:FKT588678 FAX588589:FAX588678 ERB588589:ERB588678 EHF588589:EHF588678 DXJ588589:DXJ588678 DNN588589:DNN588678 DDR588589:DDR588678 CTV588589:CTV588678 CJZ588589:CJZ588678 CAD588589:CAD588678 BQH588589:BQH588678 BGL588589:BGL588678 AWP588589:AWP588678 AMT588589:AMT588678 ACX588589:ACX588678 TB588589:TB588678 JF588589:JF588678 J588598:J588687 WVR523053:WVR523142 WLV523053:WLV523142 WBZ523053:WBZ523142 VSD523053:VSD523142 VIH523053:VIH523142 UYL523053:UYL523142 UOP523053:UOP523142 UET523053:UET523142 TUX523053:TUX523142 TLB523053:TLB523142 TBF523053:TBF523142 SRJ523053:SRJ523142 SHN523053:SHN523142 RXR523053:RXR523142 RNV523053:RNV523142 RDZ523053:RDZ523142 QUD523053:QUD523142 QKH523053:QKH523142 QAL523053:QAL523142 PQP523053:PQP523142 PGT523053:PGT523142 OWX523053:OWX523142 ONB523053:ONB523142 ODF523053:ODF523142 NTJ523053:NTJ523142 NJN523053:NJN523142 MZR523053:MZR523142 MPV523053:MPV523142 MFZ523053:MFZ523142 LWD523053:LWD523142 LMH523053:LMH523142 LCL523053:LCL523142 KSP523053:KSP523142 KIT523053:KIT523142 JYX523053:JYX523142 JPB523053:JPB523142 JFF523053:JFF523142 IVJ523053:IVJ523142 ILN523053:ILN523142 IBR523053:IBR523142 HRV523053:HRV523142 HHZ523053:HHZ523142 GYD523053:GYD523142 GOH523053:GOH523142 GEL523053:GEL523142 FUP523053:FUP523142 FKT523053:FKT523142 FAX523053:FAX523142 ERB523053:ERB523142 EHF523053:EHF523142 DXJ523053:DXJ523142 DNN523053:DNN523142 DDR523053:DDR523142 CTV523053:CTV523142 CJZ523053:CJZ523142 CAD523053:CAD523142 BQH523053:BQH523142 BGL523053:BGL523142 AWP523053:AWP523142 AMT523053:AMT523142 ACX523053:ACX523142 TB523053:TB523142 JF523053:JF523142 J523062:J523151 WVR457517:WVR457606 WLV457517:WLV457606 WBZ457517:WBZ457606 VSD457517:VSD457606 VIH457517:VIH457606 UYL457517:UYL457606 UOP457517:UOP457606 UET457517:UET457606 TUX457517:TUX457606 TLB457517:TLB457606 TBF457517:TBF457606 SRJ457517:SRJ457606 SHN457517:SHN457606 RXR457517:RXR457606 RNV457517:RNV457606 RDZ457517:RDZ457606 QUD457517:QUD457606 QKH457517:QKH457606 QAL457517:QAL457606 PQP457517:PQP457606 PGT457517:PGT457606 OWX457517:OWX457606 ONB457517:ONB457606 ODF457517:ODF457606 NTJ457517:NTJ457606 NJN457517:NJN457606 MZR457517:MZR457606 MPV457517:MPV457606 MFZ457517:MFZ457606 LWD457517:LWD457606 LMH457517:LMH457606 LCL457517:LCL457606 KSP457517:KSP457606 KIT457517:KIT457606 JYX457517:JYX457606 JPB457517:JPB457606 JFF457517:JFF457606 IVJ457517:IVJ457606 ILN457517:ILN457606 IBR457517:IBR457606 HRV457517:HRV457606 HHZ457517:HHZ457606 GYD457517:GYD457606 GOH457517:GOH457606 GEL457517:GEL457606 FUP457517:FUP457606 FKT457517:FKT457606 FAX457517:FAX457606 ERB457517:ERB457606 EHF457517:EHF457606 DXJ457517:DXJ457606 DNN457517:DNN457606 DDR457517:DDR457606 CTV457517:CTV457606 CJZ457517:CJZ457606 CAD457517:CAD457606 BQH457517:BQH457606 BGL457517:BGL457606 AWP457517:AWP457606 AMT457517:AMT457606 ACX457517:ACX457606 TB457517:TB457606 JF457517:JF457606 J457526:J457615 WVR391981:WVR392070 WLV391981:WLV392070 WBZ391981:WBZ392070 VSD391981:VSD392070 VIH391981:VIH392070 UYL391981:UYL392070 UOP391981:UOP392070 UET391981:UET392070 TUX391981:TUX392070 TLB391981:TLB392070 TBF391981:TBF392070 SRJ391981:SRJ392070 SHN391981:SHN392070 RXR391981:RXR392070 RNV391981:RNV392070 RDZ391981:RDZ392070 QUD391981:QUD392070 QKH391981:QKH392070 QAL391981:QAL392070 PQP391981:PQP392070 PGT391981:PGT392070 OWX391981:OWX392070 ONB391981:ONB392070 ODF391981:ODF392070 NTJ391981:NTJ392070 NJN391981:NJN392070 MZR391981:MZR392070 MPV391981:MPV392070 MFZ391981:MFZ392070 LWD391981:LWD392070 LMH391981:LMH392070 LCL391981:LCL392070 KSP391981:KSP392070 KIT391981:KIT392070 JYX391981:JYX392070 JPB391981:JPB392070 JFF391981:JFF392070 IVJ391981:IVJ392070 ILN391981:ILN392070 IBR391981:IBR392070 HRV391981:HRV392070 HHZ391981:HHZ392070 GYD391981:GYD392070 GOH391981:GOH392070 GEL391981:GEL392070 FUP391981:FUP392070 FKT391981:FKT392070 FAX391981:FAX392070 ERB391981:ERB392070 EHF391981:EHF392070 DXJ391981:DXJ392070 DNN391981:DNN392070 DDR391981:DDR392070 CTV391981:CTV392070 CJZ391981:CJZ392070 CAD391981:CAD392070 BQH391981:BQH392070 BGL391981:BGL392070 AWP391981:AWP392070 AMT391981:AMT392070 ACX391981:ACX392070 TB391981:TB392070 JF391981:JF392070 J391990:J392079 WVR326445:WVR326534 WLV326445:WLV326534 WBZ326445:WBZ326534 VSD326445:VSD326534 VIH326445:VIH326534 UYL326445:UYL326534 UOP326445:UOP326534 UET326445:UET326534 TUX326445:TUX326534 TLB326445:TLB326534 TBF326445:TBF326534 SRJ326445:SRJ326534 SHN326445:SHN326534 RXR326445:RXR326534 RNV326445:RNV326534 RDZ326445:RDZ326534 QUD326445:QUD326534 QKH326445:QKH326534 QAL326445:QAL326534 PQP326445:PQP326534 PGT326445:PGT326534 OWX326445:OWX326534 ONB326445:ONB326534 ODF326445:ODF326534 NTJ326445:NTJ326534 NJN326445:NJN326534 MZR326445:MZR326534 MPV326445:MPV326534 MFZ326445:MFZ326534 LWD326445:LWD326534 LMH326445:LMH326534 LCL326445:LCL326534 KSP326445:KSP326534 KIT326445:KIT326534 JYX326445:JYX326534 JPB326445:JPB326534 JFF326445:JFF326534 IVJ326445:IVJ326534 ILN326445:ILN326534 IBR326445:IBR326534 HRV326445:HRV326534 HHZ326445:HHZ326534 GYD326445:GYD326534 GOH326445:GOH326534 GEL326445:GEL326534 FUP326445:FUP326534 FKT326445:FKT326534 FAX326445:FAX326534 ERB326445:ERB326534 EHF326445:EHF326534 DXJ326445:DXJ326534 DNN326445:DNN326534 DDR326445:DDR326534 CTV326445:CTV326534 CJZ326445:CJZ326534 CAD326445:CAD326534 BQH326445:BQH326534 BGL326445:BGL326534 AWP326445:AWP326534 AMT326445:AMT326534 ACX326445:ACX326534 TB326445:TB326534 JF326445:JF326534 J326454:J326543 WVR260909:WVR260998 WLV260909:WLV260998 WBZ260909:WBZ260998 VSD260909:VSD260998 VIH260909:VIH260998 UYL260909:UYL260998 UOP260909:UOP260998 UET260909:UET260998 TUX260909:TUX260998 TLB260909:TLB260998 TBF260909:TBF260998 SRJ260909:SRJ260998 SHN260909:SHN260998 RXR260909:RXR260998 RNV260909:RNV260998 RDZ260909:RDZ260998 QUD260909:QUD260998 QKH260909:QKH260998 QAL260909:QAL260998 PQP260909:PQP260998 PGT260909:PGT260998 OWX260909:OWX260998 ONB260909:ONB260998 ODF260909:ODF260998 NTJ260909:NTJ260998 NJN260909:NJN260998 MZR260909:MZR260998 MPV260909:MPV260998 MFZ260909:MFZ260998 LWD260909:LWD260998 LMH260909:LMH260998 LCL260909:LCL260998 KSP260909:KSP260998 KIT260909:KIT260998 JYX260909:JYX260998 JPB260909:JPB260998 JFF260909:JFF260998 IVJ260909:IVJ260998 ILN260909:ILN260998 IBR260909:IBR260998 HRV260909:HRV260998 HHZ260909:HHZ260998 GYD260909:GYD260998 GOH260909:GOH260998 GEL260909:GEL260998 FUP260909:FUP260998 FKT260909:FKT260998 FAX260909:FAX260998 ERB260909:ERB260998 EHF260909:EHF260998 DXJ260909:DXJ260998 DNN260909:DNN260998 DDR260909:DDR260998 CTV260909:CTV260998 CJZ260909:CJZ260998 CAD260909:CAD260998 BQH260909:BQH260998 BGL260909:BGL260998 AWP260909:AWP260998 AMT260909:AMT260998 ACX260909:ACX260998 TB260909:TB260998 JF260909:JF260998 J260918:J261007 WVR195373:WVR195462 WLV195373:WLV195462 WBZ195373:WBZ195462 VSD195373:VSD195462 VIH195373:VIH195462 UYL195373:UYL195462 UOP195373:UOP195462 UET195373:UET195462 TUX195373:TUX195462 TLB195373:TLB195462 TBF195373:TBF195462 SRJ195373:SRJ195462 SHN195373:SHN195462 RXR195373:RXR195462 RNV195373:RNV195462 RDZ195373:RDZ195462 QUD195373:QUD195462 QKH195373:QKH195462 QAL195373:QAL195462 PQP195373:PQP195462 PGT195373:PGT195462 OWX195373:OWX195462 ONB195373:ONB195462 ODF195373:ODF195462 NTJ195373:NTJ195462 NJN195373:NJN195462 MZR195373:MZR195462 MPV195373:MPV195462 MFZ195373:MFZ195462 LWD195373:LWD195462 LMH195373:LMH195462 LCL195373:LCL195462 KSP195373:KSP195462 KIT195373:KIT195462 JYX195373:JYX195462 JPB195373:JPB195462 JFF195373:JFF195462 IVJ195373:IVJ195462 ILN195373:ILN195462 IBR195373:IBR195462 HRV195373:HRV195462 HHZ195373:HHZ195462 GYD195373:GYD195462 GOH195373:GOH195462 GEL195373:GEL195462 FUP195373:FUP195462 FKT195373:FKT195462 FAX195373:FAX195462 ERB195373:ERB195462 EHF195373:EHF195462 DXJ195373:DXJ195462 DNN195373:DNN195462 DDR195373:DDR195462 CTV195373:CTV195462 CJZ195373:CJZ195462 CAD195373:CAD195462 BQH195373:BQH195462 BGL195373:BGL195462 AWP195373:AWP195462 AMT195373:AMT195462 ACX195373:ACX195462 TB195373:TB195462 JF195373:JF195462 J195382:J195471 WVR129837:WVR129926 WLV129837:WLV129926 WBZ129837:WBZ129926 VSD129837:VSD129926 VIH129837:VIH129926 UYL129837:UYL129926 UOP129837:UOP129926 UET129837:UET129926 TUX129837:TUX129926 TLB129837:TLB129926 TBF129837:TBF129926 SRJ129837:SRJ129926 SHN129837:SHN129926 RXR129837:RXR129926 RNV129837:RNV129926 RDZ129837:RDZ129926 QUD129837:QUD129926 QKH129837:QKH129926 QAL129837:QAL129926 PQP129837:PQP129926 PGT129837:PGT129926 OWX129837:OWX129926 ONB129837:ONB129926 ODF129837:ODF129926 NTJ129837:NTJ129926 NJN129837:NJN129926 MZR129837:MZR129926 MPV129837:MPV129926 MFZ129837:MFZ129926 LWD129837:LWD129926 LMH129837:LMH129926 LCL129837:LCL129926 KSP129837:KSP129926 KIT129837:KIT129926 JYX129837:JYX129926 JPB129837:JPB129926 JFF129837:JFF129926 IVJ129837:IVJ129926 ILN129837:ILN129926 IBR129837:IBR129926 HRV129837:HRV129926 HHZ129837:HHZ129926 GYD129837:GYD129926 GOH129837:GOH129926 GEL129837:GEL129926 FUP129837:FUP129926 FKT129837:FKT129926 FAX129837:FAX129926 ERB129837:ERB129926 EHF129837:EHF129926 DXJ129837:DXJ129926 DNN129837:DNN129926 DDR129837:DDR129926 CTV129837:CTV129926 CJZ129837:CJZ129926 CAD129837:CAD129926 BQH129837:BQH129926 BGL129837:BGL129926 AWP129837:AWP129926 AMT129837:AMT129926 ACX129837:ACX129926 TB129837:TB129926 JF129837:JF129926 J129846:J129935 WVR64301:WVR64390 WLV64301:WLV64390 WBZ64301:WBZ64390 VSD64301:VSD64390 VIH64301:VIH64390 UYL64301:UYL64390 UOP64301:UOP64390 UET64301:UET64390 TUX64301:TUX64390 TLB64301:TLB64390 TBF64301:TBF64390 SRJ64301:SRJ64390 SHN64301:SHN64390 RXR64301:RXR64390 RNV64301:RNV64390 RDZ64301:RDZ64390 QUD64301:QUD64390 QKH64301:QKH64390 QAL64301:QAL64390 PQP64301:PQP64390 PGT64301:PGT64390 OWX64301:OWX64390 ONB64301:ONB64390 ODF64301:ODF64390 NTJ64301:NTJ64390 NJN64301:NJN64390 MZR64301:MZR64390 MPV64301:MPV64390 MFZ64301:MFZ64390 LWD64301:LWD64390 LMH64301:LMH64390 LCL64301:LCL64390 KSP64301:KSP64390 KIT64301:KIT64390 JYX64301:JYX64390 JPB64301:JPB64390 JFF64301:JFF64390 IVJ64301:IVJ64390 ILN64301:ILN64390 IBR64301:IBR64390 HRV64301:HRV64390 HHZ64301:HHZ64390 GYD64301:GYD64390 GOH64301:GOH64390 GEL64301:GEL64390 FUP64301:FUP64390 FKT64301:FKT64390 FAX64301:FAX64390 ERB64301:ERB64390 EHF64301:EHF64390 DXJ64301:DXJ64390 DNN64301:DNN64390 DDR64301:DDR64390 CTV64301:CTV64390 CJZ64301:CJZ64390 CAD64301:CAD64390 BQH64301:BQH64390 BGL64301:BGL64390 AWP64301:AWP64390 AMT64301:AMT64390 ACX64301:ACX64390 TB64301:TB64390 JF64301:JF64390 J64310:J64399 JF2:JF73 TB2:TB73 ACX2:ACX73 AMT2:AMT73 AWP2:AWP73 BGL2:BGL73 BQH2:BQH73 CAD2:CAD73 CJZ2:CJZ73 CTV2:CTV73 DDR2:DDR73 DNN2:DNN73 DXJ2:DXJ73 EHF2:EHF73 ERB2:ERB73 FAX2:FAX73 FKT2:FKT73 FUP2:FUP73 GEL2:GEL73 GOH2:GOH73 GYD2:GYD73 HHZ2:HHZ73 HRV2:HRV73 IBR2:IBR73 ILN2:ILN73 IVJ2:IVJ73 JFF2:JFF73 JPB2:JPB73 JYX2:JYX73 KIT2:KIT73 KSP2:KSP73 LCL2:LCL73 LMH2:LMH73 LWD2:LWD73 MFZ2:MFZ73 MPV2:MPV73 MZR2:MZR73 NJN2:NJN73 NTJ2:NTJ73 ODF2:ODF73 ONB2:ONB73 OWX2:OWX73 PGT2:PGT73 PQP2:PQP73 QAL2:QAL73 QKH2:QKH73 QUD2:QUD73 RDZ2:RDZ73 RNV2:RNV73 RXR2:RXR73 SHN2:SHN73 SRJ2:SRJ73 TBF2:TBF73 TLB2:TLB73 TUX2:TUX73 UET2:UET73 UOP2:UOP73 UYL2:UYL73 VIH2:VIH73 VSD2:VSD73 WBZ2:WBZ73 WLV2:WLV73 WVR2:WVR73" xr:uid="{3A78A182-0A43-44D6-A354-D6C2B0437671}">
      <formula1>$AP$2:$AP$15</formula1>
    </dataValidation>
    <dataValidation type="list" allowBlank="1" showInputMessage="1" showErrorMessage="1" sqref="WVN981805:WVN981894 WLR981805:WLR981894 WBV981805:WBV981894 VRZ981805:VRZ981894 VID981805:VID981894 UYH981805:UYH981894 UOL981805:UOL981894 UEP981805:UEP981894 TUT981805:TUT981894 TKX981805:TKX981894 TBB981805:TBB981894 SRF981805:SRF981894 SHJ981805:SHJ981894 RXN981805:RXN981894 RNR981805:RNR981894 RDV981805:RDV981894 QTZ981805:QTZ981894 QKD981805:QKD981894 QAH981805:QAH981894 PQL981805:PQL981894 PGP981805:PGP981894 OWT981805:OWT981894 OMX981805:OMX981894 ODB981805:ODB981894 NTF981805:NTF981894 NJJ981805:NJJ981894 MZN981805:MZN981894 MPR981805:MPR981894 MFV981805:MFV981894 LVZ981805:LVZ981894 LMD981805:LMD981894 LCH981805:LCH981894 KSL981805:KSL981894 KIP981805:KIP981894 JYT981805:JYT981894 JOX981805:JOX981894 JFB981805:JFB981894 IVF981805:IVF981894 ILJ981805:ILJ981894 IBN981805:IBN981894 HRR981805:HRR981894 HHV981805:HHV981894 GXZ981805:GXZ981894 GOD981805:GOD981894 GEH981805:GEH981894 FUL981805:FUL981894 FKP981805:FKP981894 FAT981805:FAT981894 EQX981805:EQX981894 EHB981805:EHB981894 DXF981805:DXF981894 DNJ981805:DNJ981894 DDN981805:DDN981894 CTR981805:CTR981894 CJV981805:CJV981894 BZZ981805:BZZ981894 BQD981805:BQD981894 BGH981805:BGH981894 AWL981805:AWL981894 AMP981805:AMP981894 ACT981805:ACT981894 SX981805:SX981894 JB981805:JB981894 F981816:F981905 WVN916269:WVN916358 WLR916269:WLR916358 WBV916269:WBV916358 VRZ916269:VRZ916358 VID916269:VID916358 UYH916269:UYH916358 UOL916269:UOL916358 UEP916269:UEP916358 TUT916269:TUT916358 TKX916269:TKX916358 TBB916269:TBB916358 SRF916269:SRF916358 SHJ916269:SHJ916358 RXN916269:RXN916358 RNR916269:RNR916358 RDV916269:RDV916358 QTZ916269:QTZ916358 QKD916269:QKD916358 QAH916269:QAH916358 PQL916269:PQL916358 PGP916269:PGP916358 OWT916269:OWT916358 OMX916269:OMX916358 ODB916269:ODB916358 NTF916269:NTF916358 NJJ916269:NJJ916358 MZN916269:MZN916358 MPR916269:MPR916358 MFV916269:MFV916358 LVZ916269:LVZ916358 LMD916269:LMD916358 LCH916269:LCH916358 KSL916269:KSL916358 KIP916269:KIP916358 JYT916269:JYT916358 JOX916269:JOX916358 JFB916269:JFB916358 IVF916269:IVF916358 ILJ916269:ILJ916358 IBN916269:IBN916358 HRR916269:HRR916358 HHV916269:HHV916358 GXZ916269:GXZ916358 GOD916269:GOD916358 GEH916269:GEH916358 FUL916269:FUL916358 FKP916269:FKP916358 FAT916269:FAT916358 EQX916269:EQX916358 EHB916269:EHB916358 DXF916269:DXF916358 DNJ916269:DNJ916358 DDN916269:DDN916358 CTR916269:CTR916358 CJV916269:CJV916358 BZZ916269:BZZ916358 BQD916269:BQD916358 BGH916269:BGH916358 AWL916269:AWL916358 AMP916269:AMP916358 ACT916269:ACT916358 SX916269:SX916358 JB916269:JB916358 F916280:F916369 WVN850733:WVN850822 WLR850733:WLR850822 WBV850733:WBV850822 VRZ850733:VRZ850822 VID850733:VID850822 UYH850733:UYH850822 UOL850733:UOL850822 UEP850733:UEP850822 TUT850733:TUT850822 TKX850733:TKX850822 TBB850733:TBB850822 SRF850733:SRF850822 SHJ850733:SHJ850822 RXN850733:RXN850822 RNR850733:RNR850822 RDV850733:RDV850822 QTZ850733:QTZ850822 QKD850733:QKD850822 QAH850733:QAH850822 PQL850733:PQL850822 PGP850733:PGP850822 OWT850733:OWT850822 OMX850733:OMX850822 ODB850733:ODB850822 NTF850733:NTF850822 NJJ850733:NJJ850822 MZN850733:MZN850822 MPR850733:MPR850822 MFV850733:MFV850822 LVZ850733:LVZ850822 LMD850733:LMD850822 LCH850733:LCH850822 KSL850733:KSL850822 KIP850733:KIP850822 JYT850733:JYT850822 JOX850733:JOX850822 JFB850733:JFB850822 IVF850733:IVF850822 ILJ850733:ILJ850822 IBN850733:IBN850822 HRR850733:HRR850822 HHV850733:HHV850822 GXZ850733:GXZ850822 GOD850733:GOD850822 GEH850733:GEH850822 FUL850733:FUL850822 FKP850733:FKP850822 FAT850733:FAT850822 EQX850733:EQX850822 EHB850733:EHB850822 DXF850733:DXF850822 DNJ850733:DNJ850822 DDN850733:DDN850822 CTR850733:CTR850822 CJV850733:CJV850822 BZZ850733:BZZ850822 BQD850733:BQD850822 BGH850733:BGH850822 AWL850733:AWL850822 AMP850733:AMP850822 ACT850733:ACT850822 SX850733:SX850822 JB850733:JB850822 F850744:F850833 WVN785197:WVN785286 WLR785197:WLR785286 WBV785197:WBV785286 VRZ785197:VRZ785286 VID785197:VID785286 UYH785197:UYH785286 UOL785197:UOL785286 UEP785197:UEP785286 TUT785197:TUT785286 TKX785197:TKX785286 TBB785197:TBB785286 SRF785197:SRF785286 SHJ785197:SHJ785286 RXN785197:RXN785286 RNR785197:RNR785286 RDV785197:RDV785286 QTZ785197:QTZ785286 QKD785197:QKD785286 QAH785197:QAH785286 PQL785197:PQL785286 PGP785197:PGP785286 OWT785197:OWT785286 OMX785197:OMX785286 ODB785197:ODB785286 NTF785197:NTF785286 NJJ785197:NJJ785286 MZN785197:MZN785286 MPR785197:MPR785286 MFV785197:MFV785286 LVZ785197:LVZ785286 LMD785197:LMD785286 LCH785197:LCH785286 KSL785197:KSL785286 KIP785197:KIP785286 JYT785197:JYT785286 JOX785197:JOX785286 JFB785197:JFB785286 IVF785197:IVF785286 ILJ785197:ILJ785286 IBN785197:IBN785286 HRR785197:HRR785286 HHV785197:HHV785286 GXZ785197:GXZ785286 GOD785197:GOD785286 GEH785197:GEH785286 FUL785197:FUL785286 FKP785197:FKP785286 FAT785197:FAT785286 EQX785197:EQX785286 EHB785197:EHB785286 DXF785197:DXF785286 DNJ785197:DNJ785286 DDN785197:DDN785286 CTR785197:CTR785286 CJV785197:CJV785286 BZZ785197:BZZ785286 BQD785197:BQD785286 BGH785197:BGH785286 AWL785197:AWL785286 AMP785197:AMP785286 ACT785197:ACT785286 SX785197:SX785286 JB785197:JB785286 F785208:F785297 WVN719661:WVN719750 WLR719661:WLR719750 WBV719661:WBV719750 VRZ719661:VRZ719750 VID719661:VID719750 UYH719661:UYH719750 UOL719661:UOL719750 UEP719661:UEP719750 TUT719661:TUT719750 TKX719661:TKX719750 TBB719661:TBB719750 SRF719661:SRF719750 SHJ719661:SHJ719750 RXN719661:RXN719750 RNR719661:RNR719750 RDV719661:RDV719750 QTZ719661:QTZ719750 QKD719661:QKD719750 QAH719661:QAH719750 PQL719661:PQL719750 PGP719661:PGP719750 OWT719661:OWT719750 OMX719661:OMX719750 ODB719661:ODB719750 NTF719661:NTF719750 NJJ719661:NJJ719750 MZN719661:MZN719750 MPR719661:MPR719750 MFV719661:MFV719750 LVZ719661:LVZ719750 LMD719661:LMD719750 LCH719661:LCH719750 KSL719661:KSL719750 KIP719661:KIP719750 JYT719661:JYT719750 JOX719661:JOX719750 JFB719661:JFB719750 IVF719661:IVF719750 ILJ719661:ILJ719750 IBN719661:IBN719750 HRR719661:HRR719750 HHV719661:HHV719750 GXZ719661:GXZ719750 GOD719661:GOD719750 GEH719661:GEH719750 FUL719661:FUL719750 FKP719661:FKP719750 FAT719661:FAT719750 EQX719661:EQX719750 EHB719661:EHB719750 DXF719661:DXF719750 DNJ719661:DNJ719750 DDN719661:DDN719750 CTR719661:CTR719750 CJV719661:CJV719750 BZZ719661:BZZ719750 BQD719661:BQD719750 BGH719661:BGH719750 AWL719661:AWL719750 AMP719661:AMP719750 ACT719661:ACT719750 SX719661:SX719750 JB719661:JB719750 F719672:F719761 WVN654125:WVN654214 WLR654125:WLR654214 WBV654125:WBV654214 VRZ654125:VRZ654214 VID654125:VID654214 UYH654125:UYH654214 UOL654125:UOL654214 UEP654125:UEP654214 TUT654125:TUT654214 TKX654125:TKX654214 TBB654125:TBB654214 SRF654125:SRF654214 SHJ654125:SHJ654214 RXN654125:RXN654214 RNR654125:RNR654214 RDV654125:RDV654214 QTZ654125:QTZ654214 QKD654125:QKD654214 QAH654125:QAH654214 PQL654125:PQL654214 PGP654125:PGP654214 OWT654125:OWT654214 OMX654125:OMX654214 ODB654125:ODB654214 NTF654125:NTF654214 NJJ654125:NJJ654214 MZN654125:MZN654214 MPR654125:MPR654214 MFV654125:MFV654214 LVZ654125:LVZ654214 LMD654125:LMD654214 LCH654125:LCH654214 KSL654125:KSL654214 KIP654125:KIP654214 JYT654125:JYT654214 JOX654125:JOX654214 JFB654125:JFB654214 IVF654125:IVF654214 ILJ654125:ILJ654214 IBN654125:IBN654214 HRR654125:HRR654214 HHV654125:HHV654214 GXZ654125:GXZ654214 GOD654125:GOD654214 GEH654125:GEH654214 FUL654125:FUL654214 FKP654125:FKP654214 FAT654125:FAT654214 EQX654125:EQX654214 EHB654125:EHB654214 DXF654125:DXF654214 DNJ654125:DNJ654214 DDN654125:DDN654214 CTR654125:CTR654214 CJV654125:CJV654214 BZZ654125:BZZ654214 BQD654125:BQD654214 BGH654125:BGH654214 AWL654125:AWL654214 AMP654125:AMP654214 ACT654125:ACT654214 SX654125:SX654214 JB654125:JB654214 F654136:F654225 WVN588589:WVN588678 WLR588589:WLR588678 WBV588589:WBV588678 VRZ588589:VRZ588678 VID588589:VID588678 UYH588589:UYH588678 UOL588589:UOL588678 UEP588589:UEP588678 TUT588589:TUT588678 TKX588589:TKX588678 TBB588589:TBB588678 SRF588589:SRF588678 SHJ588589:SHJ588678 RXN588589:RXN588678 RNR588589:RNR588678 RDV588589:RDV588678 QTZ588589:QTZ588678 QKD588589:QKD588678 QAH588589:QAH588678 PQL588589:PQL588678 PGP588589:PGP588678 OWT588589:OWT588678 OMX588589:OMX588678 ODB588589:ODB588678 NTF588589:NTF588678 NJJ588589:NJJ588678 MZN588589:MZN588678 MPR588589:MPR588678 MFV588589:MFV588678 LVZ588589:LVZ588678 LMD588589:LMD588678 LCH588589:LCH588678 KSL588589:KSL588678 KIP588589:KIP588678 JYT588589:JYT588678 JOX588589:JOX588678 JFB588589:JFB588678 IVF588589:IVF588678 ILJ588589:ILJ588678 IBN588589:IBN588678 HRR588589:HRR588678 HHV588589:HHV588678 GXZ588589:GXZ588678 GOD588589:GOD588678 GEH588589:GEH588678 FUL588589:FUL588678 FKP588589:FKP588678 FAT588589:FAT588678 EQX588589:EQX588678 EHB588589:EHB588678 DXF588589:DXF588678 DNJ588589:DNJ588678 DDN588589:DDN588678 CTR588589:CTR588678 CJV588589:CJV588678 BZZ588589:BZZ588678 BQD588589:BQD588678 BGH588589:BGH588678 AWL588589:AWL588678 AMP588589:AMP588678 ACT588589:ACT588678 SX588589:SX588678 JB588589:JB588678 F588600:F588689 WVN523053:WVN523142 WLR523053:WLR523142 WBV523053:WBV523142 VRZ523053:VRZ523142 VID523053:VID523142 UYH523053:UYH523142 UOL523053:UOL523142 UEP523053:UEP523142 TUT523053:TUT523142 TKX523053:TKX523142 TBB523053:TBB523142 SRF523053:SRF523142 SHJ523053:SHJ523142 RXN523053:RXN523142 RNR523053:RNR523142 RDV523053:RDV523142 QTZ523053:QTZ523142 QKD523053:QKD523142 QAH523053:QAH523142 PQL523053:PQL523142 PGP523053:PGP523142 OWT523053:OWT523142 OMX523053:OMX523142 ODB523053:ODB523142 NTF523053:NTF523142 NJJ523053:NJJ523142 MZN523053:MZN523142 MPR523053:MPR523142 MFV523053:MFV523142 LVZ523053:LVZ523142 LMD523053:LMD523142 LCH523053:LCH523142 KSL523053:KSL523142 KIP523053:KIP523142 JYT523053:JYT523142 JOX523053:JOX523142 JFB523053:JFB523142 IVF523053:IVF523142 ILJ523053:ILJ523142 IBN523053:IBN523142 HRR523053:HRR523142 HHV523053:HHV523142 GXZ523053:GXZ523142 GOD523053:GOD523142 GEH523053:GEH523142 FUL523053:FUL523142 FKP523053:FKP523142 FAT523053:FAT523142 EQX523053:EQX523142 EHB523053:EHB523142 DXF523053:DXF523142 DNJ523053:DNJ523142 DDN523053:DDN523142 CTR523053:CTR523142 CJV523053:CJV523142 BZZ523053:BZZ523142 BQD523053:BQD523142 BGH523053:BGH523142 AWL523053:AWL523142 AMP523053:AMP523142 ACT523053:ACT523142 SX523053:SX523142 JB523053:JB523142 F523064:F523153 WVN457517:WVN457606 WLR457517:WLR457606 WBV457517:WBV457606 VRZ457517:VRZ457606 VID457517:VID457606 UYH457517:UYH457606 UOL457517:UOL457606 UEP457517:UEP457606 TUT457517:TUT457606 TKX457517:TKX457606 TBB457517:TBB457606 SRF457517:SRF457606 SHJ457517:SHJ457606 RXN457517:RXN457606 RNR457517:RNR457606 RDV457517:RDV457606 QTZ457517:QTZ457606 QKD457517:QKD457606 QAH457517:QAH457606 PQL457517:PQL457606 PGP457517:PGP457606 OWT457517:OWT457606 OMX457517:OMX457606 ODB457517:ODB457606 NTF457517:NTF457606 NJJ457517:NJJ457606 MZN457517:MZN457606 MPR457517:MPR457606 MFV457517:MFV457606 LVZ457517:LVZ457606 LMD457517:LMD457606 LCH457517:LCH457606 KSL457517:KSL457606 KIP457517:KIP457606 JYT457517:JYT457606 JOX457517:JOX457606 JFB457517:JFB457606 IVF457517:IVF457606 ILJ457517:ILJ457606 IBN457517:IBN457606 HRR457517:HRR457606 HHV457517:HHV457606 GXZ457517:GXZ457606 GOD457517:GOD457606 GEH457517:GEH457606 FUL457517:FUL457606 FKP457517:FKP457606 FAT457517:FAT457606 EQX457517:EQX457606 EHB457517:EHB457606 DXF457517:DXF457606 DNJ457517:DNJ457606 DDN457517:DDN457606 CTR457517:CTR457606 CJV457517:CJV457606 BZZ457517:BZZ457606 BQD457517:BQD457606 BGH457517:BGH457606 AWL457517:AWL457606 AMP457517:AMP457606 ACT457517:ACT457606 SX457517:SX457606 JB457517:JB457606 F457528:F457617 WVN391981:WVN392070 WLR391981:WLR392070 WBV391981:WBV392070 VRZ391981:VRZ392070 VID391981:VID392070 UYH391981:UYH392070 UOL391981:UOL392070 UEP391981:UEP392070 TUT391981:TUT392070 TKX391981:TKX392070 TBB391981:TBB392070 SRF391981:SRF392070 SHJ391981:SHJ392070 RXN391981:RXN392070 RNR391981:RNR392070 RDV391981:RDV392070 QTZ391981:QTZ392070 QKD391981:QKD392070 QAH391981:QAH392070 PQL391981:PQL392070 PGP391981:PGP392070 OWT391981:OWT392070 OMX391981:OMX392070 ODB391981:ODB392070 NTF391981:NTF392070 NJJ391981:NJJ392070 MZN391981:MZN392070 MPR391981:MPR392070 MFV391981:MFV392070 LVZ391981:LVZ392070 LMD391981:LMD392070 LCH391981:LCH392070 KSL391981:KSL392070 KIP391981:KIP392070 JYT391981:JYT392070 JOX391981:JOX392070 JFB391981:JFB392070 IVF391981:IVF392070 ILJ391981:ILJ392070 IBN391981:IBN392070 HRR391981:HRR392070 HHV391981:HHV392070 GXZ391981:GXZ392070 GOD391981:GOD392070 GEH391981:GEH392070 FUL391981:FUL392070 FKP391981:FKP392070 FAT391981:FAT392070 EQX391981:EQX392070 EHB391981:EHB392070 DXF391981:DXF392070 DNJ391981:DNJ392070 DDN391981:DDN392070 CTR391981:CTR392070 CJV391981:CJV392070 BZZ391981:BZZ392070 BQD391981:BQD392070 BGH391981:BGH392070 AWL391981:AWL392070 AMP391981:AMP392070 ACT391981:ACT392070 SX391981:SX392070 JB391981:JB392070 F391992:F392081 WVN326445:WVN326534 WLR326445:WLR326534 WBV326445:WBV326534 VRZ326445:VRZ326534 VID326445:VID326534 UYH326445:UYH326534 UOL326445:UOL326534 UEP326445:UEP326534 TUT326445:TUT326534 TKX326445:TKX326534 TBB326445:TBB326534 SRF326445:SRF326534 SHJ326445:SHJ326534 RXN326445:RXN326534 RNR326445:RNR326534 RDV326445:RDV326534 QTZ326445:QTZ326534 QKD326445:QKD326534 QAH326445:QAH326534 PQL326445:PQL326534 PGP326445:PGP326534 OWT326445:OWT326534 OMX326445:OMX326534 ODB326445:ODB326534 NTF326445:NTF326534 NJJ326445:NJJ326534 MZN326445:MZN326534 MPR326445:MPR326534 MFV326445:MFV326534 LVZ326445:LVZ326534 LMD326445:LMD326534 LCH326445:LCH326534 KSL326445:KSL326534 KIP326445:KIP326534 JYT326445:JYT326534 JOX326445:JOX326534 JFB326445:JFB326534 IVF326445:IVF326534 ILJ326445:ILJ326534 IBN326445:IBN326534 HRR326445:HRR326534 HHV326445:HHV326534 GXZ326445:GXZ326534 GOD326445:GOD326534 GEH326445:GEH326534 FUL326445:FUL326534 FKP326445:FKP326534 FAT326445:FAT326534 EQX326445:EQX326534 EHB326445:EHB326534 DXF326445:DXF326534 DNJ326445:DNJ326534 DDN326445:DDN326534 CTR326445:CTR326534 CJV326445:CJV326534 BZZ326445:BZZ326534 BQD326445:BQD326534 BGH326445:BGH326534 AWL326445:AWL326534 AMP326445:AMP326534 ACT326445:ACT326534 SX326445:SX326534 JB326445:JB326534 F326456:F326545 WVN260909:WVN260998 WLR260909:WLR260998 WBV260909:WBV260998 VRZ260909:VRZ260998 VID260909:VID260998 UYH260909:UYH260998 UOL260909:UOL260998 UEP260909:UEP260998 TUT260909:TUT260998 TKX260909:TKX260998 TBB260909:TBB260998 SRF260909:SRF260998 SHJ260909:SHJ260998 RXN260909:RXN260998 RNR260909:RNR260998 RDV260909:RDV260998 QTZ260909:QTZ260998 QKD260909:QKD260998 QAH260909:QAH260998 PQL260909:PQL260998 PGP260909:PGP260998 OWT260909:OWT260998 OMX260909:OMX260998 ODB260909:ODB260998 NTF260909:NTF260998 NJJ260909:NJJ260998 MZN260909:MZN260998 MPR260909:MPR260998 MFV260909:MFV260998 LVZ260909:LVZ260998 LMD260909:LMD260998 LCH260909:LCH260998 KSL260909:KSL260998 KIP260909:KIP260998 JYT260909:JYT260998 JOX260909:JOX260998 JFB260909:JFB260998 IVF260909:IVF260998 ILJ260909:ILJ260998 IBN260909:IBN260998 HRR260909:HRR260998 HHV260909:HHV260998 GXZ260909:GXZ260998 GOD260909:GOD260998 GEH260909:GEH260998 FUL260909:FUL260998 FKP260909:FKP260998 FAT260909:FAT260998 EQX260909:EQX260998 EHB260909:EHB260998 DXF260909:DXF260998 DNJ260909:DNJ260998 DDN260909:DDN260998 CTR260909:CTR260998 CJV260909:CJV260998 BZZ260909:BZZ260998 BQD260909:BQD260998 BGH260909:BGH260998 AWL260909:AWL260998 AMP260909:AMP260998 ACT260909:ACT260998 SX260909:SX260998 JB260909:JB260998 F260920:F261009 WVN195373:WVN195462 WLR195373:WLR195462 WBV195373:WBV195462 VRZ195373:VRZ195462 VID195373:VID195462 UYH195373:UYH195462 UOL195373:UOL195462 UEP195373:UEP195462 TUT195373:TUT195462 TKX195373:TKX195462 TBB195373:TBB195462 SRF195373:SRF195462 SHJ195373:SHJ195462 RXN195373:RXN195462 RNR195373:RNR195462 RDV195373:RDV195462 QTZ195373:QTZ195462 QKD195373:QKD195462 QAH195373:QAH195462 PQL195373:PQL195462 PGP195373:PGP195462 OWT195373:OWT195462 OMX195373:OMX195462 ODB195373:ODB195462 NTF195373:NTF195462 NJJ195373:NJJ195462 MZN195373:MZN195462 MPR195373:MPR195462 MFV195373:MFV195462 LVZ195373:LVZ195462 LMD195373:LMD195462 LCH195373:LCH195462 KSL195373:KSL195462 KIP195373:KIP195462 JYT195373:JYT195462 JOX195373:JOX195462 JFB195373:JFB195462 IVF195373:IVF195462 ILJ195373:ILJ195462 IBN195373:IBN195462 HRR195373:HRR195462 HHV195373:HHV195462 GXZ195373:GXZ195462 GOD195373:GOD195462 GEH195373:GEH195462 FUL195373:FUL195462 FKP195373:FKP195462 FAT195373:FAT195462 EQX195373:EQX195462 EHB195373:EHB195462 DXF195373:DXF195462 DNJ195373:DNJ195462 DDN195373:DDN195462 CTR195373:CTR195462 CJV195373:CJV195462 BZZ195373:BZZ195462 BQD195373:BQD195462 BGH195373:BGH195462 AWL195373:AWL195462 AMP195373:AMP195462 ACT195373:ACT195462 SX195373:SX195462 JB195373:JB195462 F195384:F195473 WVN129837:WVN129926 WLR129837:WLR129926 WBV129837:WBV129926 VRZ129837:VRZ129926 VID129837:VID129926 UYH129837:UYH129926 UOL129837:UOL129926 UEP129837:UEP129926 TUT129837:TUT129926 TKX129837:TKX129926 TBB129837:TBB129926 SRF129837:SRF129926 SHJ129837:SHJ129926 RXN129837:RXN129926 RNR129837:RNR129926 RDV129837:RDV129926 QTZ129837:QTZ129926 QKD129837:QKD129926 QAH129837:QAH129926 PQL129837:PQL129926 PGP129837:PGP129926 OWT129837:OWT129926 OMX129837:OMX129926 ODB129837:ODB129926 NTF129837:NTF129926 NJJ129837:NJJ129926 MZN129837:MZN129926 MPR129837:MPR129926 MFV129837:MFV129926 LVZ129837:LVZ129926 LMD129837:LMD129926 LCH129837:LCH129926 KSL129837:KSL129926 KIP129837:KIP129926 JYT129837:JYT129926 JOX129837:JOX129926 JFB129837:JFB129926 IVF129837:IVF129926 ILJ129837:ILJ129926 IBN129837:IBN129926 HRR129837:HRR129926 HHV129837:HHV129926 GXZ129837:GXZ129926 GOD129837:GOD129926 GEH129837:GEH129926 FUL129837:FUL129926 FKP129837:FKP129926 FAT129837:FAT129926 EQX129837:EQX129926 EHB129837:EHB129926 DXF129837:DXF129926 DNJ129837:DNJ129926 DDN129837:DDN129926 CTR129837:CTR129926 CJV129837:CJV129926 BZZ129837:BZZ129926 BQD129837:BQD129926 BGH129837:BGH129926 AWL129837:AWL129926 AMP129837:AMP129926 ACT129837:ACT129926 SX129837:SX129926 JB129837:JB129926 F129848:F129937 WVN64301:WVN64390 WLR64301:WLR64390 WBV64301:WBV64390 VRZ64301:VRZ64390 VID64301:VID64390 UYH64301:UYH64390 UOL64301:UOL64390 UEP64301:UEP64390 TUT64301:TUT64390 TKX64301:TKX64390 TBB64301:TBB64390 SRF64301:SRF64390 SHJ64301:SHJ64390 RXN64301:RXN64390 RNR64301:RNR64390 RDV64301:RDV64390 QTZ64301:QTZ64390 QKD64301:QKD64390 QAH64301:QAH64390 PQL64301:PQL64390 PGP64301:PGP64390 OWT64301:OWT64390 OMX64301:OMX64390 ODB64301:ODB64390 NTF64301:NTF64390 NJJ64301:NJJ64390 MZN64301:MZN64390 MPR64301:MPR64390 MFV64301:MFV64390 LVZ64301:LVZ64390 LMD64301:LMD64390 LCH64301:LCH64390 KSL64301:KSL64390 KIP64301:KIP64390 JYT64301:JYT64390 JOX64301:JOX64390 JFB64301:JFB64390 IVF64301:IVF64390 ILJ64301:ILJ64390 IBN64301:IBN64390 HRR64301:HRR64390 HHV64301:HHV64390 GXZ64301:GXZ64390 GOD64301:GOD64390 GEH64301:GEH64390 FUL64301:FUL64390 FKP64301:FKP64390 FAT64301:FAT64390 EQX64301:EQX64390 EHB64301:EHB64390 DXF64301:DXF64390 DNJ64301:DNJ64390 DDN64301:DDN64390 CTR64301:CTR64390 CJV64301:CJV64390 BZZ64301:BZZ64390 BQD64301:BQD64390 BGH64301:BGH64390 AWL64301:AWL64390 AMP64301:AMP64390 ACT64301:ACT64390 SX64301:SX64390 JB64301:JB64390 F64312:F64401 WVN2:WVN73 WLR2:WLR73 WBV2:WBV73 VRZ2:VRZ73 VID2:VID73 UYH2:UYH73 UOL2:UOL73 UEP2:UEP73 TUT2:TUT73 TKX2:TKX73 TBB2:TBB73 SRF2:SRF73 SHJ2:SHJ73 RXN2:RXN73 RNR2:RNR73 RDV2:RDV73 QTZ2:QTZ73 QKD2:QKD73 QAH2:QAH73 PQL2:PQL73 PGP2:PGP73 OWT2:OWT73 OMX2:OMX73 ODB2:ODB73 NTF2:NTF73 NJJ2:NJJ73 MZN2:MZN73 MPR2:MPR73 MFV2:MFV73 LVZ2:LVZ73 LMD2:LMD73 LCH2:LCH73 KSL2:KSL73 KIP2:KIP73 JYT2:JYT73 JOX2:JOX73 JFB2:JFB73 IVF2:IVF73 ILJ2:ILJ73 IBN2:IBN73 HRR2:HRR73 HHV2:HHV73 GXZ2:GXZ73 GOD2:GOD73 GEH2:GEH73 FUL2:FUL73 FKP2:FKP73 FAT2:FAT73 EQX2:EQX73 EHB2:EHB73 DXF2:DXF73 DNJ2:DNJ73 DDN2:DDN73 CTR2:CTR73 CJV2:CJV73 BZZ2:BZZ73 BQD2:BQD73 BGH2:BGH73 AWL2:AWL73 AMP2:AMP73 ACT2:ACT73 SX2:SX73 JB2:JB73" xr:uid="{BF044028-1CA3-4ED1-A166-68EB5F04ED1B}">
      <formula1>$AH$2:$AH$13</formula1>
    </dataValidation>
    <dataValidation type="list" allowBlank="1" showInputMessage="1" showErrorMessage="1" sqref="WVM981805:WVM981894 WLQ981805:WLQ981894 WBU981805:WBU981894 VRY981805:VRY981894 VIC981805:VIC981894 UYG981805:UYG981894 UOK981805:UOK981894 UEO981805:UEO981894 TUS981805:TUS981894 TKW981805:TKW981894 TBA981805:TBA981894 SRE981805:SRE981894 SHI981805:SHI981894 RXM981805:RXM981894 RNQ981805:RNQ981894 RDU981805:RDU981894 QTY981805:QTY981894 QKC981805:QKC981894 QAG981805:QAG981894 PQK981805:PQK981894 PGO981805:PGO981894 OWS981805:OWS981894 OMW981805:OMW981894 ODA981805:ODA981894 NTE981805:NTE981894 NJI981805:NJI981894 MZM981805:MZM981894 MPQ981805:MPQ981894 MFU981805:MFU981894 LVY981805:LVY981894 LMC981805:LMC981894 LCG981805:LCG981894 KSK981805:KSK981894 KIO981805:KIO981894 JYS981805:JYS981894 JOW981805:JOW981894 JFA981805:JFA981894 IVE981805:IVE981894 ILI981805:ILI981894 IBM981805:IBM981894 HRQ981805:HRQ981894 HHU981805:HHU981894 GXY981805:GXY981894 GOC981805:GOC981894 GEG981805:GEG981894 FUK981805:FUK981894 FKO981805:FKO981894 FAS981805:FAS981894 EQW981805:EQW981894 EHA981805:EHA981894 DXE981805:DXE981894 DNI981805:DNI981894 DDM981805:DDM981894 CTQ981805:CTQ981894 CJU981805:CJU981894 BZY981805:BZY981894 BQC981805:BQC981894 BGG981805:BGG981894 AWK981805:AWK981894 AMO981805:AMO981894 ACS981805:ACS981894 SW981805:SW981894 JA981805:JA981894 E981816:E981905 WVM916269:WVM916358 WLQ916269:WLQ916358 WBU916269:WBU916358 VRY916269:VRY916358 VIC916269:VIC916358 UYG916269:UYG916358 UOK916269:UOK916358 UEO916269:UEO916358 TUS916269:TUS916358 TKW916269:TKW916358 TBA916269:TBA916358 SRE916269:SRE916358 SHI916269:SHI916358 RXM916269:RXM916358 RNQ916269:RNQ916358 RDU916269:RDU916358 QTY916269:QTY916358 QKC916269:QKC916358 QAG916269:QAG916358 PQK916269:PQK916358 PGO916269:PGO916358 OWS916269:OWS916358 OMW916269:OMW916358 ODA916269:ODA916358 NTE916269:NTE916358 NJI916269:NJI916358 MZM916269:MZM916358 MPQ916269:MPQ916358 MFU916269:MFU916358 LVY916269:LVY916358 LMC916269:LMC916358 LCG916269:LCG916358 KSK916269:KSK916358 KIO916269:KIO916358 JYS916269:JYS916358 JOW916269:JOW916358 JFA916269:JFA916358 IVE916269:IVE916358 ILI916269:ILI916358 IBM916269:IBM916358 HRQ916269:HRQ916358 HHU916269:HHU916358 GXY916269:GXY916358 GOC916269:GOC916358 GEG916269:GEG916358 FUK916269:FUK916358 FKO916269:FKO916358 FAS916269:FAS916358 EQW916269:EQW916358 EHA916269:EHA916358 DXE916269:DXE916358 DNI916269:DNI916358 DDM916269:DDM916358 CTQ916269:CTQ916358 CJU916269:CJU916358 BZY916269:BZY916358 BQC916269:BQC916358 BGG916269:BGG916358 AWK916269:AWK916358 AMO916269:AMO916358 ACS916269:ACS916358 SW916269:SW916358 JA916269:JA916358 E916280:E916369 WVM850733:WVM850822 WLQ850733:WLQ850822 WBU850733:WBU850822 VRY850733:VRY850822 VIC850733:VIC850822 UYG850733:UYG850822 UOK850733:UOK850822 UEO850733:UEO850822 TUS850733:TUS850822 TKW850733:TKW850822 TBA850733:TBA850822 SRE850733:SRE850822 SHI850733:SHI850822 RXM850733:RXM850822 RNQ850733:RNQ850822 RDU850733:RDU850822 QTY850733:QTY850822 QKC850733:QKC850822 QAG850733:QAG850822 PQK850733:PQK850822 PGO850733:PGO850822 OWS850733:OWS850822 OMW850733:OMW850822 ODA850733:ODA850822 NTE850733:NTE850822 NJI850733:NJI850822 MZM850733:MZM850822 MPQ850733:MPQ850822 MFU850733:MFU850822 LVY850733:LVY850822 LMC850733:LMC850822 LCG850733:LCG850822 KSK850733:KSK850822 KIO850733:KIO850822 JYS850733:JYS850822 JOW850733:JOW850822 JFA850733:JFA850822 IVE850733:IVE850822 ILI850733:ILI850822 IBM850733:IBM850822 HRQ850733:HRQ850822 HHU850733:HHU850822 GXY850733:GXY850822 GOC850733:GOC850822 GEG850733:GEG850822 FUK850733:FUK850822 FKO850733:FKO850822 FAS850733:FAS850822 EQW850733:EQW850822 EHA850733:EHA850822 DXE850733:DXE850822 DNI850733:DNI850822 DDM850733:DDM850822 CTQ850733:CTQ850822 CJU850733:CJU850822 BZY850733:BZY850822 BQC850733:BQC850822 BGG850733:BGG850822 AWK850733:AWK850822 AMO850733:AMO850822 ACS850733:ACS850822 SW850733:SW850822 JA850733:JA850822 E850744:E850833 WVM785197:WVM785286 WLQ785197:WLQ785286 WBU785197:WBU785286 VRY785197:VRY785286 VIC785197:VIC785286 UYG785197:UYG785286 UOK785197:UOK785286 UEO785197:UEO785286 TUS785197:TUS785286 TKW785197:TKW785286 TBA785197:TBA785286 SRE785197:SRE785286 SHI785197:SHI785286 RXM785197:RXM785286 RNQ785197:RNQ785286 RDU785197:RDU785286 QTY785197:QTY785286 QKC785197:QKC785286 QAG785197:QAG785286 PQK785197:PQK785286 PGO785197:PGO785286 OWS785197:OWS785286 OMW785197:OMW785286 ODA785197:ODA785286 NTE785197:NTE785286 NJI785197:NJI785286 MZM785197:MZM785286 MPQ785197:MPQ785286 MFU785197:MFU785286 LVY785197:LVY785286 LMC785197:LMC785286 LCG785197:LCG785286 KSK785197:KSK785286 KIO785197:KIO785286 JYS785197:JYS785286 JOW785197:JOW785286 JFA785197:JFA785286 IVE785197:IVE785286 ILI785197:ILI785286 IBM785197:IBM785286 HRQ785197:HRQ785286 HHU785197:HHU785286 GXY785197:GXY785286 GOC785197:GOC785286 GEG785197:GEG785286 FUK785197:FUK785286 FKO785197:FKO785286 FAS785197:FAS785286 EQW785197:EQW785286 EHA785197:EHA785286 DXE785197:DXE785286 DNI785197:DNI785286 DDM785197:DDM785286 CTQ785197:CTQ785286 CJU785197:CJU785286 BZY785197:BZY785286 BQC785197:BQC785286 BGG785197:BGG785286 AWK785197:AWK785286 AMO785197:AMO785286 ACS785197:ACS785286 SW785197:SW785286 JA785197:JA785286 E785208:E785297 WVM719661:WVM719750 WLQ719661:WLQ719750 WBU719661:WBU719750 VRY719661:VRY719750 VIC719661:VIC719750 UYG719661:UYG719750 UOK719661:UOK719750 UEO719661:UEO719750 TUS719661:TUS719750 TKW719661:TKW719750 TBA719661:TBA719750 SRE719661:SRE719750 SHI719661:SHI719750 RXM719661:RXM719750 RNQ719661:RNQ719750 RDU719661:RDU719750 QTY719661:QTY719750 QKC719661:QKC719750 QAG719661:QAG719750 PQK719661:PQK719750 PGO719661:PGO719750 OWS719661:OWS719750 OMW719661:OMW719750 ODA719661:ODA719750 NTE719661:NTE719750 NJI719661:NJI719750 MZM719661:MZM719750 MPQ719661:MPQ719750 MFU719661:MFU719750 LVY719661:LVY719750 LMC719661:LMC719750 LCG719661:LCG719750 KSK719661:KSK719750 KIO719661:KIO719750 JYS719661:JYS719750 JOW719661:JOW719750 JFA719661:JFA719750 IVE719661:IVE719750 ILI719661:ILI719750 IBM719661:IBM719750 HRQ719661:HRQ719750 HHU719661:HHU719750 GXY719661:GXY719750 GOC719661:GOC719750 GEG719661:GEG719750 FUK719661:FUK719750 FKO719661:FKO719750 FAS719661:FAS719750 EQW719661:EQW719750 EHA719661:EHA719750 DXE719661:DXE719750 DNI719661:DNI719750 DDM719661:DDM719750 CTQ719661:CTQ719750 CJU719661:CJU719750 BZY719661:BZY719750 BQC719661:BQC719750 BGG719661:BGG719750 AWK719661:AWK719750 AMO719661:AMO719750 ACS719661:ACS719750 SW719661:SW719750 JA719661:JA719750 E719672:E719761 WVM654125:WVM654214 WLQ654125:WLQ654214 WBU654125:WBU654214 VRY654125:VRY654214 VIC654125:VIC654214 UYG654125:UYG654214 UOK654125:UOK654214 UEO654125:UEO654214 TUS654125:TUS654214 TKW654125:TKW654214 TBA654125:TBA654214 SRE654125:SRE654214 SHI654125:SHI654214 RXM654125:RXM654214 RNQ654125:RNQ654214 RDU654125:RDU654214 QTY654125:QTY654214 QKC654125:QKC654214 QAG654125:QAG654214 PQK654125:PQK654214 PGO654125:PGO654214 OWS654125:OWS654214 OMW654125:OMW654214 ODA654125:ODA654214 NTE654125:NTE654214 NJI654125:NJI654214 MZM654125:MZM654214 MPQ654125:MPQ654214 MFU654125:MFU654214 LVY654125:LVY654214 LMC654125:LMC654214 LCG654125:LCG654214 KSK654125:KSK654214 KIO654125:KIO654214 JYS654125:JYS654214 JOW654125:JOW654214 JFA654125:JFA654214 IVE654125:IVE654214 ILI654125:ILI654214 IBM654125:IBM654214 HRQ654125:HRQ654214 HHU654125:HHU654214 GXY654125:GXY654214 GOC654125:GOC654214 GEG654125:GEG654214 FUK654125:FUK654214 FKO654125:FKO654214 FAS654125:FAS654214 EQW654125:EQW654214 EHA654125:EHA654214 DXE654125:DXE654214 DNI654125:DNI654214 DDM654125:DDM654214 CTQ654125:CTQ654214 CJU654125:CJU654214 BZY654125:BZY654214 BQC654125:BQC654214 BGG654125:BGG654214 AWK654125:AWK654214 AMO654125:AMO654214 ACS654125:ACS654214 SW654125:SW654214 JA654125:JA654214 E654136:E654225 WVM588589:WVM588678 WLQ588589:WLQ588678 WBU588589:WBU588678 VRY588589:VRY588678 VIC588589:VIC588678 UYG588589:UYG588678 UOK588589:UOK588678 UEO588589:UEO588678 TUS588589:TUS588678 TKW588589:TKW588678 TBA588589:TBA588678 SRE588589:SRE588678 SHI588589:SHI588678 RXM588589:RXM588678 RNQ588589:RNQ588678 RDU588589:RDU588678 QTY588589:QTY588678 QKC588589:QKC588678 QAG588589:QAG588678 PQK588589:PQK588678 PGO588589:PGO588678 OWS588589:OWS588678 OMW588589:OMW588678 ODA588589:ODA588678 NTE588589:NTE588678 NJI588589:NJI588678 MZM588589:MZM588678 MPQ588589:MPQ588678 MFU588589:MFU588678 LVY588589:LVY588678 LMC588589:LMC588678 LCG588589:LCG588678 KSK588589:KSK588678 KIO588589:KIO588678 JYS588589:JYS588678 JOW588589:JOW588678 JFA588589:JFA588678 IVE588589:IVE588678 ILI588589:ILI588678 IBM588589:IBM588678 HRQ588589:HRQ588678 HHU588589:HHU588678 GXY588589:GXY588678 GOC588589:GOC588678 GEG588589:GEG588678 FUK588589:FUK588678 FKO588589:FKO588678 FAS588589:FAS588678 EQW588589:EQW588678 EHA588589:EHA588678 DXE588589:DXE588678 DNI588589:DNI588678 DDM588589:DDM588678 CTQ588589:CTQ588678 CJU588589:CJU588678 BZY588589:BZY588678 BQC588589:BQC588678 BGG588589:BGG588678 AWK588589:AWK588678 AMO588589:AMO588678 ACS588589:ACS588678 SW588589:SW588678 JA588589:JA588678 E588600:E588689 WVM523053:WVM523142 WLQ523053:WLQ523142 WBU523053:WBU523142 VRY523053:VRY523142 VIC523053:VIC523142 UYG523053:UYG523142 UOK523053:UOK523142 UEO523053:UEO523142 TUS523053:TUS523142 TKW523053:TKW523142 TBA523053:TBA523142 SRE523053:SRE523142 SHI523053:SHI523142 RXM523053:RXM523142 RNQ523053:RNQ523142 RDU523053:RDU523142 QTY523053:QTY523142 QKC523053:QKC523142 QAG523053:QAG523142 PQK523053:PQK523142 PGO523053:PGO523142 OWS523053:OWS523142 OMW523053:OMW523142 ODA523053:ODA523142 NTE523053:NTE523142 NJI523053:NJI523142 MZM523053:MZM523142 MPQ523053:MPQ523142 MFU523053:MFU523142 LVY523053:LVY523142 LMC523053:LMC523142 LCG523053:LCG523142 KSK523053:KSK523142 KIO523053:KIO523142 JYS523053:JYS523142 JOW523053:JOW523142 JFA523053:JFA523142 IVE523053:IVE523142 ILI523053:ILI523142 IBM523053:IBM523142 HRQ523053:HRQ523142 HHU523053:HHU523142 GXY523053:GXY523142 GOC523053:GOC523142 GEG523053:GEG523142 FUK523053:FUK523142 FKO523053:FKO523142 FAS523053:FAS523142 EQW523053:EQW523142 EHA523053:EHA523142 DXE523053:DXE523142 DNI523053:DNI523142 DDM523053:DDM523142 CTQ523053:CTQ523142 CJU523053:CJU523142 BZY523053:BZY523142 BQC523053:BQC523142 BGG523053:BGG523142 AWK523053:AWK523142 AMO523053:AMO523142 ACS523053:ACS523142 SW523053:SW523142 JA523053:JA523142 E523064:E523153 WVM457517:WVM457606 WLQ457517:WLQ457606 WBU457517:WBU457606 VRY457517:VRY457606 VIC457517:VIC457606 UYG457517:UYG457606 UOK457517:UOK457606 UEO457517:UEO457606 TUS457517:TUS457606 TKW457517:TKW457606 TBA457517:TBA457606 SRE457517:SRE457606 SHI457517:SHI457606 RXM457517:RXM457606 RNQ457517:RNQ457606 RDU457517:RDU457606 QTY457517:QTY457606 QKC457517:QKC457606 QAG457517:QAG457606 PQK457517:PQK457606 PGO457517:PGO457606 OWS457517:OWS457606 OMW457517:OMW457606 ODA457517:ODA457606 NTE457517:NTE457606 NJI457517:NJI457606 MZM457517:MZM457606 MPQ457517:MPQ457606 MFU457517:MFU457606 LVY457517:LVY457606 LMC457517:LMC457606 LCG457517:LCG457606 KSK457517:KSK457606 KIO457517:KIO457606 JYS457517:JYS457606 JOW457517:JOW457606 JFA457517:JFA457606 IVE457517:IVE457606 ILI457517:ILI457606 IBM457517:IBM457606 HRQ457517:HRQ457606 HHU457517:HHU457606 GXY457517:GXY457606 GOC457517:GOC457606 GEG457517:GEG457606 FUK457517:FUK457606 FKO457517:FKO457606 FAS457517:FAS457606 EQW457517:EQW457606 EHA457517:EHA457606 DXE457517:DXE457606 DNI457517:DNI457606 DDM457517:DDM457606 CTQ457517:CTQ457606 CJU457517:CJU457606 BZY457517:BZY457606 BQC457517:BQC457606 BGG457517:BGG457606 AWK457517:AWK457606 AMO457517:AMO457606 ACS457517:ACS457606 SW457517:SW457606 JA457517:JA457606 E457528:E457617 WVM391981:WVM392070 WLQ391981:WLQ392070 WBU391981:WBU392070 VRY391981:VRY392070 VIC391981:VIC392070 UYG391981:UYG392070 UOK391981:UOK392070 UEO391981:UEO392070 TUS391981:TUS392070 TKW391981:TKW392070 TBA391981:TBA392070 SRE391981:SRE392070 SHI391981:SHI392070 RXM391981:RXM392070 RNQ391981:RNQ392070 RDU391981:RDU392070 QTY391981:QTY392070 QKC391981:QKC392070 QAG391981:QAG392070 PQK391981:PQK392070 PGO391981:PGO392070 OWS391981:OWS392070 OMW391981:OMW392070 ODA391981:ODA392070 NTE391981:NTE392070 NJI391981:NJI392070 MZM391981:MZM392070 MPQ391981:MPQ392070 MFU391981:MFU392070 LVY391981:LVY392070 LMC391981:LMC392070 LCG391981:LCG392070 KSK391981:KSK392070 KIO391981:KIO392070 JYS391981:JYS392070 JOW391981:JOW392070 JFA391981:JFA392070 IVE391981:IVE392070 ILI391981:ILI392070 IBM391981:IBM392070 HRQ391981:HRQ392070 HHU391981:HHU392070 GXY391981:GXY392070 GOC391981:GOC392070 GEG391981:GEG392070 FUK391981:FUK392070 FKO391981:FKO392070 FAS391981:FAS392070 EQW391981:EQW392070 EHA391981:EHA392070 DXE391981:DXE392070 DNI391981:DNI392070 DDM391981:DDM392070 CTQ391981:CTQ392070 CJU391981:CJU392070 BZY391981:BZY392070 BQC391981:BQC392070 BGG391981:BGG392070 AWK391981:AWK392070 AMO391981:AMO392070 ACS391981:ACS392070 SW391981:SW392070 JA391981:JA392070 E391992:E392081 WVM326445:WVM326534 WLQ326445:WLQ326534 WBU326445:WBU326534 VRY326445:VRY326534 VIC326445:VIC326534 UYG326445:UYG326534 UOK326445:UOK326534 UEO326445:UEO326534 TUS326445:TUS326534 TKW326445:TKW326534 TBA326445:TBA326534 SRE326445:SRE326534 SHI326445:SHI326534 RXM326445:RXM326534 RNQ326445:RNQ326534 RDU326445:RDU326534 QTY326445:QTY326534 QKC326445:QKC326534 QAG326445:QAG326534 PQK326445:PQK326534 PGO326445:PGO326534 OWS326445:OWS326534 OMW326445:OMW326534 ODA326445:ODA326534 NTE326445:NTE326534 NJI326445:NJI326534 MZM326445:MZM326534 MPQ326445:MPQ326534 MFU326445:MFU326534 LVY326445:LVY326534 LMC326445:LMC326534 LCG326445:LCG326534 KSK326445:KSK326534 KIO326445:KIO326534 JYS326445:JYS326534 JOW326445:JOW326534 JFA326445:JFA326534 IVE326445:IVE326534 ILI326445:ILI326534 IBM326445:IBM326534 HRQ326445:HRQ326534 HHU326445:HHU326534 GXY326445:GXY326534 GOC326445:GOC326534 GEG326445:GEG326534 FUK326445:FUK326534 FKO326445:FKO326534 FAS326445:FAS326534 EQW326445:EQW326534 EHA326445:EHA326534 DXE326445:DXE326534 DNI326445:DNI326534 DDM326445:DDM326534 CTQ326445:CTQ326534 CJU326445:CJU326534 BZY326445:BZY326534 BQC326445:BQC326534 BGG326445:BGG326534 AWK326445:AWK326534 AMO326445:AMO326534 ACS326445:ACS326534 SW326445:SW326534 JA326445:JA326534 E326456:E326545 WVM260909:WVM260998 WLQ260909:WLQ260998 WBU260909:WBU260998 VRY260909:VRY260998 VIC260909:VIC260998 UYG260909:UYG260998 UOK260909:UOK260998 UEO260909:UEO260998 TUS260909:TUS260998 TKW260909:TKW260998 TBA260909:TBA260998 SRE260909:SRE260998 SHI260909:SHI260998 RXM260909:RXM260998 RNQ260909:RNQ260998 RDU260909:RDU260998 QTY260909:QTY260998 QKC260909:QKC260998 QAG260909:QAG260998 PQK260909:PQK260998 PGO260909:PGO260998 OWS260909:OWS260998 OMW260909:OMW260998 ODA260909:ODA260998 NTE260909:NTE260998 NJI260909:NJI260998 MZM260909:MZM260998 MPQ260909:MPQ260998 MFU260909:MFU260998 LVY260909:LVY260998 LMC260909:LMC260998 LCG260909:LCG260998 KSK260909:KSK260998 KIO260909:KIO260998 JYS260909:JYS260998 JOW260909:JOW260998 JFA260909:JFA260998 IVE260909:IVE260998 ILI260909:ILI260998 IBM260909:IBM260998 HRQ260909:HRQ260998 HHU260909:HHU260998 GXY260909:GXY260998 GOC260909:GOC260998 GEG260909:GEG260998 FUK260909:FUK260998 FKO260909:FKO260998 FAS260909:FAS260998 EQW260909:EQW260998 EHA260909:EHA260998 DXE260909:DXE260998 DNI260909:DNI260998 DDM260909:DDM260998 CTQ260909:CTQ260998 CJU260909:CJU260998 BZY260909:BZY260998 BQC260909:BQC260998 BGG260909:BGG260998 AWK260909:AWK260998 AMO260909:AMO260998 ACS260909:ACS260998 SW260909:SW260998 JA260909:JA260998 E260920:E261009 WVM195373:WVM195462 WLQ195373:WLQ195462 WBU195373:WBU195462 VRY195373:VRY195462 VIC195373:VIC195462 UYG195373:UYG195462 UOK195373:UOK195462 UEO195373:UEO195462 TUS195373:TUS195462 TKW195373:TKW195462 TBA195373:TBA195462 SRE195373:SRE195462 SHI195373:SHI195462 RXM195373:RXM195462 RNQ195373:RNQ195462 RDU195373:RDU195462 QTY195373:QTY195462 QKC195373:QKC195462 QAG195373:QAG195462 PQK195373:PQK195462 PGO195373:PGO195462 OWS195373:OWS195462 OMW195373:OMW195462 ODA195373:ODA195462 NTE195373:NTE195462 NJI195373:NJI195462 MZM195373:MZM195462 MPQ195373:MPQ195462 MFU195373:MFU195462 LVY195373:LVY195462 LMC195373:LMC195462 LCG195373:LCG195462 KSK195373:KSK195462 KIO195373:KIO195462 JYS195373:JYS195462 JOW195373:JOW195462 JFA195373:JFA195462 IVE195373:IVE195462 ILI195373:ILI195462 IBM195373:IBM195462 HRQ195373:HRQ195462 HHU195373:HHU195462 GXY195373:GXY195462 GOC195373:GOC195462 GEG195373:GEG195462 FUK195373:FUK195462 FKO195373:FKO195462 FAS195373:FAS195462 EQW195373:EQW195462 EHA195373:EHA195462 DXE195373:DXE195462 DNI195373:DNI195462 DDM195373:DDM195462 CTQ195373:CTQ195462 CJU195373:CJU195462 BZY195373:BZY195462 BQC195373:BQC195462 BGG195373:BGG195462 AWK195373:AWK195462 AMO195373:AMO195462 ACS195373:ACS195462 SW195373:SW195462 JA195373:JA195462 E195384:E195473 WVM129837:WVM129926 WLQ129837:WLQ129926 WBU129837:WBU129926 VRY129837:VRY129926 VIC129837:VIC129926 UYG129837:UYG129926 UOK129837:UOK129926 UEO129837:UEO129926 TUS129837:TUS129926 TKW129837:TKW129926 TBA129837:TBA129926 SRE129837:SRE129926 SHI129837:SHI129926 RXM129837:RXM129926 RNQ129837:RNQ129926 RDU129837:RDU129926 QTY129837:QTY129926 QKC129837:QKC129926 QAG129837:QAG129926 PQK129837:PQK129926 PGO129837:PGO129926 OWS129837:OWS129926 OMW129837:OMW129926 ODA129837:ODA129926 NTE129837:NTE129926 NJI129837:NJI129926 MZM129837:MZM129926 MPQ129837:MPQ129926 MFU129837:MFU129926 LVY129837:LVY129926 LMC129837:LMC129926 LCG129837:LCG129926 KSK129837:KSK129926 KIO129837:KIO129926 JYS129837:JYS129926 JOW129837:JOW129926 JFA129837:JFA129926 IVE129837:IVE129926 ILI129837:ILI129926 IBM129837:IBM129926 HRQ129837:HRQ129926 HHU129837:HHU129926 GXY129837:GXY129926 GOC129837:GOC129926 GEG129837:GEG129926 FUK129837:FUK129926 FKO129837:FKO129926 FAS129837:FAS129926 EQW129837:EQW129926 EHA129837:EHA129926 DXE129837:DXE129926 DNI129837:DNI129926 DDM129837:DDM129926 CTQ129837:CTQ129926 CJU129837:CJU129926 BZY129837:BZY129926 BQC129837:BQC129926 BGG129837:BGG129926 AWK129837:AWK129926 AMO129837:AMO129926 ACS129837:ACS129926 SW129837:SW129926 JA129837:JA129926 E129848:E129937 WVM64301:WVM64390 WLQ64301:WLQ64390 WBU64301:WBU64390 VRY64301:VRY64390 VIC64301:VIC64390 UYG64301:UYG64390 UOK64301:UOK64390 UEO64301:UEO64390 TUS64301:TUS64390 TKW64301:TKW64390 TBA64301:TBA64390 SRE64301:SRE64390 SHI64301:SHI64390 RXM64301:RXM64390 RNQ64301:RNQ64390 RDU64301:RDU64390 QTY64301:QTY64390 QKC64301:QKC64390 QAG64301:QAG64390 PQK64301:PQK64390 PGO64301:PGO64390 OWS64301:OWS64390 OMW64301:OMW64390 ODA64301:ODA64390 NTE64301:NTE64390 NJI64301:NJI64390 MZM64301:MZM64390 MPQ64301:MPQ64390 MFU64301:MFU64390 LVY64301:LVY64390 LMC64301:LMC64390 LCG64301:LCG64390 KSK64301:KSK64390 KIO64301:KIO64390 JYS64301:JYS64390 JOW64301:JOW64390 JFA64301:JFA64390 IVE64301:IVE64390 ILI64301:ILI64390 IBM64301:IBM64390 HRQ64301:HRQ64390 HHU64301:HHU64390 GXY64301:GXY64390 GOC64301:GOC64390 GEG64301:GEG64390 FUK64301:FUK64390 FKO64301:FKO64390 FAS64301:FAS64390 EQW64301:EQW64390 EHA64301:EHA64390 DXE64301:DXE64390 DNI64301:DNI64390 DDM64301:DDM64390 CTQ64301:CTQ64390 CJU64301:CJU64390 BZY64301:BZY64390 BQC64301:BQC64390 BGG64301:BGG64390 AWK64301:AWK64390 AMO64301:AMO64390 ACS64301:ACS64390 SW64301:SW64390 JA64301:JA64390 E64312:E64401 WVM2:WVM73 WLQ2:WLQ73 WBU2:WBU73 VRY2:VRY73 VIC2:VIC73 UYG2:UYG73 UOK2:UOK73 UEO2:UEO73 TUS2:TUS73 TKW2:TKW73 TBA2:TBA73 SRE2:SRE73 SHI2:SHI73 RXM2:RXM73 RNQ2:RNQ73 RDU2:RDU73 QTY2:QTY73 QKC2:QKC73 QAG2:QAG73 PQK2:PQK73 PGO2:PGO73 OWS2:OWS73 OMW2:OMW73 ODA2:ODA73 NTE2:NTE73 NJI2:NJI73 MZM2:MZM73 MPQ2:MPQ73 MFU2:MFU73 LVY2:LVY73 LMC2:LMC73 LCG2:LCG73 KSK2:KSK73 KIO2:KIO73 JYS2:JYS73 JOW2:JOW73 JFA2:JFA73 IVE2:IVE73 ILI2:ILI73 IBM2:IBM73 HRQ2:HRQ73 HHU2:HHU73 GXY2:GXY73 GOC2:GOC73 GEG2:GEG73 FUK2:FUK73 FKO2:FKO73 FAS2:FAS73 EQW2:EQW73 EHA2:EHA73 DXE2:DXE73 DNI2:DNI73 DDM2:DDM73 CTQ2:CTQ73 CJU2:CJU73 BZY2:BZY73 BQC2:BQC73 BGG2:BGG73 AWK2:AWK73 AMO2:AMO73 ACS2:ACS73 SW2:SW73 JA2:JA73" xr:uid="{CD293036-2605-497F-A53D-92EB6F15F088}">
      <formula1>$AG$2:$AG$13</formula1>
    </dataValidation>
    <dataValidation type="list" allowBlank="1" showInputMessage="1" showErrorMessage="1" sqref="WWF981805:WWF981888 WMJ981805:WMJ981888 WCN981805:WCN981888 VSR981805:VSR981888 VIV981805:VIV981888 UYZ981805:UYZ981888 UPD981805:UPD981888 UFH981805:UFH981888 TVL981805:TVL981888 TLP981805:TLP981888 TBT981805:TBT981888 SRX981805:SRX981888 SIB981805:SIB981888 RYF981805:RYF981888 ROJ981805:ROJ981888 REN981805:REN981888 QUR981805:QUR981888 QKV981805:QKV981888 QAZ981805:QAZ981888 PRD981805:PRD981888 PHH981805:PHH981888 OXL981805:OXL981888 ONP981805:ONP981888 ODT981805:ODT981888 NTX981805:NTX981888 NKB981805:NKB981888 NAF981805:NAF981888 MQJ981805:MQJ981888 MGN981805:MGN981888 LWR981805:LWR981888 LMV981805:LMV981888 LCZ981805:LCZ981888 KTD981805:KTD981888 KJH981805:KJH981888 JZL981805:JZL981888 JPP981805:JPP981888 JFT981805:JFT981888 IVX981805:IVX981888 IMB981805:IMB981888 ICF981805:ICF981888 HSJ981805:HSJ981888 HIN981805:HIN981888 GYR981805:GYR981888 GOV981805:GOV981888 GEZ981805:GEZ981888 FVD981805:FVD981888 FLH981805:FLH981888 FBL981805:FBL981888 ERP981805:ERP981888 EHT981805:EHT981888 DXX981805:DXX981888 DOB981805:DOB981888 DEF981805:DEF981888 CUJ981805:CUJ981888 CKN981805:CKN981888 CAR981805:CAR981888 BQV981805:BQV981888 BGZ981805:BGZ981888 AXD981805:AXD981888 ANH981805:ANH981888 ADL981805:ADL981888 TP981805:TP981888 JT981805:JT981888 X981805:X981888 WWF916269:WWF916352 WMJ916269:WMJ916352 WCN916269:WCN916352 VSR916269:VSR916352 VIV916269:VIV916352 UYZ916269:UYZ916352 UPD916269:UPD916352 UFH916269:UFH916352 TVL916269:TVL916352 TLP916269:TLP916352 TBT916269:TBT916352 SRX916269:SRX916352 SIB916269:SIB916352 RYF916269:RYF916352 ROJ916269:ROJ916352 REN916269:REN916352 QUR916269:QUR916352 QKV916269:QKV916352 QAZ916269:QAZ916352 PRD916269:PRD916352 PHH916269:PHH916352 OXL916269:OXL916352 ONP916269:ONP916352 ODT916269:ODT916352 NTX916269:NTX916352 NKB916269:NKB916352 NAF916269:NAF916352 MQJ916269:MQJ916352 MGN916269:MGN916352 LWR916269:LWR916352 LMV916269:LMV916352 LCZ916269:LCZ916352 KTD916269:KTD916352 KJH916269:KJH916352 JZL916269:JZL916352 JPP916269:JPP916352 JFT916269:JFT916352 IVX916269:IVX916352 IMB916269:IMB916352 ICF916269:ICF916352 HSJ916269:HSJ916352 HIN916269:HIN916352 GYR916269:GYR916352 GOV916269:GOV916352 GEZ916269:GEZ916352 FVD916269:FVD916352 FLH916269:FLH916352 FBL916269:FBL916352 ERP916269:ERP916352 EHT916269:EHT916352 DXX916269:DXX916352 DOB916269:DOB916352 DEF916269:DEF916352 CUJ916269:CUJ916352 CKN916269:CKN916352 CAR916269:CAR916352 BQV916269:BQV916352 BGZ916269:BGZ916352 AXD916269:AXD916352 ANH916269:ANH916352 ADL916269:ADL916352 TP916269:TP916352 JT916269:JT916352 X916269:X916352 WWF850733:WWF850816 WMJ850733:WMJ850816 WCN850733:WCN850816 VSR850733:VSR850816 VIV850733:VIV850816 UYZ850733:UYZ850816 UPD850733:UPD850816 UFH850733:UFH850816 TVL850733:TVL850816 TLP850733:TLP850816 TBT850733:TBT850816 SRX850733:SRX850816 SIB850733:SIB850816 RYF850733:RYF850816 ROJ850733:ROJ850816 REN850733:REN850816 QUR850733:QUR850816 QKV850733:QKV850816 QAZ850733:QAZ850816 PRD850733:PRD850816 PHH850733:PHH850816 OXL850733:OXL850816 ONP850733:ONP850816 ODT850733:ODT850816 NTX850733:NTX850816 NKB850733:NKB850816 NAF850733:NAF850816 MQJ850733:MQJ850816 MGN850733:MGN850816 LWR850733:LWR850816 LMV850733:LMV850816 LCZ850733:LCZ850816 KTD850733:KTD850816 KJH850733:KJH850816 JZL850733:JZL850816 JPP850733:JPP850816 JFT850733:JFT850816 IVX850733:IVX850816 IMB850733:IMB850816 ICF850733:ICF850816 HSJ850733:HSJ850816 HIN850733:HIN850816 GYR850733:GYR850816 GOV850733:GOV850816 GEZ850733:GEZ850816 FVD850733:FVD850816 FLH850733:FLH850816 FBL850733:FBL850816 ERP850733:ERP850816 EHT850733:EHT850816 DXX850733:DXX850816 DOB850733:DOB850816 DEF850733:DEF850816 CUJ850733:CUJ850816 CKN850733:CKN850816 CAR850733:CAR850816 BQV850733:BQV850816 BGZ850733:BGZ850816 AXD850733:AXD850816 ANH850733:ANH850816 ADL850733:ADL850816 TP850733:TP850816 JT850733:JT850816 X850733:X850816 WWF785197:WWF785280 WMJ785197:WMJ785280 WCN785197:WCN785280 VSR785197:VSR785280 VIV785197:VIV785280 UYZ785197:UYZ785280 UPD785197:UPD785280 UFH785197:UFH785280 TVL785197:TVL785280 TLP785197:TLP785280 TBT785197:TBT785280 SRX785197:SRX785280 SIB785197:SIB785280 RYF785197:RYF785280 ROJ785197:ROJ785280 REN785197:REN785280 QUR785197:QUR785280 QKV785197:QKV785280 QAZ785197:QAZ785280 PRD785197:PRD785280 PHH785197:PHH785280 OXL785197:OXL785280 ONP785197:ONP785280 ODT785197:ODT785280 NTX785197:NTX785280 NKB785197:NKB785280 NAF785197:NAF785280 MQJ785197:MQJ785280 MGN785197:MGN785280 LWR785197:LWR785280 LMV785197:LMV785280 LCZ785197:LCZ785280 KTD785197:KTD785280 KJH785197:KJH785280 JZL785197:JZL785280 JPP785197:JPP785280 JFT785197:JFT785280 IVX785197:IVX785280 IMB785197:IMB785280 ICF785197:ICF785280 HSJ785197:HSJ785280 HIN785197:HIN785280 GYR785197:GYR785280 GOV785197:GOV785280 GEZ785197:GEZ785280 FVD785197:FVD785280 FLH785197:FLH785280 FBL785197:FBL785280 ERP785197:ERP785280 EHT785197:EHT785280 DXX785197:DXX785280 DOB785197:DOB785280 DEF785197:DEF785280 CUJ785197:CUJ785280 CKN785197:CKN785280 CAR785197:CAR785280 BQV785197:BQV785280 BGZ785197:BGZ785280 AXD785197:AXD785280 ANH785197:ANH785280 ADL785197:ADL785280 TP785197:TP785280 JT785197:JT785280 X785197:X785280 WWF719661:WWF719744 WMJ719661:WMJ719744 WCN719661:WCN719744 VSR719661:VSR719744 VIV719661:VIV719744 UYZ719661:UYZ719744 UPD719661:UPD719744 UFH719661:UFH719744 TVL719661:TVL719744 TLP719661:TLP719744 TBT719661:TBT719744 SRX719661:SRX719744 SIB719661:SIB719744 RYF719661:RYF719744 ROJ719661:ROJ719744 REN719661:REN719744 QUR719661:QUR719744 QKV719661:QKV719744 QAZ719661:QAZ719744 PRD719661:PRD719744 PHH719661:PHH719744 OXL719661:OXL719744 ONP719661:ONP719744 ODT719661:ODT719744 NTX719661:NTX719744 NKB719661:NKB719744 NAF719661:NAF719744 MQJ719661:MQJ719744 MGN719661:MGN719744 LWR719661:LWR719744 LMV719661:LMV719744 LCZ719661:LCZ719744 KTD719661:KTD719744 KJH719661:KJH719744 JZL719661:JZL719744 JPP719661:JPP719744 JFT719661:JFT719744 IVX719661:IVX719744 IMB719661:IMB719744 ICF719661:ICF719744 HSJ719661:HSJ719744 HIN719661:HIN719744 GYR719661:GYR719744 GOV719661:GOV719744 GEZ719661:GEZ719744 FVD719661:FVD719744 FLH719661:FLH719744 FBL719661:FBL719744 ERP719661:ERP719744 EHT719661:EHT719744 DXX719661:DXX719744 DOB719661:DOB719744 DEF719661:DEF719744 CUJ719661:CUJ719744 CKN719661:CKN719744 CAR719661:CAR719744 BQV719661:BQV719744 BGZ719661:BGZ719744 AXD719661:AXD719744 ANH719661:ANH719744 ADL719661:ADL719744 TP719661:TP719744 JT719661:JT719744 X719661:X719744 WWF654125:WWF654208 WMJ654125:WMJ654208 WCN654125:WCN654208 VSR654125:VSR654208 VIV654125:VIV654208 UYZ654125:UYZ654208 UPD654125:UPD654208 UFH654125:UFH654208 TVL654125:TVL654208 TLP654125:TLP654208 TBT654125:TBT654208 SRX654125:SRX654208 SIB654125:SIB654208 RYF654125:RYF654208 ROJ654125:ROJ654208 REN654125:REN654208 QUR654125:QUR654208 QKV654125:QKV654208 QAZ654125:QAZ654208 PRD654125:PRD654208 PHH654125:PHH654208 OXL654125:OXL654208 ONP654125:ONP654208 ODT654125:ODT654208 NTX654125:NTX654208 NKB654125:NKB654208 NAF654125:NAF654208 MQJ654125:MQJ654208 MGN654125:MGN654208 LWR654125:LWR654208 LMV654125:LMV654208 LCZ654125:LCZ654208 KTD654125:KTD654208 KJH654125:KJH654208 JZL654125:JZL654208 JPP654125:JPP654208 JFT654125:JFT654208 IVX654125:IVX654208 IMB654125:IMB654208 ICF654125:ICF654208 HSJ654125:HSJ654208 HIN654125:HIN654208 GYR654125:GYR654208 GOV654125:GOV654208 GEZ654125:GEZ654208 FVD654125:FVD654208 FLH654125:FLH654208 FBL654125:FBL654208 ERP654125:ERP654208 EHT654125:EHT654208 DXX654125:DXX654208 DOB654125:DOB654208 DEF654125:DEF654208 CUJ654125:CUJ654208 CKN654125:CKN654208 CAR654125:CAR654208 BQV654125:BQV654208 BGZ654125:BGZ654208 AXD654125:AXD654208 ANH654125:ANH654208 ADL654125:ADL654208 TP654125:TP654208 JT654125:JT654208 X654125:X654208 WWF588589:WWF588672 WMJ588589:WMJ588672 WCN588589:WCN588672 VSR588589:VSR588672 VIV588589:VIV588672 UYZ588589:UYZ588672 UPD588589:UPD588672 UFH588589:UFH588672 TVL588589:TVL588672 TLP588589:TLP588672 TBT588589:TBT588672 SRX588589:SRX588672 SIB588589:SIB588672 RYF588589:RYF588672 ROJ588589:ROJ588672 REN588589:REN588672 QUR588589:QUR588672 QKV588589:QKV588672 QAZ588589:QAZ588672 PRD588589:PRD588672 PHH588589:PHH588672 OXL588589:OXL588672 ONP588589:ONP588672 ODT588589:ODT588672 NTX588589:NTX588672 NKB588589:NKB588672 NAF588589:NAF588672 MQJ588589:MQJ588672 MGN588589:MGN588672 LWR588589:LWR588672 LMV588589:LMV588672 LCZ588589:LCZ588672 KTD588589:KTD588672 KJH588589:KJH588672 JZL588589:JZL588672 JPP588589:JPP588672 JFT588589:JFT588672 IVX588589:IVX588672 IMB588589:IMB588672 ICF588589:ICF588672 HSJ588589:HSJ588672 HIN588589:HIN588672 GYR588589:GYR588672 GOV588589:GOV588672 GEZ588589:GEZ588672 FVD588589:FVD588672 FLH588589:FLH588672 FBL588589:FBL588672 ERP588589:ERP588672 EHT588589:EHT588672 DXX588589:DXX588672 DOB588589:DOB588672 DEF588589:DEF588672 CUJ588589:CUJ588672 CKN588589:CKN588672 CAR588589:CAR588672 BQV588589:BQV588672 BGZ588589:BGZ588672 AXD588589:AXD588672 ANH588589:ANH588672 ADL588589:ADL588672 TP588589:TP588672 JT588589:JT588672 X588589:X588672 WWF523053:WWF523136 WMJ523053:WMJ523136 WCN523053:WCN523136 VSR523053:VSR523136 VIV523053:VIV523136 UYZ523053:UYZ523136 UPD523053:UPD523136 UFH523053:UFH523136 TVL523053:TVL523136 TLP523053:TLP523136 TBT523053:TBT523136 SRX523053:SRX523136 SIB523053:SIB523136 RYF523053:RYF523136 ROJ523053:ROJ523136 REN523053:REN523136 QUR523053:QUR523136 QKV523053:QKV523136 QAZ523053:QAZ523136 PRD523053:PRD523136 PHH523053:PHH523136 OXL523053:OXL523136 ONP523053:ONP523136 ODT523053:ODT523136 NTX523053:NTX523136 NKB523053:NKB523136 NAF523053:NAF523136 MQJ523053:MQJ523136 MGN523053:MGN523136 LWR523053:LWR523136 LMV523053:LMV523136 LCZ523053:LCZ523136 KTD523053:KTD523136 KJH523053:KJH523136 JZL523053:JZL523136 JPP523053:JPP523136 JFT523053:JFT523136 IVX523053:IVX523136 IMB523053:IMB523136 ICF523053:ICF523136 HSJ523053:HSJ523136 HIN523053:HIN523136 GYR523053:GYR523136 GOV523053:GOV523136 GEZ523053:GEZ523136 FVD523053:FVD523136 FLH523053:FLH523136 FBL523053:FBL523136 ERP523053:ERP523136 EHT523053:EHT523136 DXX523053:DXX523136 DOB523053:DOB523136 DEF523053:DEF523136 CUJ523053:CUJ523136 CKN523053:CKN523136 CAR523053:CAR523136 BQV523053:BQV523136 BGZ523053:BGZ523136 AXD523053:AXD523136 ANH523053:ANH523136 ADL523053:ADL523136 TP523053:TP523136 JT523053:JT523136 X523053:X523136 WWF457517:WWF457600 WMJ457517:WMJ457600 WCN457517:WCN457600 VSR457517:VSR457600 VIV457517:VIV457600 UYZ457517:UYZ457600 UPD457517:UPD457600 UFH457517:UFH457600 TVL457517:TVL457600 TLP457517:TLP457600 TBT457517:TBT457600 SRX457517:SRX457600 SIB457517:SIB457600 RYF457517:RYF457600 ROJ457517:ROJ457600 REN457517:REN457600 QUR457517:QUR457600 QKV457517:QKV457600 QAZ457517:QAZ457600 PRD457517:PRD457600 PHH457517:PHH457600 OXL457517:OXL457600 ONP457517:ONP457600 ODT457517:ODT457600 NTX457517:NTX457600 NKB457517:NKB457600 NAF457517:NAF457600 MQJ457517:MQJ457600 MGN457517:MGN457600 LWR457517:LWR457600 LMV457517:LMV457600 LCZ457517:LCZ457600 KTD457517:KTD457600 KJH457517:KJH457600 JZL457517:JZL457600 JPP457517:JPP457600 JFT457517:JFT457600 IVX457517:IVX457600 IMB457517:IMB457600 ICF457517:ICF457600 HSJ457517:HSJ457600 HIN457517:HIN457600 GYR457517:GYR457600 GOV457517:GOV457600 GEZ457517:GEZ457600 FVD457517:FVD457600 FLH457517:FLH457600 FBL457517:FBL457600 ERP457517:ERP457600 EHT457517:EHT457600 DXX457517:DXX457600 DOB457517:DOB457600 DEF457517:DEF457600 CUJ457517:CUJ457600 CKN457517:CKN457600 CAR457517:CAR457600 BQV457517:BQV457600 BGZ457517:BGZ457600 AXD457517:AXD457600 ANH457517:ANH457600 ADL457517:ADL457600 TP457517:TP457600 JT457517:JT457600 X457517:X457600 WWF391981:WWF392064 WMJ391981:WMJ392064 WCN391981:WCN392064 VSR391981:VSR392064 VIV391981:VIV392064 UYZ391981:UYZ392064 UPD391981:UPD392064 UFH391981:UFH392064 TVL391981:TVL392064 TLP391981:TLP392064 TBT391981:TBT392064 SRX391981:SRX392064 SIB391981:SIB392064 RYF391981:RYF392064 ROJ391981:ROJ392064 REN391981:REN392064 QUR391981:QUR392064 QKV391981:QKV392064 QAZ391981:QAZ392064 PRD391981:PRD392064 PHH391981:PHH392064 OXL391981:OXL392064 ONP391981:ONP392064 ODT391981:ODT392064 NTX391981:NTX392064 NKB391981:NKB392064 NAF391981:NAF392064 MQJ391981:MQJ392064 MGN391981:MGN392064 LWR391981:LWR392064 LMV391981:LMV392064 LCZ391981:LCZ392064 KTD391981:KTD392064 KJH391981:KJH392064 JZL391981:JZL392064 JPP391981:JPP392064 JFT391981:JFT392064 IVX391981:IVX392064 IMB391981:IMB392064 ICF391981:ICF392064 HSJ391981:HSJ392064 HIN391981:HIN392064 GYR391981:GYR392064 GOV391981:GOV392064 GEZ391981:GEZ392064 FVD391981:FVD392064 FLH391981:FLH392064 FBL391981:FBL392064 ERP391981:ERP392064 EHT391981:EHT392064 DXX391981:DXX392064 DOB391981:DOB392064 DEF391981:DEF392064 CUJ391981:CUJ392064 CKN391981:CKN392064 CAR391981:CAR392064 BQV391981:BQV392064 BGZ391981:BGZ392064 AXD391981:AXD392064 ANH391981:ANH392064 ADL391981:ADL392064 TP391981:TP392064 JT391981:JT392064 X391981:X392064 WWF326445:WWF326528 WMJ326445:WMJ326528 WCN326445:WCN326528 VSR326445:VSR326528 VIV326445:VIV326528 UYZ326445:UYZ326528 UPD326445:UPD326528 UFH326445:UFH326528 TVL326445:TVL326528 TLP326445:TLP326528 TBT326445:TBT326528 SRX326445:SRX326528 SIB326445:SIB326528 RYF326445:RYF326528 ROJ326445:ROJ326528 REN326445:REN326528 QUR326445:QUR326528 QKV326445:QKV326528 QAZ326445:QAZ326528 PRD326445:PRD326528 PHH326445:PHH326528 OXL326445:OXL326528 ONP326445:ONP326528 ODT326445:ODT326528 NTX326445:NTX326528 NKB326445:NKB326528 NAF326445:NAF326528 MQJ326445:MQJ326528 MGN326445:MGN326528 LWR326445:LWR326528 LMV326445:LMV326528 LCZ326445:LCZ326528 KTD326445:KTD326528 KJH326445:KJH326528 JZL326445:JZL326528 JPP326445:JPP326528 JFT326445:JFT326528 IVX326445:IVX326528 IMB326445:IMB326528 ICF326445:ICF326528 HSJ326445:HSJ326528 HIN326445:HIN326528 GYR326445:GYR326528 GOV326445:GOV326528 GEZ326445:GEZ326528 FVD326445:FVD326528 FLH326445:FLH326528 FBL326445:FBL326528 ERP326445:ERP326528 EHT326445:EHT326528 DXX326445:DXX326528 DOB326445:DOB326528 DEF326445:DEF326528 CUJ326445:CUJ326528 CKN326445:CKN326528 CAR326445:CAR326528 BQV326445:BQV326528 BGZ326445:BGZ326528 AXD326445:AXD326528 ANH326445:ANH326528 ADL326445:ADL326528 TP326445:TP326528 JT326445:JT326528 X326445:X326528 WWF260909:WWF260992 WMJ260909:WMJ260992 WCN260909:WCN260992 VSR260909:VSR260992 VIV260909:VIV260992 UYZ260909:UYZ260992 UPD260909:UPD260992 UFH260909:UFH260992 TVL260909:TVL260992 TLP260909:TLP260992 TBT260909:TBT260992 SRX260909:SRX260992 SIB260909:SIB260992 RYF260909:RYF260992 ROJ260909:ROJ260992 REN260909:REN260992 QUR260909:QUR260992 QKV260909:QKV260992 QAZ260909:QAZ260992 PRD260909:PRD260992 PHH260909:PHH260992 OXL260909:OXL260992 ONP260909:ONP260992 ODT260909:ODT260992 NTX260909:NTX260992 NKB260909:NKB260992 NAF260909:NAF260992 MQJ260909:MQJ260992 MGN260909:MGN260992 LWR260909:LWR260992 LMV260909:LMV260992 LCZ260909:LCZ260992 KTD260909:KTD260992 KJH260909:KJH260992 JZL260909:JZL260992 JPP260909:JPP260992 JFT260909:JFT260992 IVX260909:IVX260992 IMB260909:IMB260992 ICF260909:ICF260992 HSJ260909:HSJ260992 HIN260909:HIN260992 GYR260909:GYR260992 GOV260909:GOV260992 GEZ260909:GEZ260992 FVD260909:FVD260992 FLH260909:FLH260992 FBL260909:FBL260992 ERP260909:ERP260992 EHT260909:EHT260992 DXX260909:DXX260992 DOB260909:DOB260992 DEF260909:DEF260992 CUJ260909:CUJ260992 CKN260909:CKN260992 CAR260909:CAR260992 BQV260909:BQV260992 BGZ260909:BGZ260992 AXD260909:AXD260992 ANH260909:ANH260992 ADL260909:ADL260992 TP260909:TP260992 JT260909:JT260992 X260909:X260992 WWF195373:WWF195456 WMJ195373:WMJ195456 WCN195373:WCN195456 VSR195373:VSR195456 VIV195373:VIV195456 UYZ195373:UYZ195456 UPD195373:UPD195456 UFH195373:UFH195456 TVL195373:TVL195456 TLP195373:TLP195456 TBT195373:TBT195456 SRX195373:SRX195456 SIB195373:SIB195456 RYF195373:RYF195456 ROJ195373:ROJ195456 REN195373:REN195456 QUR195373:QUR195456 QKV195373:QKV195456 QAZ195373:QAZ195456 PRD195373:PRD195456 PHH195373:PHH195456 OXL195373:OXL195456 ONP195373:ONP195456 ODT195373:ODT195456 NTX195373:NTX195456 NKB195373:NKB195456 NAF195373:NAF195456 MQJ195373:MQJ195456 MGN195373:MGN195456 LWR195373:LWR195456 LMV195373:LMV195456 LCZ195373:LCZ195456 KTD195373:KTD195456 KJH195373:KJH195456 JZL195373:JZL195456 JPP195373:JPP195456 JFT195373:JFT195456 IVX195373:IVX195456 IMB195373:IMB195456 ICF195373:ICF195456 HSJ195373:HSJ195456 HIN195373:HIN195456 GYR195373:GYR195456 GOV195373:GOV195456 GEZ195373:GEZ195456 FVD195373:FVD195456 FLH195373:FLH195456 FBL195373:FBL195456 ERP195373:ERP195456 EHT195373:EHT195456 DXX195373:DXX195456 DOB195373:DOB195456 DEF195373:DEF195456 CUJ195373:CUJ195456 CKN195373:CKN195456 CAR195373:CAR195456 BQV195373:BQV195456 BGZ195373:BGZ195456 AXD195373:AXD195456 ANH195373:ANH195456 ADL195373:ADL195456 TP195373:TP195456 JT195373:JT195456 X195373:X195456 WWF129837:WWF129920 WMJ129837:WMJ129920 WCN129837:WCN129920 VSR129837:VSR129920 VIV129837:VIV129920 UYZ129837:UYZ129920 UPD129837:UPD129920 UFH129837:UFH129920 TVL129837:TVL129920 TLP129837:TLP129920 TBT129837:TBT129920 SRX129837:SRX129920 SIB129837:SIB129920 RYF129837:RYF129920 ROJ129837:ROJ129920 REN129837:REN129920 QUR129837:QUR129920 QKV129837:QKV129920 QAZ129837:QAZ129920 PRD129837:PRD129920 PHH129837:PHH129920 OXL129837:OXL129920 ONP129837:ONP129920 ODT129837:ODT129920 NTX129837:NTX129920 NKB129837:NKB129920 NAF129837:NAF129920 MQJ129837:MQJ129920 MGN129837:MGN129920 LWR129837:LWR129920 LMV129837:LMV129920 LCZ129837:LCZ129920 KTD129837:KTD129920 KJH129837:KJH129920 JZL129837:JZL129920 JPP129837:JPP129920 JFT129837:JFT129920 IVX129837:IVX129920 IMB129837:IMB129920 ICF129837:ICF129920 HSJ129837:HSJ129920 HIN129837:HIN129920 GYR129837:GYR129920 GOV129837:GOV129920 GEZ129837:GEZ129920 FVD129837:FVD129920 FLH129837:FLH129920 FBL129837:FBL129920 ERP129837:ERP129920 EHT129837:EHT129920 DXX129837:DXX129920 DOB129837:DOB129920 DEF129837:DEF129920 CUJ129837:CUJ129920 CKN129837:CKN129920 CAR129837:CAR129920 BQV129837:BQV129920 BGZ129837:BGZ129920 AXD129837:AXD129920 ANH129837:ANH129920 ADL129837:ADL129920 TP129837:TP129920 JT129837:JT129920 X129837:X129920 WWF64301:WWF64384 WMJ64301:WMJ64384 WCN64301:WCN64384 VSR64301:VSR64384 VIV64301:VIV64384 UYZ64301:UYZ64384 UPD64301:UPD64384 UFH64301:UFH64384 TVL64301:TVL64384 TLP64301:TLP64384 TBT64301:TBT64384 SRX64301:SRX64384 SIB64301:SIB64384 RYF64301:RYF64384 ROJ64301:ROJ64384 REN64301:REN64384 QUR64301:QUR64384 QKV64301:QKV64384 QAZ64301:QAZ64384 PRD64301:PRD64384 PHH64301:PHH64384 OXL64301:OXL64384 ONP64301:ONP64384 ODT64301:ODT64384 NTX64301:NTX64384 NKB64301:NKB64384 NAF64301:NAF64384 MQJ64301:MQJ64384 MGN64301:MGN64384 LWR64301:LWR64384 LMV64301:LMV64384 LCZ64301:LCZ64384 KTD64301:KTD64384 KJH64301:KJH64384 JZL64301:JZL64384 JPP64301:JPP64384 JFT64301:JFT64384 IVX64301:IVX64384 IMB64301:IMB64384 ICF64301:ICF64384 HSJ64301:HSJ64384 HIN64301:HIN64384 GYR64301:GYR64384 GOV64301:GOV64384 GEZ64301:GEZ64384 FVD64301:FVD64384 FLH64301:FLH64384 FBL64301:FBL64384 ERP64301:ERP64384 EHT64301:EHT64384 DXX64301:DXX64384 DOB64301:DOB64384 DEF64301:DEF64384 CUJ64301:CUJ64384 CKN64301:CKN64384 CAR64301:CAR64384 BQV64301:BQV64384 BGZ64301:BGZ64384 AXD64301:AXD64384 ANH64301:ANH64384 ADL64301:ADL64384 TP64301:TP64384 JT64301:JT64384 X64301:X64384 X96:X500 JT2:JT73 WWF2:WWF73 WMJ2:WMJ73 WCN2:WCN73 VSR2:VSR73 VIV2:VIV73 UYZ2:UYZ73 UPD2:UPD73 UFH2:UFH73 TVL2:TVL73 TLP2:TLP73 TBT2:TBT73 SRX2:SRX73 SIB2:SIB73 RYF2:RYF73 ROJ2:ROJ73 REN2:REN73 QUR2:QUR73 QKV2:QKV73 QAZ2:QAZ73 PRD2:PRD73 PHH2:PHH73 OXL2:OXL73 ONP2:ONP73 ODT2:ODT73 NTX2:NTX73 NKB2:NKB73 NAF2:NAF73 MQJ2:MQJ73 MGN2:MGN73 LWR2:LWR73 LMV2:LMV73 LCZ2:LCZ73 KTD2:KTD73 KJH2:KJH73 JZL2:JZL73 JPP2:JPP73 JFT2:JFT73 IVX2:IVX73 IMB2:IMB73 ICF2:ICF73 HSJ2:HSJ73 HIN2:HIN73 GYR2:GYR73 GOV2:GOV73 GEZ2:GEZ73 FVD2:FVD73 FLH2:FLH73 FBL2:FBL73 ERP2:ERP73 EHT2:EHT73 DXX2:DXX73 DOB2:DOB73 DEF2:DEF73 CUJ2:CUJ73 CKN2:CKN73 CAR2:CAR73 BQV2:BQV73 BGZ2:BGZ73 AXD2:AXD73 ANH2:ANH73 ADL2:ADL73 TP2:TP73 X2:X94" xr:uid="{C2A0DB6F-3909-4EB0-B1CA-724EC780A554}">
      <formula1>$AT$2:$AT$3</formula1>
    </dataValidation>
    <dataValidation operator="equal" allowBlank="1" showInputMessage="1" showErrorMessage="1" sqref="WVJ981805:WVJ981894 WLN981805:WLN981894 WBR981805:WBR981894 VRV981805:VRV981894 VHZ981805:VHZ981894 UYD981805:UYD981894 UOH981805:UOH981894 UEL981805:UEL981894 TUP981805:TUP981894 TKT981805:TKT981894 TAX981805:TAX981894 SRB981805:SRB981894 SHF981805:SHF981894 RXJ981805:RXJ981894 RNN981805:RNN981894 RDR981805:RDR981894 QTV981805:QTV981894 QJZ981805:QJZ981894 QAD981805:QAD981894 PQH981805:PQH981894 PGL981805:PGL981894 OWP981805:OWP981894 OMT981805:OMT981894 OCX981805:OCX981894 NTB981805:NTB981894 NJF981805:NJF981894 MZJ981805:MZJ981894 MPN981805:MPN981894 MFR981805:MFR981894 LVV981805:LVV981894 LLZ981805:LLZ981894 LCD981805:LCD981894 KSH981805:KSH981894 KIL981805:KIL981894 JYP981805:JYP981894 JOT981805:JOT981894 JEX981805:JEX981894 IVB981805:IVB981894 ILF981805:ILF981894 IBJ981805:IBJ981894 HRN981805:HRN981894 HHR981805:HHR981894 GXV981805:GXV981894 GNZ981805:GNZ981894 GED981805:GED981894 FUH981805:FUH981894 FKL981805:FKL981894 FAP981805:FAP981894 EQT981805:EQT981894 EGX981805:EGX981894 DXB981805:DXB981894 DNF981805:DNF981894 DDJ981805:DDJ981894 CTN981805:CTN981894 CJR981805:CJR981894 BZV981805:BZV981894 BPZ981805:BPZ981894 BGD981805:BGD981894 AWH981805:AWH981894 AML981805:AML981894 ACP981805:ACP981894 ST981805:ST981894 IX981805:IX981894 B981811:B981900 WVJ916269:WVJ916358 WLN916269:WLN916358 WBR916269:WBR916358 VRV916269:VRV916358 VHZ916269:VHZ916358 UYD916269:UYD916358 UOH916269:UOH916358 UEL916269:UEL916358 TUP916269:TUP916358 TKT916269:TKT916358 TAX916269:TAX916358 SRB916269:SRB916358 SHF916269:SHF916358 RXJ916269:RXJ916358 RNN916269:RNN916358 RDR916269:RDR916358 QTV916269:QTV916358 QJZ916269:QJZ916358 QAD916269:QAD916358 PQH916269:PQH916358 PGL916269:PGL916358 OWP916269:OWP916358 OMT916269:OMT916358 OCX916269:OCX916358 NTB916269:NTB916358 NJF916269:NJF916358 MZJ916269:MZJ916358 MPN916269:MPN916358 MFR916269:MFR916358 LVV916269:LVV916358 LLZ916269:LLZ916358 LCD916269:LCD916358 KSH916269:KSH916358 KIL916269:KIL916358 JYP916269:JYP916358 JOT916269:JOT916358 JEX916269:JEX916358 IVB916269:IVB916358 ILF916269:ILF916358 IBJ916269:IBJ916358 HRN916269:HRN916358 HHR916269:HHR916358 GXV916269:GXV916358 GNZ916269:GNZ916358 GED916269:GED916358 FUH916269:FUH916358 FKL916269:FKL916358 FAP916269:FAP916358 EQT916269:EQT916358 EGX916269:EGX916358 DXB916269:DXB916358 DNF916269:DNF916358 DDJ916269:DDJ916358 CTN916269:CTN916358 CJR916269:CJR916358 BZV916269:BZV916358 BPZ916269:BPZ916358 BGD916269:BGD916358 AWH916269:AWH916358 AML916269:AML916358 ACP916269:ACP916358 ST916269:ST916358 IX916269:IX916358 B916275:B916364 WVJ850733:WVJ850822 WLN850733:WLN850822 WBR850733:WBR850822 VRV850733:VRV850822 VHZ850733:VHZ850822 UYD850733:UYD850822 UOH850733:UOH850822 UEL850733:UEL850822 TUP850733:TUP850822 TKT850733:TKT850822 TAX850733:TAX850822 SRB850733:SRB850822 SHF850733:SHF850822 RXJ850733:RXJ850822 RNN850733:RNN850822 RDR850733:RDR850822 QTV850733:QTV850822 QJZ850733:QJZ850822 QAD850733:QAD850822 PQH850733:PQH850822 PGL850733:PGL850822 OWP850733:OWP850822 OMT850733:OMT850822 OCX850733:OCX850822 NTB850733:NTB850822 NJF850733:NJF850822 MZJ850733:MZJ850822 MPN850733:MPN850822 MFR850733:MFR850822 LVV850733:LVV850822 LLZ850733:LLZ850822 LCD850733:LCD850822 KSH850733:KSH850822 KIL850733:KIL850822 JYP850733:JYP850822 JOT850733:JOT850822 JEX850733:JEX850822 IVB850733:IVB850822 ILF850733:ILF850822 IBJ850733:IBJ850822 HRN850733:HRN850822 HHR850733:HHR850822 GXV850733:GXV850822 GNZ850733:GNZ850822 GED850733:GED850822 FUH850733:FUH850822 FKL850733:FKL850822 FAP850733:FAP850822 EQT850733:EQT850822 EGX850733:EGX850822 DXB850733:DXB850822 DNF850733:DNF850822 DDJ850733:DDJ850822 CTN850733:CTN850822 CJR850733:CJR850822 BZV850733:BZV850822 BPZ850733:BPZ850822 BGD850733:BGD850822 AWH850733:AWH850822 AML850733:AML850822 ACP850733:ACP850822 ST850733:ST850822 IX850733:IX850822 B850739:B850828 WVJ785197:WVJ785286 WLN785197:WLN785286 WBR785197:WBR785286 VRV785197:VRV785286 VHZ785197:VHZ785286 UYD785197:UYD785286 UOH785197:UOH785286 UEL785197:UEL785286 TUP785197:TUP785286 TKT785197:TKT785286 TAX785197:TAX785286 SRB785197:SRB785286 SHF785197:SHF785286 RXJ785197:RXJ785286 RNN785197:RNN785286 RDR785197:RDR785286 QTV785197:QTV785286 QJZ785197:QJZ785286 QAD785197:QAD785286 PQH785197:PQH785286 PGL785197:PGL785286 OWP785197:OWP785286 OMT785197:OMT785286 OCX785197:OCX785286 NTB785197:NTB785286 NJF785197:NJF785286 MZJ785197:MZJ785286 MPN785197:MPN785286 MFR785197:MFR785286 LVV785197:LVV785286 LLZ785197:LLZ785286 LCD785197:LCD785286 KSH785197:KSH785286 KIL785197:KIL785286 JYP785197:JYP785286 JOT785197:JOT785286 JEX785197:JEX785286 IVB785197:IVB785286 ILF785197:ILF785286 IBJ785197:IBJ785286 HRN785197:HRN785286 HHR785197:HHR785286 GXV785197:GXV785286 GNZ785197:GNZ785286 GED785197:GED785286 FUH785197:FUH785286 FKL785197:FKL785286 FAP785197:FAP785286 EQT785197:EQT785286 EGX785197:EGX785286 DXB785197:DXB785286 DNF785197:DNF785286 DDJ785197:DDJ785286 CTN785197:CTN785286 CJR785197:CJR785286 BZV785197:BZV785286 BPZ785197:BPZ785286 BGD785197:BGD785286 AWH785197:AWH785286 AML785197:AML785286 ACP785197:ACP785286 ST785197:ST785286 IX785197:IX785286 B785203:B785292 WVJ719661:WVJ719750 WLN719661:WLN719750 WBR719661:WBR719750 VRV719661:VRV719750 VHZ719661:VHZ719750 UYD719661:UYD719750 UOH719661:UOH719750 UEL719661:UEL719750 TUP719661:TUP719750 TKT719661:TKT719750 TAX719661:TAX719750 SRB719661:SRB719750 SHF719661:SHF719750 RXJ719661:RXJ719750 RNN719661:RNN719750 RDR719661:RDR719750 QTV719661:QTV719750 QJZ719661:QJZ719750 QAD719661:QAD719750 PQH719661:PQH719750 PGL719661:PGL719750 OWP719661:OWP719750 OMT719661:OMT719750 OCX719661:OCX719750 NTB719661:NTB719750 NJF719661:NJF719750 MZJ719661:MZJ719750 MPN719661:MPN719750 MFR719661:MFR719750 LVV719661:LVV719750 LLZ719661:LLZ719750 LCD719661:LCD719750 KSH719661:KSH719750 KIL719661:KIL719750 JYP719661:JYP719750 JOT719661:JOT719750 JEX719661:JEX719750 IVB719661:IVB719750 ILF719661:ILF719750 IBJ719661:IBJ719750 HRN719661:HRN719750 HHR719661:HHR719750 GXV719661:GXV719750 GNZ719661:GNZ719750 GED719661:GED719750 FUH719661:FUH719750 FKL719661:FKL719750 FAP719661:FAP719750 EQT719661:EQT719750 EGX719661:EGX719750 DXB719661:DXB719750 DNF719661:DNF719750 DDJ719661:DDJ719750 CTN719661:CTN719750 CJR719661:CJR719750 BZV719661:BZV719750 BPZ719661:BPZ719750 BGD719661:BGD719750 AWH719661:AWH719750 AML719661:AML719750 ACP719661:ACP719750 ST719661:ST719750 IX719661:IX719750 B719667:B719756 WVJ654125:WVJ654214 WLN654125:WLN654214 WBR654125:WBR654214 VRV654125:VRV654214 VHZ654125:VHZ654214 UYD654125:UYD654214 UOH654125:UOH654214 UEL654125:UEL654214 TUP654125:TUP654214 TKT654125:TKT654214 TAX654125:TAX654214 SRB654125:SRB654214 SHF654125:SHF654214 RXJ654125:RXJ654214 RNN654125:RNN654214 RDR654125:RDR654214 QTV654125:QTV654214 QJZ654125:QJZ654214 QAD654125:QAD654214 PQH654125:PQH654214 PGL654125:PGL654214 OWP654125:OWP654214 OMT654125:OMT654214 OCX654125:OCX654214 NTB654125:NTB654214 NJF654125:NJF654214 MZJ654125:MZJ654214 MPN654125:MPN654214 MFR654125:MFR654214 LVV654125:LVV654214 LLZ654125:LLZ654214 LCD654125:LCD654214 KSH654125:KSH654214 KIL654125:KIL654214 JYP654125:JYP654214 JOT654125:JOT654214 JEX654125:JEX654214 IVB654125:IVB654214 ILF654125:ILF654214 IBJ654125:IBJ654214 HRN654125:HRN654214 HHR654125:HHR654214 GXV654125:GXV654214 GNZ654125:GNZ654214 GED654125:GED654214 FUH654125:FUH654214 FKL654125:FKL654214 FAP654125:FAP654214 EQT654125:EQT654214 EGX654125:EGX654214 DXB654125:DXB654214 DNF654125:DNF654214 DDJ654125:DDJ654214 CTN654125:CTN654214 CJR654125:CJR654214 BZV654125:BZV654214 BPZ654125:BPZ654214 BGD654125:BGD654214 AWH654125:AWH654214 AML654125:AML654214 ACP654125:ACP654214 ST654125:ST654214 IX654125:IX654214 B654131:B654220 WVJ588589:WVJ588678 WLN588589:WLN588678 WBR588589:WBR588678 VRV588589:VRV588678 VHZ588589:VHZ588678 UYD588589:UYD588678 UOH588589:UOH588678 UEL588589:UEL588678 TUP588589:TUP588678 TKT588589:TKT588678 TAX588589:TAX588678 SRB588589:SRB588678 SHF588589:SHF588678 RXJ588589:RXJ588678 RNN588589:RNN588678 RDR588589:RDR588678 QTV588589:QTV588678 QJZ588589:QJZ588678 QAD588589:QAD588678 PQH588589:PQH588678 PGL588589:PGL588678 OWP588589:OWP588678 OMT588589:OMT588678 OCX588589:OCX588678 NTB588589:NTB588678 NJF588589:NJF588678 MZJ588589:MZJ588678 MPN588589:MPN588678 MFR588589:MFR588678 LVV588589:LVV588678 LLZ588589:LLZ588678 LCD588589:LCD588678 KSH588589:KSH588678 KIL588589:KIL588678 JYP588589:JYP588678 JOT588589:JOT588678 JEX588589:JEX588678 IVB588589:IVB588678 ILF588589:ILF588678 IBJ588589:IBJ588678 HRN588589:HRN588678 HHR588589:HHR588678 GXV588589:GXV588678 GNZ588589:GNZ588678 GED588589:GED588678 FUH588589:FUH588678 FKL588589:FKL588678 FAP588589:FAP588678 EQT588589:EQT588678 EGX588589:EGX588678 DXB588589:DXB588678 DNF588589:DNF588678 DDJ588589:DDJ588678 CTN588589:CTN588678 CJR588589:CJR588678 BZV588589:BZV588678 BPZ588589:BPZ588678 BGD588589:BGD588678 AWH588589:AWH588678 AML588589:AML588678 ACP588589:ACP588678 ST588589:ST588678 IX588589:IX588678 B588595:B588684 WVJ523053:WVJ523142 WLN523053:WLN523142 WBR523053:WBR523142 VRV523053:VRV523142 VHZ523053:VHZ523142 UYD523053:UYD523142 UOH523053:UOH523142 UEL523053:UEL523142 TUP523053:TUP523142 TKT523053:TKT523142 TAX523053:TAX523142 SRB523053:SRB523142 SHF523053:SHF523142 RXJ523053:RXJ523142 RNN523053:RNN523142 RDR523053:RDR523142 QTV523053:QTV523142 QJZ523053:QJZ523142 QAD523053:QAD523142 PQH523053:PQH523142 PGL523053:PGL523142 OWP523053:OWP523142 OMT523053:OMT523142 OCX523053:OCX523142 NTB523053:NTB523142 NJF523053:NJF523142 MZJ523053:MZJ523142 MPN523053:MPN523142 MFR523053:MFR523142 LVV523053:LVV523142 LLZ523053:LLZ523142 LCD523053:LCD523142 KSH523053:KSH523142 KIL523053:KIL523142 JYP523053:JYP523142 JOT523053:JOT523142 JEX523053:JEX523142 IVB523053:IVB523142 ILF523053:ILF523142 IBJ523053:IBJ523142 HRN523053:HRN523142 HHR523053:HHR523142 GXV523053:GXV523142 GNZ523053:GNZ523142 GED523053:GED523142 FUH523053:FUH523142 FKL523053:FKL523142 FAP523053:FAP523142 EQT523053:EQT523142 EGX523053:EGX523142 DXB523053:DXB523142 DNF523053:DNF523142 DDJ523053:DDJ523142 CTN523053:CTN523142 CJR523053:CJR523142 BZV523053:BZV523142 BPZ523053:BPZ523142 BGD523053:BGD523142 AWH523053:AWH523142 AML523053:AML523142 ACP523053:ACP523142 ST523053:ST523142 IX523053:IX523142 B523059:B523148 WVJ457517:WVJ457606 WLN457517:WLN457606 WBR457517:WBR457606 VRV457517:VRV457606 VHZ457517:VHZ457606 UYD457517:UYD457606 UOH457517:UOH457606 UEL457517:UEL457606 TUP457517:TUP457606 TKT457517:TKT457606 TAX457517:TAX457606 SRB457517:SRB457606 SHF457517:SHF457606 RXJ457517:RXJ457606 RNN457517:RNN457606 RDR457517:RDR457606 QTV457517:QTV457606 QJZ457517:QJZ457606 QAD457517:QAD457606 PQH457517:PQH457606 PGL457517:PGL457606 OWP457517:OWP457606 OMT457517:OMT457606 OCX457517:OCX457606 NTB457517:NTB457606 NJF457517:NJF457606 MZJ457517:MZJ457606 MPN457517:MPN457606 MFR457517:MFR457606 LVV457517:LVV457606 LLZ457517:LLZ457606 LCD457517:LCD457606 KSH457517:KSH457606 KIL457517:KIL457606 JYP457517:JYP457606 JOT457517:JOT457606 JEX457517:JEX457606 IVB457517:IVB457606 ILF457517:ILF457606 IBJ457517:IBJ457606 HRN457517:HRN457606 HHR457517:HHR457606 GXV457517:GXV457606 GNZ457517:GNZ457606 GED457517:GED457606 FUH457517:FUH457606 FKL457517:FKL457606 FAP457517:FAP457606 EQT457517:EQT457606 EGX457517:EGX457606 DXB457517:DXB457606 DNF457517:DNF457606 DDJ457517:DDJ457606 CTN457517:CTN457606 CJR457517:CJR457606 BZV457517:BZV457606 BPZ457517:BPZ457606 BGD457517:BGD457606 AWH457517:AWH457606 AML457517:AML457606 ACP457517:ACP457606 ST457517:ST457606 IX457517:IX457606 B457523:B457612 WVJ391981:WVJ392070 WLN391981:WLN392070 WBR391981:WBR392070 VRV391981:VRV392070 VHZ391981:VHZ392070 UYD391981:UYD392070 UOH391981:UOH392070 UEL391981:UEL392070 TUP391981:TUP392070 TKT391981:TKT392070 TAX391981:TAX392070 SRB391981:SRB392070 SHF391981:SHF392070 RXJ391981:RXJ392070 RNN391981:RNN392070 RDR391981:RDR392070 QTV391981:QTV392070 QJZ391981:QJZ392070 QAD391981:QAD392070 PQH391981:PQH392070 PGL391981:PGL392070 OWP391981:OWP392070 OMT391981:OMT392070 OCX391981:OCX392070 NTB391981:NTB392070 NJF391981:NJF392070 MZJ391981:MZJ392070 MPN391981:MPN392070 MFR391981:MFR392070 LVV391981:LVV392070 LLZ391981:LLZ392070 LCD391981:LCD392070 KSH391981:KSH392070 KIL391981:KIL392070 JYP391981:JYP392070 JOT391981:JOT392070 JEX391981:JEX392070 IVB391981:IVB392070 ILF391981:ILF392070 IBJ391981:IBJ392070 HRN391981:HRN392070 HHR391981:HHR392070 GXV391981:GXV392070 GNZ391981:GNZ392070 GED391981:GED392070 FUH391981:FUH392070 FKL391981:FKL392070 FAP391981:FAP392070 EQT391981:EQT392070 EGX391981:EGX392070 DXB391981:DXB392070 DNF391981:DNF392070 DDJ391981:DDJ392070 CTN391981:CTN392070 CJR391981:CJR392070 BZV391981:BZV392070 BPZ391981:BPZ392070 BGD391981:BGD392070 AWH391981:AWH392070 AML391981:AML392070 ACP391981:ACP392070 ST391981:ST392070 IX391981:IX392070 B391987:B392076 WVJ326445:WVJ326534 WLN326445:WLN326534 WBR326445:WBR326534 VRV326445:VRV326534 VHZ326445:VHZ326534 UYD326445:UYD326534 UOH326445:UOH326534 UEL326445:UEL326534 TUP326445:TUP326534 TKT326445:TKT326534 TAX326445:TAX326534 SRB326445:SRB326534 SHF326445:SHF326534 RXJ326445:RXJ326534 RNN326445:RNN326534 RDR326445:RDR326534 QTV326445:QTV326534 QJZ326445:QJZ326534 QAD326445:QAD326534 PQH326445:PQH326534 PGL326445:PGL326534 OWP326445:OWP326534 OMT326445:OMT326534 OCX326445:OCX326534 NTB326445:NTB326534 NJF326445:NJF326534 MZJ326445:MZJ326534 MPN326445:MPN326534 MFR326445:MFR326534 LVV326445:LVV326534 LLZ326445:LLZ326534 LCD326445:LCD326534 KSH326445:KSH326534 KIL326445:KIL326534 JYP326445:JYP326534 JOT326445:JOT326534 JEX326445:JEX326534 IVB326445:IVB326534 ILF326445:ILF326534 IBJ326445:IBJ326534 HRN326445:HRN326534 HHR326445:HHR326534 GXV326445:GXV326534 GNZ326445:GNZ326534 GED326445:GED326534 FUH326445:FUH326534 FKL326445:FKL326534 FAP326445:FAP326534 EQT326445:EQT326534 EGX326445:EGX326534 DXB326445:DXB326534 DNF326445:DNF326534 DDJ326445:DDJ326534 CTN326445:CTN326534 CJR326445:CJR326534 BZV326445:BZV326534 BPZ326445:BPZ326534 BGD326445:BGD326534 AWH326445:AWH326534 AML326445:AML326534 ACP326445:ACP326534 ST326445:ST326534 IX326445:IX326534 B326451:B326540 WVJ260909:WVJ260998 WLN260909:WLN260998 WBR260909:WBR260998 VRV260909:VRV260998 VHZ260909:VHZ260998 UYD260909:UYD260998 UOH260909:UOH260998 UEL260909:UEL260998 TUP260909:TUP260998 TKT260909:TKT260998 TAX260909:TAX260998 SRB260909:SRB260998 SHF260909:SHF260998 RXJ260909:RXJ260998 RNN260909:RNN260998 RDR260909:RDR260998 QTV260909:QTV260998 QJZ260909:QJZ260998 QAD260909:QAD260998 PQH260909:PQH260998 PGL260909:PGL260998 OWP260909:OWP260998 OMT260909:OMT260998 OCX260909:OCX260998 NTB260909:NTB260998 NJF260909:NJF260998 MZJ260909:MZJ260998 MPN260909:MPN260998 MFR260909:MFR260998 LVV260909:LVV260998 LLZ260909:LLZ260998 LCD260909:LCD260998 KSH260909:KSH260998 KIL260909:KIL260998 JYP260909:JYP260998 JOT260909:JOT260998 JEX260909:JEX260998 IVB260909:IVB260998 ILF260909:ILF260998 IBJ260909:IBJ260998 HRN260909:HRN260998 HHR260909:HHR260998 GXV260909:GXV260998 GNZ260909:GNZ260998 GED260909:GED260998 FUH260909:FUH260998 FKL260909:FKL260998 FAP260909:FAP260998 EQT260909:EQT260998 EGX260909:EGX260998 DXB260909:DXB260998 DNF260909:DNF260998 DDJ260909:DDJ260998 CTN260909:CTN260998 CJR260909:CJR260998 BZV260909:BZV260998 BPZ260909:BPZ260998 BGD260909:BGD260998 AWH260909:AWH260998 AML260909:AML260998 ACP260909:ACP260998 ST260909:ST260998 IX260909:IX260998 B260915:B261004 WVJ195373:WVJ195462 WLN195373:WLN195462 WBR195373:WBR195462 VRV195373:VRV195462 VHZ195373:VHZ195462 UYD195373:UYD195462 UOH195373:UOH195462 UEL195373:UEL195462 TUP195373:TUP195462 TKT195373:TKT195462 TAX195373:TAX195462 SRB195373:SRB195462 SHF195373:SHF195462 RXJ195373:RXJ195462 RNN195373:RNN195462 RDR195373:RDR195462 QTV195373:QTV195462 QJZ195373:QJZ195462 QAD195373:QAD195462 PQH195373:PQH195462 PGL195373:PGL195462 OWP195373:OWP195462 OMT195373:OMT195462 OCX195373:OCX195462 NTB195373:NTB195462 NJF195373:NJF195462 MZJ195373:MZJ195462 MPN195373:MPN195462 MFR195373:MFR195462 LVV195373:LVV195462 LLZ195373:LLZ195462 LCD195373:LCD195462 KSH195373:KSH195462 KIL195373:KIL195462 JYP195373:JYP195462 JOT195373:JOT195462 JEX195373:JEX195462 IVB195373:IVB195462 ILF195373:ILF195462 IBJ195373:IBJ195462 HRN195373:HRN195462 HHR195373:HHR195462 GXV195373:GXV195462 GNZ195373:GNZ195462 GED195373:GED195462 FUH195373:FUH195462 FKL195373:FKL195462 FAP195373:FAP195462 EQT195373:EQT195462 EGX195373:EGX195462 DXB195373:DXB195462 DNF195373:DNF195462 DDJ195373:DDJ195462 CTN195373:CTN195462 CJR195373:CJR195462 BZV195373:BZV195462 BPZ195373:BPZ195462 BGD195373:BGD195462 AWH195373:AWH195462 AML195373:AML195462 ACP195373:ACP195462 ST195373:ST195462 IX195373:IX195462 B195379:B195468 WVJ129837:WVJ129926 WLN129837:WLN129926 WBR129837:WBR129926 VRV129837:VRV129926 VHZ129837:VHZ129926 UYD129837:UYD129926 UOH129837:UOH129926 UEL129837:UEL129926 TUP129837:TUP129926 TKT129837:TKT129926 TAX129837:TAX129926 SRB129837:SRB129926 SHF129837:SHF129926 RXJ129837:RXJ129926 RNN129837:RNN129926 RDR129837:RDR129926 QTV129837:QTV129926 QJZ129837:QJZ129926 QAD129837:QAD129926 PQH129837:PQH129926 PGL129837:PGL129926 OWP129837:OWP129926 OMT129837:OMT129926 OCX129837:OCX129926 NTB129837:NTB129926 NJF129837:NJF129926 MZJ129837:MZJ129926 MPN129837:MPN129926 MFR129837:MFR129926 LVV129837:LVV129926 LLZ129837:LLZ129926 LCD129837:LCD129926 KSH129837:KSH129926 KIL129837:KIL129926 JYP129837:JYP129926 JOT129837:JOT129926 JEX129837:JEX129926 IVB129837:IVB129926 ILF129837:ILF129926 IBJ129837:IBJ129926 HRN129837:HRN129926 HHR129837:HHR129926 GXV129837:GXV129926 GNZ129837:GNZ129926 GED129837:GED129926 FUH129837:FUH129926 FKL129837:FKL129926 FAP129837:FAP129926 EQT129837:EQT129926 EGX129837:EGX129926 DXB129837:DXB129926 DNF129837:DNF129926 DDJ129837:DDJ129926 CTN129837:CTN129926 CJR129837:CJR129926 BZV129837:BZV129926 BPZ129837:BPZ129926 BGD129837:BGD129926 AWH129837:AWH129926 AML129837:AML129926 ACP129837:ACP129926 ST129837:ST129926 IX129837:IX129926 B129843:B129932 WVJ64301:WVJ64390 WLN64301:WLN64390 WBR64301:WBR64390 VRV64301:VRV64390 VHZ64301:VHZ64390 UYD64301:UYD64390 UOH64301:UOH64390 UEL64301:UEL64390 TUP64301:TUP64390 TKT64301:TKT64390 TAX64301:TAX64390 SRB64301:SRB64390 SHF64301:SHF64390 RXJ64301:RXJ64390 RNN64301:RNN64390 RDR64301:RDR64390 QTV64301:QTV64390 QJZ64301:QJZ64390 QAD64301:QAD64390 PQH64301:PQH64390 PGL64301:PGL64390 OWP64301:OWP64390 OMT64301:OMT64390 OCX64301:OCX64390 NTB64301:NTB64390 NJF64301:NJF64390 MZJ64301:MZJ64390 MPN64301:MPN64390 MFR64301:MFR64390 LVV64301:LVV64390 LLZ64301:LLZ64390 LCD64301:LCD64390 KSH64301:KSH64390 KIL64301:KIL64390 JYP64301:JYP64390 JOT64301:JOT64390 JEX64301:JEX64390 IVB64301:IVB64390 ILF64301:ILF64390 IBJ64301:IBJ64390 HRN64301:HRN64390 HHR64301:HHR64390 GXV64301:GXV64390 GNZ64301:GNZ64390 GED64301:GED64390 FUH64301:FUH64390 FKL64301:FKL64390 FAP64301:FAP64390 EQT64301:EQT64390 EGX64301:EGX64390 DXB64301:DXB64390 DNF64301:DNF64390 DDJ64301:DDJ64390 CTN64301:CTN64390 CJR64301:CJR64390 BZV64301:BZV64390 BPZ64301:BPZ64390 BGD64301:BGD64390 AWH64301:AWH64390 AML64301:AML64390 ACP64301:ACP64390 ST64301:ST64390 IX64301:IX64390 B64307:B64396 B96:B112 IX2:IX73 WVJ2:WVJ73 WLN2:WLN73 WBR2:WBR73 VRV2:VRV73 VHZ2:VHZ73 UYD2:UYD73 UOH2:UOH73 UEL2:UEL73 TUP2:TUP73 TKT2:TKT73 TAX2:TAX73 SRB2:SRB73 SHF2:SHF73 RXJ2:RXJ73 RNN2:RNN73 RDR2:RDR73 QTV2:QTV73 QJZ2:QJZ73 QAD2:QAD73 PQH2:PQH73 PGL2:PGL73 OWP2:OWP73 OMT2:OMT73 OCX2:OCX73 NTB2:NTB73 NJF2:NJF73 MZJ2:MZJ73 MPN2:MPN73 MFR2:MFR73 LVV2:LVV73 LLZ2:LLZ73 LCD2:LCD73 KSH2:KSH73 KIL2:KIL73 JYP2:JYP73 JOT2:JOT73 JEX2:JEX73 IVB2:IVB73 ILF2:ILF73 IBJ2:IBJ73 HRN2:HRN73 HHR2:HHR73 GXV2:GXV73 GNZ2:GNZ73 GED2:GED73 FUH2:FUH73 FKL2:FKL73 FAP2:FAP73 EQT2:EQT73 EGX2:EGX73 DXB2:DXB73 DNF2:DNF73 DDJ2:DDJ73 CTN2:CTN73 CJR2:CJR73 BZV2:BZV73 BPZ2:BPZ73 BGD2:BGD73 AWH2:AWH73 AML2:AML73 ACP2:ACP73 ST2:ST73 B2:B94" xr:uid="{C3A11F89-78DC-4098-AE2A-DF9C6AAEE137}"/>
    <dataValidation type="list" allowBlank="1" showInputMessage="1" showErrorMessage="1" sqref="WVI981805:WVI981894 WLM981805:WLM981894 WBQ981805:WBQ981894 VRU981805:VRU981894 VHY981805:VHY981894 UYC981805:UYC981894 UOG981805:UOG981894 UEK981805:UEK981894 TUO981805:TUO981894 TKS981805:TKS981894 TAW981805:TAW981894 SRA981805:SRA981894 SHE981805:SHE981894 RXI981805:RXI981894 RNM981805:RNM981894 RDQ981805:RDQ981894 QTU981805:QTU981894 QJY981805:QJY981894 QAC981805:QAC981894 PQG981805:PQG981894 PGK981805:PGK981894 OWO981805:OWO981894 OMS981805:OMS981894 OCW981805:OCW981894 NTA981805:NTA981894 NJE981805:NJE981894 MZI981805:MZI981894 MPM981805:MPM981894 MFQ981805:MFQ981894 LVU981805:LVU981894 LLY981805:LLY981894 LCC981805:LCC981894 KSG981805:KSG981894 KIK981805:KIK981894 JYO981805:JYO981894 JOS981805:JOS981894 JEW981805:JEW981894 IVA981805:IVA981894 ILE981805:ILE981894 IBI981805:IBI981894 HRM981805:HRM981894 HHQ981805:HHQ981894 GXU981805:GXU981894 GNY981805:GNY981894 GEC981805:GEC981894 FUG981805:FUG981894 FKK981805:FKK981894 FAO981805:FAO981894 EQS981805:EQS981894 EGW981805:EGW981894 DXA981805:DXA981894 DNE981805:DNE981894 DDI981805:DDI981894 CTM981805:CTM981894 CJQ981805:CJQ981894 BZU981805:BZU981894 BPY981805:BPY981894 BGC981805:BGC981894 AWG981805:AWG981894 AMK981805:AMK981894 ACO981805:ACO981894 SS981805:SS981894 IW981805:IW981894 A981811:A981900 WVI916269:WVI916358 WLM916269:WLM916358 WBQ916269:WBQ916358 VRU916269:VRU916358 VHY916269:VHY916358 UYC916269:UYC916358 UOG916269:UOG916358 UEK916269:UEK916358 TUO916269:TUO916358 TKS916269:TKS916358 TAW916269:TAW916358 SRA916269:SRA916358 SHE916269:SHE916358 RXI916269:RXI916358 RNM916269:RNM916358 RDQ916269:RDQ916358 QTU916269:QTU916358 QJY916269:QJY916358 QAC916269:QAC916358 PQG916269:PQG916358 PGK916269:PGK916358 OWO916269:OWO916358 OMS916269:OMS916358 OCW916269:OCW916358 NTA916269:NTA916358 NJE916269:NJE916358 MZI916269:MZI916358 MPM916269:MPM916358 MFQ916269:MFQ916358 LVU916269:LVU916358 LLY916269:LLY916358 LCC916269:LCC916358 KSG916269:KSG916358 KIK916269:KIK916358 JYO916269:JYO916358 JOS916269:JOS916358 JEW916269:JEW916358 IVA916269:IVA916358 ILE916269:ILE916358 IBI916269:IBI916358 HRM916269:HRM916358 HHQ916269:HHQ916358 GXU916269:GXU916358 GNY916269:GNY916358 GEC916269:GEC916358 FUG916269:FUG916358 FKK916269:FKK916358 FAO916269:FAO916358 EQS916269:EQS916358 EGW916269:EGW916358 DXA916269:DXA916358 DNE916269:DNE916358 DDI916269:DDI916358 CTM916269:CTM916358 CJQ916269:CJQ916358 BZU916269:BZU916358 BPY916269:BPY916358 BGC916269:BGC916358 AWG916269:AWG916358 AMK916269:AMK916358 ACO916269:ACO916358 SS916269:SS916358 IW916269:IW916358 A916275:A916364 WVI850733:WVI850822 WLM850733:WLM850822 WBQ850733:WBQ850822 VRU850733:VRU850822 VHY850733:VHY850822 UYC850733:UYC850822 UOG850733:UOG850822 UEK850733:UEK850822 TUO850733:TUO850822 TKS850733:TKS850822 TAW850733:TAW850822 SRA850733:SRA850822 SHE850733:SHE850822 RXI850733:RXI850822 RNM850733:RNM850822 RDQ850733:RDQ850822 QTU850733:QTU850822 QJY850733:QJY850822 QAC850733:QAC850822 PQG850733:PQG850822 PGK850733:PGK850822 OWO850733:OWO850822 OMS850733:OMS850822 OCW850733:OCW850822 NTA850733:NTA850822 NJE850733:NJE850822 MZI850733:MZI850822 MPM850733:MPM850822 MFQ850733:MFQ850822 LVU850733:LVU850822 LLY850733:LLY850822 LCC850733:LCC850822 KSG850733:KSG850822 KIK850733:KIK850822 JYO850733:JYO850822 JOS850733:JOS850822 JEW850733:JEW850822 IVA850733:IVA850822 ILE850733:ILE850822 IBI850733:IBI850822 HRM850733:HRM850822 HHQ850733:HHQ850822 GXU850733:GXU850822 GNY850733:GNY850822 GEC850733:GEC850822 FUG850733:FUG850822 FKK850733:FKK850822 FAO850733:FAO850822 EQS850733:EQS850822 EGW850733:EGW850822 DXA850733:DXA850822 DNE850733:DNE850822 DDI850733:DDI850822 CTM850733:CTM850822 CJQ850733:CJQ850822 BZU850733:BZU850822 BPY850733:BPY850822 BGC850733:BGC850822 AWG850733:AWG850822 AMK850733:AMK850822 ACO850733:ACO850822 SS850733:SS850822 IW850733:IW850822 A850739:A850828 WVI785197:WVI785286 WLM785197:WLM785286 WBQ785197:WBQ785286 VRU785197:VRU785286 VHY785197:VHY785286 UYC785197:UYC785286 UOG785197:UOG785286 UEK785197:UEK785286 TUO785197:TUO785286 TKS785197:TKS785286 TAW785197:TAW785286 SRA785197:SRA785286 SHE785197:SHE785286 RXI785197:RXI785286 RNM785197:RNM785286 RDQ785197:RDQ785286 QTU785197:QTU785286 QJY785197:QJY785286 QAC785197:QAC785286 PQG785197:PQG785286 PGK785197:PGK785286 OWO785197:OWO785286 OMS785197:OMS785286 OCW785197:OCW785286 NTA785197:NTA785286 NJE785197:NJE785286 MZI785197:MZI785286 MPM785197:MPM785286 MFQ785197:MFQ785286 LVU785197:LVU785286 LLY785197:LLY785286 LCC785197:LCC785286 KSG785197:KSG785286 KIK785197:KIK785286 JYO785197:JYO785286 JOS785197:JOS785286 JEW785197:JEW785286 IVA785197:IVA785286 ILE785197:ILE785286 IBI785197:IBI785286 HRM785197:HRM785286 HHQ785197:HHQ785286 GXU785197:GXU785286 GNY785197:GNY785286 GEC785197:GEC785286 FUG785197:FUG785286 FKK785197:FKK785286 FAO785197:FAO785286 EQS785197:EQS785286 EGW785197:EGW785286 DXA785197:DXA785286 DNE785197:DNE785286 DDI785197:DDI785286 CTM785197:CTM785286 CJQ785197:CJQ785286 BZU785197:BZU785286 BPY785197:BPY785286 BGC785197:BGC785286 AWG785197:AWG785286 AMK785197:AMK785286 ACO785197:ACO785286 SS785197:SS785286 IW785197:IW785286 A785203:A785292 WVI719661:WVI719750 WLM719661:WLM719750 WBQ719661:WBQ719750 VRU719661:VRU719750 VHY719661:VHY719750 UYC719661:UYC719750 UOG719661:UOG719750 UEK719661:UEK719750 TUO719661:TUO719750 TKS719661:TKS719750 TAW719661:TAW719750 SRA719661:SRA719750 SHE719661:SHE719750 RXI719661:RXI719750 RNM719661:RNM719750 RDQ719661:RDQ719750 QTU719661:QTU719750 QJY719661:QJY719750 QAC719661:QAC719750 PQG719661:PQG719750 PGK719661:PGK719750 OWO719661:OWO719750 OMS719661:OMS719750 OCW719661:OCW719750 NTA719661:NTA719750 NJE719661:NJE719750 MZI719661:MZI719750 MPM719661:MPM719750 MFQ719661:MFQ719750 LVU719661:LVU719750 LLY719661:LLY719750 LCC719661:LCC719750 KSG719661:KSG719750 KIK719661:KIK719750 JYO719661:JYO719750 JOS719661:JOS719750 JEW719661:JEW719750 IVA719661:IVA719750 ILE719661:ILE719750 IBI719661:IBI719750 HRM719661:HRM719750 HHQ719661:HHQ719750 GXU719661:GXU719750 GNY719661:GNY719750 GEC719661:GEC719750 FUG719661:FUG719750 FKK719661:FKK719750 FAO719661:FAO719750 EQS719661:EQS719750 EGW719661:EGW719750 DXA719661:DXA719750 DNE719661:DNE719750 DDI719661:DDI719750 CTM719661:CTM719750 CJQ719661:CJQ719750 BZU719661:BZU719750 BPY719661:BPY719750 BGC719661:BGC719750 AWG719661:AWG719750 AMK719661:AMK719750 ACO719661:ACO719750 SS719661:SS719750 IW719661:IW719750 A719667:A719756 WVI654125:WVI654214 WLM654125:WLM654214 WBQ654125:WBQ654214 VRU654125:VRU654214 VHY654125:VHY654214 UYC654125:UYC654214 UOG654125:UOG654214 UEK654125:UEK654214 TUO654125:TUO654214 TKS654125:TKS654214 TAW654125:TAW654214 SRA654125:SRA654214 SHE654125:SHE654214 RXI654125:RXI654214 RNM654125:RNM654214 RDQ654125:RDQ654214 QTU654125:QTU654214 QJY654125:QJY654214 QAC654125:QAC654214 PQG654125:PQG654214 PGK654125:PGK654214 OWO654125:OWO654214 OMS654125:OMS654214 OCW654125:OCW654214 NTA654125:NTA654214 NJE654125:NJE654214 MZI654125:MZI654214 MPM654125:MPM654214 MFQ654125:MFQ654214 LVU654125:LVU654214 LLY654125:LLY654214 LCC654125:LCC654214 KSG654125:KSG654214 KIK654125:KIK654214 JYO654125:JYO654214 JOS654125:JOS654214 JEW654125:JEW654214 IVA654125:IVA654214 ILE654125:ILE654214 IBI654125:IBI654214 HRM654125:HRM654214 HHQ654125:HHQ654214 GXU654125:GXU654214 GNY654125:GNY654214 GEC654125:GEC654214 FUG654125:FUG654214 FKK654125:FKK654214 FAO654125:FAO654214 EQS654125:EQS654214 EGW654125:EGW654214 DXA654125:DXA654214 DNE654125:DNE654214 DDI654125:DDI654214 CTM654125:CTM654214 CJQ654125:CJQ654214 BZU654125:BZU654214 BPY654125:BPY654214 BGC654125:BGC654214 AWG654125:AWG654214 AMK654125:AMK654214 ACO654125:ACO654214 SS654125:SS654214 IW654125:IW654214 A654131:A654220 WVI588589:WVI588678 WLM588589:WLM588678 WBQ588589:WBQ588678 VRU588589:VRU588678 VHY588589:VHY588678 UYC588589:UYC588678 UOG588589:UOG588678 UEK588589:UEK588678 TUO588589:TUO588678 TKS588589:TKS588678 TAW588589:TAW588678 SRA588589:SRA588678 SHE588589:SHE588678 RXI588589:RXI588678 RNM588589:RNM588678 RDQ588589:RDQ588678 QTU588589:QTU588678 QJY588589:QJY588678 QAC588589:QAC588678 PQG588589:PQG588678 PGK588589:PGK588678 OWO588589:OWO588678 OMS588589:OMS588678 OCW588589:OCW588678 NTA588589:NTA588678 NJE588589:NJE588678 MZI588589:MZI588678 MPM588589:MPM588678 MFQ588589:MFQ588678 LVU588589:LVU588678 LLY588589:LLY588678 LCC588589:LCC588678 KSG588589:KSG588678 KIK588589:KIK588678 JYO588589:JYO588678 JOS588589:JOS588678 JEW588589:JEW588678 IVA588589:IVA588678 ILE588589:ILE588678 IBI588589:IBI588678 HRM588589:HRM588678 HHQ588589:HHQ588678 GXU588589:GXU588678 GNY588589:GNY588678 GEC588589:GEC588678 FUG588589:FUG588678 FKK588589:FKK588678 FAO588589:FAO588678 EQS588589:EQS588678 EGW588589:EGW588678 DXA588589:DXA588678 DNE588589:DNE588678 DDI588589:DDI588678 CTM588589:CTM588678 CJQ588589:CJQ588678 BZU588589:BZU588678 BPY588589:BPY588678 BGC588589:BGC588678 AWG588589:AWG588678 AMK588589:AMK588678 ACO588589:ACO588678 SS588589:SS588678 IW588589:IW588678 A588595:A588684 WVI523053:WVI523142 WLM523053:WLM523142 WBQ523053:WBQ523142 VRU523053:VRU523142 VHY523053:VHY523142 UYC523053:UYC523142 UOG523053:UOG523142 UEK523053:UEK523142 TUO523053:TUO523142 TKS523053:TKS523142 TAW523053:TAW523142 SRA523053:SRA523142 SHE523053:SHE523142 RXI523053:RXI523142 RNM523053:RNM523142 RDQ523053:RDQ523142 QTU523053:QTU523142 QJY523053:QJY523142 QAC523053:QAC523142 PQG523053:PQG523142 PGK523053:PGK523142 OWO523053:OWO523142 OMS523053:OMS523142 OCW523053:OCW523142 NTA523053:NTA523142 NJE523053:NJE523142 MZI523053:MZI523142 MPM523053:MPM523142 MFQ523053:MFQ523142 LVU523053:LVU523142 LLY523053:LLY523142 LCC523053:LCC523142 KSG523053:KSG523142 KIK523053:KIK523142 JYO523053:JYO523142 JOS523053:JOS523142 JEW523053:JEW523142 IVA523053:IVA523142 ILE523053:ILE523142 IBI523053:IBI523142 HRM523053:HRM523142 HHQ523053:HHQ523142 GXU523053:GXU523142 GNY523053:GNY523142 GEC523053:GEC523142 FUG523053:FUG523142 FKK523053:FKK523142 FAO523053:FAO523142 EQS523053:EQS523142 EGW523053:EGW523142 DXA523053:DXA523142 DNE523053:DNE523142 DDI523053:DDI523142 CTM523053:CTM523142 CJQ523053:CJQ523142 BZU523053:BZU523142 BPY523053:BPY523142 BGC523053:BGC523142 AWG523053:AWG523142 AMK523053:AMK523142 ACO523053:ACO523142 SS523053:SS523142 IW523053:IW523142 A523059:A523148 WVI457517:WVI457606 WLM457517:WLM457606 WBQ457517:WBQ457606 VRU457517:VRU457606 VHY457517:VHY457606 UYC457517:UYC457606 UOG457517:UOG457606 UEK457517:UEK457606 TUO457517:TUO457606 TKS457517:TKS457606 TAW457517:TAW457606 SRA457517:SRA457606 SHE457517:SHE457606 RXI457517:RXI457606 RNM457517:RNM457606 RDQ457517:RDQ457606 QTU457517:QTU457606 QJY457517:QJY457606 QAC457517:QAC457606 PQG457517:PQG457606 PGK457517:PGK457606 OWO457517:OWO457606 OMS457517:OMS457606 OCW457517:OCW457606 NTA457517:NTA457606 NJE457517:NJE457606 MZI457517:MZI457606 MPM457517:MPM457606 MFQ457517:MFQ457606 LVU457517:LVU457606 LLY457517:LLY457606 LCC457517:LCC457606 KSG457517:KSG457606 KIK457517:KIK457606 JYO457517:JYO457606 JOS457517:JOS457606 JEW457517:JEW457606 IVA457517:IVA457606 ILE457517:ILE457606 IBI457517:IBI457606 HRM457517:HRM457606 HHQ457517:HHQ457606 GXU457517:GXU457606 GNY457517:GNY457606 GEC457517:GEC457606 FUG457517:FUG457606 FKK457517:FKK457606 FAO457517:FAO457606 EQS457517:EQS457606 EGW457517:EGW457606 DXA457517:DXA457606 DNE457517:DNE457606 DDI457517:DDI457606 CTM457517:CTM457606 CJQ457517:CJQ457606 BZU457517:BZU457606 BPY457517:BPY457606 BGC457517:BGC457606 AWG457517:AWG457606 AMK457517:AMK457606 ACO457517:ACO457606 SS457517:SS457606 IW457517:IW457606 A457523:A457612 WVI391981:WVI392070 WLM391981:WLM392070 WBQ391981:WBQ392070 VRU391981:VRU392070 VHY391981:VHY392070 UYC391981:UYC392070 UOG391981:UOG392070 UEK391981:UEK392070 TUO391981:TUO392070 TKS391981:TKS392070 TAW391981:TAW392070 SRA391981:SRA392070 SHE391981:SHE392070 RXI391981:RXI392070 RNM391981:RNM392070 RDQ391981:RDQ392070 QTU391981:QTU392070 QJY391981:QJY392070 QAC391981:QAC392070 PQG391981:PQG392070 PGK391981:PGK392070 OWO391981:OWO392070 OMS391981:OMS392070 OCW391981:OCW392070 NTA391981:NTA392070 NJE391981:NJE392070 MZI391981:MZI392070 MPM391981:MPM392070 MFQ391981:MFQ392070 LVU391981:LVU392070 LLY391981:LLY392070 LCC391981:LCC392070 KSG391981:KSG392070 KIK391981:KIK392070 JYO391981:JYO392070 JOS391981:JOS392070 JEW391981:JEW392070 IVA391981:IVA392070 ILE391981:ILE392070 IBI391981:IBI392070 HRM391981:HRM392070 HHQ391981:HHQ392070 GXU391981:GXU392070 GNY391981:GNY392070 GEC391981:GEC392070 FUG391981:FUG392070 FKK391981:FKK392070 FAO391981:FAO392070 EQS391981:EQS392070 EGW391981:EGW392070 DXA391981:DXA392070 DNE391981:DNE392070 DDI391981:DDI392070 CTM391981:CTM392070 CJQ391981:CJQ392070 BZU391981:BZU392070 BPY391981:BPY392070 BGC391981:BGC392070 AWG391981:AWG392070 AMK391981:AMK392070 ACO391981:ACO392070 SS391981:SS392070 IW391981:IW392070 A391987:A392076 WVI326445:WVI326534 WLM326445:WLM326534 WBQ326445:WBQ326534 VRU326445:VRU326534 VHY326445:VHY326534 UYC326445:UYC326534 UOG326445:UOG326534 UEK326445:UEK326534 TUO326445:TUO326534 TKS326445:TKS326534 TAW326445:TAW326534 SRA326445:SRA326534 SHE326445:SHE326534 RXI326445:RXI326534 RNM326445:RNM326534 RDQ326445:RDQ326534 QTU326445:QTU326534 QJY326445:QJY326534 QAC326445:QAC326534 PQG326445:PQG326534 PGK326445:PGK326534 OWO326445:OWO326534 OMS326445:OMS326534 OCW326445:OCW326534 NTA326445:NTA326534 NJE326445:NJE326534 MZI326445:MZI326534 MPM326445:MPM326534 MFQ326445:MFQ326534 LVU326445:LVU326534 LLY326445:LLY326534 LCC326445:LCC326534 KSG326445:KSG326534 KIK326445:KIK326534 JYO326445:JYO326534 JOS326445:JOS326534 JEW326445:JEW326534 IVA326445:IVA326534 ILE326445:ILE326534 IBI326445:IBI326534 HRM326445:HRM326534 HHQ326445:HHQ326534 GXU326445:GXU326534 GNY326445:GNY326534 GEC326445:GEC326534 FUG326445:FUG326534 FKK326445:FKK326534 FAO326445:FAO326534 EQS326445:EQS326534 EGW326445:EGW326534 DXA326445:DXA326534 DNE326445:DNE326534 DDI326445:DDI326534 CTM326445:CTM326534 CJQ326445:CJQ326534 BZU326445:BZU326534 BPY326445:BPY326534 BGC326445:BGC326534 AWG326445:AWG326534 AMK326445:AMK326534 ACO326445:ACO326534 SS326445:SS326534 IW326445:IW326534 A326451:A326540 WVI260909:WVI260998 WLM260909:WLM260998 WBQ260909:WBQ260998 VRU260909:VRU260998 VHY260909:VHY260998 UYC260909:UYC260998 UOG260909:UOG260998 UEK260909:UEK260998 TUO260909:TUO260998 TKS260909:TKS260998 TAW260909:TAW260998 SRA260909:SRA260998 SHE260909:SHE260998 RXI260909:RXI260998 RNM260909:RNM260998 RDQ260909:RDQ260998 QTU260909:QTU260998 QJY260909:QJY260998 QAC260909:QAC260998 PQG260909:PQG260998 PGK260909:PGK260998 OWO260909:OWO260998 OMS260909:OMS260998 OCW260909:OCW260998 NTA260909:NTA260998 NJE260909:NJE260998 MZI260909:MZI260998 MPM260909:MPM260998 MFQ260909:MFQ260998 LVU260909:LVU260998 LLY260909:LLY260998 LCC260909:LCC260998 KSG260909:KSG260998 KIK260909:KIK260998 JYO260909:JYO260998 JOS260909:JOS260998 JEW260909:JEW260998 IVA260909:IVA260998 ILE260909:ILE260998 IBI260909:IBI260998 HRM260909:HRM260998 HHQ260909:HHQ260998 GXU260909:GXU260998 GNY260909:GNY260998 GEC260909:GEC260998 FUG260909:FUG260998 FKK260909:FKK260998 FAO260909:FAO260998 EQS260909:EQS260998 EGW260909:EGW260998 DXA260909:DXA260998 DNE260909:DNE260998 DDI260909:DDI260998 CTM260909:CTM260998 CJQ260909:CJQ260998 BZU260909:BZU260998 BPY260909:BPY260998 BGC260909:BGC260998 AWG260909:AWG260998 AMK260909:AMK260998 ACO260909:ACO260998 SS260909:SS260998 IW260909:IW260998 A260915:A261004 WVI195373:WVI195462 WLM195373:WLM195462 WBQ195373:WBQ195462 VRU195373:VRU195462 VHY195373:VHY195462 UYC195373:UYC195462 UOG195373:UOG195462 UEK195373:UEK195462 TUO195373:TUO195462 TKS195373:TKS195462 TAW195373:TAW195462 SRA195373:SRA195462 SHE195373:SHE195462 RXI195373:RXI195462 RNM195373:RNM195462 RDQ195373:RDQ195462 QTU195373:QTU195462 QJY195373:QJY195462 QAC195373:QAC195462 PQG195373:PQG195462 PGK195373:PGK195462 OWO195373:OWO195462 OMS195373:OMS195462 OCW195373:OCW195462 NTA195373:NTA195462 NJE195373:NJE195462 MZI195373:MZI195462 MPM195373:MPM195462 MFQ195373:MFQ195462 LVU195373:LVU195462 LLY195373:LLY195462 LCC195373:LCC195462 KSG195373:KSG195462 KIK195373:KIK195462 JYO195373:JYO195462 JOS195373:JOS195462 JEW195373:JEW195462 IVA195373:IVA195462 ILE195373:ILE195462 IBI195373:IBI195462 HRM195373:HRM195462 HHQ195373:HHQ195462 GXU195373:GXU195462 GNY195373:GNY195462 GEC195373:GEC195462 FUG195373:FUG195462 FKK195373:FKK195462 FAO195373:FAO195462 EQS195373:EQS195462 EGW195373:EGW195462 DXA195373:DXA195462 DNE195373:DNE195462 DDI195373:DDI195462 CTM195373:CTM195462 CJQ195373:CJQ195462 BZU195373:BZU195462 BPY195373:BPY195462 BGC195373:BGC195462 AWG195373:AWG195462 AMK195373:AMK195462 ACO195373:ACO195462 SS195373:SS195462 IW195373:IW195462 A195379:A195468 WVI129837:WVI129926 WLM129837:WLM129926 WBQ129837:WBQ129926 VRU129837:VRU129926 VHY129837:VHY129926 UYC129837:UYC129926 UOG129837:UOG129926 UEK129837:UEK129926 TUO129837:TUO129926 TKS129837:TKS129926 TAW129837:TAW129926 SRA129837:SRA129926 SHE129837:SHE129926 RXI129837:RXI129926 RNM129837:RNM129926 RDQ129837:RDQ129926 QTU129837:QTU129926 QJY129837:QJY129926 QAC129837:QAC129926 PQG129837:PQG129926 PGK129837:PGK129926 OWO129837:OWO129926 OMS129837:OMS129926 OCW129837:OCW129926 NTA129837:NTA129926 NJE129837:NJE129926 MZI129837:MZI129926 MPM129837:MPM129926 MFQ129837:MFQ129926 LVU129837:LVU129926 LLY129837:LLY129926 LCC129837:LCC129926 KSG129837:KSG129926 KIK129837:KIK129926 JYO129837:JYO129926 JOS129837:JOS129926 JEW129837:JEW129926 IVA129837:IVA129926 ILE129837:ILE129926 IBI129837:IBI129926 HRM129837:HRM129926 HHQ129837:HHQ129926 GXU129837:GXU129926 GNY129837:GNY129926 GEC129837:GEC129926 FUG129837:FUG129926 FKK129837:FKK129926 FAO129837:FAO129926 EQS129837:EQS129926 EGW129837:EGW129926 DXA129837:DXA129926 DNE129837:DNE129926 DDI129837:DDI129926 CTM129837:CTM129926 CJQ129837:CJQ129926 BZU129837:BZU129926 BPY129837:BPY129926 BGC129837:BGC129926 AWG129837:AWG129926 AMK129837:AMK129926 ACO129837:ACO129926 SS129837:SS129926 IW129837:IW129926 A129843:A129932 WVI64301:WVI64390 WLM64301:WLM64390 WBQ64301:WBQ64390 VRU64301:VRU64390 VHY64301:VHY64390 UYC64301:UYC64390 UOG64301:UOG64390 UEK64301:UEK64390 TUO64301:TUO64390 TKS64301:TKS64390 TAW64301:TAW64390 SRA64301:SRA64390 SHE64301:SHE64390 RXI64301:RXI64390 RNM64301:RNM64390 RDQ64301:RDQ64390 QTU64301:QTU64390 QJY64301:QJY64390 QAC64301:QAC64390 PQG64301:PQG64390 PGK64301:PGK64390 OWO64301:OWO64390 OMS64301:OMS64390 OCW64301:OCW64390 NTA64301:NTA64390 NJE64301:NJE64390 MZI64301:MZI64390 MPM64301:MPM64390 MFQ64301:MFQ64390 LVU64301:LVU64390 LLY64301:LLY64390 LCC64301:LCC64390 KSG64301:KSG64390 KIK64301:KIK64390 JYO64301:JYO64390 JOS64301:JOS64390 JEW64301:JEW64390 IVA64301:IVA64390 ILE64301:ILE64390 IBI64301:IBI64390 HRM64301:HRM64390 HHQ64301:HHQ64390 GXU64301:GXU64390 GNY64301:GNY64390 GEC64301:GEC64390 FUG64301:FUG64390 FKK64301:FKK64390 FAO64301:FAO64390 EQS64301:EQS64390 EGW64301:EGW64390 DXA64301:DXA64390 DNE64301:DNE64390 DDI64301:DDI64390 CTM64301:CTM64390 CJQ64301:CJQ64390 BZU64301:BZU64390 BPY64301:BPY64390 BGC64301:BGC64390 AWG64301:AWG64390 AMK64301:AMK64390 ACO64301:ACO64390 SS64301:SS64390 IW64301:IW64390 A64307:A64396 IW2:IW73 SS2:SS73 ACO2:ACO73 AMK2:AMK73 AWG2:AWG73 BGC2:BGC73 BPY2:BPY73 BZU2:BZU73 CJQ2:CJQ73 CTM2:CTM73 DDI2:DDI73 DNE2:DNE73 DXA2:DXA73 EGW2:EGW73 EQS2:EQS73 FAO2:FAO73 FKK2:FKK73 FUG2:FUG73 GEC2:GEC73 GNY2:GNY73 GXU2:GXU73 HHQ2:HHQ73 HRM2:HRM73 IBI2:IBI73 ILE2:ILE73 IVA2:IVA73 JEW2:JEW73 JOS2:JOS73 JYO2:JYO73 KIK2:KIK73 KSG2:KSG73 LCC2:LCC73 LLY2:LLY73 LVU2:LVU73 MFQ2:MFQ73 MPM2:MPM73 MZI2:MZI73 NJE2:NJE73 NTA2:NTA73 OCW2:OCW73 OMS2:OMS73 OWO2:OWO73 PGK2:PGK73 PQG2:PQG73 QAC2:QAC73 QJY2:QJY73 QTU2:QTU73 RDQ2:RDQ73 RNM2:RNM73 RXI2:RXI73 SHE2:SHE73 SRA2:SRA73 TAW2:TAW73 TKS2:TKS73 TUO2:TUO73 UEK2:UEK73 UOG2:UOG73 UYC2:UYC73 VHY2:VHY73 VRU2:VRU73 WBQ2:WBQ73 WLM2:WLM73 WVI2:WVI73" xr:uid="{C9F8DDC8-F43C-4EA6-BAD1-28C1121A9126}">
      <formula1>$AE$2:$AE$22</formula1>
    </dataValidation>
    <dataValidation type="list" allowBlank="1" showInputMessage="1" showErrorMessage="1" sqref="WVO981805:WVO981894 WLS981805:WLS981894 WBW981805:WBW981894 VSA981805:VSA981894 VIE981805:VIE981894 UYI981805:UYI981894 UOM981805:UOM981894 UEQ981805:UEQ981894 TUU981805:TUU981894 TKY981805:TKY981894 TBC981805:TBC981894 SRG981805:SRG981894 SHK981805:SHK981894 RXO981805:RXO981894 RNS981805:RNS981894 RDW981805:RDW981894 QUA981805:QUA981894 QKE981805:QKE981894 QAI981805:QAI981894 PQM981805:PQM981894 PGQ981805:PGQ981894 OWU981805:OWU981894 OMY981805:OMY981894 ODC981805:ODC981894 NTG981805:NTG981894 NJK981805:NJK981894 MZO981805:MZO981894 MPS981805:MPS981894 MFW981805:MFW981894 LWA981805:LWA981894 LME981805:LME981894 LCI981805:LCI981894 KSM981805:KSM981894 KIQ981805:KIQ981894 JYU981805:JYU981894 JOY981805:JOY981894 JFC981805:JFC981894 IVG981805:IVG981894 ILK981805:ILK981894 IBO981805:IBO981894 HRS981805:HRS981894 HHW981805:HHW981894 GYA981805:GYA981894 GOE981805:GOE981894 GEI981805:GEI981894 FUM981805:FUM981894 FKQ981805:FKQ981894 FAU981805:FAU981894 EQY981805:EQY981894 EHC981805:EHC981894 DXG981805:DXG981894 DNK981805:DNK981894 DDO981805:DDO981894 CTS981805:CTS981894 CJW981805:CJW981894 CAA981805:CAA981894 BQE981805:BQE981894 BGI981805:BGI981894 AWM981805:AWM981894 AMQ981805:AMQ981894 ACU981805:ACU981894 SY981805:SY981894 JC981805:JC981894 G981814:G981903 WVO916269:WVO916358 WLS916269:WLS916358 WBW916269:WBW916358 VSA916269:VSA916358 VIE916269:VIE916358 UYI916269:UYI916358 UOM916269:UOM916358 UEQ916269:UEQ916358 TUU916269:TUU916358 TKY916269:TKY916358 TBC916269:TBC916358 SRG916269:SRG916358 SHK916269:SHK916358 RXO916269:RXO916358 RNS916269:RNS916358 RDW916269:RDW916358 QUA916269:QUA916358 QKE916269:QKE916358 QAI916269:QAI916358 PQM916269:PQM916358 PGQ916269:PGQ916358 OWU916269:OWU916358 OMY916269:OMY916358 ODC916269:ODC916358 NTG916269:NTG916358 NJK916269:NJK916358 MZO916269:MZO916358 MPS916269:MPS916358 MFW916269:MFW916358 LWA916269:LWA916358 LME916269:LME916358 LCI916269:LCI916358 KSM916269:KSM916358 KIQ916269:KIQ916358 JYU916269:JYU916358 JOY916269:JOY916358 JFC916269:JFC916358 IVG916269:IVG916358 ILK916269:ILK916358 IBO916269:IBO916358 HRS916269:HRS916358 HHW916269:HHW916358 GYA916269:GYA916358 GOE916269:GOE916358 GEI916269:GEI916358 FUM916269:FUM916358 FKQ916269:FKQ916358 FAU916269:FAU916358 EQY916269:EQY916358 EHC916269:EHC916358 DXG916269:DXG916358 DNK916269:DNK916358 DDO916269:DDO916358 CTS916269:CTS916358 CJW916269:CJW916358 CAA916269:CAA916358 BQE916269:BQE916358 BGI916269:BGI916358 AWM916269:AWM916358 AMQ916269:AMQ916358 ACU916269:ACU916358 SY916269:SY916358 JC916269:JC916358 G916278:G916367 WVO850733:WVO850822 WLS850733:WLS850822 WBW850733:WBW850822 VSA850733:VSA850822 VIE850733:VIE850822 UYI850733:UYI850822 UOM850733:UOM850822 UEQ850733:UEQ850822 TUU850733:TUU850822 TKY850733:TKY850822 TBC850733:TBC850822 SRG850733:SRG850822 SHK850733:SHK850822 RXO850733:RXO850822 RNS850733:RNS850822 RDW850733:RDW850822 QUA850733:QUA850822 QKE850733:QKE850822 QAI850733:QAI850822 PQM850733:PQM850822 PGQ850733:PGQ850822 OWU850733:OWU850822 OMY850733:OMY850822 ODC850733:ODC850822 NTG850733:NTG850822 NJK850733:NJK850822 MZO850733:MZO850822 MPS850733:MPS850822 MFW850733:MFW850822 LWA850733:LWA850822 LME850733:LME850822 LCI850733:LCI850822 KSM850733:KSM850822 KIQ850733:KIQ850822 JYU850733:JYU850822 JOY850733:JOY850822 JFC850733:JFC850822 IVG850733:IVG850822 ILK850733:ILK850822 IBO850733:IBO850822 HRS850733:HRS850822 HHW850733:HHW850822 GYA850733:GYA850822 GOE850733:GOE850822 GEI850733:GEI850822 FUM850733:FUM850822 FKQ850733:FKQ850822 FAU850733:FAU850822 EQY850733:EQY850822 EHC850733:EHC850822 DXG850733:DXG850822 DNK850733:DNK850822 DDO850733:DDO850822 CTS850733:CTS850822 CJW850733:CJW850822 CAA850733:CAA850822 BQE850733:BQE850822 BGI850733:BGI850822 AWM850733:AWM850822 AMQ850733:AMQ850822 ACU850733:ACU850822 SY850733:SY850822 JC850733:JC850822 G850742:G850831 WVO785197:WVO785286 WLS785197:WLS785286 WBW785197:WBW785286 VSA785197:VSA785286 VIE785197:VIE785286 UYI785197:UYI785286 UOM785197:UOM785286 UEQ785197:UEQ785286 TUU785197:TUU785286 TKY785197:TKY785286 TBC785197:TBC785286 SRG785197:SRG785286 SHK785197:SHK785286 RXO785197:RXO785286 RNS785197:RNS785286 RDW785197:RDW785286 QUA785197:QUA785286 QKE785197:QKE785286 QAI785197:QAI785286 PQM785197:PQM785286 PGQ785197:PGQ785286 OWU785197:OWU785286 OMY785197:OMY785286 ODC785197:ODC785286 NTG785197:NTG785286 NJK785197:NJK785286 MZO785197:MZO785286 MPS785197:MPS785286 MFW785197:MFW785286 LWA785197:LWA785286 LME785197:LME785286 LCI785197:LCI785286 KSM785197:KSM785286 KIQ785197:KIQ785286 JYU785197:JYU785286 JOY785197:JOY785286 JFC785197:JFC785286 IVG785197:IVG785286 ILK785197:ILK785286 IBO785197:IBO785286 HRS785197:HRS785286 HHW785197:HHW785286 GYA785197:GYA785286 GOE785197:GOE785286 GEI785197:GEI785286 FUM785197:FUM785286 FKQ785197:FKQ785286 FAU785197:FAU785286 EQY785197:EQY785286 EHC785197:EHC785286 DXG785197:DXG785286 DNK785197:DNK785286 DDO785197:DDO785286 CTS785197:CTS785286 CJW785197:CJW785286 CAA785197:CAA785286 BQE785197:BQE785286 BGI785197:BGI785286 AWM785197:AWM785286 AMQ785197:AMQ785286 ACU785197:ACU785286 SY785197:SY785286 JC785197:JC785286 G785206:G785295 WVO719661:WVO719750 WLS719661:WLS719750 WBW719661:WBW719750 VSA719661:VSA719750 VIE719661:VIE719750 UYI719661:UYI719750 UOM719661:UOM719750 UEQ719661:UEQ719750 TUU719661:TUU719750 TKY719661:TKY719750 TBC719661:TBC719750 SRG719661:SRG719750 SHK719661:SHK719750 RXO719661:RXO719750 RNS719661:RNS719750 RDW719661:RDW719750 QUA719661:QUA719750 QKE719661:QKE719750 QAI719661:QAI719750 PQM719661:PQM719750 PGQ719661:PGQ719750 OWU719661:OWU719750 OMY719661:OMY719750 ODC719661:ODC719750 NTG719661:NTG719750 NJK719661:NJK719750 MZO719661:MZO719750 MPS719661:MPS719750 MFW719661:MFW719750 LWA719661:LWA719750 LME719661:LME719750 LCI719661:LCI719750 KSM719661:KSM719750 KIQ719661:KIQ719750 JYU719661:JYU719750 JOY719661:JOY719750 JFC719661:JFC719750 IVG719661:IVG719750 ILK719661:ILK719750 IBO719661:IBO719750 HRS719661:HRS719750 HHW719661:HHW719750 GYA719661:GYA719750 GOE719661:GOE719750 GEI719661:GEI719750 FUM719661:FUM719750 FKQ719661:FKQ719750 FAU719661:FAU719750 EQY719661:EQY719750 EHC719661:EHC719750 DXG719661:DXG719750 DNK719661:DNK719750 DDO719661:DDO719750 CTS719661:CTS719750 CJW719661:CJW719750 CAA719661:CAA719750 BQE719661:BQE719750 BGI719661:BGI719750 AWM719661:AWM719750 AMQ719661:AMQ719750 ACU719661:ACU719750 SY719661:SY719750 JC719661:JC719750 G719670:G719759 WVO654125:WVO654214 WLS654125:WLS654214 WBW654125:WBW654214 VSA654125:VSA654214 VIE654125:VIE654214 UYI654125:UYI654214 UOM654125:UOM654214 UEQ654125:UEQ654214 TUU654125:TUU654214 TKY654125:TKY654214 TBC654125:TBC654214 SRG654125:SRG654214 SHK654125:SHK654214 RXO654125:RXO654214 RNS654125:RNS654214 RDW654125:RDW654214 QUA654125:QUA654214 QKE654125:QKE654214 QAI654125:QAI654214 PQM654125:PQM654214 PGQ654125:PGQ654214 OWU654125:OWU654214 OMY654125:OMY654214 ODC654125:ODC654214 NTG654125:NTG654214 NJK654125:NJK654214 MZO654125:MZO654214 MPS654125:MPS654214 MFW654125:MFW654214 LWA654125:LWA654214 LME654125:LME654214 LCI654125:LCI654214 KSM654125:KSM654214 KIQ654125:KIQ654214 JYU654125:JYU654214 JOY654125:JOY654214 JFC654125:JFC654214 IVG654125:IVG654214 ILK654125:ILK654214 IBO654125:IBO654214 HRS654125:HRS654214 HHW654125:HHW654214 GYA654125:GYA654214 GOE654125:GOE654214 GEI654125:GEI654214 FUM654125:FUM654214 FKQ654125:FKQ654214 FAU654125:FAU654214 EQY654125:EQY654214 EHC654125:EHC654214 DXG654125:DXG654214 DNK654125:DNK654214 DDO654125:DDO654214 CTS654125:CTS654214 CJW654125:CJW654214 CAA654125:CAA654214 BQE654125:BQE654214 BGI654125:BGI654214 AWM654125:AWM654214 AMQ654125:AMQ654214 ACU654125:ACU654214 SY654125:SY654214 JC654125:JC654214 G654134:G654223 WVO588589:WVO588678 WLS588589:WLS588678 WBW588589:WBW588678 VSA588589:VSA588678 VIE588589:VIE588678 UYI588589:UYI588678 UOM588589:UOM588678 UEQ588589:UEQ588678 TUU588589:TUU588678 TKY588589:TKY588678 TBC588589:TBC588678 SRG588589:SRG588678 SHK588589:SHK588678 RXO588589:RXO588678 RNS588589:RNS588678 RDW588589:RDW588678 QUA588589:QUA588678 QKE588589:QKE588678 QAI588589:QAI588678 PQM588589:PQM588678 PGQ588589:PGQ588678 OWU588589:OWU588678 OMY588589:OMY588678 ODC588589:ODC588678 NTG588589:NTG588678 NJK588589:NJK588678 MZO588589:MZO588678 MPS588589:MPS588678 MFW588589:MFW588678 LWA588589:LWA588678 LME588589:LME588678 LCI588589:LCI588678 KSM588589:KSM588678 KIQ588589:KIQ588678 JYU588589:JYU588678 JOY588589:JOY588678 JFC588589:JFC588678 IVG588589:IVG588678 ILK588589:ILK588678 IBO588589:IBO588678 HRS588589:HRS588678 HHW588589:HHW588678 GYA588589:GYA588678 GOE588589:GOE588678 GEI588589:GEI588678 FUM588589:FUM588678 FKQ588589:FKQ588678 FAU588589:FAU588678 EQY588589:EQY588678 EHC588589:EHC588678 DXG588589:DXG588678 DNK588589:DNK588678 DDO588589:DDO588678 CTS588589:CTS588678 CJW588589:CJW588678 CAA588589:CAA588678 BQE588589:BQE588678 BGI588589:BGI588678 AWM588589:AWM588678 AMQ588589:AMQ588678 ACU588589:ACU588678 SY588589:SY588678 JC588589:JC588678 G588598:G588687 WVO523053:WVO523142 WLS523053:WLS523142 WBW523053:WBW523142 VSA523053:VSA523142 VIE523053:VIE523142 UYI523053:UYI523142 UOM523053:UOM523142 UEQ523053:UEQ523142 TUU523053:TUU523142 TKY523053:TKY523142 TBC523053:TBC523142 SRG523053:SRG523142 SHK523053:SHK523142 RXO523053:RXO523142 RNS523053:RNS523142 RDW523053:RDW523142 QUA523053:QUA523142 QKE523053:QKE523142 QAI523053:QAI523142 PQM523053:PQM523142 PGQ523053:PGQ523142 OWU523053:OWU523142 OMY523053:OMY523142 ODC523053:ODC523142 NTG523053:NTG523142 NJK523053:NJK523142 MZO523053:MZO523142 MPS523053:MPS523142 MFW523053:MFW523142 LWA523053:LWA523142 LME523053:LME523142 LCI523053:LCI523142 KSM523053:KSM523142 KIQ523053:KIQ523142 JYU523053:JYU523142 JOY523053:JOY523142 JFC523053:JFC523142 IVG523053:IVG523142 ILK523053:ILK523142 IBO523053:IBO523142 HRS523053:HRS523142 HHW523053:HHW523142 GYA523053:GYA523142 GOE523053:GOE523142 GEI523053:GEI523142 FUM523053:FUM523142 FKQ523053:FKQ523142 FAU523053:FAU523142 EQY523053:EQY523142 EHC523053:EHC523142 DXG523053:DXG523142 DNK523053:DNK523142 DDO523053:DDO523142 CTS523053:CTS523142 CJW523053:CJW523142 CAA523053:CAA523142 BQE523053:BQE523142 BGI523053:BGI523142 AWM523053:AWM523142 AMQ523053:AMQ523142 ACU523053:ACU523142 SY523053:SY523142 JC523053:JC523142 G523062:G523151 WVO457517:WVO457606 WLS457517:WLS457606 WBW457517:WBW457606 VSA457517:VSA457606 VIE457517:VIE457606 UYI457517:UYI457606 UOM457517:UOM457606 UEQ457517:UEQ457606 TUU457517:TUU457606 TKY457517:TKY457606 TBC457517:TBC457606 SRG457517:SRG457606 SHK457517:SHK457606 RXO457517:RXO457606 RNS457517:RNS457606 RDW457517:RDW457606 QUA457517:QUA457606 QKE457517:QKE457606 QAI457517:QAI457606 PQM457517:PQM457606 PGQ457517:PGQ457606 OWU457517:OWU457606 OMY457517:OMY457606 ODC457517:ODC457606 NTG457517:NTG457606 NJK457517:NJK457606 MZO457517:MZO457606 MPS457517:MPS457606 MFW457517:MFW457606 LWA457517:LWA457606 LME457517:LME457606 LCI457517:LCI457606 KSM457517:KSM457606 KIQ457517:KIQ457606 JYU457517:JYU457606 JOY457517:JOY457606 JFC457517:JFC457606 IVG457517:IVG457606 ILK457517:ILK457606 IBO457517:IBO457606 HRS457517:HRS457606 HHW457517:HHW457606 GYA457517:GYA457606 GOE457517:GOE457606 GEI457517:GEI457606 FUM457517:FUM457606 FKQ457517:FKQ457606 FAU457517:FAU457606 EQY457517:EQY457606 EHC457517:EHC457606 DXG457517:DXG457606 DNK457517:DNK457606 DDO457517:DDO457606 CTS457517:CTS457606 CJW457517:CJW457606 CAA457517:CAA457606 BQE457517:BQE457606 BGI457517:BGI457606 AWM457517:AWM457606 AMQ457517:AMQ457606 ACU457517:ACU457606 SY457517:SY457606 JC457517:JC457606 G457526:G457615 WVO391981:WVO392070 WLS391981:WLS392070 WBW391981:WBW392070 VSA391981:VSA392070 VIE391981:VIE392070 UYI391981:UYI392070 UOM391981:UOM392070 UEQ391981:UEQ392070 TUU391981:TUU392070 TKY391981:TKY392070 TBC391981:TBC392070 SRG391981:SRG392070 SHK391981:SHK392070 RXO391981:RXO392070 RNS391981:RNS392070 RDW391981:RDW392070 QUA391981:QUA392070 QKE391981:QKE392070 QAI391981:QAI392070 PQM391981:PQM392070 PGQ391981:PGQ392070 OWU391981:OWU392070 OMY391981:OMY392070 ODC391981:ODC392070 NTG391981:NTG392070 NJK391981:NJK392070 MZO391981:MZO392070 MPS391981:MPS392070 MFW391981:MFW392070 LWA391981:LWA392070 LME391981:LME392070 LCI391981:LCI392070 KSM391981:KSM392070 KIQ391981:KIQ392070 JYU391981:JYU392070 JOY391981:JOY392070 JFC391981:JFC392070 IVG391981:IVG392070 ILK391981:ILK392070 IBO391981:IBO392070 HRS391981:HRS392070 HHW391981:HHW392070 GYA391981:GYA392070 GOE391981:GOE392070 GEI391981:GEI392070 FUM391981:FUM392070 FKQ391981:FKQ392070 FAU391981:FAU392070 EQY391981:EQY392070 EHC391981:EHC392070 DXG391981:DXG392070 DNK391981:DNK392070 DDO391981:DDO392070 CTS391981:CTS392070 CJW391981:CJW392070 CAA391981:CAA392070 BQE391981:BQE392070 BGI391981:BGI392070 AWM391981:AWM392070 AMQ391981:AMQ392070 ACU391981:ACU392070 SY391981:SY392070 JC391981:JC392070 G391990:G392079 WVO326445:WVO326534 WLS326445:WLS326534 WBW326445:WBW326534 VSA326445:VSA326534 VIE326445:VIE326534 UYI326445:UYI326534 UOM326445:UOM326534 UEQ326445:UEQ326534 TUU326445:TUU326534 TKY326445:TKY326534 TBC326445:TBC326534 SRG326445:SRG326534 SHK326445:SHK326534 RXO326445:RXO326534 RNS326445:RNS326534 RDW326445:RDW326534 QUA326445:QUA326534 QKE326445:QKE326534 QAI326445:QAI326534 PQM326445:PQM326534 PGQ326445:PGQ326534 OWU326445:OWU326534 OMY326445:OMY326534 ODC326445:ODC326534 NTG326445:NTG326534 NJK326445:NJK326534 MZO326445:MZO326534 MPS326445:MPS326534 MFW326445:MFW326534 LWA326445:LWA326534 LME326445:LME326534 LCI326445:LCI326534 KSM326445:KSM326534 KIQ326445:KIQ326534 JYU326445:JYU326534 JOY326445:JOY326534 JFC326445:JFC326534 IVG326445:IVG326534 ILK326445:ILK326534 IBO326445:IBO326534 HRS326445:HRS326534 HHW326445:HHW326534 GYA326445:GYA326534 GOE326445:GOE326534 GEI326445:GEI326534 FUM326445:FUM326534 FKQ326445:FKQ326534 FAU326445:FAU326534 EQY326445:EQY326534 EHC326445:EHC326534 DXG326445:DXG326534 DNK326445:DNK326534 DDO326445:DDO326534 CTS326445:CTS326534 CJW326445:CJW326534 CAA326445:CAA326534 BQE326445:BQE326534 BGI326445:BGI326534 AWM326445:AWM326534 AMQ326445:AMQ326534 ACU326445:ACU326534 SY326445:SY326534 JC326445:JC326534 G326454:G326543 WVO260909:WVO260998 WLS260909:WLS260998 WBW260909:WBW260998 VSA260909:VSA260998 VIE260909:VIE260998 UYI260909:UYI260998 UOM260909:UOM260998 UEQ260909:UEQ260998 TUU260909:TUU260998 TKY260909:TKY260998 TBC260909:TBC260998 SRG260909:SRG260998 SHK260909:SHK260998 RXO260909:RXO260998 RNS260909:RNS260998 RDW260909:RDW260998 QUA260909:QUA260998 QKE260909:QKE260998 QAI260909:QAI260998 PQM260909:PQM260998 PGQ260909:PGQ260998 OWU260909:OWU260998 OMY260909:OMY260998 ODC260909:ODC260998 NTG260909:NTG260998 NJK260909:NJK260998 MZO260909:MZO260998 MPS260909:MPS260998 MFW260909:MFW260998 LWA260909:LWA260998 LME260909:LME260998 LCI260909:LCI260998 KSM260909:KSM260998 KIQ260909:KIQ260998 JYU260909:JYU260998 JOY260909:JOY260998 JFC260909:JFC260998 IVG260909:IVG260998 ILK260909:ILK260998 IBO260909:IBO260998 HRS260909:HRS260998 HHW260909:HHW260998 GYA260909:GYA260998 GOE260909:GOE260998 GEI260909:GEI260998 FUM260909:FUM260998 FKQ260909:FKQ260998 FAU260909:FAU260998 EQY260909:EQY260998 EHC260909:EHC260998 DXG260909:DXG260998 DNK260909:DNK260998 DDO260909:DDO260998 CTS260909:CTS260998 CJW260909:CJW260998 CAA260909:CAA260998 BQE260909:BQE260998 BGI260909:BGI260998 AWM260909:AWM260998 AMQ260909:AMQ260998 ACU260909:ACU260998 SY260909:SY260998 JC260909:JC260998 G260918:G261007 WVO195373:WVO195462 WLS195373:WLS195462 WBW195373:WBW195462 VSA195373:VSA195462 VIE195373:VIE195462 UYI195373:UYI195462 UOM195373:UOM195462 UEQ195373:UEQ195462 TUU195373:TUU195462 TKY195373:TKY195462 TBC195373:TBC195462 SRG195373:SRG195462 SHK195373:SHK195462 RXO195373:RXO195462 RNS195373:RNS195462 RDW195373:RDW195462 QUA195373:QUA195462 QKE195373:QKE195462 QAI195373:QAI195462 PQM195373:PQM195462 PGQ195373:PGQ195462 OWU195373:OWU195462 OMY195373:OMY195462 ODC195373:ODC195462 NTG195373:NTG195462 NJK195373:NJK195462 MZO195373:MZO195462 MPS195373:MPS195462 MFW195373:MFW195462 LWA195373:LWA195462 LME195373:LME195462 LCI195373:LCI195462 KSM195373:KSM195462 KIQ195373:KIQ195462 JYU195373:JYU195462 JOY195373:JOY195462 JFC195373:JFC195462 IVG195373:IVG195462 ILK195373:ILK195462 IBO195373:IBO195462 HRS195373:HRS195462 HHW195373:HHW195462 GYA195373:GYA195462 GOE195373:GOE195462 GEI195373:GEI195462 FUM195373:FUM195462 FKQ195373:FKQ195462 FAU195373:FAU195462 EQY195373:EQY195462 EHC195373:EHC195462 DXG195373:DXG195462 DNK195373:DNK195462 DDO195373:DDO195462 CTS195373:CTS195462 CJW195373:CJW195462 CAA195373:CAA195462 BQE195373:BQE195462 BGI195373:BGI195462 AWM195373:AWM195462 AMQ195373:AMQ195462 ACU195373:ACU195462 SY195373:SY195462 JC195373:JC195462 G195382:G195471 WVO129837:WVO129926 WLS129837:WLS129926 WBW129837:WBW129926 VSA129837:VSA129926 VIE129837:VIE129926 UYI129837:UYI129926 UOM129837:UOM129926 UEQ129837:UEQ129926 TUU129837:TUU129926 TKY129837:TKY129926 TBC129837:TBC129926 SRG129837:SRG129926 SHK129837:SHK129926 RXO129837:RXO129926 RNS129837:RNS129926 RDW129837:RDW129926 QUA129837:QUA129926 QKE129837:QKE129926 QAI129837:QAI129926 PQM129837:PQM129926 PGQ129837:PGQ129926 OWU129837:OWU129926 OMY129837:OMY129926 ODC129837:ODC129926 NTG129837:NTG129926 NJK129837:NJK129926 MZO129837:MZO129926 MPS129837:MPS129926 MFW129837:MFW129926 LWA129837:LWA129926 LME129837:LME129926 LCI129837:LCI129926 KSM129837:KSM129926 KIQ129837:KIQ129926 JYU129837:JYU129926 JOY129837:JOY129926 JFC129837:JFC129926 IVG129837:IVG129926 ILK129837:ILK129926 IBO129837:IBO129926 HRS129837:HRS129926 HHW129837:HHW129926 GYA129837:GYA129926 GOE129837:GOE129926 GEI129837:GEI129926 FUM129837:FUM129926 FKQ129837:FKQ129926 FAU129837:FAU129926 EQY129837:EQY129926 EHC129837:EHC129926 DXG129837:DXG129926 DNK129837:DNK129926 DDO129837:DDO129926 CTS129837:CTS129926 CJW129837:CJW129926 CAA129837:CAA129926 BQE129837:BQE129926 BGI129837:BGI129926 AWM129837:AWM129926 AMQ129837:AMQ129926 ACU129837:ACU129926 SY129837:SY129926 JC129837:JC129926 G129846:G129935 WVO64301:WVO64390 WLS64301:WLS64390 WBW64301:WBW64390 VSA64301:VSA64390 VIE64301:VIE64390 UYI64301:UYI64390 UOM64301:UOM64390 UEQ64301:UEQ64390 TUU64301:TUU64390 TKY64301:TKY64390 TBC64301:TBC64390 SRG64301:SRG64390 SHK64301:SHK64390 RXO64301:RXO64390 RNS64301:RNS64390 RDW64301:RDW64390 QUA64301:QUA64390 QKE64301:QKE64390 QAI64301:QAI64390 PQM64301:PQM64390 PGQ64301:PGQ64390 OWU64301:OWU64390 OMY64301:OMY64390 ODC64301:ODC64390 NTG64301:NTG64390 NJK64301:NJK64390 MZO64301:MZO64390 MPS64301:MPS64390 MFW64301:MFW64390 LWA64301:LWA64390 LME64301:LME64390 LCI64301:LCI64390 KSM64301:KSM64390 KIQ64301:KIQ64390 JYU64301:JYU64390 JOY64301:JOY64390 JFC64301:JFC64390 IVG64301:IVG64390 ILK64301:ILK64390 IBO64301:IBO64390 HRS64301:HRS64390 HHW64301:HHW64390 GYA64301:GYA64390 GOE64301:GOE64390 GEI64301:GEI64390 FUM64301:FUM64390 FKQ64301:FKQ64390 FAU64301:FAU64390 EQY64301:EQY64390 EHC64301:EHC64390 DXG64301:DXG64390 DNK64301:DNK64390 DDO64301:DDO64390 CTS64301:CTS64390 CJW64301:CJW64390 CAA64301:CAA64390 BQE64301:BQE64390 BGI64301:BGI64390 AWM64301:AWM64390 AMQ64301:AMQ64390 ACU64301:ACU64390 SY64301:SY64390 JC64301:JC64390 G64310:G64399 G96:G500 JC2:JC73 WVO2:WVO73 WLS2:WLS73 WBW2:WBW73 VSA2:VSA73 VIE2:VIE73 UYI2:UYI73 UOM2:UOM73 UEQ2:UEQ73 TUU2:TUU73 TKY2:TKY73 TBC2:TBC73 SRG2:SRG73 SHK2:SHK73 RXO2:RXO73 RNS2:RNS73 RDW2:RDW73 QUA2:QUA73 QKE2:QKE73 QAI2:QAI73 PQM2:PQM73 PGQ2:PGQ73 OWU2:OWU73 OMY2:OMY73 ODC2:ODC73 NTG2:NTG73 NJK2:NJK73 MZO2:MZO73 MPS2:MPS73 MFW2:MFW73 LWA2:LWA73 LME2:LME73 LCI2:LCI73 KSM2:KSM73 KIQ2:KIQ73 JYU2:JYU73 JOY2:JOY73 JFC2:JFC73 IVG2:IVG73 ILK2:ILK73 IBO2:IBO73 HRS2:HRS73 HHW2:HHW73 GYA2:GYA73 GOE2:GOE73 GEI2:GEI73 FUM2:FUM73 FKQ2:FKQ73 FAU2:FAU73 EQY2:EQY73 EHC2:EHC73 DXG2:DXG73 DNK2:DNK73 DDO2:DDO73 CTS2:CTS73 CJW2:CJW73 CAA2:CAA73 BQE2:BQE73 BGI2:BGI73 AWM2:AWM73 AMQ2:AMQ73 ACU2:ACU73 SY2:SY73 G2:G94" xr:uid="{DBDC3872-7D9F-4FE7-8EC1-FC6363B3532B}">
      <formula1>$AJ$2:$AJ$4</formula1>
    </dataValidation>
    <dataValidation type="list" allowBlank="1" showInputMessage="1" showErrorMessage="1" sqref="WVP981805:WVP981894 WLT981805:WLT981894 WBX981805:WBX981894 VSB981805:VSB981894 VIF981805:VIF981894 UYJ981805:UYJ981894 UON981805:UON981894 UER981805:UER981894 TUV981805:TUV981894 TKZ981805:TKZ981894 TBD981805:TBD981894 SRH981805:SRH981894 SHL981805:SHL981894 RXP981805:RXP981894 RNT981805:RNT981894 RDX981805:RDX981894 QUB981805:QUB981894 QKF981805:QKF981894 QAJ981805:QAJ981894 PQN981805:PQN981894 PGR981805:PGR981894 OWV981805:OWV981894 OMZ981805:OMZ981894 ODD981805:ODD981894 NTH981805:NTH981894 NJL981805:NJL981894 MZP981805:MZP981894 MPT981805:MPT981894 MFX981805:MFX981894 LWB981805:LWB981894 LMF981805:LMF981894 LCJ981805:LCJ981894 KSN981805:KSN981894 KIR981805:KIR981894 JYV981805:JYV981894 JOZ981805:JOZ981894 JFD981805:JFD981894 IVH981805:IVH981894 ILL981805:ILL981894 IBP981805:IBP981894 HRT981805:HRT981894 HHX981805:HHX981894 GYB981805:GYB981894 GOF981805:GOF981894 GEJ981805:GEJ981894 FUN981805:FUN981894 FKR981805:FKR981894 FAV981805:FAV981894 EQZ981805:EQZ981894 EHD981805:EHD981894 DXH981805:DXH981894 DNL981805:DNL981894 DDP981805:DDP981894 CTT981805:CTT981894 CJX981805:CJX981894 CAB981805:CAB981894 BQF981805:BQF981894 BGJ981805:BGJ981894 AWN981805:AWN981894 AMR981805:AMR981894 ACV981805:ACV981894 SZ981805:SZ981894 JD981805:JD981894 H981826:H981915 WVP916269:WVP916358 WLT916269:WLT916358 WBX916269:WBX916358 VSB916269:VSB916358 VIF916269:VIF916358 UYJ916269:UYJ916358 UON916269:UON916358 UER916269:UER916358 TUV916269:TUV916358 TKZ916269:TKZ916358 TBD916269:TBD916358 SRH916269:SRH916358 SHL916269:SHL916358 RXP916269:RXP916358 RNT916269:RNT916358 RDX916269:RDX916358 QUB916269:QUB916358 QKF916269:QKF916358 QAJ916269:QAJ916358 PQN916269:PQN916358 PGR916269:PGR916358 OWV916269:OWV916358 OMZ916269:OMZ916358 ODD916269:ODD916358 NTH916269:NTH916358 NJL916269:NJL916358 MZP916269:MZP916358 MPT916269:MPT916358 MFX916269:MFX916358 LWB916269:LWB916358 LMF916269:LMF916358 LCJ916269:LCJ916358 KSN916269:KSN916358 KIR916269:KIR916358 JYV916269:JYV916358 JOZ916269:JOZ916358 JFD916269:JFD916358 IVH916269:IVH916358 ILL916269:ILL916358 IBP916269:IBP916358 HRT916269:HRT916358 HHX916269:HHX916358 GYB916269:GYB916358 GOF916269:GOF916358 GEJ916269:GEJ916358 FUN916269:FUN916358 FKR916269:FKR916358 FAV916269:FAV916358 EQZ916269:EQZ916358 EHD916269:EHD916358 DXH916269:DXH916358 DNL916269:DNL916358 DDP916269:DDP916358 CTT916269:CTT916358 CJX916269:CJX916358 CAB916269:CAB916358 BQF916269:BQF916358 BGJ916269:BGJ916358 AWN916269:AWN916358 AMR916269:AMR916358 ACV916269:ACV916358 SZ916269:SZ916358 JD916269:JD916358 H916290:H916379 WVP850733:WVP850822 WLT850733:WLT850822 WBX850733:WBX850822 VSB850733:VSB850822 VIF850733:VIF850822 UYJ850733:UYJ850822 UON850733:UON850822 UER850733:UER850822 TUV850733:TUV850822 TKZ850733:TKZ850822 TBD850733:TBD850822 SRH850733:SRH850822 SHL850733:SHL850822 RXP850733:RXP850822 RNT850733:RNT850822 RDX850733:RDX850822 QUB850733:QUB850822 QKF850733:QKF850822 QAJ850733:QAJ850822 PQN850733:PQN850822 PGR850733:PGR850822 OWV850733:OWV850822 OMZ850733:OMZ850822 ODD850733:ODD850822 NTH850733:NTH850822 NJL850733:NJL850822 MZP850733:MZP850822 MPT850733:MPT850822 MFX850733:MFX850822 LWB850733:LWB850822 LMF850733:LMF850822 LCJ850733:LCJ850822 KSN850733:KSN850822 KIR850733:KIR850822 JYV850733:JYV850822 JOZ850733:JOZ850822 JFD850733:JFD850822 IVH850733:IVH850822 ILL850733:ILL850822 IBP850733:IBP850822 HRT850733:HRT850822 HHX850733:HHX850822 GYB850733:GYB850822 GOF850733:GOF850822 GEJ850733:GEJ850822 FUN850733:FUN850822 FKR850733:FKR850822 FAV850733:FAV850822 EQZ850733:EQZ850822 EHD850733:EHD850822 DXH850733:DXH850822 DNL850733:DNL850822 DDP850733:DDP850822 CTT850733:CTT850822 CJX850733:CJX850822 CAB850733:CAB850822 BQF850733:BQF850822 BGJ850733:BGJ850822 AWN850733:AWN850822 AMR850733:AMR850822 ACV850733:ACV850822 SZ850733:SZ850822 JD850733:JD850822 H850754:H850843 WVP785197:WVP785286 WLT785197:WLT785286 WBX785197:WBX785286 VSB785197:VSB785286 VIF785197:VIF785286 UYJ785197:UYJ785286 UON785197:UON785286 UER785197:UER785286 TUV785197:TUV785286 TKZ785197:TKZ785286 TBD785197:TBD785286 SRH785197:SRH785286 SHL785197:SHL785286 RXP785197:RXP785286 RNT785197:RNT785286 RDX785197:RDX785286 QUB785197:QUB785286 QKF785197:QKF785286 QAJ785197:QAJ785286 PQN785197:PQN785286 PGR785197:PGR785286 OWV785197:OWV785286 OMZ785197:OMZ785286 ODD785197:ODD785286 NTH785197:NTH785286 NJL785197:NJL785286 MZP785197:MZP785286 MPT785197:MPT785286 MFX785197:MFX785286 LWB785197:LWB785286 LMF785197:LMF785286 LCJ785197:LCJ785286 KSN785197:KSN785286 KIR785197:KIR785286 JYV785197:JYV785286 JOZ785197:JOZ785286 JFD785197:JFD785286 IVH785197:IVH785286 ILL785197:ILL785286 IBP785197:IBP785286 HRT785197:HRT785286 HHX785197:HHX785286 GYB785197:GYB785286 GOF785197:GOF785286 GEJ785197:GEJ785286 FUN785197:FUN785286 FKR785197:FKR785286 FAV785197:FAV785286 EQZ785197:EQZ785286 EHD785197:EHD785286 DXH785197:DXH785286 DNL785197:DNL785286 DDP785197:DDP785286 CTT785197:CTT785286 CJX785197:CJX785286 CAB785197:CAB785286 BQF785197:BQF785286 BGJ785197:BGJ785286 AWN785197:AWN785286 AMR785197:AMR785286 ACV785197:ACV785286 SZ785197:SZ785286 JD785197:JD785286 H785218:H785307 WVP719661:WVP719750 WLT719661:WLT719750 WBX719661:WBX719750 VSB719661:VSB719750 VIF719661:VIF719750 UYJ719661:UYJ719750 UON719661:UON719750 UER719661:UER719750 TUV719661:TUV719750 TKZ719661:TKZ719750 TBD719661:TBD719750 SRH719661:SRH719750 SHL719661:SHL719750 RXP719661:RXP719750 RNT719661:RNT719750 RDX719661:RDX719750 QUB719661:QUB719750 QKF719661:QKF719750 QAJ719661:QAJ719750 PQN719661:PQN719750 PGR719661:PGR719750 OWV719661:OWV719750 OMZ719661:OMZ719750 ODD719661:ODD719750 NTH719661:NTH719750 NJL719661:NJL719750 MZP719661:MZP719750 MPT719661:MPT719750 MFX719661:MFX719750 LWB719661:LWB719750 LMF719661:LMF719750 LCJ719661:LCJ719750 KSN719661:KSN719750 KIR719661:KIR719750 JYV719661:JYV719750 JOZ719661:JOZ719750 JFD719661:JFD719750 IVH719661:IVH719750 ILL719661:ILL719750 IBP719661:IBP719750 HRT719661:HRT719750 HHX719661:HHX719750 GYB719661:GYB719750 GOF719661:GOF719750 GEJ719661:GEJ719750 FUN719661:FUN719750 FKR719661:FKR719750 FAV719661:FAV719750 EQZ719661:EQZ719750 EHD719661:EHD719750 DXH719661:DXH719750 DNL719661:DNL719750 DDP719661:DDP719750 CTT719661:CTT719750 CJX719661:CJX719750 CAB719661:CAB719750 BQF719661:BQF719750 BGJ719661:BGJ719750 AWN719661:AWN719750 AMR719661:AMR719750 ACV719661:ACV719750 SZ719661:SZ719750 JD719661:JD719750 H719682:H719771 WVP654125:WVP654214 WLT654125:WLT654214 WBX654125:WBX654214 VSB654125:VSB654214 VIF654125:VIF654214 UYJ654125:UYJ654214 UON654125:UON654214 UER654125:UER654214 TUV654125:TUV654214 TKZ654125:TKZ654214 TBD654125:TBD654214 SRH654125:SRH654214 SHL654125:SHL654214 RXP654125:RXP654214 RNT654125:RNT654214 RDX654125:RDX654214 QUB654125:QUB654214 QKF654125:QKF654214 QAJ654125:QAJ654214 PQN654125:PQN654214 PGR654125:PGR654214 OWV654125:OWV654214 OMZ654125:OMZ654214 ODD654125:ODD654214 NTH654125:NTH654214 NJL654125:NJL654214 MZP654125:MZP654214 MPT654125:MPT654214 MFX654125:MFX654214 LWB654125:LWB654214 LMF654125:LMF654214 LCJ654125:LCJ654214 KSN654125:KSN654214 KIR654125:KIR654214 JYV654125:JYV654214 JOZ654125:JOZ654214 JFD654125:JFD654214 IVH654125:IVH654214 ILL654125:ILL654214 IBP654125:IBP654214 HRT654125:HRT654214 HHX654125:HHX654214 GYB654125:GYB654214 GOF654125:GOF654214 GEJ654125:GEJ654214 FUN654125:FUN654214 FKR654125:FKR654214 FAV654125:FAV654214 EQZ654125:EQZ654214 EHD654125:EHD654214 DXH654125:DXH654214 DNL654125:DNL654214 DDP654125:DDP654214 CTT654125:CTT654214 CJX654125:CJX654214 CAB654125:CAB654214 BQF654125:BQF654214 BGJ654125:BGJ654214 AWN654125:AWN654214 AMR654125:AMR654214 ACV654125:ACV654214 SZ654125:SZ654214 JD654125:JD654214 H654146:H654235 WVP588589:WVP588678 WLT588589:WLT588678 WBX588589:WBX588678 VSB588589:VSB588678 VIF588589:VIF588678 UYJ588589:UYJ588678 UON588589:UON588678 UER588589:UER588678 TUV588589:TUV588678 TKZ588589:TKZ588678 TBD588589:TBD588678 SRH588589:SRH588678 SHL588589:SHL588678 RXP588589:RXP588678 RNT588589:RNT588678 RDX588589:RDX588678 QUB588589:QUB588678 QKF588589:QKF588678 QAJ588589:QAJ588678 PQN588589:PQN588678 PGR588589:PGR588678 OWV588589:OWV588678 OMZ588589:OMZ588678 ODD588589:ODD588678 NTH588589:NTH588678 NJL588589:NJL588678 MZP588589:MZP588678 MPT588589:MPT588678 MFX588589:MFX588678 LWB588589:LWB588678 LMF588589:LMF588678 LCJ588589:LCJ588678 KSN588589:KSN588678 KIR588589:KIR588678 JYV588589:JYV588678 JOZ588589:JOZ588678 JFD588589:JFD588678 IVH588589:IVH588678 ILL588589:ILL588678 IBP588589:IBP588678 HRT588589:HRT588678 HHX588589:HHX588678 GYB588589:GYB588678 GOF588589:GOF588678 GEJ588589:GEJ588678 FUN588589:FUN588678 FKR588589:FKR588678 FAV588589:FAV588678 EQZ588589:EQZ588678 EHD588589:EHD588678 DXH588589:DXH588678 DNL588589:DNL588678 DDP588589:DDP588678 CTT588589:CTT588678 CJX588589:CJX588678 CAB588589:CAB588678 BQF588589:BQF588678 BGJ588589:BGJ588678 AWN588589:AWN588678 AMR588589:AMR588678 ACV588589:ACV588678 SZ588589:SZ588678 JD588589:JD588678 H588610:H588699 WVP523053:WVP523142 WLT523053:WLT523142 WBX523053:WBX523142 VSB523053:VSB523142 VIF523053:VIF523142 UYJ523053:UYJ523142 UON523053:UON523142 UER523053:UER523142 TUV523053:TUV523142 TKZ523053:TKZ523142 TBD523053:TBD523142 SRH523053:SRH523142 SHL523053:SHL523142 RXP523053:RXP523142 RNT523053:RNT523142 RDX523053:RDX523142 QUB523053:QUB523142 QKF523053:QKF523142 QAJ523053:QAJ523142 PQN523053:PQN523142 PGR523053:PGR523142 OWV523053:OWV523142 OMZ523053:OMZ523142 ODD523053:ODD523142 NTH523053:NTH523142 NJL523053:NJL523142 MZP523053:MZP523142 MPT523053:MPT523142 MFX523053:MFX523142 LWB523053:LWB523142 LMF523053:LMF523142 LCJ523053:LCJ523142 KSN523053:KSN523142 KIR523053:KIR523142 JYV523053:JYV523142 JOZ523053:JOZ523142 JFD523053:JFD523142 IVH523053:IVH523142 ILL523053:ILL523142 IBP523053:IBP523142 HRT523053:HRT523142 HHX523053:HHX523142 GYB523053:GYB523142 GOF523053:GOF523142 GEJ523053:GEJ523142 FUN523053:FUN523142 FKR523053:FKR523142 FAV523053:FAV523142 EQZ523053:EQZ523142 EHD523053:EHD523142 DXH523053:DXH523142 DNL523053:DNL523142 DDP523053:DDP523142 CTT523053:CTT523142 CJX523053:CJX523142 CAB523053:CAB523142 BQF523053:BQF523142 BGJ523053:BGJ523142 AWN523053:AWN523142 AMR523053:AMR523142 ACV523053:ACV523142 SZ523053:SZ523142 JD523053:JD523142 H523074:H523163 WVP457517:WVP457606 WLT457517:WLT457606 WBX457517:WBX457606 VSB457517:VSB457606 VIF457517:VIF457606 UYJ457517:UYJ457606 UON457517:UON457606 UER457517:UER457606 TUV457517:TUV457606 TKZ457517:TKZ457606 TBD457517:TBD457606 SRH457517:SRH457606 SHL457517:SHL457606 RXP457517:RXP457606 RNT457517:RNT457606 RDX457517:RDX457606 QUB457517:QUB457606 QKF457517:QKF457606 QAJ457517:QAJ457606 PQN457517:PQN457606 PGR457517:PGR457606 OWV457517:OWV457606 OMZ457517:OMZ457606 ODD457517:ODD457606 NTH457517:NTH457606 NJL457517:NJL457606 MZP457517:MZP457606 MPT457517:MPT457606 MFX457517:MFX457606 LWB457517:LWB457606 LMF457517:LMF457606 LCJ457517:LCJ457606 KSN457517:KSN457606 KIR457517:KIR457606 JYV457517:JYV457606 JOZ457517:JOZ457606 JFD457517:JFD457606 IVH457517:IVH457606 ILL457517:ILL457606 IBP457517:IBP457606 HRT457517:HRT457606 HHX457517:HHX457606 GYB457517:GYB457606 GOF457517:GOF457606 GEJ457517:GEJ457606 FUN457517:FUN457606 FKR457517:FKR457606 FAV457517:FAV457606 EQZ457517:EQZ457606 EHD457517:EHD457606 DXH457517:DXH457606 DNL457517:DNL457606 DDP457517:DDP457606 CTT457517:CTT457606 CJX457517:CJX457606 CAB457517:CAB457606 BQF457517:BQF457606 BGJ457517:BGJ457606 AWN457517:AWN457606 AMR457517:AMR457606 ACV457517:ACV457606 SZ457517:SZ457606 JD457517:JD457606 H457538:H457627 WVP391981:WVP392070 WLT391981:WLT392070 WBX391981:WBX392070 VSB391981:VSB392070 VIF391981:VIF392070 UYJ391981:UYJ392070 UON391981:UON392070 UER391981:UER392070 TUV391981:TUV392070 TKZ391981:TKZ392070 TBD391981:TBD392070 SRH391981:SRH392070 SHL391981:SHL392070 RXP391981:RXP392070 RNT391981:RNT392070 RDX391981:RDX392070 QUB391981:QUB392070 QKF391981:QKF392070 QAJ391981:QAJ392070 PQN391981:PQN392070 PGR391981:PGR392070 OWV391981:OWV392070 OMZ391981:OMZ392070 ODD391981:ODD392070 NTH391981:NTH392070 NJL391981:NJL392070 MZP391981:MZP392070 MPT391981:MPT392070 MFX391981:MFX392070 LWB391981:LWB392070 LMF391981:LMF392070 LCJ391981:LCJ392070 KSN391981:KSN392070 KIR391981:KIR392070 JYV391981:JYV392070 JOZ391981:JOZ392070 JFD391981:JFD392070 IVH391981:IVH392070 ILL391981:ILL392070 IBP391981:IBP392070 HRT391981:HRT392070 HHX391981:HHX392070 GYB391981:GYB392070 GOF391981:GOF392070 GEJ391981:GEJ392070 FUN391981:FUN392070 FKR391981:FKR392070 FAV391981:FAV392070 EQZ391981:EQZ392070 EHD391981:EHD392070 DXH391981:DXH392070 DNL391981:DNL392070 DDP391981:DDP392070 CTT391981:CTT392070 CJX391981:CJX392070 CAB391981:CAB392070 BQF391981:BQF392070 BGJ391981:BGJ392070 AWN391981:AWN392070 AMR391981:AMR392070 ACV391981:ACV392070 SZ391981:SZ392070 JD391981:JD392070 H392002:H392091 WVP326445:WVP326534 WLT326445:WLT326534 WBX326445:WBX326534 VSB326445:VSB326534 VIF326445:VIF326534 UYJ326445:UYJ326534 UON326445:UON326534 UER326445:UER326534 TUV326445:TUV326534 TKZ326445:TKZ326534 TBD326445:TBD326534 SRH326445:SRH326534 SHL326445:SHL326534 RXP326445:RXP326534 RNT326445:RNT326534 RDX326445:RDX326534 QUB326445:QUB326534 QKF326445:QKF326534 QAJ326445:QAJ326534 PQN326445:PQN326534 PGR326445:PGR326534 OWV326445:OWV326534 OMZ326445:OMZ326534 ODD326445:ODD326534 NTH326445:NTH326534 NJL326445:NJL326534 MZP326445:MZP326534 MPT326445:MPT326534 MFX326445:MFX326534 LWB326445:LWB326534 LMF326445:LMF326534 LCJ326445:LCJ326534 KSN326445:KSN326534 KIR326445:KIR326534 JYV326445:JYV326534 JOZ326445:JOZ326534 JFD326445:JFD326534 IVH326445:IVH326534 ILL326445:ILL326534 IBP326445:IBP326534 HRT326445:HRT326534 HHX326445:HHX326534 GYB326445:GYB326534 GOF326445:GOF326534 GEJ326445:GEJ326534 FUN326445:FUN326534 FKR326445:FKR326534 FAV326445:FAV326534 EQZ326445:EQZ326534 EHD326445:EHD326534 DXH326445:DXH326534 DNL326445:DNL326534 DDP326445:DDP326534 CTT326445:CTT326534 CJX326445:CJX326534 CAB326445:CAB326534 BQF326445:BQF326534 BGJ326445:BGJ326534 AWN326445:AWN326534 AMR326445:AMR326534 ACV326445:ACV326534 SZ326445:SZ326534 JD326445:JD326534 H326466:H326555 WVP260909:WVP260998 WLT260909:WLT260998 WBX260909:WBX260998 VSB260909:VSB260998 VIF260909:VIF260998 UYJ260909:UYJ260998 UON260909:UON260998 UER260909:UER260998 TUV260909:TUV260998 TKZ260909:TKZ260998 TBD260909:TBD260998 SRH260909:SRH260998 SHL260909:SHL260998 RXP260909:RXP260998 RNT260909:RNT260998 RDX260909:RDX260998 QUB260909:QUB260998 QKF260909:QKF260998 QAJ260909:QAJ260998 PQN260909:PQN260998 PGR260909:PGR260998 OWV260909:OWV260998 OMZ260909:OMZ260998 ODD260909:ODD260998 NTH260909:NTH260998 NJL260909:NJL260998 MZP260909:MZP260998 MPT260909:MPT260998 MFX260909:MFX260998 LWB260909:LWB260998 LMF260909:LMF260998 LCJ260909:LCJ260998 KSN260909:KSN260998 KIR260909:KIR260998 JYV260909:JYV260998 JOZ260909:JOZ260998 JFD260909:JFD260998 IVH260909:IVH260998 ILL260909:ILL260998 IBP260909:IBP260998 HRT260909:HRT260998 HHX260909:HHX260998 GYB260909:GYB260998 GOF260909:GOF260998 GEJ260909:GEJ260998 FUN260909:FUN260998 FKR260909:FKR260998 FAV260909:FAV260998 EQZ260909:EQZ260998 EHD260909:EHD260998 DXH260909:DXH260998 DNL260909:DNL260998 DDP260909:DDP260998 CTT260909:CTT260998 CJX260909:CJX260998 CAB260909:CAB260998 BQF260909:BQF260998 BGJ260909:BGJ260998 AWN260909:AWN260998 AMR260909:AMR260998 ACV260909:ACV260998 SZ260909:SZ260998 JD260909:JD260998 H260930:H261019 WVP195373:WVP195462 WLT195373:WLT195462 WBX195373:WBX195462 VSB195373:VSB195462 VIF195373:VIF195462 UYJ195373:UYJ195462 UON195373:UON195462 UER195373:UER195462 TUV195373:TUV195462 TKZ195373:TKZ195462 TBD195373:TBD195462 SRH195373:SRH195462 SHL195373:SHL195462 RXP195373:RXP195462 RNT195373:RNT195462 RDX195373:RDX195462 QUB195373:QUB195462 QKF195373:QKF195462 QAJ195373:QAJ195462 PQN195373:PQN195462 PGR195373:PGR195462 OWV195373:OWV195462 OMZ195373:OMZ195462 ODD195373:ODD195462 NTH195373:NTH195462 NJL195373:NJL195462 MZP195373:MZP195462 MPT195373:MPT195462 MFX195373:MFX195462 LWB195373:LWB195462 LMF195373:LMF195462 LCJ195373:LCJ195462 KSN195373:KSN195462 KIR195373:KIR195462 JYV195373:JYV195462 JOZ195373:JOZ195462 JFD195373:JFD195462 IVH195373:IVH195462 ILL195373:ILL195462 IBP195373:IBP195462 HRT195373:HRT195462 HHX195373:HHX195462 GYB195373:GYB195462 GOF195373:GOF195462 GEJ195373:GEJ195462 FUN195373:FUN195462 FKR195373:FKR195462 FAV195373:FAV195462 EQZ195373:EQZ195462 EHD195373:EHD195462 DXH195373:DXH195462 DNL195373:DNL195462 DDP195373:DDP195462 CTT195373:CTT195462 CJX195373:CJX195462 CAB195373:CAB195462 BQF195373:BQF195462 BGJ195373:BGJ195462 AWN195373:AWN195462 AMR195373:AMR195462 ACV195373:ACV195462 SZ195373:SZ195462 JD195373:JD195462 H195394:H195483 WVP129837:WVP129926 WLT129837:WLT129926 WBX129837:WBX129926 VSB129837:VSB129926 VIF129837:VIF129926 UYJ129837:UYJ129926 UON129837:UON129926 UER129837:UER129926 TUV129837:TUV129926 TKZ129837:TKZ129926 TBD129837:TBD129926 SRH129837:SRH129926 SHL129837:SHL129926 RXP129837:RXP129926 RNT129837:RNT129926 RDX129837:RDX129926 QUB129837:QUB129926 QKF129837:QKF129926 QAJ129837:QAJ129926 PQN129837:PQN129926 PGR129837:PGR129926 OWV129837:OWV129926 OMZ129837:OMZ129926 ODD129837:ODD129926 NTH129837:NTH129926 NJL129837:NJL129926 MZP129837:MZP129926 MPT129837:MPT129926 MFX129837:MFX129926 LWB129837:LWB129926 LMF129837:LMF129926 LCJ129837:LCJ129926 KSN129837:KSN129926 KIR129837:KIR129926 JYV129837:JYV129926 JOZ129837:JOZ129926 JFD129837:JFD129926 IVH129837:IVH129926 ILL129837:ILL129926 IBP129837:IBP129926 HRT129837:HRT129926 HHX129837:HHX129926 GYB129837:GYB129926 GOF129837:GOF129926 GEJ129837:GEJ129926 FUN129837:FUN129926 FKR129837:FKR129926 FAV129837:FAV129926 EQZ129837:EQZ129926 EHD129837:EHD129926 DXH129837:DXH129926 DNL129837:DNL129926 DDP129837:DDP129926 CTT129837:CTT129926 CJX129837:CJX129926 CAB129837:CAB129926 BQF129837:BQF129926 BGJ129837:BGJ129926 AWN129837:AWN129926 AMR129837:AMR129926 ACV129837:ACV129926 SZ129837:SZ129926 JD129837:JD129926 H129858:H129947 WVP64301:WVP64390 WLT64301:WLT64390 WBX64301:WBX64390 VSB64301:VSB64390 VIF64301:VIF64390 UYJ64301:UYJ64390 UON64301:UON64390 UER64301:UER64390 TUV64301:TUV64390 TKZ64301:TKZ64390 TBD64301:TBD64390 SRH64301:SRH64390 SHL64301:SHL64390 RXP64301:RXP64390 RNT64301:RNT64390 RDX64301:RDX64390 QUB64301:QUB64390 QKF64301:QKF64390 QAJ64301:QAJ64390 PQN64301:PQN64390 PGR64301:PGR64390 OWV64301:OWV64390 OMZ64301:OMZ64390 ODD64301:ODD64390 NTH64301:NTH64390 NJL64301:NJL64390 MZP64301:MZP64390 MPT64301:MPT64390 MFX64301:MFX64390 LWB64301:LWB64390 LMF64301:LMF64390 LCJ64301:LCJ64390 KSN64301:KSN64390 KIR64301:KIR64390 JYV64301:JYV64390 JOZ64301:JOZ64390 JFD64301:JFD64390 IVH64301:IVH64390 ILL64301:ILL64390 IBP64301:IBP64390 HRT64301:HRT64390 HHX64301:HHX64390 GYB64301:GYB64390 GOF64301:GOF64390 GEJ64301:GEJ64390 FUN64301:FUN64390 FKR64301:FKR64390 FAV64301:FAV64390 EQZ64301:EQZ64390 EHD64301:EHD64390 DXH64301:DXH64390 DNL64301:DNL64390 DDP64301:DDP64390 CTT64301:CTT64390 CJX64301:CJX64390 CAB64301:CAB64390 BQF64301:BQF64390 BGJ64301:BGJ64390 AWN64301:AWN64390 AMR64301:AMR64390 ACV64301:ACV64390 SZ64301:SZ64390 JD64301:JD64390 H64322:H64411 WVP2:WVP73 WLT2:WLT73 WBX2:WBX73 VSB2:VSB73 VIF2:VIF73 UYJ2:UYJ73 UON2:UON73 UER2:UER73 TUV2:TUV73 TKZ2:TKZ73 TBD2:TBD73 SRH2:SRH73 SHL2:SHL73 RXP2:RXP73 RNT2:RNT73 RDX2:RDX73 QUB2:QUB73 QKF2:QKF73 QAJ2:QAJ73 PQN2:PQN73 PGR2:PGR73 OWV2:OWV73 OMZ2:OMZ73 ODD2:ODD73 NTH2:NTH73 NJL2:NJL73 MZP2:MZP73 MPT2:MPT73 MFX2:MFX73 LWB2:LWB73 LMF2:LMF73 LCJ2:LCJ73 KSN2:KSN73 KIR2:KIR73 JYV2:JYV73 JOZ2:JOZ73 JFD2:JFD73 IVH2:IVH73 ILL2:ILL73 IBP2:IBP73 HRT2:HRT73 HHX2:HHX73 GYB2:GYB73 GOF2:GOF73 GEJ2:GEJ73 FUN2:FUN73 FKR2:FKR73 FAV2:FAV73 EQZ2:EQZ73 EHD2:EHD73 DXH2:DXH73 DNL2:DNL73 DDP2:DDP73 CTT2:CTT73 CJX2:CJX73 CAB2:CAB73 BQF2:BQF73 BGJ2:BGJ73 AWN2:AWN73 AMR2:AMR73 ACV2:ACV73 SZ2:SZ73 JD2:JD73" xr:uid="{1B98B943-AA4E-4A8D-AE9D-2A26FB698A89}">
      <formula1>$AL$8:$AL$13</formula1>
    </dataValidation>
    <dataValidation type="list" allowBlank="1" showInputMessage="1" showErrorMessage="1" sqref="WVQ981805:WVQ981888 WLU981805:WLU981888 WBY981805:WBY981888 VSC981805:VSC981888 VIG981805:VIG981888 UYK981805:UYK981888 UOO981805:UOO981888 UES981805:UES981888 TUW981805:TUW981888 TLA981805:TLA981888 TBE981805:TBE981888 SRI981805:SRI981888 SHM981805:SHM981888 RXQ981805:RXQ981888 RNU981805:RNU981888 RDY981805:RDY981888 QUC981805:QUC981888 QKG981805:QKG981888 QAK981805:QAK981888 PQO981805:PQO981888 PGS981805:PGS981888 OWW981805:OWW981888 ONA981805:ONA981888 ODE981805:ODE981888 NTI981805:NTI981888 NJM981805:NJM981888 MZQ981805:MZQ981888 MPU981805:MPU981888 MFY981805:MFY981888 LWC981805:LWC981888 LMG981805:LMG981888 LCK981805:LCK981888 KSO981805:KSO981888 KIS981805:KIS981888 JYW981805:JYW981888 JPA981805:JPA981888 JFE981805:JFE981888 IVI981805:IVI981888 ILM981805:ILM981888 IBQ981805:IBQ981888 HRU981805:HRU981888 HHY981805:HHY981888 GYC981805:GYC981888 GOG981805:GOG981888 GEK981805:GEK981888 FUO981805:FUO981888 FKS981805:FKS981888 FAW981805:FAW981888 ERA981805:ERA981888 EHE981805:EHE981888 DXI981805:DXI981888 DNM981805:DNM981888 DDQ981805:DDQ981888 CTU981805:CTU981888 CJY981805:CJY981888 CAC981805:CAC981888 BQG981805:BQG981888 BGK981805:BGK981888 AWO981805:AWO981888 AMS981805:AMS981888 ACW981805:ACW981888 TA981805:TA981888 JE981805:JE981888 I981826:I981909 WVQ916269:WVQ916352 WLU916269:WLU916352 WBY916269:WBY916352 VSC916269:VSC916352 VIG916269:VIG916352 UYK916269:UYK916352 UOO916269:UOO916352 UES916269:UES916352 TUW916269:TUW916352 TLA916269:TLA916352 TBE916269:TBE916352 SRI916269:SRI916352 SHM916269:SHM916352 RXQ916269:RXQ916352 RNU916269:RNU916352 RDY916269:RDY916352 QUC916269:QUC916352 QKG916269:QKG916352 QAK916269:QAK916352 PQO916269:PQO916352 PGS916269:PGS916352 OWW916269:OWW916352 ONA916269:ONA916352 ODE916269:ODE916352 NTI916269:NTI916352 NJM916269:NJM916352 MZQ916269:MZQ916352 MPU916269:MPU916352 MFY916269:MFY916352 LWC916269:LWC916352 LMG916269:LMG916352 LCK916269:LCK916352 KSO916269:KSO916352 KIS916269:KIS916352 JYW916269:JYW916352 JPA916269:JPA916352 JFE916269:JFE916352 IVI916269:IVI916352 ILM916269:ILM916352 IBQ916269:IBQ916352 HRU916269:HRU916352 HHY916269:HHY916352 GYC916269:GYC916352 GOG916269:GOG916352 GEK916269:GEK916352 FUO916269:FUO916352 FKS916269:FKS916352 FAW916269:FAW916352 ERA916269:ERA916352 EHE916269:EHE916352 DXI916269:DXI916352 DNM916269:DNM916352 DDQ916269:DDQ916352 CTU916269:CTU916352 CJY916269:CJY916352 CAC916269:CAC916352 BQG916269:BQG916352 BGK916269:BGK916352 AWO916269:AWO916352 AMS916269:AMS916352 ACW916269:ACW916352 TA916269:TA916352 JE916269:JE916352 I916290:I916373 WVQ850733:WVQ850816 WLU850733:WLU850816 WBY850733:WBY850816 VSC850733:VSC850816 VIG850733:VIG850816 UYK850733:UYK850816 UOO850733:UOO850816 UES850733:UES850816 TUW850733:TUW850816 TLA850733:TLA850816 TBE850733:TBE850816 SRI850733:SRI850816 SHM850733:SHM850816 RXQ850733:RXQ850816 RNU850733:RNU850816 RDY850733:RDY850816 QUC850733:QUC850816 QKG850733:QKG850816 QAK850733:QAK850816 PQO850733:PQO850816 PGS850733:PGS850816 OWW850733:OWW850816 ONA850733:ONA850816 ODE850733:ODE850816 NTI850733:NTI850816 NJM850733:NJM850816 MZQ850733:MZQ850816 MPU850733:MPU850816 MFY850733:MFY850816 LWC850733:LWC850816 LMG850733:LMG850816 LCK850733:LCK850816 KSO850733:KSO850816 KIS850733:KIS850816 JYW850733:JYW850816 JPA850733:JPA850816 JFE850733:JFE850816 IVI850733:IVI850816 ILM850733:ILM850816 IBQ850733:IBQ850816 HRU850733:HRU850816 HHY850733:HHY850816 GYC850733:GYC850816 GOG850733:GOG850816 GEK850733:GEK850816 FUO850733:FUO850816 FKS850733:FKS850816 FAW850733:FAW850816 ERA850733:ERA850816 EHE850733:EHE850816 DXI850733:DXI850816 DNM850733:DNM850816 DDQ850733:DDQ850816 CTU850733:CTU850816 CJY850733:CJY850816 CAC850733:CAC850816 BQG850733:BQG850816 BGK850733:BGK850816 AWO850733:AWO850816 AMS850733:AMS850816 ACW850733:ACW850816 TA850733:TA850816 JE850733:JE850816 I850754:I850837 WVQ785197:WVQ785280 WLU785197:WLU785280 WBY785197:WBY785280 VSC785197:VSC785280 VIG785197:VIG785280 UYK785197:UYK785280 UOO785197:UOO785280 UES785197:UES785280 TUW785197:TUW785280 TLA785197:TLA785280 TBE785197:TBE785280 SRI785197:SRI785280 SHM785197:SHM785280 RXQ785197:RXQ785280 RNU785197:RNU785280 RDY785197:RDY785280 QUC785197:QUC785280 QKG785197:QKG785280 QAK785197:QAK785280 PQO785197:PQO785280 PGS785197:PGS785280 OWW785197:OWW785280 ONA785197:ONA785280 ODE785197:ODE785280 NTI785197:NTI785280 NJM785197:NJM785280 MZQ785197:MZQ785280 MPU785197:MPU785280 MFY785197:MFY785280 LWC785197:LWC785280 LMG785197:LMG785280 LCK785197:LCK785280 KSO785197:KSO785280 KIS785197:KIS785280 JYW785197:JYW785280 JPA785197:JPA785280 JFE785197:JFE785280 IVI785197:IVI785280 ILM785197:ILM785280 IBQ785197:IBQ785280 HRU785197:HRU785280 HHY785197:HHY785280 GYC785197:GYC785280 GOG785197:GOG785280 GEK785197:GEK785280 FUO785197:FUO785280 FKS785197:FKS785280 FAW785197:FAW785280 ERA785197:ERA785280 EHE785197:EHE785280 DXI785197:DXI785280 DNM785197:DNM785280 DDQ785197:DDQ785280 CTU785197:CTU785280 CJY785197:CJY785280 CAC785197:CAC785280 BQG785197:BQG785280 BGK785197:BGK785280 AWO785197:AWO785280 AMS785197:AMS785280 ACW785197:ACW785280 TA785197:TA785280 JE785197:JE785280 I785218:I785301 WVQ719661:WVQ719744 WLU719661:WLU719744 WBY719661:WBY719744 VSC719661:VSC719744 VIG719661:VIG719744 UYK719661:UYK719744 UOO719661:UOO719744 UES719661:UES719744 TUW719661:TUW719744 TLA719661:TLA719744 TBE719661:TBE719744 SRI719661:SRI719744 SHM719661:SHM719744 RXQ719661:RXQ719744 RNU719661:RNU719744 RDY719661:RDY719744 QUC719661:QUC719744 QKG719661:QKG719744 QAK719661:QAK719744 PQO719661:PQO719744 PGS719661:PGS719744 OWW719661:OWW719744 ONA719661:ONA719744 ODE719661:ODE719744 NTI719661:NTI719744 NJM719661:NJM719744 MZQ719661:MZQ719744 MPU719661:MPU719744 MFY719661:MFY719744 LWC719661:LWC719744 LMG719661:LMG719744 LCK719661:LCK719744 KSO719661:KSO719744 KIS719661:KIS719744 JYW719661:JYW719744 JPA719661:JPA719744 JFE719661:JFE719744 IVI719661:IVI719744 ILM719661:ILM719744 IBQ719661:IBQ719744 HRU719661:HRU719744 HHY719661:HHY719744 GYC719661:GYC719744 GOG719661:GOG719744 GEK719661:GEK719744 FUO719661:FUO719744 FKS719661:FKS719744 FAW719661:FAW719744 ERA719661:ERA719744 EHE719661:EHE719744 DXI719661:DXI719744 DNM719661:DNM719744 DDQ719661:DDQ719744 CTU719661:CTU719744 CJY719661:CJY719744 CAC719661:CAC719744 BQG719661:BQG719744 BGK719661:BGK719744 AWO719661:AWO719744 AMS719661:AMS719744 ACW719661:ACW719744 TA719661:TA719744 JE719661:JE719744 I719682:I719765 WVQ654125:WVQ654208 WLU654125:WLU654208 WBY654125:WBY654208 VSC654125:VSC654208 VIG654125:VIG654208 UYK654125:UYK654208 UOO654125:UOO654208 UES654125:UES654208 TUW654125:TUW654208 TLA654125:TLA654208 TBE654125:TBE654208 SRI654125:SRI654208 SHM654125:SHM654208 RXQ654125:RXQ654208 RNU654125:RNU654208 RDY654125:RDY654208 QUC654125:QUC654208 QKG654125:QKG654208 QAK654125:QAK654208 PQO654125:PQO654208 PGS654125:PGS654208 OWW654125:OWW654208 ONA654125:ONA654208 ODE654125:ODE654208 NTI654125:NTI654208 NJM654125:NJM654208 MZQ654125:MZQ654208 MPU654125:MPU654208 MFY654125:MFY654208 LWC654125:LWC654208 LMG654125:LMG654208 LCK654125:LCK654208 KSO654125:KSO654208 KIS654125:KIS654208 JYW654125:JYW654208 JPA654125:JPA654208 JFE654125:JFE654208 IVI654125:IVI654208 ILM654125:ILM654208 IBQ654125:IBQ654208 HRU654125:HRU654208 HHY654125:HHY654208 GYC654125:GYC654208 GOG654125:GOG654208 GEK654125:GEK654208 FUO654125:FUO654208 FKS654125:FKS654208 FAW654125:FAW654208 ERA654125:ERA654208 EHE654125:EHE654208 DXI654125:DXI654208 DNM654125:DNM654208 DDQ654125:DDQ654208 CTU654125:CTU654208 CJY654125:CJY654208 CAC654125:CAC654208 BQG654125:BQG654208 BGK654125:BGK654208 AWO654125:AWO654208 AMS654125:AMS654208 ACW654125:ACW654208 TA654125:TA654208 JE654125:JE654208 I654146:I654229 WVQ588589:WVQ588672 WLU588589:WLU588672 WBY588589:WBY588672 VSC588589:VSC588672 VIG588589:VIG588672 UYK588589:UYK588672 UOO588589:UOO588672 UES588589:UES588672 TUW588589:TUW588672 TLA588589:TLA588672 TBE588589:TBE588672 SRI588589:SRI588672 SHM588589:SHM588672 RXQ588589:RXQ588672 RNU588589:RNU588672 RDY588589:RDY588672 QUC588589:QUC588672 QKG588589:QKG588672 QAK588589:QAK588672 PQO588589:PQO588672 PGS588589:PGS588672 OWW588589:OWW588672 ONA588589:ONA588672 ODE588589:ODE588672 NTI588589:NTI588672 NJM588589:NJM588672 MZQ588589:MZQ588672 MPU588589:MPU588672 MFY588589:MFY588672 LWC588589:LWC588672 LMG588589:LMG588672 LCK588589:LCK588672 KSO588589:KSO588672 KIS588589:KIS588672 JYW588589:JYW588672 JPA588589:JPA588672 JFE588589:JFE588672 IVI588589:IVI588672 ILM588589:ILM588672 IBQ588589:IBQ588672 HRU588589:HRU588672 HHY588589:HHY588672 GYC588589:GYC588672 GOG588589:GOG588672 GEK588589:GEK588672 FUO588589:FUO588672 FKS588589:FKS588672 FAW588589:FAW588672 ERA588589:ERA588672 EHE588589:EHE588672 DXI588589:DXI588672 DNM588589:DNM588672 DDQ588589:DDQ588672 CTU588589:CTU588672 CJY588589:CJY588672 CAC588589:CAC588672 BQG588589:BQG588672 BGK588589:BGK588672 AWO588589:AWO588672 AMS588589:AMS588672 ACW588589:ACW588672 TA588589:TA588672 JE588589:JE588672 I588610:I588693 WVQ523053:WVQ523136 WLU523053:WLU523136 WBY523053:WBY523136 VSC523053:VSC523136 VIG523053:VIG523136 UYK523053:UYK523136 UOO523053:UOO523136 UES523053:UES523136 TUW523053:TUW523136 TLA523053:TLA523136 TBE523053:TBE523136 SRI523053:SRI523136 SHM523053:SHM523136 RXQ523053:RXQ523136 RNU523053:RNU523136 RDY523053:RDY523136 QUC523053:QUC523136 QKG523053:QKG523136 QAK523053:QAK523136 PQO523053:PQO523136 PGS523053:PGS523136 OWW523053:OWW523136 ONA523053:ONA523136 ODE523053:ODE523136 NTI523053:NTI523136 NJM523053:NJM523136 MZQ523053:MZQ523136 MPU523053:MPU523136 MFY523053:MFY523136 LWC523053:LWC523136 LMG523053:LMG523136 LCK523053:LCK523136 KSO523053:KSO523136 KIS523053:KIS523136 JYW523053:JYW523136 JPA523053:JPA523136 JFE523053:JFE523136 IVI523053:IVI523136 ILM523053:ILM523136 IBQ523053:IBQ523136 HRU523053:HRU523136 HHY523053:HHY523136 GYC523053:GYC523136 GOG523053:GOG523136 GEK523053:GEK523136 FUO523053:FUO523136 FKS523053:FKS523136 FAW523053:FAW523136 ERA523053:ERA523136 EHE523053:EHE523136 DXI523053:DXI523136 DNM523053:DNM523136 DDQ523053:DDQ523136 CTU523053:CTU523136 CJY523053:CJY523136 CAC523053:CAC523136 BQG523053:BQG523136 BGK523053:BGK523136 AWO523053:AWO523136 AMS523053:AMS523136 ACW523053:ACW523136 TA523053:TA523136 JE523053:JE523136 I523074:I523157 WVQ457517:WVQ457600 WLU457517:WLU457600 WBY457517:WBY457600 VSC457517:VSC457600 VIG457517:VIG457600 UYK457517:UYK457600 UOO457517:UOO457600 UES457517:UES457600 TUW457517:TUW457600 TLA457517:TLA457600 TBE457517:TBE457600 SRI457517:SRI457600 SHM457517:SHM457600 RXQ457517:RXQ457600 RNU457517:RNU457600 RDY457517:RDY457600 QUC457517:QUC457600 QKG457517:QKG457600 QAK457517:QAK457600 PQO457517:PQO457600 PGS457517:PGS457600 OWW457517:OWW457600 ONA457517:ONA457600 ODE457517:ODE457600 NTI457517:NTI457600 NJM457517:NJM457600 MZQ457517:MZQ457600 MPU457517:MPU457600 MFY457517:MFY457600 LWC457517:LWC457600 LMG457517:LMG457600 LCK457517:LCK457600 KSO457517:KSO457600 KIS457517:KIS457600 JYW457517:JYW457600 JPA457517:JPA457600 JFE457517:JFE457600 IVI457517:IVI457600 ILM457517:ILM457600 IBQ457517:IBQ457600 HRU457517:HRU457600 HHY457517:HHY457600 GYC457517:GYC457600 GOG457517:GOG457600 GEK457517:GEK457600 FUO457517:FUO457600 FKS457517:FKS457600 FAW457517:FAW457600 ERA457517:ERA457600 EHE457517:EHE457600 DXI457517:DXI457600 DNM457517:DNM457600 DDQ457517:DDQ457600 CTU457517:CTU457600 CJY457517:CJY457600 CAC457517:CAC457600 BQG457517:BQG457600 BGK457517:BGK457600 AWO457517:AWO457600 AMS457517:AMS457600 ACW457517:ACW457600 TA457517:TA457600 JE457517:JE457600 I457538:I457621 WVQ391981:WVQ392064 WLU391981:WLU392064 WBY391981:WBY392064 VSC391981:VSC392064 VIG391981:VIG392064 UYK391981:UYK392064 UOO391981:UOO392064 UES391981:UES392064 TUW391981:TUW392064 TLA391981:TLA392064 TBE391981:TBE392064 SRI391981:SRI392064 SHM391981:SHM392064 RXQ391981:RXQ392064 RNU391981:RNU392064 RDY391981:RDY392064 QUC391981:QUC392064 QKG391981:QKG392064 QAK391981:QAK392064 PQO391981:PQO392064 PGS391981:PGS392064 OWW391981:OWW392064 ONA391981:ONA392064 ODE391981:ODE392064 NTI391981:NTI392064 NJM391981:NJM392064 MZQ391981:MZQ392064 MPU391981:MPU392064 MFY391981:MFY392064 LWC391981:LWC392064 LMG391981:LMG392064 LCK391981:LCK392064 KSO391981:KSO392064 KIS391981:KIS392064 JYW391981:JYW392064 JPA391981:JPA392064 JFE391981:JFE392064 IVI391981:IVI392064 ILM391981:ILM392064 IBQ391981:IBQ392064 HRU391981:HRU392064 HHY391981:HHY392064 GYC391981:GYC392064 GOG391981:GOG392064 GEK391981:GEK392064 FUO391981:FUO392064 FKS391981:FKS392064 FAW391981:FAW392064 ERA391981:ERA392064 EHE391981:EHE392064 DXI391981:DXI392064 DNM391981:DNM392064 DDQ391981:DDQ392064 CTU391981:CTU392064 CJY391981:CJY392064 CAC391981:CAC392064 BQG391981:BQG392064 BGK391981:BGK392064 AWO391981:AWO392064 AMS391981:AMS392064 ACW391981:ACW392064 TA391981:TA392064 JE391981:JE392064 I392002:I392085 WVQ326445:WVQ326528 WLU326445:WLU326528 WBY326445:WBY326528 VSC326445:VSC326528 VIG326445:VIG326528 UYK326445:UYK326528 UOO326445:UOO326528 UES326445:UES326528 TUW326445:TUW326528 TLA326445:TLA326528 TBE326445:TBE326528 SRI326445:SRI326528 SHM326445:SHM326528 RXQ326445:RXQ326528 RNU326445:RNU326528 RDY326445:RDY326528 QUC326445:QUC326528 QKG326445:QKG326528 QAK326445:QAK326528 PQO326445:PQO326528 PGS326445:PGS326528 OWW326445:OWW326528 ONA326445:ONA326528 ODE326445:ODE326528 NTI326445:NTI326528 NJM326445:NJM326528 MZQ326445:MZQ326528 MPU326445:MPU326528 MFY326445:MFY326528 LWC326445:LWC326528 LMG326445:LMG326528 LCK326445:LCK326528 KSO326445:KSO326528 KIS326445:KIS326528 JYW326445:JYW326528 JPA326445:JPA326528 JFE326445:JFE326528 IVI326445:IVI326528 ILM326445:ILM326528 IBQ326445:IBQ326528 HRU326445:HRU326528 HHY326445:HHY326528 GYC326445:GYC326528 GOG326445:GOG326528 GEK326445:GEK326528 FUO326445:FUO326528 FKS326445:FKS326528 FAW326445:FAW326528 ERA326445:ERA326528 EHE326445:EHE326528 DXI326445:DXI326528 DNM326445:DNM326528 DDQ326445:DDQ326528 CTU326445:CTU326528 CJY326445:CJY326528 CAC326445:CAC326528 BQG326445:BQG326528 BGK326445:BGK326528 AWO326445:AWO326528 AMS326445:AMS326528 ACW326445:ACW326528 TA326445:TA326528 JE326445:JE326528 I326466:I326549 WVQ260909:WVQ260992 WLU260909:WLU260992 WBY260909:WBY260992 VSC260909:VSC260992 VIG260909:VIG260992 UYK260909:UYK260992 UOO260909:UOO260992 UES260909:UES260992 TUW260909:TUW260992 TLA260909:TLA260992 TBE260909:TBE260992 SRI260909:SRI260992 SHM260909:SHM260992 RXQ260909:RXQ260992 RNU260909:RNU260992 RDY260909:RDY260992 QUC260909:QUC260992 QKG260909:QKG260992 QAK260909:QAK260992 PQO260909:PQO260992 PGS260909:PGS260992 OWW260909:OWW260992 ONA260909:ONA260992 ODE260909:ODE260992 NTI260909:NTI260992 NJM260909:NJM260992 MZQ260909:MZQ260992 MPU260909:MPU260992 MFY260909:MFY260992 LWC260909:LWC260992 LMG260909:LMG260992 LCK260909:LCK260992 KSO260909:KSO260992 KIS260909:KIS260992 JYW260909:JYW260992 JPA260909:JPA260992 JFE260909:JFE260992 IVI260909:IVI260992 ILM260909:ILM260992 IBQ260909:IBQ260992 HRU260909:HRU260992 HHY260909:HHY260992 GYC260909:GYC260992 GOG260909:GOG260992 GEK260909:GEK260992 FUO260909:FUO260992 FKS260909:FKS260992 FAW260909:FAW260992 ERA260909:ERA260992 EHE260909:EHE260992 DXI260909:DXI260992 DNM260909:DNM260992 DDQ260909:DDQ260992 CTU260909:CTU260992 CJY260909:CJY260992 CAC260909:CAC260992 BQG260909:BQG260992 BGK260909:BGK260992 AWO260909:AWO260992 AMS260909:AMS260992 ACW260909:ACW260992 TA260909:TA260992 JE260909:JE260992 I260930:I261013 WVQ195373:WVQ195456 WLU195373:WLU195456 WBY195373:WBY195456 VSC195373:VSC195456 VIG195373:VIG195456 UYK195373:UYK195456 UOO195373:UOO195456 UES195373:UES195456 TUW195373:TUW195456 TLA195373:TLA195456 TBE195373:TBE195456 SRI195373:SRI195456 SHM195373:SHM195456 RXQ195373:RXQ195456 RNU195373:RNU195456 RDY195373:RDY195456 QUC195373:QUC195456 QKG195373:QKG195456 QAK195373:QAK195456 PQO195373:PQO195456 PGS195373:PGS195456 OWW195373:OWW195456 ONA195373:ONA195456 ODE195373:ODE195456 NTI195373:NTI195456 NJM195373:NJM195456 MZQ195373:MZQ195456 MPU195373:MPU195456 MFY195373:MFY195456 LWC195373:LWC195456 LMG195373:LMG195456 LCK195373:LCK195456 KSO195373:KSO195456 KIS195373:KIS195456 JYW195373:JYW195456 JPA195373:JPA195456 JFE195373:JFE195456 IVI195373:IVI195456 ILM195373:ILM195456 IBQ195373:IBQ195456 HRU195373:HRU195456 HHY195373:HHY195456 GYC195373:GYC195456 GOG195373:GOG195456 GEK195373:GEK195456 FUO195373:FUO195456 FKS195373:FKS195456 FAW195373:FAW195456 ERA195373:ERA195456 EHE195373:EHE195456 DXI195373:DXI195456 DNM195373:DNM195456 DDQ195373:DDQ195456 CTU195373:CTU195456 CJY195373:CJY195456 CAC195373:CAC195456 BQG195373:BQG195456 BGK195373:BGK195456 AWO195373:AWO195456 AMS195373:AMS195456 ACW195373:ACW195456 TA195373:TA195456 JE195373:JE195456 I195394:I195477 WVQ129837:WVQ129920 WLU129837:WLU129920 WBY129837:WBY129920 VSC129837:VSC129920 VIG129837:VIG129920 UYK129837:UYK129920 UOO129837:UOO129920 UES129837:UES129920 TUW129837:TUW129920 TLA129837:TLA129920 TBE129837:TBE129920 SRI129837:SRI129920 SHM129837:SHM129920 RXQ129837:RXQ129920 RNU129837:RNU129920 RDY129837:RDY129920 QUC129837:QUC129920 QKG129837:QKG129920 QAK129837:QAK129920 PQO129837:PQO129920 PGS129837:PGS129920 OWW129837:OWW129920 ONA129837:ONA129920 ODE129837:ODE129920 NTI129837:NTI129920 NJM129837:NJM129920 MZQ129837:MZQ129920 MPU129837:MPU129920 MFY129837:MFY129920 LWC129837:LWC129920 LMG129837:LMG129920 LCK129837:LCK129920 KSO129837:KSO129920 KIS129837:KIS129920 JYW129837:JYW129920 JPA129837:JPA129920 JFE129837:JFE129920 IVI129837:IVI129920 ILM129837:ILM129920 IBQ129837:IBQ129920 HRU129837:HRU129920 HHY129837:HHY129920 GYC129837:GYC129920 GOG129837:GOG129920 GEK129837:GEK129920 FUO129837:FUO129920 FKS129837:FKS129920 FAW129837:FAW129920 ERA129837:ERA129920 EHE129837:EHE129920 DXI129837:DXI129920 DNM129837:DNM129920 DDQ129837:DDQ129920 CTU129837:CTU129920 CJY129837:CJY129920 CAC129837:CAC129920 BQG129837:BQG129920 BGK129837:BGK129920 AWO129837:AWO129920 AMS129837:AMS129920 ACW129837:ACW129920 TA129837:TA129920 JE129837:JE129920 I129858:I129941 WVQ64301:WVQ64384 WLU64301:WLU64384 WBY64301:WBY64384 VSC64301:VSC64384 VIG64301:VIG64384 UYK64301:UYK64384 UOO64301:UOO64384 UES64301:UES64384 TUW64301:TUW64384 TLA64301:TLA64384 TBE64301:TBE64384 SRI64301:SRI64384 SHM64301:SHM64384 RXQ64301:RXQ64384 RNU64301:RNU64384 RDY64301:RDY64384 QUC64301:QUC64384 QKG64301:QKG64384 QAK64301:QAK64384 PQO64301:PQO64384 PGS64301:PGS64384 OWW64301:OWW64384 ONA64301:ONA64384 ODE64301:ODE64384 NTI64301:NTI64384 NJM64301:NJM64384 MZQ64301:MZQ64384 MPU64301:MPU64384 MFY64301:MFY64384 LWC64301:LWC64384 LMG64301:LMG64384 LCK64301:LCK64384 KSO64301:KSO64384 KIS64301:KIS64384 JYW64301:JYW64384 JPA64301:JPA64384 JFE64301:JFE64384 IVI64301:IVI64384 ILM64301:ILM64384 IBQ64301:IBQ64384 HRU64301:HRU64384 HHY64301:HHY64384 GYC64301:GYC64384 GOG64301:GOG64384 GEK64301:GEK64384 FUO64301:FUO64384 FKS64301:FKS64384 FAW64301:FAW64384 ERA64301:ERA64384 EHE64301:EHE64384 DXI64301:DXI64384 DNM64301:DNM64384 DDQ64301:DDQ64384 CTU64301:CTU64384 CJY64301:CJY64384 CAC64301:CAC64384 BQG64301:BQG64384 BGK64301:BGK64384 AWO64301:AWO64384 AMS64301:AMS64384 ACW64301:ACW64384 TA64301:TA64384 JE64301:JE64384 I64322:I64405 I96:I500 JE2:JE73 WVQ2:WVQ73 WLU2:WLU73 WBY2:WBY73 VSC2:VSC73 VIG2:VIG73 UYK2:UYK73 UOO2:UOO73 UES2:UES73 TUW2:TUW73 TLA2:TLA73 TBE2:TBE73 SRI2:SRI73 SHM2:SHM73 RXQ2:RXQ73 RNU2:RNU73 RDY2:RDY73 QUC2:QUC73 QKG2:QKG73 QAK2:QAK73 PQO2:PQO73 PGS2:PGS73 OWW2:OWW73 ONA2:ONA73 ODE2:ODE73 NTI2:NTI73 NJM2:NJM73 MZQ2:MZQ73 MPU2:MPU73 MFY2:MFY73 LWC2:LWC73 LMG2:LMG73 LCK2:LCK73 KSO2:KSO73 KIS2:KIS73 JYW2:JYW73 JPA2:JPA73 JFE2:JFE73 IVI2:IVI73 ILM2:ILM73 IBQ2:IBQ73 HRU2:HRU73 HHY2:HHY73 GYC2:GYC73 GOG2:GOG73 GEK2:GEK73 FUO2:FUO73 FKS2:FKS73 FAW2:FAW73 ERA2:ERA73 EHE2:EHE73 DXI2:DXI73 DNM2:DNM73 DDQ2:DDQ73 CTU2:CTU73 CJY2:CJY73 CAC2:CAC73 BQG2:BQG73 BGK2:BGK73 AWO2:AWO73 AMS2:AMS73 ACW2:ACW73 TA2:TA73 I2:I94" xr:uid="{8512E424-5A92-4910-AE26-50B208142775}">
      <formula1>$AN$5:$AN$6</formula1>
    </dataValidation>
    <dataValidation type="list" allowBlank="1" showInputMessage="1" showErrorMessage="1" sqref="WWG981805:WWI981888 WCO981805:WCQ981888 WMK981805:WMM981888 Y64301:AA64384 JU64301:JW64384 TQ64301:TS64384 ADM64301:ADO64384 ANI64301:ANK64384 AXE64301:AXG64384 BHA64301:BHC64384 BQW64301:BQY64384 CAS64301:CAU64384 CKO64301:CKQ64384 CUK64301:CUM64384 DEG64301:DEI64384 DOC64301:DOE64384 DXY64301:DYA64384 EHU64301:EHW64384 ERQ64301:ERS64384 FBM64301:FBO64384 FLI64301:FLK64384 FVE64301:FVG64384 GFA64301:GFC64384 GOW64301:GOY64384 GYS64301:GYU64384 HIO64301:HIQ64384 HSK64301:HSM64384 ICG64301:ICI64384 IMC64301:IME64384 IVY64301:IWA64384 JFU64301:JFW64384 JPQ64301:JPS64384 JZM64301:JZO64384 KJI64301:KJK64384 KTE64301:KTG64384 LDA64301:LDC64384 LMW64301:LMY64384 LWS64301:LWU64384 MGO64301:MGQ64384 MQK64301:MQM64384 NAG64301:NAI64384 NKC64301:NKE64384 NTY64301:NUA64384 ODU64301:ODW64384 ONQ64301:ONS64384 OXM64301:OXO64384 PHI64301:PHK64384 PRE64301:PRG64384 QBA64301:QBC64384 QKW64301:QKY64384 QUS64301:QUU64384 REO64301:REQ64384 ROK64301:ROM64384 RYG64301:RYI64384 SIC64301:SIE64384 SRY64301:SSA64384 TBU64301:TBW64384 TLQ64301:TLS64384 TVM64301:TVO64384 UFI64301:UFK64384 UPE64301:UPG64384 UZA64301:UZC64384 VIW64301:VIY64384 VSS64301:VSU64384 WCO64301:WCQ64384 WMK64301:WMM64384 WWG64301:WWI64384 Y129837:AA129920 JU129837:JW129920 TQ129837:TS129920 ADM129837:ADO129920 ANI129837:ANK129920 AXE129837:AXG129920 BHA129837:BHC129920 BQW129837:BQY129920 CAS129837:CAU129920 CKO129837:CKQ129920 CUK129837:CUM129920 DEG129837:DEI129920 DOC129837:DOE129920 DXY129837:DYA129920 EHU129837:EHW129920 ERQ129837:ERS129920 FBM129837:FBO129920 FLI129837:FLK129920 FVE129837:FVG129920 GFA129837:GFC129920 GOW129837:GOY129920 GYS129837:GYU129920 HIO129837:HIQ129920 HSK129837:HSM129920 ICG129837:ICI129920 IMC129837:IME129920 IVY129837:IWA129920 JFU129837:JFW129920 JPQ129837:JPS129920 JZM129837:JZO129920 KJI129837:KJK129920 KTE129837:KTG129920 LDA129837:LDC129920 LMW129837:LMY129920 LWS129837:LWU129920 MGO129837:MGQ129920 MQK129837:MQM129920 NAG129837:NAI129920 NKC129837:NKE129920 NTY129837:NUA129920 ODU129837:ODW129920 ONQ129837:ONS129920 OXM129837:OXO129920 PHI129837:PHK129920 PRE129837:PRG129920 QBA129837:QBC129920 QKW129837:QKY129920 QUS129837:QUU129920 REO129837:REQ129920 ROK129837:ROM129920 RYG129837:RYI129920 SIC129837:SIE129920 SRY129837:SSA129920 TBU129837:TBW129920 TLQ129837:TLS129920 TVM129837:TVO129920 UFI129837:UFK129920 UPE129837:UPG129920 UZA129837:UZC129920 VIW129837:VIY129920 VSS129837:VSU129920 WCO129837:WCQ129920 WMK129837:WMM129920 WWG129837:WWI129920 Y195373:AA195456 JU195373:JW195456 TQ195373:TS195456 ADM195373:ADO195456 ANI195373:ANK195456 AXE195373:AXG195456 BHA195373:BHC195456 BQW195373:BQY195456 CAS195373:CAU195456 CKO195373:CKQ195456 CUK195373:CUM195456 DEG195373:DEI195456 DOC195373:DOE195456 DXY195373:DYA195456 EHU195373:EHW195456 ERQ195373:ERS195456 FBM195373:FBO195456 FLI195373:FLK195456 FVE195373:FVG195456 GFA195373:GFC195456 GOW195373:GOY195456 GYS195373:GYU195456 HIO195373:HIQ195456 HSK195373:HSM195456 ICG195373:ICI195456 IMC195373:IME195456 IVY195373:IWA195456 JFU195373:JFW195456 JPQ195373:JPS195456 JZM195373:JZO195456 KJI195373:KJK195456 KTE195373:KTG195456 LDA195373:LDC195456 LMW195373:LMY195456 LWS195373:LWU195456 MGO195373:MGQ195456 MQK195373:MQM195456 NAG195373:NAI195456 NKC195373:NKE195456 NTY195373:NUA195456 ODU195373:ODW195456 ONQ195373:ONS195456 OXM195373:OXO195456 PHI195373:PHK195456 PRE195373:PRG195456 QBA195373:QBC195456 QKW195373:QKY195456 QUS195373:QUU195456 REO195373:REQ195456 ROK195373:ROM195456 RYG195373:RYI195456 SIC195373:SIE195456 SRY195373:SSA195456 TBU195373:TBW195456 TLQ195373:TLS195456 TVM195373:TVO195456 UFI195373:UFK195456 UPE195373:UPG195456 UZA195373:UZC195456 VIW195373:VIY195456 VSS195373:VSU195456 WCO195373:WCQ195456 WMK195373:WMM195456 WWG195373:WWI195456 Y260909:AA260992 JU260909:JW260992 TQ260909:TS260992 ADM260909:ADO260992 ANI260909:ANK260992 AXE260909:AXG260992 BHA260909:BHC260992 BQW260909:BQY260992 CAS260909:CAU260992 CKO260909:CKQ260992 CUK260909:CUM260992 DEG260909:DEI260992 DOC260909:DOE260992 DXY260909:DYA260992 EHU260909:EHW260992 ERQ260909:ERS260992 FBM260909:FBO260992 FLI260909:FLK260992 FVE260909:FVG260992 GFA260909:GFC260992 GOW260909:GOY260992 GYS260909:GYU260992 HIO260909:HIQ260992 HSK260909:HSM260992 ICG260909:ICI260992 IMC260909:IME260992 IVY260909:IWA260992 JFU260909:JFW260992 JPQ260909:JPS260992 JZM260909:JZO260992 KJI260909:KJK260992 KTE260909:KTG260992 LDA260909:LDC260992 LMW260909:LMY260992 LWS260909:LWU260992 MGO260909:MGQ260992 MQK260909:MQM260992 NAG260909:NAI260992 NKC260909:NKE260992 NTY260909:NUA260992 ODU260909:ODW260992 ONQ260909:ONS260992 OXM260909:OXO260992 PHI260909:PHK260992 PRE260909:PRG260992 QBA260909:QBC260992 QKW260909:QKY260992 QUS260909:QUU260992 REO260909:REQ260992 ROK260909:ROM260992 RYG260909:RYI260992 SIC260909:SIE260992 SRY260909:SSA260992 TBU260909:TBW260992 TLQ260909:TLS260992 TVM260909:TVO260992 UFI260909:UFK260992 UPE260909:UPG260992 UZA260909:UZC260992 VIW260909:VIY260992 VSS260909:VSU260992 WCO260909:WCQ260992 WMK260909:WMM260992 WWG260909:WWI260992 Y326445:AA326528 JU326445:JW326528 TQ326445:TS326528 ADM326445:ADO326528 ANI326445:ANK326528 AXE326445:AXG326528 BHA326445:BHC326528 BQW326445:BQY326528 CAS326445:CAU326528 CKO326445:CKQ326528 CUK326445:CUM326528 DEG326445:DEI326528 DOC326445:DOE326528 DXY326445:DYA326528 EHU326445:EHW326528 ERQ326445:ERS326528 FBM326445:FBO326528 FLI326445:FLK326528 FVE326445:FVG326528 GFA326445:GFC326528 GOW326445:GOY326528 GYS326445:GYU326528 HIO326445:HIQ326528 HSK326445:HSM326528 ICG326445:ICI326528 IMC326445:IME326528 IVY326445:IWA326528 JFU326445:JFW326528 JPQ326445:JPS326528 JZM326445:JZO326528 KJI326445:KJK326528 KTE326445:KTG326528 LDA326445:LDC326528 LMW326445:LMY326528 LWS326445:LWU326528 MGO326445:MGQ326528 MQK326445:MQM326528 NAG326445:NAI326528 NKC326445:NKE326528 NTY326445:NUA326528 ODU326445:ODW326528 ONQ326445:ONS326528 OXM326445:OXO326528 PHI326445:PHK326528 PRE326445:PRG326528 QBA326445:QBC326528 QKW326445:QKY326528 QUS326445:QUU326528 REO326445:REQ326528 ROK326445:ROM326528 RYG326445:RYI326528 SIC326445:SIE326528 SRY326445:SSA326528 TBU326445:TBW326528 TLQ326445:TLS326528 TVM326445:TVO326528 UFI326445:UFK326528 UPE326445:UPG326528 UZA326445:UZC326528 VIW326445:VIY326528 VSS326445:VSU326528 WCO326445:WCQ326528 WMK326445:WMM326528 WWG326445:WWI326528 Y391981:AA392064 JU391981:JW392064 TQ391981:TS392064 ADM391981:ADO392064 ANI391981:ANK392064 AXE391981:AXG392064 BHA391981:BHC392064 BQW391981:BQY392064 CAS391981:CAU392064 CKO391981:CKQ392064 CUK391981:CUM392064 DEG391981:DEI392064 DOC391981:DOE392064 DXY391981:DYA392064 EHU391981:EHW392064 ERQ391981:ERS392064 FBM391981:FBO392064 FLI391981:FLK392064 FVE391981:FVG392064 GFA391981:GFC392064 GOW391981:GOY392064 GYS391981:GYU392064 HIO391981:HIQ392064 HSK391981:HSM392064 ICG391981:ICI392064 IMC391981:IME392064 IVY391981:IWA392064 JFU391981:JFW392064 JPQ391981:JPS392064 JZM391981:JZO392064 KJI391981:KJK392064 KTE391981:KTG392064 LDA391981:LDC392064 LMW391981:LMY392064 LWS391981:LWU392064 MGO391981:MGQ392064 MQK391981:MQM392064 NAG391981:NAI392064 NKC391981:NKE392064 NTY391981:NUA392064 ODU391981:ODW392064 ONQ391981:ONS392064 OXM391981:OXO392064 PHI391981:PHK392064 PRE391981:PRG392064 QBA391981:QBC392064 QKW391981:QKY392064 QUS391981:QUU392064 REO391981:REQ392064 ROK391981:ROM392064 RYG391981:RYI392064 SIC391981:SIE392064 SRY391981:SSA392064 TBU391981:TBW392064 TLQ391981:TLS392064 TVM391981:TVO392064 UFI391981:UFK392064 UPE391981:UPG392064 UZA391981:UZC392064 VIW391981:VIY392064 VSS391981:VSU392064 WCO391981:WCQ392064 WMK391981:WMM392064 WWG391981:WWI392064 Y457517:AA457600 JU457517:JW457600 TQ457517:TS457600 ADM457517:ADO457600 ANI457517:ANK457600 AXE457517:AXG457600 BHA457517:BHC457600 BQW457517:BQY457600 CAS457517:CAU457600 CKO457517:CKQ457600 CUK457517:CUM457600 DEG457517:DEI457600 DOC457517:DOE457600 DXY457517:DYA457600 EHU457517:EHW457600 ERQ457517:ERS457600 FBM457517:FBO457600 FLI457517:FLK457600 FVE457517:FVG457600 GFA457517:GFC457600 GOW457517:GOY457600 GYS457517:GYU457600 HIO457517:HIQ457600 HSK457517:HSM457600 ICG457517:ICI457600 IMC457517:IME457600 IVY457517:IWA457600 JFU457517:JFW457600 JPQ457517:JPS457600 JZM457517:JZO457600 KJI457517:KJK457600 KTE457517:KTG457600 LDA457517:LDC457600 LMW457517:LMY457600 LWS457517:LWU457600 MGO457517:MGQ457600 MQK457517:MQM457600 NAG457517:NAI457600 NKC457517:NKE457600 NTY457517:NUA457600 ODU457517:ODW457600 ONQ457517:ONS457600 OXM457517:OXO457600 PHI457517:PHK457600 PRE457517:PRG457600 QBA457517:QBC457600 QKW457517:QKY457600 QUS457517:QUU457600 REO457517:REQ457600 ROK457517:ROM457600 RYG457517:RYI457600 SIC457517:SIE457600 SRY457517:SSA457600 TBU457517:TBW457600 TLQ457517:TLS457600 TVM457517:TVO457600 UFI457517:UFK457600 UPE457517:UPG457600 UZA457517:UZC457600 VIW457517:VIY457600 VSS457517:VSU457600 WCO457517:WCQ457600 WMK457517:WMM457600 WWG457517:WWI457600 Y523053:AA523136 JU523053:JW523136 TQ523053:TS523136 ADM523053:ADO523136 ANI523053:ANK523136 AXE523053:AXG523136 BHA523053:BHC523136 BQW523053:BQY523136 CAS523053:CAU523136 CKO523053:CKQ523136 CUK523053:CUM523136 DEG523053:DEI523136 DOC523053:DOE523136 DXY523053:DYA523136 EHU523053:EHW523136 ERQ523053:ERS523136 FBM523053:FBO523136 FLI523053:FLK523136 FVE523053:FVG523136 GFA523053:GFC523136 GOW523053:GOY523136 GYS523053:GYU523136 HIO523053:HIQ523136 HSK523053:HSM523136 ICG523053:ICI523136 IMC523053:IME523136 IVY523053:IWA523136 JFU523053:JFW523136 JPQ523053:JPS523136 JZM523053:JZO523136 KJI523053:KJK523136 KTE523053:KTG523136 LDA523053:LDC523136 LMW523053:LMY523136 LWS523053:LWU523136 MGO523053:MGQ523136 MQK523053:MQM523136 NAG523053:NAI523136 NKC523053:NKE523136 NTY523053:NUA523136 ODU523053:ODW523136 ONQ523053:ONS523136 OXM523053:OXO523136 PHI523053:PHK523136 PRE523053:PRG523136 QBA523053:QBC523136 QKW523053:QKY523136 QUS523053:QUU523136 REO523053:REQ523136 ROK523053:ROM523136 RYG523053:RYI523136 SIC523053:SIE523136 SRY523053:SSA523136 TBU523053:TBW523136 TLQ523053:TLS523136 TVM523053:TVO523136 UFI523053:UFK523136 UPE523053:UPG523136 UZA523053:UZC523136 VIW523053:VIY523136 VSS523053:VSU523136 WCO523053:WCQ523136 WMK523053:WMM523136 WWG523053:WWI523136 Y588589:AA588672 JU588589:JW588672 TQ588589:TS588672 ADM588589:ADO588672 ANI588589:ANK588672 AXE588589:AXG588672 BHA588589:BHC588672 BQW588589:BQY588672 CAS588589:CAU588672 CKO588589:CKQ588672 CUK588589:CUM588672 DEG588589:DEI588672 DOC588589:DOE588672 DXY588589:DYA588672 EHU588589:EHW588672 ERQ588589:ERS588672 FBM588589:FBO588672 FLI588589:FLK588672 FVE588589:FVG588672 GFA588589:GFC588672 GOW588589:GOY588672 GYS588589:GYU588672 HIO588589:HIQ588672 HSK588589:HSM588672 ICG588589:ICI588672 IMC588589:IME588672 IVY588589:IWA588672 JFU588589:JFW588672 JPQ588589:JPS588672 JZM588589:JZO588672 KJI588589:KJK588672 KTE588589:KTG588672 LDA588589:LDC588672 LMW588589:LMY588672 LWS588589:LWU588672 MGO588589:MGQ588672 MQK588589:MQM588672 NAG588589:NAI588672 NKC588589:NKE588672 NTY588589:NUA588672 ODU588589:ODW588672 ONQ588589:ONS588672 OXM588589:OXO588672 PHI588589:PHK588672 PRE588589:PRG588672 QBA588589:QBC588672 QKW588589:QKY588672 QUS588589:QUU588672 REO588589:REQ588672 ROK588589:ROM588672 RYG588589:RYI588672 SIC588589:SIE588672 SRY588589:SSA588672 TBU588589:TBW588672 TLQ588589:TLS588672 TVM588589:TVO588672 UFI588589:UFK588672 UPE588589:UPG588672 UZA588589:UZC588672 VIW588589:VIY588672 VSS588589:VSU588672 WCO588589:WCQ588672 WMK588589:WMM588672 WWG588589:WWI588672 Y654125:AA654208 JU654125:JW654208 TQ654125:TS654208 ADM654125:ADO654208 ANI654125:ANK654208 AXE654125:AXG654208 BHA654125:BHC654208 BQW654125:BQY654208 CAS654125:CAU654208 CKO654125:CKQ654208 CUK654125:CUM654208 DEG654125:DEI654208 DOC654125:DOE654208 DXY654125:DYA654208 EHU654125:EHW654208 ERQ654125:ERS654208 FBM654125:FBO654208 FLI654125:FLK654208 FVE654125:FVG654208 GFA654125:GFC654208 GOW654125:GOY654208 GYS654125:GYU654208 HIO654125:HIQ654208 HSK654125:HSM654208 ICG654125:ICI654208 IMC654125:IME654208 IVY654125:IWA654208 JFU654125:JFW654208 JPQ654125:JPS654208 JZM654125:JZO654208 KJI654125:KJK654208 KTE654125:KTG654208 LDA654125:LDC654208 LMW654125:LMY654208 LWS654125:LWU654208 MGO654125:MGQ654208 MQK654125:MQM654208 NAG654125:NAI654208 NKC654125:NKE654208 NTY654125:NUA654208 ODU654125:ODW654208 ONQ654125:ONS654208 OXM654125:OXO654208 PHI654125:PHK654208 PRE654125:PRG654208 QBA654125:QBC654208 QKW654125:QKY654208 QUS654125:QUU654208 REO654125:REQ654208 ROK654125:ROM654208 RYG654125:RYI654208 SIC654125:SIE654208 SRY654125:SSA654208 TBU654125:TBW654208 TLQ654125:TLS654208 TVM654125:TVO654208 UFI654125:UFK654208 UPE654125:UPG654208 UZA654125:UZC654208 VIW654125:VIY654208 VSS654125:VSU654208 WCO654125:WCQ654208 WMK654125:WMM654208 WWG654125:WWI654208 Y719661:AA719744 JU719661:JW719744 TQ719661:TS719744 ADM719661:ADO719744 ANI719661:ANK719744 AXE719661:AXG719744 BHA719661:BHC719744 BQW719661:BQY719744 CAS719661:CAU719744 CKO719661:CKQ719744 CUK719661:CUM719744 DEG719661:DEI719744 DOC719661:DOE719744 DXY719661:DYA719744 EHU719661:EHW719744 ERQ719661:ERS719744 FBM719661:FBO719744 FLI719661:FLK719744 FVE719661:FVG719744 GFA719661:GFC719744 GOW719661:GOY719744 GYS719661:GYU719744 HIO719661:HIQ719744 HSK719661:HSM719744 ICG719661:ICI719744 IMC719661:IME719744 IVY719661:IWA719744 JFU719661:JFW719744 JPQ719661:JPS719744 JZM719661:JZO719744 KJI719661:KJK719744 KTE719661:KTG719744 LDA719661:LDC719744 LMW719661:LMY719744 LWS719661:LWU719744 MGO719661:MGQ719744 MQK719661:MQM719744 NAG719661:NAI719744 NKC719661:NKE719744 NTY719661:NUA719744 ODU719661:ODW719744 ONQ719661:ONS719744 OXM719661:OXO719744 PHI719661:PHK719744 PRE719661:PRG719744 QBA719661:QBC719744 QKW719661:QKY719744 QUS719661:QUU719744 REO719661:REQ719744 ROK719661:ROM719744 RYG719661:RYI719744 SIC719661:SIE719744 SRY719661:SSA719744 TBU719661:TBW719744 TLQ719661:TLS719744 TVM719661:TVO719744 UFI719661:UFK719744 UPE719661:UPG719744 UZA719661:UZC719744 VIW719661:VIY719744 VSS719661:VSU719744 WCO719661:WCQ719744 WMK719661:WMM719744 WWG719661:WWI719744 Y785197:AA785280 JU785197:JW785280 TQ785197:TS785280 ADM785197:ADO785280 ANI785197:ANK785280 AXE785197:AXG785280 BHA785197:BHC785280 BQW785197:BQY785280 CAS785197:CAU785280 CKO785197:CKQ785280 CUK785197:CUM785280 DEG785197:DEI785280 DOC785197:DOE785280 DXY785197:DYA785280 EHU785197:EHW785280 ERQ785197:ERS785280 FBM785197:FBO785280 FLI785197:FLK785280 FVE785197:FVG785280 GFA785197:GFC785280 GOW785197:GOY785280 GYS785197:GYU785280 HIO785197:HIQ785280 HSK785197:HSM785280 ICG785197:ICI785280 IMC785197:IME785280 IVY785197:IWA785280 JFU785197:JFW785280 JPQ785197:JPS785280 JZM785197:JZO785280 KJI785197:KJK785280 KTE785197:KTG785280 LDA785197:LDC785280 LMW785197:LMY785280 LWS785197:LWU785280 MGO785197:MGQ785280 MQK785197:MQM785280 NAG785197:NAI785280 NKC785197:NKE785280 NTY785197:NUA785280 ODU785197:ODW785280 ONQ785197:ONS785280 OXM785197:OXO785280 PHI785197:PHK785280 PRE785197:PRG785280 QBA785197:QBC785280 QKW785197:QKY785280 QUS785197:QUU785280 REO785197:REQ785280 ROK785197:ROM785280 RYG785197:RYI785280 SIC785197:SIE785280 SRY785197:SSA785280 TBU785197:TBW785280 TLQ785197:TLS785280 TVM785197:TVO785280 UFI785197:UFK785280 UPE785197:UPG785280 UZA785197:UZC785280 VIW785197:VIY785280 VSS785197:VSU785280 WCO785197:WCQ785280 WMK785197:WMM785280 WWG785197:WWI785280 Y850733:AA850816 JU850733:JW850816 TQ850733:TS850816 ADM850733:ADO850816 ANI850733:ANK850816 AXE850733:AXG850816 BHA850733:BHC850816 BQW850733:BQY850816 CAS850733:CAU850816 CKO850733:CKQ850816 CUK850733:CUM850816 DEG850733:DEI850816 DOC850733:DOE850816 DXY850733:DYA850816 EHU850733:EHW850816 ERQ850733:ERS850816 FBM850733:FBO850816 FLI850733:FLK850816 FVE850733:FVG850816 GFA850733:GFC850816 GOW850733:GOY850816 GYS850733:GYU850816 HIO850733:HIQ850816 HSK850733:HSM850816 ICG850733:ICI850816 IMC850733:IME850816 IVY850733:IWA850816 JFU850733:JFW850816 JPQ850733:JPS850816 JZM850733:JZO850816 KJI850733:KJK850816 KTE850733:KTG850816 LDA850733:LDC850816 LMW850733:LMY850816 LWS850733:LWU850816 MGO850733:MGQ850816 MQK850733:MQM850816 NAG850733:NAI850816 NKC850733:NKE850816 NTY850733:NUA850816 ODU850733:ODW850816 ONQ850733:ONS850816 OXM850733:OXO850816 PHI850733:PHK850816 PRE850733:PRG850816 QBA850733:QBC850816 QKW850733:QKY850816 QUS850733:QUU850816 REO850733:REQ850816 ROK850733:ROM850816 RYG850733:RYI850816 SIC850733:SIE850816 SRY850733:SSA850816 TBU850733:TBW850816 TLQ850733:TLS850816 TVM850733:TVO850816 UFI850733:UFK850816 UPE850733:UPG850816 UZA850733:UZC850816 VIW850733:VIY850816 VSS850733:VSU850816 WCO850733:WCQ850816 WMK850733:WMM850816 WWG850733:WWI850816 Y916269:AA916352 JU916269:JW916352 TQ916269:TS916352 ADM916269:ADO916352 ANI916269:ANK916352 AXE916269:AXG916352 BHA916269:BHC916352 BQW916269:BQY916352 CAS916269:CAU916352 CKO916269:CKQ916352 CUK916269:CUM916352 DEG916269:DEI916352 DOC916269:DOE916352 DXY916269:DYA916352 EHU916269:EHW916352 ERQ916269:ERS916352 FBM916269:FBO916352 FLI916269:FLK916352 FVE916269:FVG916352 GFA916269:GFC916352 GOW916269:GOY916352 GYS916269:GYU916352 HIO916269:HIQ916352 HSK916269:HSM916352 ICG916269:ICI916352 IMC916269:IME916352 IVY916269:IWA916352 JFU916269:JFW916352 JPQ916269:JPS916352 JZM916269:JZO916352 KJI916269:KJK916352 KTE916269:KTG916352 LDA916269:LDC916352 LMW916269:LMY916352 LWS916269:LWU916352 MGO916269:MGQ916352 MQK916269:MQM916352 NAG916269:NAI916352 NKC916269:NKE916352 NTY916269:NUA916352 ODU916269:ODW916352 ONQ916269:ONS916352 OXM916269:OXO916352 PHI916269:PHK916352 PRE916269:PRG916352 QBA916269:QBC916352 QKW916269:QKY916352 QUS916269:QUU916352 REO916269:REQ916352 ROK916269:ROM916352 RYG916269:RYI916352 SIC916269:SIE916352 SRY916269:SSA916352 TBU916269:TBW916352 TLQ916269:TLS916352 TVM916269:TVO916352 UFI916269:UFK916352 UPE916269:UPG916352 UZA916269:UZC916352 VIW916269:VIY916352 VSS916269:VSU916352 WCO916269:WCQ916352 WMK916269:WMM916352 WWG916269:WWI916352 Y981805:AA981888 JU981805:JW981888 TQ981805:TS981888 ADM981805:ADO981888 ANI981805:ANK981888 AXE981805:AXG981888 BHA981805:BHC981888 BQW981805:BQY981888 CAS981805:CAU981888 CKO981805:CKQ981888 CUK981805:CUM981888 DEG981805:DEI981888 DOC981805:DOE981888 DXY981805:DYA981888 EHU981805:EHW981888 ERQ981805:ERS981888 FBM981805:FBO981888 FLI981805:FLK981888 FVE981805:FVG981888 GFA981805:GFC981888 GOW981805:GOY981888 GYS981805:GYU981888 HIO981805:HIQ981888 HSK981805:HSM981888 ICG981805:ICI981888 IMC981805:IME981888 IVY981805:IWA981888 JFU981805:JFW981888 JPQ981805:JPS981888 JZM981805:JZO981888 KJI981805:KJK981888 KTE981805:KTG981888 LDA981805:LDC981888 LMW981805:LMY981888 LWS981805:LWU981888 MGO981805:MGQ981888 MQK981805:MQM981888 NAG981805:NAI981888 NKC981805:NKE981888 NTY981805:NUA981888 ODU981805:ODW981888 ONQ981805:ONS981888 OXM981805:OXO981888 PHI981805:PHK981888 PRE981805:PRG981888 QBA981805:QBC981888 QKW981805:QKY981888 QUS981805:QUU981888 REO981805:REQ981888 ROK981805:ROM981888 RYG981805:RYI981888 SIC981805:SIE981888 SRY981805:SSA981888 TBU981805:TBW981888 TLQ981805:TLS981888 TVM981805:TVO981888 UFI981805:UFK981888 UPE981805:UPG981888 UZA981805:UZC981888 VIW981805:VIY981888 VSS981805:VSU981888 WWG2:WWI73 WMK2:WMM73 WCO2:WCQ73 VSS2:VSU73 VIW2:VIY73 UZA2:UZC73 UPE2:UPG73 UFI2:UFK73 TVM2:TVO73 TLQ2:TLS73 TBU2:TBW73 SRY2:SSA73 SIC2:SIE73 RYG2:RYI73 ROK2:ROM73 REO2:REQ73 QUS2:QUU73 QKW2:QKY73 QBA2:QBC73 PRE2:PRG73 PHI2:PHK73 OXM2:OXO73 ONQ2:ONS73 ODU2:ODW73 NTY2:NUA73 NKC2:NKE73 NAG2:NAI73 MQK2:MQM73 MGO2:MGQ73 LWS2:LWU73 LMW2:LMY73 LDA2:LDC73 KTE2:KTG73 KJI2:KJK73 JZM2:JZO73 JPQ2:JPS73 JFU2:JFW73 IVY2:IWA73 IMC2:IME73 ICG2:ICI73 HSK2:HSM73 HIO2:HIQ73 GYS2:GYU73 GOW2:GOY73 GFA2:GFC73 FVE2:FVG73 FLI2:FLK73 FBM2:FBO73 ERQ2:ERS73 EHU2:EHW73 DXY2:DYA73 DOC2:DOE73 DEG2:DEI73 CUK2:CUM73 CKO2:CKQ73 CAS2:CAU73 BQW2:BQY73 BHA2:BHC73 AXE2:AXG73 ANI2:ANK73 ADM2:ADO73 TQ2:TS73 JU2:JW73" xr:uid="{444D9807-127E-4584-B3AB-50DC69DE6C2A}">
      <formula1>$AV$2:$AV$22</formula1>
    </dataValidation>
    <dataValidation type="list" allowBlank="1" showInputMessage="1" showErrorMessage="1" sqref="K121:K500" xr:uid="{C8BF9BE9-25D1-4D29-85A2-87BD63A8B9E5}">
      <formula1>$AR$2:$AR$25</formula1>
    </dataValidation>
    <dataValidation type="list" allowBlank="1" showInputMessage="1" showErrorMessage="1" sqref="J96:J500 J2:J94" xr:uid="{EAAA6390-0396-4211-AA40-B7DEF5E9DD3D}">
      <formula1>$AP$2:$AP$27</formula1>
    </dataValidation>
    <dataValidation type="list" allowBlank="1" showInputMessage="1" showErrorMessage="1" sqref="F98:F502 F2:F96" xr:uid="{94B43791-F2E1-4325-A3D1-7A6D6D9053E5}">
      <formula1>$AH$2:$AH$10</formula1>
    </dataValidation>
    <dataValidation type="list" allowBlank="1" showInputMessage="1" showErrorMessage="1" sqref="E98:E502 E2:E96" xr:uid="{49C89DA3-ABB5-43E1-8CCF-3FFADE136C52}">
      <formula1>$AG$2:$AG$11</formula1>
    </dataValidation>
    <dataValidation type="list" allowBlank="1" showInputMessage="1" showErrorMessage="1" sqref="A96:A500 A2:A94" xr:uid="{C03CCDD2-1EBB-4A86-870C-113244873275}">
      <formula1>$AE$2:$AE$19</formula1>
    </dataValidation>
    <dataValidation type="list" allowBlank="1" showInputMessage="1" showErrorMessage="1" sqref="H96:H500 H2:H94" xr:uid="{E41679C3-1A14-4232-B0BF-846E3BFC536A}">
      <formula1>$AL$2:$AL$8</formula1>
    </dataValidation>
    <dataValidation type="list" allowBlank="1" showInputMessage="1" showErrorMessage="1" sqref="Y96:AA500 Y2:AA94" xr:uid="{9AF9D0CB-8F87-4472-99F0-DF88F19B647D}">
      <formula1>$AV$2:$AV$21</formula1>
    </dataValidation>
    <dataValidation type="decimal" allowBlank="1" showInputMessage="1" showErrorMessage="1" error="硬度を正しく入力して下さい。" sqref="O96:P500 O18:P19 P15 P13 O23:P46 O65:O94 P68:P94" xr:uid="{6CF16908-B23A-4F96-ABDB-9A5EA2B826CA}">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1930-EC0F-436E-8A24-C518250D3A0F}">
  <dimension ref="A1:BA152"/>
  <sheetViews>
    <sheetView zoomScale="70" zoomScaleNormal="70" workbookViewId="0">
      <selection activeCell="AE45" sqref="AE45"/>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312</v>
      </c>
      <c r="O1" s="56" t="s">
        <v>14</v>
      </c>
      <c r="P1" s="56" t="s">
        <v>15</v>
      </c>
      <c r="Q1" s="3" t="s">
        <v>16</v>
      </c>
      <c r="R1" s="56" t="s">
        <v>17</v>
      </c>
      <c r="S1" s="56" t="s">
        <v>18</v>
      </c>
      <c r="T1" s="3" t="s">
        <v>19</v>
      </c>
      <c r="U1" s="58" t="s">
        <v>313</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232</v>
      </c>
      <c r="C2" s="62">
        <v>2019</v>
      </c>
      <c r="D2" s="137" t="s">
        <v>314</v>
      </c>
      <c r="E2" s="53" t="s">
        <v>315</v>
      </c>
      <c r="F2" s="53" t="s">
        <v>316</v>
      </c>
      <c r="G2" s="53" t="s">
        <v>36</v>
      </c>
      <c r="H2" s="53" t="s">
        <v>160</v>
      </c>
      <c r="I2" s="53" t="s">
        <v>159</v>
      </c>
      <c r="J2" s="53" t="s">
        <v>38</v>
      </c>
      <c r="K2" s="53" t="s">
        <v>161</v>
      </c>
      <c r="L2" s="53">
        <v>1</v>
      </c>
      <c r="N2" s="53">
        <v>4</v>
      </c>
      <c r="O2" s="53">
        <v>0.51</v>
      </c>
      <c r="P2" s="53">
        <v>0.45</v>
      </c>
      <c r="Q2" s="74">
        <f>IF(OR(O2="",P2=""),"",AVERAGE(O2,P2))</f>
        <v>0.48</v>
      </c>
      <c r="R2" s="53">
        <v>15.1</v>
      </c>
      <c r="S2" s="53">
        <v>96</v>
      </c>
      <c r="T2" s="16">
        <f t="shared" ref="T2:T61" si="0">IF(H2="","",IF(OR(H2="GREEN",H2="GK"),IF(S2&gt;=$AX$2,VLOOKUP(S2,$AX$2:$AY$12,2,1),""),IF(S2&gt;=$AZ$2,VLOOKUP(S2,$AZ$2:$BA$12,2,1),"")))</f>
        <v>36</v>
      </c>
      <c r="U2" s="53">
        <v>480</v>
      </c>
      <c r="V2" s="16">
        <f t="shared" ref="V2:V61" si="1">IF(J2="","",IF(OR(J2="GREEN",J2="GK"),IF(U2&gt;=$AX$2,VLOOKUP(U2,$AX$2:$AY$12,2,1),""),IF(U2&gt;=$AZ$2,VLOOKUP(U2,$AZ$2:$BA$12,2,1),"")))</f>
        <v>16</v>
      </c>
      <c r="W2" s="53">
        <v>2</v>
      </c>
      <c r="X2" s="53" t="s">
        <v>39</v>
      </c>
      <c r="Y2" s="53" t="s">
        <v>311</v>
      </c>
      <c r="Z2" s="53" t="s">
        <v>86</v>
      </c>
      <c r="AA2" s="53" t="s">
        <v>47</v>
      </c>
      <c r="AB2" s="53" t="s">
        <v>317</v>
      </c>
      <c r="AE2" s="64" t="s">
        <v>35</v>
      </c>
      <c r="AG2" s="138" t="s">
        <v>318</v>
      </c>
      <c r="AH2" s="139" t="s">
        <v>319</v>
      </c>
      <c r="AJ2" s="67" t="s">
        <v>36</v>
      </c>
      <c r="AL2" s="67" t="s">
        <v>127</v>
      </c>
      <c r="AN2" s="67" t="s">
        <v>320</v>
      </c>
      <c r="AP2" s="67" t="s">
        <v>38</v>
      </c>
      <c r="AR2" s="67" t="s">
        <v>120</v>
      </c>
      <c r="AT2" s="67" t="s">
        <v>39</v>
      </c>
      <c r="AV2" s="23" t="s">
        <v>55</v>
      </c>
      <c r="AX2" s="68">
        <v>1</v>
      </c>
      <c r="AY2" s="69">
        <v>50</v>
      </c>
      <c r="AZ2" s="69">
        <v>1</v>
      </c>
      <c r="BA2" s="70">
        <v>50</v>
      </c>
    </row>
    <row r="3" spans="1:53" x14ac:dyDescent="0.15">
      <c r="A3" s="53" t="s">
        <v>59</v>
      </c>
      <c r="B3" s="53" t="s">
        <v>232</v>
      </c>
      <c r="C3" s="62">
        <v>2019</v>
      </c>
      <c r="D3" s="137" t="s">
        <v>314</v>
      </c>
      <c r="E3" s="53" t="s">
        <v>315</v>
      </c>
      <c r="F3" s="53" t="s">
        <v>316</v>
      </c>
      <c r="G3" s="53" t="s">
        <v>36</v>
      </c>
      <c r="H3" s="53" t="s">
        <v>160</v>
      </c>
      <c r="I3" s="53" t="s">
        <v>159</v>
      </c>
      <c r="J3" s="53" t="s">
        <v>38</v>
      </c>
      <c r="K3" s="53" t="s">
        <v>161</v>
      </c>
      <c r="L3" s="53">
        <v>2</v>
      </c>
      <c r="N3" s="53">
        <v>4</v>
      </c>
      <c r="O3" s="53">
        <v>0.37</v>
      </c>
      <c r="P3" s="53">
        <v>0.43</v>
      </c>
      <c r="Q3" s="74">
        <f t="shared" ref="Q3:Q61" si="2">IF(OR(O3="",P3=""),"",AVERAGE(O3,P3))</f>
        <v>0.4</v>
      </c>
      <c r="R3" s="53">
        <v>16.399999999999999</v>
      </c>
      <c r="S3" s="53">
        <v>101</v>
      </c>
      <c r="T3" s="16">
        <f t="shared" si="0"/>
        <v>33</v>
      </c>
      <c r="U3" s="53">
        <v>480</v>
      </c>
      <c r="V3" s="16">
        <f t="shared" si="1"/>
        <v>16</v>
      </c>
      <c r="W3" s="53">
        <v>2</v>
      </c>
      <c r="X3" s="53" t="s">
        <v>39</v>
      </c>
      <c r="Y3" s="53" t="s">
        <v>311</v>
      </c>
      <c r="Z3" s="53" t="s">
        <v>86</v>
      </c>
      <c r="AA3" s="53" t="s">
        <v>47</v>
      </c>
      <c r="AB3" s="53" t="s">
        <v>317</v>
      </c>
      <c r="AE3" s="22" t="s">
        <v>41</v>
      </c>
      <c r="AG3" s="138" t="s">
        <v>321</v>
      </c>
      <c r="AH3" s="139" t="s">
        <v>316</v>
      </c>
      <c r="AJ3" s="23" t="s">
        <v>42</v>
      </c>
      <c r="AL3" s="23" t="s">
        <v>128</v>
      </c>
      <c r="AN3" s="23" t="s">
        <v>43</v>
      </c>
      <c r="AP3" s="23" t="s">
        <v>44</v>
      </c>
      <c r="AR3" s="23" t="s">
        <v>45</v>
      </c>
      <c r="AT3" s="23" t="s">
        <v>46</v>
      </c>
      <c r="AV3" s="23" t="s">
        <v>322</v>
      </c>
      <c r="AX3" s="24">
        <v>72</v>
      </c>
      <c r="AY3" s="25">
        <v>46</v>
      </c>
      <c r="AZ3" s="25">
        <v>71</v>
      </c>
      <c r="BA3" s="26">
        <v>42</v>
      </c>
    </row>
    <row r="4" spans="1:53" x14ac:dyDescent="0.15">
      <c r="A4" s="53" t="s">
        <v>59</v>
      </c>
      <c r="B4" s="53" t="s">
        <v>232</v>
      </c>
      <c r="C4" s="62">
        <v>2019</v>
      </c>
      <c r="D4" s="137" t="s">
        <v>314</v>
      </c>
      <c r="E4" s="53" t="s">
        <v>315</v>
      </c>
      <c r="F4" s="53" t="s">
        <v>316</v>
      </c>
      <c r="G4" s="53" t="s">
        <v>36</v>
      </c>
      <c r="H4" s="53" t="s">
        <v>160</v>
      </c>
      <c r="I4" s="53" t="s">
        <v>323</v>
      </c>
      <c r="J4" s="53" t="s">
        <v>38</v>
      </c>
      <c r="K4" s="53" t="s">
        <v>161</v>
      </c>
      <c r="L4" s="53">
        <v>3</v>
      </c>
      <c r="N4" s="53">
        <v>4</v>
      </c>
      <c r="O4" s="53">
        <v>0.49</v>
      </c>
      <c r="P4" s="53">
        <v>0.46</v>
      </c>
      <c r="Q4" s="74">
        <f t="shared" si="2"/>
        <v>0.47499999999999998</v>
      </c>
      <c r="R4" s="53">
        <v>16.3</v>
      </c>
      <c r="S4" s="53">
        <v>96</v>
      </c>
      <c r="T4" s="16">
        <f t="shared" si="0"/>
        <v>36</v>
      </c>
      <c r="U4" s="53">
        <v>480</v>
      </c>
      <c r="V4" s="16">
        <f t="shared" si="1"/>
        <v>16</v>
      </c>
      <c r="W4" s="53">
        <v>2</v>
      </c>
      <c r="X4" s="53" t="s">
        <v>39</v>
      </c>
      <c r="Y4" s="53" t="s">
        <v>311</v>
      </c>
      <c r="Z4" s="53" t="s">
        <v>86</v>
      </c>
      <c r="AA4" s="53" t="s">
        <v>47</v>
      </c>
      <c r="AB4" s="53" t="s">
        <v>317</v>
      </c>
      <c r="AE4" s="22" t="s">
        <v>34</v>
      </c>
      <c r="AG4" s="138" t="s">
        <v>324</v>
      </c>
      <c r="AH4" s="139" t="s">
        <v>325</v>
      </c>
      <c r="AJ4" s="27" t="s">
        <v>48</v>
      </c>
      <c r="AL4" s="27" t="s">
        <v>129</v>
      </c>
      <c r="AN4" s="28" t="s">
        <v>49</v>
      </c>
      <c r="AP4" s="23" t="s">
        <v>93</v>
      </c>
      <c r="AR4" s="23" t="s">
        <v>326</v>
      </c>
      <c r="AT4" s="28"/>
      <c r="AV4" s="23" t="s">
        <v>311</v>
      </c>
      <c r="AX4" s="24">
        <v>75</v>
      </c>
      <c r="AY4" s="25">
        <v>42</v>
      </c>
      <c r="AZ4" s="25">
        <v>76</v>
      </c>
      <c r="BA4" s="26">
        <v>39</v>
      </c>
    </row>
    <row r="5" spans="1:53" x14ac:dyDescent="0.15">
      <c r="A5" s="53" t="s">
        <v>59</v>
      </c>
      <c r="B5" s="53" t="s">
        <v>232</v>
      </c>
      <c r="C5" s="62">
        <v>2019</v>
      </c>
      <c r="D5" s="137" t="s">
        <v>314</v>
      </c>
      <c r="E5" s="53" t="s">
        <v>315</v>
      </c>
      <c r="F5" s="53" t="s">
        <v>316</v>
      </c>
      <c r="G5" s="53" t="s">
        <v>36</v>
      </c>
      <c r="H5" s="53" t="s">
        <v>165</v>
      </c>
      <c r="I5" s="53" t="s">
        <v>159</v>
      </c>
      <c r="J5" s="53" t="s">
        <v>38</v>
      </c>
      <c r="K5" s="53" t="s">
        <v>161</v>
      </c>
      <c r="L5" s="53">
        <v>1</v>
      </c>
      <c r="N5" s="53">
        <v>5</v>
      </c>
      <c r="O5" s="53">
        <v>0.88</v>
      </c>
      <c r="P5" s="53">
        <v>0.9</v>
      </c>
      <c r="Q5" s="74">
        <f t="shared" si="2"/>
        <v>0.89</v>
      </c>
      <c r="R5" s="53">
        <v>13</v>
      </c>
      <c r="S5" s="53">
        <v>92</v>
      </c>
      <c r="T5" s="16">
        <f t="shared" si="0"/>
        <v>36</v>
      </c>
      <c r="U5" s="53">
        <v>398</v>
      </c>
      <c r="V5" s="16">
        <f t="shared" si="1"/>
        <v>16</v>
      </c>
      <c r="W5" s="53">
        <v>2</v>
      </c>
      <c r="X5" s="53" t="s">
        <v>39</v>
      </c>
      <c r="Y5" s="53" t="s">
        <v>311</v>
      </c>
      <c r="Z5" s="53" t="s">
        <v>86</v>
      </c>
      <c r="AA5" s="53" t="s">
        <v>47</v>
      </c>
      <c r="AB5" s="53" t="s">
        <v>317</v>
      </c>
      <c r="AE5" s="22" t="s">
        <v>51</v>
      </c>
      <c r="AG5" s="138" t="s">
        <v>327</v>
      </c>
      <c r="AH5" s="139" t="s">
        <v>328</v>
      </c>
      <c r="AJ5" s="28"/>
      <c r="AL5" s="72" t="s">
        <v>66</v>
      </c>
      <c r="AN5" s="72" t="s">
        <v>52</v>
      </c>
      <c r="AP5" s="23" t="s">
        <v>244</v>
      </c>
      <c r="AR5" s="23" t="s">
        <v>54</v>
      </c>
      <c r="AV5" s="23" t="s">
        <v>329</v>
      </c>
      <c r="AX5" s="24">
        <v>84</v>
      </c>
      <c r="AY5" s="25">
        <v>39</v>
      </c>
      <c r="AZ5" s="25">
        <v>84</v>
      </c>
      <c r="BA5" s="26">
        <v>36</v>
      </c>
    </row>
    <row r="6" spans="1:53" x14ac:dyDescent="0.15">
      <c r="A6" s="53" t="s">
        <v>59</v>
      </c>
      <c r="B6" s="53" t="s">
        <v>232</v>
      </c>
      <c r="C6" s="62">
        <v>2019</v>
      </c>
      <c r="D6" s="137" t="s">
        <v>314</v>
      </c>
      <c r="E6" s="53" t="s">
        <v>315</v>
      </c>
      <c r="F6" s="53" t="s">
        <v>316</v>
      </c>
      <c r="G6" s="53" t="s">
        <v>36</v>
      </c>
      <c r="H6" s="53" t="s">
        <v>165</v>
      </c>
      <c r="I6" s="53" t="s">
        <v>159</v>
      </c>
      <c r="J6" s="53" t="s">
        <v>38</v>
      </c>
      <c r="K6" s="53" t="s">
        <v>161</v>
      </c>
      <c r="L6" s="53">
        <v>2</v>
      </c>
      <c r="N6" s="53">
        <v>5</v>
      </c>
      <c r="O6" s="53">
        <v>0.79</v>
      </c>
      <c r="P6" s="53">
        <v>0.82</v>
      </c>
      <c r="Q6" s="74">
        <f t="shared" si="2"/>
        <v>0.80499999999999994</v>
      </c>
      <c r="R6" s="53">
        <v>13.3</v>
      </c>
      <c r="S6" s="53">
        <v>89</v>
      </c>
      <c r="T6" s="16">
        <f t="shared" si="0"/>
        <v>36</v>
      </c>
      <c r="U6" s="53">
        <v>398</v>
      </c>
      <c r="V6" s="16">
        <f t="shared" si="1"/>
        <v>16</v>
      </c>
      <c r="W6" s="53">
        <v>2</v>
      </c>
      <c r="X6" s="53" t="s">
        <v>39</v>
      </c>
      <c r="Y6" s="53" t="s">
        <v>311</v>
      </c>
      <c r="Z6" s="53" t="s">
        <v>86</v>
      </c>
      <c r="AA6" s="53" t="s">
        <v>47</v>
      </c>
      <c r="AB6" s="53" t="s">
        <v>317</v>
      </c>
      <c r="AE6" s="22" t="s">
        <v>56</v>
      </c>
      <c r="AG6" s="138" t="s">
        <v>330</v>
      </c>
      <c r="AH6" s="139" t="s">
        <v>331</v>
      </c>
      <c r="AL6" s="72" t="s">
        <v>99</v>
      </c>
      <c r="AN6" s="72" t="s">
        <v>57</v>
      </c>
      <c r="AP6" s="23" t="s">
        <v>53</v>
      </c>
      <c r="AR6" s="23" t="s">
        <v>332</v>
      </c>
      <c r="AV6" s="23" t="s">
        <v>60</v>
      </c>
      <c r="AX6" s="24">
        <v>97</v>
      </c>
      <c r="AY6" s="25">
        <v>36</v>
      </c>
      <c r="AZ6" s="25">
        <v>99</v>
      </c>
      <c r="BA6" s="26">
        <v>33</v>
      </c>
    </row>
    <row r="7" spans="1:53" x14ac:dyDescent="0.15">
      <c r="A7" s="53" t="s">
        <v>59</v>
      </c>
      <c r="B7" s="53" t="s">
        <v>232</v>
      </c>
      <c r="C7" s="62">
        <v>2019</v>
      </c>
      <c r="D7" s="137" t="s">
        <v>314</v>
      </c>
      <c r="E7" s="53" t="s">
        <v>315</v>
      </c>
      <c r="F7" s="53" t="s">
        <v>316</v>
      </c>
      <c r="G7" s="53" t="s">
        <v>36</v>
      </c>
      <c r="H7" s="53" t="s">
        <v>165</v>
      </c>
      <c r="I7" s="53" t="s">
        <v>159</v>
      </c>
      <c r="J7" s="53" t="s">
        <v>38</v>
      </c>
      <c r="K7" s="53" t="s">
        <v>161</v>
      </c>
      <c r="L7" s="53">
        <v>3</v>
      </c>
      <c r="N7" s="53">
        <v>5</v>
      </c>
      <c r="O7" s="53">
        <v>0.85</v>
      </c>
      <c r="P7" s="53">
        <v>0.77</v>
      </c>
      <c r="Q7" s="74">
        <f t="shared" si="2"/>
        <v>0.81</v>
      </c>
      <c r="R7" s="53">
        <v>13.5</v>
      </c>
      <c r="S7" s="53">
        <v>89</v>
      </c>
      <c r="T7" s="16">
        <f t="shared" si="0"/>
        <v>36</v>
      </c>
      <c r="U7" s="53">
        <v>398</v>
      </c>
      <c r="V7" s="16">
        <f t="shared" si="1"/>
        <v>16</v>
      </c>
      <c r="W7" s="53">
        <v>2</v>
      </c>
      <c r="X7" s="53" t="s">
        <v>39</v>
      </c>
      <c r="Y7" s="53" t="s">
        <v>311</v>
      </c>
      <c r="Z7" s="53" t="s">
        <v>86</v>
      </c>
      <c r="AA7" s="53" t="s">
        <v>47</v>
      </c>
      <c r="AB7" s="53" t="s">
        <v>317</v>
      </c>
      <c r="AE7" s="22" t="s">
        <v>61</v>
      </c>
      <c r="AG7" s="138" t="s">
        <v>333</v>
      </c>
      <c r="AH7" s="139" t="s">
        <v>334</v>
      </c>
      <c r="AL7" s="34" t="s">
        <v>109</v>
      </c>
      <c r="AP7" s="23" t="s">
        <v>58</v>
      </c>
      <c r="AR7" s="23" t="s">
        <v>335</v>
      </c>
      <c r="AV7" s="23" t="s">
        <v>64</v>
      </c>
      <c r="AX7" s="24">
        <v>109</v>
      </c>
      <c r="AY7" s="25">
        <v>33</v>
      </c>
      <c r="AZ7" s="25">
        <v>113</v>
      </c>
      <c r="BA7" s="26">
        <v>30</v>
      </c>
    </row>
    <row r="8" spans="1:53" x14ac:dyDescent="0.15">
      <c r="A8" s="53" t="s">
        <v>59</v>
      </c>
      <c r="B8" s="53" t="s">
        <v>232</v>
      </c>
      <c r="C8" s="62">
        <v>2019</v>
      </c>
      <c r="D8" s="137" t="s">
        <v>314</v>
      </c>
      <c r="E8" s="53" t="s">
        <v>318</v>
      </c>
      <c r="F8" s="53" t="s">
        <v>319</v>
      </c>
      <c r="G8" s="53" t="s">
        <v>36</v>
      </c>
      <c r="H8" s="53" t="s">
        <v>160</v>
      </c>
      <c r="I8" s="53" t="s">
        <v>159</v>
      </c>
      <c r="J8" s="53" t="s">
        <v>38</v>
      </c>
      <c r="K8" s="53" t="s">
        <v>161</v>
      </c>
      <c r="L8" s="53">
        <v>1</v>
      </c>
      <c r="N8" s="53">
        <v>4</v>
      </c>
      <c r="O8" s="53">
        <v>0.4</v>
      </c>
      <c r="P8" s="53">
        <v>0.44</v>
      </c>
      <c r="Q8" s="74">
        <f t="shared" si="2"/>
        <v>0.42000000000000004</v>
      </c>
      <c r="R8" s="53">
        <v>15</v>
      </c>
      <c r="S8" s="53">
        <v>89</v>
      </c>
      <c r="T8" s="16">
        <f t="shared" si="0"/>
        <v>36</v>
      </c>
      <c r="U8" s="53">
        <v>397</v>
      </c>
      <c r="V8" s="16">
        <f t="shared" si="1"/>
        <v>16</v>
      </c>
      <c r="W8" s="53">
        <v>10</v>
      </c>
      <c r="X8" s="53" t="s">
        <v>39</v>
      </c>
      <c r="Y8" s="53" t="s">
        <v>311</v>
      </c>
      <c r="Z8" s="53" t="s">
        <v>69</v>
      </c>
      <c r="AA8" s="53" t="s">
        <v>55</v>
      </c>
      <c r="AB8" s="53" t="s">
        <v>317</v>
      </c>
      <c r="AE8" s="22" t="s">
        <v>59</v>
      </c>
      <c r="AG8" s="140" t="s">
        <v>162</v>
      </c>
      <c r="AH8" s="139" t="s">
        <v>336</v>
      </c>
      <c r="AL8" s="34" t="s">
        <v>134</v>
      </c>
      <c r="AP8" s="23" t="s">
        <v>62</v>
      </c>
      <c r="AR8" s="23" t="s">
        <v>81</v>
      </c>
      <c r="AV8" s="23" t="s">
        <v>97</v>
      </c>
      <c r="AX8" s="24">
        <v>119</v>
      </c>
      <c r="AY8" s="25">
        <v>30</v>
      </c>
      <c r="AZ8" s="25">
        <v>121</v>
      </c>
      <c r="BA8" s="26">
        <v>27</v>
      </c>
    </row>
    <row r="9" spans="1:53" x14ac:dyDescent="0.15">
      <c r="A9" s="53" t="s">
        <v>59</v>
      </c>
      <c r="B9" s="53" t="s">
        <v>232</v>
      </c>
      <c r="C9" s="62">
        <v>2019</v>
      </c>
      <c r="D9" s="137" t="s">
        <v>314</v>
      </c>
      <c r="E9" s="53" t="s">
        <v>318</v>
      </c>
      <c r="F9" s="53" t="s">
        <v>319</v>
      </c>
      <c r="G9" s="53" t="s">
        <v>36</v>
      </c>
      <c r="H9" s="53" t="s">
        <v>160</v>
      </c>
      <c r="I9" s="53" t="s">
        <v>159</v>
      </c>
      <c r="J9" s="53" t="s">
        <v>38</v>
      </c>
      <c r="K9" s="53" t="s">
        <v>161</v>
      </c>
      <c r="L9" s="53">
        <v>2</v>
      </c>
      <c r="N9" s="53">
        <v>4</v>
      </c>
      <c r="O9" s="53">
        <v>0.45</v>
      </c>
      <c r="P9" s="53">
        <v>0.4</v>
      </c>
      <c r="Q9" s="74">
        <f t="shared" si="2"/>
        <v>0.42500000000000004</v>
      </c>
      <c r="R9" s="53">
        <v>15.9</v>
      </c>
      <c r="S9" s="53">
        <v>91</v>
      </c>
      <c r="T9" s="16">
        <f t="shared" si="0"/>
        <v>36</v>
      </c>
      <c r="U9" s="53">
        <v>397</v>
      </c>
      <c r="V9" s="16">
        <f t="shared" si="1"/>
        <v>16</v>
      </c>
      <c r="W9" s="53">
        <v>10</v>
      </c>
      <c r="X9" s="53" t="s">
        <v>39</v>
      </c>
      <c r="Y9" s="53" t="s">
        <v>311</v>
      </c>
      <c r="Z9" s="53" t="s">
        <v>69</v>
      </c>
      <c r="AA9" s="53" t="s">
        <v>55</v>
      </c>
      <c r="AB9" s="53" t="s">
        <v>317</v>
      </c>
      <c r="AE9" s="22" t="s">
        <v>98</v>
      </c>
      <c r="AG9" s="140" t="s">
        <v>337</v>
      </c>
      <c r="AH9" s="139" t="s">
        <v>336</v>
      </c>
      <c r="AL9" s="72"/>
      <c r="AP9" s="23" t="s">
        <v>338</v>
      </c>
      <c r="AR9" s="23" t="s">
        <v>89</v>
      </c>
      <c r="AV9" s="23" t="s">
        <v>102</v>
      </c>
      <c r="AX9" s="24">
        <v>128</v>
      </c>
      <c r="AY9" s="25">
        <v>27</v>
      </c>
      <c r="AZ9" s="25">
        <v>129</v>
      </c>
      <c r="BA9" s="26">
        <v>25</v>
      </c>
    </row>
    <row r="10" spans="1:53" x14ac:dyDescent="0.15">
      <c r="A10" s="53" t="s">
        <v>59</v>
      </c>
      <c r="B10" s="53" t="s">
        <v>232</v>
      </c>
      <c r="C10" s="62">
        <v>2019</v>
      </c>
      <c r="D10" s="137" t="s">
        <v>314</v>
      </c>
      <c r="E10" s="53" t="s">
        <v>318</v>
      </c>
      <c r="F10" s="53" t="s">
        <v>319</v>
      </c>
      <c r="G10" s="53" t="s">
        <v>36</v>
      </c>
      <c r="H10" s="53" t="s">
        <v>160</v>
      </c>
      <c r="I10" s="53" t="s">
        <v>159</v>
      </c>
      <c r="J10" s="53" t="s">
        <v>38</v>
      </c>
      <c r="K10" s="53" t="s">
        <v>161</v>
      </c>
      <c r="L10" s="53">
        <v>3</v>
      </c>
      <c r="N10" s="53">
        <v>4</v>
      </c>
      <c r="O10" s="53">
        <v>0.49</v>
      </c>
      <c r="P10" s="53">
        <v>0.5</v>
      </c>
      <c r="Q10" s="74">
        <f t="shared" si="2"/>
        <v>0.495</v>
      </c>
      <c r="R10" s="53">
        <v>16.2</v>
      </c>
      <c r="S10" s="53">
        <v>91</v>
      </c>
      <c r="T10" s="16">
        <f t="shared" si="0"/>
        <v>36</v>
      </c>
      <c r="U10" s="53">
        <v>397</v>
      </c>
      <c r="V10" s="16">
        <f t="shared" si="1"/>
        <v>16</v>
      </c>
      <c r="W10" s="53">
        <v>10</v>
      </c>
      <c r="X10" s="53" t="s">
        <v>39</v>
      </c>
      <c r="Y10" s="53" t="s">
        <v>311</v>
      </c>
      <c r="Z10" s="53" t="s">
        <v>69</v>
      </c>
      <c r="AA10" s="53" t="s">
        <v>55</v>
      </c>
      <c r="AB10" s="53" t="s">
        <v>317</v>
      </c>
      <c r="AE10" s="22" t="s">
        <v>103</v>
      </c>
      <c r="AG10" s="138" t="s">
        <v>339</v>
      </c>
      <c r="AH10" s="139" t="s">
        <v>328</v>
      </c>
      <c r="AL10" s="83"/>
      <c r="AP10" s="23" t="s">
        <v>100</v>
      </c>
      <c r="AR10" s="23" t="s">
        <v>123</v>
      </c>
      <c r="AV10" s="23" t="s">
        <v>106</v>
      </c>
      <c r="AX10" s="24">
        <v>138</v>
      </c>
      <c r="AY10" s="25">
        <v>25</v>
      </c>
      <c r="AZ10" s="25">
        <v>138</v>
      </c>
      <c r="BA10" s="26">
        <v>22</v>
      </c>
    </row>
    <row r="11" spans="1:53" x14ac:dyDescent="0.15">
      <c r="A11" s="53" t="s">
        <v>59</v>
      </c>
      <c r="B11" s="53" t="s">
        <v>232</v>
      </c>
      <c r="C11" s="62">
        <v>2019</v>
      </c>
      <c r="D11" s="137" t="s">
        <v>314</v>
      </c>
      <c r="E11" s="53" t="s">
        <v>318</v>
      </c>
      <c r="F11" s="53" t="s">
        <v>319</v>
      </c>
      <c r="G11" s="53" t="s">
        <v>36</v>
      </c>
      <c r="H11" s="53" t="s">
        <v>165</v>
      </c>
      <c r="I11" s="53" t="s">
        <v>159</v>
      </c>
      <c r="J11" s="53" t="s">
        <v>38</v>
      </c>
      <c r="K11" s="53" t="s">
        <v>161</v>
      </c>
      <c r="L11" s="53">
        <v>1</v>
      </c>
      <c r="N11" s="53">
        <v>4</v>
      </c>
      <c r="O11" s="53">
        <v>0.73</v>
      </c>
      <c r="P11" s="53">
        <v>0.66</v>
      </c>
      <c r="Q11" s="74">
        <f t="shared" si="2"/>
        <v>0.69500000000000006</v>
      </c>
      <c r="R11" s="53">
        <v>13.3</v>
      </c>
      <c r="S11" s="53">
        <v>96</v>
      </c>
      <c r="T11" s="16">
        <f t="shared" si="0"/>
        <v>36</v>
      </c>
      <c r="U11" s="53">
        <v>357</v>
      </c>
      <c r="V11" s="16">
        <f t="shared" si="1"/>
        <v>16</v>
      </c>
      <c r="W11" s="53">
        <v>4</v>
      </c>
      <c r="X11" s="53" t="s">
        <v>39</v>
      </c>
      <c r="Y11" s="53" t="s">
        <v>311</v>
      </c>
      <c r="Z11" s="53" t="s">
        <v>69</v>
      </c>
      <c r="AA11" s="53" t="s">
        <v>55</v>
      </c>
      <c r="AB11" s="53" t="s">
        <v>317</v>
      </c>
      <c r="AE11" s="22" t="s">
        <v>65</v>
      </c>
      <c r="AG11" s="140" t="s">
        <v>340</v>
      </c>
      <c r="AH11" s="139" t="s">
        <v>341</v>
      </c>
      <c r="AL11" s="83"/>
      <c r="AP11" s="23" t="s">
        <v>342</v>
      </c>
      <c r="AR11" s="23" t="s">
        <v>343</v>
      </c>
      <c r="AV11" s="23" t="s">
        <v>344</v>
      </c>
      <c r="AX11" s="24">
        <v>151</v>
      </c>
      <c r="AY11" s="25">
        <v>22</v>
      </c>
      <c r="AZ11" s="25">
        <v>152</v>
      </c>
      <c r="BA11" s="26">
        <v>18</v>
      </c>
    </row>
    <row r="12" spans="1:53" x14ac:dyDescent="0.15">
      <c r="A12" s="53" t="s">
        <v>59</v>
      </c>
      <c r="B12" s="53" t="s">
        <v>232</v>
      </c>
      <c r="C12" s="62">
        <v>2019</v>
      </c>
      <c r="D12" s="137" t="s">
        <v>314</v>
      </c>
      <c r="E12" s="53" t="s">
        <v>318</v>
      </c>
      <c r="F12" s="53" t="s">
        <v>319</v>
      </c>
      <c r="G12" s="53" t="s">
        <v>36</v>
      </c>
      <c r="H12" s="53" t="s">
        <v>165</v>
      </c>
      <c r="I12" s="53" t="s">
        <v>159</v>
      </c>
      <c r="J12" s="53" t="s">
        <v>38</v>
      </c>
      <c r="K12" s="53" t="s">
        <v>161</v>
      </c>
      <c r="L12" s="53">
        <v>2</v>
      </c>
      <c r="N12" s="53">
        <v>4</v>
      </c>
      <c r="O12" s="53">
        <v>0.43</v>
      </c>
      <c r="P12" s="53">
        <v>0.45</v>
      </c>
      <c r="Q12" s="74">
        <f t="shared" si="2"/>
        <v>0.44</v>
      </c>
      <c r="R12" s="53">
        <v>14.2</v>
      </c>
      <c r="S12" s="53">
        <v>104</v>
      </c>
      <c r="T12" s="16">
        <f t="shared" si="0"/>
        <v>33</v>
      </c>
      <c r="U12" s="53">
        <v>357</v>
      </c>
      <c r="V12" s="16">
        <f t="shared" si="1"/>
        <v>16</v>
      </c>
      <c r="W12" s="53">
        <v>4</v>
      </c>
      <c r="X12" s="53" t="s">
        <v>39</v>
      </c>
      <c r="Y12" s="53" t="s">
        <v>311</v>
      </c>
      <c r="Z12" s="53" t="s">
        <v>69</v>
      </c>
      <c r="AA12" s="53" t="s">
        <v>55</v>
      </c>
      <c r="AB12" s="53" t="s">
        <v>317</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232</v>
      </c>
      <c r="C13" s="62">
        <v>2019</v>
      </c>
      <c r="D13" s="137" t="s">
        <v>314</v>
      </c>
      <c r="E13" s="53" t="s">
        <v>318</v>
      </c>
      <c r="F13" s="53" t="s">
        <v>319</v>
      </c>
      <c r="G13" s="53" t="s">
        <v>36</v>
      </c>
      <c r="H13" s="53" t="s">
        <v>165</v>
      </c>
      <c r="I13" s="53" t="s">
        <v>159</v>
      </c>
      <c r="J13" s="53" t="s">
        <v>38</v>
      </c>
      <c r="K13" s="53" t="s">
        <v>161</v>
      </c>
      <c r="L13" s="53">
        <v>3</v>
      </c>
      <c r="N13" s="53">
        <v>4</v>
      </c>
      <c r="O13" s="53">
        <v>0.62</v>
      </c>
      <c r="P13" s="53">
        <v>0.57999999999999996</v>
      </c>
      <c r="Q13" s="74">
        <f t="shared" si="2"/>
        <v>0.6</v>
      </c>
      <c r="R13" s="53">
        <v>13.7</v>
      </c>
      <c r="S13" s="53">
        <v>104</v>
      </c>
      <c r="T13" s="16">
        <f t="shared" si="0"/>
        <v>33</v>
      </c>
      <c r="U13" s="53">
        <v>357</v>
      </c>
      <c r="V13" s="16">
        <f t="shared" si="1"/>
        <v>16</v>
      </c>
      <c r="W13" s="53">
        <v>4</v>
      </c>
      <c r="X13" s="53" t="s">
        <v>39</v>
      </c>
      <c r="Y13" s="53" t="s">
        <v>311</v>
      </c>
      <c r="Z13" s="53" t="s">
        <v>69</v>
      </c>
      <c r="AA13" s="53" t="s">
        <v>55</v>
      </c>
      <c r="AB13" s="53" t="s">
        <v>317</v>
      </c>
      <c r="AE13" s="22" t="s">
        <v>73</v>
      </c>
      <c r="AG13" s="23"/>
      <c r="AH13" s="23"/>
      <c r="AP13" s="23" t="s">
        <v>71</v>
      </c>
      <c r="AR13" s="23" t="s">
        <v>103</v>
      </c>
      <c r="AV13" s="23" t="s">
        <v>75</v>
      </c>
    </row>
    <row r="14" spans="1:53" x14ac:dyDescent="0.15">
      <c r="A14" s="53" t="s">
        <v>59</v>
      </c>
      <c r="B14" s="53" t="s">
        <v>232</v>
      </c>
      <c r="C14" s="62">
        <v>2019</v>
      </c>
      <c r="D14" s="137" t="s">
        <v>314</v>
      </c>
      <c r="E14" s="53" t="s">
        <v>327</v>
      </c>
      <c r="F14" s="53" t="s">
        <v>328</v>
      </c>
      <c r="G14" s="53" t="s">
        <v>36</v>
      </c>
      <c r="H14" s="53" t="s">
        <v>160</v>
      </c>
      <c r="I14" s="53" t="s">
        <v>159</v>
      </c>
      <c r="J14" s="53" t="s">
        <v>38</v>
      </c>
      <c r="K14" s="53" t="s">
        <v>161</v>
      </c>
      <c r="L14" s="53">
        <v>1</v>
      </c>
      <c r="N14" s="53">
        <v>2</v>
      </c>
      <c r="O14" s="53">
        <v>0.56000000000000005</v>
      </c>
      <c r="P14" s="53">
        <v>0.56999999999999995</v>
      </c>
      <c r="Q14" s="74">
        <f t="shared" si="2"/>
        <v>0.56499999999999995</v>
      </c>
      <c r="R14" s="53">
        <v>15.9</v>
      </c>
      <c r="S14" s="53">
        <v>157</v>
      </c>
      <c r="T14" s="16">
        <f t="shared" si="0"/>
        <v>18</v>
      </c>
      <c r="U14" s="53">
        <v>380</v>
      </c>
      <c r="V14" s="16">
        <f t="shared" si="1"/>
        <v>16</v>
      </c>
      <c r="W14" s="53">
        <v>6</v>
      </c>
      <c r="X14" s="53" t="s">
        <v>46</v>
      </c>
      <c r="Y14" s="53" t="s">
        <v>90</v>
      </c>
      <c r="Z14" s="53" t="s">
        <v>55</v>
      </c>
      <c r="AA14" s="53" t="s">
        <v>60</v>
      </c>
      <c r="AB14" s="53" t="s">
        <v>317</v>
      </c>
      <c r="AE14" s="22" t="s">
        <v>76</v>
      </c>
      <c r="AG14" s="23"/>
      <c r="AH14" s="23"/>
      <c r="AP14" s="23" t="s">
        <v>345</v>
      </c>
      <c r="AR14" s="23" t="s">
        <v>125</v>
      </c>
      <c r="AV14" s="23" t="s">
        <v>78</v>
      </c>
    </row>
    <row r="15" spans="1:53" x14ac:dyDescent="0.15">
      <c r="A15" s="53" t="s">
        <v>59</v>
      </c>
      <c r="B15" s="53" t="s">
        <v>232</v>
      </c>
      <c r="C15" s="62">
        <v>2019</v>
      </c>
      <c r="D15" s="137" t="s">
        <v>314</v>
      </c>
      <c r="E15" s="53" t="s">
        <v>327</v>
      </c>
      <c r="F15" s="53" t="s">
        <v>328</v>
      </c>
      <c r="G15" s="53" t="s">
        <v>36</v>
      </c>
      <c r="H15" s="53" t="s">
        <v>160</v>
      </c>
      <c r="I15" s="53" t="s">
        <v>159</v>
      </c>
      <c r="J15" s="53" t="s">
        <v>38</v>
      </c>
      <c r="K15" s="53" t="s">
        <v>161</v>
      </c>
      <c r="L15" s="53">
        <v>2</v>
      </c>
      <c r="N15" s="53">
        <v>2</v>
      </c>
      <c r="O15" s="53">
        <v>0.52</v>
      </c>
      <c r="P15" s="53">
        <v>0.47</v>
      </c>
      <c r="Q15" s="74">
        <f t="shared" si="2"/>
        <v>0.495</v>
      </c>
      <c r="R15" s="53">
        <v>16</v>
      </c>
      <c r="S15" s="53">
        <v>152</v>
      </c>
      <c r="T15" s="16">
        <f t="shared" si="0"/>
        <v>18</v>
      </c>
      <c r="U15" s="53">
        <v>380</v>
      </c>
      <c r="V15" s="16">
        <f t="shared" si="1"/>
        <v>16</v>
      </c>
      <c r="W15" s="53">
        <v>6</v>
      </c>
      <c r="X15" s="53" t="s">
        <v>46</v>
      </c>
      <c r="Y15" s="53" t="s">
        <v>90</v>
      </c>
      <c r="Z15" s="53" t="s">
        <v>55</v>
      </c>
      <c r="AA15" s="53" t="s">
        <v>60</v>
      </c>
      <c r="AB15" s="53" t="s">
        <v>317</v>
      </c>
      <c r="AE15" s="22" t="s">
        <v>79</v>
      </c>
      <c r="AG15" s="23"/>
      <c r="AH15" s="23"/>
      <c r="AP15" s="23" t="s">
        <v>346</v>
      </c>
      <c r="AR15" s="23" t="s">
        <v>94</v>
      </c>
      <c r="AV15" s="23" t="s">
        <v>107</v>
      </c>
    </row>
    <row r="16" spans="1:53" x14ac:dyDescent="0.15">
      <c r="A16" s="53" t="s">
        <v>59</v>
      </c>
      <c r="B16" s="53" t="s">
        <v>232</v>
      </c>
      <c r="C16" s="62">
        <v>2019</v>
      </c>
      <c r="D16" s="137" t="s">
        <v>314</v>
      </c>
      <c r="E16" s="53" t="s">
        <v>327</v>
      </c>
      <c r="F16" s="53" t="s">
        <v>328</v>
      </c>
      <c r="G16" s="53" t="s">
        <v>36</v>
      </c>
      <c r="H16" s="53" t="s">
        <v>160</v>
      </c>
      <c r="I16" s="53" t="s">
        <v>159</v>
      </c>
      <c r="J16" s="53" t="s">
        <v>38</v>
      </c>
      <c r="K16" s="53" t="s">
        <v>161</v>
      </c>
      <c r="L16" s="53">
        <v>3</v>
      </c>
      <c r="N16" s="53">
        <v>2</v>
      </c>
      <c r="O16" s="53">
        <v>0.55000000000000004</v>
      </c>
      <c r="P16" s="53">
        <v>0.44</v>
      </c>
      <c r="Q16" s="74">
        <f t="shared" si="2"/>
        <v>0.495</v>
      </c>
      <c r="R16" s="53">
        <v>15.6</v>
      </c>
      <c r="S16" s="53">
        <v>155</v>
      </c>
      <c r="T16" s="16">
        <f t="shared" si="0"/>
        <v>18</v>
      </c>
      <c r="U16" s="53">
        <v>380</v>
      </c>
      <c r="V16" s="16">
        <f t="shared" si="1"/>
        <v>16</v>
      </c>
      <c r="W16" s="53">
        <v>6</v>
      </c>
      <c r="X16" s="53" t="s">
        <v>46</v>
      </c>
      <c r="Y16" s="53" t="s">
        <v>90</v>
      </c>
      <c r="Z16" s="53" t="s">
        <v>55</v>
      </c>
      <c r="AA16" s="53" t="s">
        <v>60</v>
      </c>
      <c r="AB16" s="53" t="s">
        <v>317</v>
      </c>
      <c r="AE16" s="22" t="s">
        <v>82</v>
      </c>
      <c r="AG16" s="28"/>
      <c r="AH16" s="28"/>
      <c r="AP16" s="23" t="s">
        <v>80</v>
      </c>
      <c r="AR16" s="23" t="s">
        <v>63</v>
      </c>
      <c r="AV16" s="23" t="s">
        <v>84</v>
      </c>
    </row>
    <row r="17" spans="1:48" x14ac:dyDescent="0.15">
      <c r="A17" s="53" t="s">
        <v>59</v>
      </c>
      <c r="B17" s="53" t="s">
        <v>232</v>
      </c>
      <c r="C17" s="62">
        <v>2019</v>
      </c>
      <c r="D17" s="137" t="s">
        <v>314</v>
      </c>
      <c r="E17" s="53" t="s">
        <v>327</v>
      </c>
      <c r="F17" s="53" t="s">
        <v>328</v>
      </c>
      <c r="G17" s="53" t="s">
        <v>36</v>
      </c>
      <c r="H17" s="53" t="s">
        <v>165</v>
      </c>
      <c r="I17" s="53" t="s">
        <v>159</v>
      </c>
      <c r="J17" s="53" t="s">
        <v>38</v>
      </c>
      <c r="K17" s="53" t="s">
        <v>161</v>
      </c>
      <c r="L17" s="53">
        <v>1</v>
      </c>
      <c r="N17" s="53">
        <v>4</v>
      </c>
      <c r="O17" s="53">
        <v>0.4</v>
      </c>
      <c r="P17" s="53">
        <v>0.42</v>
      </c>
      <c r="Q17" s="74">
        <f t="shared" si="2"/>
        <v>0.41000000000000003</v>
      </c>
      <c r="R17" s="53">
        <v>14.4</v>
      </c>
      <c r="S17" s="53">
        <v>92</v>
      </c>
      <c r="T17" s="16">
        <f t="shared" si="0"/>
        <v>36</v>
      </c>
      <c r="U17" s="53">
        <v>399</v>
      </c>
      <c r="V17" s="16">
        <f t="shared" si="1"/>
        <v>16</v>
      </c>
      <c r="W17" s="53">
        <v>6</v>
      </c>
      <c r="X17" s="53" t="s">
        <v>46</v>
      </c>
      <c r="Y17" s="53" t="s">
        <v>90</v>
      </c>
      <c r="Z17" s="53" t="s">
        <v>55</v>
      </c>
      <c r="AA17" s="53" t="s">
        <v>60</v>
      </c>
      <c r="AB17" s="53" t="s">
        <v>317</v>
      </c>
      <c r="AE17" s="22" t="s">
        <v>85</v>
      </c>
      <c r="AP17" s="27" t="s">
        <v>110</v>
      </c>
      <c r="AR17" s="23" t="s">
        <v>96</v>
      </c>
      <c r="AV17" s="23" t="s">
        <v>86</v>
      </c>
    </row>
    <row r="18" spans="1:48" x14ac:dyDescent="0.15">
      <c r="A18" s="53" t="s">
        <v>59</v>
      </c>
      <c r="B18" s="53" t="s">
        <v>232</v>
      </c>
      <c r="C18" s="62">
        <v>2019</v>
      </c>
      <c r="D18" s="137" t="s">
        <v>314</v>
      </c>
      <c r="E18" s="53" t="s">
        <v>327</v>
      </c>
      <c r="F18" s="53" t="s">
        <v>328</v>
      </c>
      <c r="G18" s="53" t="s">
        <v>36</v>
      </c>
      <c r="H18" s="53" t="s">
        <v>165</v>
      </c>
      <c r="I18" s="53" t="s">
        <v>159</v>
      </c>
      <c r="J18" s="53" t="s">
        <v>38</v>
      </c>
      <c r="K18" s="53" t="s">
        <v>161</v>
      </c>
      <c r="L18" s="53">
        <v>2</v>
      </c>
      <c r="N18" s="53">
        <v>4</v>
      </c>
      <c r="O18" s="53">
        <v>0.37</v>
      </c>
      <c r="P18" s="53">
        <v>0.44</v>
      </c>
      <c r="Q18" s="74">
        <f t="shared" si="2"/>
        <v>0.40500000000000003</v>
      </c>
      <c r="R18" s="53">
        <v>14.4</v>
      </c>
      <c r="S18" s="53">
        <v>94</v>
      </c>
      <c r="T18" s="16">
        <f t="shared" si="0"/>
        <v>36</v>
      </c>
      <c r="U18" s="53">
        <v>399</v>
      </c>
      <c r="V18" s="16">
        <f t="shared" si="1"/>
        <v>16</v>
      </c>
      <c r="W18" s="53">
        <v>6</v>
      </c>
      <c r="X18" s="53" t="s">
        <v>46</v>
      </c>
      <c r="Y18" s="53" t="s">
        <v>90</v>
      </c>
      <c r="Z18" s="53" t="s">
        <v>55</v>
      </c>
      <c r="AA18" s="53" t="s">
        <v>60</v>
      </c>
      <c r="AB18" s="53" t="s">
        <v>317</v>
      </c>
      <c r="AE18" s="22" t="s">
        <v>87</v>
      </c>
      <c r="AP18" s="27" t="s">
        <v>347</v>
      </c>
      <c r="AR18" s="23" t="s">
        <v>101</v>
      </c>
      <c r="AV18" s="23" t="s">
        <v>88</v>
      </c>
    </row>
    <row r="19" spans="1:48" x14ac:dyDescent="0.15">
      <c r="A19" s="53" t="s">
        <v>59</v>
      </c>
      <c r="B19" s="53" t="s">
        <v>232</v>
      </c>
      <c r="C19" s="62">
        <v>2019</v>
      </c>
      <c r="D19" s="137" t="s">
        <v>314</v>
      </c>
      <c r="E19" s="53" t="s">
        <v>327</v>
      </c>
      <c r="F19" s="53" t="s">
        <v>328</v>
      </c>
      <c r="G19" s="53" t="s">
        <v>36</v>
      </c>
      <c r="H19" s="53" t="s">
        <v>165</v>
      </c>
      <c r="I19" s="53" t="s">
        <v>159</v>
      </c>
      <c r="J19" s="53" t="s">
        <v>38</v>
      </c>
      <c r="K19" s="53" t="s">
        <v>161</v>
      </c>
      <c r="L19" s="53">
        <v>3</v>
      </c>
      <c r="N19" s="53">
        <v>4</v>
      </c>
      <c r="O19" s="53">
        <v>0.41</v>
      </c>
      <c r="P19" s="53">
        <v>0.43</v>
      </c>
      <c r="Q19" s="74">
        <f t="shared" si="2"/>
        <v>0.42</v>
      </c>
      <c r="R19" s="53">
        <v>14.2</v>
      </c>
      <c r="S19" s="53">
        <v>90</v>
      </c>
      <c r="T19" s="16">
        <f t="shared" si="0"/>
        <v>36</v>
      </c>
      <c r="U19" s="53">
        <v>399</v>
      </c>
      <c r="V19" s="16">
        <f t="shared" si="1"/>
        <v>16</v>
      </c>
      <c r="W19" s="53">
        <v>6</v>
      </c>
      <c r="X19" s="53" t="s">
        <v>46</v>
      </c>
      <c r="Y19" s="53" t="s">
        <v>90</v>
      </c>
      <c r="Z19" s="53" t="s">
        <v>55</v>
      </c>
      <c r="AA19" s="53" t="s">
        <v>60</v>
      </c>
      <c r="AB19" s="53" t="s">
        <v>317</v>
      </c>
      <c r="AE19" s="35" t="s">
        <v>89</v>
      </c>
      <c r="AP19" s="27" t="s">
        <v>112</v>
      </c>
      <c r="AR19" s="23" t="s">
        <v>126</v>
      </c>
      <c r="AV19" s="23" t="s">
        <v>348</v>
      </c>
    </row>
    <row r="20" spans="1:48" x14ac:dyDescent="0.15">
      <c r="A20" s="53" t="s">
        <v>59</v>
      </c>
      <c r="B20" s="53" t="s">
        <v>232</v>
      </c>
      <c r="C20" s="62">
        <v>2019</v>
      </c>
      <c r="D20" s="137" t="s">
        <v>314</v>
      </c>
      <c r="E20" s="53" t="s">
        <v>339</v>
      </c>
      <c r="F20" s="53" t="s">
        <v>328</v>
      </c>
      <c r="G20" s="53" t="s">
        <v>36</v>
      </c>
      <c r="H20" s="53" t="s">
        <v>160</v>
      </c>
      <c r="I20" s="53" t="s">
        <v>159</v>
      </c>
      <c r="J20" s="53" t="s">
        <v>38</v>
      </c>
      <c r="K20" s="53" t="s">
        <v>161</v>
      </c>
      <c r="L20" s="53">
        <v>1</v>
      </c>
      <c r="N20" s="53">
        <v>2</v>
      </c>
      <c r="O20" s="53">
        <v>0.5</v>
      </c>
      <c r="P20" s="53">
        <v>0.47</v>
      </c>
      <c r="Q20" s="74">
        <f t="shared" si="2"/>
        <v>0.48499999999999999</v>
      </c>
      <c r="R20" s="53">
        <v>16.899999999999999</v>
      </c>
      <c r="S20" s="53">
        <v>160</v>
      </c>
      <c r="T20" s="16">
        <f t="shared" si="0"/>
        <v>18</v>
      </c>
      <c r="U20" s="53">
        <v>429</v>
      </c>
      <c r="V20" s="16">
        <f t="shared" si="1"/>
        <v>16</v>
      </c>
      <c r="W20" s="53">
        <v>6</v>
      </c>
      <c r="X20" s="53" t="s">
        <v>46</v>
      </c>
      <c r="Y20" s="53" t="s">
        <v>78</v>
      </c>
      <c r="Z20" s="53" t="s">
        <v>90</v>
      </c>
      <c r="AA20" s="53" t="s">
        <v>69</v>
      </c>
      <c r="AB20" s="53" t="s">
        <v>317</v>
      </c>
      <c r="AE20" s="35"/>
      <c r="AP20" s="27" t="s">
        <v>113</v>
      </c>
      <c r="AR20" s="23" t="s">
        <v>105</v>
      </c>
      <c r="AV20" s="27" t="s">
        <v>135</v>
      </c>
    </row>
    <row r="21" spans="1:48" x14ac:dyDescent="0.15">
      <c r="A21" s="53" t="s">
        <v>59</v>
      </c>
      <c r="B21" s="53" t="s">
        <v>232</v>
      </c>
      <c r="C21" s="62">
        <v>2019</v>
      </c>
      <c r="D21" s="137" t="s">
        <v>314</v>
      </c>
      <c r="E21" s="53" t="s">
        <v>339</v>
      </c>
      <c r="F21" s="53" t="s">
        <v>328</v>
      </c>
      <c r="G21" s="53" t="s">
        <v>36</v>
      </c>
      <c r="H21" s="53" t="s">
        <v>160</v>
      </c>
      <c r="I21" s="53" t="s">
        <v>159</v>
      </c>
      <c r="J21" s="53" t="s">
        <v>38</v>
      </c>
      <c r="K21" s="53" t="s">
        <v>161</v>
      </c>
      <c r="L21" s="53">
        <v>2</v>
      </c>
      <c r="N21" s="53">
        <v>2</v>
      </c>
      <c r="O21" s="53">
        <v>0.52</v>
      </c>
      <c r="P21" s="53">
        <v>0.59</v>
      </c>
      <c r="Q21" s="74">
        <f t="shared" si="2"/>
        <v>0.55499999999999994</v>
      </c>
      <c r="R21" s="53">
        <v>16.5</v>
      </c>
      <c r="S21" s="53">
        <v>151</v>
      </c>
      <c r="T21" s="16">
        <f t="shared" si="0"/>
        <v>22</v>
      </c>
      <c r="U21" s="53">
        <v>429</v>
      </c>
      <c r="V21" s="16">
        <f t="shared" si="1"/>
        <v>16</v>
      </c>
      <c r="W21" s="53">
        <v>6</v>
      </c>
      <c r="X21" s="53" t="s">
        <v>46</v>
      </c>
      <c r="Y21" s="53" t="s">
        <v>78</v>
      </c>
      <c r="Z21" s="53" t="s">
        <v>90</v>
      </c>
      <c r="AA21" s="53" t="s">
        <v>69</v>
      </c>
      <c r="AB21" s="53" t="s">
        <v>317</v>
      </c>
      <c r="AE21" s="28"/>
      <c r="AP21" s="27" t="s">
        <v>349</v>
      </c>
      <c r="AR21" s="23" t="s">
        <v>68</v>
      </c>
      <c r="AV21" s="27" t="s">
        <v>136</v>
      </c>
    </row>
    <row r="22" spans="1:48" x14ac:dyDescent="0.15">
      <c r="A22" s="53" t="s">
        <v>59</v>
      </c>
      <c r="B22" s="53" t="s">
        <v>232</v>
      </c>
      <c r="C22" s="62">
        <v>2019</v>
      </c>
      <c r="D22" s="137" t="s">
        <v>314</v>
      </c>
      <c r="E22" s="53" t="s">
        <v>339</v>
      </c>
      <c r="F22" s="53" t="s">
        <v>328</v>
      </c>
      <c r="G22" s="53" t="s">
        <v>36</v>
      </c>
      <c r="H22" s="53" t="s">
        <v>160</v>
      </c>
      <c r="I22" s="53" t="s">
        <v>159</v>
      </c>
      <c r="J22" s="53" t="s">
        <v>38</v>
      </c>
      <c r="K22" s="53" t="s">
        <v>161</v>
      </c>
      <c r="L22" s="53">
        <v>3</v>
      </c>
      <c r="N22" s="53">
        <v>2</v>
      </c>
      <c r="O22" s="53">
        <v>0.52</v>
      </c>
      <c r="P22" s="53">
        <v>0.6</v>
      </c>
      <c r="Q22" s="74">
        <f t="shared" si="2"/>
        <v>0.56000000000000005</v>
      </c>
      <c r="R22" s="53">
        <v>16.600000000000001</v>
      </c>
      <c r="S22" s="53">
        <v>158</v>
      </c>
      <c r="T22" s="16">
        <f t="shared" si="0"/>
        <v>18</v>
      </c>
      <c r="U22" s="53">
        <v>429</v>
      </c>
      <c r="V22" s="16">
        <f t="shared" si="1"/>
        <v>16</v>
      </c>
      <c r="W22" s="53">
        <v>6</v>
      </c>
      <c r="X22" s="53" t="s">
        <v>46</v>
      </c>
      <c r="Y22" s="53" t="s">
        <v>78</v>
      </c>
      <c r="Z22" s="53" t="s">
        <v>90</v>
      </c>
      <c r="AA22" s="53" t="s">
        <v>69</v>
      </c>
      <c r="AB22" s="53" t="s">
        <v>317</v>
      </c>
      <c r="AP22" s="27" t="s">
        <v>350</v>
      </c>
      <c r="AR22" s="23" t="s">
        <v>83</v>
      </c>
      <c r="AV22" s="27" t="s">
        <v>351</v>
      </c>
    </row>
    <row r="23" spans="1:48" x14ac:dyDescent="0.15">
      <c r="A23" s="53" t="s">
        <v>59</v>
      </c>
      <c r="B23" s="53" t="s">
        <v>232</v>
      </c>
      <c r="C23" s="62">
        <v>2019</v>
      </c>
      <c r="D23" s="137" t="s">
        <v>314</v>
      </c>
      <c r="E23" s="53" t="s">
        <v>339</v>
      </c>
      <c r="F23" s="53" t="s">
        <v>328</v>
      </c>
      <c r="G23" s="53" t="s">
        <v>36</v>
      </c>
      <c r="H23" s="53" t="s">
        <v>165</v>
      </c>
      <c r="I23" s="53" t="s">
        <v>159</v>
      </c>
      <c r="J23" s="53" t="s">
        <v>38</v>
      </c>
      <c r="K23" s="53" t="s">
        <v>161</v>
      </c>
      <c r="L23" s="53">
        <v>1</v>
      </c>
      <c r="N23" s="53">
        <v>1</v>
      </c>
      <c r="O23" s="53">
        <v>0.95</v>
      </c>
      <c r="P23" s="53">
        <v>0.9</v>
      </c>
      <c r="Q23" s="74">
        <f t="shared" si="2"/>
        <v>0.92500000000000004</v>
      </c>
      <c r="R23" s="53">
        <v>14</v>
      </c>
      <c r="S23" s="53">
        <v>145</v>
      </c>
      <c r="T23" s="16">
        <f t="shared" si="0"/>
        <v>22</v>
      </c>
      <c r="U23" s="53">
        <v>162</v>
      </c>
      <c r="V23" s="16">
        <f t="shared" si="1"/>
        <v>18</v>
      </c>
      <c r="W23" s="53">
        <v>1</v>
      </c>
      <c r="X23" s="53" t="s">
        <v>46</v>
      </c>
      <c r="Y23" s="53" t="s">
        <v>78</v>
      </c>
      <c r="Z23" s="53" t="s">
        <v>90</v>
      </c>
      <c r="AA23" s="53" t="s">
        <v>69</v>
      </c>
      <c r="AB23" s="53" t="s">
        <v>317</v>
      </c>
      <c r="AP23" s="27" t="s">
        <v>137</v>
      </c>
      <c r="AR23" s="23" t="s">
        <v>61</v>
      </c>
      <c r="AV23" s="27" t="s">
        <v>352</v>
      </c>
    </row>
    <row r="24" spans="1:48" x14ac:dyDescent="0.15">
      <c r="A24" s="53" t="s">
        <v>59</v>
      </c>
      <c r="B24" s="53" t="s">
        <v>232</v>
      </c>
      <c r="C24" s="62">
        <v>2019</v>
      </c>
      <c r="D24" s="137" t="s">
        <v>314</v>
      </c>
      <c r="E24" s="53" t="s">
        <v>339</v>
      </c>
      <c r="F24" s="53" t="s">
        <v>328</v>
      </c>
      <c r="G24" s="53" t="s">
        <v>36</v>
      </c>
      <c r="H24" s="53" t="s">
        <v>165</v>
      </c>
      <c r="I24" s="53" t="s">
        <v>159</v>
      </c>
      <c r="J24" s="53" t="s">
        <v>38</v>
      </c>
      <c r="K24" s="53" t="s">
        <v>161</v>
      </c>
      <c r="L24" s="53">
        <v>2</v>
      </c>
      <c r="N24" s="53">
        <v>1</v>
      </c>
      <c r="O24" s="53">
        <v>0.62</v>
      </c>
      <c r="P24" s="53">
        <v>0.74</v>
      </c>
      <c r="Q24" s="74">
        <f t="shared" si="2"/>
        <v>0.67999999999999994</v>
      </c>
      <c r="R24" s="53">
        <v>14.2</v>
      </c>
      <c r="S24" s="53">
        <v>142</v>
      </c>
      <c r="T24" s="16">
        <f t="shared" si="0"/>
        <v>22</v>
      </c>
      <c r="U24" s="53">
        <v>162</v>
      </c>
      <c r="V24" s="16">
        <f t="shared" si="1"/>
        <v>18</v>
      </c>
      <c r="W24" s="53">
        <v>1</v>
      </c>
      <c r="X24" s="53" t="s">
        <v>46</v>
      </c>
      <c r="Y24" s="53" t="s">
        <v>78</v>
      </c>
      <c r="Z24" s="53" t="s">
        <v>90</v>
      </c>
      <c r="AA24" s="53" t="s">
        <v>69</v>
      </c>
      <c r="AB24" s="53" t="s">
        <v>317</v>
      </c>
      <c r="AP24" s="27" t="s">
        <v>138</v>
      </c>
      <c r="AR24" s="23" t="s">
        <v>91</v>
      </c>
      <c r="AV24" s="27" t="s">
        <v>353</v>
      </c>
    </row>
    <row r="25" spans="1:48" x14ac:dyDescent="0.15">
      <c r="A25" s="53" t="s">
        <v>59</v>
      </c>
      <c r="B25" s="53" t="s">
        <v>232</v>
      </c>
      <c r="C25" s="62">
        <v>2019</v>
      </c>
      <c r="D25" s="137" t="s">
        <v>314</v>
      </c>
      <c r="E25" s="53" t="s">
        <v>339</v>
      </c>
      <c r="F25" s="53" t="s">
        <v>328</v>
      </c>
      <c r="G25" s="53" t="s">
        <v>36</v>
      </c>
      <c r="H25" s="53" t="s">
        <v>165</v>
      </c>
      <c r="I25" s="53" t="s">
        <v>159</v>
      </c>
      <c r="J25" s="53" t="s">
        <v>38</v>
      </c>
      <c r="K25" s="53" t="s">
        <v>161</v>
      </c>
      <c r="L25" s="53">
        <v>3</v>
      </c>
      <c r="N25" s="53">
        <v>1</v>
      </c>
      <c r="O25" s="53">
        <v>0.85</v>
      </c>
      <c r="P25" s="53">
        <v>0.79</v>
      </c>
      <c r="Q25" s="74">
        <f t="shared" si="2"/>
        <v>0.82000000000000006</v>
      </c>
      <c r="R25" s="53">
        <v>14</v>
      </c>
      <c r="S25" s="53">
        <v>140</v>
      </c>
      <c r="T25" s="16">
        <f t="shared" si="0"/>
        <v>22</v>
      </c>
      <c r="U25" s="53">
        <v>162</v>
      </c>
      <c r="V25" s="16">
        <f t="shared" si="1"/>
        <v>18</v>
      </c>
      <c r="W25" s="53">
        <v>1</v>
      </c>
      <c r="X25" s="53" t="s">
        <v>46</v>
      </c>
      <c r="Y25" s="53" t="s">
        <v>78</v>
      </c>
      <c r="Z25" s="53" t="s">
        <v>90</v>
      </c>
      <c r="AA25" s="53" t="s">
        <v>69</v>
      </c>
      <c r="AB25" s="53" t="s">
        <v>317</v>
      </c>
      <c r="AP25" s="27" t="s">
        <v>116</v>
      </c>
      <c r="AR25" s="27" t="s">
        <v>92</v>
      </c>
      <c r="AV25" s="27" t="s">
        <v>354</v>
      </c>
    </row>
    <row r="26" spans="1:48" x14ac:dyDescent="0.15">
      <c r="A26" s="53" t="s">
        <v>59</v>
      </c>
      <c r="B26" s="53" t="s">
        <v>232</v>
      </c>
      <c r="C26" s="62">
        <v>2019</v>
      </c>
      <c r="D26" s="137" t="s">
        <v>314</v>
      </c>
      <c r="E26" s="53" t="s">
        <v>337</v>
      </c>
      <c r="F26" s="53" t="s">
        <v>336</v>
      </c>
      <c r="G26" s="53" t="s">
        <v>36</v>
      </c>
      <c r="H26" s="53" t="s">
        <v>160</v>
      </c>
      <c r="I26" s="53" t="s">
        <v>159</v>
      </c>
      <c r="J26" s="53" t="s">
        <v>38</v>
      </c>
      <c r="K26" s="53" t="s">
        <v>161</v>
      </c>
      <c r="L26" s="53">
        <v>1</v>
      </c>
      <c r="N26" s="53">
        <v>4</v>
      </c>
      <c r="O26" s="53">
        <v>0.59</v>
      </c>
      <c r="P26" s="53">
        <v>0.67</v>
      </c>
      <c r="Q26" s="74">
        <f t="shared" si="2"/>
        <v>0.63</v>
      </c>
      <c r="R26" s="53">
        <v>16.100000000000001</v>
      </c>
      <c r="S26" s="53">
        <v>102</v>
      </c>
      <c r="T26" s="16">
        <f t="shared" si="0"/>
        <v>33</v>
      </c>
      <c r="U26" s="53">
        <v>398</v>
      </c>
      <c r="V26" s="16">
        <f t="shared" si="1"/>
        <v>16</v>
      </c>
      <c r="W26" s="53">
        <v>9</v>
      </c>
      <c r="X26" s="53" t="s">
        <v>46</v>
      </c>
      <c r="Y26" s="53" t="s">
        <v>78</v>
      </c>
      <c r="Z26" s="53" t="s">
        <v>55</v>
      </c>
      <c r="AA26" s="53" t="s">
        <v>97</v>
      </c>
      <c r="AB26" s="53" t="s">
        <v>317</v>
      </c>
      <c r="AP26" s="27" t="s">
        <v>117</v>
      </c>
      <c r="AR26" s="27" t="s">
        <v>355</v>
      </c>
      <c r="AV26" s="27"/>
    </row>
    <row r="27" spans="1:48" x14ac:dyDescent="0.15">
      <c r="A27" s="53" t="s">
        <v>59</v>
      </c>
      <c r="B27" s="53" t="s">
        <v>232</v>
      </c>
      <c r="C27" s="62">
        <v>2019</v>
      </c>
      <c r="D27" s="137" t="s">
        <v>314</v>
      </c>
      <c r="E27" s="53" t="s">
        <v>337</v>
      </c>
      <c r="F27" s="53" t="s">
        <v>336</v>
      </c>
      <c r="G27" s="53" t="s">
        <v>36</v>
      </c>
      <c r="H27" s="53" t="s">
        <v>160</v>
      </c>
      <c r="I27" s="53" t="s">
        <v>159</v>
      </c>
      <c r="J27" s="53" t="s">
        <v>38</v>
      </c>
      <c r="K27" s="53" t="s">
        <v>161</v>
      </c>
      <c r="L27" s="53">
        <v>2</v>
      </c>
      <c r="N27" s="53">
        <v>4</v>
      </c>
      <c r="O27" s="53">
        <v>0.6</v>
      </c>
      <c r="P27" s="53">
        <v>0.71</v>
      </c>
      <c r="Q27" s="74">
        <f t="shared" si="2"/>
        <v>0.65500000000000003</v>
      </c>
      <c r="R27" s="53">
        <v>15.1</v>
      </c>
      <c r="S27" s="53">
        <v>101</v>
      </c>
      <c r="T27" s="16">
        <f t="shared" si="0"/>
        <v>33</v>
      </c>
      <c r="U27" s="53">
        <v>398</v>
      </c>
      <c r="V27" s="16">
        <f t="shared" si="1"/>
        <v>16</v>
      </c>
      <c r="W27" s="53">
        <v>9</v>
      </c>
      <c r="X27" s="53" t="s">
        <v>46</v>
      </c>
      <c r="Y27" s="53" t="s">
        <v>78</v>
      </c>
      <c r="Z27" s="53" t="s">
        <v>55</v>
      </c>
      <c r="AA27" s="53" t="s">
        <v>97</v>
      </c>
      <c r="AB27" s="53" t="s">
        <v>317</v>
      </c>
      <c r="AP27" s="27" t="s">
        <v>118</v>
      </c>
      <c r="AR27" s="28" t="s">
        <v>153</v>
      </c>
      <c r="AV27" s="27"/>
    </row>
    <row r="28" spans="1:48" x14ac:dyDescent="0.15">
      <c r="A28" s="53" t="s">
        <v>59</v>
      </c>
      <c r="B28" s="53" t="s">
        <v>232</v>
      </c>
      <c r="C28" s="62">
        <v>2019</v>
      </c>
      <c r="D28" s="137" t="s">
        <v>314</v>
      </c>
      <c r="E28" s="53" t="s">
        <v>337</v>
      </c>
      <c r="F28" s="53" t="s">
        <v>336</v>
      </c>
      <c r="G28" s="53" t="s">
        <v>36</v>
      </c>
      <c r="H28" s="53" t="s">
        <v>160</v>
      </c>
      <c r="I28" s="53" t="s">
        <v>159</v>
      </c>
      <c r="J28" s="53" t="s">
        <v>38</v>
      </c>
      <c r="K28" s="53" t="s">
        <v>161</v>
      </c>
      <c r="L28" s="53">
        <v>3</v>
      </c>
      <c r="N28" s="53">
        <v>4</v>
      </c>
      <c r="O28" s="53">
        <v>0.52</v>
      </c>
      <c r="P28" s="53">
        <v>0.63</v>
      </c>
      <c r="Q28" s="74">
        <f t="shared" si="2"/>
        <v>0.57499999999999996</v>
      </c>
      <c r="R28" s="53">
        <v>16.8</v>
      </c>
      <c r="S28" s="53">
        <v>109</v>
      </c>
      <c r="T28" s="16">
        <f t="shared" si="0"/>
        <v>33</v>
      </c>
      <c r="U28" s="53">
        <v>398</v>
      </c>
      <c r="V28" s="16">
        <f t="shared" si="1"/>
        <v>16</v>
      </c>
      <c r="W28" s="53">
        <v>9</v>
      </c>
      <c r="X28" s="53" t="s">
        <v>46</v>
      </c>
      <c r="Y28" s="53" t="s">
        <v>78</v>
      </c>
      <c r="Z28" s="53" t="s">
        <v>55</v>
      </c>
      <c r="AA28" s="53" t="s">
        <v>97</v>
      </c>
      <c r="AB28" s="53" t="s">
        <v>317</v>
      </c>
      <c r="AV28" s="27"/>
    </row>
    <row r="29" spans="1:48" x14ac:dyDescent="0.15">
      <c r="A29" s="53" t="s">
        <v>59</v>
      </c>
      <c r="B29" s="53" t="s">
        <v>232</v>
      </c>
      <c r="C29" s="62">
        <v>2019</v>
      </c>
      <c r="D29" s="137" t="s">
        <v>314</v>
      </c>
      <c r="E29" s="53" t="s">
        <v>337</v>
      </c>
      <c r="F29" s="53" t="s">
        <v>336</v>
      </c>
      <c r="G29" s="53" t="s">
        <v>36</v>
      </c>
      <c r="H29" s="53" t="s">
        <v>165</v>
      </c>
      <c r="I29" s="53" t="s">
        <v>159</v>
      </c>
      <c r="J29" s="53" t="s">
        <v>38</v>
      </c>
      <c r="K29" s="53" t="s">
        <v>161</v>
      </c>
      <c r="L29" s="53">
        <v>1</v>
      </c>
      <c r="N29" s="53">
        <v>1</v>
      </c>
      <c r="O29" s="53">
        <v>0.78</v>
      </c>
      <c r="P29" s="53">
        <v>0.82</v>
      </c>
      <c r="Q29" s="74">
        <f t="shared" si="2"/>
        <v>0.8</v>
      </c>
      <c r="R29" s="53">
        <v>13.8</v>
      </c>
      <c r="S29" s="53">
        <v>137</v>
      </c>
      <c r="T29" s="16">
        <f t="shared" si="0"/>
        <v>25</v>
      </c>
      <c r="U29" s="53">
        <v>138</v>
      </c>
      <c r="V29" s="16">
        <f t="shared" si="1"/>
        <v>22</v>
      </c>
      <c r="W29" s="53">
        <v>3</v>
      </c>
      <c r="X29" s="53" t="s">
        <v>46</v>
      </c>
      <c r="Y29" s="53" t="s">
        <v>78</v>
      </c>
      <c r="Z29" s="53" t="s">
        <v>55</v>
      </c>
      <c r="AA29" s="53" t="s">
        <v>97</v>
      </c>
      <c r="AB29" s="53" t="s">
        <v>317</v>
      </c>
      <c r="AV29" s="27"/>
    </row>
    <row r="30" spans="1:48" x14ac:dyDescent="0.15">
      <c r="A30" s="53" t="s">
        <v>59</v>
      </c>
      <c r="B30" s="53" t="s">
        <v>232</v>
      </c>
      <c r="C30" s="62">
        <v>2019</v>
      </c>
      <c r="D30" s="137" t="s">
        <v>314</v>
      </c>
      <c r="E30" s="53" t="s">
        <v>337</v>
      </c>
      <c r="F30" s="53" t="s">
        <v>336</v>
      </c>
      <c r="G30" s="53" t="s">
        <v>36</v>
      </c>
      <c r="H30" s="53" t="s">
        <v>165</v>
      </c>
      <c r="I30" s="53" t="s">
        <v>159</v>
      </c>
      <c r="J30" s="53" t="s">
        <v>38</v>
      </c>
      <c r="K30" s="53" t="s">
        <v>161</v>
      </c>
      <c r="L30" s="53">
        <v>2</v>
      </c>
      <c r="N30" s="53">
        <v>1</v>
      </c>
      <c r="O30" s="53">
        <v>0.63</v>
      </c>
      <c r="P30" s="53">
        <v>0.72</v>
      </c>
      <c r="Q30" s="74">
        <f t="shared" si="2"/>
        <v>0.67500000000000004</v>
      </c>
      <c r="R30" s="53">
        <v>14.1</v>
      </c>
      <c r="S30" s="53">
        <v>136</v>
      </c>
      <c r="T30" s="16">
        <f t="shared" si="0"/>
        <v>25</v>
      </c>
      <c r="U30" s="53">
        <v>138</v>
      </c>
      <c r="V30" s="16">
        <f t="shared" si="1"/>
        <v>22</v>
      </c>
      <c r="W30" s="53">
        <v>3</v>
      </c>
      <c r="X30" s="53" t="s">
        <v>46</v>
      </c>
      <c r="Y30" s="53" t="s">
        <v>78</v>
      </c>
      <c r="Z30" s="53" t="s">
        <v>55</v>
      </c>
      <c r="AA30" s="53" t="s">
        <v>97</v>
      </c>
      <c r="AB30" s="53" t="s">
        <v>317</v>
      </c>
      <c r="AV30" s="27"/>
    </row>
    <row r="31" spans="1:48" x14ac:dyDescent="0.15">
      <c r="A31" s="53" t="s">
        <v>59</v>
      </c>
      <c r="B31" s="53" t="s">
        <v>232</v>
      </c>
      <c r="C31" s="62">
        <v>2019</v>
      </c>
      <c r="D31" s="137" t="s">
        <v>314</v>
      </c>
      <c r="E31" s="53" t="s">
        <v>337</v>
      </c>
      <c r="F31" s="53" t="s">
        <v>336</v>
      </c>
      <c r="G31" s="53" t="s">
        <v>36</v>
      </c>
      <c r="H31" s="53" t="s">
        <v>165</v>
      </c>
      <c r="I31" s="53" t="s">
        <v>159</v>
      </c>
      <c r="J31" s="53" t="s">
        <v>38</v>
      </c>
      <c r="K31" s="53" t="s">
        <v>161</v>
      </c>
      <c r="L31" s="53">
        <v>3</v>
      </c>
      <c r="N31" s="53">
        <v>1</v>
      </c>
      <c r="O31" s="53">
        <v>0.77</v>
      </c>
      <c r="P31" s="53">
        <v>0.74</v>
      </c>
      <c r="Q31" s="74">
        <f t="shared" si="2"/>
        <v>0.755</v>
      </c>
      <c r="R31" s="53">
        <v>13.6</v>
      </c>
      <c r="S31" s="53">
        <v>135</v>
      </c>
      <c r="T31" s="16">
        <f t="shared" si="0"/>
        <v>25</v>
      </c>
      <c r="U31" s="53">
        <v>138</v>
      </c>
      <c r="V31" s="16">
        <f t="shared" si="1"/>
        <v>22</v>
      </c>
      <c r="W31" s="53">
        <v>3</v>
      </c>
      <c r="X31" s="53" t="s">
        <v>46</v>
      </c>
      <c r="Y31" s="53" t="s">
        <v>78</v>
      </c>
      <c r="Z31" s="53" t="s">
        <v>55</v>
      </c>
      <c r="AA31" s="53" t="s">
        <v>97</v>
      </c>
      <c r="AB31" s="53" t="s">
        <v>317</v>
      </c>
      <c r="AV31" s="27"/>
    </row>
    <row r="32" spans="1:48" x14ac:dyDescent="0.15">
      <c r="A32" s="53" t="s">
        <v>59</v>
      </c>
      <c r="B32" s="53" t="s">
        <v>232</v>
      </c>
      <c r="C32" s="62">
        <v>2019</v>
      </c>
      <c r="D32" s="137" t="s">
        <v>314</v>
      </c>
      <c r="E32" s="53" t="s">
        <v>162</v>
      </c>
      <c r="F32" s="53" t="s">
        <v>336</v>
      </c>
      <c r="G32" s="53" t="s">
        <v>36</v>
      </c>
      <c r="H32" s="53" t="s">
        <v>160</v>
      </c>
      <c r="I32" s="53" t="s">
        <v>159</v>
      </c>
      <c r="J32" s="53" t="s">
        <v>38</v>
      </c>
      <c r="K32" s="53" t="s">
        <v>161</v>
      </c>
      <c r="L32" s="53">
        <v>1</v>
      </c>
      <c r="N32" s="53">
        <v>4</v>
      </c>
      <c r="O32" s="53">
        <v>0.41</v>
      </c>
      <c r="P32" s="53">
        <v>0.48</v>
      </c>
      <c r="Q32" s="74">
        <f t="shared" si="2"/>
        <v>0.44499999999999995</v>
      </c>
      <c r="R32" s="53">
        <v>16.899999999999999</v>
      </c>
      <c r="S32" s="53">
        <v>96</v>
      </c>
      <c r="T32" s="16">
        <f t="shared" si="0"/>
        <v>36</v>
      </c>
      <c r="U32" s="53">
        <v>398</v>
      </c>
      <c r="V32" s="16">
        <f t="shared" si="1"/>
        <v>16</v>
      </c>
      <c r="W32" s="53">
        <v>10</v>
      </c>
      <c r="X32" s="53" t="s">
        <v>46</v>
      </c>
      <c r="Y32" s="53" t="s">
        <v>55</v>
      </c>
      <c r="Z32" s="53" t="s">
        <v>69</v>
      </c>
      <c r="AA32" s="53" t="s">
        <v>47</v>
      </c>
      <c r="AB32" s="53" t="s">
        <v>317</v>
      </c>
      <c r="AV32" s="27"/>
    </row>
    <row r="33" spans="1:48" x14ac:dyDescent="0.15">
      <c r="A33" s="53" t="s">
        <v>59</v>
      </c>
      <c r="B33" s="53" t="s">
        <v>232</v>
      </c>
      <c r="C33" s="62">
        <v>2019</v>
      </c>
      <c r="D33" s="137" t="s">
        <v>314</v>
      </c>
      <c r="E33" s="53" t="s">
        <v>162</v>
      </c>
      <c r="F33" s="53" t="s">
        <v>336</v>
      </c>
      <c r="G33" s="53" t="s">
        <v>36</v>
      </c>
      <c r="H33" s="53" t="s">
        <v>160</v>
      </c>
      <c r="I33" s="53" t="s">
        <v>159</v>
      </c>
      <c r="J33" s="53" t="s">
        <v>38</v>
      </c>
      <c r="K33" s="53" t="s">
        <v>161</v>
      </c>
      <c r="L33" s="53">
        <v>2</v>
      </c>
      <c r="N33" s="53">
        <v>4</v>
      </c>
      <c r="O33" s="53">
        <v>0.46</v>
      </c>
      <c r="P33" s="53">
        <v>0.55000000000000004</v>
      </c>
      <c r="Q33" s="74">
        <f t="shared" si="2"/>
        <v>0.505</v>
      </c>
      <c r="R33" s="53">
        <v>14.8</v>
      </c>
      <c r="S33" s="53">
        <v>99</v>
      </c>
      <c r="T33" s="16">
        <f t="shared" si="0"/>
        <v>33</v>
      </c>
      <c r="U33" s="53">
        <v>398</v>
      </c>
      <c r="V33" s="16">
        <f t="shared" si="1"/>
        <v>16</v>
      </c>
      <c r="W33" s="53">
        <v>10</v>
      </c>
      <c r="X33" s="53" t="s">
        <v>46</v>
      </c>
      <c r="Y33" s="53" t="s">
        <v>55</v>
      </c>
      <c r="Z33" s="53" t="s">
        <v>69</v>
      </c>
      <c r="AA33" s="53" t="s">
        <v>47</v>
      </c>
      <c r="AB33" s="53" t="s">
        <v>317</v>
      </c>
      <c r="AV33" s="27"/>
    </row>
    <row r="34" spans="1:48" x14ac:dyDescent="0.15">
      <c r="A34" s="53" t="s">
        <v>59</v>
      </c>
      <c r="B34" s="53" t="s">
        <v>232</v>
      </c>
      <c r="C34" s="62">
        <v>2019</v>
      </c>
      <c r="D34" s="137" t="s">
        <v>314</v>
      </c>
      <c r="E34" s="53" t="s">
        <v>162</v>
      </c>
      <c r="F34" s="53" t="s">
        <v>336</v>
      </c>
      <c r="G34" s="53" t="s">
        <v>36</v>
      </c>
      <c r="H34" s="53" t="s">
        <v>160</v>
      </c>
      <c r="I34" s="53" t="s">
        <v>159</v>
      </c>
      <c r="J34" s="53" t="s">
        <v>38</v>
      </c>
      <c r="K34" s="53" t="s">
        <v>161</v>
      </c>
      <c r="L34" s="53">
        <v>3</v>
      </c>
      <c r="N34" s="53">
        <v>4</v>
      </c>
      <c r="O34" s="53">
        <v>0.45</v>
      </c>
      <c r="P34" s="53">
        <v>0.4</v>
      </c>
      <c r="Q34" s="74">
        <f t="shared" si="2"/>
        <v>0.42500000000000004</v>
      </c>
      <c r="R34" s="53">
        <v>14.4</v>
      </c>
      <c r="S34" s="53">
        <v>90</v>
      </c>
      <c r="T34" s="16">
        <f t="shared" si="0"/>
        <v>36</v>
      </c>
      <c r="U34" s="53">
        <v>398</v>
      </c>
      <c r="V34" s="16">
        <f t="shared" si="1"/>
        <v>16</v>
      </c>
      <c r="W34" s="53">
        <v>10</v>
      </c>
      <c r="X34" s="53" t="s">
        <v>46</v>
      </c>
      <c r="Y34" s="53" t="s">
        <v>55</v>
      </c>
      <c r="Z34" s="53" t="s">
        <v>69</v>
      </c>
      <c r="AA34" s="53" t="s">
        <v>47</v>
      </c>
      <c r="AB34" s="53" t="s">
        <v>317</v>
      </c>
      <c r="AV34" s="27"/>
    </row>
    <row r="35" spans="1:48" x14ac:dyDescent="0.15">
      <c r="A35" s="53" t="s">
        <v>59</v>
      </c>
      <c r="B35" s="53" t="s">
        <v>232</v>
      </c>
      <c r="C35" s="62">
        <v>2019</v>
      </c>
      <c r="D35" s="137" t="s">
        <v>314</v>
      </c>
      <c r="E35" s="53" t="s">
        <v>162</v>
      </c>
      <c r="F35" s="53" t="s">
        <v>336</v>
      </c>
      <c r="G35" s="53" t="s">
        <v>36</v>
      </c>
      <c r="H35" s="53" t="s">
        <v>165</v>
      </c>
      <c r="I35" s="53" t="s">
        <v>159</v>
      </c>
      <c r="J35" s="53" t="s">
        <v>38</v>
      </c>
      <c r="K35" s="53" t="s">
        <v>161</v>
      </c>
      <c r="L35" s="53">
        <v>1</v>
      </c>
      <c r="N35" s="53">
        <v>4</v>
      </c>
      <c r="O35" s="53">
        <v>0.62</v>
      </c>
      <c r="P35" s="53">
        <v>0.69</v>
      </c>
      <c r="Q35" s="74">
        <f t="shared" si="2"/>
        <v>0.65500000000000003</v>
      </c>
      <c r="R35" s="53">
        <v>14.8</v>
      </c>
      <c r="S35" s="53">
        <v>107</v>
      </c>
      <c r="T35" s="16">
        <f t="shared" si="0"/>
        <v>33</v>
      </c>
      <c r="U35" s="53">
        <v>298</v>
      </c>
      <c r="V35" s="16">
        <f t="shared" si="1"/>
        <v>16</v>
      </c>
      <c r="W35" s="53">
        <v>3</v>
      </c>
      <c r="X35" s="53" t="s">
        <v>46</v>
      </c>
      <c r="Y35" s="53" t="s">
        <v>55</v>
      </c>
      <c r="Z35" s="53" t="s">
        <v>69</v>
      </c>
      <c r="AA35" s="53" t="s">
        <v>47</v>
      </c>
      <c r="AB35" s="53" t="s">
        <v>317</v>
      </c>
      <c r="AV35" s="27"/>
    </row>
    <row r="36" spans="1:48" x14ac:dyDescent="0.15">
      <c r="A36" s="53" t="s">
        <v>59</v>
      </c>
      <c r="B36" s="53" t="s">
        <v>232</v>
      </c>
      <c r="C36" s="62">
        <v>2019</v>
      </c>
      <c r="D36" s="137" t="s">
        <v>314</v>
      </c>
      <c r="E36" s="53" t="s">
        <v>162</v>
      </c>
      <c r="F36" s="53" t="s">
        <v>336</v>
      </c>
      <c r="G36" s="53" t="s">
        <v>36</v>
      </c>
      <c r="H36" s="53" t="s">
        <v>165</v>
      </c>
      <c r="I36" s="53" t="s">
        <v>159</v>
      </c>
      <c r="J36" s="53" t="s">
        <v>38</v>
      </c>
      <c r="K36" s="53" t="s">
        <v>161</v>
      </c>
      <c r="L36" s="53">
        <v>2</v>
      </c>
      <c r="N36" s="53">
        <v>4</v>
      </c>
      <c r="O36" s="53">
        <v>0.35</v>
      </c>
      <c r="P36" s="53">
        <v>0.46</v>
      </c>
      <c r="Q36" s="74">
        <f t="shared" si="2"/>
        <v>0.40500000000000003</v>
      </c>
      <c r="R36" s="53">
        <v>14.3</v>
      </c>
      <c r="S36" s="53">
        <v>105</v>
      </c>
      <c r="T36" s="16">
        <f t="shared" si="0"/>
        <v>33</v>
      </c>
      <c r="U36" s="53">
        <v>298</v>
      </c>
      <c r="V36" s="16">
        <f t="shared" si="1"/>
        <v>16</v>
      </c>
      <c r="W36" s="53">
        <v>3</v>
      </c>
      <c r="X36" s="53" t="s">
        <v>46</v>
      </c>
      <c r="Y36" s="53" t="s">
        <v>55</v>
      </c>
      <c r="Z36" s="53" t="s">
        <v>69</v>
      </c>
      <c r="AA36" s="53" t="s">
        <v>47</v>
      </c>
      <c r="AB36" s="53" t="s">
        <v>317</v>
      </c>
      <c r="AV36" s="27"/>
    </row>
    <row r="37" spans="1:48" x14ac:dyDescent="0.15">
      <c r="A37" s="53" t="s">
        <v>59</v>
      </c>
      <c r="B37" s="53" t="s">
        <v>232</v>
      </c>
      <c r="C37" s="62">
        <v>2019</v>
      </c>
      <c r="D37" s="137" t="s">
        <v>314</v>
      </c>
      <c r="E37" s="53" t="s">
        <v>162</v>
      </c>
      <c r="F37" s="53" t="s">
        <v>336</v>
      </c>
      <c r="G37" s="53" t="s">
        <v>36</v>
      </c>
      <c r="H37" s="53" t="s">
        <v>165</v>
      </c>
      <c r="I37" s="53" t="s">
        <v>159</v>
      </c>
      <c r="J37" s="53" t="s">
        <v>38</v>
      </c>
      <c r="K37" s="53" t="s">
        <v>161</v>
      </c>
      <c r="L37" s="53">
        <v>3</v>
      </c>
      <c r="N37" s="53">
        <v>4</v>
      </c>
      <c r="O37" s="53">
        <v>0.61</v>
      </c>
      <c r="P37" s="53">
        <v>0.66</v>
      </c>
      <c r="Q37" s="74">
        <f t="shared" si="2"/>
        <v>0.63500000000000001</v>
      </c>
      <c r="R37" s="53">
        <v>14.2</v>
      </c>
      <c r="S37" s="53">
        <v>106</v>
      </c>
      <c r="T37" s="16">
        <f t="shared" si="0"/>
        <v>33</v>
      </c>
      <c r="U37" s="53">
        <v>298</v>
      </c>
      <c r="V37" s="16">
        <f t="shared" si="1"/>
        <v>16</v>
      </c>
      <c r="W37" s="53">
        <v>3</v>
      </c>
      <c r="X37" s="53" t="s">
        <v>46</v>
      </c>
      <c r="Y37" s="53" t="s">
        <v>55</v>
      </c>
      <c r="Z37" s="53" t="s">
        <v>69</v>
      </c>
      <c r="AA37" s="53" t="s">
        <v>47</v>
      </c>
      <c r="AB37" s="53" t="s">
        <v>317</v>
      </c>
      <c r="AV37" s="27"/>
    </row>
    <row r="38" spans="1:48" x14ac:dyDescent="0.15">
      <c r="A38" s="53" t="s">
        <v>59</v>
      </c>
      <c r="B38" s="53" t="s">
        <v>232</v>
      </c>
      <c r="C38" s="62">
        <v>2019</v>
      </c>
      <c r="D38" s="137" t="s">
        <v>314</v>
      </c>
      <c r="E38" s="53" t="s">
        <v>333</v>
      </c>
      <c r="F38" s="53" t="s">
        <v>334</v>
      </c>
      <c r="G38" s="53" t="s">
        <v>36</v>
      </c>
      <c r="H38" s="53" t="s">
        <v>160</v>
      </c>
      <c r="I38" s="53" t="s">
        <v>159</v>
      </c>
      <c r="J38" s="53" t="s">
        <v>38</v>
      </c>
      <c r="K38" s="53" t="s">
        <v>161</v>
      </c>
      <c r="L38" s="53">
        <v>1</v>
      </c>
      <c r="N38" s="53">
        <v>3</v>
      </c>
      <c r="O38" s="53">
        <v>0.63</v>
      </c>
      <c r="P38" s="53">
        <v>0.65</v>
      </c>
      <c r="Q38" s="74">
        <f t="shared" si="2"/>
        <v>0.64</v>
      </c>
      <c r="R38" s="53">
        <v>18.399999999999999</v>
      </c>
      <c r="S38" s="53">
        <v>126</v>
      </c>
      <c r="T38" s="16">
        <f t="shared" si="0"/>
        <v>27</v>
      </c>
      <c r="U38" s="53">
        <v>380</v>
      </c>
      <c r="V38" s="16">
        <f t="shared" si="1"/>
        <v>16</v>
      </c>
      <c r="W38" s="53">
        <v>6</v>
      </c>
      <c r="X38" s="53" t="s">
        <v>39</v>
      </c>
      <c r="Y38" s="53" t="s">
        <v>90</v>
      </c>
      <c r="Z38" s="53" t="s">
        <v>69</v>
      </c>
      <c r="AA38" s="53" t="s">
        <v>351</v>
      </c>
      <c r="AB38" s="53" t="s">
        <v>317</v>
      </c>
      <c r="AV38" s="27"/>
    </row>
    <row r="39" spans="1:48" x14ac:dyDescent="0.15">
      <c r="A39" s="53" t="s">
        <v>59</v>
      </c>
      <c r="B39" s="53" t="s">
        <v>232</v>
      </c>
      <c r="C39" s="62">
        <v>2019</v>
      </c>
      <c r="D39" s="137" t="s">
        <v>314</v>
      </c>
      <c r="E39" s="53" t="s">
        <v>333</v>
      </c>
      <c r="F39" s="53" t="s">
        <v>334</v>
      </c>
      <c r="G39" s="53" t="s">
        <v>36</v>
      </c>
      <c r="H39" s="53" t="s">
        <v>160</v>
      </c>
      <c r="I39" s="53" t="s">
        <v>159</v>
      </c>
      <c r="J39" s="53" t="s">
        <v>38</v>
      </c>
      <c r="K39" s="53" t="s">
        <v>161</v>
      </c>
      <c r="L39" s="53">
        <v>2</v>
      </c>
      <c r="N39" s="53">
        <v>3</v>
      </c>
      <c r="O39" s="53">
        <v>0.56999999999999995</v>
      </c>
      <c r="P39" s="53">
        <v>0.66</v>
      </c>
      <c r="Q39" s="74">
        <f t="shared" si="2"/>
        <v>0.61499999999999999</v>
      </c>
      <c r="R39" s="53">
        <v>15.8</v>
      </c>
      <c r="S39" s="53">
        <v>137</v>
      </c>
      <c r="T39" s="16">
        <f t="shared" si="0"/>
        <v>25</v>
      </c>
      <c r="U39" s="53">
        <v>380</v>
      </c>
      <c r="V39" s="16">
        <f t="shared" si="1"/>
        <v>16</v>
      </c>
      <c r="W39" s="53">
        <v>6</v>
      </c>
      <c r="X39" s="53" t="s">
        <v>39</v>
      </c>
      <c r="Y39" s="53" t="s">
        <v>90</v>
      </c>
      <c r="Z39" s="53" t="s">
        <v>69</v>
      </c>
      <c r="AA39" s="53" t="s">
        <v>351</v>
      </c>
      <c r="AB39" s="53" t="s">
        <v>317</v>
      </c>
      <c r="AV39" s="27"/>
    </row>
    <row r="40" spans="1:48" x14ac:dyDescent="0.15">
      <c r="A40" s="53" t="s">
        <v>59</v>
      </c>
      <c r="B40" s="53" t="s">
        <v>232</v>
      </c>
      <c r="C40" s="62">
        <v>2019</v>
      </c>
      <c r="D40" s="137" t="s">
        <v>314</v>
      </c>
      <c r="E40" s="53" t="s">
        <v>333</v>
      </c>
      <c r="F40" s="53" t="s">
        <v>334</v>
      </c>
      <c r="G40" s="53" t="s">
        <v>36</v>
      </c>
      <c r="H40" s="53" t="s">
        <v>160</v>
      </c>
      <c r="I40" s="53" t="s">
        <v>159</v>
      </c>
      <c r="J40" s="53" t="s">
        <v>38</v>
      </c>
      <c r="K40" s="53" t="s">
        <v>161</v>
      </c>
      <c r="L40" s="53">
        <v>3</v>
      </c>
      <c r="N40" s="53">
        <v>3</v>
      </c>
      <c r="O40" s="53">
        <v>0.62</v>
      </c>
      <c r="P40" s="53">
        <v>0.67</v>
      </c>
      <c r="Q40" s="74">
        <f t="shared" si="2"/>
        <v>0.64500000000000002</v>
      </c>
      <c r="R40" s="53">
        <v>16.8</v>
      </c>
      <c r="S40" s="53">
        <v>124</v>
      </c>
      <c r="T40" s="16">
        <f t="shared" si="0"/>
        <v>27</v>
      </c>
      <c r="U40" s="53">
        <v>380</v>
      </c>
      <c r="V40" s="16">
        <f t="shared" si="1"/>
        <v>16</v>
      </c>
      <c r="W40" s="53">
        <v>6</v>
      </c>
      <c r="X40" s="53" t="s">
        <v>39</v>
      </c>
      <c r="Y40" s="53" t="s">
        <v>90</v>
      </c>
      <c r="Z40" s="53" t="s">
        <v>69</v>
      </c>
      <c r="AA40" s="53" t="s">
        <v>351</v>
      </c>
      <c r="AB40" s="53" t="s">
        <v>317</v>
      </c>
      <c r="AV40" s="27"/>
    </row>
    <row r="41" spans="1:48" x14ac:dyDescent="0.15">
      <c r="A41" s="53" t="s">
        <v>59</v>
      </c>
      <c r="B41" s="53" t="s">
        <v>232</v>
      </c>
      <c r="C41" s="62">
        <v>2019</v>
      </c>
      <c r="D41" s="137" t="s">
        <v>314</v>
      </c>
      <c r="E41" s="53" t="s">
        <v>333</v>
      </c>
      <c r="F41" s="53" t="s">
        <v>334</v>
      </c>
      <c r="G41" s="53" t="s">
        <v>36</v>
      </c>
      <c r="H41" s="53" t="s">
        <v>165</v>
      </c>
      <c r="I41" s="53" t="s">
        <v>159</v>
      </c>
      <c r="J41" s="53" t="s">
        <v>38</v>
      </c>
      <c r="K41" s="53" t="s">
        <v>161</v>
      </c>
      <c r="L41" s="53">
        <v>1</v>
      </c>
      <c r="N41" s="53">
        <v>3</v>
      </c>
      <c r="O41" s="53">
        <v>0.69</v>
      </c>
      <c r="P41" s="53">
        <v>0.74</v>
      </c>
      <c r="Q41" s="74">
        <f t="shared" si="2"/>
        <v>0.71499999999999997</v>
      </c>
      <c r="R41" s="53">
        <v>15.2</v>
      </c>
      <c r="S41" s="53">
        <v>130</v>
      </c>
      <c r="T41" s="16">
        <f t="shared" si="0"/>
        <v>25</v>
      </c>
      <c r="U41" s="53">
        <v>399</v>
      </c>
      <c r="V41" s="16">
        <f t="shared" si="1"/>
        <v>16</v>
      </c>
      <c r="W41" s="53">
        <v>5</v>
      </c>
      <c r="X41" s="53" t="s">
        <v>39</v>
      </c>
      <c r="Y41" s="53" t="s">
        <v>90</v>
      </c>
      <c r="Z41" s="53" t="s">
        <v>69</v>
      </c>
      <c r="AA41" s="53" t="s">
        <v>351</v>
      </c>
      <c r="AB41" s="53" t="s">
        <v>317</v>
      </c>
      <c r="AV41" s="27"/>
    </row>
    <row r="42" spans="1:48" x14ac:dyDescent="0.15">
      <c r="A42" s="53" t="s">
        <v>59</v>
      </c>
      <c r="B42" s="53" t="s">
        <v>232</v>
      </c>
      <c r="C42" s="62">
        <v>2019</v>
      </c>
      <c r="D42" s="137" t="s">
        <v>314</v>
      </c>
      <c r="E42" s="53" t="s">
        <v>333</v>
      </c>
      <c r="F42" s="53" t="s">
        <v>334</v>
      </c>
      <c r="G42" s="53" t="s">
        <v>36</v>
      </c>
      <c r="H42" s="53" t="s">
        <v>165</v>
      </c>
      <c r="I42" s="53" t="s">
        <v>159</v>
      </c>
      <c r="J42" s="53" t="s">
        <v>38</v>
      </c>
      <c r="K42" s="53" t="s">
        <v>161</v>
      </c>
      <c r="L42" s="53">
        <v>2</v>
      </c>
      <c r="N42" s="53">
        <v>3</v>
      </c>
      <c r="O42" s="53">
        <v>0.8</v>
      </c>
      <c r="P42" s="53">
        <v>0.87</v>
      </c>
      <c r="Q42" s="74">
        <f t="shared" si="2"/>
        <v>0.83499999999999996</v>
      </c>
      <c r="R42" s="53">
        <v>13.1</v>
      </c>
      <c r="S42" s="53">
        <v>131</v>
      </c>
      <c r="T42" s="16">
        <f t="shared" si="0"/>
        <v>25</v>
      </c>
      <c r="U42" s="53">
        <v>399</v>
      </c>
      <c r="V42" s="16">
        <f t="shared" si="1"/>
        <v>16</v>
      </c>
      <c r="W42" s="53">
        <v>5</v>
      </c>
      <c r="X42" s="53" t="s">
        <v>39</v>
      </c>
      <c r="Y42" s="53" t="s">
        <v>90</v>
      </c>
      <c r="Z42" s="53" t="s">
        <v>69</v>
      </c>
      <c r="AA42" s="53" t="s">
        <v>351</v>
      </c>
      <c r="AB42" s="53" t="s">
        <v>317</v>
      </c>
      <c r="AV42" s="27"/>
    </row>
    <row r="43" spans="1:48" x14ac:dyDescent="0.15">
      <c r="A43" s="53" t="s">
        <v>59</v>
      </c>
      <c r="B43" s="53" t="s">
        <v>232</v>
      </c>
      <c r="C43" s="62">
        <v>2019</v>
      </c>
      <c r="D43" s="137" t="s">
        <v>314</v>
      </c>
      <c r="E43" s="53" t="s">
        <v>333</v>
      </c>
      <c r="F43" s="53" t="s">
        <v>334</v>
      </c>
      <c r="G43" s="53" t="s">
        <v>36</v>
      </c>
      <c r="H43" s="53" t="s">
        <v>165</v>
      </c>
      <c r="I43" s="53" t="s">
        <v>159</v>
      </c>
      <c r="J43" s="53" t="s">
        <v>38</v>
      </c>
      <c r="K43" s="53" t="s">
        <v>161</v>
      </c>
      <c r="L43" s="53">
        <v>3</v>
      </c>
      <c r="N43" s="53">
        <v>3</v>
      </c>
      <c r="O43" s="53">
        <v>0.73</v>
      </c>
      <c r="P43" s="53">
        <v>0.79</v>
      </c>
      <c r="Q43" s="74">
        <f t="shared" si="2"/>
        <v>0.76</v>
      </c>
      <c r="R43" s="53">
        <v>13.7</v>
      </c>
      <c r="S43" s="53">
        <v>136</v>
      </c>
      <c r="T43" s="16">
        <f t="shared" si="0"/>
        <v>25</v>
      </c>
      <c r="U43" s="53">
        <v>399</v>
      </c>
      <c r="V43" s="16">
        <f t="shared" si="1"/>
        <v>16</v>
      </c>
      <c r="W43" s="53">
        <v>5</v>
      </c>
      <c r="X43" s="53" t="s">
        <v>39</v>
      </c>
      <c r="Y43" s="53" t="s">
        <v>90</v>
      </c>
      <c r="Z43" s="53" t="s">
        <v>69</v>
      </c>
      <c r="AA43" s="53" t="s">
        <v>351</v>
      </c>
      <c r="AB43" s="53" t="s">
        <v>317</v>
      </c>
      <c r="AV43" s="27"/>
    </row>
    <row r="44" spans="1:48" x14ac:dyDescent="0.15">
      <c r="A44" s="53" t="s">
        <v>59</v>
      </c>
      <c r="B44" s="53" t="s">
        <v>232</v>
      </c>
      <c r="C44" s="62">
        <v>2019</v>
      </c>
      <c r="D44" s="137" t="s">
        <v>314</v>
      </c>
      <c r="E44" s="53" t="s">
        <v>324</v>
      </c>
      <c r="F44" s="53" t="s">
        <v>325</v>
      </c>
      <c r="G44" s="53" t="s">
        <v>36</v>
      </c>
      <c r="H44" s="53" t="s">
        <v>160</v>
      </c>
      <c r="I44" s="53" t="s">
        <v>159</v>
      </c>
      <c r="J44" s="53" t="s">
        <v>38</v>
      </c>
      <c r="K44" s="53" t="s">
        <v>161</v>
      </c>
      <c r="L44" s="53">
        <v>1</v>
      </c>
      <c r="N44" s="53">
        <v>4</v>
      </c>
      <c r="O44" s="53">
        <v>0.45</v>
      </c>
      <c r="P44" s="53">
        <v>0.38</v>
      </c>
      <c r="Q44" s="74">
        <f t="shared" si="2"/>
        <v>0.41500000000000004</v>
      </c>
      <c r="R44" s="53">
        <v>17.8</v>
      </c>
      <c r="S44" s="53">
        <v>102</v>
      </c>
      <c r="T44" s="16">
        <f t="shared" si="0"/>
        <v>33</v>
      </c>
      <c r="U44" s="53">
        <v>315</v>
      </c>
      <c r="V44" s="16">
        <f t="shared" si="1"/>
        <v>16</v>
      </c>
      <c r="W44" s="53">
        <v>1</v>
      </c>
      <c r="X44" s="53" t="s">
        <v>39</v>
      </c>
      <c r="Y44" s="53" t="s">
        <v>351</v>
      </c>
      <c r="Z44" s="53" t="s">
        <v>69</v>
      </c>
      <c r="AA44" s="53" t="s">
        <v>40</v>
      </c>
      <c r="AB44" s="53" t="s">
        <v>317</v>
      </c>
      <c r="AV44" s="27"/>
    </row>
    <row r="45" spans="1:48" x14ac:dyDescent="0.15">
      <c r="A45" s="53" t="s">
        <v>59</v>
      </c>
      <c r="B45" s="53" t="s">
        <v>232</v>
      </c>
      <c r="C45" s="62">
        <v>2019</v>
      </c>
      <c r="D45" s="137" t="s">
        <v>314</v>
      </c>
      <c r="E45" s="53" t="s">
        <v>324</v>
      </c>
      <c r="F45" s="53" t="s">
        <v>325</v>
      </c>
      <c r="G45" s="53" t="s">
        <v>36</v>
      </c>
      <c r="H45" s="53" t="s">
        <v>160</v>
      </c>
      <c r="I45" s="53" t="s">
        <v>159</v>
      </c>
      <c r="J45" s="53" t="s">
        <v>38</v>
      </c>
      <c r="K45" s="53" t="s">
        <v>161</v>
      </c>
      <c r="L45" s="53">
        <v>2</v>
      </c>
      <c r="N45" s="53">
        <v>4</v>
      </c>
      <c r="O45" s="53">
        <v>0.4</v>
      </c>
      <c r="P45" s="53">
        <v>0.43</v>
      </c>
      <c r="Q45" s="74">
        <f t="shared" si="2"/>
        <v>0.41500000000000004</v>
      </c>
      <c r="R45" s="53">
        <v>18</v>
      </c>
      <c r="S45" s="53">
        <v>105</v>
      </c>
      <c r="T45" s="16">
        <f t="shared" si="0"/>
        <v>33</v>
      </c>
      <c r="U45" s="53">
        <v>315</v>
      </c>
      <c r="V45" s="16">
        <f t="shared" si="1"/>
        <v>16</v>
      </c>
      <c r="W45" s="53">
        <v>1</v>
      </c>
      <c r="X45" s="53" t="s">
        <v>39</v>
      </c>
      <c r="Y45" s="53" t="s">
        <v>351</v>
      </c>
      <c r="Z45" s="53" t="s">
        <v>69</v>
      </c>
      <c r="AA45" s="53" t="s">
        <v>40</v>
      </c>
      <c r="AB45" s="53" t="s">
        <v>317</v>
      </c>
      <c r="AV45" s="27"/>
    </row>
    <row r="46" spans="1:48" x14ac:dyDescent="0.15">
      <c r="A46" s="53" t="s">
        <v>59</v>
      </c>
      <c r="B46" s="53" t="s">
        <v>232</v>
      </c>
      <c r="C46" s="62">
        <v>2019</v>
      </c>
      <c r="D46" s="137" t="s">
        <v>314</v>
      </c>
      <c r="E46" s="53" t="s">
        <v>324</v>
      </c>
      <c r="F46" s="53" t="s">
        <v>325</v>
      </c>
      <c r="G46" s="53" t="s">
        <v>36</v>
      </c>
      <c r="H46" s="53" t="s">
        <v>160</v>
      </c>
      <c r="I46" s="53" t="s">
        <v>159</v>
      </c>
      <c r="J46" s="53" t="s">
        <v>38</v>
      </c>
      <c r="K46" s="53" t="s">
        <v>161</v>
      </c>
      <c r="L46" s="53">
        <v>3</v>
      </c>
      <c r="N46" s="53">
        <v>4</v>
      </c>
      <c r="O46" s="53">
        <v>0.41</v>
      </c>
      <c r="P46" s="53">
        <v>0.48</v>
      </c>
      <c r="Q46" s="74">
        <f t="shared" si="2"/>
        <v>0.44499999999999995</v>
      </c>
      <c r="R46" s="53">
        <v>17.7</v>
      </c>
      <c r="S46" s="53">
        <v>94</v>
      </c>
      <c r="T46" s="16">
        <f t="shared" si="0"/>
        <v>36</v>
      </c>
      <c r="U46" s="53">
        <v>315</v>
      </c>
      <c r="V46" s="16">
        <f t="shared" si="1"/>
        <v>16</v>
      </c>
      <c r="W46" s="53">
        <v>1</v>
      </c>
      <c r="X46" s="53" t="s">
        <v>39</v>
      </c>
      <c r="Y46" s="53" t="s">
        <v>351</v>
      </c>
      <c r="Z46" s="53" t="s">
        <v>69</v>
      </c>
      <c r="AA46" s="53" t="s">
        <v>40</v>
      </c>
      <c r="AB46" s="53" t="s">
        <v>317</v>
      </c>
      <c r="AV46" s="27"/>
    </row>
    <row r="47" spans="1:48" x14ac:dyDescent="0.15">
      <c r="A47" s="53" t="s">
        <v>59</v>
      </c>
      <c r="B47" s="53" t="s">
        <v>232</v>
      </c>
      <c r="C47" s="62">
        <v>2019</v>
      </c>
      <c r="D47" s="137" t="s">
        <v>314</v>
      </c>
      <c r="E47" s="53" t="s">
        <v>324</v>
      </c>
      <c r="F47" s="53" t="s">
        <v>325</v>
      </c>
      <c r="G47" s="53" t="s">
        <v>36</v>
      </c>
      <c r="H47" s="53" t="s">
        <v>165</v>
      </c>
      <c r="I47" s="53" t="s">
        <v>159</v>
      </c>
      <c r="J47" s="53" t="s">
        <v>38</v>
      </c>
      <c r="K47" s="53" t="s">
        <v>161</v>
      </c>
      <c r="L47" s="53">
        <v>1</v>
      </c>
      <c r="N47" s="53">
        <v>1</v>
      </c>
      <c r="O47" s="53">
        <v>0.55000000000000004</v>
      </c>
      <c r="P47" s="53">
        <v>0.46</v>
      </c>
      <c r="Q47" s="74">
        <f t="shared" si="2"/>
        <v>0.505</v>
      </c>
      <c r="R47" s="53">
        <v>15.8</v>
      </c>
      <c r="S47" s="53">
        <v>134</v>
      </c>
      <c r="T47" s="16">
        <f t="shared" si="0"/>
        <v>25</v>
      </c>
      <c r="U47" s="53">
        <v>105</v>
      </c>
      <c r="V47" s="16">
        <f t="shared" si="1"/>
        <v>33</v>
      </c>
      <c r="W47" s="53">
        <v>1</v>
      </c>
      <c r="X47" s="53" t="s">
        <v>39</v>
      </c>
      <c r="Y47" s="53" t="s">
        <v>351</v>
      </c>
      <c r="Z47" s="53" t="s">
        <v>69</v>
      </c>
      <c r="AA47" s="53" t="s">
        <v>40</v>
      </c>
      <c r="AB47" s="53" t="s">
        <v>317</v>
      </c>
      <c r="AV47" s="27"/>
    </row>
    <row r="48" spans="1:48" x14ac:dyDescent="0.15">
      <c r="A48" s="53" t="s">
        <v>59</v>
      </c>
      <c r="B48" s="53" t="s">
        <v>232</v>
      </c>
      <c r="C48" s="62">
        <v>2019</v>
      </c>
      <c r="D48" s="137" t="s">
        <v>314</v>
      </c>
      <c r="E48" s="53" t="s">
        <v>324</v>
      </c>
      <c r="F48" s="53" t="s">
        <v>325</v>
      </c>
      <c r="G48" s="53" t="s">
        <v>36</v>
      </c>
      <c r="H48" s="53" t="s">
        <v>165</v>
      </c>
      <c r="I48" s="53" t="s">
        <v>159</v>
      </c>
      <c r="J48" s="53" t="s">
        <v>38</v>
      </c>
      <c r="K48" s="53" t="s">
        <v>161</v>
      </c>
      <c r="L48" s="53">
        <v>2</v>
      </c>
      <c r="N48" s="53">
        <v>1</v>
      </c>
      <c r="O48" s="53">
        <v>0.49</v>
      </c>
      <c r="P48" s="53">
        <v>0.48</v>
      </c>
      <c r="Q48" s="74">
        <f t="shared" si="2"/>
        <v>0.48499999999999999</v>
      </c>
      <c r="R48" s="53">
        <v>15</v>
      </c>
      <c r="S48" s="53">
        <v>130</v>
      </c>
      <c r="T48" s="16">
        <f t="shared" si="0"/>
        <v>25</v>
      </c>
      <c r="U48" s="53">
        <v>105</v>
      </c>
      <c r="V48" s="16">
        <f t="shared" si="1"/>
        <v>33</v>
      </c>
      <c r="W48" s="53">
        <v>1</v>
      </c>
      <c r="X48" s="53" t="s">
        <v>39</v>
      </c>
      <c r="Y48" s="53" t="s">
        <v>351</v>
      </c>
      <c r="Z48" s="53" t="s">
        <v>69</v>
      </c>
      <c r="AA48" s="53" t="s">
        <v>40</v>
      </c>
      <c r="AB48" s="53" t="s">
        <v>317</v>
      </c>
      <c r="AV48" s="27"/>
    </row>
    <row r="49" spans="1:48" x14ac:dyDescent="0.15">
      <c r="A49" s="53" t="s">
        <v>59</v>
      </c>
      <c r="B49" s="53" t="s">
        <v>232</v>
      </c>
      <c r="C49" s="62">
        <v>2019</v>
      </c>
      <c r="D49" s="137" t="s">
        <v>314</v>
      </c>
      <c r="E49" s="53" t="s">
        <v>324</v>
      </c>
      <c r="F49" s="53" t="s">
        <v>325</v>
      </c>
      <c r="G49" s="53" t="s">
        <v>36</v>
      </c>
      <c r="H49" s="53" t="s">
        <v>165</v>
      </c>
      <c r="I49" s="53" t="s">
        <v>159</v>
      </c>
      <c r="J49" s="53" t="s">
        <v>38</v>
      </c>
      <c r="K49" s="53" t="s">
        <v>161</v>
      </c>
      <c r="L49" s="53">
        <v>3</v>
      </c>
      <c r="N49" s="53">
        <v>1</v>
      </c>
      <c r="O49" s="53">
        <v>0.5</v>
      </c>
      <c r="P49" s="53">
        <v>0.44</v>
      </c>
      <c r="Q49" s="74">
        <f t="shared" si="2"/>
        <v>0.47</v>
      </c>
      <c r="R49" s="53">
        <v>15.3</v>
      </c>
      <c r="S49" s="53">
        <v>136</v>
      </c>
      <c r="T49" s="16">
        <f t="shared" si="0"/>
        <v>25</v>
      </c>
      <c r="U49" s="53">
        <v>105</v>
      </c>
      <c r="V49" s="16">
        <f t="shared" si="1"/>
        <v>33</v>
      </c>
      <c r="W49" s="53">
        <v>1</v>
      </c>
      <c r="X49" s="53" t="s">
        <v>39</v>
      </c>
      <c r="Y49" s="53" t="s">
        <v>351</v>
      </c>
      <c r="Z49" s="53" t="s">
        <v>69</v>
      </c>
      <c r="AA49" s="53" t="s">
        <v>40</v>
      </c>
      <c r="AB49" s="53" t="s">
        <v>317</v>
      </c>
      <c r="AV49" s="27"/>
    </row>
    <row r="50" spans="1:48" x14ac:dyDescent="0.15">
      <c r="A50" s="53" t="s">
        <v>59</v>
      </c>
      <c r="B50" s="53" t="s">
        <v>232</v>
      </c>
      <c r="C50" s="62">
        <v>2019</v>
      </c>
      <c r="D50" s="137" t="s">
        <v>314</v>
      </c>
      <c r="E50" s="53" t="s">
        <v>340</v>
      </c>
      <c r="F50" s="53" t="s">
        <v>341</v>
      </c>
      <c r="G50" s="53" t="s">
        <v>36</v>
      </c>
      <c r="H50" s="53" t="s">
        <v>160</v>
      </c>
      <c r="I50" s="53" t="s">
        <v>159</v>
      </c>
      <c r="J50" s="53" t="s">
        <v>38</v>
      </c>
      <c r="K50" s="53" t="s">
        <v>161</v>
      </c>
      <c r="L50" s="53">
        <v>1</v>
      </c>
      <c r="N50" s="53">
        <v>4</v>
      </c>
      <c r="O50" s="53">
        <v>0.39</v>
      </c>
      <c r="P50" s="53">
        <v>0.37</v>
      </c>
      <c r="Q50" s="74">
        <f t="shared" si="2"/>
        <v>0.38</v>
      </c>
      <c r="R50" s="53">
        <v>18.100000000000001</v>
      </c>
      <c r="S50" s="53">
        <v>140</v>
      </c>
      <c r="T50" s="16">
        <f t="shared" si="0"/>
        <v>22</v>
      </c>
      <c r="U50" s="53">
        <v>458</v>
      </c>
      <c r="V50" s="16">
        <f t="shared" si="1"/>
        <v>16</v>
      </c>
      <c r="W50" s="53">
        <v>9</v>
      </c>
      <c r="X50" s="53" t="s">
        <v>46</v>
      </c>
      <c r="Y50" s="53" t="s">
        <v>55</v>
      </c>
      <c r="Z50" s="53" t="s">
        <v>69</v>
      </c>
      <c r="AA50" s="53" t="s">
        <v>90</v>
      </c>
      <c r="AB50" s="53" t="s">
        <v>317</v>
      </c>
      <c r="AV50" s="27"/>
    </row>
    <row r="51" spans="1:48" x14ac:dyDescent="0.15">
      <c r="A51" s="53" t="s">
        <v>59</v>
      </c>
      <c r="B51" s="53" t="s">
        <v>232</v>
      </c>
      <c r="C51" s="62">
        <v>2019</v>
      </c>
      <c r="D51" s="137" t="s">
        <v>314</v>
      </c>
      <c r="E51" s="53" t="s">
        <v>340</v>
      </c>
      <c r="F51" s="53" t="s">
        <v>341</v>
      </c>
      <c r="G51" s="53" t="s">
        <v>36</v>
      </c>
      <c r="H51" s="53" t="s">
        <v>160</v>
      </c>
      <c r="I51" s="53" t="s">
        <v>159</v>
      </c>
      <c r="J51" s="53" t="s">
        <v>38</v>
      </c>
      <c r="K51" s="53" t="s">
        <v>161</v>
      </c>
      <c r="L51" s="53">
        <v>2</v>
      </c>
      <c r="N51" s="53">
        <v>4</v>
      </c>
      <c r="O51" s="53">
        <v>0.39</v>
      </c>
      <c r="P51" s="53">
        <v>0.43</v>
      </c>
      <c r="Q51" s="74">
        <f t="shared" si="2"/>
        <v>0.41000000000000003</v>
      </c>
      <c r="R51" s="53">
        <v>17.100000000000001</v>
      </c>
      <c r="S51" s="53">
        <v>138</v>
      </c>
      <c r="T51" s="16">
        <f t="shared" si="0"/>
        <v>22</v>
      </c>
      <c r="U51" s="53">
        <v>458</v>
      </c>
      <c r="V51" s="16">
        <f t="shared" si="1"/>
        <v>16</v>
      </c>
      <c r="W51" s="53">
        <v>9</v>
      </c>
      <c r="X51" s="53" t="s">
        <v>46</v>
      </c>
      <c r="Y51" s="53" t="s">
        <v>55</v>
      </c>
      <c r="Z51" s="53" t="s">
        <v>69</v>
      </c>
      <c r="AA51" s="53" t="s">
        <v>90</v>
      </c>
      <c r="AB51" s="53" t="s">
        <v>317</v>
      </c>
      <c r="AV51" s="27"/>
    </row>
    <row r="52" spans="1:48" x14ac:dyDescent="0.15">
      <c r="A52" s="53" t="s">
        <v>59</v>
      </c>
      <c r="B52" s="53" t="s">
        <v>232</v>
      </c>
      <c r="C52" s="62">
        <v>2019</v>
      </c>
      <c r="D52" s="137" t="s">
        <v>314</v>
      </c>
      <c r="E52" s="53" t="s">
        <v>340</v>
      </c>
      <c r="F52" s="53" t="s">
        <v>341</v>
      </c>
      <c r="G52" s="53" t="s">
        <v>36</v>
      </c>
      <c r="H52" s="53" t="s">
        <v>160</v>
      </c>
      <c r="I52" s="53" t="s">
        <v>159</v>
      </c>
      <c r="J52" s="53" t="s">
        <v>38</v>
      </c>
      <c r="K52" s="53" t="s">
        <v>161</v>
      </c>
      <c r="L52" s="53">
        <v>3</v>
      </c>
      <c r="N52" s="53">
        <v>4</v>
      </c>
      <c r="O52" s="53">
        <v>0.38</v>
      </c>
      <c r="P52" s="53">
        <v>0.42</v>
      </c>
      <c r="Q52" s="74">
        <f t="shared" si="2"/>
        <v>0.4</v>
      </c>
      <c r="R52" s="53">
        <v>18.3</v>
      </c>
      <c r="S52" s="53">
        <v>140</v>
      </c>
      <c r="T52" s="16">
        <f t="shared" si="0"/>
        <v>22</v>
      </c>
      <c r="U52" s="53">
        <v>458</v>
      </c>
      <c r="V52" s="16">
        <f t="shared" si="1"/>
        <v>16</v>
      </c>
      <c r="W52" s="53">
        <v>9</v>
      </c>
      <c r="X52" s="53" t="s">
        <v>46</v>
      </c>
      <c r="Y52" s="53" t="s">
        <v>55</v>
      </c>
      <c r="Z52" s="53" t="s">
        <v>69</v>
      </c>
      <c r="AA52" s="53" t="s">
        <v>90</v>
      </c>
      <c r="AB52" s="53" t="s">
        <v>317</v>
      </c>
      <c r="AV52" s="27"/>
    </row>
    <row r="53" spans="1:48" x14ac:dyDescent="0.15">
      <c r="A53" s="53" t="s">
        <v>59</v>
      </c>
      <c r="B53" s="53" t="s">
        <v>232</v>
      </c>
      <c r="C53" s="62">
        <v>2019</v>
      </c>
      <c r="D53" s="137" t="s">
        <v>314</v>
      </c>
      <c r="E53" s="53" t="s">
        <v>340</v>
      </c>
      <c r="F53" s="53" t="s">
        <v>341</v>
      </c>
      <c r="G53" s="53" t="s">
        <v>36</v>
      </c>
      <c r="H53" s="53" t="s">
        <v>165</v>
      </c>
      <c r="I53" s="53" t="s">
        <v>159</v>
      </c>
      <c r="J53" s="53" t="s">
        <v>38</v>
      </c>
      <c r="K53" s="53" t="s">
        <v>161</v>
      </c>
      <c r="L53" s="53">
        <v>1</v>
      </c>
      <c r="N53" s="53">
        <v>4</v>
      </c>
      <c r="O53" s="53">
        <v>0.56999999999999995</v>
      </c>
      <c r="P53" s="53">
        <v>0.65</v>
      </c>
      <c r="Q53" s="74">
        <f t="shared" si="2"/>
        <v>0.61</v>
      </c>
      <c r="R53" s="53">
        <v>14.2</v>
      </c>
      <c r="S53" s="53">
        <v>151</v>
      </c>
      <c r="T53" s="16">
        <f t="shared" si="0"/>
        <v>22</v>
      </c>
      <c r="U53" s="53">
        <v>358</v>
      </c>
      <c r="V53" s="16">
        <f t="shared" si="1"/>
        <v>16</v>
      </c>
      <c r="W53" s="53">
        <v>9</v>
      </c>
      <c r="X53" s="53" t="s">
        <v>46</v>
      </c>
      <c r="Y53" s="53" t="s">
        <v>55</v>
      </c>
      <c r="Z53" s="53" t="s">
        <v>69</v>
      </c>
      <c r="AA53" s="53" t="s">
        <v>90</v>
      </c>
      <c r="AB53" s="53" t="s">
        <v>317</v>
      </c>
      <c r="AV53" s="27"/>
    </row>
    <row r="54" spans="1:48" x14ac:dyDescent="0.15">
      <c r="A54" s="53" t="s">
        <v>59</v>
      </c>
      <c r="B54" s="53" t="s">
        <v>232</v>
      </c>
      <c r="C54" s="62">
        <v>2019</v>
      </c>
      <c r="D54" s="137" t="s">
        <v>314</v>
      </c>
      <c r="E54" s="53" t="s">
        <v>340</v>
      </c>
      <c r="F54" s="53" t="s">
        <v>341</v>
      </c>
      <c r="G54" s="53" t="s">
        <v>36</v>
      </c>
      <c r="H54" s="53" t="s">
        <v>165</v>
      </c>
      <c r="I54" s="53" t="s">
        <v>159</v>
      </c>
      <c r="J54" s="53" t="s">
        <v>38</v>
      </c>
      <c r="K54" s="53" t="s">
        <v>161</v>
      </c>
      <c r="L54" s="53">
        <v>2</v>
      </c>
      <c r="N54" s="53">
        <v>4</v>
      </c>
      <c r="O54" s="53">
        <v>0.62</v>
      </c>
      <c r="P54" s="53">
        <v>0.51</v>
      </c>
      <c r="Q54" s="74">
        <f t="shared" si="2"/>
        <v>0.56499999999999995</v>
      </c>
      <c r="R54" s="53">
        <v>13.7</v>
      </c>
      <c r="S54" s="53">
        <v>140</v>
      </c>
      <c r="T54" s="16">
        <f t="shared" si="0"/>
        <v>22</v>
      </c>
      <c r="U54" s="53">
        <v>358</v>
      </c>
      <c r="V54" s="16">
        <f t="shared" si="1"/>
        <v>16</v>
      </c>
      <c r="W54" s="53">
        <v>9</v>
      </c>
      <c r="X54" s="53" t="s">
        <v>46</v>
      </c>
      <c r="Y54" s="53" t="s">
        <v>55</v>
      </c>
      <c r="Z54" s="53" t="s">
        <v>69</v>
      </c>
      <c r="AA54" s="53" t="s">
        <v>90</v>
      </c>
      <c r="AB54" s="53" t="s">
        <v>317</v>
      </c>
      <c r="AV54" s="27"/>
    </row>
    <row r="55" spans="1:48" x14ac:dyDescent="0.15">
      <c r="A55" s="53" t="s">
        <v>59</v>
      </c>
      <c r="B55" s="53" t="s">
        <v>232</v>
      </c>
      <c r="C55" s="62">
        <v>2019</v>
      </c>
      <c r="D55" s="137" t="s">
        <v>314</v>
      </c>
      <c r="E55" s="53" t="s">
        <v>340</v>
      </c>
      <c r="F55" s="53" t="s">
        <v>341</v>
      </c>
      <c r="G55" s="53" t="s">
        <v>36</v>
      </c>
      <c r="H55" s="53" t="s">
        <v>165</v>
      </c>
      <c r="I55" s="53" t="s">
        <v>159</v>
      </c>
      <c r="J55" s="53" t="s">
        <v>38</v>
      </c>
      <c r="K55" s="53" t="s">
        <v>161</v>
      </c>
      <c r="L55" s="53">
        <v>3</v>
      </c>
      <c r="N55" s="53">
        <v>4</v>
      </c>
      <c r="O55" s="53">
        <v>0.54</v>
      </c>
      <c r="P55" s="53">
        <v>0.63</v>
      </c>
      <c r="Q55" s="74">
        <f t="shared" si="2"/>
        <v>0.58499999999999996</v>
      </c>
      <c r="R55" s="53">
        <v>14.1</v>
      </c>
      <c r="S55" s="53">
        <v>149</v>
      </c>
      <c r="T55" s="16">
        <f t="shared" si="0"/>
        <v>22</v>
      </c>
      <c r="U55" s="53">
        <v>358</v>
      </c>
      <c r="V55" s="16">
        <f t="shared" si="1"/>
        <v>16</v>
      </c>
      <c r="W55" s="53">
        <v>9</v>
      </c>
      <c r="X55" s="53" t="s">
        <v>46</v>
      </c>
      <c r="Y55" s="53" t="s">
        <v>55</v>
      </c>
      <c r="Z55" s="53" t="s">
        <v>69</v>
      </c>
      <c r="AA55" s="53" t="s">
        <v>90</v>
      </c>
      <c r="AB55" s="53" t="s">
        <v>317</v>
      </c>
      <c r="AV55" s="27"/>
    </row>
    <row r="56" spans="1:48" x14ac:dyDescent="0.15">
      <c r="A56" s="53" t="s">
        <v>59</v>
      </c>
      <c r="B56" s="53" t="s">
        <v>232</v>
      </c>
      <c r="C56" s="62">
        <v>2019</v>
      </c>
      <c r="D56" s="137" t="s">
        <v>314</v>
      </c>
      <c r="E56" s="53" t="s">
        <v>330</v>
      </c>
      <c r="F56" s="53" t="s">
        <v>331</v>
      </c>
      <c r="G56" s="53" t="s">
        <v>36</v>
      </c>
      <c r="H56" s="53" t="s">
        <v>160</v>
      </c>
      <c r="I56" s="53" t="s">
        <v>159</v>
      </c>
      <c r="J56" s="53" t="s">
        <v>38</v>
      </c>
      <c r="K56" s="53" t="s">
        <v>161</v>
      </c>
      <c r="L56" s="53">
        <v>1</v>
      </c>
      <c r="N56" s="53">
        <v>4</v>
      </c>
      <c r="O56" s="53">
        <v>0.4</v>
      </c>
      <c r="P56" s="53">
        <v>0.47</v>
      </c>
      <c r="Q56" s="74">
        <f t="shared" si="2"/>
        <v>0.435</v>
      </c>
      <c r="R56" s="53">
        <v>16.5</v>
      </c>
      <c r="S56" s="53">
        <v>92</v>
      </c>
      <c r="T56" s="16">
        <f t="shared" si="0"/>
        <v>36</v>
      </c>
      <c r="U56" s="53">
        <v>518</v>
      </c>
      <c r="V56" s="16">
        <f t="shared" si="1"/>
        <v>16</v>
      </c>
      <c r="W56" s="53">
        <v>11</v>
      </c>
      <c r="X56" s="53" t="s">
        <v>39</v>
      </c>
      <c r="Y56" s="53" t="s">
        <v>90</v>
      </c>
      <c r="Z56" s="53" t="s">
        <v>55</v>
      </c>
      <c r="AA56" s="53" t="s">
        <v>69</v>
      </c>
      <c r="AB56" s="53" t="s">
        <v>317</v>
      </c>
      <c r="AV56" s="27"/>
    </row>
    <row r="57" spans="1:48" x14ac:dyDescent="0.15">
      <c r="A57" s="53" t="s">
        <v>59</v>
      </c>
      <c r="B57" s="53" t="s">
        <v>232</v>
      </c>
      <c r="C57" s="62">
        <v>2019</v>
      </c>
      <c r="D57" s="137" t="s">
        <v>314</v>
      </c>
      <c r="E57" s="53" t="s">
        <v>330</v>
      </c>
      <c r="F57" s="53" t="s">
        <v>331</v>
      </c>
      <c r="G57" s="53" t="s">
        <v>36</v>
      </c>
      <c r="H57" s="53" t="s">
        <v>160</v>
      </c>
      <c r="I57" s="53" t="s">
        <v>159</v>
      </c>
      <c r="J57" s="53" t="s">
        <v>38</v>
      </c>
      <c r="K57" s="53" t="s">
        <v>161</v>
      </c>
      <c r="L57" s="53">
        <v>2</v>
      </c>
      <c r="N57" s="53">
        <v>4</v>
      </c>
      <c r="O57" s="53">
        <v>0.38</v>
      </c>
      <c r="P57" s="53">
        <v>0.35</v>
      </c>
      <c r="Q57" s="74">
        <f t="shared" si="2"/>
        <v>0.36499999999999999</v>
      </c>
      <c r="R57" s="53">
        <v>16</v>
      </c>
      <c r="S57" s="53">
        <v>89</v>
      </c>
      <c r="T57" s="16">
        <f t="shared" si="0"/>
        <v>36</v>
      </c>
      <c r="U57" s="53">
        <v>518</v>
      </c>
      <c r="V57" s="16">
        <f t="shared" si="1"/>
        <v>16</v>
      </c>
      <c r="W57" s="53">
        <v>11</v>
      </c>
      <c r="X57" s="53" t="s">
        <v>39</v>
      </c>
      <c r="Y57" s="53" t="s">
        <v>90</v>
      </c>
      <c r="Z57" s="53" t="s">
        <v>55</v>
      </c>
      <c r="AA57" s="53" t="s">
        <v>69</v>
      </c>
      <c r="AB57" s="53" t="s">
        <v>317</v>
      </c>
      <c r="AV57" s="27"/>
    </row>
    <row r="58" spans="1:48" x14ac:dyDescent="0.15">
      <c r="A58" s="53" t="s">
        <v>59</v>
      </c>
      <c r="B58" s="53" t="s">
        <v>232</v>
      </c>
      <c r="C58" s="62">
        <v>2019</v>
      </c>
      <c r="D58" s="137" t="s">
        <v>314</v>
      </c>
      <c r="E58" s="53" t="s">
        <v>330</v>
      </c>
      <c r="F58" s="53" t="s">
        <v>331</v>
      </c>
      <c r="G58" s="53" t="s">
        <v>36</v>
      </c>
      <c r="H58" s="53" t="s">
        <v>160</v>
      </c>
      <c r="I58" s="53" t="s">
        <v>159</v>
      </c>
      <c r="J58" s="53" t="s">
        <v>38</v>
      </c>
      <c r="K58" s="53" t="s">
        <v>161</v>
      </c>
      <c r="L58" s="53">
        <v>3</v>
      </c>
      <c r="N58" s="53">
        <v>4</v>
      </c>
      <c r="O58" s="53">
        <v>0.39</v>
      </c>
      <c r="P58" s="53">
        <v>0.45</v>
      </c>
      <c r="Q58" s="74">
        <f t="shared" si="2"/>
        <v>0.42000000000000004</v>
      </c>
      <c r="R58" s="53">
        <v>15.7</v>
      </c>
      <c r="S58" s="53">
        <v>90</v>
      </c>
      <c r="T58" s="16">
        <f t="shared" si="0"/>
        <v>36</v>
      </c>
      <c r="U58" s="53">
        <v>518</v>
      </c>
      <c r="V58" s="16">
        <f t="shared" si="1"/>
        <v>16</v>
      </c>
      <c r="W58" s="53">
        <v>11</v>
      </c>
      <c r="X58" s="53" t="s">
        <v>39</v>
      </c>
      <c r="Y58" s="53" t="s">
        <v>90</v>
      </c>
      <c r="Z58" s="53" t="s">
        <v>55</v>
      </c>
      <c r="AA58" s="53" t="s">
        <v>69</v>
      </c>
      <c r="AB58" s="53" t="s">
        <v>317</v>
      </c>
      <c r="AV58" s="27"/>
    </row>
    <row r="59" spans="1:48" x14ac:dyDescent="0.15">
      <c r="A59" s="53" t="s">
        <v>59</v>
      </c>
      <c r="B59" s="53" t="s">
        <v>232</v>
      </c>
      <c r="C59" s="62">
        <v>2019</v>
      </c>
      <c r="D59" s="137" t="s">
        <v>314</v>
      </c>
      <c r="E59" s="53" t="s">
        <v>330</v>
      </c>
      <c r="F59" s="53" t="s">
        <v>331</v>
      </c>
      <c r="G59" s="53" t="s">
        <v>36</v>
      </c>
      <c r="H59" s="53" t="s">
        <v>165</v>
      </c>
      <c r="I59" s="53" t="s">
        <v>159</v>
      </c>
      <c r="J59" s="53" t="s">
        <v>38</v>
      </c>
      <c r="K59" s="53" t="s">
        <v>161</v>
      </c>
      <c r="L59" s="53">
        <v>1</v>
      </c>
      <c r="N59" s="53">
        <v>4</v>
      </c>
      <c r="O59" s="53">
        <v>0.32</v>
      </c>
      <c r="P59" s="53">
        <v>0.4</v>
      </c>
      <c r="Q59" s="74">
        <f t="shared" si="2"/>
        <v>0.36</v>
      </c>
      <c r="R59" s="53">
        <v>13.6</v>
      </c>
      <c r="S59" s="53">
        <v>90</v>
      </c>
      <c r="T59" s="16">
        <f t="shared" si="0"/>
        <v>36</v>
      </c>
      <c r="U59" s="53">
        <v>429</v>
      </c>
      <c r="V59" s="16">
        <f t="shared" si="1"/>
        <v>16</v>
      </c>
      <c r="W59" s="53">
        <v>2</v>
      </c>
      <c r="X59" s="53" t="s">
        <v>39</v>
      </c>
      <c r="Y59" s="53" t="s">
        <v>90</v>
      </c>
      <c r="Z59" s="53" t="s">
        <v>55</v>
      </c>
      <c r="AA59" s="53" t="s">
        <v>69</v>
      </c>
      <c r="AB59" s="53" t="s">
        <v>317</v>
      </c>
      <c r="AV59" s="27"/>
    </row>
    <row r="60" spans="1:48" x14ac:dyDescent="0.15">
      <c r="A60" s="53" t="s">
        <v>59</v>
      </c>
      <c r="B60" s="53" t="s">
        <v>232</v>
      </c>
      <c r="C60" s="62">
        <v>2019</v>
      </c>
      <c r="D60" s="137" t="s">
        <v>314</v>
      </c>
      <c r="E60" s="53" t="s">
        <v>330</v>
      </c>
      <c r="F60" s="53" t="s">
        <v>331</v>
      </c>
      <c r="G60" s="53" t="s">
        <v>36</v>
      </c>
      <c r="H60" s="53" t="s">
        <v>165</v>
      </c>
      <c r="I60" s="53" t="s">
        <v>159</v>
      </c>
      <c r="J60" s="53" t="s">
        <v>38</v>
      </c>
      <c r="K60" s="53" t="s">
        <v>161</v>
      </c>
      <c r="L60" s="53">
        <v>2</v>
      </c>
      <c r="N60" s="53">
        <v>4</v>
      </c>
      <c r="O60" s="53">
        <v>0.27</v>
      </c>
      <c r="P60" s="53">
        <v>0.36</v>
      </c>
      <c r="Q60" s="74">
        <f t="shared" si="2"/>
        <v>0.315</v>
      </c>
      <c r="R60" s="53">
        <v>15.2</v>
      </c>
      <c r="S60" s="53">
        <v>100</v>
      </c>
      <c r="T60" s="16">
        <f t="shared" si="0"/>
        <v>33</v>
      </c>
      <c r="U60" s="53">
        <v>429</v>
      </c>
      <c r="V60" s="16">
        <f t="shared" si="1"/>
        <v>16</v>
      </c>
      <c r="W60" s="53">
        <v>2</v>
      </c>
      <c r="X60" s="53" t="s">
        <v>39</v>
      </c>
      <c r="Y60" s="53" t="s">
        <v>90</v>
      </c>
      <c r="Z60" s="53" t="s">
        <v>55</v>
      </c>
      <c r="AA60" s="53" t="s">
        <v>69</v>
      </c>
      <c r="AB60" s="53" t="s">
        <v>317</v>
      </c>
      <c r="AV60" s="27"/>
    </row>
    <row r="61" spans="1:48" x14ac:dyDescent="0.15">
      <c r="A61" s="53" t="s">
        <v>59</v>
      </c>
      <c r="B61" s="53" t="s">
        <v>232</v>
      </c>
      <c r="C61" s="62">
        <v>2019</v>
      </c>
      <c r="D61" s="137" t="s">
        <v>314</v>
      </c>
      <c r="E61" s="53" t="s">
        <v>330</v>
      </c>
      <c r="F61" s="53" t="s">
        <v>331</v>
      </c>
      <c r="G61" s="53" t="s">
        <v>36</v>
      </c>
      <c r="H61" s="53" t="s">
        <v>165</v>
      </c>
      <c r="I61" s="53" t="s">
        <v>159</v>
      </c>
      <c r="J61" s="53" t="s">
        <v>38</v>
      </c>
      <c r="K61" s="53" t="s">
        <v>161</v>
      </c>
      <c r="L61" s="53">
        <v>3</v>
      </c>
      <c r="N61" s="53">
        <v>4</v>
      </c>
      <c r="O61" s="53">
        <v>0.33</v>
      </c>
      <c r="P61" s="53">
        <v>0.38</v>
      </c>
      <c r="Q61" s="74">
        <f t="shared" si="2"/>
        <v>0.35499999999999998</v>
      </c>
      <c r="R61" s="53">
        <v>14.4</v>
      </c>
      <c r="S61" s="53">
        <v>93</v>
      </c>
      <c r="T61" s="16">
        <f t="shared" si="0"/>
        <v>36</v>
      </c>
      <c r="U61" s="53">
        <v>429</v>
      </c>
      <c r="V61" s="16">
        <f t="shared" si="1"/>
        <v>16</v>
      </c>
      <c r="W61" s="53">
        <v>2</v>
      </c>
      <c r="X61" s="53" t="s">
        <v>39</v>
      </c>
      <c r="Y61" s="53" t="s">
        <v>90</v>
      </c>
      <c r="Z61" s="53" t="s">
        <v>55</v>
      </c>
      <c r="AA61" s="53" t="s">
        <v>69</v>
      </c>
      <c r="AB61" s="53" t="s">
        <v>317</v>
      </c>
      <c r="AV61" s="27"/>
    </row>
    <row r="62" spans="1:48" x14ac:dyDescent="0.15">
      <c r="C62" s="62"/>
      <c r="D62" s="137"/>
      <c r="Q62" s="74"/>
    </row>
    <row r="63" spans="1:48" x14ac:dyDescent="0.15">
      <c r="C63" s="62"/>
      <c r="D63" s="137"/>
      <c r="Q63" s="74"/>
    </row>
    <row r="64" spans="1:48" x14ac:dyDescent="0.15">
      <c r="C64" s="62"/>
      <c r="D64" s="137"/>
      <c r="Q64" s="74"/>
    </row>
    <row r="65" spans="3:17" x14ac:dyDescent="0.15">
      <c r="C65" s="62"/>
      <c r="D65" s="137"/>
      <c r="Q65" s="74"/>
    </row>
    <row r="66" spans="3:17" x14ac:dyDescent="0.15">
      <c r="C66" s="62"/>
      <c r="D66" s="137"/>
      <c r="Q66" s="74"/>
    </row>
    <row r="67" spans="3:17" x14ac:dyDescent="0.15">
      <c r="C67" s="62"/>
      <c r="D67" s="137"/>
      <c r="Q67" s="74"/>
    </row>
    <row r="68" spans="3:17" x14ac:dyDescent="0.15">
      <c r="C68" s="62"/>
      <c r="D68" s="137"/>
      <c r="Q68" s="74"/>
    </row>
    <row r="69" spans="3:17" x14ac:dyDescent="0.15">
      <c r="C69" s="62"/>
      <c r="D69" s="137"/>
      <c r="Q69" s="74"/>
    </row>
    <row r="70" spans="3:17" x14ac:dyDescent="0.15">
      <c r="C70" s="62"/>
      <c r="D70" s="137"/>
      <c r="Q70" s="74"/>
    </row>
    <row r="71" spans="3:17" x14ac:dyDescent="0.15">
      <c r="C71" s="62"/>
      <c r="D71" s="137"/>
      <c r="Q71" s="74"/>
    </row>
    <row r="72" spans="3:17" x14ac:dyDescent="0.15">
      <c r="C72" s="62"/>
      <c r="D72" s="137"/>
      <c r="Q72" s="74"/>
    </row>
    <row r="73" spans="3:17" x14ac:dyDescent="0.15">
      <c r="C73" s="62"/>
      <c r="D73" s="137"/>
      <c r="Q73" s="74"/>
    </row>
    <row r="74" spans="3:17" x14ac:dyDescent="0.15">
      <c r="C74" s="62"/>
      <c r="D74" s="137"/>
      <c r="Q74" s="74"/>
    </row>
    <row r="75" spans="3:17" x14ac:dyDescent="0.15">
      <c r="C75" s="62"/>
      <c r="D75" s="137"/>
      <c r="Q75" s="74"/>
    </row>
    <row r="76" spans="3:17" x14ac:dyDescent="0.15">
      <c r="C76" s="62"/>
      <c r="D76" s="137"/>
      <c r="Q76" s="74"/>
    </row>
    <row r="77" spans="3:17" x14ac:dyDescent="0.15">
      <c r="C77" s="62"/>
      <c r="D77" s="137"/>
      <c r="Q77" s="74"/>
    </row>
    <row r="78" spans="3:17" x14ac:dyDescent="0.15">
      <c r="C78" s="62"/>
      <c r="D78" s="137"/>
      <c r="Q78" s="74"/>
    </row>
    <row r="79" spans="3:17" x14ac:dyDescent="0.15">
      <c r="C79" s="62"/>
      <c r="D79" s="137"/>
      <c r="Q79" s="74"/>
    </row>
    <row r="80" spans="3:17" x14ac:dyDescent="0.15">
      <c r="C80" s="62"/>
      <c r="D80" s="137"/>
      <c r="Q80" s="74"/>
    </row>
    <row r="81" spans="3:17" x14ac:dyDescent="0.15">
      <c r="C81" s="62"/>
      <c r="D81" s="137"/>
      <c r="Q81" s="74"/>
    </row>
    <row r="82" spans="3:17" x14ac:dyDescent="0.15">
      <c r="C82" s="62"/>
      <c r="D82" s="137"/>
      <c r="Q82" s="74"/>
    </row>
    <row r="83" spans="3:17" x14ac:dyDescent="0.15">
      <c r="C83" s="62"/>
      <c r="Q83" s="74"/>
    </row>
    <row r="84" spans="3:17" x14ac:dyDescent="0.15">
      <c r="C84" s="62"/>
      <c r="Q84" s="74"/>
    </row>
    <row r="85" spans="3:17" x14ac:dyDescent="0.15">
      <c r="C85" s="62"/>
      <c r="Q85" s="74"/>
    </row>
    <row r="86" spans="3:17" x14ac:dyDescent="0.15">
      <c r="C86" s="62"/>
      <c r="Q86" s="74"/>
    </row>
    <row r="87" spans="3:17" x14ac:dyDescent="0.15">
      <c r="C87" s="62"/>
      <c r="Q87" s="74"/>
    </row>
    <row r="88" spans="3:17" x14ac:dyDescent="0.15">
      <c r="C88" s="62"/>
      <c r="Q88" s="74"/>
    </row>
    <row r="89" spans="3:17" x14ac:dyDescent="0.15">
      <c r="C89" s="62"/>
      <c r="Q89" s="74"/>
    </row>
    <row r="90" spans="3:17" x14ac:dyDescent="0.15">
      <c r="C90" s="62"/>
      <c r="Q90" s="74"/>
    </row>
    <row r="91" spans="3:17" x14ac:dyDescent="0.15">
      <c r="C91" s="62"/>
      <c r="Q91" s="74"/>
    </row>
    <row r="92" spans="3:17" x14ac:dyDescent="0.15">
      <c r="C92" s="62"/>
      <c r="Q92" s="74"/>
    </row>
    <row r="93" spans="3:17" x14ac:dyDescent="0.15">
      <c r="C93" s="62"/>
      <c r="Q93" s="74"/>
    </row>
    <row r="94" spans="3:17" x14ac:dyDescent="0.15">
      <c r="C94" s="62"/>
      <c r="Q94" s="74"/>
    </row>
    <row r="95" spans="3:17" x14ac:dyDescent="0.15">
      <c r="C95" s="62"/>
      <c r="Q95" s="74"/>
    </row>
    <row r="96" spans="3:17" x14ac:dyDescent="0.15">
      <c r="C96" s="62"/>
      <c r="Q96" s="74"/>
    </row>
    <row r="97" spans="3:22" x14ac:dyDescent="0.15">
      <c r="C97" s="62"/>
      <c r="Q97" s="74"/>
    </row>
    <row r="98" spans="3:22" x14ac:dyDescent="0.15">
      <c r="C98" s="62"/>
      <c r="Q98" s="74"/>
    </row>
    <row r="99" spans="3:22" x14ac:dyDescent="0.15">
      <c r="C99" s="62"/>
    </row>
    <row r="100" spans="3:22" x14ac:dyDescent="0.15">
      <c r="C100" s="62"/>
    </row>
    <row r="101" spans="3:22"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row>
    <row r="102" spans="3:22" x14ac:dyDescent="0.15">
      <c r="Q102" s="16" t="str">
        <f t="shared" si="3"/>
        <v/>
      </c>
      <c r="T102" s="16" t="str">
        <f t="shared" si="4"/>
        <v/>
      </c>
      <c r="V102" s="16" t="str">
        <f t="shared" si="5"/>
        <v/>
      </c>
    </row>
    <row r="103" spans="3:22" x14ac:dyDescent="0.15">
      <c r="Q103" s="16" t="str">
        <f t="shared" si="3"/>
        <v/>
      </c>
      <c r="T103" s="16" t="str">
        <f t="shared" si="4"/>
        <v/>
      </c>
      <c r="V103" s="16" t="str">
        <f t="shared" si="5"/>
        <v/>
      </c>
    </row>
    <row r="104" spans="3:22" x14ac:dyDescent="0.15">
      <c r="Q104" s="16" t="str">
        <f t="shared" si="3"/>
        <v/>
      </c>
      <c r="T104" s="16" t="str">
        <f t="shared" si="4"/>
        <v/>
      </c>
      <c r="V104" s="16" t="str">
        <f t="shared" si="5"/>
        <v/>
      </c>
    </row>
    <row r="105" spans="3:22" x14ac:dyDescent="0.15">
      <c r="Q105" s="16" t="str">
        <f t="shared" si="3"/>
        <v/>
      </c>
      <c r="T105" s="16" t="str">
        <f t="shared" si="4"/>
        <v/>
      </c>
      <c r="V105" s="16" t="str">
        <f t="shared" si="5"/>
        <v/>
      </c>
    </row>
    <row r="106" spans="3:22" x14ac:dyDescent="0.15">
      <c r="Q106" s="16" t="str">
        <f t="shared" si="3"/>
        <v/>
      </c>
      <c r="T106" s="16" t="str">
        <f t="shared" si="4"/>
        <v/>
      </c>
      <c r="V106" s="16" t="str">
        <f t="shared" si="5"/>
        <v/>
      </c>
    </row>
    <row r="107" spans="3:22" x14ac:dyDescent="0.15">
      <c r="Q107" s="16" t="str">
        <f t="shared" si="3"/>
        <v/>
      </c>
      <c r="T107" s="16" t="str">
        <f t="shared" si="4"/>
        <v/>
      </c>
      <c r="V107" s="16" t="str">
        <f t="shared" si="5"/>
        <v/>
      </c>
    </row>
    <row r="108" spans="3:22" x14ac:dyDescent="0.15">
      <c r="Q108" s="16" t="str">
        <f t="shared" si="3"/>
        <v/>
      </c>
      <c r="T108" s="16" t="str">
        <f t="shared" si="4"/>
        <v/>
      </c>
      <c r="V108" s="16" t="str">
        <f t="shared" si="5"/>
        <v/>
      </c>
    </row>
    <row r="109" spans="3:22" x14ac:dyDescent="0.15">
      <c r="Q109" s="16" t="str">
        <f t="shared" si="3"/>
        <v/>
      </c>
      <c r="T109" s="16" t="str">
        <f t="shared" si="4"/>
        <v/>
      </c>
      <c r="V109" s="16" t="str">
        <f t="shared" si="5"/>
        <v/>
      </c>
    </row>
    <row r="110" spans="3:22" x14ac:dyDescent="0.15">
      <c r="Q110" s="16" t="str">
        <f t="shared" si="3"/>
        <v/>
      </c>
      <c r="T110" s="16" t="str">
        <f t="shared" si="4"/>
        <v/>
      </c>
      <c r="V110" s="16" t="str">
        <f t="shared" si="5"/>
        <v/>
      </c>
    </row>
    <row r="111" spans="3:22" x14ac:dyDescent="0.15">
      <c r="Q111" s="16" t="str">
        <f t="shared" si="3"/>
        <v/>
      </c>
      <c r="T111" s="16" t="str">
        <f t="shared" si="4"/>
        <v/>
      </c>
      <c r="V111" s="16" t="str">
        <f t="shared" si="5"/>
        <v/>
      </c>
    </row>
    <row r="112" spans="3: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xr:uid="{00000000-0009-0000-0000-000000000000}"/>
  <phoneticPr fontId="3"/>
  <dataValidations count="19">
    <dataValidation type="list" allowBlank="1" showInputMessage="1" showErrorMessage="1" sqref="K2:K434" xr:uid="{4945EE5F-C095-4627-AA5A-F858F6533071}">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K435:K492 WVS2:WVS61 WLW2:WLW61 WCA2:WCA61 VSE2:VSE61 VII2:VII61 UYM2:UYM61 UOQ2:UOQ61 UEU2:UEU61 TUY2:TUY61 TLC2:TLC61 TBG2:TBG61 SRK2:SRK61 SHO2:SHO61 RXS2:RXS61 RNW2:RNW61 REA2:REA61 QUE2:QUE61 QKI2:QKI61 QAM2:QAM61 PQQ2:PQQ61 PGU2:PGU61 OWY2:OWY61 ONC2:ONC61 ODG2:ODG61 NTK2:NTK61 NJO2:NJO61 MZS2:MZS61 MPW2:MPW61 MGA2:MGA61 LWE2:LWE61 LMI2:LMI61 LCM2:LCM61 KSQ2:KSQ61 KIU2:KIU61 JYY2:JYY61 JPC2:JPC61 JFG2:JFG61 IVK2:IVK61 ILO2:ILO61 IBS2:IBS61 HRW2:HRW61 HIA2:HIA61 GYE2:GYE61 GOI2:GOI61 GEM2:GEM61 FUQ2:FUQ61 FKU2:FKU61 FAY2:FAY61 ERC2:ERC61 EHG2:EHG61 DXK2:DXK61 DNO2:DNO61 DDS2:DDS61 CTW2:CTW61 CKA2:CKA61 CAE2:CAE61 BQI2:BQI61 BGM2:BGM61 AWQ2:AWQ61 AMU2:AMU61 ACY2:ACY61 TC2:TC61 JG2:JG61" xr:uid="{D401F52A-A478-4D75-8D17-812807793986}">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LV2:WLV61 WBZ2:WBZ61 VSD2:VSD61 VIH2:VIH61 UYL2:UYL61 UOP2:UOP61 UET2:UET61 TUX2:TUX61 TLB2:TLB61 TBF2:TBF61 SRJ2:SRJ61 SHN2:SHN61 RXR2:RXR61 RNV2:RNV61 RDZ2:RDZ61 QUD2:QUD61 QKH2:QKH61 QAL2:QAL61 PQP2:PQP61 PGT2:PGT61 OWX2:OWX61 ONB2:ONB61 ODF2:ODF61 NTJ2:NTJ61 NJN2:NJN61 MZR2:MZR61 MPV2:MPV61 MFZ2:MFZ61 LWD2:LWD61 LMH2:LMH61 LCL2:LCL61 KSP2:KSP61 KIT2:KIT61 JYX2:JYX61 JPB2:JPB61 JFF2:JFF61 IVJ2:IVJ61 ILN2:ILN61 IBR2:IBR61 HRV2:HRV61 HHZ2:HHZ61 GYD2:GYD61 GOH2:GOH61 GEL2:GEL61 FUP2:FUP61 FKT2:FKT61 FAX2:FAX61 ERB2:ERB61 EHF2:EHF61 DXJ2:DXJ61 DNN2:DNN61 DDR2:DDR61 CTV2:CTV61 CJZ2:CJZ61 CAD2:CAD61 BQH2:BQH61 BGL2:BGL61 AWP2:AWP61 AMT2:AMT61 ACX2:ACX61 TB2:TB61 JF2:JF61 J62:J492 WVR2:WVR61" xr:uid="{E91B3B2B-EC82-471C-A9E7-332B47F46025}">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LT2:WLT61 WBX2:WBX61 VSB2:VSB61 VIF2:VIF61 UYJ2:UYJ61 UON2:UON61 UER2:UER61 TUV2:TUV61 TKZ2:TKZ61 TBD2:TBD61 SRH2:SRH61 SHL2:SHL61 RXP2:RXP61 RNT2:RNT61 RDX2:RDX61 QUB2:QUB61 QKF2:QKF61 QAJ2:QAJ61 PQN2:PQN61 PGR2:PGR61 OWV2:OWV61 OMZ2:OMZ61 ODD2:ODD61 NTH2:NTH61 NJL2:NJL61 MZP2:MZP61 MPT2:MPT61 MFX2:MFX61 LWB2:LWB61 LMF2:LMF61 LCJ2:LCJ61 KSN2:KSN61 KIR2:KIR61 JYV2:JYV61 JOZ2:JOZ61 JFD2:JFD61 IVH2:IVH61 ILL2:ILL61 IBP2:IBP61 HRT2:HRT61 HHX2:HHX61 GYB2:GYB61 GOF2:GOF61 GEJ2:GEJ61 FUN2:FUN61 FKR2:FKR61 FAV2:FAV61 EQZ2:EQZ61 EHD2:EHD61 DXH2:DXH61 DNL2:DNL61 DDP2:DDP61 CTT2:CTT61 CJX2:CJX61 CAB2:CAB61 BQF2:BQF61 BGJ2:BGJ61 AWN2:AWN61 AMR2:AMR61 ACV2:ACV61 SZ2:SZ61 JD2:JD61 WVP2:WVP61" xr:uid="{1BCAFDC7-9EE6-4979-B188-B1E7D3E3F809}">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xr:uid="{DC65045C-ABF7-4CD5-A81E-2ABF928C1D8D}">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WWF2:WWF61 WMJ2:WMJ61 WCN2:WCN61 VSR2:VSR61 VIV2:VIV61 UYZ2:UYZ61 UPD2:UPD61 UFH2:UFH61 TVL2:TVL61 TLP2:TLP61 TBT2:TBT61 SRX2:SRX61 SIB2:SIB61 RYF2:RYF61 ROJ2:ROJ61 REN2:REN61 QUR2:QUR61 QKV2:QKV61 QAZ2:QAZ61 PRD2:PRD61 PHH2:PHH61 OXL2:OXL61 ONP2:ONP61 ODT2:ODT61 NTX2:NTX61 NKB2:NKB61 NAF2:NAF61 MQJ2:MQJ61 MGN2:MGN61 LWR2:LWR61 LMV2:LMV61 LCZ2:LCZ61 KTD2:KTD61 KJH2:KJH61 JZL2:JZL61 JPP2:JPP61 JFT2:JFT61 IVX2:IVX61 IMB2:IMB61 ICF2:ICF61 HSJ2:HSJ61 HIN2:HIN61 GYR2:GYR61 GOV2:GOV61 GEZ2:GEZ61 FVD2:FVD61 FLH2:FLH61 FBL2:FBL61 ERP2:ERP61 EHT2:EHT61 DXX2:DXX61 DOB2:DOB61 DEF2:DEF61 CUJ2:CUJ61 CKN2:CKN61 CAR2:CAR61 BQV2:BQV61 BGZ2:BGZ61 AXD2:AXD61 ANH2:ANH61 ADL2:ADL61 TP2:TP61 JT2:JT61 X2:X492" xr:uid="{08F913D9-1D0B-46E0-8A31-BB26D2187D76}">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xr:uid="{3089D491-8165-4C7D-8B71-467022B3D11B}">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WVQ2:WVQ61 WLU2:WLU61 WBY2:WBY61 VSC2:VSC61 VIG2:VIG61 UYK2:UYK61 UOO2:UOO61 UES2:UES61 TUW2:TUW61 TLA2:TLA61 TBE2:TBE61 SRI2:SRI61 SHM2:SHM61 RXQ2:RXQ61 RNU2:RNU61 RDY2:RDY61 QUC2:QUC61 QKG2:QKG61 QAK2:QAK61 PQO2:PQO61 PGS2:PGS61 OWW2:OWW61 ONA2:ONA61 ODE2:ODE61 NTI2:NTI61 NJM2:NJM61 MZQ2:MZQ61 MPU2:MPU61 MFY2:MFY61 LWC2:LWC61 LMG2:LMG61 LCK2:LCK61 KSO2:KSO61 KIS2:KIS61 JYW2:JYW61 JPA2:JPA61 JFE2:JFE61 IVI2:IVI61 ILM2:ILM61 IBQ2:IBQ61 HRU2:HRU61 HHY2:HHY61 GYC2:GYC61 GOG2:GOG61 GEK2:GEK61 FUO2:FUO61 FKS2:FKS61 FAW2:FAW61 ERA2:ERA61 EHE2:EHE61 DXI2:DXI61 DNM2:DNM61 DDQ2:DDQ61 CTU2:CTU61 CJY2:CJY61 CAC2:CAC61 BQG2:BQG61 BGK2:BGK61 AWO2:AWO61 AMS2:AMS61 ACW2:ACW61 TA2:TA61 I2:I492 JE2:JE61" xr:uid="{1D150F15-57C9-4BA5-B7F3-58EEE3F39F9C}">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3B07953C-F9C2-43D8-BE16-DD9480666256}">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DB2D3B96-7507-493E-A484-1483C0FA669A}">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MK2:WMM61 WCO2:WCQ61 VSS2:VSU61 VIW2:VIY61 UZA2:UZC61 UPE2:UPG61 UFI2:UFK61 TVM2:TVO61 TLQ2:TLS61 TBU2:TBW61 SRY2:SSA61 SIC2:SIE61 RYG2:RYI61 ROK2:ROM61 REO2:REQ61 QUS2:QUU61 QKW2:QKY61 QBA2:QBC61 PRE2:PRG61 PHI2:PHK61 OXM2:OXO61 ONQ2:ONS61 ODU2:ODW61 NTY2:NUA61 NKC2:NKE61 NAG2:NAI61 MQK2:MQM61 MGO2:MGQ61 LWS2:LWU61 LMW2:LMY61 LDA2:LDC61 KTE2:KTG61 KJI2:KJK61 JZM2:JZO61 JPQ2:JPS61 JFU2:JFW61 IVY2:IWA61 IMC2:IME61 ICG2:ICI61 HSK2:HSM61 HIO2:HIQ61 GYS2:GYU61 GOW2:GOY61 GFA2:GFC61 FVE2:FVG61 FLI2:FLK61 FBM2:FBO61 ERQ2:ERS61 EHU2:EHW61 DXY2:DYA61 DOC2:DOE61 DEG2:DEI61 CUK2:CUM61 CKO2:CKQ61 CAS2:CAU61 BQW2:BQY61 BHA2:BHC61 AXE2:AXG61 ANI2:ANK61 ADM2:ADO61 TQ2:TS61 JU2:JW61 WWG2:WWI61" xr:uid="{1E4DAFD9-FBD5-4B01-91E2-711E2E1E0719}">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F537BC0D-DC97-4BEC-96EF-0A05B50255DE}">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xr:uid="{C6BEA0D3-B435-4851-A5FD-C5BEC186491A}">
      <formula1>#REF!</formula1>
    </dataValidation>
    <dataValidation type="list" allowBlank="1" showInputMessage="1" showErrorMessage="1" sqref="E2:E492" xr:uid="{B0A014B4-AF3F-478F-AE4A-F96C92CAA817}">
      <formula1>$AG$2:$AG$11</formula1>
    </dataValidation>
    <dataValidation type="list" allowBlank="1" showInputMessage="1" showErrorMessage="1" sqref="H2:H492" xr:uid="{530C4E21-B8F7-4CB7-B87F-8A0AC645997B}">
      <formula1>$AL$2:$AL$8</formula1>
    </dataValidation>
    <dataValidation type="decimal" allowBlank="1" showInputMessage="1" showErrorMessage="1" error="硬度を正しく入力して下さい。" sqref="O2:P492" xr:uid="{D9E87172-71AB-4287-81BD-69F896F940E4}">
      <formula1>0</formula1>
      <formula2>7</formula2>
    </dataValidation>
    <dataValidation type="list" allowBlank="1" showInputMessage="1" showErrorMessage="1" sqref="F2:F1446" xr:uid="{8601481A-5DA1-49CA-B493-B2233A5E85C1}">
      <formula1>$AH$2:$AH$11</formula1>
    </dataValidation>
    <dataValidation type="list" allowBlank="1" showInputMessage="1" showErrorMessage="1" sqref="Y2:AA583" xr:uid="{E931A038-7B2C-48DE-BA6E-5536F873BB44}">
      <formula1>$AV$2:$AV$38</formula1>
    </dataValidation>
    <dataValidation type="list" allowBlank="1" showInputMessage="1" showErrorMessage="1" sqref="J2:J61" xr:uid="{282D2B42-2DA5-460F-93C6-ECAFEEF9128E}">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404D1-6173-48C0-852C-395163CE6D07}">
  <dimension ref="A1:BA437"/>
  <sheetViews>
    <sheetView zoomScale="70" zoomScaleNormal="70" zoomScaleSheetLayoutView="100" workbookViewId="0">
      <selection activeCell="AD26" sqref="AD26"/>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9" style="53"/>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232</v>
      </c>
      <c r="C2" s="146">
        <v>2019</v>
      </c>
      <c r="D2" s="147" t="s">
        <v>314</v>
      </c>
      <c r="E2" s="146" t="s">
        <v>356</v>
      </c>
      <c r="F2" s="146" t="s">
        <v>357</v>
      </c>
      <c r="G2" s="148" t="s">
        <v>36</v>
      </c>
      <c r="H2" s="149" t="s">
        <v>165</v>
      </c>
      <c r="I2" s="127" t="s">
        <v>159</v>
      </c>
      <c r="J2" s="150" t="s">
        <v>38</v>
      </c>
      <c r="K2" s="127" t="s">
        <v>161</v>
      </c>
      <c r="L2" s="151">
        <v>1</v>
      </c>
      <c r="M2" s="152"/>
      <c r="N2" s="152">
        <v>1</v>
      </c>
      <c r="O2" s="152">
        <v>0.8</v>
      </c>
      <c r="P2" s="152">
        <v>0.75</v>
      </c>
      <c r="Q2" s="153">
        <f t="shared" ref="Q2:Q65" si="0">IF(OR(O2="",P2=""),"",AVERAGE(O2,P2))</f>
        <v>0.77500000000000002</v>
      </c>
      <c r="R2" s="154">
        <v>15.1</v>
      </c>
      <c r="S2" s="149">
        <v>124</v>
      </c>
      <c r="T2" s="155">
        <f t="shared" ref="T2:T65" si="1">IF(H2="","",IF(OR(H2="GREEN",H2="GK"),IF(S2&gt;=$AX$2,VLOOKUP(S2,$AX$2:$AY$7,2,1),""),IF(S2&gt;=$AZ$2,VLOOKUP(S2,$AZ$2:$BA$7,2,1),"")))</f>
        <v>30</v>
      </c>
      <c r="U2" s="127">
        <v>84</v>
      </c>
      <c r="V2" s="155">
        <f t="shared" ref="V2:V65" si="2">IF(OR(N2="",U2="",T2=""),"",U2/N2*T2)</f>
        <v>2520</v>
      </c>
      <c r="W2" s="156">
        <v>6</v>
      </c>
      <c r="X2" s="157" t="s">
        <v>46</v>
      </c>
      <c r="Y2" s="157" t="s">
        <v>86</v>
      </c>
      <c r="Z2" s="157" t="s">
        <v>55</v>
      </c>
      <c r="AA2" s="157" t="s">
        <v>47</v>
      </c>
      <c r="AB2" s="53" t="s">
        <v>258</v>
      </c>
      <c r="AE2" s="64" t="s">
        <v>35</v>
      </c>
      <c r="AG2" s="67" t="s">
        <v>356</v>
      </c>
      <c r="AH2" s="67" t="s">
        <v>357</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185</v>
      </c>
      <c r="E3" s="158" t="s">
        <v>356</v>
      </c>
      <c r="F3" s="158" t="s">
        <v>357</v>
      </c>
      <c r="G3" s="161" t="s">
        <v>36</v>
      </c>
      <c r="H3" s="127" t="s">
        <v>165</v>
      </c>
      <c r="I3" s="127" t="s">
        <v>159</v>
      </c>
      <c r="J3" s="127" t="s">
        <v>38</v>
      </c>
      <c r="K3" s="127" t="s">
        <v>161</v>
      </c>
      <c r="L3" s="53">
        <v>2</v>
      </c>
      <c r="N3" s="53">
        <v>1</v>
      </c>
      <c r="O3" s="53">
        <v>0.8</v>
      </c>
      <c r="P3" s="34">
        <v>0.9</v>
      </c>
      <c r="Q3" s="162">
        <f t="shared" si="0"/>
        <v>0.85000000000000009</v>
      </c>
      <c r="R3" s="163">
        <v>14.5</v>
      </c>
      <c r="S3" s="163">
        <v>120</v>
      </c>
      <c r="T3" s="16">
        <f t="shared" si="1"/>
        <v>30</v>
      </c>
      <c r="U3" s="164">
        <v>84</v>
      </c>
      <c r="V3" s="38">
        <f t="shared" si="2"/>
        <v>2520</v>
      </c>
      <c r="W3" s="165">
        <v>6</v>
      </c>
      <c r="X3" s="166" t="s">
        <v>46</v>
      </c>
      <c r="Y3" s="166" t="s">
        <v>86</v>
      </c>
      <c r="Z3" s="166" t="s">
        <v>55</v>
      </c>
      <c r="AA3" s="157" t="s">
        <v>47</v>
      </c>
      <c r="AB3" s="53" t="s">
        <v>158</v>
      </c>
      <c r="AE3" s="22" t="s">
        <v>41</v>
      </c>
      <c r="AG3" s="67" t="s">
        <v>358</v>
      </c>
      <c r="AH3" s="67" t="s">
        <v>359</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185</v>
      </c>
      <c r="E4" s="158" t="s">
        <v>356</v>
      </c>
      <c r="F4" s="158" t="s">
        <v>357</v>
      </c>
      <c r="G4" s="161" t="s">
        <v>36</v>
      </c>
      <c r="H4" s="127" t="s">
        <v>165</v>
      </c>
      <c r="I4" s="127" t="s">
        <v>159</v>
      </c>
      <c r="J4" s="127" t="s">
        <v>38</v>
      </c>
      <c r="K4" s="127" t="s">
        <v>161</v>
      </c>
      <c r="L4" s="53">
        <v>3</v>
      </c>
      <c r="N4" s="53">
        <v>1</v>
      </c>
      <c r="O4" s="53">
        <v>0.85</v>
      </c>
      <c r="P4" s="34">
        <v>0.8</v>
      </c>
      <c r="Q4" s="74">
        <f t="shared" si="0"/>
        <v>0.82499999999999996</v>
      </c>
      <c r="R4" s="168">
        <v>14.5</v>
      </c>
      <c r="S4" s="168">
        <v>125</v>
      </c>
      <c r="T4" s="16">
        <f t="shared" si="1"/>
        <v>30</v>
      </c>
      <c r="U4" s="169">
        <v>84</v>
      </c>
      <c r="V4" s="38">
        <f t="shared" si="2"/>
        <v>2520</v>
      </c>
      <c r="W4" s="165">
        <v>6</v>
      </c>
      <c r="X4" s="166" t="s">
        <v>46</v>
      </c>
      <c r="Y4" s="166" t="s">
        <v>86</v>
      </c>
      <c r="Z4" s="166" t="s">
        <v>55</v>
      </c>
      <c r="AA4" s="157" t="s">
        <v>47</v>
      </c>
      <c r="AB4" s="53" t="s">
        <v>158</v>
      </c>
      <c r="AE4" s="22" t="s">
        <v>34</v>
      </c>
      <c r="AG4" s="67" t="s">
        <v>360</v>
      </c>
      <c r="AH4" s="67" t="s">
        <v>359</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185</v>
      </c>
      <c r="E5" s="158" t="s">
        <v>356</v>
      </c>
      <c r="F5" s="158" t="s">
        <v>357</v>
      </c>
      <c r="G5" s="161" t="s">
        <v>36</v>
      </c>
      <c r="H5" s="127" t="s">
        <v>160</v>
      </c>
      <c r="I5" s="127" t="s">
        <v>159</v>
      </c>
      <c r="J5" s="127" t="s">
        <v>38</v>
      </c>
      <c r="K5" s="127" t="s">
        <v>161</v>
      </c>
      <c r="L5" s="53">
        <v>1</v>
      </c>
      <c r="N5" s="53">
        <v>1</v>
      </c>
      <c r="O5" s="53">
        <v>0.95</v>
      </c>
      <c r="P5" s="53">
        <v>1</v>
      </c>
      <c r="Q5" s="74">
        <f t="shared" si="0"/>
        <v>0.97499999999999998</v>
      </c>
      <c r="R5" s="168">
        <v>17.100000000000001</v>
      </c>
      <c r="S5" s="168">
        <v>128</v>
      </c>
      <c r="T5" s="16">
        <f t="shared" si="1"/>
        <v>30</v>
      </c>
      <c r="U5" s="169">
        <v>138</v>
      </c>
      <c r="V5" s="38">
        <f t="shared" si="2"/>
        <v>4140</v>
      </c>
      <c r="W5" s="165">
        <v>6</v>
      </c>
      <c r="X5" s="166" t="s">
        <v>46</v>
      </c>
      <c r="Y5" s="166" t="s">
        <v>86</v>
      </c>
      <c r="Z5" s="166" t="s">
        <v>55</v>
      </c>
      <c r="AA5" s="157" t="s">
        <v>47</v>
      </c>
      <c r="AB5" s="53" t="s">
        <v>158</v>
      </c>
      <c r="AE5" s="22" t="s">
        <v>51</v>
      </c>
      <c r="AG5" s="67" t="s">
        <v>356</v>
      </c>
      <c r="AH5" s="67" t="s">
        <v>361</v>
      </c>
      <c r="AJ5" s="171"/>
      <c r="AL5" s="72" t="s">
        <v>66</v>
      </c>
      <c r="AN5" s="72" t="s">
        <v>52</v>
      </c>
      <c r="AP5" s="23" t="s">
        <v>119</v>
      </c>
      <c r="AR5" s="23" t="s">
        <v>54</v>
      </c>
      <c r="AV5" s="23" t="s">
        <v>55</v>
      </c>
      <c r="AX5" s="24">
        <v>84</v>
      </c>
      <c r="AY5" s="25">
        <v>39</v>
      </c>
      <c r="AZ5" s="25">
        <v>84</v>
      </c>
      <c r="BA5" s="26">
        <v>36</v>
      </c>
    </row>
    <row r="6" spans="1:53" x14ac:dyDescent="0.15">
      <c r="A6" s="158" t="s">
        <v>34</v>
      </c>
      <c r="B6" s="158" t="s">
        <v>157</v>
      </c>
      <c r="C6" s="158">
        <v>2019</v>
      </c>
      <c r="D6" s="160" t="s">
        <v>185</v>
      </c>
      <c r="E6" s="158" t="s">
        <v>356</v>
      </c>
      <c r="F6" s="158" t="s">
        <v>357</v>
      </c>
      <c r="G6" s="161" t="s">
        <v>36</v>
      </c>
      <c r="H6" s="127" t="s">
        <v>160</v>
      </c>
      <c r="I6" s="127" t="s">
        <v>159</v>
      </c>
      <c r="J6" s="127" t="s">
        <v>38</v>
      </c>
      <c r="K6" s="127" t="s">
        <v>161</v>
      </c>
      <c r="L6" s="53">
        <v>2</v>
      </c>
      <c r="N6" s="53">
        <v>1</v>
      </c>
      <c r="O6" s="53">
        <v>0.8</v>
      </c>
      <c r="P6" s="53">
        <v>0.85</v>
      </c>
      <c r="Q6" s="74">
        <f t="shared" si="0"/>
        <v>0.82499999999999996</v>
      </c>
      <c r="R6" s="168">
        <v>17.399999999999999</v>
      </c>
      <c r="S6" s="168">
        <v>132</v>
      </c>
      <c r="T6" s="16">
        <f t="shared" si="1"/>
        <v>30</v>
      </c>
      <c r="U6" s="169">
        <v>138</v>
      </c>
      <c r="V6" s="38">
        <f t="shared" si="2"/>
        <v>4140</v>
      </c>
      <c r="W6" s="165">
        <v>6</v>
      </c>
      <c r="X6" s="166" t="s">
        <v>46</v>
      </c>
      <c r="Y6" s="166" t="s">
        <v>86</v>
      </c>
      <c r="Z6" s="166" t="s">
        <v>55</v>
      </c>
      <c r="AA6" s="157" t="s">
        <v>47</v>
      </c>
      <c r="AB6" s="53" t="s">
        <v>158</v>
      </c>
      <c r="AE6" s="22" t="s">
        <v>56</v>
      </c>
      <c r="AG6" s="67" t="s">
        <v>210</v>
      </c>
      <c r="AH6" s="67" t="s">
        <v>362</v>
      </c>
      <c r="AL6" s="72" t="s">
        <v>99</v>
      </c>
      <c r="AN6" s="72" t="s">
        <v>57</v>
      </c>
      <c r="AP6" s="23" t="s">
        <v>53</v>
      </c>
      <c r="AR6" s="23" t="s">
        <v>59</v>
      </c>
      <c r="AV6" s="23" t="s">
        <v>60</v>
      </c>
      <c r="AX6" s="24">
        <v>97</v>
      </c>
      <c r="AY6" s="25">
        <v>36</v>
      </c>
      <c r="AZ6" s="25">
        <v>99</v>
      </c>
      <c r="BA6" s="26">
        <v>33</v>
      </c>
    </row>
    <row r="7" spans="1:53" x14ac:dyDescent="0.15">
      <c r="A7" s="158" t="s">
        <v>34</v>
      </c>
      <c r="B7" s="158" t="s">
        <v>157</v>
      </c>
      <c r="C7" s="159">
        <v>2019</v>
      </c>
      <c r="D7" s="160" t="s">
        <v>185</v>
      </c>
      <c r="E7" s="158" t="s">
        <v>356</v>
      </c>
      <c r="F7" s="158" t="s">
        <v>357</v>
      </c>
      <c r="G7" s="161" t="s">
        <v>36</v>
      </c>
      <c r="H7" s="127" t="s">
        <v>160</v>
      </c>
      <c r="I7" s="127" t="s">
        <v>159</v>
      </c>
      <c r="J7" s="127" t="s">
        <v>38</v>
      </c>
      <c r="K7" s="127" t="s">
        <v>161</v>
      </c>
      <c r="L7" s="53">
        <v>3</v>
      </c>
      <c r="N7" s="53">
        <v>1</v>
      </c>
      <c r="O7" s="53">
        <v>0.85</v>
      </c>
      <c r="P7" s="53">
        <v>0.8</v>
      </c>
      <c r="Q7" s="74">
        <f t="shared" si="0"/>
        <v>0.82499999999999996</v>
      </c>
      <c r="R7" s="168">
        <v>17.5</v>
      </c>
      <c r="S7" s="168">
        <v>120</v>
      </c>
      <c r="T7" s="16">
        <f t="shared" si="1"/>
        <v>30</v>
      </c>
      <c r="U7" s="169">
        <v>138</v>
      </c>
      <c r="V7" s="38">
        <f t="shared" si="2"/>
        <v>4140</v>
      </c>
      <c r="W7" s="165">
        <v>6</v>
      </c>
      <c r="X7" s="166" t="s">
        <v>46</v>
      </c>
      <c r="Y7" s="166" t="s">
        <v>86</v>
      </c>
      <c r="Z7" s="166" t="s">
        <v>55</v>
      </c>
      <c r="AA7" s="157" t="s">
        <v>47</v>
      </c>
      <c r="AB7" s="53" t="s">
        <v>158</v>
      </c>
      <c r="AE7" s="22" t="s">
        <v>61</v>
      </c>
      <c r="AG7" s="67" t="s">
        <v>363</v>
      </c>
      <c r="AH7" s="67" t="s">
        <v>362</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185</v>
      </c>
      <c r="E8" s="159" t="s">
        <v>358</v>
      </c>
      <c r="F8" s="158" t="s">
        <v>359</v>
      </c>
      <c r="G8" s="161" t="s">
        <v>36</v>
      </c>
      <c r="H8" s="127" t="s">
        <v>165</v>
      </c>
      <c r="I8" s="127" t="s">
        <v>159</v>
      </c>
      <c r="J8" s="127" t="s">
        <v>38</v>
      </c>
      <c r="K8" s="127" t="s">
        <v>161</v>
      </c>
      <c r="L8" s="53">
        <v>1</v>
      </c>
      <c r="N8" s="53">
        <v>5</v>
      </c>
      <c r="O8" s="53">
        <v>0.4</v>
      </c>
      <c r="P8" s="53">
        <v>0.35</v>
      </c>
      <c r="Q8" s="74">
        <f t="shared" si="0"/>
        <v>0.375</v>
      </c>
      <c r="R8" s="168">
        <v>16.399999999999999</v>
      </c>
      <c r="S8" s="168">
        <v>87</v>
      </c>
      <c r="T8" s="16">
        <f t="shared" si="1"/>
        <v>36</v>
      </c>
      <c r="U8" s="164">
        <v>398</v>
      </c>
      <c r="V8" s="38">
        <f t="shared" si="2"/>
        <v>2865.6</v>
      </c>
      <c r="W8" s="165">
        <v>4</v>
      </c>
      <c r="X8" s="166" t="s">
        <v>46</v>
      </c>
      <c r="Y8" s="172" t="s">
        <v>86</v>
      </c>
      <c r="Z8" s="166" t="s">
        <v>75</v>
      </c>
      <c r="AA8" s="157" t="s">
        <v>69</v>
      </c>
      <c r="AB8" s="53" t="s">
        <v>158</v>
      </c>
      <c r="AE8" s="22" t="s">
        <v>59</v>
      </c>
      <c r="AG8" s="67" t="s">
        <v>210</v>
      </c>
      <c r="AH8" s="67" t="s">
        <v>364</v>
      </c>
      <c r="AL8" s="34" t="s">
        <v>134</v>
      </c>
      <c r="AP8" s="23" t="s">
        <v>62</v>
      </c>
      <c r="AR8" s="23" t="s">
        <v>81</v>
      </c>
      <c r="AV8" s="23" t="s">
        <v>97</v>
      </c>
      <c r="AX8" s="24">
        <v>151</v>
      </c>
      <c r="AY8" s="25">
        <v>22</v>
      </c>
      <c r="AZ8" s="25">
        <v>152</v>
      </c>
      <c r="BA8" s="26">
        <v>18</v>
      </c>
    </row>
    <row r="9" spans="1:53" x14ac:dyDescent="0.15">
      <c r="A9" s="158" t="s">
        <v>34</v>
      </c>
      <c r="B9" s="158" t="s">
        <v>157</v>
      </c>
      <c r="C9" s="159">
        <v>2019</v>
      </c>
      <c r="D9" s="160" t="s">
        <v>185</v>
      </c>
      <c r="E9" s="159" t="s">
        <v>358</v>
      </c>
      <c r="F9" s="158" t="s">
        <v>359</v>
      </c>
      <c r="G9" s="161" t="s">
        <v>36</v>
      </c>
      <c r="H9" s="127" t="s">
        <v>165</v>
      </c>
      <c r="I9" s="127" t="s">
        <v>159</v>
      </c>
      <c r="J9" s="127" t="s">
        <v>38</v>
      </c>
      <c r="K9" s="127" t="s">
        <v>161</v>
      </c>
      <c r="L9" s="53">
        <v>2</v>
      </c>
      <c r="N9" s="53">
        <v>5</v>
      </c>
      <c r="O9" s="53">
        <v>0.4</v>
      </c>
      <c r="P9" s="53">
        <v>0.5</v>
      </c>
      <c r="Q9" s="74">
        <f t="shared" si="0"/>
        <v>0.45</v>
      </c>
      <c r="R9" s="168">
        <v>16.2</v>
      </c>
      <c r="S9" s="168">
        <v>89</v>
      </c>
      <c r="T9" s="16">
        <f t="shared" si="1"/>
        <v>36</v>
      </c>
      <c r="U9" s="164">
        <v>398</v>
      </c>
      <c r="V9" s="38">
        <f t="shared" si="2"/>
        <v>2865.6</v>
      </c>
      <c r="W9" s="165">
        <v>4</v>
      </c>
      <c r="X9" s="166" t="s">
        <v>46</v>
      </c>
      <c r="Y9" s="172" t="s">
        <v>86</v>
      </c>
      <c r="Z9" s="166" t="s">
        <v>75</v>
      </c>
      <c r="AA9" s="157" t="s">
        <v>69</v>
      </c>
      <c r="AB9" s="53" t="s">
        <v>158</v>
      </c>
      <c r="AE9" s="22" t="s">
        <v>98</v>
      </c>
      <c r="AG9" s="67" t="s">
        <v>139</v>
      </c>
      <c r="AH9" s="67" t="s">
        <v>364</v>
      </c>
      <c r="AL9" s="72"/>
      <c r="AP9" s="23" t="s">
        <v>95</v>
      </c>
      <c r="AR9" s="23" t="s">
        <v>89</v>
      </c>
      <c r="AV9" s="23" t="s">
        <v>102</v>
      </c>
      <c r="AX9" s="31">
        <v>180</v>
      </c>
      <c r="AY9" s="32">
        <v>18</v>
      </c>
      <c r="AZ9" s="32">
        <v>181</v>
      </c>
      <c r="BA9" s="33">
        <v>16</v>
      </c>
    </row>
    <row r="10" spans="1:53" x14ac:dyDescent="0.15">
      <c r="A10" s="158" t="s">
        <v>34</v>
      </c>
      <c r="B10" s="158" t="s">
        <v>157</v>
      </c>
      <c r="C10" s="158">
        <v>2019</v>
      </c>
      <c r="D10" s="160" t="s">
        <v>185</v>
      </c>
      <c r="E10" s="159" t="s">
        <v>358</v>
      </c>
      <c r="F10" s="158" t="s">
        <v>359</v>
      </c>
      <c r="G10" s="161" t="s">
        <v>36</v>
      </c>
      <c r="H10" s="127" t="s">
        <v>165</v>
      </c>
      <c r="I10" s="127" t="s">
        <v>159</v>
      </c>
      <c r="J10" s="127" t="s">
        <v>38</v>
      </c>
      <c r="K10" s="127" t="s">
        <v>161</v>
      </c>
      <c r="L10" s="53">
        <v>3</v>
      </c>
      <c r="N10" s="53">
        <v>5</v>
      </c>
      <c r="O10" s="53">
        <v>0.4</v>
      </c>
      <c r="P10" s="53">
        <v>0.4</v>
      </c>
      <c r="Q10" s="74">
        <f t="shared" si="0"/>
        <v>0.4</v>
      </c>
      <c r="R10" s="168">
        <v>16.5</v>
      </c>
      <c r="S10" s="168">
        <v>92</v>
      </c>
      <c r="T10" s="16">
        <f t="shared" si="1"/>
        <v>36</v>
      </c>
      <c r="U10" s="164">
        <v>398</v>
      </c>
      <c r="V10" s="38">
        <f t="shared" si="2"/>
        <v>2865.6</v>
      </c>
      <c r="W10" s="165">
        <v>4</v>
      </c>
      <c r="X10" s="166" t="s">
        <v>46</v>
      </c>
      <c r="Y10" s="172" t="s">
        <v>86</v>
      </c>
      <c r="Z10" s="166" t="s">
        <v>75</v>
      </c>
      <c r="AA10" s="157" t="s">
        <v>69</v>
      </c>
      <c r="AB10" s="53" t="s">
        <v>158</v>
      </c>
      <c r="AE10" s="22" t="s">
        <v>103</v>
      </c>
      <c r="AG10" s="67" t="s">
        <v>133</v>
      </c>
      <c r="AH10" s="67" t="s">
        <v>365</v>
      </c>
      <c r="AL10" s="34"/>
      <c r="AP10" s="23" t="s">
        <v>100</v>
      </c>
      <c r="AR10" s="23" t="s">
        <v>123</v>
      </c>
      <c r="AV10" s="23" t="s">
        <v>106</v>
      </c>
    </row>
    <row r="11" spans="1:53" x14ac:dyDescent="0.15">
      <c r="A11" s="158" t="s">
        <v>34</v>
      </c>
      <c r="B11" s="158" t="s">
        <v>157</v>
      </c>
      <c r="C11" s="159">
        <v>2019</v>
      </c>
      <c r="D11" s="160" t="s">
        <v>185</v>
      </c>
      <c r="E11" s="159" t="s">
        <v>358</v>
      </c>
      <c r="F11" s="158" t="s">
        <v>359</v>
      </c>
      <c r="G11" s="161" t="s">
        <v>36</v>
      </c>
      <c r="H11" s="127" t="s">
        <v>160</v>
      </c>
      <c r="I11" s="127" t="s">
        <v>159</v>
      </c>
      <c r="J11" s="127" t="s">
        <v>38</v>
      </c>
      <c r="K11" s="127" t="s">
        <v>161</v>
      </c>
      <c r="L11" s="53">
        <v>1</v>
      </c>
      <c r="N11" s="53">
        <v>4</v>
      </c>
      <c r="O11" s="53">
        <v>0.55000000000000004</v>
      </c>
      <c r="P11" s="53">
        <v>0.6</v>
      </c>
      <c r="Q11" s="74">
        <f t="shared" si="0"/>
        <v>0.57499999999999996</v>
      </c>
      <c r="R11" s="168">
        <v>17.399999999999999</v>
      </c>
      <c r="S11" s="168">
        <v>94</v>
      </c>
      <c r="T11" s="16">
        <f t="shared" si="1"/>
        <v>36</v>
      </c>
      <c r="U11" s="164">
        <v>498</v>
      </c>
      <c r="V11" s="38">
        <f t="shared" si="2"/>
        <v>4482</v>
      </c>
      <c r="W11" s="165">
        <v>4</v>
      </c>
      <c r="X11" s="166" t="s">
        <v>46</v>
      </c>
      <c r="Y11" s="172" t="s">
        <v>86</v>
      </c>
      <c r="Z11" s="166" t="s">
        <v>75</v>
      </c>
      <c r="AA11" s="172" t="s">
        <v>69</v>
      </c>
      <c r="AB11" s="53" t="s">
        <v>158</v>
      </c>
      <c r="AE11" s="22" t="s">
        <v>65</v>
      </c>
      <c r="AG11" s="23" t="s">
        <v>269</v>
      </c>
      <c r="AH11" s="23" t="s">
        <v>366</v>
      </c>
      <c r="AL11" s="34"/>
      <c r="AP11" s="23" t="s">
        <v>104</v>
      </c>
      <c r="AR11" s="23" t="s">
        <v>87</v>
      </c>
      <c r="AV11" s="23" t="s">
        <v>69</v>
      </c>
    </row>
    <row r="12" spans="1:53" x14ac:dyDescent="0.15">
      <c r="A12" s="158" t="s">
        <v>34</v>
      </c>
      <c r="B12" s="158" t="s">
        <v>157</v>
      </c>
      <c r="C12" s="158">
        <v>2019</v>
      </c>
      <c r="D12" s="160" t="s">
        <v>185</v>
      </c>
      <c r="E12" s="159" t="s">
        <v>358</v>
      </c>
      <c r="F12" s="158" t="s">
        <v>359</v>
      </c>
      <c r="G12" s="161" t="s">
        <v>36</v>
      </c>
      <c r="H12" s="127" t="s">
        <v>160</v>
      </c>
      <c r="I12" s="127" t="s">
        <v>159</v>
      </c>
      <c r="J12" s="127" t="s">
        <v>38</v>
      </c>
      <c r="K12" s="127" t="s">
        <v>161</v>
      </c>
      <c r="L12" s="53">
        <v>2</v>
      </c>
      <c r="N12" s="53">
        <v>4</v>
      </c>
      <c r="O12" s="53">
        <v>0.6</v>
      </c>
      <c r="P12" s="53">
        <v>0.55000000000000004</v>
      </c>
      <c r="Q12" s="74">
        <f t="shared" si="0"/>
        <v>0.57499999999999996</v>
      </c>
      <c r="R12" s="168">
        <v>17.7</v>
      </c>
      <c r="S12" s="168">
        <v>103</v>
      </c>
      <c r="T12" s="16">
        <f t="shared" si="1"/>
        <v>33</v>
      </c>
      <c r="U12" s="164">
        <v>498</v>
      </c>
      <c r="V12" s="38">
        <f t="shared" si="2"/>
        <v>4108.5</v>
      </c>
      <c r="W12" s="165">
        <v>4</v>
      </c>
      <c r="X12" s="166" t="s">
        <v>46</v>
      </c>
      <c r="Y12" s="172" t="s">
        <v>86</v>
      </c>
      <c r="Z12" s="166" t="s">
        <v>75</v>
      </c>
      <c r="AA12" s="172" t="s">
        <v>69</v>
      </c>
      <c r="AB12" s="53" t="s">
        <v>158</v>
      </c>
      <c r="AE12" s="22" t="s">
        <v>70</v>
      </c>
      <c r="AG12" s="23"/>
      <c r="AH12" s="23"/>
      <c r="AL12" s="34"/>
      <c r="AP12" s="23" t="s">
        <v>67</v>
      </c>
      <c r="AR12" s="23" t="s">
        <v>124</v>
      </c>
      <c r="AV12" s="23" t="s">
        <v>72</v>
      </c>
    </row>
    <row r="13" spans="1:53" x14ac:dyDescent="0.15">
      <c r="A13" s="158" t="s">
        <v>34</v>
      </c>
      <c r="B13" s="158" t="s">
        <v>157</v>
      </c>
      <c r="C13" s="159">
        <v>2019</v>
      </c>
      <c r="D13" s="160" t="s">
        <v>185</v>
      </c>
      <c r="E13" s="159" t="s">
        <v>358</v>
      </c>
      <c r="F13" s="158" t="s">
        <v>359</v>
      </c>
      <c r="G13" s="161" t="s">
        <v>36</v>
      </c>
      <c r="H13" s="127" t="s">
        <v>160</v>
      </c>
      <c r="I13" s="127" t="s">
        <v>159</v>
      </c>
      <c r="J13" s="127" t="s">
        <v>38</v>
      </c>
      <c r="K13" s="127" t="s">
        <v>161</v>
      </c>
      <c r="L13" s="53">
        <v>3</v>
      </c>
      <c r="N13" s="53">
        <v>4</v>
      </c>
      <c r="O13" s="53">
        <v>0.55000000000000004</v>
      </c>
      <c r="P13" s="53">
        <v>0.7</v>
      </c>
      <c r="Q13" s="74">
        <f t="shared" si="0"/>
        <v>0.625</v>
      </c>
      <c r="R13" s="168">
        <v>16.8</v>
      </c>
      <c r="S13" s="168">
        <v>94</v>
      </c>
      <c r="T13" s="16">
        <f t="shared" si="1"/>
        <v>36</v>
      </c>
      <c r="U13" s="164">
        <v>498</v>
      </c>
      <c r="V13" s="38">
        <f t="shared" si="2"/>
        <v>4482</v>
      </c>
      <c r="W13" s="165">
        <v>4</v>
      </c>
      <c r="X13" s="166" t="s">
        <v>46</v>
      </c>
      <c r="Y13" s="172" t="s">
        <v>86</v>
      </c>
      <c r="Z13" s="166" t="s">
        <v>75</v>
      </c>
      <c r="AA13" s="172" t="s">
        <v>69</v>
      </c>
      <c r="AB13" s="53" t="s">
        <v>158</v>
      </c>
      <c r="AE13" s="22" t="s">
        <v>73</v>
      </c>
      <c r="AG13" s="28"/>
      <c r="AH13" s="28"/>
      <c r="AP13" s="23" t="s">
        <v>71</v>
      </c>
      <c r="AR13" s="23" t="s">
        <v>103</v>
      </c>
      <c r="AV13" s="23" t="s">
        <v>75</v>
      </c>
    </row>
    <row r="14" spans="1:53" x14ac:dyDescent="0.15">
      <c r="A14" s="158" t="s">
        <v>34</v>
      </c>
      <c r="B14" s="158" t="s">
        <v>157</v>
      </c>
      <c r="C14" s="158">
        <v>2019</v>
      </c>
      <c r="D14" s="160" t="s">
        <v>185</v>
      </c>
      <c r="E14" s="159" t="s">
        <v>360</v>
      </c>
      <c r="F14" s="158" t="s">
        <v>359</v>
      </c>
      <c r="G14" s="161" t="s">
        <v>36</v>
      </c>
      <c r="H14" s="127" t="s">
        <v>165</v>
      </c>
      <c r="I14" s="127" t="s">
        <v>159</v>
      </c>
      <c r="J14" s="127" t="s">
        <v>38</v>
      </c>
      <c r="K14" s="127" t="s">
        <v>161</v>
      </c>
      <c r="L14" s="53">
        <v>1</v>
      </c>
      <c r="N14" s="53">
        <v>1</v>
      </c>
      <c r="O14" s="53">
        <v>0.9</v>
      </c>
      <c r="P14" s="53">
        <v>1.1000000000000001</v>
      </c>
      <c r="Q14" s="74">
        <f t="shared" si="0"/>
        <v>1</v>
      </c>
      <c r="R14" s="168">
        <v>13.4</v>
      </c>
      <c r="S14" s="168">
        <v>130</v>
      </c>
      <c r="T14" s="16">
        <f t="shared" si="1"/>
        <v>30</v>
      </c>
      <c r="U14" s="164">
        <v>94</v>
      </c>
      <c r="V14" s="38">
        <f t="shared" si="2"/>
        <v>2820</v>
      </c>
      <c r="W14" s="165">
        <v>6</v>
      </c>
      <c r="X14" s="166" t="s">
        <v>46</v>
      </c>
      <c r="Y14" s="172" t="s">
        <v>97</v>
      </c>
      <c r="Z14" s="172" t="s">
        <v>78</v>
      </c>
      <c r="AA14" s="172" t="s">
        <v>69</v>
      </c>
      <c r="AB14" s="53" t="s">
        <v>158</v>
      </c>
      <c r="AC14" s="34"/>
      <c r="AE14" s="22" t="s">
        <v>76</v>
      </c>
      <c r="AP14" s="23" t="s">
        <v>74</v>
      </c>
      <c r="AR14" s="23" t="s">
        <v>125</v>
      </c>
      <c r="AV14" s="23" t="s">
        <v>78</v>
      </c>
    </row>
    <row r="15" spans="1:53" x14ac:dyDescent="0.15">
      <c r="A15" s="158" t="s">
        <v>34</v>
      </c>
      <c r="B15" s="158" t="s">
        <v>157</v>
      </c>
      <c r="C15" s="159">
        <v>2019</v>
      </c>
      <c r="D15" s="160" t="s">
        <v>185</v>
      </c>
      <c r="E15" s="159" t="s">
        <v>360</v>
      </c>
      <c r="F15" s="158" t="s">
        <v>359</v>
      </c>
      <c r="G15" s="161" t="s">
        <v>36</v>
      </c>
      <c r="H15" s="127" t="s">
        <v>165</v>
      </c>
      <c r="I15" s="127" t="s">
        <v>159</v>
      </c>
      <c r="J15" s="127" t="s">
        <v>38</v>
      </c>
      <c r="K15" s="127" t="s">
        <v>161</v>
      </c>
      <c r="L15" s="53">
        <v>2</v>
      </c>
      <c r="N15" s="53">
        <v>1</v>
      </c>
      <c r="O15" s="53">
        <v>0.95</v>
      </c>
      <c r="P15" s="53">
        <v>0.9</v>
      </c>
      <c r="Q15" s="74">
        <f t="shared" si="0"/>
        <v>0.92500000000000004</v>
      </c>
      <c r="R15" s="168">
        <v>13.3</v>
      </c>
      <c r="S15" s="168">
        <v>127</v>
      </c>
      <c r="T15" s="16">
        <f t="shared" si="1"/>
        <v>30</v>
      </c>
      <c r="U15" s="164">
        <v>94</v>
      </c>
      <c r="V15" s="38">
        <f t="shared" si="2"/>
        <v>2820</v>
      </c>
      <c r="W15" s="165">
        <v>6</v>
      </c>
      <c r="X15" s="166" t="s">
        <v>46</v>
      </c>
      <c r="Y15" s="172" t="s">
        <v>97</v>
      </c>
      <c r="Z15" s="172" t="s">
        <v>78</v>
      </c>
      <c r="AA15" s="172" t="s">
        <v>69</v>
      </c>
      <c r="AB15" s="53" t="s">
        <v>158</v>
      </c>
      <c r="AC15" s="34"/>
      <c r="AE15" s="22" t="s">
        <v>79</v>
      </c>
      <c r="AP15" s="23" t="s">
        <v>77</v>
      </c>
      <c r="AR15" s="23" t="s">
        <v>94</v>
      </c>
      <c r="AV15" s="23" t="s">
        <v>107</v>
      </c>
    </row>
    <row r="16" spans="1:53" x14ac:dyDescent="0.15">
      <c r="A16" s="158" t="s">
        <v>34</v>
      </c>
      <c r="B16" s="158" t="s">
        <v>157</v>
      </c>
      <c r="C16" s="158">
        <v>2019</v>
      </c>
      <c r="D16" s="160" t="s">
        <v>185</v>
      </c>
      <c r="E16" s="159" t="s">
        <v>360</v>
      </c>
      <c r="F16" s="158" t="s">
        <v>359</v>
      </c>
      <c r="G16" s="161" t="s">
        <v>36</v>
      </c>
      <c r="H16" s="127" t="s">
        <v>165</v>
      </c>
      <c r="I16" s="127" t="s">
        <v>159</v>
      </c>
      <c r="J16" s="127" t="s">
        <v>38</v>
      </c>
      <c r="K16" s="127" t="s">
        <v>161</v>
      </c>
      <c r="L16" s="53">
        <v>3</v>
      </c>
      <c r="N16" s="53">
        <v>1</v>
      </c>
      <c r="O16" s="53">
        <v>0.8</v>
      </c>
      <c r="P16" s="53">
        <v>0.85</v>
      </c>
      <c r="Q16" s="74">
        <f t="shared" si="0"/>
        <v>0.82499999999999996</v>
      </c>
      <c r="R16" s="168">
        <v>14.3</v>
      </c>
      <c r="S16" s="168">
        <v>132</v>
      </c>
      <c r="T16" s="16">
        <f t="shared" si="1"/>
        <v>30</v>
      </c>
      <c r="U16" s="164">
        <v>94</v>
      </c>
      <c r="V16" s="38">
        <f t="shared" si="2"/>
        <v>2820</v>
      </c>
      <c r="W16" s="165">
        <v>6</v>
      </c>
      <c r="X16" s="166" t="s">
        <v>46</v>
      </c>
      <c r="Y16" s="172" t="s">
        <v>97</v>
      </c>
      <c r="Z16" s="172" t="s">
        <v>78</v>
      </c>
      <c r="AA16" s="172" t="s">
        <v>69</v>
      </c>
      <c r="AB16" s="53" t="s">
        <v>158</v>
      </c>
      <c r="AC16" s="34"/>
      <c r="AE16" s="22" t="s">
        <v>82</v>
      </c>
      <c r="AP16" s="23" t="s">
        <v>80</v>
      </c>
      <c r="AR16" s="23" t="s">
        <v>63</v>
      </c>
      <c r="AV16" s="23" t="s">
        <v>84</v>
      </c>
    </row>
    <row r="17" spans="1:48" x14ac:dyDescent="0.15">
      <c r="A17" s="158" t="s">
        <v>34</v>
      </c>
      <c r="B17" s="158" t="s">
        <v>157</v>
      </c>
      <c r="C17" s="159">
        <v>2019</v>
      </c>
      <c r="D17" s="160" t="s">
        <v>185</v>
      </c>
      <c r="E17" s="159" t="s">
        <v>360</v>
      </c>
      <c r="F17" s="158" t="s">
        <v>359</v>
      </c>
      <c r="G17" s="161" t="s">
        <v>36</v>
      </c>
      <c r="H17" s="127" t="s">
        <v>160</v>
      </c>
      <c r="I17" s="127" t="s">
        <v>159</v>
      </c>
      <c r="J17" s="127" t="s">
        <v>38</v>
      </c>
      <c r="K17" s="127" t="s">
        <v>161</v>
      </c>
      <c r="L17" s="53">
        <v>1</v>
      </c>
      <c r="N17" s="53">
        <v>1</v>
      </c>
      <c r="O17" s="53">
        <v>0.45</v>
      </c>
      <c r="P17" s="53">
        <v>0.5</v>
      </c>
      <c r="Q17" s="74">
        <f t="shared" si="0"/>
        <v>0.47499999999999998</v>
      </c>
      <c r="R17" s="168">
        <v>14.3</v>
      </c>
      <c r="S17" s="168">
        <v>125</v>
      </c>
      <c r="T17" s="16">
        <f t="shared" si="1"/>
        <v>30</v>
      </c>
      <c r="U17" s="164">
        <v>94</v>
      </c>
      <c r="V17" s="38">
        <f t="shared" si="2"/>
        <v>2820</v>
      </c>
      <c r="W17" s="165">
        <v>6</v>
      </c>
      <c r="X17" s="166" t="s">
        <v>46</v>
      </c>
      <c r="Y17" s="172" t="s">
        <v>97</v>
      </c>
      <c r="Z17" s="172" t="s">
        <v>78</v>
      </c>
      <c r="AA17" s="172" t="s">
        <v>69</v>
      </c>
      <c r="AB17" s="53" t="s">
        <v>158</v>
      </c>
      <c r="AC17" s="34"/>
      <c r="AE17" s="22" t="s">
        <v>85</v>
      </c>
      <c r="AP17" s="27" t="s">
        <v>110</v>
      </c>
      <c r="AR17" s="23" t="s">
        <v>96</v>
      </c>
      <c r="AV17" s="23" t="s">
        <v>86</v>
      </c>
    </row>
    <row r="18" spans="1:48" x14ac:dyDescent="0.15">
      <c r="A18" s="158" t="s">
        <v>34</v>
      </c>
      <c r="B18" s="158" t="s">
        <v>157</v>
      </c>
      <c r="C18" s="158">
        <v>2019</v>
      </c>
      <c r="D18" s="160" t="s">
        <v>185</v>
      </c>
      <c r="E18" s="159" t="s">
        <v>360</v>
      </c>
      <c r="F18" s="158" t="s">
        <v>359</v>
      </c>
      <c r="G18" s="161" t="s">
        <v>36</v>
      </c>
      <c r="H18" s="127" t="s">
        <v>160</v>
      </c>
      <c r="I18" s="127" t="s">
        <v>159</v>
      </c>
      <c r="J18" s="127" t="s">
        <v>38</v>
      </c>
      <c r="K18" s="127" t="s">
        <v>161</v>
      </c>
      <c r="L18" s="53">
        <v>2</v>
      </c>
      <c r="N18" s="53">
        <v>1</v>
      </c>
      <c r="O18" s="53">
        <v>0.6</v>
      </c>
      <c r="P18" s="53">
        <v>0.55000000000000004</v>
      </c>
      <c r="Q18" s="74">
        <f t="shared" si="0"/>
        <v>0.57499999999999996</v>
      </c>
      <c r="R18" s="168">
        <v>16.5</v>
      </c>
      <c r="S18" s="168">
        <v>137</v>
      </c>
      <c r="T18" s="16">
        <f t="shared" si="1"/>
        <v>30</v>
      </c>
      <c r="U18" s="164">
        <v>94</v>
      </c>
      <c r="V18" s="38">
        <f t="shared" si="2"/>
        <v>2820</v>
      </c>
      <c r="W18" s="165">
        <v>6</v>
      </c>
      <c r="X18" s="166" t="s">
        <v>46</v>
      </c>
      <c r="Y18" s="172" t="s">
        <v>97</v>
      </c>
      <c r="Z18" s="172" t="s">
        <v>78</v>
      </c>
      <c r="AA18" s="172" t="s">
        <v>69</v>
      </c>
      <c r="AB18" s="53" t="s">
        <v>158</v>
      </c>
      <c r="AC18" s="34"/>
      <c r="AE18" s="22" t="s">
        <v>87</v>
      </c>
      <c r="AP18" s="27" t="s">
        <v>111</v>
      </c>
      <c r="AR18" s="23" t="s">
        <v>101</v>
      </c>
      <c r="AV18" s="23" t="s">
        <v>88</v>
      </c>
    </row>
    <row r="19" spans="1:48" x14ac:dyDescent="0.15">
      <c r="A19" s="158" t="s">
        <v>34</v>
      </c>
      <c r="B19" s="158" t="s">
        <v>157</v>
      </c>
      <c r="C19" s="159">
        <v>2019</v>
      </c>
      <c r="D19" s="160" t="s">
        <v>185</v>
      </c>
      <c r="E19" s="159" t="s">
        <v>360</v>
      </c>
      <c r="F19" s="158" t="s">
        <v>359</v>
      </c>
      <c r="G19" s="161" t="s">
        <v>36</v>
      </c>
      <c r="H19" s="127" t="s">
        <v>160</v>
      </c>
      <c r="I19" s="127" t="s">
        <v>159</v>
      </c>
      <c r="J19" s="127" t="s">
        <v>38</v>
      </c>
      <c r="K19" s="127" t="s">
        <v>161</v>
      </c>
      <c r="L19" s="53">
        <v>3</v>
      </c>
      <c r="N19" s="53">
        <v>1</v>
      </c>
      <c r="O19" s="53">
        <v>0.5</v>
      </c>
      <c r="P19" s="53">
        <v>0.45</v>
      </c>
      <c r="Q19" s="74">
        <f t="shared" si="0"/>
        <v>0.47499999999999998</v>
      </c>
      <c r="R19" s="168">
        <v>15.4</v>
      </c>
      <c r="S19" s="168">
        <v>143</v>
      </c>
      <c r="T19" s="16">
        <f t="shared" si="1"/>
        <v>30</v>
      </c>
      <c r="U19" s="164">
        <v>94</v>
      </c>
      <c r="V19" s="38">
        <f t="shared" si="2"/>
        <v>2820</v>
      </c>
      <c r="W19" s="165">
        <v>6</v>
      </c>
      <c r="X19" s="166" t="s">
        <v>46</v>
      </c>
      <c r="Y19" s="172" t="s">
        <v>97</v>
      </c>
      <c r="Z19" s="172" t="s">
        <v>78</v>
      </c>
      <c r="AA19" s="172" t="s">
        <v>69</v>
      </c>
      <c r="AB19" s="53" t="s">
        <v>158</v>
      </c>
      <c r="AC19" s="34"/>
      <c r="AE19" s="35" t="s">
        <v>89</v>
      </c>
      <c r="AP19" s="27" t="s">
        <v>112</v>
      </c>
      <c r="AR19" s="23" t="s">
        <v>126</v>
      </c>
      <c r="AV19" s="23" t="s">
        <v>90</v>
      </c>
    </row>
    <row r="20" spans="1:48" x14ac:dyDescent="0.15">
      <c r="A20" s="158" t="s">
        <v>34</v>
      </c>
      <c r="B20" s="158" t="s">
        <v>157</v>
      </c>
      <c r="C20" s="158">
        <v>2019</v>
      </c>
      <c r="D20" s="160" t="s">
        <v>185</v>
      </c>
      <c r="E20" s="159" t="s">
        <v>356</v>
      </c>
      <c r="F20" s="158" t="s">
        <v>361</v>
      </c>
      <c r="G20" s="161" t="s">
        <v>36</v>
      </c>
      <c r="H20" s="127" t="s">
        <v>165</v>
      </c>
      <c r="I20" s="127" t="s">
        <v>159</v>
      </c>
      <c r="J20" s="127" t="s">
        <v>38</v>
      </c>
      <c r="K20" s="127" t="s">
        <v>161</v>
      </c>
      <c r="L20" s="53">
        <v>1</v>
      </c>
      <c r="N20" s="53">
        <v>1</v>
      </c>
      <c r="O20" s="53">
        <v>0.75</v>
      </c>
      <c r="P20" s="53">
        <v>0.7</v>
      </c>
      <c r="Q20" s="74">
        <f t="shared" si="0"/>
        <v>0.72499999999999998</v>
      </c>
      <c r="R20" s="168">
        <v>14.9</v>
      </c>
      <c r="S20" s="168">
        <v>118</v>
      </c>
      <c r="T20" s="16">
        <f t="shared" si="1"/>
        <v>30</v>
      </c>
      <c r="U20" s="164">
        <v>75</v>
      </c>
      <c r="V20" s="38">
        <f t="shared" si="2"/>
        <v>2250</v>
      </c>
      <c r="W20" s="165">
        <v>8</v>
      </c>
      <c r="X20" s="166" t="s">
        <v>46</v>
      </c>
      <c r="Y20" s="172" t="s">
        <v>97</v>
      </c>
      <c r="Z20" s="172" t="s">
        <v>90</v>
      </c>
      <c r="AA20" s="172" t="s">
        <v>88</v>
      </c>
      <c r="AB20" s="53" t="s">
        <v>158</v>
      </c>
      <c r="AE20" s="35"/>
      <c r="AP20" s="27" t="s">
        <v>113</v>
      </c>
      <c r="AR20" s="23" t="s">
        <v>105</v>
      </c>
      <c r="AV20" s="27" t="s">
        <v>135</v>
      </c>
    </row>
    <row r="21" spans="1:48" x14ac:dyDescent="0.15">
      <c r="A21" s="158" t="s">
        <v>34</v>
      </c>
      <c r="B21" s="158" t="s">
        <v>157</v>
      </c>
      <c r="C21" s="159">
        <v>2019</v>
      </c>
      <c r="D21" s="160" t="s">
        <v>185</v>
      </c>
      <c r="E21" s="159" t="s">
        <v>356</v>
      </c>
      <c r="F21" s="158" t="s">
        <v>361</v>
      </c>
      <c r="G21" s="161" t="s">
        <v>36</v>
      </c>
      <c r="H21" s="127" t="s">
        <v>165</v>
      </c>
      <c r="I21" s="127" t="s">
        <v>159</v>
      </c>
      <c r="J21" s="127" t="s">
        <v>38</v>
      </c>
      <c r="K21" s="127" t="s">
        <v>161</v>
      </c>
      <c r="L21" s="53">
        <v>2</v>
      </c>
      <c r="N21" s="53">
        <v>1</v>
      </c>
      <c r="O21" s="53">
        <v>0.75</v>
      </c>
      <c r="P21" s="53">
        <v>0.8</v>
      </c>
      <c r="Q21" s="74">
        <f t="shared" si="0"/>
        <v>0.77500000000000002</v>
      </c>
      <c r="R21" s="168">
        <v>15</v>
      </c>
      <c r="S21" s="168">
        <v>117</v>
      </c>
      <c r="T21" s="16">
        <f t="shared" si="1"/>
        <v>30</v>
      </c>
      <c r="U21" s="164">
        <v>75</v>
      </c>
      <c r="V21" s="38">
        <f t="shared" si="2"/>
        <v>2250</v>
      </c>
      <c r="W21" s="165">
        <v>8</v>
      </c>
      <c r="X21" s="166" t="s">
        <v>46</v>
      </c>
      <c r="Y21" s="172" t="s">
        <v>97</v>
      </c>
      <c r="Z21" s="172" t="s">
        <v>90</v>
      </c>
      <c r="AA21" s="172" t="s">
        <v>88</v>
      </c>
      <c r="AB21" s="53" t="s">
        <v>158</v>
      </c>
      <c r="AE21" s="28"/>
      <c r="AP21" s="27" t="s">
        <v>114</v>
      </c>
      <c r="AR21" s="23" t="s">
        <v>68</v>
      </c>
      <c r="AV21" s="27" t="s">
        <v>136</v>
      </c>
    </row>
    <row r="22" spans="1:48" x14ac:dyDescent="0.15">
      <c r="A22" s="158" t="s">
        <v>34</v>
      </c>
      <c r="B22" s="158" t="s">
        <v>157</v>
      </c>
      <c r="C22" s="158">
        <v>2019</v>
      </c>
      <c r="D22" s="160" t="s">
        <v>185</v>
      </c>
      <c r="E22" s="159" t="s">
        <v>356</v>
      </c>
      <c r="F22" s="158" t="s">
        <v>361</v>
      </c>
      <c r="G22" s="161" t="s">
        <v>36</v>
      </c>
      <c r="H22" s="127" t="s">
        <v>165</v>
      </c>
      <c r="I22" s="127" t="s">
        <v>159</v>
      </c>
      <c r="J22" s="127" t="s">
        <v>38</v>
      </c>
      <c r="K22" s="127" t="s">
        <v>161</v>
      </c>
      <c r="L22" s="53">
        <v>3</v>
      </c>
      <c r="N22" s="53">
        <v>1</v>
      </c>
      <c r="O22" s="53">
        <v>0.8</v>
      </c>
      <c r="P22" s="34">
        <v>0.85</v>
      </c>
      <c r="Q22" s="74">
        <f t="shared" si="0"/>
        <v>0.82499999999999996</v>
      </c>
      <c r="R22" s="168">
        <v>14.6</v>
      </c>
      <c r="S22" s="168">
        <v>113</v>
      </c>
      <c r="T22" s="16">
        <f t="shared" si="1"/>
        <v>30</v>
      </c>
      <c r="U22" s="164">
        <v>75</v>
      </c>
      <c r="V22" s="38">
        <f t="shared" si="2"/>
        <v>2250</v>
      </c>
      <c r="W22" s="165">
        <v>8</v>
      </c>
      <c r="X22" s="166" t="s">
        <v>46</v>
      </c>
      <c r="Y22" s="172" t="s">
        <v>97</v>
      </c>
      <c r="Z22" s="172" t="s">
        <v>90</v>
      </c>
      <c r="AA22" s="172" t="s">
        <v>88</v>
      </c>
      <c r="AB22" s="53" t="s">
        <v>158</v>
      </c>
      <c r="AP22" s="27" t="s">
        <v>115</v>
      </c>
      <c r="AR22" s="23" t="s">
        <v>83</v>
      </c>
      <c r="AV22" s="23"/>
    </row>
    <row r="23" spans="1:48" x14ac:dyDescent="0.15">
      <c r="A23" s="158" t="s">
        <v>34</v>
      </c>
      <c r="B23" s="158" t="s">
        <v>157</v>
      </c>
      <c r="C23" s="159">
        <v>2019</v>
      </c>
      <c r="D23" s="160" t="s">
        <v>185</v>
      </c>
      <c r="E23" s="159" t="s">
        <v>356</v>
      </c>
      <c r="F23" s="158" t="s">
        <v>361</v>
      </c>
      <c r="G23" s="161" t="s">
        <v>36</v>
      </c>
      <c r="H23" s="127" t="s">
        <v>160</v>
      </c>
      <c r="I23" s="127" t="s">
        <v>159</v>
      </c>
      <c r="J23" s="127" t="s">
        <v>38</v>
      </c>
      <c r="K23" s="127" t="s">
        <v>161</v>
      </c>
      <c r="L23" s="53">
        <v>1</v>
      </c>
      <c r="N23" s="53">
        <v>1</v>
      </c>
      <c r="O23" s="53">
        <v>0.75</v>
      </c>
      <c r="P23" s="34">
        <v>0.8</v>
      </c>
      <c r="Q23" s="74">
        <f t="shared" si="0"/>
        <v>0.77500000000000002</v>
      </c>
      <c r="R23" s="168">
        <v>17.7</v>
      </c>
      <c r="S23" s="168">
        <v>128</v>
      </c>
      <c r="T23" s="16">
        <f t="shared" si="1"/>
        <v>30</v>
      </c>
      <c r="U23" s="164">
        <v>138</v>
      </c>
      <c r="V23" s="38">
        <f t="shared" si="2"/>
        <v>4140</v>
      </c>
      <c r="W23" s="165">
        <v>8</v>
      </c>
      <c r="X23" s="166" t="s">
        <v>46</v>
      </c>
      <c r="Y23" s="172" t="s">
        <v>97</v>
      </c>
      <c r="Z23" s="172" t="s">
        <v>90</v>
      </c>
      <c r="AA23" s="172" t="s">
        <v>88</v>
      </c>
      <c r="AB23" s="53" t="s">
        <v>158</v>
      </c>
      <c r="AP23" s="27" t="s">
        <v>137</v>
      </c>
      <c r="AR23" s="23" t="s">
        <v>61</v>
      </c>
      <c r="AV23" s="23"/>
    </row>
    <row r="24" spans="1:48" x14ac:dyDescent="0.15">
      <c r="A24" s="158" t="s">
        <v>34</v>
      </c>
      <c r="B24" s="158" t="s">
        <v>157</v>
      </c>
      <c r="C24" s="158">
        <v>2019</v>
      </c>
      <c r="D24" s="160" t="s">
        <v>185</v>
      </c>
      <c r="E24" s="159" t="s">
        <v>356</v>
      </c>
      <c r="F24" s="158" t="s">
        <v>361</v>
      </c>
      <c r="G24" s="161" t="s">
        <v>36</v>
      </c>
      <c r="H24" s="127" t="s">
        <v>160</v>
      </c>
      <c r="I24" s="127" t="s">
        <v>159</v>
      </c>
      <c r="J24" s="127" t="s">
        <v>38</v>
      </c>
      <c r="K24" s="127" t="s">
        <v>161</v>
      </c>
      <c r="L24" s="53">
        <v>2</v>
      </c>
      <c r="N24" s="53">
        <v>1</v>
      </c>
      <c r="O24" s="53">
        <v>0.9</v>
      </c>
      <c r="P24" s="34">
        <v>0.85</v>
      </c>
      <c r="Q24" s="74">
        <f t="shared" si="0"/>
        <v>0.875</v>
      </c>
      <c r="R24" s="168">
        <v>16.8</v>
      </c>
      <c r="S24" s="168">
        <v>124</v>
      </c>
      <c r="T24" s="16">
        <f t="shared" si="1"/>
        <v>30</v>
      </c>
      <c r="U24" s="164">
        <v>138</v>
      </c>
      <c r="V24" s="38">
        <f t="shared" si="2"/>
        <v>4140</v>
      </c>
      <c r="W24" s="165">
        <v>8</v>
      </c>
      <c r="X24" s="166" t="s">
        <v>46</v>
      </c>
      <c r="Y24" s="172" t="s">
        <v>97</v>
      </c>
      <c r="Z24" s="172" t="s">
        <v>90</v>
      </c>
      <c r="AA24" s="172" t="s">
        <v>88</v>
      </c>
      <c r="AB24" s="53" t="s">
        <v>158</v>
      </c>
      <c r="AP24" s="27" t="s">
        <v>138</v>
      </c>
      <c r="AR24" s="23" t="s">
        <v>91</v>
      </c>
      <c r="AV24" s="23"/>
    </row>
    <row r="25" spans="1:48" x14ac:dyDescent="0.15">
      <c r="A25" s="158" t="s">
        <v>34</v>
      </c>
      <c r="B25" s="158" t="s">
        <v>157</v>
      </c>
      <c r="C25" s="159">
        <v>2019</v>
      </c>
      <c r="D25" s="160" t="s">
        <v>185</v>
      </c>
      <c r="E25" s="159" t="s">
        <v>356</v>
      </c>
      <c r="F25" s="158" t="s">
        <v>361</v>
      </c>
      <c r="G25" s="161" t="s">
        <v>36</v>
      </c>
      <c r="H25" s="127" t="s">
        <v>160</v>
      </c>
      <c r="I25" s="127" t="s">
        <v>159</v>
      </c>
      <c r="J25" s="127" t="s">
        <v>38</v>
      </c>
      <c r="K25" s="127" t="s">
        <v>161</v>
      </c>
      <c r="L25" s="53">
        <v>3</v>
      </c>
      <c r="N25" s="53">
        <v>1</v>
      </c>
      <c r="O25" s="53">
        <v>0.85</v>
      </c>
      <c r="P25" s="34">
        <v>0.8</v>
      </c>
      <c r="Q25" s="74">
        <f t="shared" si="0"/>
        <v>0.82499999999999996</v>
      </c>
      <c r="R25" s="168">
        <v>16.8</v>
      </c>
      <c r="S25" s="168">
        <v>113</v>
      </c>
      <c r="T25" s="16">
        <f t="shared" si="1"/>
        <v>30</v>
      </c>
      <c r="U25" s="164">
        <v>138</v>
      </c>
      <c r="V25" s="38">
        <f t="shared" si="2"/>
        <v>4140</v>
      </c>
      <c r="W25" s="165">
        <v>8</v>
      </c>
      <c r="X25" s="166" t="s">
        <v>46</v>
      </c>
      <c r="Y25" s="172" t="s">
        <v>97</v>
      </c>
      <c r="Z25" s="172" t="s">
        <v>90</v>
      </c>
      <c r="AA25" s="172" t="s">
        <v>88</v>
      </c>
      <c r="AB25" s="53" t="s">
        <v>158</v>
      </c>
      <c r="AP25" s="27" t="s">
        <v>116</v>
      </c>
      <c r="AR25" s="27" t="s">
        <v>92</v>
      </c>
      <c r="AV25" s="23"/>
    </row>
    <row r="26" spans="1:48" x14ac:dyDescent="0.15">
      <c r="A26" s="158" t="s">
        <v>34</v>
      </c>
      <c r="B26" s="158" t="s">
        <v>157</v>
      </c>
      <c r="C26" s="158">
        <v>2019</v>
      </c>
      <c r="D26" s="160" t="s">
        <v>185</v>
      </c>
      <c r="E26" s="159" t="s">
        <v>210</v>
      </c>
      <c r="F26" s="158" t="s">
        <v>362</v>
      </c>
      <c r="G26" s="161" t="s">
        <v>42</v>
      </c>
      <c r="H26" s="127" t="s">
        <v>165</v>
      </c>
      <c r="I26" s="127" t="s">
        <v>159</v>
      </c>
      <c r="J26" s="127" t="s">
        <v>38</v>
      </c>
      <c r="K26" s="127" t="s">
        <v>161</v>
      </c>
      <c r="L26" s="53">
        <v>1</v>
      </c>
      <c r="N26" s="53">
        <v>4</v>
      </c>
      <c r="O26" s="53">
        <v>0.6</v>
      </c>
      <c r="P26" s="53">
        <v>0.65</v>
      </c>
      <c r="Q26" s="74">
        <f t="shared" si="0"/>
        <v>0.625</v>
      </c>
      <c r="R26" s="168">
        <v>15.6</v>
      </c>
      <c r="S26" s="168">
        <v>101</v>
      </c>
      <c r="T26" s="16">
        <f t="shared" si="1"/>
        <v>33</v>
      </c>
      <c r="U26" s="164">
        <v>397</v>
      </c>
      <c r="V26" s="38">
        <f t="shared" si="2"/>
        <v>3275.25</v>
      </c>
      <c r="W26" s="165">
        <v>20</v>
      </c>
      <c r="X26" s="166" t="s">
        <v>46</v>
      </c>
      <c r="Y26" s="172" t="s">
        <v>55</v>
      </c>
      <c r="Z26" s="172" t="s">
        <v>47</v>
      </c>
      <c r="AA26" s="172" t="s">
        <v>64</v>
      </c>
      <c r="AB26" s="53" t="s">
        <v>158</v>
      </c>
      <c r="AP26" s="27" t="s">
        <v>117</v>
      </c>
      <c r="AR26" s="23" t="s">
        <v>153</v>
      </c>
      <c r="AV26" s="27"/>
    </row>
    <row r="27" spans="1:48" x14ac:dyDescent="0.15">
      <c r="A27" s="158" t="s">
        <v>34</v>
      </c>
      <c r="B27" s="158" t="s">
        <v>157</v>
      </c>
      <c r="C27" s="159">
        <v>2019</v>
      </c>
      <c r="D27" s="160" t="s">
        <v>185</v>
      </c>
      <c r="E27" s="159" t="s">
        <v>210</v>
      </c>
      <c r="F27" s="158" t="s">
        <v>362</v>
      </c>
      <c r="G27" s="161" t="s">
        <v>42</v>
      </c>
      <c r="H27" s="127" t="s">
        <v>165</v>
      </c>
      <c r="I27" s="127" t="s">
        <v>159</v>
      </c>
      <c r="J27" s="127" t="s">
        <v>38</v>
      </c>
      <c r="K27" s="127" t="s">
        <v>161</v>
      </c>
      <c r="L27" s="53">
        <v>2</v>
      </c>
      <c r="N27" s="53">
        <v>4</v>
      </c>
      <c r="O27" s="34">
        <v>0.65</v>
      </c>
      <c r="P27" s="53">
        <v>0.7</v>
      </c>
      <c r="Q27" s="74">
        <f t="shared" si="0"/>
        <v>0.67500000000000004</v>
      </c>
      <c r="R27" s="168">
        <v>15.8</v>
      </c>
      <c r="S27" s="168">
        <v>99</v>
      </c>
      <c r="T27" s="16">
        <f t="shared" si="1"/>
        <v>33</v>
      </c>
      <c r="U27" s="164">
        <v>397</v>
      </c>
      <c r="V27" s="38">
        <f t="shared" si="2"/>
        <v>3275.25</v>
      </c>
      <c r="W27" s="165">
        <v>20</v>
      </c>
      <c r="X27" s="166" t="s">
        <v>46</v>
      </c>
      <c r="Y27" s="172" t="s">
        <v>55</v>
      </c>
      <c r="Z27" s="172" t="s">
        <v>47</v>
      </c>
      <c r="AA27" s="172" t="s">
        <v>64</v>
      </c>
      <c r="AB27" s="53" t="s">
        <v>158</v>
      </c>
      <c r="AP27" s="27" t="s">
        <v>118</v>
      </c>
      <c r="AR27" s="23"/>
    </row>
    <row r="28" spans="1:48" x14ac:dyDescent="0.15">
      <c r="A28" s="158" t="s">
        <v>34</v>
      </c>
      <c r="B28" s="158" t="s">
        <v>157</v>
      </c>
      <c r="C28" s="158">
        <v>2019</v>
      </c>
      <c r="D28" s="160" t="s">
        <v>185</v>
      </c>
      <c r="E28" s="159" t="s">
        <v>210</v>
      </c>
      <c r="F28" s="158" t="s">
        <v>362</v>
      </c>
      <c r="G28" s="161" t="s">
        <v>42</v>
      </c>
      <c r="H28" s="127" t="s">
        <v>165</v>
      </c>
      <c r="I28" s="127" t="s">
        <v>159</v>
      </c>
      <c r="J28" s="127" t="s">
        <v>38</v>
      </c>
      <c r="K28" s="127" t="s">
        <v>161</v>
      </c>
      <c r="L28" s="53">
        <v>3</v>
      </c>
      <c r="N28" s="53">
        <v>4</v>
      </c>
      <c r="O28" s="34">
        <v>0.65</v>
      </c>
      <c r="P28" s="53">
        <v>0.6</v>
      </c>
      <c r="Q28" s="74">
        <f t="shared" si="0"/>
        <v>0.625</v>
      </c>
      <c r="R28" s="168">
        <v>15.5</v>
      </c>
      <c r="S28" s="168">
        <v>104</v>
      </c>
      <c r="T28" s="16">
        <f t="shared" si="1"/>
        <v>33</v>
      </c>
      <c r="U28" s="164">
        <v>397</v>
      </c>
      <c r="V28" s="38">
        <f t="shared" si="2"/>
        <v>3275.25</v>
      </c>
      <c r="W28" s="165">
        <v>20</v>
      </c>
      <c r="X28" s="166" t="s">
        <v>46</v>
      </c>
      <c r="Y28" s="172" t="s">
        <v>55</v>
      </c>
      <c r="Z28" s="172" t="s">
        <v>47</v>
      </c>
      <c r="AA28" s="172" t="s">
        <v>64</v>
      </c>
      <c r="AB28" s="53" t="s">
        <v>158</v>
      </c>
      <c r="AR28" s="23"/>
    </row>
    <row r="29" spans="1:48" x14ac:dyDescent="0.15">
      <c r="A29" s="158" t="s">
        <v>34</v>
      </c>
      <c r="B29" s="158" t="s">
        <v>157</v>
      </c>
      <c r="C29" s="158">
        <v>2019</v>
      </c>
      <c r="D29" s="160" t="s">
        <v>185</v>
      </c>
      <c r="E29" s="159" t="s">
        <v>210</v>
      </c>
      <c r="F29" s="158" t="s">
        <v>362</v>
      </c>
      <c r="G29" s="161" t="s">
        <v>42</v>
      </c>
      <c r="H29" s="127" t="s">
        <v>160</v>
      </c>
      <c r="I29" s="127" t="s">
        <v>159</v>
      </c>
      <c r="J29" s="127" t="s">
        <v>38</v>
      </c>
      <c r="K29" s="127" t="s">
        <v>161</v>
      </c>
      <c r="L29" s="53">
        <v>1</v>
      </c>
      <c r="N29" s="53">
        <v>4</v>
      </c>
      <c r="O29" s="53">
        <v>0.65</v>
      </c>
      <c r="P29" s="53">
        <v>0.7</v>
      </c>
      <c r="Q29" s="74">
        <f t="shared" si="0"/>
        <v>0.67500000000000004</v>
      </c>
      <c r="R29" s="168">
        <v>16.8</v>
      </c>
      <c r="S29" s="168">
        <v>104</v>
      </c>
      <c r="T29" s="16">
        <f t="shared" si="1"/>
        <v>33</v>
      </c>
      <c r="U29" s="164">
        <v>397</v>
      </c>
      <c r="V29" s="38">
        <f t="shared" si="2"/>
        <v>3275.25</v>
      </c>
      <c r="W29" s="165">
        <v>20</v>
      </c>
      <c r="X29" s="166" t="s">
        <v>46</v>
      </c>
      <c r="Y29" s="172" t="s">
        <v>55</v>
      </c>
      <c r="Z29" s="172" t="s">
        <v>47</v>
      </c>
      <c r="AA29" s="172" t="s">
        <v>64</v>
      </c>
      <c r="AB29" s="53" t="s">
        <v>158</v>
      </c>
      <c r="AR29" s="28"/>
    </row>
    <row r="30" spans="1:48" x14ac:dyDescent="0.15">
      <c r="A30" s="158" t="s">
        <v>34</v>
      </c>
      <c r="B30" s="158" t="s">
        <v>157</v>
      </c>
      <c r="C30" s="159">
        <v>2019</v>
      </c>
      <c r="D30" s="160" t="s">
        <v>185</v>
      </c>
      <c r="E30" s="159" t="s">
        <v>210</v>
      </c>
      <c r="F30" s="158" t="s">
        <v>362</v>
      </c>
      <c r="G30" s="161" t="s">
        <v>42</v>
      </c>
      <c r="H30" s="127" t="s">
        <v>160</v>
      </c>
      <c r="I30" s="127" t="s">
        <v>159</v>
      </c>
      <c r="J30" s="127" t="s">
        <v>38</v>
      </c>
      <c r="K30" s="127" t="s">
        <v>161</v>
      </c>
      <c r="L30" s="53">
        <v>2</v>
      </c>
      <c r="N30" s="53">
        <v>4</v>
      </c>
      <c r="O30" s="53">
        <v>0.7</v>
      </c>
      <c r="P30" s="53">
        <v>0.7</v>
      </c>
      <c r="Q30" s="74">
        <f t="shared" si="0"/>
        <v>0.7</v>
      </c>
      <c r="R30" s="168">
        <v>16.600000000000001</v>
      </c>
      <c r="S30" s="168">
        <v>100</v>
      </c>
      <c r="T30" s="16">
        <f t="shared" si="1"/>
        <v>33</v>
      </c>
      <c r="U30" s="164">
        <v>397</v>
      </c>
      <c r="V30" s="38">
        <f t="shared" si="2"/>
        <v>3275.25</v>
      </c>
      <c r="W30" s="165">
        <v>20</v>
      </c>
      <c r="X30" s="166" t="s">
        <v>46</v>
      </c>
      <c r="Y30" s="172" t="s">
        <v>55</v>
      </c>
      <c r="Z30" s="172" t="s">
        <v>47</v>
      </c>
      <c r="AA30" s="172" t="s">
        <v>64</v>
      </c>
      <c r="AB30" s="53" t="s">
        <v>158</v>
      </c>
    </row>
    <row r="31" spans="1:48" x14ac:dyDescent="0.15">
      <c r="A31" s="158" t="s">
        <v>34</v>
      </c>
      <c r="B31" s="158" t="s">
        <v>157</v>
      </c>
      <c r="C31" s="158">
        <v>2019</v>
      </c>
      <c r="D31" s="160" t="s">
        <v>185</v>
      </c>
      <c r="E31" s="159" t="s">
        <v>210</v>
      </c>
      <c r="F31" s="158" t="s">
        <v>362</v>
      </c>
      <c r="G31" s="161" t="s">
        <v>42</v>
      </c>
      <c r="H31" s="127" t="s">
        <v>160</v>
      </c>
      <c r="I31" s="127" t="s">
        <v>159</v>
      </c>
      <c r="J31" s="127" t="s">
        <v>38</v>
      </c>
      <c r="K31" s="127" t="s">
        <v>161</v>
      </c>
      <c r="L31" s="53">
        <v>3</v>
      </c>
      <c r="N31" s="53">
        <v>4</v>
      </c>
      <c r="O31" s="53">
        <v>0.7</v>
      </c>
      <c r="P31" s="53">
        <v>0.8</v>
      </c>
      <c r="Q31" s="74">
        <f t="shared" si="0"/>
        <v>0.75</v>
      </c>
      <c r="R31" s="168">
        <v>16.5</v>
      </c>
      <c r="S31" s="168">
        <v>102</v>
      </c>
      <c r="T31" s="16">
        <f t="shared" si="1"/>
        <v>33</v>
      </c>
      <c r="U31" s="164">
        <v>397</v>
      </c>
      <c r="V31" s="38">
        <f t="shared" si="2"/>
        <v>3275.25</v>
      </c>
      <c r="W31" s="165">
        <v>20</v>
      </c>
      <c r="X31" s="166" t="s">
        <v>46</v>
      </c>
      <c r="Y31" s="172" t="s">
        <v>55</v>
      </c>
      <c r="Z31" s="172" t="s">
        <v>47</v>
      </c>
      <c r="AA31" s="172" t="s">
        <v>64</v>
      </c>
      <c r="AB31" s="53" t="s">
        <v>158</v>
      </c>
    </row>
    <row r="32" spans="1:48" x14ac:dyDescent="0.15">
      <c r="A32" s="158" t="s">
        <v>34</v>
      </c>
      <c r="B32" s="158" t="s">
        <v>157</v>
      </c>
      <c r="C32" s="159">
        <v>2019</v>
      </c>
      <c r="D32" s="160" t="s">
        <v>185</v>
      </c>
      <c r="E32" s="159" t="s">
        <v>210</v>
      </c>
      <c r="F32" s="158" t="s">
        <v>364</v>
      </c>
      <c r="G32" s="161" t="s">
        <v>42</v>
      </c>
      <c r="H32" s="127" t="s">
        <v>165</v>
      </c>
      <c r="I32" s="127" t="s">
        <v>159</v>
      </c>
      <c r="J32" s="127" t="s">
        <v>38</v>
      </c>
      <c r="K32" s="127" t="s">
        <v>161</v>
      </c>
      <c r="L32" s="53">
        <v>1</v>
      </c>
      <c r="N32" s="53">
        <v>4</v>
      </c>
      <c r="O32" s="53">
        <v>0.65</v>
      </c>
      <c r="P32" s="53">
        <v>0.7</v>
      </c>
      <c r="Q32" s="74">
        <f t="shared" si="0"/>
        <v>0.67500000000000004</v>
      </c>
      <c r="R32" s="168">
        <v>15.7</v>
      </c>
      <c r="S32" s="168">
        <v>100</v>
      </c>
      <c r="T32" s="16">
        <f t="shared" si="1"/>
        <v>33</v>
      </c>
      <c r="U32" s="164">
        <v>397</v>
      </c>
      <c r="V32" s="38">
        <f t="shared" si="2"/>
        <v>3275.25</v>
      </c>
      <c r="W32" s="165">
        <v>16</v>
      </c>
      <c r="X32" s="166" t="s">
        <v>46</v>
      </c>
      <c r="Y32" s="172" t="s">
        <v>69</v>
      </c>
      <c r="Z32" s="172" t="s">
        <v>55</v>
      </c>
      <c r="AA32" s="172" t="s">
        <v>47</v>
      </c>
      <c r="AB32" s="53" t="s">
        <v>158</v>
      </c>
    </row>
    <row r="33" spans="1:28" x14ac:dyDescent="0.15">
      <c r="A33" s="158" t="s">
        <v>34</v>
      </c>
      <c r="B33" s="158" t="s">
        <v>157</v>
      </c>
      <c r="C33" s="158">
        <v>2019</v>
      </c>
      <c r="D33" s="160" t="s">
        <v>185</v>
      </c>
      <c r="E33" s="159" t="s">
        <v>210</v>
      </c>
      <c r="F33" s="158" t="s">
        <v>364</v>
      </c>
      <c r="G33" s="161" t="s">
        <v>42</v>
      </c>
      <c r="H33" s="127" t="s">
        <v>165</v>
      </c>
      <c r="I33" s="127" t="s">
        <v>159</v>
      </c>
      <c r="J33" s="127" t="s">
        <v>38</v>
      </c>
      <c r="K33" s="127" t="s">
        <v>161</v>
      </c>
      <c r="L33" s="53">
        <v>2</v>
      </c>
      <c r="N33" s="53">
        <v>4</v>
      </c>
      <c r="O33" s="53">
        <v>0.6</v>
      </c>
      <c r="P33" s="53">
        <v>0.65</v>
      </c>
      <c r="Q33" s="74">
        <f t="shared" si="0"/>
        <v>0.625</v>
      </c>
      <c r="R33" s="168">
        <v>16.5</v>
      </c>
      <c r="S33" s="168">
        <v>97</v>
      </c>
      <c r="T33" s="16">
        <f t="shared" si="1"/>
        <v>36</v>
      </c>
      <c r="U33" s="164">
        <v>397</v>
      </c>
      <c r="V33" s="38">
        <f t="shared" si="2"/>
        <v>3573</v>
      </c>
      <c r="W33" s="165">
        <v>16</v>
      </c>
      <c r="X33" s="166" t="s">
        <v>46</v>
      </c>
      <c r="Y33" s="172" t="s">
        <v>69</v>
      </c>
      <c r="Z33" s="172" t="s">
        <v>55</v>
      </c>
      <c r="AA33" s="172" t="s">
        <v>47</v>
      </c>
      <c r="AB33" s="53" t="s">
        <v>158</v>
      </c>
    </row>
    <row r="34" spans="1:28" ht="12.75" customHeight="1" x14ac:dyDescent="0.15">
      <c r="A34" s="158" t="s">
        <v>34</v>
      </c>
      <c r="B34" s="158" t="s">
        <v>157</v>
      </c>
      <c r="C34" s="159">
        <v>2019</v>
      </c>
      <c r="D34" s="160" t="s">
        <v>185</v>
      </c>
      <c r="E34" s="159" t="s">
        <v>210</v>
      </c>
      <c r="F34" s="158" t="s">
        <v>364</v>
      </c>
      <c r="G34" s="161" t="s">
        <v>42</v>
      </c>
      <c r="H34" s="127" t="s">
        <v>165</v>
      </c>
      <c r="I34" s="127" t="s">
        <v>159</v>
      </c>
      <c r="J34" s="127" t="s">
        <v>38</v>
      </c>
      <c r="K34" s="127" t="s">
        <v>161</v>
      </c>
      <c r="L34" s="53">
        <v>3</v>
      </c>
      <c r="N34" s="53">
        <v>4</v>
      </c>
      <c r="O34" s="53">
        <v>0.7</v>
      </c>
      <c r="P34" s="53">
        <v>0.65</v>
      </c>
      <c r="Q34" s="74">
        <f t="shared" si="0"/>
        <v>0.67500000000000004</v>
      </c>
      <c r="R34" s="168">
        <v>15</v>
      </c>
      <c r="S34" s="168">
        <v>94</v>
      </c>
      <c r="T34" s="16">
        <f t="shared" si="1"/>
        <v>36</v>
      </c>
      <c r="U34" s="164">
        <v>397</v>
      </c>
      <c r="V34" s="38">
        <f t="shared" si="2"/>
        <v>3573</v>
      </c>
      <c r="W34" s="165">
        <v>16</v>
      </c>
      <c r="X34" s="166" t="s">
        <v>46</v>
      </c>
      <c r="Y34" s="172" t="s">
        <v>69</v>
      </c>
      <c r="Z34" s="172" t="s">
        <v>55</v>
      </c>
      <c r="AA34" s="172" t="s">
        <v>47</v>
      </c>
      <c r="AB34" s="53" t="s">
        <v>158</v>
      </c>
    </row>
    <row r="35" spans="1:28" ht="12.75" customHeight="1" x14ac:dyDescent="0.15">
      <c r="A35" s="127" t="s">
        <v>34</v>
      </c>
      <c r="B35" s="158" t="s">
        <v>157</v>
      </c>
      <c r="C35" s="159">
        <v>2019</v>
      </c>
      <c r="D35" s="160" t="s">
        <v>185</v>
      </c>
      <c r="E35" s="159" t="s">
        <v>210</v>
      </c>
      <c r="F35" s="158" t="s">
        <v>364</v>
      </c>
      <c r="G35" s="161" t="s">
        <v>42</v>
      </c>
      <c r="H35" s="127" t="s">
        <v>160</v>
      </c>
      <c r="I35" s="127" t="s">
        <v>159</v>
      </c>
      <c r="J35" s="127" t="s">
        <v>38</v>
      </c>
      <c r="K35" s="127" t="s">
        <v>161</v>
      </c>
      <c r="L35" s="53">
        <v>1</v>
      </c>
      <c r="N35" s="53">
        <v>4</v>
      </c>
      <c r="O35" s="53">
        <v>0.75</v>
      </c>
      <c r="P35" s="53">
        <v>0.8</v>
      </c>
      <c r="Q35" s="74">
        <f t="shared" si="0"/>
        <v>0.77500000000000002</v>
      </c>
      <c r="R35" s="168">
        <v>16.2</v>
      </c>
      <c r="S35" s="168">
        <v>108</v>
      </c>
      <c r="T35" s="16">
        <f t="shared" si="1"/>
        <v>33</v>
      </c>
      <c r="U35" s="164">
        <v>397</v>
      </c>
      <c r="V35" s="38">
        <f t="shared" si="2"/>
        <v>3275.25</v>
      </c>
      <c r="W35" s="53">
        <v>16</v>
      </c>
      <c r="X35" s="166" t="s">
        <v>46</v>
      </c>
      <c r="Y35" s="173" t="s">
        <v>69</v>
      </c>
      <c r="Z35" s="173" t="s">
        <v>55</v>
      </c>
      <c r="AA35" s="173" t="s">
        <v>47</v>
      </c>
      <c r="AB35" s="53" t="s">
        <v>158</v>
      </c>
    </row>
    <row r="36" spans="1:28" ht="12.75" customHeight="1" x14ac:dyDescent="0.15">
      <c r="A36" s="127" t="s">
        <v>34</v>
      </c>
      <c r="B36" s="158" t="s">
        <v>157</v>
      </c>
      <c r="C36" s="159">
        <v>2019</v>
      </c>
      <c r="D36" s="160" t="s">
        <v>185</v>
      </c>
      <c r="E36" s="159" t="s">
        <v>210</v>
      </c>
      <c r="F36" s="158" t="s">
        <v>364</v>
      </c>
      <c r="G36" s="161" t="s">
        <v>42</v>
      </c>
      <c r="H36" s="127" t="s">
        <v>160</v>
      </c>
      <c r="I36" s="127" t="s">
        <v>159</v>
      </c>
      <c r="J36" s="127" t="s">
        <v>38</v>
      </c>
      <c r="K36" s="127" t="s">
        <v>161</v>
      </c>
      <c r="L36" s="53">
        <v>2</v>
      </c>
      <c r="N36" s="53">
        <v>4</v>
      </c>
      <c r="O36" s="53">
        <v>0.75</v>
      </c>
      <c r="P36" s="53">
        <v>0.7</v>
      </c>
      <c r="Q36" s="74">
        <f t="shared" si="0"/>
        <v>0.72499999999999998</v>
      </c>
      <c r="R36" s="168">
        <v>16.600000000000001</v>
      </c>
      <c r="S36" s="168">
        <v>118</v>
      </c>
      <c r="T36" s="16">
        <f t="shared" si="1"/>
        <v>30</v>
      </c>
      <c r="U36" s="164">
        <v>397</v>
      </c>
      <c r="V36" s="38">
        <f t="shared" si="2"/>
        <v>2977.5</v>
      </c>
      <c r="W36" s="53">
        <v>16</v>
      </c>
      <c r="X36" s="166" t="s">
        <v>46</v>
      </c>
      <c r="Y36" s="173" t="s">
        <v>69</v>
      </c>
      <c r="Z36" s="173" t="s">
        <v>55</v>
      </c>
      <c r="AA36" s="173" t="s">
        <v>47</v>
      </c>
      <c r="AB36" s="53" t="s">
        <v>158</v>
      </c>
    </row>
    <row r="37" spans="1:28" ht="12.75" customHeight="1" x14ac:dyDescent="0.15">
      <c r="A37" s="127" t="s">
        <v>34</v>
      </c>
      <c r="B37" s="158" t="s">
        <v>157</v>
      </c>
      <c r="C37" s="159">
        <v>2019</v>
      </c>
      <c r="D37" s="160" t="s">
        <v>185</v>
      </c>
      <c r="E37" s="159" t="s">
        <v>210</v>
      </c>
      <c r="F37" s="158" t="s">
        <v>364</v>
      </c>
      <c r="G37" s="161" t="s">
        <v>42</v>
      </c>
      <c r="H37" s="127" t="s">
        <v>160</v>
      </c>
      <c r="I37" s="127" t="s">
        <v>159</v>
      </c>
      <c r="J37" s="127" t="s">
        <v>38</v>
      </c>
      <c r="K37" s="127" t="s">
        <v>161</v>
      </c>
      <c r="L37" s="53">
        <v>3</v>
      </c>
      <c r="N37" s="53">
        <v>4</v>
      </c>
      <c r="O37" s="53">
        <v>0.75</v>
      </c>
      <c r="P37" s="53">
        <v>0.8</v>
      </c>
      <c r="Q37" s="74">
        <f t="shared" si="0"/>
        <v>0.77500000000000002</v>
      </c>
      <c r="R37" s="168">
        <v>16.399999999999999</v>
      </c>
      <c r="S37" s="168">
        <v>108</v>
      </c>
      <c r="T37" s="16">
        <f t="shared" si="1"/>
        <v>33</v>
      </c>
      <c r="U37" s="164">
        <v>397</v>
      </c>
      <c r="V37" s="38">
        <f t="shared" si="2"/>
        <v>3275.25</v>
      </c>
      <c r="W37" s="53">
        <v>16</v>
      </c>
      <c r="X37" s="166" t="s">
        <v>46</v>
      </c>
      <c r="Y37" s="173" t="s">
        <v>69</v>
      </c>
      <c r="Z37" s="173" t="s">
        <v>55</v>
      </c>
      <c r="AA37" s="173" t="s">
        <v>47</v>
      </c>
      <c r="AB37" s="53" t="s">
        <v>158</v>
      </c>
    </row>
    <row r="38" spans="1:28" x14ac:dyDescent="0.15">
      <c r="A38" s="53" t="s">
        <v>34</v>
      </c>
      <c r="B38" s="158" t="s">
        <v>157</v>
      </c>
      <c r="C38" s="159">
        <v>2019</v>
      </c>
      <c r="D38" s="160" t="s">
        <v>185</v>
      </c>
      <c r="E38" s="159" t="s">
        <v>139</v>
      </c>
      <c r="F38" s="158" t="s">
        <v>364</v>
      </c>
      <c r="G38" s="161" t="s">
        <v>36</v>
      </c>
      <c r="H38" s="127" t="s">
        <v>165</v>
      </c>
      <c r="I38" s="127" t="s">
        <v>159</v>
      </c>
      <c r="J38" s="53" t="s">
        <v>38</v>
      </c>
      <c r="K38" s="127" t="s">
        <v>161</v>
      </c>
      <c r="L38" s="53">
        <v>1</v>
      </c>
      <c r="N38" s="53">
        <v>1</v>
      </c>
      <c r="O38" s="53">
        <v>0.85</v>
      </c>
      <c r="P38" s="53">
        <v>0.9</v>
      </c>
      <c r="Q38" s="74">
        <f t="shared" si="0"/>
        <v>0.875</v>
      </c>
      <c r="R38" s="168">
        <v>15.1</v>
      </c>
      <c r="S38" s="168">
        <v>105</v>
      </c>
      <c r="T38" s="16">
        <f t="shared" si="1"/>
        <v>33</v>
      </c>
      <c r="U38" s="164">
        <v>108</v>
      </c>
      <c r="V38" s="16">
        <f t="shared" si="2"/>
        <v>3564</v>
      </c>
      <c r="W38" s="53">
        <v>10</v>
      </c>
      <c r="X38" s="166" t="s">
        <v>46</v>
      </c>
      <c r="Y38" s="173" t="s">
        <v>64</v>
      </c>
      <c r="Z38" s="173" t="s">
        <v>78</v>
      </c>
      <c r="AA38" s="173" t="s">
        <v>55</v>
      </c>
      <c r="AB38" s="53" t="s">
        <v>158</v>
      </c>
    </row>
    <row r="39" spans="1:28" x14ac:dyDescent="0.15">
      <c r="A39" s="53" t="s">
        <v>34</v>
      </c>
      <c r="B39" s="158" t="s">
        <v>157</v>
      </c>
      <c r="C39" s="158">
        <v>2019</v>
      </c>
      <c r="D39" s="160" t="s">
        <v>185</v>
      </c>
      <c r="E39" s="159" t="s">
        <v>139</v>
      </c>
      <c r="F39" s="158" t="s">
        <v>364</v>
      </c>
      <c r="G39" s="161" t="s">
        <v>36</v>
      </c>
      <c r="H39" s="127" t="s">
        <v>165</v>
      </c>
      <c r="I39" s="127" t="s">
        <v>159</v>
      </c>
      <c r="J39" s="53" t="s">
        <v>38</v>
      </c>
      <c r="K39" s="127" t="s">
        <v>161</v>
      </c>
      <c r="L39" s="53">
        <v>2</v>
      </c>
      <c r="N39" s="53">
        <v>1</v>
      </c>
      <c r="O39" s="53">
        <v>0.8</v>
      </c>
      <c r="P39" s="53">
        <v>0.75</v>
      </c>
      <c r="Q39" s="74">
        <f t="shared" si="0"/>
        <v>0.77500000000000002</v>
      </c>
      <c r="R39" s="168">
        <v>15.9</v>
      </c>
      <c r="S39" s="168">
        <v>115</v>
      </c>
      <c r="T39" s="16">
        <f t="shared" si="1"/>
        <v>30</v>
      </c>
      <c r="U39" s="164">
        <v>108</v>
      </c>
      <c r="V39" s="16">
        <f t="shared" si="2"/>
        <v>3240</v>
      </c>
      <c r="W39" s="53">
        <v>10</v>
      </c>
      <c r="X39" s="166" t="s">
        <v>46</v>
      </c>
      <c r="Y39" s="173" t="s">
        <v>64</v>
      </c>
      <c r="Z39" s="173" t="s">
        <v>78</v>
      </c>
      <c r="AA39" s="173" t="s">
        <v>55</v>
      </c>
      <c r="AB39" s="53" t="s">
        <v>158</v>
      </c>
    </row>
    <row r="40" spans="1:28" x14ac:dyDescent="0.15">
      <c r="A40" s="53" t="s">
        <v>34</v>
      </c>
      <c r="B40" s="158" t="s">
        <v>157</v>
      </c>
      <c r="C40" s="159">
        <v>2019</v>
      </c>
      <c r="D40" s="160" t="s">
        <v>185</v>
      </c>
      <c r="E40" s="159" t="s">
        <v>139</v>
      </c>
      <c r="F40" s="158" t="s">
        <v>364</v>
      </c>
      <c r="G40" s="161" t="s">
        <v>36</v>
      </c>
      <c r="H40" s="127" t="s">
        <v>165</v>
      </c>
      <c r="I40" s="127" t="s">
        <v>159</v>
      </c>
      <c r="J40" s="53" t="s">
        <v>38</v>
      </c>
      <c r="K40" s="127" t="s">
        <v>161</v>
      </c>
      <c r="L40" s="53">
        <v>3</v>
      </c>
      <c r="N40" s="53">
        <v>1</v>
      </c>
      <c r="O40" s="53">
        <v>0.8</v>
      </c>
      <c r="P40" s="53">
        <v>0.8</v>
      </c>
      <c r="Q40" s="74">
        <f t="shared" si="0"/>
        <v>0.8</v>
      </c>
      <c r="R40" s="168">
        <v>16.100000000000001</v>
      </c>
      <c r="S40" s="168">
        <v>110</v>
      </c>
      <c r="T40" s="16">
        <f t="shared" si="1"/>
        <v>33</v>
      </c>
      <c r="U40" s="164">
        <v>108</v>
      </c>
      <c r="V40" s="16">
        <f t="shared" si="2"/>
        <v>3564</v>
      </c>
      <c r="W40" s="53">
        <v>10</v>
      </c>
      <c r="X40" s="166" t="s">
        <v>46</v>
      </c>
      <c r="Y40" s="173" t="s">
        <v>64</v>
      </c>
      <c r="Z40" s="173" t="s">
        <v>78</v>
      </c>
      <c r="AA40" s="173" t="s">
        <v>55</v>
      </c>
      <c r="AB40" s="53" t="s">
        <v>158</v>
      </c>
    </row>
    <row r="41" spans="1:28" x14ac:dyDescent="0.15">
      <c r="A41" s="53" t="s">
        <v>34</v>
      </c>
      <c r="B41" s="34" t="s">
        <v>157</v>
      </c>
      <c r="C41" s="53">
        <v>2019</v>
      </c>
      <c r="D41" s="174" t="s">
        <v>185</v>
      </c>
      <c r="E41" s="53" t="s">
        <v>139</v>
      </c>
      <c r="F41" s="158" t="s">
        <v>364</v>
      </c>
      <c r="G41" s="161" t="s">
        <v>36</v>
      </c>
      <c r="H41" s="127" t="s">
        <v>160</v>
      </c>
      <c r="I41" s="127" t="s">
        <v>159</v>
      </c>
      <c r="J41" s="53" t="s">
        <v>38</v>
      </c>
      <c r="K41" s="127" t="s">
        <v>161</v>
      </c>
      <c r="L41" s="53">
        <v>1</v>
      </c>
      <c r="N41" s="53">
        <v>1</v>
      </c>
      <c r="O41" s="53">
        <v>0.7</v>
      </c>
      <c r="P41" s="53">
        <v>0.8</v>
      </c>
      <c r="Q41" s="74">
        <f t="shared" si="0"/>
        <v>0.75</v>
      </c>
      <c r="R41" s="168">
        <v>16.899999999999999</v>
      </c>
      <c r="S41" s="168">
        <v>115</v>
      </c>
      <c r="T41" s="16">
        <f t="shared" si="1"/>
        <v>30</v>
      </c>
      <c r="U41" s="53">
        <v>108</v>
      </c>
      <c r="V41" s="16">
        <f t="shared" si="2"/>
        <v>3240</v>
      </c>
      <c r="W41" s="53">
        <v>10</v>
      </c>
      <c r="X41" s="166" t="s">
        <v>46</v>
      </c>
      <c r="Y41" s="53" t="s">
        <v>64</v>
      </c>
      <c r="Z41" s="53" t="s">
        <v>78</v>
      </c>
      <c r="AA41" s="53" t="s">
        <v>55</v>
      </c>
      <c r="AB41" s="53" t="s">
        <v>158</v>
      </c>
    </row>
    <row r="42" spans="1:28" x14ac:dyDescent="0.15">
      <c r="A42" s="53" t="s">
        <v>34</v>
      </c>
      <c r="B42" s="34" t="s">
        <v>157</v>
      </c>
      <c r="C42" s="53">
        <v>2019</v>
      </c>
      <c r="D42" s="174" t="s">
        <v>185</v>
      </c>
      <c r="E42" s="53" t="s">
        <v>139</v>
      </c>
      <c r="F42" s="158" t="s">
        <v>364</v>
      </c>
      <c r="G42" s="161" t="s">
        <v>36</v>
      </c>
      <c r="H42" s="127" t="s">
        <v>160</v>
      </c>
      <c r="I42" s="127" t="s">
        <v>159</v>
      </c>
      <c r="J42" s="53" t="s">
        <v>38</v>
      </c>
      <c r="K42" s="127" t="s">
        <v>161</v>
      </c>
      <c r="L42" s="53">
        <v>2</v>
      </c>
      <c r="N42" s="53">
        <v>1</v>
      </c>
      <c r="O42" s="53">
        <v>0.7</v>
      </c>
      <c r="P42" s="53">
        <v>0.75</v>
      </c>
      <c r="Q42" s="74">
        <f t="shared" si="0"/>
        <v>0.72499999999999998</v>
      </c>
      <c r="R42" s="168">
        <v>17</v>
      </c>
      <c r="S42" s="168">
        <v>114</v>
      </c>
      <c r="T42" s="16">
        <f t="shared" si="1"/>
        <v>30</v>
      </c>
      <c r="U42" s="53">
        <v>108</v>
      </c>
      <c r="V42" s="16">
        <f t="shared" si="2"/>
        <v>3240</v>
      </c>
      <c r="W42" s="53">
        <v>10</v>
      </c>
      <c r="X42" s="166" t="s">
        <v>46</v>
      </c>
      <c r="Y42" s="53" t="s">
        <v>64</v>
      </c>
      <c r="Z42" s="53" t="s">
        <v>78</v>
      </c>
      <c r="AA42" s="53" t="s">
        <v>55</v>
      </c>
      <c r="AB42" s="53" t="s">
        <v>158</v>
      </c>
    </row>
    <row r="43" spans="1:28" x14ac:dyDescent="0.15">
      <c r="A43" s="53" t="s">
        <v>34</v>
      </c>
      <c r="B43" s="34" t="s">
        <v>157</v>
      </c>
      <c r="C43" s="53">
        <v>2019</v>
      </c>
      <c r="D43" s="174" t="s">
        <v>185</v>
      </c>
      <c r="E43" s="53" t="s">
        <v>139</v>
      </c>
      <c r="F43" s="158" t="s">
        <v>364</v>
      </c>
      <c r="G43" s="161" t="s">
        <v>36</v>
      </c>
      <c r="H43" s="127" t="s">
        <v>160</v>
      </c>
      <c r="I43" s="127" t="s">
        <v>159</v>
      </c>
      <c r="J43" s="53" t="s">
        <v>38</v>
      </c>
      <c r="K43" s="127" t="s">
        <v>161</v>
      </c>
      <c r="L43" s="53">
        <v>3</v>
      </c>
      <c r="N43" s="53">
        <v>1</v>
      </c>
      <c r="O43" s="53">
        <v>0.7</v>
      </c>
      <c r="P43" s="53">
        <v>0.7</v>
      </c>
      <c r="Q43" s="74">
        <f t="shared" si="0"/>
        <v>0.7</v>
      </c>
      <c r="R43" s="168">
        <v>17.399999999999999</v>
      </c>
      <c r="S43" s="168">
        <v>105</v>
      </c>
      <c r="T43" s="16">
        <f t="shared" si="1"/>
        <v>33</v>
      </c>
      <c r="U43" s="53">
        <v>108</v>
      </c>
      <c r="V43" s="16">
        <f t="shared" si="2"/>
        <v>3564</v>
      </c>
      <c r="W43" s="53">
        <v>10</v>
      </c>
      <c r="X43" s="166" t="s">
        <v>46</v>
      </c>
      <c r="Y43" s="53" t="s">
        <v>64</v>
      </c>
      <c r="Z43" s="53" t="s">
        <v>78</v>
      </c>
      <c r="AA43" s="53" t="s">
        <v>55</v>
      </c>
      <c r="AB43" s="53" t="s">
        <v>158</v>
      </c>
    </row>
    <row r="44" spans="1:28" x14ac:dyDescent="0.15">
      <c r="A44" s="53" t="s">
        <v>34</v>
      </c>
      <c r="B44" s="53" t="s">
        <v>157</v>
      </c>
      <c r="C44" s="53">
        <v>2019</v>
      </c>
      <c r="D44" s="174" t="s">
        <v>185</v>
      </c>
      <c r="E44" s="53" t="s">
        <v>133</v>
      </c>
      <c r="F44" s="158" t="s">
        <v>365</v>
      </c>
      <c r="G44" s="161" t="s">
        <v>36</v>
      </c>
      <c r="H44" s="53" t="s">
        <v>164</v>
      </c>
      <c r="I44" s="53" t="s">
        <v>159</v>
      </c>
      <c r="J44" s="53" t="s">
        <v>38</v>
      </c>
      <c r="K44" s="127" t="s">
        <v>161</v>
      </c>
      <c r="L44" s="53">
        <v>1</v>
      </c>
      <c r="N44" s="53">
        <v>1</v>
      </c>
      <c r="O44" s="53">
        <v>0.85</v>
      </c>
      <c r="P44" s="53">
        <v>0.9</v>
      </c>
      <c r="Q44" s="74">
        <f t="shared" si="0"/>
        <v>0.875</v>
      </c>
      <c r="R44" s="53">
        <v>17.8</v>
      </c>
      <c r="S44" s="53">
        <v>110</v>
      </c>
      <c r="T44" s="16">
        <f t="shared" si="1"/>
        <v>33</v>
      </c>
      <c r="U44" s="53">
        <v>88</v>
      </c>
      <c r="V44" s="16">
        <f t="shared" si="2"/>
        <v>2904</v>
      </c>
      <c r="W44" s="53">
        <v>18</v>
      </c>
      <c r="X44" s="166" t="s">
        <v>46</v>
      </c>
      <c r="Y44" s="53" t="s">
        <v>78</v>
      </c>
      <c r="Z44" s="53" t="s">
        <v>86</v>
      </c>
      <c r="AA44" s="53" t="s">
        <v>47</v>
      </c>
      <c r="AB44" s="53" t="s">
        <v>158</v>
      </c>
    </row>
    <row r="45" spans="1:28" x14ac:dyDescent="0.15">
      <c r="A45" s="53" t="s">
        <v>34</v>
      </c>
      <c r="B45" s="53" t="s">
        <v>157</v>
      </c>
      <c r="C45" s="53">
        <v>2019</v>
      </c>
      <c r="D45" s="174" t="s">
        <v>185</v>
      </c>
      <c r="E45" s="53" t="s">
        <v>133</v>
      </c>
      <c r="F45" s="158" t="s">
        <v>365</v>
      </c>
      <c r="G45" s="161" t="s">
        <v>36</v>
      </c>
      <c r="H45" s="53" t="s">
        <v>164</v>
      </c>
      <c r="I45" s="53" t="s">
        <v>159</v>
      </c>
      <c r="J45" s="53" t="s">
        <v>38</v>
      </c>
      <c r="K45" s="127" t="s">
        <v>161</v>
      </c>
      <c r="L45" s="53">
        <v>2</v>
      </c>
      <c r="N45" s="53">
        <v>1</v>
      </c>
      <c r="O45" s="53">
        <v>0.9</v>
      </c>
      <c r="P45" s="53">
        <v>0.85</v>
      </c>
      <c r="Q45" s="74">
        <f t="shared" si="0"/>
        <v>0.875</v>
      </c>
      <c r="R45" s="53">
        <v>18.100000000000001</v>
      </c>
      <c r="S45" s="53">
        <v>105</v>
      </c>
      <c r="T45" s="16">
        <f t="shared" si="1"/>
        <v>33</v>
      </c>
      <c r="U45" s="53">
        <v>88</v>
      </c>
      <c r="V45" s="16">
        <f t="shared" si="2"/>
        <v>2904</v>
      </c>
      <c r="W45" s="53">
        <v>18</v>
      </c>
      <c r="X45" s="166" t="s">
        <v>46</v>
      </c>
      <c r="Y45" s="53" t="s">
        <v>78</v>
      </c>
      <c r="Z45" s="53" t="s">
        <v>86</v>
      </c>
      <c r="AA45" s="53" t="s">
        <v>47</v>
      </c>
      <c r="AB45" s="53" t="s">
        <v>158</v>
      </c>
    </row>
    <row r="46" spans="1:28" x14ac:dyDescent="0.15">
      <c r="A46" s="53" t="s">
        <v>34</v>
      </c>
      <c r="B46" s="53" t="s">
        <v>157</v>
      </c>
      <c r="C46" s="53">
        <v>2019</v>
      </c>
      <c r="D46" s="174" t="s">
        <v>185</v>
      </c>
      <c r="E46" s="53" t="s">
        <v>133</v>
      </c>
      <c r="F46" s="158" t="s">
        <v>365</v>
      </c>
      <c r="G46" s="161" t="s">
        <v>36</v>
      </c>
      <c r="H46" s="53" t="s">
        <v>164</v>
      </c>
      <c r="I46" s="53" t="s">
        <v>159</v>
      </c>
      <c r="J46" s="53" t="s">
        <v>38</v>
      </c>
      <c r="K46" s="127" t="s">
        <v>161</v>
      </c>
      <c r="L46" s="53">
        <v>3</v>
      </c>
      <c r="N46" s="53">
        <v>1</v>
      </c>
      <c r="O46" s="53">
        <v>0.8</v>
      </c>
      <c r="P46" s="53">
        <v>0.8</v>
      </c>
      <c r="Q46" s="74">
        <f t="shared" si="0"/>
        <v>0.8</v>
      </c>
      <c r="R46" s="53">
        <v>17.399999999999999</v>
      </c>
      <c r="S46" s="53">
        <v>106</v>
      </c>
      <c r="T46" s="16">
        <f t="shared" si="1"/>
        <v>33</v>
      </c>
      <c r="U46" s="53">
        <v>88</v>
      </c>
      <c r="V46" s="16">
        <f t="shared" si="2"/>
        <v>2904</v>
      </c>
      <c r="W46" s="53">
        <v>18</v>
      </c>
      <c r="X46" s="166" t="s">
        <v>46</v>
      </c>
      <c r="Y46" s="53" t="s">
        <v>78</v>
      </c>
      <c r="Z46" s="53" t="s">
        <v>86</v>
      </c>
      <c r="AA46" s="53" t="s">
        <v>47</v>
      </c>
      <c r="AB46" s="53" t="s">
        <v>158</v>
      </c>
    </row>
    <row r="47" spans="1:28" x14ac:dyDescent="0.15">
      <c r="A47" s="53" t="s">
        <v>34</v>
      </c>
      <c r="B47" s="53" t="s">
        <v>157</v>
      </c>
      <c r="C47" s="53">
        <v>2019</v>
      </c>
      <c r="D47" s="174" t="s">
        <v>185</v>
      </c>
      <c r="E47" s="53" t="s">
        <v>133</v>
      </c>
      <c r="F47" s="158" t="s">
        <v>365</v>
      </c>
      <c r="G47" s="161" t="s">
        <v>36</v>
      </c>
      <c r="H47" s="53" t="s">
        <v>160</v>
      </c>
      <c r="I47" s="53" t="s">
        <v>159</v>
      </c>
      <c r="J47" s="53" t="s">
        <v>38</v>
      </c>
      <c r="K47" s="127" t="s">
        <v>161</v>
      </c>
      <c r="L47" s="53">
        <v>1</v>
      </c>
      <c r="N47" s="53">
        <v>1</v>
      </c>
      <c r="O47" s="53">
        <v>0.8</v>
      </c>
      <c r="P47" s="53">
        <v>0.8</v>
      </c>
      <c r="Q47" s="74">
        <f t="shared" si="0"/>
        <v>0.8</v>
      </c>
      <c r="R47" s="53">
        <v>15.8</v>
      </c>
      <c r="S47" s="53">
        <v>142</v>
      </c>
      <c r="T47" s="16">
        <f t="shared" si="1"/>
        <v>30</v>
      </c>
      <c r="U47" s="53">
        <v>128</v>
      </c>
      <c r="V47" s="16">
        <f t="shared" si="2"/>
        <v>3840</v>
      </c>
      <c r="W47" s="53">
        <v>18</v>
      </c>
      <c r="X47" s="166" t="s">
        <v>46</v>
      </c>
      <c r="Y47" s="53" t="s">
        <v>78</v>
      </c>
      <c r="Z47" s="53" t="s">
        <v>86</v>
      </c>
      <c r="AA47" s="53" t="s">
        <v>47</v>
      </c>
      <c r="AB47" s="53" t="s">
        <v>158</v>
      </c>
    </row>
    <row r="48" spans="1:28" x14ac:dyDescent="0.15">
      <c r="A48" s="53" t="s">
        <v>34</v>
      </c>
      <c r="B48" s="53" t="s">
        <v>157</v>
      </c>
      <c r="C48" s="53">
        <v>2019</v>
      </c>
      <c r="D48" s="174" t="s">
        <v>185</v>
      </c>
      <c r="E48" s="53" t="s">
        <v>133</v>
      </c>
      <c r="F48" s="158" t="s">
        <v>365</v>
      </c>
      <c r="G48" s="161" t="s">
        <v>36</v>
      </c>
      <c r="H48" s="53" t="s">
        <v>160</v>
      </c>
      <c r="I48" s="53" t="s">
        <v>159</v>
      </c>
      <c r="J48" s="53" t="s">
        <v>38</v>
      </c>
      <c r="K48" s="127" t="s">
        <v>161</v>
      </c>
      <c r="L48" s="53">
        <v>2</v>
      </c>
      <c r="N48" s="53">
        <v>1</v>
      </c>
      <c r="O48" s="53">
        <v>0.8</v>
      </c>
      <c r="P48" s="53">
        <v>0.75</v>
      </c>
      <c r="Q48" s="74">
        <f t="shared" si="0"/>
        <v>0.77500000000000002</v>
      </c>
      <c r="R48" s="53">
        <v>15.9</v>
      </c>
      <c r="S48" s="53">
        <v>143</v>
      </c>
      <c r="T48" s="16">
        <f t="shared" si="1"/>
        <v>30</v>
      </c>
      <c r="U48" s="53">
        <v>128</v>
      </c>
      <c r="V48" s="16">
        <f t="shared" si="2"/>
        <v>3840</v>
      </c>
      <c r="W48" s="53">
        <v>18</v>
      </c>
      <c r="X48" s="166" t="s">
        <v>46</v>
      </c>
      <c r="Y48" s="53" t="s">
        <v>78</v>
      </c>
      <c r="Z48" s="53" t="s">
        <v>86</v>
      </c>
      <c r="AA48" s="53" t="s">
        <v>47</v>
      </c>
      <c r="AB48" s="53" t="s">
        <v>158</v>
      </c>
    </row>
    <row r="49" spans="1:28" x14ac:dyDescent="0.15">
      <c r="A49" s="53" t="s">
        <v>34</v>
      </c>
      <c r="B49" s="53" t="s">
        <v>157</v>
      </c>
      <c r="C49" s="53">
        <v>2019</v>
      </c>
      <c r="D49" s="174" t="s">
        <v>185</v>
      </c>
      <c r="E49" s="53" t="s">
        <v>133</v>
      </c>
      <c r="F49" s="158" t="s">
        <v>365</v>
      </c>
      <c r="G49" s="161" t="s">
        <v>36</v>
      </c>
      <c r="H49" s="53" t="s">
        <v>160</v>
      </c>
      <c r="I49" s="53" t="s">
        <v>159</v>
      </c>
      <c r="J49" s="53" t="s">
        <v>38</v>
      </c>
      <c r="K49" s="127" t="s">
        <v>161</v>
      </c>
      <c r="L49" s="53">
        <v>3</v>
      </c>
      <c r="N49" s="53">
        <v>1</v>
      </c>
      <c r="O49" s="53">
        <v>0.65</v>
      </c>
      <c r="P49" s="53">
        <v>0.7</v>
      </c>
      <c r="Q49" s="74">
        <f t="shared" si="0"/>
        <v>0.67500000000000004</v>
      </c>
      <c r="R49" s="53">
        <v>16.3</v>
      </c>
      <c r="S49" s="53">
        <v>141</v>
      </c>
      <c r="T49" s="16">
        <f t="shared" si="1"/>
        <v>30</v>
      </c>
      <c r="U49" s="53">
        <v>128</v>
      </c>
      <c r="V49" s="16">
        <f t="shared" si="2"/>
        <v>3840</v>
      </c>
      <c r="W49" s="53">
        <v>18</v>
      </c>
      <c r="X49" s="166" t="s">
        <v>46</v>
      </c>
      <c r="Y49" s="53" t="s">
        <v>78</v>
      </c>
      <c r="Z49" s="53" t="s">
        <v>86</v>
      </c>
      <c r="AA49" s="53" t="s">
        <v>47</v>
      </c>
      <c r="AB49" s="53" t="s">
        <v>158</v>
      </c>
    </row>
    <row r="50" spans="1:28" x14ac:dyDescent="0.15">
      <c r="A50" s="53" t="s">
        <v>34</v>
      </c>
      <c r="B50" s="53" t="s">
        <v>157</v>
      </c>
      <c r="C50" s="53">
        <v>2019</v>
      </c>
      <c r="D50" s="174" t="s">
        <v>185</v>
      </c>
      <c r="E50" s="53" t="s">
        <v>269</v>
      </c>
      <c r="F50" s="158" t="s">
        <v>366</v>
      </c>
      <c r="G50" s="161" t="s">
        <v>36</v>
      </c>
      <c r="H50" s="53" t="s">
        <v>164</v>
      </c>
      <c r="I50" s="53" t="s">
        <v>159</v>
      </c>
      <c r="J50" s="53" t="s">
        <v>38</v>
      </c>
      <c r="K50" s="127" t="s">
        <v>161</v>
      </c>
      <c r="L50" s="53">
        <v>1</v>
      </c>
      <c r="N50" s="53">
        <v>10</v>
      </c>
      <c r="O50" s="53">
        <v>0.4</v>
      </c>
      <c r="P50" s="53">
        <v>0.35</v>
      </c>
      <c r="Q50" s="74">
        <f t="shared" si="0"/>
        <v>0.375</v>
      </c>
      <c r="R50" s="53">
        <v>17</v>
      </c>
      <c r="S50" s="53">
        <v>73</v>
      </c>
      <c r="T50" s="16">
        <f t="shared" si="1"/>
        <v>42</v>
      </c>
      <c r="U50" s="53">
        <v>598</v>
      </c>
      <c r="V50" s="16">
        <f t="shared" si="2"/>
        <v>2511.6</v>
      </c>
      <c r="W50" s="53">
        <v>10</v>
      </c>
      <c r="X50" s="166" t="s">
        <v>46</v>
      </c>
      <c r="Y50" s="53" t="s">
        <v>55</v>
      </c>
      <c r="Z50" s="53" t="s">
        <v>69</v>
      </c>
      <c r="AA50" s="53" t="s">
        <v>64</v>
      </c>
      <c r="AB50" s="53" t="s">
        <v>158</v>
      </c>
    </row>
    <row r="51" spans="1:28" x14ac:dyDescent="0.15">
      <c r="A51" s="53" t="s">
        <v>34</v>
      </c>
      <c r="B51" s="53" t="s">
        <v>157</v>
      </c>
      <c r="C51" s="53">
        <v>2019</v>
      </c>
      <c r="D51" s="174" t="s">
        <v>185</v>
      </c>
      <c r="E51" s="53" t="s">
        <v>269</v>
      </c>
      <c r="F51" s="158" t="s">
        <v>366</v>
      </c>
      <c r="G51" s="161" t="s">
        <v>36</v>
      </c>
      <c r="H51" s="53" t="s">
        <v>164</v>
      </c>
      <c r="I51" s="53" t="s">
        <v>159</v>
      </c>
      <c r="J51" s="53" t="s">
        <v>38</v>
      </c>
      <c r="K51" s="127" t="s">
        <v>161</v>
      </c>
      <c r="L51" s="53">
        <v>2</v>
      </c>
      <c r="N51" s="53">
        <v>10</v>
      </c>
      <c r="O51" s="53">
        <v>0.3</v>
      </c>
      <c r="P51" s="53">
        <v>0.3</v>
      </c>
      <c r="Q51" s="74">
        <f t="shared" si="0"/>
        <v>0.3</v>
      </c>
      <c r="R51" s="53">
        <v>18.2</v>
      </c>
      <c r="S51" s="53">
        <v>80</v>
      </c>
      <c r="T51" s="16">
        <f t="shared" si="1"/>
        <v>39</v>
      </c>
      <c r="U51" s="53">
        <v>598</v>
      </c>
      <c r="V51" s="16">
        <f t="shared" si="2"/>
        <v>2332.1999999999998</v>
      </c>
      <c r="W51" s="53">
        <v>10</v>
      </c>
      <c r="X51" s="166" t="s">
        <v>46</v>
      </c>
      <c r="Y51" s="53" t="s">
        <v>55</v>
      </c>
      <c r="Z51" s="53" t="s">
        <v>69</v>
      </c>
      <c r="AA51" s="53" t="s">
        <v>64</v>
      </c>
      <c r="AB51" s="53" t="s">
        <v>158</v>
      </c>
    </row>
    <row r="52" spans="1:28" x14ac:dyDescent="0.15">
      <c r="A52" s="53" t="s">
        <v>34</v>
      </c>
      <c r="B52" s="53" t="s">
        <v>157</v>
      </c>
      <c r="C52" s="53">
        <v>2019</v>
      </c>
      <c r="D52" s="174" t="s">
        <v>185</v>
      </c>
      <c r="E52" s="53" t="s">
        <v>269</v>
      </c>
      <c r="F52" s="158" t="s">
        <v>366</v>
      </c>
      <c r="G52" s="161" t="s">
        <v>36</v>
      </c>
      <c r="H52" s="53" t="s">
        <v>164</v>
      </c>
      <c r="I52" s="53" t="s">
        <v>159</v>
      </c>
      <c r="J52" s="53" t="s">
        <v>38</v>
      </c>
      <c r="K52" s="127" t="s">
        <v>161</v>
      </c>
      <c r="L52" s="53">
        <v>3</v>
      </c>
      <c r="N52" s="53">
        <v>10</v>
      </c>
      <c r="O52" s="53">
        <v>0.4</v>
      </c>
      <c r="P52" s="53">
        <v>0.35</v>
      </c>
      <c r="Q52" s="74">
        <f t="shared" si="0"/>
        <v>0.375</v>
      </c>
      <c r="R52" s="53">
        <v>17.600000000000001</v>
      </c>
      <c r="S52" s="53">
        <v>80</v>
      </c>
      <c r="T52" s="16">
        <f t="shared" si="1"/>
        <v>39</v>
      </c>
      <c r="U52" s="53">
        <v>598</v>
      </c>
      <c r="V52" s="16">
        <f t="shared" si="2"/>
        <v>2332.1999999999998</v>
      </c>
      <c r="W52" s="53">
        <v>10</v>
      </c>
      <c r="X52" s="166" t="s">
        <v>46</v>
      </c>
      <c r="Y52" s="53" t="s">
        <v>55</v>
      </c>
      <c r="Z52" s="53" t="s">
        <v>69</v>
      </c>
      <c r="AA52" s="53" t="s">
        <v>64</v>
      </c>
      <c r="AB52" s="53" t="s">
        <v>158</v>
      </c>
    </row>
    <row r="53" spans="1:28" x14ac:dyDescent="0.15">
      <c r="A53" s="53" t="s">
        <v>34</v>
      </c>
      <c r="B53" s="53" t="s">
        <v>157</v>
      </c>
      <c r="C53" s="53">
        <v>2019</v>
      </c>
      <c r="D53" s="174" t="s">
        <v>185</v>
      </c>
      <c r="E53" s="53" t="s">
        <v>269</v>
      </c>
      <c r="F53" s="158" t="s">
        <v>366</v>
      </c>
      <c r="G53" s="161" t="s">
        <v>36</v>
      </c>
      <c r="H53" s="53" t="s">
        <v>160</v>
      </c>
      <c r="I53" s="53" t="s">
        <v>159</v>
      </c>
      <c r="J53" s="53" t="s">
        <v>38</v>
      </c>
      <c r="K53" s="127" t="s">
        <v>161</v>
      </c>
      <c r="L53" s="53">
        <v>1</v>
      </c>
      <c r="N53" s="53">
        <v>6</v>
      </c>
      <c r="O53" s="53">
        <v>0.55000000000000004</v>
      </c>
      <c r="P53" s="53">
        <v>0.6</v>
      </c>
      <c r="Q53" s="74">
        <f t="shared" si="0"/>
        <v>0.57499999999999996</v>
      </c>
      <c r="R53" s="53">
        <v>17.399999999999999</v>
      </c>
      <c r="S53" s="53">
        <v>79</v>
      </c>
      <c r="T53" s="16">
        <f t="shared" si="1"/>
        <v>39</v>
      </c>
      <c r="U53" s="53">
        <v>498</v>
      </c>
      <c r="V53" s="16">
        <f t="shared" si="2"/>
        <v>3237</v>
      </c>
      <c r="W53" s="53">
        <v>10</v>
      </c>
      <c r="X53" s="166" t="s">
        <v>46</v>
      </c>
      <c r="Y53" s="53" t="s">
        <v>55</v>
      </c>
      <c r="Z53" s="53" t="s">
        <v>69</v>
      </c>
      <c r="AA53" s="53" t="s">
        <v>64</v>
      </c>
      <c r="AB53" s="53" t="s">
        <v>158</v>
      </c>
    </row>
    <row r="54" spans="1:28" x14ac:dyDescent="0.15">
      <c r="A54" s="53" t="s">
        <v>34</v>
      </c>
      <c r="B54" s="53" t="s">
        <v>157</v>
      </c>
      <c r="C54" s="53">
        <v>2019</v>
      </c>
      <c r="D54" s="174" t="s">
        <v>185</v>
      </c>
      <c r="E54" s="53" t="s">
        <v>269</v>
      </c>
      <c r="F54" s="158" t="s">
        <v>366</v>
      </c>
      <c r="G54" s="161" t="s">
        <v>36</v>
      </c>
      <c r="H54" s="53" t="s">
        <v>160</v>
      </c>
      <c r="I54" s="53" t="s">
        <v>159</v>
      </c>
      <c r="J54" s="53" t="s">
        <v>38</v>
      </c>
      <c r="K54" s="127" t="s">
        <v>161</v>
      </c>
      <c r="L54" s="53">
        <v>2</v>
      </c>
      <c r="N54" s="53">
        <v>6</v>
      </c>
      <c r="O54" s="53">
        <v>0.45</v>
      </c>
      <c r="P54" s="53">
        <v>0.55000000000000004</v>
      </c>
      <c r="Q54" s="74">
        <f t="shared" si="0"/>
        <v>0.5</v>
      </c>
      <c r="R54" s="53">
        <v>18.2</v>
      </c>
      <c r="S54" s="53">
        <v>87</v>
      </c>
      <c r="T54" s="16">
        <f t="shared" si="1"/>
        <v>36</v>
      </c>
      <c r="U54" s="53">
        <v>498</v>
      </c>
      <c r="V54" s="16">
        <f t="shared" si="2"/>
        <v>2988</v>
      </c>
      <c r="W54" s="53">
        <v>10</v>
      </c>
      <c r="X54" s="166" t="s">
        <v>46</v>
      </c>
      <c r="Y54" s="53" t="s">
        <v>55</v>
      </c>
      <c r="Z54" s="53" t="s">
        <v>69</v>
      </c>
      <c r="AA54" s="53" t="s">
        <v>64</v>
      </c>
      <c r="AB54" s="53" t="s">
        <v>158</v>
      </c>
    </row>
    <row r="55" spans="1:28" x14ac:dyDescent="0.15">
      <c r="A55" s="53" t="s">
        <v>34</v>
      </c>
      <c r="B55" s="53" t="s">
        <v>157</v>
      </c>
      <c r="C55" s="53">
        <v>2019</v>
      </c>
      <c r="D55" s="174" t="s">
        <v>185</v>
      </c>
      <c r="E55" s="53" t="s">
        <v>269</v>
      </c>
      <c r="F55" s="158" t="s">
        <v>366</v>
      </c>
      <c r="G55" s="161" t="s">
        <v>36</v>
      </c>
      <c r="H55" s="53" t="s">
        <v>160</v>
      </c>
      <c r="I55" s="53" t="s">
        <v>159</v>
      </c>
      <c r="J55" s="53" t="s">
        <v>38</v>
      </c>
      <c r="K55" s="127" t="s">
        <v>161</v>
      </c>
      <c r="L55" s="53">
        <v>3</v>
      </c>
      <c r="N55" s="53">
        <v>6</v>
      </c>
      <c r="O55" s="53">
        <v>0.5</v>
      </c>
      <c r="P55" s="53">
        <v>0.55000000000000004</v>
      </c>
      <c r="Q55" s="74">
        <f t="shared" si="0"/>
        <v>0.52500000000000002</v>
      </c>
      <c r="R55" s="53">
        <v>17.2</v>
      </c>
      <c r="S55" s="53">
        <v>83</v>
      </c>
      <c r="T55" s="16">
        <f t="shared" si="1"/>
        <v>39</v>
      </c>
      <c r="U55" s="53">
        <v>498</v>
      </c>
      <c r="V55" s="16">
        <f t="shared" si="2"/>
        <v>3237</v>
      </c>
      <c r="W55" s="53">
        <v>10</v>
      </c>
      <c r="X55" s="166" t="s">
        <v>46</v>
      </c>
      <c r="Y55" s="53" t="s">
        <v>55</v>
      </c>
      <c r="Z55" s="53" t="s">
        <v>69</v>
      </c>
      <c r="AA55" s="53" t="s">
        <v>64</v>
      </c>
      <c r="AB55" s="53" t="s">
        <v>158</v>
      </c>
    </row>
    <row r="56" spans="1:28" x14ac:dyDescent="0.15">
      <c r="D56" s="174"/>
      <c r="F56" s="158"/>
      <c r="G56" s="161"/>
      <c r="K56" s="127"/>
      <c r="Q56" s="74" t="str">
        <f t="shared" si="0"/>
        <v/>
      </c>
      <c r="T56" s="16" t="str">
        <f t="shared" si="1"/>
        <v/>
      </c>
      <c r="V56" s="16" t="str">
        <f t="shared" si="2"/>
        <v/>
      </c>
      <c r="X56" s="166"/>
    </row>
    <row r="57" spans="1:28" x14ac:dyDescent="0.15">
      <c r="D57" s="174"/>
      <c r="F57" s="158"/>
      <c r="G57" s="161"/>
      <c r="K57" s="127"/>
      <c r="Q57" s="74" t="str">
        <f t="shared" si="0"/>
        <v/>
      </c>
      <c r="T57" s="16" t="str">
        <f t="shared" si="1"/>
        <v/>
      </c>
      <c r="V57" s="16" t="str">
        <f t="shared" si="2"/>
        <v/>
      </c>
      <c r="X57" s="166"/>
    </row>
    <row r="58" spans="1:28" x14ac:dyDescent="0.15">
      <c r="D58" s="174"/>
      <c r="F58" s="158"/>
      <c r="G58" s="161"/>
      <c r="K58" s="127"/>
      <c r="Q58" s="74" t="str">
        <f t="shared" si="0"/>
        <v/>
      </c>
      <c r="T58" s="16" t="str">
        <f t="shared" si="1"/>
        <v/>
      </c>
      <c r="V58" s="16" t="str">
        <f t="shared" si="2"/>
        <v/>
      </c>
      <c r="X58" s="166"/>
    </row>
    <row r="59" spans="1:28" x14ac:dyDescent="0.15">
      <c r="D59" s="174"/>
      <c r="F59" s="158"/>
      <c r="G59" s="161"/>
      <c r="K59" s="127"/>
      <c r="Q59" s="74" t="str">
        <f t="shared" si="0"/>
        <v/>
      </c>
      <c r="T59" s="16" t="str">
        <f t="shared" si="1"/>
        <v/>
      </c>
      <c r="V59" s="16" t="str">
        <f t="shared" si="2"/>
        <v/>
      </c>
      <c r="X59" s="166"/>
    </row>
    <row r="60" spans="1:28" x14ac:dyDescent="0.15">
      <c r="D60" s="174"/>
      <c r="F60" s="158"/>
      <c r="G60" s="161"/>
      <c r="K60" s="127"/>
      <c r="Q60" s="74" t="str">
        <f t="shared" si="0"/>
        <v/>
      </c>
      <c r="T60" s="16" t="str">
        <f t="shared" si="1"/>
        <v/>
      </c>
      <c r="V60" s="16" t="str">
        <f t="shared" si="2"/>
        <v/>
      </c>
      <c r="X60" s="166"/>
    </row>
    <row r="61" spans="1:28" x14ac:dyDescent="0.15">
      <c r="D61" s="174"/>
      <c r="F61" s="158"/>
      <c r="G61" s="161"/>
      <c r="K61" s="127"/>
      <c r="Q61" s="74" t="str">
        <f t="shared" si="0"/>
        <v/>
      </c>
      <c r="T61" s="16" t="str">
        <f t="shared" si="1"/>
        <v/>
      </c>
      <c r="V61" s="16" t="str">
        <f t="shared" si="2"/>
        <v/>
      </c>
      <c r="X61" s="166"/>
    </row>
    <row r="62" spans="1:28" x14ac:dyDescent="0.15">
      <c r="D62" s="174"/>
      <c r="F62" s="158"/>
      <c r="G62" s="161"/>
      <c r="K62" s="127"/>
      <c r="Q62" s="74" t="str">
        <f t="shared" si="0"/>
        <v/>
      </c>
      <c r="T62" s="16" t="str">
        <f t="shared" si="1"/>
        <v/>
      </c>
      <c r="V62" s="16" t="str">
        <f t="shared" si="2"/>
        <v/>
      </c>
      <c r="X62" s="166"/>
    </row>
    <row r="63" spans="1:28" x14ac:dyDescent="0.15">
      <c r="D63" s="174"/>
      <c r="F63" s="158"/>
      <c r="G63" s="161"/>
      <c r="K63" s="127"/>
      <c r="Q63" s="74" t="str">
        <f t="shared" si="0"/>
        <v/>
      </c>
      <c r="T63" s="16" t="str">
        <f t="shared" si="1"/>
        <v/>
      </c>
      <c r="V63" s="16" t="str">
        <f t="shared" si="2"/>
        <v/>
      </c>
      <c r="X63" s="166"/>
    </row>
    <row r="64" spans="1:28" x14ac:dyDescent="0.15">
      <c r="D64" s="174"/>
      <c r="F64" s="158"/>
      <c r="G64" s="161"/>
      <c r="K64" s="127"/>
      <c r="Q64" s="74" t="str">
        <f t="shared" si="0"/>
        <v/>
      </c>
      <c r="T64" s="16" t="str">
        <f t="shared" si="1"/>
        <v/>
      </c>
      <c r="V64" s="16" t="str">
        <f t="shared" si="2"/>
        <v/>
      </c>
      <c r="X64" s="166"/>
    </row>
    <row r="65" spans="4:24" x14ac:dyDescent="0.15">
      <c r="D65" s="174"/>
      <c r="F65" s="158"/>
      <c r="G65" s="161"/>
      <c r="K65" s="127"/>
      <c r="Q65" s="74" t="str">
        <f t="shared" si="0"/>
        <v/>
      </c>
      <c r="T65" s="16" t="str">
        <f t="shared" si="1"/>
        <v/>
      </c>
      <c r="V65" s="16" t="str">
        <f t="shared" si="2"/>
        <v/>
      </c>
      <c r="X65" s="166"/>
    </row>
    <row r="66" spans="4:24" x14ac:dyDescent="0.15">
      <c r="D66" s="174"/>
      <c r="F66" s="158"/>
      <c r="G66" s="161"/>
      <c r="K66" s="127"/>
      <c r="Q66" s="74" t="str">
        <f t="shared" ref="Q66:Q91" si="3">IF(OR(O66="",P66=""),"",AVERAGE(O66,P66))</f>
        <v/>
      </c>
      <c r="T66" s="16" t="str">
        <f t="shared" ref="T66:T91" si="4">IF(H66="","",IF(OR(H66="GREEN",H66="GK"),IF(S66&gt;=$AX$2,VLOOKUP(S66,$AX$2:$AY$7,2,1),""),IF(S66&gt;=$AZ$2,VLOOKUP(S66,$AZ$2:$BA$7,2,1),"")))</f>
        <v/>
      </c>
      <c r="V66" s="16" t="str">
        <f t="shared" ref="V66:V91" si="5">IF(OR(N66="",U66="",T66=""),"",U66/N66*T66)</f>
        <v/>
      </c>
      <c r="X66" s="166"/>
    </row>
    <row r="67" spans="4:24" x14ac:dyDescent="0.15">
      <c r="D67" s="174"/>
      <c r="F67" s="158"/>
      <c r="G67" s="161"/>
      <c r="K67" s="127"/>
      <c r="Q67" s="74" t="str">
        <f t="shared" si="3"/>
        <v/>
      </c>
      <c r="T67" s="16" t="str">
        <f t="shared" si="4"/>
        <v/>
      </c>
      <c r="V67" s="16" t="str">
        <f t="shared" si="5"/>
        <v/>
      </c>
      <c r="X67" s="166"/>
    </row>
    <row r="68" spans="4:24" x14ac:dyDescent="0.15">
      <c r="D68" s="174"/>
      <c r="F68" s="158"/>
      <c r="G68" s="161"/>
      <c r="K68" s="127"/>
      <c r="Q68" s="74" t="str">
        <f t="shared" si="3"/>
        <v/>
      </c>
      <c r="T68" s="16" t="str">
        <f t="shared" si="4"/>
        <v/>
      </c>
      <c r="V68" s="16" t="str">
        <f t="shared" si="5"/>
        <v/>
      </c>
      <c r="X68" s="166"/>
    </row>
    <row r="69" spans="4:24" x14ac:dyDescent="0.15">
      <c r="D69" s="174"/>
      <c r="F69" s="158"/>
      <c r="G69" s="161"/>
      <c r="K69" s="127"/>
      <c r="Q69" s="74" t="str">
        <f t="shared" si="3"/>
        <v/>
      </c>
      <c r="T69" s="16" t="str">
        <f t="shared" si="4"/>
        <v/>
      </c>
      <c r="V69" s="16" t="str">
        <f t="shared" si="5"/>
        <v/>
      </c>
      <c r="X69" s="166"/>
    </row>
    <row r="70" spans="4:24" x14ac:dyDescent="0.15">
      <c r="D70" s="174"/>
      <c r="F70" s="158"/>
      <c r="G70" s="161"/>
      <c r="K70" s="127"/>
      <c r="Q70" s="74" t="str">
        <f t="shared" si="3"/>
        <v/>
      </c>
      <c r="T70" s="16" t="str">
        <f t="shared" si="4"/>
        <v/>
      </c>
      <c r="V70" s="16" t="str">
        <f t="shared" si="5"/>
        <v/>
      </c>
      <c r="X70" s="166"/>
    </row>
    <row r="71" spans="4:24" x14ac:dyDescent="0.15">
      <c r="D71" s="174"/>
      <c r="F71" s="158"/>
      <c r="G71" s="161"/>
      <c r="K71" s="127"/>
      <c r="Q71" s="74" t="str">
        <f t="shared" si="3"/>
        <v/>
      </c>
      <c r="T71" s="16" t="str">
        <f t="shared" si="4"/>
        <v/>
      </c>
      <c r="V71" s="16" t="str">
        <f t="shared" si="5"/>
        <v/>
      </c>
      <c r="X71" s="166"/>
    </row>
    <row r="72" spans="4:24" x14ac:dyDescent="0.15">
      <c r="D72" s="174"/>
      <c r="F72" s="158"/>
      <c r="G72" s="161"/>
      <c r="K72" s="127"/>
      <c r="Q72" s="74" t="str">
        <f t="shared" si="3"/>
        <v/>
      </c>
      <c r="T72" s="16" t="str">
        <f t="shared" si="4"/>
        <v/>
      </c>
      <c r="V72" s="16" t="str">
        <f t="shared" si="5"/>
        <v/>
      </c>
      <c r="X72" s="166"/>
    </row>
    <row r="73" spans="4:24" x14ac:dyDescent="0.15">
      <c r="D73" s="174"/>
      <c r="F73" s="158"/>
      <c r="G73" s="161"/>
      <c r="K73" s="127"/>
      <c r="Q73" s="74" t="str">
        <f t="shared" si="3"/>
        <v/>
      </c>
      <c r="T73" s="16" t="str">
        <f t="shared" si="4"/>
        <v/>
      </c>
      <c r="V73" s="16" t="str">
        <f t="shared" si="5"/>
        <v/>
      </c>
      <c r="X73" s="166"/>
    </row>
    <row r="74" spans="4:24" x14ac:dyDescent="0.15">
      <c r="K74" s="127"/>
      <c r="Q74" s="74" t="str">
        <f t="shared" si="3"/>
        <v/>
      </c>
      <c r="T74" s="16" t="str">
        <f t="shared" si="4"/>
        <v/>
      </c>
      <c r="V74" s="16" t="str">
        <f t="shared" si="5"/>
        <v/>
      </c>
    </row>
    <row r="75" spans="4:24" x14ac:dyDescent="0.15">
      <c r="K75" s="127"/>
      <c r="Q75" s="74" t="str">
        <f t="shared" si="3"/>
        <v/>
      </c>
      <c r="T75" s="16" t="str">
        <f t="shared" si="4"/>
        <v/>
      </c>
      <c r="V75" s="16" t="str">
        <f t="shared" si="5"/>
        <v/>
      </c>
    </row>
    <row r="76" spans="4:24" x14ac:dyDescent="0.15">
      <c r="K76" s="127"/>
      <c r="Q76" s="74" t="str">
        <f t="shared" si="3"/>
        <v/>
      </c>
      <c r="T76" s="16" t="str">
        <f t="shared" si="4"/>
        <v/>
      </c>
      <c r="V76" s="16" t="str">
        <f t="shared" si="5"/>
        <v/>
      </c>
    </row>
    <row r="77" spans="4:24" x14ac:dyDescent="0.15">
      <c r="K77" s="127"/>
      <c r="Q77" s="74" t="str">
        <f t="shared" si="3"/>
        <v/>
      </c>
      <c r="T77" s="16" t="str">
        <f t="shared" si="4"/>
        <v/>
      </c>
      <c r="V77" s="16" t="str">
        <f t="shared" si="5"/>
        <v/>
      </c>
    </row>
    <row r="78" spans="4:24" x14ac:dyDescent="0.15">
      <c r="K78" s="127"/>
      <c r="Q78" s="74" t="str">
        <f t="shared" si="3"/>
        <v/>
      </c>
      <c r="T78" s="16" t="str">
        <f t="shared" si="4"/>
        <v/>
      </c>
      <c r="V78" s="16" t="str">
        <f t="shared" si="5"/>
        <v/>
      </c>
    </row>
    <row r="79" spans="4:24" x14ac:dyDescent="0.15">
      <c r="K79" s="127"/>
      <c r="Q79" s="74" t="str">
        <f t="shared" si="3"/>
        <v/>
      </c>
      <c r="T79" s="16" t="str">
        <f t="shared" si="4"/>
        <v/>
      </c>
      <c r="V79" s="16" t="str">
        <f t="shared" si="5"/>
        <v/>
      </c>
    </row>
    <row r="80" spans="4:24" x14ac:dyDescent="0.15">
      <c r="K80" s="127"/>
      <c r="Q80" s="74" t="str">
        <f t="shared" si="3"/>
        <v/>
      </c>
      <c r="T80" s="16" t="str">
        <f t="shared" si="4"/>
        <v/>
      </c>
      <c r="V80" s="16" t="str">
        <f t="shared" si="5"/>
        <v/>
      </c>
    </row>
    <row r="81" spans="11:22" x14ac:dyDescent="0.15">
      <c r="K81" s="127"/>
      <c r="Q81" s="74" t="str">
        <f t="shared" si="3"/>
        <v/>
      </c>
      <c r="T81" s="16" t="str">
        <f t="shared" si="4"/>
        <v/>
      </c>
      <c r="V81" s="16" t="str">
        <f t="shared" si="5"/>
        <v/>
      </c>
    </row>
    <row r="82" spans="11:22" x14ac:dyDescent="0.15">
      <c r="K82" s="127"/>
      <c r="Q82" s="74" t="str">
        <f t="shared" si="3"/>
        <v/>
      </c>
      <c r="T82" s="16" t="str">
        <f t="shared" si="4"/>
        <v/>
      </c>
      <c r="V82" s="16" t="str">
        <f t="shared" si="5"/>
        <v/>
      </c>
    </row>
    <row r="83" spans="11:22" x14ac:dyDescent="0.15">
      <c r="K83" s="127"/>
      <c r="Q83" s="74" t="str">
        <f t="shared" si="3"/>
        <v/>
      </c>
      <c r="T83" s="16" t="str">
        <f t="shared" si="4"/>
        <v/>
      </c>
      <c r="V83" s="16" t="str">
        <f t="shared" si="5"/>
        <v/>
      </c>
    </row>
    <row r="84" spans="11:22" x14ac:dyDescent="0.15">
      <c r="K84" s="127"/>
      <c r="Q84" s="74" t="str">
        <f t="shared" si="3"/>
        <v/>
      </c>
      <c r="T84" s="16" t="str">
        <f t="shared" si="4"/>
        <v/>
      </c>
      <c r="V84" s="16" t="str">
        <f t="shared" si="5"/>
        <v/>
      </c>
    </row>
    <row r="85" spans="11:22" x14ac:dyDescent="0.15">
      <c r="K85" s="127"/>
      <c r="Q85" s="74" t="str">
        <f t="shared" si="3"/>
        <v/>
      </c>
      <c r="T85" s="16" t="str">
        <f t="shared" si="4"/>
        <v/>
      </c>
      <c r="V85" s="16" t="str">
        <f t="shared" si="5"/>
        <v/>
      </c>
    </row>
    <row r="86" spans="11:22" x14ac:dyDescent="0.15">
      <c r="K86" s="127"/>
      <c r="Q86" s="74"/>
    </row>
    <row r="87" spans="11:22" x14ac:dyDescent="0.15">
      <c r="K87" s="127"/>
      <c r="Q87" s="74"/>
    </row>
    <row r="88" spans="11:22" x14ac:dyDescent="0.15">
      <c r="K88" s="127"/>
      <c r="Q88" s="74"/>
    </row>
    <row r="89" spans="11:22" x14ac:dyDescent="0.15">
      <c r="K89" s="127"/>
      <c r="Q89" s="74"/>
    </row>
    <row r="90" spans="11:22" x14ac:dyDescent="0.15">
      <c r="K90" s="127"/>
      <c r="Q90" s="74"/>
    </row>
    <row r="91" spans="11:22" x14ac:dyDescent="0.15">
      <c r="K91" s="127"/>
      <c r="Q91" s="74"/>
    </row>
    <row r="92" spans="11:22" x14ac:dyDescent="0.15">
      <c r="K92" s="127"/>
      <c r="Q92" s="74"/>
    </row>
    <row r="93" spans="11:22" x14ac:dyDescent="0.15">
      <c r="K93" s="127"/>
      <c r="Q93" s="74"/>
    </row>
    <row r="94" spans="11:22" x14ac:dyDescent="0.15">
      <c r="K94" s="127"/>
      <c r="Q94" s="74"/>
    </row>
    <row r="95" spans="11:22" x14ac:dyDescent="0.15">
      <c r="K95" s="127"/>
      <c r="Q95" s="74"/>
    </row>
    <row r="96" spans="11:22" x14ac:dyDescent="0.15">
      <c r="K96" s="127"/>
      <c r="Q96" s="74"/>
    </row>
    <row r="97" spans="11:17" x14ac:dyDescent="0.15">
      <c r="K97" s="127"/>
      <c r="Q97" s="74"/>
    </row>
    <row r="98" spans="11:17" x14ac:dyDescent="0.15">
      <c r="K98" s="127"/>
      <c r="Q98" s="74"/>
    </row>
    <row r="99" spans="11:17" x14ac:dyDescent="0.15">
      <c r="K99" s="127"/>
      <c r="Q99" s="74"/>
    </row>
    <row r="100" spans="11:17" x14ac:dyDescent="0.15">
      <c r="K100" s="127"/>
      <c r="Q100" s="74"/>
    </row>
    <row r="101" spans="11:17" x14ac:dyDescent="0.15">
      <c r="K101" s="127"/>
      <c r="Q101" s="74"/>
    </row>
    <row r="102" spans="11:17" x14ac:dyDescent="0.15">
      <c r="K102" s="127"/>
      <c r="Q102" s="74"/>
    </row>
    <row r="103" spans="11:17" x14ac:dyDescent="0.15">
      <c r="K103" s="127"/>
      <c r="Q103" s="74"/>
    </row>
    <row r="104" spans="11:17" x14ac:dyDescent="0.15">
      <c r="K104" s="127"/>
      <c r="Q104" s="74"/>
    </row>
    <row r="105" spans="11:17" x14ac:dyDescent="0.15">
      <c r="K105" s="127"/>
      <c r="Q105" s="74"/>
    </row>
    <row r="106" spans="11:17" x14ac:dyDescent="0.15">
      <c r="K106" s="127"/>
      <c r="Q106" s="74"/>
    </row>
    <row r="107" spans="11:17" x14ac:dyDescent="0.15">
      <c r="K107" s="127"/>
      <c r="Q107" s="74"/>
    </row>
    <row r="108" spans="11:17" x14ac:dyDescent="0.15">
      <c r="K108" s="127"/>
      <c r="Q108" s="74"/>
    </row>
    <row r="109" spans="11:17" x14ac:dyDescent="0.15">
      <c r="K109" s="127"/>
      <c r="Q109" s="74"/>
    </row>
    <row r="110" spans="11:17" x14ac:dyDescent="0.15">
      <c r="K110" s="127"/>
      <c r="Q110" s="74"/>
    </row>
    <row r="111" spans="11:17" x14ac:dyDescent="0.15">
      <c r="K111" s="127"/>
      <c r="Q111" s="74"/>
    </row>
    <row r="112" spans="11:17" x14ac:dyDescent="0.15">
      <c r="K112" s="127"/>
      <c r="Q112" s="74"/>
    </row>
    <row r="113" spans="11:17" x14ac:dyDescent="0.15">
      <c r="K113" s="127"/>
      <c r="Q113" s="74"/>
    </row>
    <row r="114" spans="11:17" x14ac:dyDescent="0.15">
      <c r="K114" s="127"/>
      <c r="Q114" s="74"/>
    </row>
    <row r="115" spans="11:17" x14ac:dyDescent="0.15">
      <c r="K115" s="127"/>
      <c r="Q115" s="74"/>
    </row>
    <row r="116" spans="11:17" x14ac:dyDescent="0.15">
      <c r="K116" s="127"/>
      <c r="Q116" s="74"/>
    </row>
    <row r="117" spans="11:17" x14ac:dyDescent="0.15">
      <c r="K117" s="127"/>
      <c r="Q117" s="74"/>
    </row>
    <row r="118" spans="11:17" x14ac:dyDescent="0.15">
      <c r="K118" s="127"/>
      <c r="Q118" s="74"/>
    </row>
    <row r="119" spans="11:17" x14ac:dyDescent="0.15">
      <c r="K119" s="127"/>
      <c r="Q119" s="74"/>
    </row>
    <row r="120" spans="11:17" x14ac:dyDescent="0.15">
      <c r="K120" s="127"/>
      <c r="Q120" s="74"/>
    </row>
    <row r="121" spans="11:17" x14ac:dyDescent="0.15">
      <c r="K121" s="127"/>
      <c r="Q121" s="74"/>
    </row>
    <row r="122" spans="11:17" x14ac:dyDescent="0.15">
      <c r="K122" s="127"/>
      <c r="Q122" s="74"/>
    </row>
    <row r="123" spans="11:17" x14ac:dyDescent="0.15">
      <c r="K123" s="127"/>
      <c r="Q123" s="74"/>
    </row>
    <row r="124" spans="11:17" x14ac:dyDescent="0.15">
      <c r="K124" s="127"/>
      <c r="Q124" s="74"/>
    </row>
    <row r="125" spans="11:17" x14ac:dyDescent="0.15">
      <c r="K125" s="127"/>
      <c r="Q125" s="74"/>
    </row>
    <row r="126" spans="11:17" x14ac:dyDescent="0.15">
      <c r="K126" s="127"/>
      <c r="Q126" s="74"/>
    </row>
    <row r="127" spans="11:17" x14ac:dyDescent="0.15">
      <c r="K127" s="127"/>
      <c r="Q127" s="74"/>
    </row>
    <row r="128" spans="11:17" x14ac:dyDescent="0.15">
      <c r="K128" s="127"/>
      <c r="Q128" s="74"/>
    </row>
    <row r="129" spans="11:17" x14ac:dyDescent="0.15">
      <c r="K129" s="127"/>
      <c r="Q129" s="74"/>
    </row>
    <row r="130" spans="11:17" x14ac:dyDescent="0.15">
      <c r="K130" s="127"/>
      <c r="Q130" s="74"/>
    </row>
    <row r="131" spans="11:17" x14ac:dyDescent="0.15">
      <c r="K131" s="127"/>
      <c r="Q131" s="74"/>
    </row>
    <row r="132" spans="11:17" x14ac:dyDescent="0.15">
      <c r="K132" s="127"/>
      <c r="Q132" s="74"/>
    </row>
    <row r="133" spans="11:17" x14ac:dyDescent="0.15">
      <c r="K133" s="127"/>
      <c r="Q133" s="74"/>
    </row>
    <row r="134" spans="11:17" x14ac:dyDescent="0.15">
      <c r="K134" s="127"/>
      <c r="Q134" s="74"/>
    </row>
    <row r="135" spans="11:17" x14ac:dyDescent="0.15">
      <c r="K135" s="127"/>
      <c r="Q135" s="74"/>
    </row>
    <row r="136" spans="11:17" x14ac:dyDescent="0.15">
      <c r="K136" s="127"/>
      <c r="Q136" s="74"/>
    </row>
    <row r="137" spans="11:17" x14ac:dyDescent="0.15">
      <c r="K137" s="127"/>
      <c r="Q137" s="74"/>
    </row>
    <row r="138" spans="11:17" x14ac:dyDescent="0.15">
      <c r="K138" s="127"/>
      <c r="Q138" s="74"/>
    </row>
    <row r="139" spans="11:17" x14ac:dyDescent="0.15">
      <c r="K139" s="127"/>
      <c r="Q139" s="74"/>
    </row>
    <row r="140" spans="11:17" x14ac:dyDescent="0.15">
      <c r="K140" s="127"/>
      <c r="Q140" s="74"/>
    </row>
    <row r="141" spans="11:17" x14ac:dyDescent="0.15">
      <c r="K141" s="127"/>
      <c r="Q141" s="74"/>
    </row>
    <row r="142" spans="11:17" x14ac:dyDescent="0.15">
      <c r="K142" s="127"/>
      <c r="Q142" s="74"/>
    </row>
    <row r="143" spans="11:17" x14ac:dyDescent="0.15">
      <c r="K143" s="127"/>
      <c r="Q143" s="74"/>
    </row>
    <row r="144" spans="11:17" x14ac:dyDescent="0.15">
      <c r="K144" s="127"/>
      <c r="Q144" s="74"/>
    </row>
    <row r="145" spans="11:17" x14ac:dyDescent="0.15">
      <c r="K145" s="127"/>
      <c r="Q145" s="74"/>
    </row>
    <row r="146" spans="11:17" x14ac:dyDescent="0.15">
      <c r="K146" s="127"/>
      <c r="Q146" s="74"/>
    </row>
    <row r="147" spans="11:17" x14ac:dyDescent="0.15">
      <c r="K147" s="127"/>
      <c r="Q147" s="74"/>
    </row>
    <row r="148" spans="11:17" x14ac:dyDescent="0.15">
      <c r="K148" s="127"/>
      <c r="Q148" s="74"/>
    </row>
    <row r="149" spans="11:17" x14ac:dyDescent="0.15">
      <c r="K149" s="127"/>
      <c r="Q149" s="74"/>
    </row>
    <row r="150" spans="11:17" x14ac:dyDescent="0.15">
      <c r="K150" s="127"/>
      <c r="Q150" s="74"/>
    </row>
    <row r="151" spans="11:17" x14ac:dyDescent="0.15">
      <c r="K151" s="127"/>
      <c r="Q151" s="74"/>
    </row>
    <row r="152" spans="11:17" x14ac:dyDescent="0.15">
      <c r="K152" s="127"/>
      <c r="Q152" s="74"/>
    </row>
    <row r="153" spans="11:17" x14ac:dyDescent="0.15">
      <c r="K153" s="127"/>
      <c r="Q153" s="74"/>
    </row>
    <row r="154" spans="11:17" x14ac:dyDescent="0.15">
      <c r="K154" s="127"/>
      <c r="Q154" s="74"/>
    </row>
    <row r="155" spans="11:17" x14ac:dyDescent="0.15">
      <c r="K155" s="127"/>
      <c r="Q155" s="74"/>
    </row>
    <row r="156" spans="11:17" x14ac:dyDescent="0.15">
      <c r="K156" s="127"/>
      <c r="Q156" s="74"/>
    </row>
    <row r="157" spans="11:17" x14ac:dyDescent="0.15">
      <c r="K157" s="127"/>
      <c r="Q157" s="74"/>
    </row>
    <row r="158" spans="11:17" x14ac:dyDescent="0.15">
      <c r="K158" s="127"/>
      <c r="Q158" s="74"/>
    </row>
    <row r="159" spans="11:17" x14ac:dyDescent="0.15">
      <c r="K159" s="127"/>
      <c r="Q159" s="74"/>
    </row>
    <row r="160" spans="11:17" x14ac:dyDescent="0.15">
      <c r="K160" s="127"/>
      <c r="Q160" s="74"/>
    </row>
    <row r="161" spans="11:17" x14ac:dyDescent="0.15">
      <c r="K161" s="127"/>
      <c r="Q161" s="74"/>
    </row>
    <row r="162" spans="11:17" x14ac:dyDescent="0.15">
      <c r="K162" s="127"/>
      <c r="Q162" s="74"/>
    </row>
    <row r="163" spans="11:17" x14ac:dyDescent="0.15">
      <c r="K163" s="127"/>
      <c r="Q163" s="74"/>
    </row>
    <row r="164" spans="11:17" x14ac:dyDescent="0.15">
      <c r="K164" s="127"/>
      <c r="Q164" s="74"/>
    </row>
    <row r="165" spans="11:17" x14ac:dyDescent="0.15">
      <c r="K165" s="127"/>
      <c r="Q165" s="74"/>
    </row>
    <row r="166" spans="11:17" x14ac:dyDescent="0.15">
      <c r="K166" s="127"/>
      <c r="Q166" s="74"/>
    </row>
    <row r="167" spans="11:17" x14ac:dyDescent="0.15">
      <c r="K167" s="127"/>
      <c r="Q167" s="74"/>
    </row>
    <row r="168" spans="11:17" x14ac:dyDescent="0.15">
      <c r="K168" s="127"/>
      <c r="Q168" s="74"/>
    </row>
    <row r="169" spans="11:17" x14ac:dyDescent="0.15">
      <c r="K169" s="127"/>
      <c r="Q169" s="74"/>
    </row>
    <row r="170" spans="11:17" x14ac:dyDescent="0.15">
      <c r="K170" s="127"/>
      <c r="Q170" s="74"/>
    </row>
    <row r="171" spans="11:17" x14ac:dyDescent="0.15">
      <c r="K171" s="127"/>
      <c r="Q171" s="74"/>
    </row>
    <row r="172" spans="11:17" x14ac:dyDescent="0.15">
      <c r="K172" s="127"/>
      <c r="Q172" s="74"/>
    </row>
    <row r="173" spans="11:17" x14ac:dyDescent="0.15">
      <c r="K173" s="127"/>
      <c r="Q173" s="74"/>
    </row>
    <row r="174" spans="11:17" x14ac:dyDescent="0.15">
      <c r="K174" s="127"/>
      <c r="Q174" s="74"/>
    </row>
    <row r="175" spans="11:17" x14ac:dyDescent="0.15">
      <c r="K175" s="127"/>
      <c r="Q175" s="74"/>
    </row>
    <row r="176" spans="11:17" x14ac:dyDescent="0.15">
      <c r="K176" s="127"/>
      <c r="Q176" s="74"/>
    </row>
    <row r="177" spans="11:17" x14ac:dyDescent="0.15">
      <c r="K177" s="127"/>
      <c r="Q177" s="74"/>
    </row>
    <row r="178" spans="11:17" x14ac:dyDescent="0.15">
      <c r="K178" s="127"/>
      <c r="Q178" s="74"/>
    </row>
    <row r="179" spans="11:17" x14ac:dyDescent="0.15">
      <c r="K179" s="127"/>
      <c r="Q179" s="74"/>
    </row>
    <row r="180" spans="11:17" x14ac:dyDescent="0.15">
      <c r="K180" s="127"/>
      <c r="Q180" s="74"/>
    </row>
    <row r="181" spans="11:17" x14ac:dyDescent="0.15">
      <c r="K181" s="127"/>
      <c r="Q181" s="74"/>
    </row>
    <row r="182" spans="11:17" x14ac:dyDescent="0.15">
      <c r="K182" s="127"/>
      <c r="Q182" s="74"/>
    </row>
    <row r="183" spans="11:17" x14ac:dyDescent="0.15">
      <c r="K183" s="127"/>
      <c r="Q183" s="74"/>
    </row>
    <row r="184" spans="11:17" x14ac:dyDescent="0.15">
      <c r="K184" s="127"/>
      <c r="Q184" s="74"/>
    </row>
    <row r="185" spans="11:17" x14ac:dyDescent="0.15">
      <c r="K185" s="127"/>
      <c r="Q185" s="74"/>
    </row>
    <row r="186" spans="11:17" x14ac:dyDescent="0.15">
      <c r="K186" s="127"/>
      <c r="Q186" s="74"/>
    </row>
    <row r="187" spans="11:17" x14ac:dyDescent="0.15">
      <c r="K187" s="127"/>
      <c r="Q187" s="74"/>
    </row>
    <row r="188" spans="11:17" x14ac:dyDescent="0.15">
      <c r="K188" s="127"/>
      <c r="Q188" s="74"/>
    </row>
    <row r="189" spans="11:17" x14ac:dyDescent="0.15">
      <c r="K189" s="127"/>
      <c r="Q189" s="74"/>
    </row>
    <row r="190" spans="11:17" x14ac:dyDescent="0.15">
      <c r="K190" s="127"/>
      <c r="Q190" s="74"/>
    </row>
    <row r="191" spans="11:17" x14ac:dyDescent="0.15">
      <c r="K191" s="127"/>
      <c r="Q191" s="74"/>
    </row>
    <row r="192" spans="11:17" x14ac:dyDescent="0.15">
      <c r="K192" s="127"/>
      <c r="Q192" s="74"/>
    </row>
    <row r="193" spans="11:17" x14ac:dyDescent="0.15">
      <c r="K193" s="127"/>
      <c r="Q193" s="74"/>
    </row>
    <row r="194" spans="11:17" x14ac:dyDescent="0.15">
      <c r="K194" s="127"/>
      <c r="Q194" s="74"/>
    </row>
    <row r="195" spans="11:17" x14ac:dyDescent="0.15">
      <c r="K195" s="127"/>
      <c r="Q195" s="74"/>
    </row>
    <row r="196" spans="11:17" x14ac:dyDescent="0.15">
      <c r="K196" s="127"/>
      <c r="Q196" s="74"/>
    </row>
    <row r="197" spans="11:17" x14ac:dyDescent="0.15">
      <c r="K197" s="127"/>
      <c r="Q197" s="74"/>
    </row>
    <row r="198" spans="11:17" x14ac:dyDescent="0.15">
      <c r="K198" s="127"/>
      <c r="Q198" s="74"/>
    </row>
    <row r="199" spans="11:17" x14ac:dyDescent="0.15">
      <c r="K199" s="127"/>
      <c r="Q199" s="74"/>
    </row>
    <row r="200" spans="11:17" x14ac:dyDescent="0.15">
      <c r="K200" s="127"/>
      <c r="Q200" s="74"/>
    </row>
    <row r="201" spans="11:17" x14ac:dyDescent="0.15">
      <c r="K201" s="127"/>
      <c r="Q201" s="74"/>
    </row>
    <row r="202" spans="11:17" x14ac:dyDescent="0.15">
      <c r="K202" s="127"/>
      <c r="Q202" s="74"/>
    </row>
    <row r="203" spans="11:17" x14ac:dyDescent="0.15">
      <c r="K203" s="127"/>
      <c r="Q203" s="74"/>
    </row>
    <row r="204" spans="11:17" x14ac:dyDescent="0.15">
      <c r="K204" s="127"/>
      <c r="Q204" s="74"/>
    </row>
    <row r="205" spans="11:17" x14ac:dyDescent="0.15">
      <c r="K205" s="127"/>
      <c r="Q205" s="74"/>
    </row>
    <row r="206" spans="11:17" x14ac:dyDescent="0.15">
      <c r="K206" s="127"/>
      <c r="Q206" s="74"/>
    </row>
    <row r="207" spans="11:17" x14ac:dyDescent="0.15">
      <c r="K207" s="127"/>
      <c r="Q207" s="74"/>
    </row>
    <row r="208" spans="11:17" x14ac:dyDescent="0.15">
      <c r="K208" s="127"/>
      <c r="Q208" s="74"/>
    </row>
    <row r="209" spans="11:17" x14ac:dyDescent="0.15">
      <c r="K209" s="127"/>
      <c r="Q209" s="74"/>
    </row>
    <row r="210" spans="11:17" x14ac:dyDescent="0.15">
      <c r="K210" s="127"/>
      <c r="Q210" s="74"/>
    </row>
    <row r="211" spans="11:17" x14ac:dyDescent="0.15">
      <c r="K211" s="127"/>
      <c r="Q211" s="74"/>
    </row>
    <row r="212" spans="11:17" x14ac:dyDescent="0.15">
      <c r="K212" s="127"/>
      <c r="Q212" s="74"/>
    </row>
    <row r="213" spans="11:17" x14ac:dyDescent="0.15">
      <c r="K213" s="127"/>
      <c r="Q213" s="74"/>
    </row>
    <row r="214" spans="11:17" x14ac:dyDescent="0.15">
      <c r="K214" s="127"/>
      <c r="Q214" s="74"/>
    </row>
    <row r="215" spans="11:17" x14ac:dyDescent="0.15">
      <c r="K215" s="127"/>
      <c r="Q215" s="74"/>
    </row>
    <row r="216" spans="11:17" x14ac:dyDescent="0.15">
      <c r="K216" s="127"/>
      <c r="Q216" s="74"/>
    </row>
    <row r="217" spans="11:17" x14ac:dyDescent="0.15">
      <c r="K217" s="127"/>
      <c r="Q217" s="74"/>
    </row>
    <row r="218" spans="11:17" x14ac:dyDescent="0.15">
      <c r="K218" s="127"/>
      <c r="Q218" s="74"/>
    </row>
    <row r="219" spans="11:17" x14ac:dyDescent="0.15">
      <c r="K219" s="127"/>
      <c r="Q219" s="74"/>
    </row>
    <row r="220" spans="11:17" x14ac:dyDescent="0.15">
      <c r="K220" s="127"/>
      <c r="Q220" s="74"/>
    </row>
    <row r="221" spans="11:17" x14ac:dyDescent="0.15">
      <c r="K221" s="127"/>
      <c r="Q221" s="74"/>
    </row>
    <row r="222" spans="11:17" x14ac:dyDescent="0.15">
      <c r="K222" s="127"/>
      <c r="Q222" s="74"/>
    </row>
    <row r="223" spans="11:17" x14ac:dyDescent="0.15">
      <c r="K223" s="127"/>
      <c r="Q223" s="74"/>
    </row>
    <row r="224" spans="11:17" x14ac:dyDescent="0.15">
      <c r="K224" s="127"/>
      <c r="Q224" s="74"/>
    </row>
    <row r="225" spans="11:17" x14ac:dyDescent="0.15">
      <c r="K225" s="127"/>
      <c r="Q225" s="74"/>
    </row>
    <row r="226" spans="11:17" x14ac:dyDescent="0.15">
      <c r="K226" s="127"/>
      <c r="Q226" s="74"/>
    </row>
    <row r="227" spans="11:17" x14ac:dyDescent="0.15">
      <c r="K227" s="127"/>
      <c r="Q227" s="74"/>
    </row>
    <row r="228" spans="11:17" x14ac:dyDescent="0.15">
      <c r="K228" s="127"/>
      <c r="Q228" s="74"/>
    </row>
    <row r="229" spans="11:17" x14ac:dyDescent="0.15">
      <c r="K229" s="127"/>
      <c r="Q229" s="74"/>
    </row>
    <row r="230" spans="11:17" x14ac:dyDescent="0.15">
      <c r="K230" s="127"/>
      <c r="Q230" s="74"/>
    </row>
    <row r="231" spans="11:17" x14ac:dyDescent="0.15">
      <c r="K231" s="127"/>
      <c r="Q231" s="74"/>
    </row>
    <row r="232" spans="11:17" x14ac:dyDescent="0.15">
      <c r="K232" s="127"/>
      <c r="Q232" s="74"/>
    </row>
    <row r="233" spans="11:17" x14ac:dyDescent="0.15">
      <c r="K233" s="127"/>
      <c r="Q233" s="74"/>
    </row>
    <row r="234" spans="11:17" x14ac:dyDescent="0.15">
      <c r="K234" s="127"/>
      <c r="Q234" s="74"/>
    </row>
    <row r="235" spans="11:17" x14ac:dyDescent="0.15">
      <c r="K235" s="127"/>
      <c r="Q235" s="74"/>
    </row>
    <row r="236" spans="11:17" x14ac:dyDescent="0.15">
      <c r="K236" s="127"/>
      <c r="Q236" s="74"/>
    </row>
    <row r="237" spans="11:17" x14ac:dyDescent="0.15">
      <c r="K237" s="127"/>
      <c r="Q237" s="74"/>
    </row>
    <row r="238" spans="11:17" x14ac:dyDescent="0.15">
      <c r="K238" s="127"/>
      <c r="Q238" s="74"/>
    </row>
    <row r="239" spans="11:17" x14ac:dyDescent="0.15">
      <c r="K239" s="127"/>
      <c r="Q239" s="74"/>
    </row>
    <row r="240" spans="11:17" x14ac:dyDescent="0.15">
      <c r="K240" s="127"/>
      <c r="Q240" s="74"/>
    </row>
    <row r="241" spans="11:17" x14ac:dyDescent="0.15">
      <c r="K241" s="127"/>
      <c r="Q241" s="74"/>
    </row>
    <row r="242" spans="11:17" x14ac:dyDescent="0.15">
      <c r="K242" s="127"/>
      <c r="Q242" s="74"/>
    </row>
    <row r="243" spans="11:17" x14ac:dyDescent="0.15">
      <c r="K243" s="127"/>
      <c r="Q243" s="74"/>
    </row>
    <row r="244" spans="11:17" x14ac:dyDescent="0.15">
      <c r="K244" s="127"/>
      <c r="Q244" s="74"/>
    </row>
    <row r="245" spans="11:17" x14ac:dyDescent="0.15">
      <c r="K245" s="127"/>
      <c r="Q245" s="74"/>
    </row>
    <row r="246" spans="11:17" x14ac:dyDescent="0.15">
      <c r="K246" s="127"/>
      <c r="Q246" s="74"/>
    </row>
    <row r="247" spans="11:17" x14ac:dyDescent="0.15">
      <c r="K247" s="127"/>
      <c r="Q247" s="74"/>
    </row>
    <row r="248" spans="11:17" x14ac:dyDescent="0.15">
      <c r="K248" s="127"/>
      <c r="Q248" s="74"/>
    </row>
    <row r="249" spans="11:17" x14ac:dyDescent="0.15">
      <c r="K249" s="127"/>
      <c r="Q249" s="74"/>
    </row>
    <row r="250" spans="11:17" x14ac:dyDescent="0.15">
      <c r="K250" s="127"/>
      <c r="Q250" s="74"/>
    </row>
    <row r="251" spans="11:17" x14ac:dyDescent="0.15">
      <c r="K251" s="127"/>
      <c r="Q251" s="74"/>
    </row>
    <row r="252" spans="11:17" x14ac:dyDescent="0.15">
      <c r="K252" s="127"/>
      <c r="Q252" s="74"/>
    </row>
    <row r="253" spans="11:17" x14ac:dyDescent="0.15">
      <c r="K253" s="127"/>
      <c r="Q253" s="74"/>
    </row>
    <row r="254" spans="11:17" x14ac:dyDescent="0.15">
      <c r="K254" s="127"/>
      <c r="Q254" s="74"/>
    </row>
    <row r="255" spans="11:17" x14ac:dyDescent="0.15">
      <c r="K255" s="127"/>
      <c r="Q255" s="74"/>
    </row>
    <row r="256" spans="11:17" x14ac:dyDescent="0.15">
      <c r="K256" s="127"/>
      <c r="Q256" s="74"/>
    </row>
    <row r="257" spans="11:17" x14ac:dyDescent="0.15">
      <c r="K257" s="127"/>
      <c r="Q257" s="74"/>
    </row>
    <row r="258" spans="11:17" x14ac:dyDescent="0.15">
      <c r="K258" s="127"/>
      <c r="Q258" s="74"/>
    </row>
    <row r="259" spans="11:17" x14ac:dyDescent="0.15">
      <c r="K259" s="127"/>
      <c r="Q259" s="74"/>
    </row>
    <row r="260" spans="11:17" x14ac:dyDescent="0.15">
      <c r="K260" s="127"/>
      <c r="Q260" s="74"/>
    </row>
    <row r="261" spans="11:17" x14ac:dyDescent="0.15">
      <c r="K261" s="127"/>
      <c r="Q261" s="74"/>
    </row>
    <row r="262" spans="11:17" x14ac:dyDescent="0.15">
      <c r="K262" s="127"/>
      <c r="Q262" s="74"/>
    </row>
    <row r="263" spans="11:17" x14ac:dyDescent="0.15">
      <c r="K263" s="127"/>
      <c r="Q263" s="74"/>
    </row>
    <row r="264" spans="11:17" x14ac:dyDescent="0.15">
      <c r="K264" s="127"/>
      <c r="Q264" s="74"/>
    </row>
    <row r="265" spans="11:17" x14ac:dyDescent="0.15">
      <c r="K265" s="127"/>
      <c r="Q265" s="74"/>
    </row>
    <row r="266" spans="11:17" x14ac:dyDescent="0.15">
      <c r="K266" s="127"/>
      <c r="Q266" s="74"/>
    </row>
    <row r="267" spans="11:17" x14ac:dyDescent="0.15">
      <c r="K267" s="127"/>
      <c r="Q267" s="74"/>
    </row>
    <row r="268" spans="11:17" x14ac:dyDescent="0.15">
      <c r="K268" s="127"/>
      <c r="Q268" s="74"/>
    </row>
    <row r="269" spans="11:17" x14ac:dyDescent="0.15">
      <c r="K269" s="127"/>
      <c r="Q269" s="74"/>
    </row>
    <row r="270" spans="11:17" x14ac:dyDescent="0.15">
      <c r="K270" s="127"/>
      <c r="Q270" s="74"/>
    </row>
    <row r="271" spans="11:17" x14ac:dyDescent="0.15">
      <c r="K271" s="127"/>
      <c r="Q271" s="74"/>
    </row>
    <row r="272" spans="11:17" x14ac:dyDescent="0.15">
      <c r="K272" s="127"/>
      <c r="Q272" s="74"/>
    </row>
    <row r="273" spans="11:17" x14ac:dyDescent="0.15">
      <c r="K273" s="127"/>
      <c r="Q273" s="74"/>
    </row>
    <row r="274" spans="11:17" x14ac:dyDescent="0.15">
      <c r="K274" s="127"/>
      <c r="Q274" s="74"/>
    </row>
    <row r="275" spans="11:17" x14ac:dyDescent="0.15">
      <c r="K275" s="127"/>
      <c r="Q275" s="74"/>
    </row>
    <row r="276" spans="11:17" x14ac:dyDescent="0.15">
      <c r="K276" s="127"/>
      <c r="Q276" s="74"/>
    </row>
    <row r="277" spans="11:17" x14ac:dyDescent="0.15">
      <c r="K277" s="127"/>
      <c r="Q277" s="74"/>
    </row>
    <row r="278" spans="11:17" x14ac:dyDescent="0.15">
      <c r="K278" s="127"/>
      <c r="Q278" s="74"/>
    </row>
    <row r="279" spans="11:17" x14ac:dyDescent="0.15">
      <c r="K279" s="127"/>
      <c r="Q279" s="74"/>
    </row>
    <row r="280" spans="11:17" x14ac:dyDescent="0.15">
      <c r="K280" s="127"/>
      <c r="Q280" s="74"/>
    </row>
    <row r="281" spans="11:17" x14ac:dyDescent="0.15">
      <c r="K281" s="127"/>
      <c r="Q281" s="74"/>
    </row>
    <row r="282" spans="11:17" x14ac:dyDescent="0.15">
      <c r="K282" s="127"/>
      <c r="Q282" s="74"/>
    </row>
    <row r="283" spans="11:17" x14ac:dyDescent="0.15">
      <c r="K283" s="127"/>
      <c r="Q283" s="74"/>
    </row>
    <row r="284" spans="11:17" x14ac:dyDescent="0.15">
      <c r="K284" s="127"/>
      <c r="Q284" s="74"/>
    </row>
    <row r="285" spans="11:17" x14ac:dyDescent="0.15">
      <c r="K285" s="127"/>
      <c r="Q285" s="74"/>
    </row>
    <row r="286" spans="11:17" x14ac:dyDescent="0.15">
      <c r="K286" s="127"/>
    </row>
    <row r="287" spans="11:17" x14ac:dyDescent="0.15">
      <c r="K287" s="127"/>
    </row>
    <row r="288" spans="11:17" x14ac:dyDescent="0.15">
      <c r="K288" s="127"/>
    </row>
    <row r="289" spans="11:11" x14ac:dyDescent="0.15">
      <c r="K289" s="127"/>
    </row>
    <row r="290" spans="11:11" x14ac:dyDescent="0.15">
      <c r="K290" s="127"/>
    </row>
    <row r="291" spans="11:11" x14ac:dyDescent="0.15">
      <c r="K291" s="127"/>
    </row>
    <row r="292" spans="11:11" x14ac:dyDescent="0.15">
      <c r="K292" s="127"/>
    </row>
    <row r="293" spans="11:11" x14ac:dyDescent="0.15">
      <c r="K293" s="127"/>
    </row>
    <row r="294" spans="11:11" x14ac:dyDescent="0.15">
      <c r="K294" s="127"/>
    </row>
    <row r="295" spans="11:11" x14ac:dyDescent="0.15">
      <c r="K295" s="127"/>
    </row>
    <row r="296" spans="11:11" x14ac:dyDescent="0.15">
      <c r="K296" s="127"/>
    </row>
    <row r="297" spans="11:11" x14ac:dyDescent="0.15">
      <c r="K297" s="127"/>
    </row>
    <row r="298" spans="11:11" x14ac:dyDescent="0.15">
      <c r="K298" s="127"/>
    </row>
    <row r="299" spans="11:11" x14ac:dyDescent="0.15">
      <c r="K299" s="127"/>
    </row>
    <row r="300" spans="11:11" x14ac:dyDescent="0.15">
      <c r="K300" s="127"/>
    </row>
    <row r="301" spans="11:11" x14ac:dyDescent="0.15">
      <c r="K301" s="127"/>
    </row>
    <row r="302" spans="11:11" x14ac:dyDescent="0.15">
      <c r="K302" s="127"/>
    </row>
    <row r="303" spans="11:11" x14ac:dyDescent="0.15">
      <c r="K303" s="127"/>
    </row>
    <row r="304" spans="11:11"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sheetData>
  <autoFilter ref="A1:BA1" xr:uid="{00000000-0009-0000-0000-000000000000}"/>
  <phoneticPr fontId="3"/>
  <dataValidations count="20">
    <dataValidation type="list" allowBlank="1" showInputMessage="1" showErrorMessage="1" sqref="F2:F485" xr:uid="{E50A1E75-4125-4234-B18D-AB019C261A91}">
      <formula1>$AH$2:$AH$11</formula1>
    </dataValidation>
    <dataValidation type="decimal" allowBlank="1" showInputMessage="1" showErrorMessage="1" error="硬度を正しく入力して下さい。" sqref="O2:P485" xr:uid="{83BFBE5D-D771-4CC0-878E-272CA6DBECF2}">
      <formula1>0</formula1>
      <formula2>7</formula2>
    </dataValidation>
    <dataValidation type="list" allowBlank="1" showInputMessage="1" showErrorMessage="1" sqref="Y2:AA485" xr:uid="{8018C15A-E774-486A-A47D-81952142DC14}">
      <formula1>$AV$2:$AV$21</formula1>
    </dataValidation>
    <dataValidation type="list" allowBlank="1" showInputMessage="1" showErrorMessage="1" sqref="I2:I485" xr:uid="{A160A763-97A5-4ED0-B0B3-72E8FCF4E64E}">
      <formula1>$AN$5:$AN$6</formula1>
    </dataValidation>
    <dataValidation type="list" allowBlank="1" showInputMessage="1" showErrorMessage="1" sqref="H2:H485" xr:uid="{2395F4DC-7925-4D37-A8F5-D1CA01F67B83}">
      <formula1>$AL$2:$AL$8</formula1>
    </dataValidation>
    <dataValidation type="list" allowBlank="1" showInputMessage="1" showErrorMessage="1" sqref="A2:A485" xr:uid="{F84C75CA-63ED-4B97-81C6-7821D45E5EC6}">
      <formula1>$AE$2:$AE$19</formula1>
    </dataValidation>
    <dataValidation type="list" allowBlank="1" showInputMessage="1" showErrorMessage="1" sqref="X2:X485" xr:uid="{D9DD763F-8526-48A0-AA35-E5D1407A4C1F}">
      <formula1>$AT$2:$AT$3</formula1>
    </dataValidation>
    <dataValidation type="list" allowBlank="1" showInputMessage="1" showErrorMessage="1" sqref="G2:G485" xr:uid="{35E2CD75-169E-4A1E-8E3F-E0DE1C2C6B3B}">
      <formula1>$AJ$2:$AJ$4</formula1>
    </dataValidation>
    <dataValidation type="list" allowBlank="1" showInputMessage="1" showErrorMessage="1" sqref="J2:J485" xr:uid="{087E16CE-283D-4274-A3F2-66402C1EC395}">
      <formula1>$AP$2:$AP$27</formula1>
    </dataValidation>
    <dataValidation operator="equal" allowBlank="1" showInputMessage="1" showErrorMessage="1" sqref="B2:B40" xr:uid="{7837E1A0-C744-448C-8309-226A3141D46B}"/>
    <dataValidation type="list" allowBlank="1" showInputMessage="1" showErrorMessage="1" sqref="K2:K437" xr:uid="{0394DBDA-065F-4649-BC2A-95EB7C5D8AEF}">
      <formula1>$AR$2:$AR$26</formula1>
    </dataValidation>
    <dataValidation type="list" allowBlank="1" showInputMessage="1" showErrorMessage="1" sqref="E2:E485" xr:uid="{D2F685C5-CF1A-4C0B-966F-0DDA9AB8F4B8}">
      <formula1>$AG$2:$AG$11</formula1>
    </dataValidation>
    <dataValidation type="list" allowBlank="1" showInputMessage="1" showErrorMessage="1" sqref="K438:K485" xr:uid="{532B704A-B42A-4BC6-9796-1EE8448D49D1}">
      <formula1>$AR$2:$AR$25</formula1>
    </dataValidation>
    <dataValidation type="list" allowBlank="1" showInputMessage="1" showErrorMessage="1" sqref="F486:F64236" xr:uid="{F93B5CE9-55C1-4F3B-AD82-E431280D9EDB}">
      <formula1>$AH$2:$AH$8</formula1>
    </dataValidation>
    <dataValidation type="list" allowBlank="1" showInputMessage="1" showErrorMessage="1" sqref="E486:E64236" xr:uid="{D9640E66-CB1E-4D28-A4E6-433193496AC1}">
      <formula1>$AG$2:$AG$9</formula1>
    </dataValidation>
    <dataValidation type="list" allowBlank="1" showInputMessage="1" showErrorMessage="1" sqref="H486:H64236" xr:uid="{97778D58-1FFF-4A08-9539-75AEBE273417}">
      <formula1>$AL$2:$AL$10</formula1>
    </dataValidation>
    <dataValidation type="list" allowBlank="1" showInputMessage="1" showErrorMessage="1" sqref="K486:K64236" xr:uid="{3A3D8F11-8428-403D-AE99-A16490D1F73E}">
      <formula1>$AR$2:$AR$28</formula1>
    </dataValidation>
    <dataValidation type="list" allowBlank="1" showInputMessage="1" showErrorMessage="1" sqref="Y486:AA64236" xr:uid="{5E0908E2-0149-4C94-8287-7B23E860C69D}">
      <formula1>$AV$2:$AV$26</formula1>
    </dataValidation>
    <dataValidation type="list" allowBlank="1" showInputMessage="1" showErrorMessage="1" sqref="I486:I64236" xr:uid="{B2734246-E07A-4395-87D5-7F4466B95577}">
      <formula1>$AN$2:$AN$6</formula1>
    </dataValidation>
    <dataValidation type="list" allowBlank="1" showInputMessage="1" showErrorMessage="1" sqref="J486:J64236" xr:uid="{D3FB6436-85DE-42C1-A336-0D91D9305D28}">
      <formula1>$AP$2:$AP$16</formula1>
    </dataValidation>
  </dataValidations>
  <pageMargins left="0.7" right="0.7" top="0.75" bottom="0.75" header="0.3" footer="0.3"/>
  <pageSetup paperSize="8" scale="77" orientation="landscape" r:id="rId1"/>
  <headerFooter alignWithMargins="0"/>
  <rowBreaks count="1" manualBreakCount="1">
    <brk id="37"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731C9-3C5F-4604-BA21-49137AC0C10D}">
  <dimension ref="A1:BA116"/>
  <sheetViews>
    <sheetView topLeftCell="A19" zoomScale="70" zoomScaleNormal="70" workbookViewId="0">
      <selection activeCell="A115" sqref="A115:XFD115"/>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313</v>
      </c>
      <c r="V1" s="5" t="s">
        <v>20</v>
      </c>
      <c r="W1" s="56" t="s">
        <v>21</v>
      </c>
      <c r="X1" s="45" t="s">
        <v>22</v>
      </c>
      <c r="Y1" s="45" t="s">
        <v>23</v>
      </c>
      <c r="Z1" s="45" t="s">
        <v>367</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232</v>
      </c>
      <c r="C2" s="53">
        <v>2019</v>
      </c>
      <c r="D2" s="176" t="s">
        <v>168</v>
      </c>
      <c r="E2" s="53" t="s">
        <v>368</v>
      </c>
      <c r="F2" s="53" t="s">
        <v>369</v>
      </c>
      <c r="G2" s="53" t="s">
        <v>36</v>
      </c>
      <c r="H2" s="53" t="s">
        <v>165</v>
      </c>
      <c r="I2" s="53" t="s">
        <v>159</v>
      </c>
      <c r="J2" s="53" t="s">
        <v>38</v>
      </c>
      <c r="K2" s="53" t="s">
        <v>161</v>
      </c>
      <c r="L2" s="53">
        <v>1</v>
      </c>
      <c r="N2" s="53">
        <v>1</v>
      </c>
      <c r="O2" s="53">
        <v>1.05</v>
      </c>
      <c r="P2" s="53">
        <v>1.05</v>
      </c>
      <c r="Q2" s="74">
        <f t="shared" ref="Q2:Q82" si="0">IF(OR(O2="",P2=""),"",AVERAGE(O2,P2))</f>
        <v>1.05</v>
      </c>
      <c r="R2" s="53">
        <v>19.5</v>
      </c>
      <c r="S2" s="53">
        <v>106</v>
      </c>
      <c r="T2" s="16">
        <f t="shared" ref="T2:T82" si="1">IF(H2="","",IF(OR(H2="GREEN",H2="GK"),IF(S2&gt;=$AX$2,VLOOKUP(S2,$AX$2:$AY$9,2,1),""),IF(S2&gt;=$AZ$2,VLOOKUP(S2,$AZ$2:$BA$9,2,1),"")))</f>
        <v>33</v>
      </c>
      <c r="U2" s="53">
        <v>103</v>
      </c>
      <c r="V2" s="16">
        <f t="shared" ref="V2:V82" si="2">IF(OR(N2="",U2="",T2=""),"",U2/N2*T2)</f>
        <v>3399</v>
      </c>
      <c r="W2" s="53">
        <v>1</v>
      </c>
      <c r="X2" s="53" t="s">
        <v>46</v>
      </c>
      <c r="Y2" s="53" t="s">
        <v>69</v>
      </c>
      <c r="Z2" s="53" t="s">
        <v>47</v>
      </c>
      <c r="AA2" s="53" t="s">
        <v>90</v>
      </c>
      <c r="AB2" s="53" t="s">
        <v>258</v>
      </c>
      <c r="AE2" s="64" t="s">
        <v>35</v>
      </c>
      <c r="AG2" s="177" t="s">
        <v>360</v>
      </c>
      <c r="AH2" s="67" t="s">
        <v>370</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232</v>
      </c>
      <c r="C3" s="53">
        <v>2019</v>
      </c>
      <c r="D3" s="176" t="s">
        <v>168</v>
      </c>
      <c r="E3" s="53" t="s">
        <v>368</v>
      </c>
      <c r="F3" s="53" t="s">
        <v>369</v>
      </c>
      <c r="G3" s="53" t="s">
        <v>36</v>
      </c>
      <c r="H3" s="53" t="s">
        <v>165</v>
      </c>
      <c r="I3" s="53" t="s">
        <v>159</v>
      </c>
      <c r="J3" s="53" t="s">
        <v>38</v>
      </c>
      <c r="K3" s="53" t="s">
        <v>161</v>
      </c>
      <c r="L3" s="53">
        <v>2</v>
      </c>
      <c r="N3" s="53">
        <v>1</v>
      </c>
      <c r="O3" s="53">
        <v>1</v>
      </c>
      <c r="P3" s="53">
        <v>1.05</v>
      </c>
      <c r="Q3" s="74">
        <f t="shared" si="0"/>
        <v>1.0249999999999999</v>
      </c>
      <c r="R3" s="53">
        <v>17.899999999999999</v>
      </c>
      <c r="S3" s="53">
        <v>106</v>
      </c>
      <c r="T3" s="16">
        <f t="shared" si="1"/>
        <v>33</v>
      </c>
      <c r="U3" s="53">
        <v>103</v>
      </c>
      <c r="V3" s="16">
        <f t="shared" si="2"/>
        <v>3399</v>
      </c>
      <c r="W3" s="53">
        <v>1</v>
      </c>
      <c r="X3" s="53" t="s">
        <v>46</v>
      </c>
      <c r="Y3" s="53" t="s">
        <v>69</v>
      </c>
      <c r="Z3" s="53" t="s">
        <v>47</v>
      </c>
      <c r="AA3" s="53" t="s">
        <v>90</v>
      </c>
      <c r="AB3" s="53" t="s">
        <v>258</v>
      </c>
      <c r="AE3" s="22" t="s">
        <v>41</v>
      </c>
      <c r="AG3" s="178" t="s">
        <v>371</v>
      </c>
      <c r="AH3" s="67" t="s">
        <v>370</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232</v>
      </c>
      <c r="C4" s="53">
        <v>2019</v>
      </c>
      <c r="D4" s="176" t="s">
        <v>168</v>
      </c>
      <c r="E4" s="53" t="s">
        <v>368</v>
      </c>
      <c r="F4" s="53" t="s">
        <v>369</v>
      </c>
      <c r="G4" s="53" t="s">
        <v>36</v>
      </c>
      <c r="H4" s="53" t="s">
        <v>165</v>
      </c>
      <c r="I4" s="53" t="s">
        <v>159</v>
      </c>
      <c r="J4" s="53" t="s">
        <v>38</v>
      </c>
      <c r="K4" s="53" t="s">
        <v>161</v>
      </c>
      <c r="L4" s="53">
        <v>3</v>
      </c>
      <c r="N4" s="53">
        <v>1</v>
      </c>
      <c r="O4" s="53">
        <v>1</v>
      </c>
      <c r="P4" s="53">
        <v>1.05</v>
      </c>
      <c r="Q4" s="74">
        <f t="shared" si="0"/>
        <v>1.0249999999999999</v>
      </c>
      <c r="R4" s="53">
        <v>16.600000000000001</v>
      </c>
      <c r="S4" s="53">
        <v>103</v>
      </c>
      <c r="T4" s="16">
        <f t="shared" si="1"/>
        <v>33</v>
      </c>
      <c r="U4" s="53">
        <v>103</v>
      </c>
      <c r="V4" s="16">
        <f t="shared" si="2"/>
        <v>3399</v>
      </c>
      <c r="W4" s="53">
        <v>1</v>
      </c>
      <c r="X4" s="53" t="s">
        <v>46</v>
      </c>
      <c r="Y4" s="53" t="s">
        <v>69</v>
      </c>
      <c r="Z4" s="53" t="s">
        <v>47</v>
      </c>
      <c r="AA4" s="53" t="s">
        <v>90</v>
      </c>
      <c r="AB4" s="53" t="s">
        <v>258</v>
      </c>
      <c r="AE4" s="22" t="s">
        <v>34</v>
      </c>
      <c r="AG4" s="178" t="s">
        <v>372</v>
      </c>
      <c r="AH4" s="67" t="s">
        <v>373</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232</v>
      </c>
      <c r="C5" s="53">
        <v>2019</v>
      </c>
      <c r="D5" s="176" t="s">
        <v>168</v>
      </c>
      <c r="E5" s="53" t="s">
        <v>368</v>
      </c>
      <c r="F5" s="53" t="s">
        <v>369</v>
      </c>
      <c r="G5" s="53" t="s">
        <v>36</v>
      </c>
      <c r="H5" s="53" t="s">
        <v>160</v>
      </c>
      <c r="I5" s="53" t="s">
        <v>159</v>
      </c>
      <c r="J5" s="53" t="s">
        <v>38</v>
      </c>
      <c r="K5" s="53" t="s">
        <v>161</v>
      </c>
      <c r="L5" s="53">
        <v>1</v>
      </c>
      <c r="N5" s="53">
        <v>1</v>
      </c>
      <c r="O5" s="53">
        <v>0.55000000000000004</v>
      </c>
      <c r="P5" s="53">
        <v>0.55000000000000004</v>
      </c>
      <c r="Q5" s="74">
        <f t="shared" si="0"/>
        <v>0.55000000000000004</v>
      </c>
      <c r="R5" s="53">
        <v>19.399999999999999</v>
      </c>
      <c r="S5" s="53">
        <v>116</v>
      </c>
      <c r="T5" s="16">
        <f t="shared" si="1"/>
        <v>30</v>
      </c>
      <c r="U5" s="53">
        <v>103</v>
      </c>
      <c r="V5" s="16">
        <f t="shared" si="2"/>
        <v>3090</v>
      </c>
      <c r="W5" s="53">
        <v>1</v>
      </c>
      <c r="X5" s="53" t="s">
        <v>46</v>
      </c>
      <c r="Y5" s="53" t="s">
        <v>69</v>
      </c>
      <c r="Z5" s="53" t="s">
        <v>47</v>
      </c>
      <c r="AA5" s="53" t="s">
        <v>90</v>
      </c>
      <c r="AB5" s="53" t="s">
        <v>258</v>
      </c>
      <c r="AE5" s="22" t="s">
        <v>51</v>
      </c>
      <c r="AG5" s="178" t="s">
        <v>374</v>
      </c>
      <c r="AH5" s="67" t="s">
        <v>375</v>
      </c>
      <c r="AJ5" s="28"/>
      <c r="AL5" s="72" t="s">
        <v>66</v>
      </c>
      <c r="AN5" s="72" t="s">
        <v>52</v>
      </c>
      <c r="AP5" s="23" t="s">
        <v>119</v>
      </c>
      <c r="AR5" s="23" t="s">
        <v>54</v>
      </c>
      <c r="AV5" s="23" t="s">
        <v>55</v>
      </c>
      <c r="AX5" s="24">
        <v>84</v>
      </c>
      <c r="AY5" s="25">
        <v>39</v>
      </c>
      <c r="AZ5" s="25">
        <v>84</v>
      </c>
      <c r="BA5" s="26">
        <v>36</v>
      </c>
    </row>
    <row r="6" spans="1:53" x14ac:dyDescent="0.15">
      <c r="A6" s="53" t="s">
        <v>34</v>
      </c>
      <c r="B6" s="53" t="s">
        <v>232</v>
      </c>
      <c r="C6" s="53">
        <v>2019</v>
      </c>
      <c r="D6" s="176" t="s">
        <v>168</v>
      </c>
      <c r="E6" s="53" t="s">
        <v>368</v>
      </c>
      <c r="F6" s="53" t="s">
        <v>369</v>
      </c>
      <c r="G6" s="53" t="s">
        <v>36</v>
      </c>
      <c r="H6" s="53" t="s">
        <v>160</v>
      </c>
      <c r="I6" s="53" t="s">
        <v>159</v>
      </c>
      <c r="J6" s="53" t="s">
        <v>38</v>
      </c>
      <c r="K6" s="53" t="s">
        <v>161</v>
      </c>
      <c r="L6" s="53">
        <v>2</v>
      </c>
      <c r="N6" s="53">
        <v>1</v>
      </c>
      <c r="O6" s="53">
        <v>0.55000000000000004</v>
      </c>
      <c r="P6" s="53">
        <v>0.55000000000000004</v>
      </c>
      <c r="Q6" s="74">
        <f t="shared" si="0"/>
        <v>0.55000000000000004</v>
      </c>
      <c r="R6" s="53">
        <v>19.5</v>
      </c>
      <c r="S6" s="53">
        <v>118</v>
      </c>
      <c r="T6" s="16">
        <f t="shared" si="1"/>
        <v>30</v>
      </c>
      <c r="U6" s="53">
        <v>103</v>
      </c>
      <c r="V6" s="16">
        <f t="shared" si="2"/>
        <v>3090</v>
      </c>
      <c r="W6" s="53">
        <v>1</v>
      </c>
      <c r="X6" s="53" t="s">
        <v>46</v>
      </c>
      <c r="Y6" s="53" t="s">
        <v>69</v>
      </c>
      <c r="Z6" s="53" t="s">
        <v>47</v>
      </c>
      <c r="AA6" s="53" t="s">
        <v>90</v>
      </c>
      <c r="AB6" s="53" t="s">
        <v>258</v>
      </c>
      <c r="AE6" s="22" t="s">
        <v>56</v>
      </c>
      <c r="AG6" s="178" t="s">
        <v>376</v>
      </c>
      <c r="AH6" s="67" t="s">
        <v>377</v>
      </c>
      <c r="AL6" s="72" t="s">
        <v>99</v>
      </c>
      <c r="AN6" s="72" t="s">
        <v>57</v>
      </c>
      <c r="AP6" s="23" t="s">
        <v>53</v>
      </c>
      <c r="AR6" s="23" t="s">
        <v>59</v>
      </c>
      <c r="AV6" s="23" t="s">
        <v>60</v>
      </c>
      <c r="AX6" s="24">
        <v>97</v>
      </c>
      <c r="AY6" s="25">
        <v>36</v>
      </c>
      <c r="AZ6" s="25">
        <v>99</v>
      </c>
      <c r="BA6" s="26">
        <v>33</v>
      </c>
    </row>
    <row r="7" spans="1:53" x14ac:dyDescent="0.15">
      <c r="A7" s="53" t="s">
        <v>34</v>
      </c>
      <c r="B7" s="53" t="s">
        <v>232</v>
      </c>
      <c r="C7" s="53">
        <v>2019</v>
      </c>
      <c r="D7" s="176" t="s">
        <v>168</v>
      </c>
      <c r="E7" s="53" t="s">
        <v>368</v>
      </c>
      <c r="F7" s="53" t="s">
        <v>369</v>
      </c>
      <c r="G7" s="53" t="s">
        <v>36</v>
      </c>
      <c r="H7" s="53" t="s">
        <v>160</v>
      </c>
      <c r="I7" s="53" t="s">
        <v>159</v>
      </c>
      <c r="J7" s="53" t="s">
        <v>38</v>
      </c>
      <c r="K7" s="53" t="s">
        <v>161</v>
      </c>
      <c r="L7" s="53">
        <v>3</v>
      </c>
      <c r="N7" s="53">
        <v>1</v>
      </c>
      <c r="O7" s="53">
        <v>0.6</v>
      </c>
      <c r="P7" s="53">
        <v>0.8</v>
      </c>
      <c r="Q7" s="74">
        <f t="shared" si="0"/>
        <v>0.7</v>
      </c>
      <c r="R7" s="53">
        <v>19.5</v>
      </c>
      <c r="S7" s="53">
        <v>121</v>
      </c>
      <c r="T7" s="16">
        <f t="shared" si="1"/>
        <v>30</v>
      </c>
      <c r="U7" s="53">
        <v>103</v>
      </c>
      <c r="V7" s="16">
        <f t="shared" si="2"/>
        <v>3090</v>
      </c>
      <c r="W7" s="53">
        <v>1</v>
      </c>
      <c r="X7" s="53" t="s">
        <v>46</v>
      </c>
      <c r="Y7" s="53" t="s">
        <v>69</v>
      </c>
      <c r="Z7" s="53" t="s">
        <v>47</v>
      </c>
      <c r="AA7" s="53" t="s">
        <v>90</v>
      </c>
      <c r="AB7" s="53" t="s">
        <v>258</v>
      </c>
      <c r="AE7" s="22" t="s">
        <v>61</v>
      </c>
      <c r="AG7" s="178" t="s">
        <v>269</v>
      </c>
      <c r="AH7" s="67" t="s">
        <v>378</v>
      </c>
      <c r="AL7" s="34" t="s">
        <v>109</v>
      </c>
      <c r="AP7" s="23" t="s">
        <v>58</v>
      </c>
      <c r="AR7" s="23" t="s">
        <v>122</v>
      </c>
      <c r="AV7" s="23" t="s">
        <v>64</v>
      </c>
      <c r="AX7" s="24">
        <v>109</v>
      </c>
      <c r="AY7" s="25">
        <v>33</v>
      </c>
      <c r="AZ7" s="25">
        <v>113</v>
      </c>
      <c r="BA7" s="26">
        <v>30</v>
      </c>
    </row>
    <row r="8" spans="1:53" x14ac:dyDescent="0.15">
      <c r="A8" s="53" t="s">
        <v>34</v>
      </c>
      <c r="B8" s="53" t="s">
        <v>232</v>
      </c>
      <c r="C8" s="53">
        <v>2019</v>
      </c>
      <c r="D8" s="176" t="s">
        <v>168</v>
      </c>
      <c r="E8" s="53" t="s">
        <v>379</v>
      </c>
      <c r="F8" s="53" t="s">
        <v>380</v>
      </c>
      <c r="G8" s="53" t="s">
        <v>36</v>
      </c>
      <c r="H8" s="53" t="s">
        <v>160</v>
      </c>
      <c r="I8" s="53" t="s">
        <v>159</v>
      </c>
      <c r="J8" s="53" t="s">
        <v>38</v>
      </c>
      <c r="K8" s="53" t="s">
        <v>161</v>
      </c>
      <c r="L8" s="53">
        <v>1</v>
      </c>
      <c r="N8" s="53">
        <v>1</v>
      </c>
      <c r="O8" s="53">
        <v>0.8</v>
      </c>
      <c r="P8" s="53">
        <v>0.8</v>
      </c>
      <c r="Q8" s="74">
        <f t="shared" si="0"/>
        <v>0.8</v>
      </c>
      <c r="R8" s="53">
        <v>17.8</v>
      </c>
      <c r="S8" s="53">
        <v>134</v>
      </c>
      <c r="T8" s="16">
        <f t="shared" si="1"/>
        <v>30</v>
      </c>
      <c r="U8" s="53">
        <v>105</v>
      </c>
      <c r="V8" s="16">
        <f t="shared" si="2"/>
        <v>3150</v>
      </c>
      <c r="W8" s="53">
        <v>5</v>
      </c>
      <c r="X8" s="53" t="s">
        <v>46</v>
      </c>
      <c r="Y8" s="53" t="s">
        <v>69</v>
      </c>
      <c r="Z8" s="53" t="s">
        <v>47</v>
      </c>
      <c r="AA8" s="53" t="s">
        <v>55</v>
      </c>
      <c r="AB8" s="53" t="s">
        <v>258</v>
      </c>
      <c r="AE8" s="22" t="s">
        <v>59</v>
      </c>
      <c r="AG8" s="178" t="s">
        <v>379</v>
      </c>
      <c r="AH8" s="67" t="s">
        <v>380</v>
      </c>
      <c r="AL8" s="34" t="s">
        <v>134</v>
      </c>
      <c r="AP8" s="23" t="s">
        <v>62</v>
      </c>
      <c r="AR8" s="23" t="s">
        <v>81</v>
      </c>
      <c r="AV8" s="23" t="s">
        <v>97</v>
      </c>
      <c r="AX8" s="24">
        <v>151</v>
      </c>
      <c r="AY8" s="25">
        <v>22</v>
      </c>
      <c r="AZ8" s="25">
        <v>152</v>
      </c>
      <c r="BA8" s="26">
        <v>18</v>
      </c>
    </row>
    <row r="9" spans="1:53" x14ac:dyDescent="0.15">
      <c r="A9" s="53" t="s">
        <v>34</v>
      </c>
      <c r="B9" s="53" t="s">
        <v>232</v>
      </c>
      <c r="C9" s="53">
        <v>2019</v>
      </c>
      <c r="D9" s="176" t="s">
        <v>168</v>
      </c>
      <c r="E9" s="53" t="s">
        <v>379</v>
      </c>
      <c r="F9" s="53" t="s">
        <v>380</v>
      </c>
      <c r="G9" s="53" t="s">
        <v>36</v>
      </c>
      <c r="H9" s="53" t="s">
        <v>160</v>
      </c>
      <c r="I9" s="53" t="s">
        <v>159</v>
      </c>
      <c r="J9" s="53" t="s">
        <v>38</v>
      </c>
      <c r="K9" s="53" t="s">
        <v>161</v>
      </c>
      <c r="L9" s="53">
        <v>2</v>
      </c>
      <c r="N9" s="53">
        <v>1</v>
      </c>
      <c r="O9" s="53">
        <v>0.85</v>
      </c>
      <c r="P9" s="53">
        <v>0.8</v>
      </c>
      <c r="Q9" s="74">
        <f t="shared" si="0"/>
        <v>0.82499999999999996</v>
      </c>
      <c r="R9" s="53">
        <v>18.2</v>
      </c>
      <c r="S9" s="53">
        <v>133</v>
      </c>
      <c r="T9" s="16">
        <f t="shared" si="1"/>
        <v>30</v>
      </c>
      <c r="U9" s="53">
        <v>105</v>
      </c>
      <c r="V9" s="16">
        <f t="shared" si="2"/>
        <v>3150</v>
      </c>
      <c r="W9" s="53">
        <v>5</v>
      </c>
      <c r="X9" s="53" t="s">
        <v>46</v>
      </c>
      <c r="Y9" s="53" t="s">
        <v>69</v>
      </c>
      <c r="Z9" s="53" t="s">
        <v>47</v>
      </c>
      <c r="AA9" s="53" t="s">
        <v>55</v>
      </c>
      <c r="AB9" s="53" t="s">
        <v>258</v>
      </c>
      <c r="AE9" s="22" t="s">
        <v>98</v>
      </c>
      <c r="AG9" s="178" t="s">
        <v>381</v>
      </c>
      <c r="AH9" s="67" t="s">
        <v>382</v>
      </c>
      <c r="AL9" s="72"/>
      <c r="AP9" s="23" t="s">
        <v>95</v>
      </c>
      <c r="AR9" s="23" t="s">
        <v>89</v>
      </c>
      <c r="AV9" s="23" t="s">
        <v>102</v>
      </c>
      <c r="AX9" s="31">
        <v>180</v>
      </c>
      <c r="AY9" s="32">
        <v>18</v>
      </c>
      <c r="AZ9" s="32">
        <v>181</v>
      </c>
      <c r="BA9" s="33">
        <v>16</v>
      </c>
    </row>
    <row r="10" spans="1:53" x14ac:dyDescent="0.15">
      <c r="A10" s="53" t="s">
        <v>34</v>
      </c>
      <c r="B10" s="53" t="s">
        <v>232</v>
      </c>
      <c r="C10" s="53">
        <v>2019</v>
      </c>
      <c r="D10" s="176" t="s">
        <v>168</v>
      </c>
      <c r="E10" s="53" t="s">
        <v>379</v>
      </c>
      <c r="F10" s="53" t="s">
        <v>380</v>
      </c>
      <c r="G10" s="53" t="s">
        <v>36</v>
      </c>
      <c r="H10" s="53" t="s">
        <v>160</v>
      </c>
      <c r="I10" s="53" t="s">
        <v>159</v>
      </c>
      <c r="J10" s="53" t="s">
        <v>38</v>
      </c>
      <c r="K10" s="53" t="s">
        <v>161</v>
      </c>
      <c r="L10" s="53">
        <v>3</v>
      </c>
      <c r="N10" s="53">
        <v>1</v>
      </c>
      <c r="O10" s="53">
        <v>0.9</v>
      </c>
      <c r="P10" s="53">
        <v>0.8</v>
      </c>
      <c r="Q10" s="74">
        <f t="shared" si="0"/>
        <v>0.85000000000000009</v>
      </c>
      <c r="R10" s="53">
        <v>17.399999999999999</v>
      </c>
      <c r="S10" s="53">
        <v>130</v>
      </c>
      <c r="T10" s="16">
        <f t="shared" si="1"/>
        <v>30</v>
      </c>
      <c r="U10" s="53">
        <v>105</v>
      </c>
      <c r="V10" s="16">
        <f t="shared" si="2"/>
        <v>3150</v>
      </c>
      <c r="W10" s="53">
        <v>5</v>
      </c>
      <c r="X10" s="53" t="s">
        <v>46</v>
      </c>
      <c r="Y10" s="53" t="s">
        <v>69</v>
      </c>
      <c r="Z10" s="53" t="s">
        <v>47</v>
      </c>
      <c r="AA10" s="53" t="s">
        <v>55</v>
      </c>
      <c r="AB10" s="53" t="s">
        <v>258</v>
      </c>
      <c r="AE10" s="22" t="s">
        <v>103</v>
      </c>
      <c r="AG10" s="178" t="s">
        <v>368</v>
      </c>
      <c r="AH10" s="67" t="s">
        <v>369</v>
      </c>
      <c r="AL10" s="34"/>
      <c r="AP10" s="23" t="s">
        <v>100</v>
      </c>
      <c r="AR10" s="23" t="s">
        <v>123</v>
      </c>
      <c r="AV10" s="23" t="s">
        <v>106</v>
      </c>
    </row>
    <row r="11" spans="1:53" x14ac:dyDescent="0.15">
      <c r="A11" s="53" t="s">
        <v>34</v>
      </c>
      <c r="B11" s="53" t="s">
        <v>232</v>
      </c>
      <c r="C11" s="53">
        <v>2019</v>
      </c>
      <c r="D11" s="176" t="s">
        <v>168</v>
      </c>
      <c r="E11" s="53" t="s">
        <v>379</v>
      </c>
      <c r="F11" s="53" t="s">
        <v>380</v>
      </c>
      <c r="G11" s="53" t="s">
        <v>36</v>
      </c>
      <c r="H11" s="53" t="s">
        <v>160</v>
      </c>
      <c r="I11" s="53" t="s">
        <v>159</v>
      </c>
      <c r="J11" s="53" t="s">
        <v>38</v>
      </c>
      <c r="K11" s="53" t="s">
        <v>161</v>
      </c>
      <c r="L11" s="53">
        <v>1</v>
      </c>
      <c r="N11" s="53">
        <v>5</v>
      </c>
      <c r="O11" s="53">
        <v>0.85</v>
      </c>
      <c r="P11" s="53">
        <v>0.7</v>
      </c>
      <c r="Q11" s="74">
        <f t="shared" si="0"/>
        <v>0.77499999999999991</v>
      </c>
      <c r="R11" s="53">
        <v>17.600000000000001</v>
      </c>
      <c r="S11" s="53">
        <v>92</v>
      </c>
      <c r="T11" s="16">
        <f t="shared" si="1"/>
        <v>36</v>
      </c>
      <c r="U11" s="53">
        <v>429</v>
      </c>
      <c r="V11" s="16">
        <f t="shared" si="2"/>
        <v>3088.7999999999997</v>
      </c>
      <c r="W11" s="53">
        <v>5</v>
      </c>
      <c r="X11" s="53" t="s">
        <v>46</v>
      </c>
      <c r="Y11" s="53" t="s">
        <v>69</v>
      </c>
      <c r="Z11" s="53" t="s">
        <v>47</v>
      </c>
      <c r="AA11" s="53" t="s">
        <v>55</v>
      </c>
      <c r="AB11" s="53" t="s">
        <v>258</v>
      </c>
      <c r="AE11" s="22" t="s">
        <v>65</v>
      </c>
      <c r="AG11" s="178" t="s">
        <v>210</v>
      </c>
      <c r="AH11" s="67" t="s">
        <v>383</v>
      </c>
      <c r="AL11" s="34"/>
      <c r="AP11" s="23" t="s">
        <v>104</v>
      </c>
      <c r="AR11" s="23" t="s">
        <v>87</v>
      </c>
      <c r="AV11" s="23" t="s">
        <v>69</v>
      </c>
    </row>
    <row r="12" spans="1:53" x14ac:dyDescent="0.15">
      <c r="A12" s="53" t="s">
        <v>34</v>
      </c>
      <c r="B12" s="53" t="s">
        <v>232</v>
      </c>
      <c r="C12" s="53">
        <v>2019</v>
      </c>
      <c r="D12" s="176" t="s">
        <v>168</v>
      </c>
      <c r="E12" s="53" t="s">
        <v>379</v>
      </c>
      <c r="F12" s="53" t="s">
        <v>380</v>
      </c>
      <c r="G12" s="53" t="s">
        <v>36</v>
      </c>
      <c r="H12" s="53" t="s">
        <v>160</v>
      </c>
      <c r="I12" s="53" t="s">
        <v>159</v>
      </c>
      <c r="J12" s="53" t="s">
        <v>38</v>
      </c>
      <c r="K12" s="53" t="s">
        <v>161</v>
      </c>
      <c r="L12" s="53">
        <v>2</v>
      </c>
      <c r="N12" s="53">
        <v>5</v>
      </c>
      <c r="O12" s="53">
        <v>0.65</v>
      </c>
      <c r="P12" s="53">
        <v>0.5</v>
      </c>
      <c r="Q12" s="74">
        <f t="shared" si="0"/>
        <v>0.57499999999999996</v>
      </c>
      <c r="R12" s="53">
        <v>17.5</v>
      </c>
      <c r="S12" s="53">
        <v>88</v>
      </c>
      <c r="T12" s="16">
        <f t="shared" si="1"/>
        <v>36</v>
      </c>
      <c r="U12" s="53">
        <v>429</v>
      </c>
      <c r="V12" s="16">
        <f t="shared" si="2"/>
        <v>3088.7999999999997</v>
      </c>
      <c r="W12" s="53">
        <v>5</v>
      </c>
      <c r="X12" s="53" t="s">
        <v>46</v>
      </c>
      <c r="Y12" s="53" t="s">
        <v>69</v>
      </c>
      <c r="Z12" s="53" t="s">
        <v>47</v>
      </c>
      <c r="AA12" s="53" t="s">
        <v>55</v>
      </c>
      <c r="AB12" s="53" t="s">
        <v>258</v>
      </c>
      <c r="AE12" s="22" t="s">
        <v>70</v>
      </c>
      <c r="AG12" s="28"/>
      <c r="AH12" s="23"/>
      <c r="AL12" s="34"/>
      <c r="AP12" s="23" t="s">
        <v>67</v>
      </c>
      <c r="AR12" s="23" t="s">
        <v>124</v>
      </c>
      <c r="AV12" s="23" t="s">
        <v>72</v>
      </c>
    </row>
    <row r="13" spans="1:53" x14ac:dyDescent="0.15">
      <c r="A13" s="53" t="s">
        <v>34</v>
      </c>
      <c r="B13" s="53" t="s">
        <v>232</v>
      </c>
      <c r="C13" s="53">
        <v>2019</v>
      </c>
      <c r="D13" s="176" t="s">
        <v>168</v>
      </c>
      <c r="E13" s="53" t="s">
        <v>379</v>
      </c>
      <c r="F13" s="53" t="s">
        <v>380</v>
      </c>
      <c r="G13" s="53" t="s">
        <v>36</v>
      </c>
      <c r="H13" s="53" t="s">
        <v>160</v>
      </c>
      <c r="I13" s="53" t="s">
        <v>159</v>
      </c>
      <c r="J13" s="53" t="s">
        <v>38</v>
      </c>
      <c r="K13" s="53" t="s">
        <v>161</v>
      </c>
      <c r="L13" s="53">
        <v>3</v>
      </c>
      <c r="N13" s="53">
        <v>5</v>
      </c>
      <c r="O13" s="53">
        <v>0.2</v>
      </c>
      <c r="P13" s="53">
        <v>0.5</v>
      </c>
      <c r="Q13" s="74">
        <f t="shared" si="0"/>
        <v>0.35</v>
      </c>
      <c r="R13" s="53">
        <v>17.7</v>
      </c>
      <c r="S13" s="53">
        <v>84</v>
      </c>
      <c r="T13" s="16">
        <f t="shared" si="1"/>
        <v>36</v>
      </c>
      <c r="U13" s="53">
        <v>429</v>
      </c>
      <c r="V13" s="16">
        <f t="shared" si="2"/>
        <v>3088.7999999999997</v>
      </c>
      <c r="W13" s="53">
        <v>5</v>
      </c>
      <c r="X13" s="53" t="s">
        <v>46</v>
      </c>
      <c r="Y13" s="53" t="s">
        <v>69</v>
      </c>
      <c r="Z13" s="53" t="s">
        <v>47</v>
      </c>
      <c r="AA13" s="53" t="s">
        <v>55</v>
      </c>
      <c r="AB13" s="53" t="s">
        <v>258</v>
      </c>
      <c r="AE13" s="22" t="s">
        <v>73</v>
      </c>
      <c r="AH13" s="28"/>
      <c r="AP13" s="23" t="s">
        <v>71</v>
      </c>
      <c r="AR13" s="23" t="s">
        <v>103</v>
      </c>
      <c r="AV13" s="23" t="s">
        <v>75</v>
      </c>
    </row>
    <row r="14" spans="1:53" x14ac:dyDescent="0.15">
      <c r="A14" s="53" t="s">
        <v>34</v>
      </c>
      <c r="B14" s="53" t="s">
        <v>232</v>
      </c>
      <c r="C14" s="53">
        <v>2019</v>
      </c>
      <c r="D14" s="176" t="s">
        <v>168</v>
      </c>
      <c r="E14" s="53" t="s">
        <v>379</v>
      </c>
      <c r="F14" s="53" t="s">
        <v>380</v>
      </c>
      <c r="G14" s="53" t="s">
        <v>36</v>
      </c>
      <c r="H14" s="53" t="s">
        <v>165</v>
      </c>
      <c r="I14" s="53" t="s">
        <v>159</v>
      </c>
      <c r="J14" s="53" t="s">
        <v>38</v>
      </c>
      <c r="K14" s="53" t="s">
        <v>161</v>
      </c>
      <c r="L14" s="53">
        <v>1</v>
      </c>
      <c r="N14" s="53">
        <v>1</v>
      </c>
      <c r="O14" s="53">
        <v>0.8</v>
      </c>
      <c r="P14" s="53">
        <v>0.9</v>
      </c>
      <c r="Q14" s="74">
        <f t="shared" si="0"/>
        <v>0.85000000000000009</v>
      </c>
      <c r="R14" s="53">
        <v>18.100000000000001</v>
      </c>
      <c r="S14" s="53">
        <v>132</v>
      </c>
      <c r="T14" s="16">
        <f t="shared" si="1"/>
        <v>30</v>
      </c>
      <c r="U14" s="53">
        <v>105</v>
      </c>
      <c r="V14" s="16">
        <f t="shared" si="2"/>
        <v>3150</v>
      </c>
      <c r="W14" s="53">
        <v>2</v>
      </c>
      <c r="X14" s="53" t="s">
        <v>46</v>
      </c>
      <c r="Y14" s="53" t="s">
        <v>69</v>
      </c>
      <c r="Z14" s="53" t="s">
        <v>47</v>
      </c>
      <c r="AA14" s="53" t="s">
        <v>55</v>
      </c>
      <c r="AB14" s="53" t="s">
        <v>258</v>
      </c>
      <c r="AE14" s="22" t="s">
        <v>76</v>
      </c>
      <c r="AG14" s="179"/>
      <c r="AP14" s="23" t="s">
        <v>74</v>
      </c>
      <c r="AR14" s="23" t="s">
        <v>125</v>
      </c>
      <c r="AV14" s="23" t="s">
        <v>78</v>
      </c>
    </row>
    <row r="15" spans="1:53" x14ac:dyDescent="0.15">
      <c r="A15" s="53" t="s">
        <v>34</v>
      </c>
      <c r="B15" s="53" t="s">
        <v>232</v>
      </c>
      <c r="C15" s="53">
        <v>2019</v>
      </c>
      <c r="D15" s="176" t="s">
        <v>168</v>
      </c>
      <c r="E15" s="53" t="s">
        <v>379</v>
      </c>
      <c r="F15" s="53" t="s">
        <v>380</v>
      </c>
      <c r="G15" s="53" t="s">
        <v>36</v>
      </c>
      <c r="H15" s="53" t="s">
        <v>165</v>
      </c>
      <c r="I15" s="53" t="s">
        <v>159</v>
      </c>
      <c r="J15" s="53" t="s">
        <v>38</v>
      </c>
      <c r="K15" s="53" t="s">
        <v>161</v>
      </c>
      <c r="L15" s="53">
        <v>2</v>
      </c>
      <c r="N15" s="53">
        <v>1</v>
      </c>
      <c r="O15" s="53">
        <v>0.9</v>
      </c>
      <c r="P15" s="53">
        <v>0.9</v>
      </c>
      <c r="Q15" s="74">
        <f t="shared" si="0"/>
        <v>0.9</v>
      </c>
      <c r="R15" s="53">
        <v>17.5</v>
      </c>
      <c r="S15" s="53">
        <v>138</v>
      </c>
      <c r="T15" s="16">
        <f t="shared" si="1"/>
        <v>30</v>
      </c>
      <c r="U15" s="53">
        <v>105</v>
      </c>
      <c r="V15" s="16">
        <f t="shared" si="2"/>
        <v>3150</v>
      </c>
      <c r="W15" s="53">
        <v>2</v>
      </c>
      <c r="X15" s="53" t="s">
        <v>46</v>
      </c>
      <c r="Y15" s="53" t="s">
        <v>69</v>
      </c>
      <c r="Z15" s="53" t="s">
        <v>47</v>
      </c>
      <c r="AA15" s="53" t="s">
        <v>55</v>
      </c>
      <c r="AB15" s="53" t="s">
        <v>258</v>
      </c>
      <c r="AE15" s="22" t="s">
        <v>79</v>
      </c>
      <c r="AP15" s="23" t="s">
        <v>77</v>
      </c>
      <c r="AR15" s="23" t="s">
        <v>94</v>
      </c>
      <c r="AV15" s="23" t="s">
        <v>107</v>
      </c>
    </row>
    <row r="16" spans="1:53" x14ac:dyDescent="0.15">
      <c r="A16" s="53" t="s">
        <v>34</v>
      </c>
      <c r="B16" s="53" t="s">
        <v>232</v>
      </c>
      <c r="C16" s="53">
        <v>2019</v>
      </c>
      <c r="D16" s="176" t="s">
        <v>168</v>
      </c>
      <c r="E16" s="53" t="s">
        <v>379</v>
      </c>
      <c r="F16" s="53" t="s">
        <v>380</v>
      </c>
      <c r="G16" s="53" t="s">
        <v>36</v>
      </c>
      <c r="H16" s="53" t="s">
        <v>165</v>
      </c>
      <c r="I16" s="53" t="s">
        <v>159</v>
      </c>
      <c r="J16" s="53" t="s">
        <v>38</v>
      </c>
      <c r="K16" s="53" t="s">
        <v>161</v>
      </c>
      <c r="L16" s="53">
        <v>3</v>
      </c>
      <c r="N16" s="53">
        <v>1</v>
      </c>
      <c r="O16" s="53">
        <v>1.1000000000000001</v>
      </c>
      <c r="P16" s="53">
        <v>1.2</v>
      </c>
      <c r="Q16" s="74">
        <f t="shared" si="0"/>
        <v>1.1499999999999999</v>
      </c>
      <c r="R16" s="53">
        <v>17.3</v>
      </c>
      <c r="S16" s="53">
        <v>139</v>
      </c>
      <c r="T16" s="16">
        <f t="shared" si="1"/>
        <v>30</v>
      </c>
      <c r="U16" s="53">
        <v>105</v>
      </c>
      <c r="V16" s="16">
        <f t="shared" si="2"/>
        <v>3150</v>
      </c>
      <c r="W16" s="53">
        <v>2</v>
      </c>
      <c r="X16" s="53" t="s">
        <v>46</v>
      </c>
      <c r="Y16" s="53" t="s">
        <v>69</v>
      </c>
      <c r="Z16" s="53" t="s">
        <v>47</v>
      </c>
      <c r="AA16" s="53" t="s">
        <v>55</v>
      </c>
      <c r="AB16" s="53" t="s">
        <v>258</v>
      </c>
      <c r="AE16" s="22" t="s">
        <v>82</v>
      </c>
      <c r="AP16" s="23" t="s">
        <v>80</v>
      </c>
      <c r="AR16" s="23" t="s">
        <v>63</v>
      </c>
      <c r="AV16" s="23" t="s">
        <v>84</v>
      </c>
    </row>
    <row r="17" spans="1:48" x14ac:dyDescent="0.15">
      <c r="A17" s="53" t="s">
        <v>34</v>
      </c>
      <c r="B17" s="53" t="s">
        <v>232</v>
      </c>
      <c r="C17" s="53">
        <v>2019</v>
      </c>
      <c r="D17" s="176" t="s">
        <v>168</v>
      </c>
      <c r="E17" s="53" t="s">
        <v>210</v>
      </c>
      <c r="F17" s="53" t="s">
        <v>383</v>
      </c>
      <c r="G17" s="53" t="s">
        <v>36</v>
      </c>
      <c r="H17" s="53" t="s">
        <v>160</v>
      </c>
      <c r="I17" s="53" t="s">
        <v>159</v>
      </c>
      <c r="J17" s="53" t="s">
        <v>38</v>
      </c>
      <c r="K17" s="53" t="s">
        <v>161</v>
      </c>
      <c r="L17" s="53">
        <v>1</v>
      </c>
      <c r="N17" s="53">
        <v>1</v>
      </c>
      <c r="O17" s="53">
        <v>0.6</v>
      </c>
      <c r="P17" s="53">
        <v>0.6</v>
      </c>
      <c r="Q17" s="74">
        <f t="shared" si="0"/>
        <v>0.6</v>
      </c>
      <c r="R17" s="53">
        <v>18.2</v>
      </c>
      <c r="S17" s="53">
        <v>134</v>
      </c>
      <c r="T17" s="16">
        <f t="shared" si="1"/>
        <v>30</v>
      </c>
      <c r="U17" s="53">
        <v>137</v>
      </c>
      <c r="V17" s="16">
        <f t="shared" si="2"/>
        <v>4110</v>
      </c>
      <c r="W17" s="53">
        <v>7</v>
      </c>
      <c r="X17" s="53" t="s">
        <v>46</v>
      </c>
      <c r="Y17" s="53" t="s">
        <v>69</v>
      </c>
      <c r="Z17" s="53" t="s">
        <v>47</v>
      </c>
      <c r="AA17" s="53" t="s">
        <v>55</v>
      </c>
      <c r="AB17" s="53" t="s">
        <v>258</v>
      </c>
      <c r="AE17" s="22" t="s">
        <v>85</v>
      </c>
      <c r="AP17" s="27" t="s">
        <v>110</v>
      </c>
      <c r="AR17" s="23" t="s">
        <v>96</v>
      </c>
      <c r="AV17" s="23" t="s">
        <v>86</v>
      </c>
    </row>
    <row r="18" spans="1:48" x14ac:dyDescent="0.15">
      <c r="A18" s="53" t="s">
        <v>34</v>
      </c>
      <c r="B18" s="53" t="s">
        <v>232</v>
      </c>
      <c r="C18" s="53">
        <v>2019</v>
      </c>
      <c r="D18" s="176" t="s">
        <v>168</v>
      </c>
      <c r="E18" s="53" t="s">
        <v>210</v>
      </c>
      <c r="F18" s="53" t="s">
        <v>383</v>
      </c>
      <c r="G18" s="53" t="s">
        <v>36</v>
      </c>
      <c r="H18" s="53" t="s">
        <v>160</v>
      </c>
      <c r="I18" s="53" t="s">
        <v>159</v>
      </c>
      <c r="J18" s="53" t="s">
        <v>38</v>
      </c>
      <c r="K18" s="53" t="s">
        <v>161</v>
      </c>
      <c r="L18" s="53">
        <v>2</v>
      </c>
      <c r="N18" s="53">
        <v>1</v>
      </c>
      <c r="O18" s="53">
        <v>0.6</v>
      </c>
      <c r="P18" s="53">
        <v>0.6</v>
      </c>
      <c r="Q18" s="74">
        <f t="shared" si="0"/>
        <v>0.6</v>
      </c>
      <c r="R18" s="53">
        <v>20.6</v>
      </c>
      <c r="S18" s="53">
        <v>128</v>
      </c>
      <c r="T18" s="16">
        <f t="shared" si="1"/>
        <v>30</v>
      </c>
      <c r="U18" s="53">
        <v>137</v>
      </c>
      <c r="V18" s="16">
        <f t="shared" si="2"/>
        <v>4110</v>
      </c>
      <c r="W18" s="53">
        <v>7</v>
      </c>
      <c r="X18" s="53" t="s">
        <v>46</v>
      </c>
      <c r="Y18" s="53" t="s">
        <v>69</v>
      </c>
      <c r="Z18" s="53" t="s">
        <v>47</v>
      </c>
      <c r="AA18" s="53" t="s">
        <v>55</v>
      </c>
      <c r="AB18" s="53" t="s">
        <v>258</v>
      </c>
      <c r="AE18" s="22" t="s">
        <v>87</v>
      </c>
      <c r="AP18" s="27" t="s">
        <v>111</v>
      </c>
      <c r="AR18" s="23" t="s">
        <v>101</v>
      </c>
      <c r="AV18" s="23" t="s">
        <v>88</v>
      </c>
    </row>
    <row r="19" spans="1:48" x14ac:dyDescent="0.15">
      <c r="A19" s="53" t="s">
        <v>34</v>
      </c>
      <c r="B19" s="53" t="s">
        <v>232</v>
      </c>
      <c r="C19" s="53">
        <v>2019</v>
      </c>
      <c r="D19" s="176" t="s">
        <v>168</v>
      </c>
      <c r="E19" s="53" t="s">
        <v>210</v>
      </c>
      <c r="F19" s="53" t="s">
        <v>383</v>
      </c>
      <c r="G19" s="53" t="s">
        <v>36</v>
      </c>
      <c r="H19" s="53" t="s">
        <v>160</v>
      </c>
      <c r="I19" s="53" t="s">
        <v>159</v>
      </c>
      <c r="J19" s="53" t="s">
        <v>38</v>
      </c>
      <c r="K19" s="53" t="s">
        <v>161</v>
      </c>
      <c r="L19" s="53">
        <v>3</v>
      </c>
      <c r="N19" s="53">
        <v>1</v>
      </c>
      <c r="O19" s="53">
        <v>0.65</v>
      </c>
      <c r="P19" s="53">
        <v>0.7</v>
      </c>
      <c r="Q19" s="74">
        <f t="shared" si="0"/>
        <v>0.67500000000000004</v>
      </c>
      <c r="R19" s="53">
        <v>19.899999999999999</v>
      </c>
      <c r="S19" s="53">
        <v>136</v>
      </c>
      <c r="T19" s="16">
        <f t="shared" si="1"/>
        <v>30</v>
      </c>
      <c r="U19" s="53">
        <v>137</v>
      </c>
      <c r="V19" s="16">
        <f t="shared" si="2"/>
        <v>4110</v>
      </c>
      <c r="W19" s="53">
        <v>7</v>
      </c>
      <c r="X19" s="53" t="s">
        <v>46</v>
      </c>
      <c r="Y19" s="53" t="s">
        <v>69</v>
      </c>
      <c r="Z19" s="53" t="s">
        <v>47</v>
      </c>
      <c r="AA19" s="53" t="s">
        <v>55</v>
      </c>
      <c r="AB19" s="53" t="s">
        <v>258</v>
      </c>
      <c r="AE19" s="35" t="s">
        <v>89</v>
      </c>
      <c r="AP19" s="27" t="s">
        <v>112</v>
      </c>
      <c r="AR19" s="23" t="s">
        <v>126</v>
      </c>
      <c r="AV19" s="23" t="s">
        <v>90</v>
      </c>
    </row>
    <row r="20" spans="1:48" x14ac:dyDescent="0.15">
      <c r="A20" s="53" t="s">
        <v>34</v>
      </c>
      <c r="B20" s="53" t="s">
        <v>232</v>
      </c>
      <c r="C20" s="53">
        <v>2019</v>
      </c>
      <c r="D20" s="176" t="s">
        <v>168</v>
      </c>
      <c r="E20" s="53" t="s">
        <v>210</v>
      </c>
      <c r="F20" s="53" t="s">
        <v>383</v>
      </c>
      <c r="G20" s="53" t="s">
        <v>36</v>
      </c>
      <c r="H20" s="53" t="s">
        <v>160</v>
      </c>
      <c r="I20" s="53" t="s">
        <v>159</v>
      </c>
      <c r="J20" s="53" t="s">
        <v>38</v>
      </c>
      <c r="K20" s="53" t="s">
        <v>161</v>
      </c>
      <c r="L20" s="53">
        <v>1</v>
      </c>
      <c r="N20" s="53">
        <v>4</v>
      </c>
      <c r="O20" s="53">
        <v>0.2</v>
      </c>
      <c r="P20" s="53">
        <v>0.5</v>
      </c>
      <c r="Q20" s="74">
        <f t="shared" si="0"/>
        <v>0.35</v>
      </c>
      <c r="R20" s="53">
        <v>17.5</v>
      </c>
      <c r="S20" s="53">
        <v>84</v>
      </c>
      <c r="T20" s="16">
        <f t="shared" si="1"/>
        <v>36</v>
      </c>
      <c r="U20" s="53">
        <v>428</v>
      </c>
      <c r="V20" s="16">
        <f t="shared" si="2"/>
        <v>3852</v>
      </c>
      <c r="W20" s="53">
        <v>7</v>
      </c>
      <c r="X20" s="53" t="s">
        <v>46</v>
      </c>
      <c r="Y20" s="53" t="s">
        <v>69</v>
      </c>
      <c r="Z20" s="53" t="s">
        <v>47</v>
      </c>
      <c r="AA20" s="53" t="s">
        <v>55</v>
      </c>
      <c r="AB20" s="53" t="s">
        <v>258</v>
      </c>
      <c r="AP20" s="27" t="s">
        <v>113</v>
      </c>
      <c r="AR20" s="23" t="s">
        <v>105</v>
      </c>
      <c r="AV20" s="27" t="s">
        <v>135</v>
      </c>
    </row>
    <row r="21" spans="1:48" x14ac:dyDescent="0.15">
      <c r="A21" s="53" t="s">
        <v>34</v>
      </c>
      <c r="B21" s="53" t="s">
        <v>232</v>
      </c>
      <c r="C21" s="53">
        <v>2019</v>
      </c>
      <c r="D21" s="176" t="s">
        <v>168</v>
      </c>
      <c r="E21" s="53" t="s">
        <v>210</v>
      </c>
      <c r="F21" s="53" t="s">
        <v>383</v>
      </c>
      <c r="G21" s="53" t="s">
        <v>36</v>
      </c>
      <c r="H21" s="53" t="s">
        <v>160</v>
      </c>
      <c r="I21" s="53" t="s">
        <v>159</v>
      </c>
      <c r="J21" s="53" t="s">
        <v>38</v>
      </c>
      <c r="K21" s="53" t="s">
        <v>161</v>
      </c>
      <c r="L21" s="53">
        <v>2</v>
      </c>
      <c r="N21" s="53">
        <v>4</v>
      </c>
      <c r="O21" s="53">
        <v>0.45</v>
      </c>
      <c r="P21" s="53">
        <v>0.5</v>
      </c>
      <c r="Q21" s="74">
        <f t="shared" si="0"/>
        <v>0.47499999999999998</v>
      </c>
      <c r="R21" s="53">
        <v>17</v>
      </c>
      <c r="S21" s="53">
        <v>92</v>
      </c>
      <c r="T21" s="16">
        <f t="shared" si="1"/>
        <v>36</v>
      </c>
      <c r="U21" s="53">
        <v>428</v>
      </c>
      <c r="V21" s="16">
        <f t="shared" si="2"/>
        <v>3852</v>
      </c>
      <c r="W21" s="53">
        <v>7</v>
      </c>
      <c r="X21" s="53" t="s">
        <v>46</v>
      </c>
      <c r="Y21" s="53" t="s">
        <v>69</v>
      </c>
      <c r="Z21" s="53" t="s">
        <v>47</v>
      </c>
      <c r="AA21" s="53" t="s">
        <v>55</v>
      </c>
      <c r="AB21" s="53" t="s">
        <v>258</v>
      </c>
      <c r="AP21" s="27" t="s">
        <v>114</v>
      </c>
      <c r="AR21" s="23" t="s">
        <v>68</v>
      </c>
      <c r="AV21" s="27" t="s">
        <v>136</v>
      </c>
    </row>
    <row r="22" spans="1:48" x14ac:dyDescent="0.15">
      <c r="A22" s="53" t="s">
        <v>34</v>
      </c>
      <c r="B22" s="53" t="s">
        <v>232</v>
      </c>
      <c r="C22" s="53">
        <v>2019</v>
      </c>
      <c r="D22" s="176" t="s">
        <v>168</v>
      </c>
      <c r="E22" s="53" t="s">
        <v>210</v>
      </c>
      <c r="F22" s="53" t="s">
        <v>383</v>
      </c>
      <c r="G22" s="53" t="s">
        <v>36</v>
      </c>
      <c r="H22" s="53" t="s">
        <v>384</v>
      </c>
      <c r="I22" s="53" t="s">
        <v>159</v>
      </c>
      <c r="J22" s="53" t="s">
        <v>38</v>
      </c>
      <c r="K22" s="53" t="s">
        <v>161</v>
      </c>
      <c r="L22" s="53">
        <v>3</v>
      </c>
      <c r="N22" s="53">
        <v>4</v>
      </c>
      <c r="O22" s="53">
        <v>0.45</v>
      </c>
      <c r="P22" s="53">
        <v>0.6</v>
      </c>
      <c r="Q22" s="74">
        <f t="shared" si="0"/>
        <v>0.52500000000000002</v>
      </c>
      <c r="R22" s="53">
        <v>16.600000000000001</v>
      </c>
      <c r="S22" s="53">
        <v>92</v>
      </c>
      <c r="T22" s="16">
        <f t="shared" si="1"/>
        <v>36</v>
      </c>
      <c r="U22" s="53">
        <v>428</v>
      </c>
      <c r="V22" s="16">
        <f t="shared" si="2"/>
        <v>3852</v>
      </c>
      <c r="W22" s="53">
        <v>7</v>
      </c>
      <c r="X22" s="53" t="s">
        <v>46</v>
      </c>
      <c r="Y22" s="53" t="s">
        <v>69</v>
      </c>
      <c r="Z22" s="53" t="s">
        <v>47</v>
      </c>
      <c r="AA22" s="53" t="s">
        <v>55</v>
      </c>
      <c r="AB22" s="53" t="s">
        <v>258</v>
      </c>
      <c r="AP22" s="27" t="s">
        <v>115</v>
      </c>
      <c r="AR22" s="23" t="s">
        <v>83</v>
      </c>
      <c r="AV22" s="27"/>
    </row>
    <row r="23" spans="1:48" x14ac:dyDescent="0.15">
      <c r="A23" s="53" t="s">
        <v>34</v>
      </c>
      <c r="B23" s="53" t="s">
        <v>232</v>
      </c>
      <c r="C23" s="53">
        <v>2019</v>
      </c>
      <c r="D23" s="176" t="s">
        <v>168</v>
      </c>
      <c r="E23" s="53" t="s">
        <v>210</v>
      </c>
      <c r="F23" s="53" t="s">
        <v>383</v>
      </c>
      <c r="G23" s="53" t="s">
        <v>36</v>
      </c>
      <c r="H23" s="53" t="s">
        <v>165</v>
      </c>
      <c r="I23" s="53" t="s">
        <v>159</v>
      </c>
      <c r="J23" s="53" t="s">
        <v>38</v>
      </c>
      <c r="K23" s="53" t="s">
        <v>161</v>
      </c>
      <c r="L23" s="53">
        <v>1</v>
      </c>
      <c r="N23" s="53">
        <v>1</v>
      </c>
      <c r="O23" s="53">
        <v>0.75</v>
      </c>
      <c r="P23" s="53">
        <v>0.85</v>
      </c>
      <c r="Q23" s="74">
        <f t="shared" si="0"/>
        <v>0.8</v>
      </c>
      <c r="R23" s="53">
        <v>16.7</v>
      </c>
      <c r="S23" s="53">
        <v>114</v>
      </c>
      <c r="T23" s="16">
        <f t="shared" si="1"/>
        <v>30</v>
      </c>
      <c r="U23" s="53">
        <v>137</v>
      </c>
      <c r="V23" s="16">
        <f t="shared" si="2"/>
        <v>4110</v>
      </c>
      <c r="W23" s="53">
        <v>5</v>
      </c>
      <c r="X23" s="53" t="s">
        <v>46</v>
      </c>
      <c r="Y23" s="53" t="s">
        <v>69</v>
      </c>
      <c r="Z23" s="53" t="s">
        <v>47</v>
      </c>
      <c r="AA23" s="53" t="s">
        <v>55</v>
      </c>
      <c r="AB23" s="53" t="s">
        <v>258</v>
      </c>
      <c r="AP23" s="27" t="s">
        <v>117</v>
      </c>
      <c r="AR23" s="23" t="s">
        <v>153</v>
      </c>
    </row>
    <row r="24" spans="1:48" x14ac:dyDescent="0.15">
      <c r="A24" s="53" t="s">
        <v>34</v>
      </c>
      <c r="B24" s="53" t="s">
        <v>232</v>
      </c>
      <c r="C24" s="53">
        <v>2019</v>
      </c>
      <c r="D24" s="176" t="s">
        <v>168</v>
      </c>
      <c r="E24" s="53" t="s">
        <v>210</v>
      </c>
      <c r="F24" s="53" t="s">
        <v>383</v>
      </c>
      <c r="G24" s="53" t="s">
        <v>36</v>
      </c>
      <c r="H24" s="53" t="s">
        <v>165</v>
      </c>
      <c r="I24" s="53" t="s">
        <v>159</v>
      </c>
      <c r="J24" s="53" t="s">
        <v>38</v>
      </c>
      <c r="K24" s="53" t="s">
        <v>161</v>
      </c>
      <c r="L24" s="53">
        <v>2</v>
      </c>
      <c r="N24" s="53">
        <v>1</v>
      </c>
      <c r="O24" s="53">
        <v>1.1499999999999999</v>
      </c>
      <c r="P24" s="53">
        <v>1.1499999999999999</v>
      </c>
      <c r="Q24" s="74">
        <f t="shared" si="0"/>
        <v>1.1499999999999999</v>
      </c>
      <c r="R24" s="53">
        <v>16.899999999999999</v>
      </c>
      <c r="S24" s="53">
        <v>117</v>
      </c>
      <c r="T24" s="16">
        <f t="shared" si="1"/>
        <v>30</v>
      </c>
      <c r="U24" s="53">
        <v>137</v>
      </c>
      <c r="V24" s="16">
        <f t="shared" si="2"/>
        <v>4110</v>
      </c>
      <c r="W24" s="53">
        <v>5</v>
      </c>
      <c r="X24" s="53" t="s">
        <v>46</v>
      </c>
      <c r="Y24" s="53" t="s">
        <v>69</v>
      </c>
      <c r="Z24" s="53" t="s">
        <v>47</v>
      </c>
      <c r="AA24" s="53" t="s">
        <v>55</v>
      </c>
      <c r="AB24" s="53" t="s">
        <v>258</v>
      </c>
      <c r="AP24" s="27" t="s">
        <v>118</v>
      </c>
    </row>
    <row r="25" spans="1:48" x14ac:dyDescent="0.15">
      <c r="A25" s="53" t="s">
        <v>34</v>
      </c>
      <c r="B25" s="53" t="s">
        <v>232</v>
      </c>
      <c r="C25" s="53">
        <v>2019</v>
      </c>
      <c r="D25" s="176" t="s">
        <v>168</v>
      </c>
      <c r="E25" s="53" t="s">
        <v>210</v>
      </c>
      <c r="F25" s="53" t="s">
        <v>383</v>
      </c>
      <c r="G25" s="53" t="s">
        <v>36</v>
      </c>
      <c r="H25" s="53" t="s">
        <v>165</v>
      </c>
      <c r="I25" s="53" t="s">
        <v>159</v>
      </c>
      <c r="J25" s="53" t="s">
        <v>38</v>
      </c>
      <c r="K25" s="53" t="s">
        <v>161</v>
      </c>
      <c r="L25" s="53">
        <v>3</v>
      </c>
      <c r="N25" s="53">
        <v>1</v>
      </c>
      <c r="O25" s="53">
        <v>0.9</v>
      </c>
      <c r="P25" s="53">
        <v>0.75</v>
      </c>
      <c r="Q25" s="74">
        <f t="shared" si="0"/>
        <v>0.82499999999999996</v>
      </c>
      <c r="R25" s="53">
        <v>17.100000000000001</v>
      </c>
      <c r="S25" s="53">
        <v>114</v>
      </c>
      <c r="T25" s="16">
        <f t="shared" si="1"/>
        <v>30</v>
      </c>
      <c r="U25" s="53">
        <v>137</v>
      </c>
      <c r="V25" s="16">
        <f t="shared" si="2"/>
        <v>4110</v>
      </c>
      <c r="W25" s="53">
        <v>5</v>
      </c>
      <c r="X25" s="53" t="s">
        <v>46</v>
      </c>
      <c r="Y25" s="53" t="s">
        <v>69</v>
      </c>
      <c r="Z25" s="53" t="s">
        <v>47</v>
      </c>
      <c r="AA25" s="53" t="s">
        <v>55</v>
      </c>
      <c r="AB25" s="53" t="s">
        <v>258</v>
      </c>
    </row>
    <row r="26" spans="1:48" x14ac:dyDescent="0.15">
      <c r="A26" s="53" t="s">
        <v>34</v>
      </c>
      <c r="B26" s="53" t="s">
        <v>232</v>
      </c>
      <c r="C26" s="53">
        <v>2019</v>
      </c>
      <c r="D26" s="176" t="s">
        <v>168</v>
      </c>
      <c r="E26" s="53" t="s">
        <v>210</v>
      </c>
      <c r="F26" s="53" t="s">
        <v>383</v>
      </c>
      <c r="G26" s="53" t="s">
        <v>36</v>
      </c>
      <c r="H26" s="53" t="s">
        <v>165</v>
      </c>
      <c r="I26" s="53" t="s">
        <v>159</v>
      </c>
      <c r="J26" s="53" t="s">
        <v>38</v>
      </c>
      <c r="K26" s="53" t="s">
        <v>161</v>
      </c>
      <c r="L26" s="53">
        <v>1</v>
      </c>
      <c r="N26" s="53">
        <v>4</v>
      </c>
      <c r="O26" s="53">
        <v>0.8</v>
      </c>
      <c r="P26" s="53">
        <v>0.65</v>
      </c>
      <c r="Q26" s="74">
        <f t="shared" si="0"/>
        <v>0.72500000000000009</v>
      </c>
      <c r="R26" s="53">
        <v>14</v>
      </c>
      <c r="S26" s="53">
        <v>106</v>
      </c>
      <c r="T26" s="16">
        <f t="shared" si="1"/>
        <v>33</v>
      </c>
      <c r="U26" s="53">
        <v>428</v>
      </c>
      <c r="V26" s="16">
        <f t="shared" si="2"/>
        <v>3531</v>
      </c>
      <c r="W26" s="53">
        <v>5</v>
      </c>
      <c r="X26" s="53" t="s">
        <v>46</v>
      </c>
      <c r="Y26" s="53" t="s">
        <v>69</v>
      </c>
      <c r="Z26" s="53" t="s">
        <v>47</v>
      </c>
      <c r="AA26" s="53" t="s">
        <v>55</v>
      </c>
      <c r="AB26" s="53" t="s">
        <v>258</v>
      </c>
    </row>
    <row r="27" spans="1:48" x14ac:dyDescent="0.15">
      <c r="A27" s="53" t="s">
        <v>34</v>
      </c>
      <c r="B27" s="53" t="s">
        <v>232</v>
      </c>
      <c r="C27" s="53">
        <v>2019</v>
      </c>
      <c r="D27" s="176" t="s">
        <v>168</v>
      </c>
      <c r="E27" s="53" t="s">
        <v>210</v>
      </c>
      <c r="F27" s="53" t="s">
        <v>383</v>
      </c>
      <c r="G27" s="53" t="s">
        <v>36</v>
      </c>
      <c r="H27" s="53" t="s">
        <v>165</v>
      </c>
      <c r="I27" s="53" t="s">
        <v>159</v>
      </c>
      <c r="J27" s="53" t="s">
        <v>38</v>
      </c>
      <c r="K27" s="53" t="s">
        <v>161</v>
      </c>
      <c r="L27" s="53">
        <v>2</v>
      </c>
      <c r="N27" s="53">
        <v>4</v>
      </c>
      <c r="O27" s="53">
        <v>0.75</v>
      </c>
      <c r="P27" s="53">
        <v>0.55000000000000004</v>
      </c>
      <c r="Q27" s="74">
        <f t="shared" si="0"/>
        <v>0.65</v>
      </c>
      <c r="R27" s="53">
        <v>17</v>
      </c>
      <c r="S27" s="53">
        <v>103</v>
      </c>
      <c r="T27" s="16">
        <f t="shared" si="1"/>
        <v>33</v>
      </c>
      <c r="U27" s="53">
        <v>428</v>
      </c>
      <c r="V27" s="16">
        <f t="shared" si="2"/>
        <v>3531</v>
      </c>
      <c r="W27" s="53">
        <v>5</v>
      </c>
      <c r="X27" s="53" t="s">
        <v>46</v>
      </c>
      <c r="Y27" s="53" t="s">
        <v>69</v>
      </c>
      <c r="Z27" s="53" t="s">
        <v>47</v>
      </c>
      <c r="AA27" s="53" t="s">
        <v>55</v>
      </c>
      <c r="AB27" s="53" t="s">
        <v>258</v>
      </c>
    </row>
    <row r="28" spans="1:48" x14ac:dyDescent="0.15">
      <c r="A28" s="53" t="s">
        <v>34</v>
      </c>
      <c r="B28" s="53" t="s">
        <v>232</v>
      </c>
      <c r="C28" s="53">
        <v>2019</v>
      </c>
      <c r="D28" s="176" t="s">
        <v>168</v>
      </c>
      <c r="E28" s="53" t="s">
        <v>210</v>
      </c>
      <c r="F28" s="53" t="s">
        <v>383</v>
      </c>
      <c r="G28" s="53" t="s">
        <v>36</v>
      </c>
      <c r="H28" s="53" t="s">
        <v>165</v>
      </c>
      <c r="I28" s="53" t="s">
        <v>159</v>
      </c>
      <c r="J28" s="53" t="s">
        <v>38</v>
      </c>
      <c r="K28" s="53" t="s">
        <v>161</v>
      </c>
      <c r="L28" s="53">
        <v>3</v>
      </c>
      <c r="N28" s="53">
        <v>4</v>
      </c>
      <c r="O28" s="53">
        <v>0.85</v>
      </c>
      <c r="P28" s="53">
        <v>0.95</v>
      </c>
      <c r="Q28" s="74">
        <f>IF(OR(O28="",P28=""),"",AVERAGE(O28,P28))</f>
        <v>0.89999999999999991</v>
      </c>
      <c r="R28" s="53">
        <v>16</v>
      </c>
      <c r="S28" s="53">
        <v>100</v>
      </c>
      <c r="T28" s="16">
        <f t="shared" si="1"/>
        <v>33</v>
      </c>
      <c r="U28" s="53">
        <v>428</v>
      </c>
      <c r="V28" s="16">
        <f t="shared" si="2"/>
        <v>3531</v>
      </c>
      <c r="W28" s="53">
        <v>5</v>
      </c>
      <c r="X28" s="53" t="s">
        <v>46</v>
      </c>
      <c r="Y28" s="53" t="s">
        <v>69</v>
      </c>
      <c r="Z28" s="53" t="s">
        <v>47</v>
      </c>
      <c r="AA28" s="53" t="s">
        <v>55</v>
      </c>
      <c r="AB28" s="53" t="s">
        <v>258</v>
      </c>
    </row>
    <row r="29" spans="1:48" x14ac:dyDescent="0.15">
      <c r="A29" s="53" t="s">
        <v>34</v>
      </c>
      <c r="B29" s="53" t="s">
        <v>232</v>
      </c>
      <c r="C29" s="53">
        <v>2019</v>
      </c>
      <c r="D29" s="176" t="s">
        <v>168</v>
      </c>
      <c r="E29" s="53" t="s">
        <v>372</v>
      </c>
      <c r="F29" s="53" t="s">
        <v>373</v>
      </c>
      <c r="G29" s="53" t="s">
        <v>36</v>
      </c>
      <c r="H29" s="53" t="s">
        <v>160</v>
      </c>
      <c r="I29" s="53" t="s">
        <v>159</v>
      </c>
      <c r="J29" s="53" t="s">
        <v>38</v>
      </c>
      <c r="K29" s="53" t="s">
        <v>161</v>
      </c>
      <c r="L29" s="53">
        <v>1</v>
      </c>
      <c r="N29" s="53">
        <v>1</v>
      </c>
      <c r="O29" s="53">
        <v>0.6</v>
      </c>
      <c r="P29" s="53">
        <v>0.65</v>
      </c>
      <c r="Q29" s="74">
        <f t="shared" si="0"/>
        <v>0.625</v>
      </c>
      <c r="R29" s="53">
        <v>17.3</v>
      </c>
      <c r="S29" s="53">
        <v>139</v>
      </c>
      <c r="T29" s="16">
        <f t="shared" si="1"/>
        <v>30</v>
      </c>
      <c r="U29" s="53">
        <v>138</v>
      </c>
      <c r="V29" s="16">
        <f t="shared" si="2"/>
        <v>4140</v>
      </c>
      <c r="W29" s="53">
        <v>8</v>
      </c>
      <c r="X29" s="53" t="s">
        <v>46</v>
      </c>
      <c r="Y29" s="53" t="s">
        <v>55</v>
      </c>
      <c r="Z29" s="53" t="s">
        <v>69</v>
      </c>
      <c r="AA29" s="53" t="s">
        <v>84</v>
      </c>
      <c r="AB29" s="53" t="s">
        <v>258</v>
      </c>
    </row>
    <row r="30" spans="1:48" x14ac:dyDescent="0.15">
      <c r="A30" s="53" t="s">
        <v>34</v>
      </c>
      <c r="B30" s="53" t="s">
        <v>232</v>
      </c>
      <c r="C30" s="53">
        <v>2019</v>
      </c>
      <c r="D30" s="176" t="s">
        <v>168</v>
      </c>
      <c r="E30" s="53" t="s">
        <v>372</v>
      </c>
      <c r="F30" s="53" t="s">
        <v>373</v>
      </c>
      <c r="G30" s="53" t="s">
        <v>36</v>
      </c>
      <c r="H30" s="53" t="s">
        <v>160</v>
      </c>
      <c r="I30" s="53" t="s">
        <v>159</v>
      </c>
      <c r="J30" s="53" t="s">
        <v>38</v>
      </c>
      <c r="K30" s="53" t="s">
        <v>161</v>
      </c>
      <c r="L30" s="53">
        <v>2</v>
      </c>
      <c r="N30" s="53">
        <v>1</v>
      </c>
      <c r="O30" s="53">
        <v>0.65</v>
      </c>
      <c r="P30" s="53">
        <v>0.55000000000000004</v>
      </c>
      <c r="Q30" s="74">
        <f t="shared" si="0"/>
        <v>0.60000000000000009</v>
      </c>
      <c r="R30" s="53">
        <v>16.7</v>
      </c>
      <c r="S30" s="53">
        <v>125</v>
      </c>
      <c r="T30" s="16">
        <f t="shared" si="1"/>
        <v>30</v>
      </c>
      <c r="U30" s="53">
        <v>138</v>
      </c>
      <c r="V30" s="16">
        <f t="shared" si="2"/>
        <v>4140</v>
      </c>
      <c r="W30" s="53">
        <v>8</v>
      </c>
      <c r="X30" s="53" t="s">
        <v>46</v>
      </c>
      <c r="Y30" s="53" t="s">
        <v>55</v>
      </c>
      <c r="Z30" s="53" t="s">
        <v>69</v>
      </c>
      <c r="AA30" s="53" t="s">
        <v>84</v>
      </c>
      <c r="AB30" s="53" t="s">
        <v>258</v>
      </c>
    </row>
    <row r="31" spans="1:48" x14ac:dyDescent="0.15">
      <c r="A31" s="53" t="s">
        <v>34</v>
      </c>
      <c r="B31" s="53" t="s">
        <v>232</v>
      </c>
      <c r="C31" s="53">
        <v>2019</v>
      </c>
      <c r="D31" s="176" t="s">
        <v>168</v>
      </c>
      <c r="E31" s="53" t="s">
        <v>372</v>
      </c>
      <c r="F31" s="53" t="s">
        <v>373</v>
      </c>
      <c r="G31" s="53" t="s">
        <v>36</v>
      </c>
      <c r="H31" s="53" t="s">
        <v>160</v>
      </c>
      <c r="I31" s="53" t="s">
        <v>159</v>
      </c>
      <c r="J31" s="53" t="s">
        <v>38</v>
      </c>
      <c r="K31" s="53" t="s">
        <v>161</v>
      </c>
      <c r="L31" s="53">
        <v>3</v>
      </c>
      <c r="N31" s="53">
        <v>1</v>
      </c>
      <c r="O31" s="53">
        <v>0.45</v>
      </c>
      <c r="P31" s="53">
        <v>0.45</v>
      </c>
      <c r="Q31" s="74">
        <f t="shared" si="0"/>
        <v>0.45</v>
      </c>
      <c r="R31" s="53">
        <v>17.100000000000001</v>
      </c>
      <c r="S31" s="53">
        <v>128</v>
      </c>
      <c r="T31" s="16">
        <f t="shared" si="1"/>
        <v>30</v>
      </c>
      <c r="U31" s="53">
        <v>138</v>
      </c>
      <c r="V31" s="16">
        <f t="shared" si="2"/>
        <v>4140</v>
      </c>
      <c r="W31" s="53">
        <v>8</v>
      </c>
      <c r="X31" s="53" t="s">
        <v>46</v>
      </c>
      <c r="Y31" s="53" t="s">
        <v>55</v>
      </c>
      <c r="Z31" s="53" t="s">
        <v>69</v>
      </c>
      <c r="AA31" s="53" t="s">
        <v>84</v>
      </c>
      <c r="AB31" s="53" t="s">
        <v>258</v>
      </c>
    </row>
    <row r="32" spans="1:48" x14ac:dyDescent="0.15">
      <c r="A32" s="53" t="s">
        <v>34</v>
      </c>
      <c r="B32" s="53" t="s">
        <v>232</v>
      </c>
      <c r="C32" s="53">
        <v>2019</v>
      </c>
      <c r="D32" s="176" t="s">
        <v>168</v>
      </c>
      <c r="E32" s="53" t="s">
        <v>372</v>
      </c>
      <c r="F32" s="53" t="s">
        <v>373</v>
      </c>
      <c r="G32" s="53" t="s">
        <v>36</v>
      </c>
      <c r="H32" s="53" t="s">
        <v>160</v>
      </c>
      <c r="I32" s="53" t="s">
        <v>159</v>
      </c>
      <c r="J32" s="53" t="s">
        <v>38</v>
      </c>
      <c r="K32" s="53" t="s">
        <v>161</v>
      </c>
      <c r="L32" s="53">
        <v>1</v>
      </c>
      <c r="N32" s="53">
        <v>3</v>
      </c>
      <c r="O32" s="53">
        <v>0.45</v>
      </c>
      <c r="P32" s="53">
        <v>0.5</v>
      </c>
      <c r="Q32" s="74">
        <f t="shared" si="0"/>
        <v>0.47499999999999998</v>
      </c>
      <c r="R32" s="53">
        <v>19.899999999999999</v>
      </c>
      <c r="S32" s="53">
        <v>132</v>
      </c>
      <c r="T32" s="16">
        <f t="shared" si="1"/>
        <v>30</v>
      </c>
      <c r="U32" s="53">
        <v>429</v>
      </c>
      <c r="V32" s="16">
        <f t="shared" si="2"/>
        <v>4290</v>
      </c>
      <c r="W32" s="53">
        <v>8</v>
      </c>
      <c r="X32" s="53" t="s">
        <v>46</v>
      </c>
      <c r="Y32" s="53" t="s">
        <v>55</v>
      </c>
      <c r="Z32" s="53" t="s">
        <v>69</v>
      </c>
      <c r="AA32" s="53" t="s">
        <v>84</v>
      </c>
      <c r="AB32" s="53" t="s">
        <v>258</v>
      </c>
    </row>
    <row r="33" spans="1:28" x14ac:dyDescent="0.15">
      <c r="A33" s="53" t="s">
        <v>34</v>
      </c>
      <c r="B33" s="53" t="s">
        <v>232</v>
      </c>
      <c r="C33" s="53">
        <v>2019</v>
      </c>
      <c r="D33" s="176" t="s">
        <v>168</v>
      </c>
      <c r="E33" s="53" t="s">
        <v>372</v>
      </c>
      <c r="F33" s="53" t="s">
        <v>373</v>
      </c>
      <c r="G33" s="53" t="s">
        <v>36</v>
      </c>
      <c r="H33" s="53" t="s">
        <v>160</v>
      </c>
      <c r="I33" s="53" t="s">
        <v>159</v>
      </c>
      <c r="J33" s="53" t="s">
        <v>38</v>
      </c>
      <c r="K33" s="53" t="s">
        <v>161</v>
      </c>
      <c r="L33" s="53">
        <v>2</v>
      </c>
      <c r="N33" s="53">
        <v>3</v>
      </c>
      <c r="O33" s="53">
        <v>0.65</v>
      </c>
      <c r="P33" s="53">
        <v>0.55000000000000004</v>
      </c>
      <c r="Q33" s="74">
        <f t="shared" si="0"/>
        <v>0.60000000000000009</v>
      </c>
      <c r="R33" s="53">
        <v>18.2</v>
      </c>
      <c r="S33" s="53">
        <v>140</v>
      </c>
      <c r="T33" s="16">
        <f t="shared" si="1"/>
        <v>30</v>
      </c>
      <c r="U33" s="53">
        <v>429</v>
      </c>
      <c r="V33" s="16">
        <f t="shared" si="2"/>
        <v>4290</v>
      </c>
      <c r="W33" s="53">
        <v>8</v>
      </c>
      <c r="X33" s="53" t="s">
        <v>46</v>
      </c>
      <c r="Y33" s="53" t="s">
        <v>55</v>
      </c>
      <c r="Z33" s="53" t="s">
        <v>69</v>
      </c>
      <c r="AA33" s="53" t="s">
        <v>84</v>
      </c>
      <c r="AB33" s="53" t="s">
        <v>258</v>
      </c>
    </row>
    <row r="34" spans="1:28" x14ac:dyDescent="0.15">
      <c r="A34" s="53" t="s">
        <v>34</v>
      </c>
      <c r="B34" s="53" t="s">
        <v>232</v>
      </c>
      <c r="C34" s="53">
        <v>2019</v>
      </c>
      <c r="D34" s="176" t="s">
        <v>168</v>
      </c>
      <c r="E34" s="53" t="s">
        <v>372</v>
      </c>
      <c r="F34" s="53" t="s">
        <v>373</v>
      </c>
      <c r="G34" s="53" t="s">
        <v>36</v>
      </c>
      <c r="H34" s="53" t="s">
        <v>160</v>
      </c>
      <c r="I34" s="53" t="s">
        <v>159</v>
      </c>
      <c r="J34" s="53" t="s">
        <v>38</v>
      </c>
      <c r="K34" s="53" t="s">
        <v>161</v>
      </c>
      <c r="L34" s="53">
        <v>3</v>
      </c>
      <c r="N34" s="53">
        <v>3</v>
      </c>
      <c r="O34" s="53">
        <v>0.5</v>
      </c>
      <c r="P34" s="53">
        <v>0.6</v>
      </c>
      <c r="Q34" s="74">
        <f>IF(OR(O34="",P34=""),"",AVERAGE(O34,P34))</f>
        <v>0.55000000000000004</v>
      </c>
      <c r="R34" s="53">
        <v>20.2</v>
      </c>
      <c r="S34" s="53">
        <v>134</v>
      </c>
      <c r="T34" s="16">
        <f t="shared" si="1"/>
        <v>30</v>
      </c>
      <c r="U34" s="53">
        <v>429</v>
      </c>
      <c r="V34" s="16">
        <f t="shared" si="2"/>
        <v>4290</v>
      </c>
      <c r="W34" s="53">
        <v>8</v>
      </c>
      <c r="X34" s="53" t="s">
        <v>46</v>
      </c>
      <c r="Y34" s="53" t="s">
        <v>55</v>
      </c>
      <c r="Z34" s="53" t="s">
        <v>69</v>
      </c>
      <c r="AA34" s="53" t="s">
        <v>84</v>
      </c>
      <c r="AB34" s="53" t="s">
        <v>258</v>
      </c>
    </row>
    <row r="35" spans="1:28" x14ac:dyDescent="0.15">
      <c r="A35" s="53" t="s">
        <v>34</v>
      </c>
      <c r="B35" s="53" t="s">
        <v>232</v>
      </c>
      <c r="C35" s="53">
        <v>2019</v>
      </c>
      <c r="D35" s="176" t="s">
        <v>168</v>
      </c>
      <c r="E35" s="53" t="s">
        <v>372</v>
      </c>
      <c r="F35" s="53" t="s">
        <v>373</v>
      </c>
      <c r="G35" s="53" t="s">
        <v>36</v>
      </c>
      <c r="H35" s="53" t="s">
        <v>160</v>
      </c>
      <c r="I35" s="53" t="s">
        <v>159</v>
      </c>
      <c r="J35" s="53" t="s">
        <v>38</v>
      </c>
      <c r="K35" s="53" t="s">
        <v>161</v>
      </c>
      <c r="L35" s="53">
        <v>1</v>
      </c>
      <c r="N35" s="53">
        <v>4</v>
      </c>
      <c r="O35" s="53">
        <v>0.7</v>
      </c>
      <c r="P35" s="53">
        <v>0.6</v>
      </c>
      <c r="Q35" s="74">
        <f t="shared" ref="Q35:Q36" si="3">IF(OR(O35="",P35=""),"",AVERAGE(O35,P35))</f>
        <v>0.64999999999999991</v>
      </c>
      <c r="R35" s="53">
        <v>18.399999999999999</v>
      </c>
      <c r="S35" s="53">
        <v>109</v>
      </c>
      <c r="T35" s="16">
        <f t="shared" si="1"/>
        <v>33</v>
      </c>
      <c r="U35" s="53">
        <v>321</v>
      </c>
      <c r="V35" s="16">
        <f t="shared" si="2"/>
        <v>2648.25</v>
      </c>
      <c r="W35" s="53">
        <v>8</v>
      </c>
      <c r="X35" s="53" t="s">
        <v>46</v>
      </c>
      <c r="Y35" s="53" t="s">
        <v>55</v>
      </c>
      <c r="Z35" s="53" t="s">
        <v>69</v>
      </c>
      <c r="AA35" s="53" t="s">
        <v>84</v>
      </c>
      <c r="AB35" s="53" t="s">
        <v>258</v>
      </c>
    </row>
    <row r="36" spans="1:28" x14ac:dyDescent="0.15">
      <c r="A36" s="53" t="s">
        <v>34</v>
      </c>
      <c r="B36" s="53" t="s">
        <v>232</v>
      </c>
      <c r="C36" s="53">
        <v>2019</v>
      </c>
      <c r="D36" s="176" t="s">
        <v>168</v>
      </c>
      <c r="E36" s="53" t="s">
        <v>372</v>
      </c>
      <c r="F36" s="53" t="s">
        <v>373</v>
      </c>
      <c r="G36" s="53" t="s">
        <v>36</v>
      </c>
      <c r="H36" s="53" t="s">
        <v>160</v>
      </c>
      <c r="I36" s="53" t="s">
        <v>159</v>
      </c>
      <c r="J36" s="53" t="s">
        <v>38</v>
      </c>
      <c r="K36" s="53" t="s">
        <v>161</v>
      </c>
      <c r="L36" s="53">
        <v>2</v>
      </c>
      <c r="N36" s="53">
        <v>4</v>
      </c>
      <c r="O36" s="53">
        <v>0.55000000000000004</v>
      </c>
      <c r="P36" s="53">
        <v>0.75</v>
      </c>
      <c r="Q36" s="74">
        <f t="shared" si="3"/>
        <v>0.65</v>
      </c>
      <c r="R36" s="53">
        <v>18</v>
      </c>
      <c r="S36" s="53">
        <v>108</v>
      </c>
      <c r="T36" s="16">
        <f t="shared" si="1"/>
        <v>33</v>
      </c>
      <c r="U36" s="53">
        <v>321</v>
      </c>
      <c r="V36" s="16">
        <f t="shared" si="2"/>
        <v>2648.25</v>
      </c>
      <c r="W36" s="53">
        <v>8</v>
      </c>
      <c r="X36" s="53" t="s">
        <v>46</v>
      </c>
      <c r="Y36" s="53" t="s">
        <v>55</v>
      </c>
      <c r="Z36" s="53" t="s">
        <v>69</v>
      </c>
      <c r="AA36" s="53" t="s">
        <v>84</v>
      </c>
      <c r="AB36" s="53" t="s">
        <v>258</v>
      </c>
    </row>
    <row r="37" spans="1:28" x14ac:dyDescent="0.15">
      <c r="A37" s="53" t="s">
        <v>34</v>
      </c>
      <c r="B37" s="53" t="s">
        <v>232</v>
      </c>
      <c r="C37" s="53">
        <v>2019</v>
      </c>
      <c r="D37" s="176" t="s">
        <v>168</v>
      </c>
      <c r="E37" s="53" t="s">
        <v>372</v>
      </c>
      <c r="F37" s="53" t="s">
        <v>373</v>
      </c>
      <c r="G37" s="53" t="s">
        <v>36</v>
      </c>
      <c r="H37" s="53" t="s">
        <v>160</v>
      </c>
      <c r="I37" s="53" t="s">
        <v>159</v>
      </c>
      <c r="J37" s="53" t="s">
        <v>38</v>
      </c>
      <c r="K37" s="53" t="s">
        <v>161</v>
      </c>
      <c r="L37" s="53">
        <v>3</v>
      </c>
      <c r="N37" s="53">
        <v>4</v>
      </c>
      <c r="O37" s="53">
        <v>0.7</v>
      </c>
      <c r="P37" s="53">
        <v>0.8</v>
      </c>
      <c r="Q37" s="74">
        <f>IF(OR(O37="",P37=""),"",AVERAGE(O37,P37))</f>
        <v>0.75</v>
      </c>
      <c r="R37" s="53">
        <v>18.3</v>
      </c>
      <c r="S37" s="53">
        <v>113</v>
      </c>
      <c r="T37" s="16">
        <f t="shared" si="1"/>
        <v>30</v>
      </c>
      <c r="U37" s="53">
        <v>321</v>
      </c>
      <c r="V37" s="16">
        <f t="shared" si="2"/>
        <v>2407.5</v>
      </c>
      <c r="W37" s="53">
        <v>8</v>
      </c>
      <c r="X37" s="53" t="s">
        <v>46</v>
      </c>
      <c r="Y37" s="53" t="s">
        <v>55</v>
      </c>
      <c r="Z37" s="53" t="s">
        <v>69</v>
      </c>
      <c r="AA37" s="53" t="s">
        <v>84</v>
      </c>
      <c r="AB37" s="53" t="s">
        <v>258</v>
      </c>
    </row>
    <row r="38" spans="1:28" x14ac:dyDescent="0.15">
      <c r="A38" s="53" t="s">
        <v>34</v>
      </c>
      <c r="B38" s="53" t="s">
        <v>232</v>
      </c>
      <c r="C38" s="53">
        <v>2019</v>
      </c>
      <c r="D38" s="176" t="s">
        <v>168</v>
      </c>
      <c r="E38" s="53" t="s">
        <v>372</v>
      </c>
      <c r="F38" s="53" t="s">
        <v>373</v>
      </c>
      <c r="G38" s="53" t="s">
        <v>36</v>
      </c>
      <c r="H38" s="53" t="s">
        <v>165</v>
      </c>
      <c r="I38" s="53" t="s">
        <v>159</v>
      </c>
      <c r="J38" s="53" t="s">
        <v>38</v>
      </c>
      <c r="K38" s="53" t="s">
        <v>161</v>
      </c>
      <c r="L38" s="53">
        <v>1</v>
      </c>
      <c r="N38" s="53">
        <v>1</v>
      </c>
      <c r="O38" s="53">
        <v>0.95</v>
      </c>
      <c r="P38" s="53">
        <v>1.1000000000000001</v>
      </c>
      <c r="Q38" s="74">
        <f t="shared" ref="Q38:Q39" si="4">IF(OR(O38="",P38=""),"",AVERAGE(O38,P38))</f>
        <v>1.0249999999999999</v>
      </c>
      <c r="R38" s="53">
        <v>17.600000000000001</v>
      </c>
      <c r="S38" s="53">
        <v>137</v>
      </c>
      <c r="T38" s="16">
        <f t="shared" si="1"/>
        <v>30</v>
      </c>
      <c r="U38" s="53">
        <v>108</v>
      </c>
      <c r="V38" s="16">
        <f t="shared" si="2"/>
        <v>3240</v>
      </c>
      <c r="W38" s="53">
        <v>2</v>
      </c>
      <c r="X38" s="53" t="s">
        <v>46</v>
      </c>
      <c r="Y38" s="53" t="s">
        <v>55</v>
      </c>
      <c r="Z38" s="53" t="s">
        <v>69</v>
      </c>
      <c r="AA38" s="53" t="s">
        <v>84</v>
      </c>
      <c r="AB38" s="53" t="s">
        <v>258</v>
      </c>
    </row>
    <row r="39" spans="1:28" x14ac:dyDescent="0.15">
      <c r="A39" s="53" t="s">
        <v>34</v>
      </c>
      <c r="B39" s="53" t="s">
        <v>232</v>
      </c>
      <c r="C39" s="53">
        <v>2019</v>
      </c>
      <c r="D39" s="176" t="s">
        <v>168</v>
      </c>
      <c r="E39" s="53" t="s">
        <v>372</v>
      </c>
      <c r="F39" s="53" t="s">
        <v>373</v>
      </c>
      <c r="G39" s="53" t="s">
        <v>36</v>
      </c>
      <c r="H39" s="53" t="s">
        <v>165</v>
      </c>
      <c r="I39" s="53" t="s">
        <v>159</v>
      </c>
      <c r="J39" s="53" t="s">
        <v>38</v>
      </c>
      <c r="K39" s="53" t="s">
        <v>161</v>
      </c>
      <c r="L39" s="53">
        <v>2</v>
      </c>
      <c r="N39" s="53">
        <v>1</v>
      </c>
      <c r="O39" s="53">
        <v>0.85</v>
      </c>
      <c r="P39" s="53">
        <v>1.1000000000000001</v>
      </c>
      <c r="Q39" s="74">
        <f t="shared" si="4"/>
        <v>0.97500000000000009</v>
      </c>
      <c r="R39" s="53">
        <v>17.3</v>
      </c>
      <c r="S39" s="53">
        <v>137</v>
      </c>
      <c r="T39" s="16">
        <f t="shared" si="1"/>
        <v>30</v>
      </c>
      <c r="U39" s="53">
        <v>108</v>
      </c>
      <c r="V39" s="16">
        <f t="shared" si="2"/>
        <v>3240</v>
      </c>
      <c r="W39" s="53">
        <v>2</v>
      </c>
      <c r="X39" s="53" t="s">
        <v>46</v>
      </c>
      <c r="Y39" s="53" t="s">
        <v>55</v>
      </c>
      <c r="Z39" s="53" t="s">
        <v>69</v>
      </c>
      <c r="AA39" s="53" t="s">
        <v>84</v>
      </c>
      <c r="AB39" s="53" t="s">
        <v>258</v>
      </c>
    </row>
    <row r="40" spans="1:28" x14ac:dyDescent="0.15">
      <c r="A40" s="53" t="s">
        <v>34</v>
      </c>
      <c r="B40" s="53" t="s">
        <v>232</v>
      </c>
      <c r="C40" s="53">
        <v>2019</v>
      </c>
      <c r="D40" s="176" t="s">
        <v>168</v>
      </c>
      <c r="E40" s="53" t="s">
        <v>372</v>
      </c>
      <c r="F40" s="53" t="s">
        <v>373</v>
      </c>
      <c r="G40" s="53" t="s">
        <v>36</v>
      </c>
      <c r="H40" s="53" t="s">
        <v>165</v>
      </c>
      <c r="I40" s="53" t="s">
        <v>159</v>
      </c>
      <c r="J40" s="53" t="s">
        <v>38</v>
      </c>
      <c r="K40" s="53" t="s">
        <v>161</v>
      </c>
      <c r="L40" s="53">
        <v>3</v>
      </c>
      <c r="N40" s="53">
        <v>1</v>
      </c>
      <c r="O40" s="53">
        <v>1</v>
      </c>
      <c r="P40" s="53">
        <v>0.95</v>
      </c>
      <c r="Q40" s="74">
        <f>IF(OR(O40="",P40=""),"",AVERAGE(O40,P40))</f>
        <v>0.97499999999999998</v>
      </c>
      <c r="R40" s="53">
        <v>17.2</v>
      </c>
      <c r="S40" s="53">
        <v>137</v>
      </c>
      <c r="T40" s="16">
        <f t="shared" si="1"/>
        <v>30</v>
      </c>
      <c r="U40" s="53">
        <v>108</v>
      </c>
      <c r="V40" s="16">
        <f t="shared" si="2"/>
        <v>3240</v>
      </c>
      <c r="W40" s="53">
        <v>2</v>
      </c>
      <c r="X40" s="53" t="s">
        <v>46</v>
      </c>
      <c r="Y40" s="53" t="s">
        <v>55</v>
      </c>
      <c r="Z40" s="53" t="s">
        <v>69</v>
      </c>
      <c r="AA40" s="53" t="s">
        <v>84</v>
      </c>
      <c r="AB40" s="53" t="s">
        <v>258</v>
      </c>
    </row>
    <row r="41" spans="1:28" x14ac:dyDescent="0.15">
      <c r="A41" s="53" t="s">
        <v>34</v>
      </c>
      <c r="B41" s="53" t="s">
        <v>232</v>
      </c>
      <c r="C41" s="53">
        <v>2019</v>
      </c>
      <c r="D41" s="176" t="s">
        <v>168</v>
      </c>
      <c r="E41" s="53" t="s">
        <v>381</v>
      </c>
      <c r="F41" s="53" t="s">
        <v>382</v>
      </c>
      <c r="G41" s="53" t="s">
        <v>36</v>
      </c>
      <c r="H41" s="53" t="s">
        <v>165</v>
      </c>
      <c r="I41" s="53" t="s">
        <v>159</v>
      </c>
      <c r="J41" s="53" t="s">
        <v>38</v>
      </c>
      <c r="K41" s="53" t="s">
        <v>161</v>
      </c>
      <c r="L41" s="53">
        <v>1</v>
      </c>
      <c r="N41" s="53">
        <v>1</v>
      </c>
      <c r="O41" s="53">
        <v>0.6</v>
      </c>
      <c r="P41" s="53">
        <v>0.65</v>
      </c>
      <c r="Q41" s="74">
        <f t="shared" si="0"/>
        <v>0.625</v>
      </c>
      <c r="R41" s="53">
        <v>17.899999999999999</v>
      </c>
      <c r="S41" s="53">
        <v>123</v>
      </c>
      <c r="T41" s="16">
        <f t="shared" si="1"/>
        <v>30</v>
      </c>
      <c r="U41" s="53">
        <v>138</v>
      </c>
      <c r="V41" s="16">
        <f t="shared" si="2"/>
        <v>4140</v>
      </c>
      <c r="W41" s="53">
        <v>4</v>
      </c>
      <c r="X41" s="53" t="s">
        <v>46</v>
      </c>
      <c r="Y41" s="53" t="s">
        <v>69</v>
      </c>
      <c r="Z41" s="53" t="s">
        <v>47</v>
      </c>
      <c r="AA41" s="53" t="s">
        <v>97</v>
      </c>
      <c r="AB41" s="53" t="s">
        <v>258</v>
      </c>
    </row>
    <row r="42" spans="1:28" x14ac:dyDescent="0.15">
      <c r="A42" s="53" t="s">
        <v>34</v>
      </c>
      <c r="B42" s="53" t="s">
        <v>232</v>
      </c>
      <c r="C42" s="53">
        <v>2019</v>
      </c>
      <c r="D42" s="176" t="s">
        <v>168</v>
      </c>
      <c r="E42" s="53" t="s">
        <v>381</v>
      </c>
      <c r="F42" s="53" t="s">
        <v>382</v>
      </c>
      <c r="G42" s="53" t="s">
        <v>36</v>
      </c>
      <c r="H42" s="53" t="s">
        <v>165</v>
      </c>
      <c r="I42" s="53" t="s">
        <v>159</v>
      </c>
      <c r="J42" s="53" t="s">
        <v>38</v>
      </c>
      <c r="K42" s="53" t="s">
        <v>161</v>
      </c>
      <c r="L42" s="53">
        <v>2</v>
      </c>
      <c r="N42" s="53">
        <v>1</v>
      </c>
      <c r="O42" s="53">
        <v>0.85</v>
      </c>
      <c r="P42" s="53">
        <v>0.8</v>
      </c>
      <c r="Q42" s="74">
        <f t="shared" si="0"/>
        <v>0.82499999999999996</v>
      </c>
      <c r="R42" s="53">
        <v>18.100000000000001</v>
      </c>
      <c r="S42" s="53">
        <v>125</v>
      </c>
      <c r="T42" s="16">
        <f t="shared" si="1"/>
        <v>30</v>
      </c>
      <c r="U42" s="53">
        <v>138</v>
      </c>
      <c r="V42" s="16">
        <f t="shared" si="2"/>
        <v>4140</v>
      </c>
      <c r="W42" s="53">
        <v>4</v>
      </c>
      <c r="X42" s="53" t="s">
        <v>46</v>
      </c>
      <c r="Y42" s="53" t="s">
        <v>69</v>
      </c>
      <c r="Z42" s="53" t="s">
        <v>47</v>
      </c>
      <c r="AA42" s="53" t="s">
        <v>97</v>
      </c>
      <c r="AB42" s="53" t="s">
        <v>258</v>
      </c>
    </row>
    <row r="43" spans="1:28" x14ac:dyDescent="0.15">
      <c r="A43" s="53" t="s">
        <v>34</v>
      </c>
      <c r="B43" s="53" t="s">
        <v>232</v>
      </c>
      <c r="C43" s="53">
        <v>2019</v>
      </c>
      <c r="D43" s="176" t="s">
        <v>168</v>
      </c>
      <c r="E43" s="53" t="s">
        <v>381</v>
      </c>
      <c r="F43" s="53" t="s">
        <v>382</v>
      </c>
      <c r="G43" s="53" t="s">
        <v>36</v>
      </c>
      <c r="H43" s="53" t="s">
        <v>165</v>
      </c>
      <c r="I43" s="53" t="s">
        <v>159</v>
      </c>
      <c r="J43" s="53" t="s">
        <v>38</v>
      </c>
      <c r="K43" s="53" t="s">
        <v>161</v>
      </c>
      <c r="L43" s="53">
        <v>3</v>
      </c>
      <c r="N43" s="53">
        <v>1</v>
      </c>
      <c r="O43" s="53">
        <v>0.75</v>
      </c>
      <c r="P43" s="53">
        <v>0.85</v>
      </c>
      <c r="Q43" s="74">
        <f t="shared" si="0"/>
        <v>0.8</v>
      </c>
      <c r="R43" s="53">
        <v>18</v>
      </c>
      <c r="S43" s="53">
        <v>119</v>
      </c>
      <c r="T43" s="16">
        <f t="shared" si="1"/>
        <v>30</v>
      </c>
      <c r="U43" s="53">
        <v>138</v>
      </c>
      <c r="V43" s="16">
        <f t="shared" si="2"/>
        <v>4140</v>
      </c>
      <c r="W43" s="53">
        <v>4</v>
      </c>
      <c r="X43" s="53" t="s">
        <v>46</v>
      </c>
      <c r="Y43" s="53" t="s">
        <v>69</v>
      </c>
      <c r="Z43" s="53" t="s">
        <v>47</v>
      </c>
      <c r="AA43" s="53" t="s">
        <v>97</v>
      </c>
      <c r="AB43" s="53" t="s">
        <v>258</v>
      </c>
    </row>
    <row r="44" spans="1:28" x14ac:dyDescent="0.15">
      <c r="A44" s="53" t="s">
        <v>34</v>
      </c>
      <c r="B44" s="53" t="s">
        <v>232</v>
      </c>
      <c r="C44" s="53">
        <v>2019</v>
      </c>
      <c r="D44" s="176" t="s">
        <v>168</v>
      </c>
      <c r="E44" s="53" t="s">
        <v>381</v>
      </c>
      <c r="F44" s="53" t="s">
        <v>382</v>
      </c>
      <c r="G44" s="53" t="s">
        <v>36</v>
      </c>
      <c r="H44" s="53" t="s">
        <v>165</v>
      </c>
      <c r="I44" s="53" t="s">
        <v>159</v>
      </c>
      <c r="J44" s="53" t="s">
        <v>38</v>
      </c>
      <c r="K44" s="53" t="s">
        <v>161</v>
      </c>
      <c r="L44" s="53">
        <v>1</v>
      </c>
      <c r="N44" s="53">
        <v>4</v>
      </c>
      <c r="O44" s="53">
        <v>0.2</v>
      </c>
      <c r="P44" s="53">
        <v>0.2</v>
      </c>
      <c r="Q44" s="74">
        <f t="shared" si="0"/>
        <v>0.2</v>
      </c>
      <c r="R44" s="53">
        <v>17.2</v>
      </c>
      <c r="S44" s="53">
        <v>94</v>
      </c>
      <c r="T44" s="16">
        <f t="shared" si="1"/>
        <v>36</v>
      </c>
      <c r="U44" s="53">
        <v>429</v>
      </c>
      <c r="V44" s="16">
        <f t="shared" si="2"/>
        <v>3861</v>
      </c>
      <c r="W44" s="53">
        <v>4</v>
      </c>
      <c r="X44" s="53" t="s">
        <v>46</v>
      </c>
      <c r="Y44" s="53" t="s">
        <v>69</v>
      </c>
      <c r="Z44" s="53" t="s">
        <v>47</v>
      </c>
      <c r="AA44" s="53" t="s">
        <v>97</v>
      </c>
      <c r="AB44" s="53" t="s">
        <v>258</v>
      </c>
    </row>
    <row r="45" spans="1:28" x14ac:dyDescent="0.15">
      <c r="A45" s="53" t="s">
        <v>34</v>
      </c>
      <c r="B45" s="53" t="s">
        <v>232</v>
      </c>
      <c r="C45" s="53">
        <v>2019</v>
      </c>
      <c r="D45" s="176" t="s">
        <v>168</v>
      </c>
      <c r="E45" s="53" t="s">
        <v>381</v>
      </c>
      <c r="F45" s="53" t="s">
        <v>382</v>
      </c>
      <c r="G45" s="53" t="s">
        <v>36</v>
      </c>
      <c r="H45" s="53" t="s">
        <v>165</v>
      </c>
      <c r="I45" s="53" t="s">
        <v>159</v>
      </c>
      <c r="J45" s="53" t="s">
        <v>38</v>
      </c>
      <c r="K45" s="53" t="s">
        <v>161</v>
      </c>
      <c r="L45" s="53">
        <v>2</v>
      </c>
      <c r="N45" s="53">
        <v>4</v>
      </c>
      <c r="O45" s="53">
        <v>0.95</v>
      </c>
      <c r="P45" s="53">
        <v>0.75</v>
      </c>
      <c r="Q45" s="74">
        <f t="shared" si="0"/>
        <v>0.85</v>
      </c>
      <c r="R45" s="53">
        <v>17</v>
      </c>
      <c r="S45" s="53">
        <v>94</v>
      </c>
      <c r="T45" s="16">
        <f t="shared" si="1"/>
        <v>36</v>
      </c>
      <c r="U45" s="53">
        <v>429</v>
      </c>
      <c r="V45" s="16">
        <f t="shared" si="2"/>
        <v>3861</v>
      </c>
      <c r="W45" s="53">
        <v>4</v>
      </c>
      <c r="X45" s="53" t="s">
        <v>46</v>
      </c>
      <c r="Y45" s="53" t="s">
        <v>69</v>
      </c>
      <c r="Z45" s="53" t="s">
        <v>47</v>
      </c>
      <c r="AA45" s="53" t="s">
        <v>97</v>
      </c>
      <c r="AB45" s="53" t="s">
        <v>258</v>
      </c>
    </row>
    <row r="46" spans="1:28" x14ac:dyDescent="0.15">
      <c r="A46" s="53" t="s">
        <v>34</v>
      </c>
      <c r="B46" s="53" t="s">
        <v>232</v>
      </c>
      <c r="C46" s="53">
        <v>2019</v>
      </c>
      <c r="D46" s="176" t="s">
        <v>168</v>
      </c>
      <c r="E46" s="53" t="s">
        <v>381</v>
      </c>
      <c r="F46" s="53" t="s">
        <v>382</v>
      </c>
      <c r="G46" s="53" t="s">
        <v>36</v>
      </c>
      <c r="H46" s="53" t="s">
        <v>165</v>
      </c>
      <c r="I46" s="53" t="s">
        <v>159</v>
      </c>
      <c r="J46" s="53" t="s">
        <v>38</v>
      </c>
      <c r="K46" s="53" t="s">
        <v>161</v>
      </c>
      <c r="L46" s="53">
        <v>3</v>
      </c>
      <c r="N46" s="53">
        <v>4</v>
      </c>
      <c r="O46" s="53">
        <v>0.65</v>
      </c>
      <c r="P46" s="53">
        <v>0.6</v>
      </c>
      <c r="Q46" s="74">
        <f t="shared" si="0"/>
        <v>0.625</v>
      </c>
      <c r="R46" s="53">
        <v>14.5</v>
      </c>
      <c r="S46" s="53">
        <v>84</v>
      </c>
      <c r="T46" s="16">
        <f t="shared" si="1"/>
        <v>36</v>
      </c>
      <c r="U46" s="53">
        <v>429</v>
      </c>
      <c r="V46" s="16">
        <f t="shared" si="2"/>
        <v>3861</v>
      </c>
      <c r="W46" s="53">
        <v>4</v>
      </c>
      <c r="X46" s="53" t="s">
        <v>46</v>
      </c>
      <c r="Y46" s="53" t="s">
        <v>69</v>
      </c>
      <c r="Z46" s="53" t="s">
        <v>47</v>
      </c>
      <c r="AA46" s="53" t="s">
        <v>97</v>
      </c>
      <c r="AB46" s="53" t="s">
        <v>258</v>
      </c>
    </row>
    <row r="47" spans="1:28" x14ac:dyDescent="0.15">
      <c r="A47" s="53" t="s">
        <v>34</v>
      </c>
      <c r="B47" s="53" t="s">
        <v>232</v>
      </c>
      <c r="C47" s="53">
        <v>2019</v>
      </c>
      <c r="D47" s="176" t="s">
        <v>168</v>
      </c>
      <c r="E47" s="53" t="s">
        <v>381</v>
      </c>
      <c r="F47" s="53" t="s">
        <v>382</v>
      </c>
      <c r="G47" s="53" t="s">
        <v>36</v>
      </c>
      <c r="H47" s="53" t="s">
        <v>160</v>
      </c>
      <c r="I47" s="53" t="s">
        <v>159</v>
      </c>
      <c r="J47" s="53" t="s">
        <v>38</v>
      </c>
      <c r="K47" s="53" t="s">
        <v>161</v>
      </c>
      <c r="L47" s="53">
        <v>1</v>
      </c>
      <c r="N47" s="53">
        <v>1</v>
      </c>
      <c r="O47" s="53">
        <v>0.8</v>
      </c>
      <c r="P47" s="53">
        <v>0.85</v>
      </c>
      <c r="Q47" s="74">
        <f t="shared" si="0"/>
        <v>0.82499999999999996</v>
      </c>
      <c r="R47" s="53">
        <v>19</v>
      </c>
      <c r="S47" s="53">
        <v>130</v>
      </c>
      <c r="T47" s="16">
        <f t="shared" si="1"/>
        <v>30</v>
      </c>
      <c r="U47" s="53">
        <v>105</v>
      </c>
      <c r="V47" s="16">
        <f t="shared" si="2"/>
        <v>3150</v>
      </c>
      <c r="W47" s="53">
        <v>7</v>
      </c>
      <c r="X47" s="53" t="s">
        <v>46</v>
      </c>
      <c r="Y47" s="53" t="s">
        <v>69</v>
      </c>
      <c r="Z47" s="53" t="s">
        <v>47</v>
      </c>
      <c r="AA47" s="53" t="s">
        <v>97</v>
      </c>
      <c r="AB47" s="53" t="s">
        <v>258</v>
      </c>
    </row>
    <row r="48" spans="1:28" x14ac:dyDescent="0.15">
      <c r="A48" s="53" t="s">
        <v>34</v>
      </c>
      <c r="B48" s="53" t="s">
        <v>232</v>
      </c>
      <c r="C48" s="53">
        <v>2019</v>
      </c>
      <c r="D48" s="176" t="s">
        <v>168</v>
      </c>
      <c r="E48" s="53" t="s">
        <v>381</v>
      </c>
      <c r="F48" s="53" t="s">
        <v>382</v>
      </c>
      <c r="G48" s="53" t="s">
        <v>36</v>
      </c>
      <c r="H48" s="53" t="s">
        <v>160</v>
      </c>
      <c r="I48" s="53" t="s">
        <v>159</v>
      </c>
      <c r="J48" s="53" t="s">
        <v>38</v>
      </c>
      <c r="K48" s="53" t="s">
        <v>161</v>
      </c>
      <c r="L48" s="53">
        <v>2</v>
      </c>
      <c r="N48" s="53">
        <v>1</v>
      </c>
      <c r="O48" s="53">
        <v>0.8</v>
      </c>
      <c r="P48" s="53">
        <v>0.85</v>
      </c>
      <c r="Q48" s="74">
        <f t="shared" si="0"/>
        <v>0.82499999999999996</v>
      </c>
      <c r="R48" s="53">
        <v>19.5</v>
      </c>
      <c r="S48" s="53">
        <v>136</v>
      </c>
      <c r="T48" s="16">
        <f t="shared" si="1"/>
        <v>30</v>
      </c>
      <c r="U48" s="53">
        <v>105</v>
      </c>
      <c r="V48" s="16">
        <f t="shared" si="2"/>
        <v>3150</v>
      </c>
      <c r="W48" s="53">
        <v>7</v>
      </c>
      <c r="X48" s="53" t="s">
        <v>46</v>
      </c>
      <c r="Y48" s="53" t="s">
        <v>69</v>
      </c>
      <c r="Z48" s="53" t="s">
        <v>47</v>
      </c>
      <c r="AA48" s="53" t="s">
        <v>97</v>
      </c>
      <c r="AB48" s="53" t="s">
        <v>258</v>
      </c>
    </row>
    <row r="49" spans="1:28" x14ac:dyDescent="0.15">
      <c r="A49" s="53" t="s">
        <v>34</v>
      </c>
      <c r="B49" s="53" t="s">
        <v>232</v>
      </c>
      <c r="C49" s="53">
        <v>2019</v>
      </c>
      <c r="D49" s="176" t="s">
        <v>168</v>
      </c>
      <c r="E49" s="53" t="s">
        <v>381</v>
      </c>
      <c r="F49" s="53" t="s">
        <v>382</v>
      </c>
      <c r="G49" s="53" t="s">
        <v>36</v>
      </c>
      <c r="H49" s="53" t="s">
        <v>160</v>
      </c>
      <c r="I49" s="53" t="s">
        <v>159</v>
      </c>
      <c r="J49" s="53" t="s">
        <v>38</v>
      </c>
      <c r="K49" s="53" t="s">
        <v>161</v>
      </c>
      <c r="L49" s="53">
        <v>3</v>
      </c>
      <c r="N49" s="53">
        <v>1</v>
      </c>
      <c r="O49" s="53">
        <v>0.7</v>
      </c>
      <c r="P49" s="53">
        <v>0.7</v>
      </c>
      <c r="Q49" s="74">
        <f t="shared" si="0"/>
        <v>0.7</v>
      </c>
      <c r="R49" s="53">
        <v>19.3</v>
      </c>
      <c r="S49" s="53">
        <v>128</v>
      </c>
      <c r="T49" s="16">
        <f t="shared" si="1"/>
        <v>30</v>
      </c>
      <c r="U49" s="53">
        <v>105</v>
      </c>
      <c r="V49" s="16">
        <f t="shared" si="2"/>
        <v>3150</v>
      </c>
      <c r="W49" s="53">
        <v>7</v>
      </c>
      <c r="X49" s="53" t="s">
        <v>46</v>
      </c>
      <c r="Y49" s="53" t="s">
        <v>69</v>
      </c>
      <c r="Z49" s="53" t="s">
        <v>47</v>
      </c>
      <c r="AA49" s="53" t="s">
        <v>97</v>
      </c>
      <c r="AB49" s="53" t="s">
        <v>258</v>
      </c>
    </row>
    <row r="50" spans="1:28" x14ac:dyDescent="0.15">
      <c r="A50" s="53" t="s">
        <v>34</v>
      </c>
      <c r="B50" s="53" t="s">
        <v>232</v>
      </c>
      <c r="C50" s="53">
        <v>2019</v>
      </c>
      <c r="D50" s="176" t="s">
        <v>168</v>
      </c>
      <c r="E50" s="53" t="s">
        <v>381</v>
      </c>
      <c r="F50" s="53" t="s">
        <v>382</v>
      </c>
      <c r="G50" s="53" t="s">
        <v>36</v>
      </c>
      <c r="H50" s="53" t="s">
        <v>160</v>
      </c>
      <c r="I50" s="53" t="s">
        <v>159</v>
      </c>
      <c r="J50" s="53" t="s">
        <v>38</v>
      </c>
      <c r="K50" s="53" t="s">
        <v>161</v>
      </c>
      <c r="L50" s="53">
        <v>1</v>
      </c>
      <c r="N50" s="53">
        <v>8</v>
      </c>
      <c r="O50" s="53">
        <v>0.7</v>
      </c>
      <c r="P50" s="53">
        <v>0.85</v>
      </c>
      <c r="Q50" s="74">
        <f t="shared" si="0"/>
        <v>0.77499999999999991</v>
      </c>
      <c r="R50" s="53">
        <v>17.3</v>
      </c>
      <c r="S50" s="53">
        <v>96</v>
      </c>
      <c r="T50" s="16">
        <f t="shared" si="1"/>
        <v>36</v>
      </c>
      <c r="U50" s="53">
        <v>861</v>
      </c>
      <c r="V50" s="16">
        <f t="shared" si="2"/>
        <v>3874.5</v>
      </c>
      <c r="W50" s="53">
        <v>7</v>
      </c>
      <c r="X50" s="53" t="s">
        <v>46</v>
      </c>
      <c r="Y50" s="53" t="s">
        <v>69</v>
      </c>
      <c r="Z50" s="53" t="s">
        <v>47</v>
      </c>
      <c r="AA50" s="53" t="s">
        <v>97</v>
      </c>
      <c r="AB50" s="53" t="s">
        <v>258</v>
      </c>
    </row>
    <row r="51" spans="1:28" x14ac:dyDescent="0.15">
      <c r="A51" s="53" t="s">
        <v>34</v>
      </c>
      <c r="B51" s="53" t="s">
        <v>232</v>
      </c>
      <c r="C51" s="53">
        <v>2019</v>
      </c>
      <c r="D51" s="176" t="s">
        <v>168</v>
      </c>
      <c r="E51" s="53" t="s">
        <v>381</v>
      </c>
      <c r="F51" s="53" t="s">
        <v>382</v>
      </c>
      <c r="G51" s="53" t="s">
        <v>36</v>
      </c>
      <c r="H51" s="53" t="s">
        <v>160</v>
      </c>
      <c r="I51" s="53" t="s">
        <v>159</v>
      </c>
      <c r="J51" s="53" t="s">
        <v>38</v>
      </c>
      <c r="K51" s="53" t="s">
        <v>161</v>
      </c>
      <c r="L51" s="53">
        <v>2</v>
      </c>
      <c r="N51" s="53">
        <v>8</v>
      </c>
      <c r="O51" s="53">
        <v>0.9</v>
      </c>
      <c r="P51" s="53">
        <v>0.85</v>
      </c>
      <c r="Q51" s="74">
        <f t="shared" si="0"/>
        <v>0.875</v>
      </c>
      <c r="R51" s="53">
        <v>17.399999999999999</v>
      </c>
      <c r="S51" s="53">
        <v>96</v>
      </c>
      <c r="T51" s="16">
        <f t="shared" si="1"/>
        <v>36</v>
      </c>
      <c r="U51" s="53">
        <v>861</v>
      </c>
      <c r="V51" s="16">
        <f t="shared" si="2"/>
        <v>3874.5</v>
      </c>
      <c r="W51" s="53">
        <v>7</v>
      </c>
      <c r="X51" s="53" t="s">
        <v>46</v>
      </c>
      <c r="Y51" s="53" t="s">
        <v>69</v>
      </c>
      <c r="Z51" s="53" t="s">
        <v>47</v>
      </c>
      <c r="AA51" s="53" t="s">
        <v>97</v>
      </c>
      <c r="AB51" s="53" t="s">
        <v>258</v>
      </c>
    </row>
    <row r="52" spans="1:28" x14ac:dyDescent="0.15">
      <c r="A52" s="53" t="s">
        <v>34</v>
      </c>
      <c r="B52" s="53" t="s">
        <v>232</v>
      </c>
      <c r="C52" s="53">
        <v>2019</v>
      </c>
      <c r="D52" s="176" t="s">
        <v>168</v>
      </c>
      <c r="E52" s="53" t="s">
        <v>381</v>
      </c>
      <c r="F52" s="53" t="s">
        <v>382</v>
      </c>
      <c r="G52" s="53" t="s">
        <v>36</v>
      </c>
      <c r="H52" s="53" t="s">
        <v>160</v>
      </c>
      <c r="I52" s="53" t="s">
        <v>159</v>
      </c>
      <c r="J52" s="53" t="s">
        <v>38</v>
      </c>
      <c r="K52" s="53" t="s">
        <v>161</v>
      </c>
      <c r="L52" s="53">
        <v>3</v>
      </c>
      <c r="N52" s="53">
        <v>8</v>
      </c>
      <c r="O52" s="53">
        <v>0.9</v>
      </c>
      <c r="P52" s="53">
        <v>0.8</v>
      </c>
      <c r="Q52" s="74">
        <f t="shared" si="0"/>
        <v>0.85000000000000009</v>
      </c>
      <c r="R52" s="53">
        <v>17.899999999999999</v>
      </c>
      <c r="S52" s="53">
        <v>107</v>
      </c>
      <c r="T52" s="16">
        <f t="shared" si="1"/>
        <v>33</v>
      </c>
      <c r="U52" s="53">
        <v>861</v>
      </c>
      <c r="V52" s="16">
        <f t="shared" si="2"/>
        <v>3551.625</v>
      </c>
      <c r="W52" s="53">
        <v>7</v>
      </c>
      <c r="X52" s="53" t="s">
        <v>46</v>
      </c>
      <c r="Y52" s="53" t="s">
        <v>69</v>
      </c>
      <c r="Z52" s="53" t="s">
        <v>47</v>
      </c>
      <c r="AA52" s="53" t="s">
        <v>97</v>
      </c>
      <c r="AB52" s="53" t="s">
        <v>258</v>
      </c>
    </row>
    <row r="53" spans="1:28" x14ac:dyDescent="0.15">
      <c r="A53" s="53" t="s">
        <v>34</v>
      </c>
      <c r="B53" s="53" t="s">
        <v>232</v>
      </c>
      <c r="C53" s="53">
        <v>2019</v>
      </c>
      <c r="D53" s="176" t="s">
        <v>168</v>
      </c>
      <c r="E53" s="53" t="s">
        <v>371</v>
      </c>
      <c r="F53" s="53" t="s">
        <v>370</v>
      </c>
      <c r="G53" s="53" t="s">
        <v>36</v>
      </c>
      <c r="H53" s="53" t="s">
        <v>160</v>
      </c>
      <c r="I53" s="53" t="s">
        <v>159</v>
      </c>
      <c r="J53" s="53" t="s">
        <v>38</v>
      </c>
      <c r="K53" s="53" t="s">
        <v>161</v>
      </c>
      <c r="L53" s="53">
        <v>1</v>
      </c>
      <c r="N53" s="53">
        <v>1</v>
      </c>
      <c r="O53" s="53">
        <v>1.3</v>
      </c>
      <c r="P53" s="53">
        <v>1.2</v>
      </c>
      <c r="Q53" s="74">
        <f t="shared" si="0"/>
        <v>1.25</v>
      </c>
      <c r="R53" s="53">
        <v>18.100000000000001</v>
      </c>
      <c r="S53" s="53">
        <v>122</v>
      </c>
      <c r="T53" s="16">
        <f t="shared" si="1"/>
        <v>30</v>
      </c>
      <c r="U53" s="53">
        <v>105</v>
      </c>
      <c r="V53" s="16">
        <f t="shared" si="2"/>
        <v>3150</v>
      </c>
      <c r="W53" s="53">
        <v>7</v>
      </c>
      <c r="X53" s="53" t="s">
        <v>46</v>
      </c>
      <c r="Y53" s="53" t="s">
        <v>55</v>
      </c>
      <c r="Z53" s="53" t="s">
        <v>97</v>
      </c>
      <c r="AA53" s="53" t="s">
        <v>86</v>
      </c>
      <c r="AB53" s="53" t="s">
        <v>258</v>
      </c>
    </row>
    <row r="54" spans="1:28" x14ac:dyDescent="0.15">
      <c r="A54" s="53" t="s">
        <v>34</v>
      </c>
      <c r="B54" s="53" t="s">
        <v>232</v>
      </c>
      <c r="C54" s="53">
        <v>2019</v>
      </c>
      <c r="D54" s="176" t="s">
        <v>168</v>
      </c>
      <c r="E54" s="53" t="s">
        <v>371</v>
      </c>
      <c r="F54" s="53" t="s">
        <v>370</v>
      </c>
      <c r="G54" s="53" t="s">
        <v>36</v>
      </c>
      <c r="H54" s="53" t="s">
        <v>160</v>
      </c>
      <c r="I54" s="53" t="s">
        <v>159</v>
      </c>
      <c r="J54" s="53" t="s">
        <v>38</v>
      </c>
      <c r="K54" s="53" t="s">
        <v>161</v>
      </c>
      <c r="L54" s="53">
        <v>2</v>
      </c>
      <c r="N54" s="53">
        <v>1</v>
      </c>
      <c r="O54" s="53">
        <v>0.7</v>
      </c>
      <c r="P54" s="53">
        <v>0.8</v>
      </c>
      <c r="Q54" s="74">
        <f t="shared" si="0"/>
        <v>0.75</v>
      </c>
      <c r="R54" s="53">
        <v>18</v>
      </c>
      <c r="S54" s="53">
        <v>115</v>
      </c>
      <c r="T54" s="16">
        <f t="shared" si="1"/>
        <v>30</v>
      </c>
      <c r="U54" s="53">
        <v>105</v>
      </c>
      <c r="V54" s="16">
        <f t="shared" si="2"/>
        <v>3150</v>
      </c>
      <c r="W54" s="53">
        <v>7</v>
      </c>
      <c r="X54" s="53" t="s">
        <v>46</v>
      </c>
      <c r="Y54" s="53" t="s">
        <v>55</v>
      </c>
      <c r="Z54" s="53" t="s">
        <v>97</v>
      </c>
      <c r="AA54" s="53" t="s">
        <v>86</v>
      </c>
      <c r="AB54" s="53" t="s">
        <v>258</v>
      </c>
    </row>
    <row r="55" spans="1:28" x14ac:dyDescent="0.15">
      <c r="A55" s="53" t="s">
        <v>34</v>
      </c>
      <c r="B55" s="53" t="s">
        <v>232</v>
      </c>
      <c r="C55" s="53">
        <v>2019</v>
      </c>
      <c r="D55" s="176" t="s">
        <v>168</v>
      </c>
      <c r="E55" s="53" t="s">
        <v>371</v>
      </c>
      <c r="F55" s="53" t="s">
        <v>370</v>
      </c>
      <c r="G55" s="53" t="s">
        <v>36</v>
      </c>
      <c r="H55" s="53" t="s">
        <v>160</v>
      </c>
      <c r="I55" s="53" t="s">
        <v>159</v>
      </c>
      <c r="J55" s="53" t="s">
        <v>38</v>
      </c>
      <c r="K55" s="53" t="s">
        <v>161</v>
      </c>
      <c r="L55" s="53">
        <v>3</v>
      </c>
      <c r="N55" s="53">
        <v>1</v>
      </c>
      <c r="O55" s="53">
        <v>0.65</v>
      </c>
      <c r="P55" s="53">
        <v>0.7</v>
      </c>
      <c r="Q55" s="74">
        <f t="shared" si="0"/>
        <v>0.67500000000000004</v>
      </c>
      <c r="R55" s="53">
        <v>18.399999999999999</v>
      </c>
      <c r="S55" s="53">
        <v>117</v>
      </c>
      <c r="T55" s="16">
        <f t="shared" si="1"/>
        <v>30</v>
      </c>
      <c r="U55" s="53">
        <v>105</v>
      </c>
      <c r="V55" s="16">
        <f t="shared" si="2"/>
        <v>3150</v>
      </c>
      <c r="W55" s="53">
        <v>7</v>
      </c>
      <c r="X55" s="53" t="s">
        <v>46</v>
      </c>
      <c r="Y55" s="53" t="s">
        <v>55</v>
      </c>
      <c r="Z55" s="53" t="s">
        <v>97</v>
      </c>
      <c r="AA55" s="53" t="s">
        <v>86</v>
      </c>
      <c r="AB55" s="53" t="s">
        <v>258</v>
      </c>
    </row>
    <row r="56" spans="1:28" x14ac:dyDescent="0.15">
      <c r="A56" s="53" t="s">
        <v>34</v>
      </c>
      <c r="B56" s="53" t="s">
        <v>232</v>
      </c>
      <c r="C56" s="53">
        <v>2019</v>
      </c>
      <c r="D56" s="176" t="s">
        <v>168</v>
      </c>
      <c r="E56" s="53" t="s">
        <v>371</v>
      </c>
      <c r="F56" s="53" t="s">
        <v>370</v>
      </c>
      <c r="G56" s="53" t="s">
        <v>36</v>
      </c>
      <c r="H56" s="53" t="s">
        <v>160</v>
      </c>
      <c r="I56" s="53" t="s">
        <v>159</v>
      </c>
      <c r="J56" s="53" t="s">
        <v>38</v>
      </c>
      <c r="K56" s="53" t="s">
        <v>161</v>
      </c>
      <c r="L56" s="53">
        <v>1</v>
      </c>
      <c r="N56" s="53">
        <v>4</v>
      </c>
      <c r="O56" s="53">
        <v>0.75</v>
      </c>
      <c r="P56" s="53">
        <v>0.9</v>
      </c>
      <c r="Q56" s="74">
        <f t="shared" si="0"/>
        <v>0.82499999999999996</v>
      </c>
      <c r="R56" s="53">
        <v>18.5</v>
      </c>
      <c r="S56" s="53">
        <v>108</v>
      </c>
      <c r="T56" s="16">
        <f t="shared" si="1"/>
        <v>33</v>
      </c>
      <c r="U56" s="53">
        <v>429</v>
      </c>
      <c r="V56" s="16">
        <f t="shared" si="2"/>
        <v>3539.25</v>
      </c>
      <c r="W56" s="53">
        <v>7</v>
      </c>
      <c r="X56" s="53" t="s">
        <v>46</v>
      </c>
      <c r="Y56" s="53" t="s">
        <v>55</v>
      </c>
      <c r="Z56" s="53" t="s">
        <v>97</v>
      </c>
      <c r="AA56" s="53" t="s">
        <v>86</v>
      </c>
      <c r="AB56" s="53" t="s">
        <v>258</v>
      </c>
    </row>
    <row r="57" spans="1:28" x14ac:dyDescent="0.15">
      <c r="A57" s="53" t="s">
        <v>34</v>
      </c>
      <c r="B57" s="53" t="s">
        <v>232</v>
      </c>
      <c r="C57" s="53">
        <v>2019</v>
      </c>
      <c r="D57" s="176" t="s">
        <v>168</v>
      </c>
      <c r="E57" s="53" t="s">
        <v>371</v>
      </c>
      <c r="F57" s="53" t="s">
        <v>370</v>
      </c>
      <c r="G57" s="53" t="s">
        <v>36</v>
      </c>
      <c r="H57" s="53" t="s">
        <v>160</v>
      </c>
      <c r="I57" s="53" t="s">
        <v>159</v>
      </c>
      <c r="J57" s="53" t="s">
        <v>38</v>
      </c>
      <c r="K57" s="53" t="s">
        <v>161</v>
      </c>
      <c r="L57" s="53">
        <v>2</v>
      </c>
      <c r="N57" s="53">
        <v>4</v>
      </c>
      <c r="O57" s="53">
        <v>0.75</v>
      </c>
      <c r="P57" s="53">
        <v>0.75</v>
      </c>
      <c r="Q57" s="74">
        <f t="shared" si="0"/>
        <v>0.75</v>
      </c>
      <c r="R57" s="53">
        <v>17.600000000000001</v>
      </c>
      <c r="S57" s="53">
        <v>106</v>
      </c>
      <c r="T57" s="16">
        <f t="shared" si="1"/>
        <v>33</v>
      </c>
      <c r="U57" s="53">
        <v>429</v>
      </c>
      <c r="V57" s="16">
        <f t="shared" si="2"/>
        <v>3539.25</v>
      </c>
      <c r="W57" s="53">
        <v>7</v>
      </c>
      <c r="X57" s="53" t="s">
        <v>46</v>
      </c>
      <c r="Y57" s="53" t="s">
        <v>55</v>
      </c>
      <c r="Z57" s="53" t="s">
        <v>97</v>
      </c>
      <c r="AA57" s="53" t="s">
        <v>86</v>
      </c>
      <c r="AB57" s="53" t="s">
        <v>258</v>
      </c>
    </row>
    <row r="58" spans="1:28" x14ac:dyDescent="0.15">
      <c r="A58" s="53" t="s">
        <v>34</v>
      </c>
      <c r="B58" s="53" t="s">
        <v>232</v>
      </c>
      <c r="C58" s="53">
        <v>2019</v>
      </c>
      <c r="D58" s="176" t="s">
        <v>168</v>
      </c>
      <c r="E58" s="53" t="s">
        <v>371</v>
      </c>
      <c r="F58" s="53" t="s">
        <v>370</v>
      </c>
      <c r="G58" s="53" t="s">
        <v>36</v>
      </c>
      <c r="H58" s="53" t="s">
        <v>160</v>
      </c>
      <c r="I58" s="53" t="s">
        <v>159</v>
      </c>
      <c r="J58" s="53" t="s">
        <v>38</v>
      </c>
      <c r="K58" s="53" t="s">
        <v>161</v>
      </c>
      <c r="L58" s="53">
        <v>3</v>
      </c>
      <c r="N58" s="53">
        <v>4</v>
      </c>
      <c r="O58" s="53">
        <v>0.55000000000000004</v>
      </c>
      <c r="P58" s="53">
        <v>0.2</v>
      </c>
      <c r="Q58" s="74">
        <f t="shared" si="0"/>
        <v>0.375</v>
      </c>
      <c r="R58" s="53">
        <v>17.5</v>
      </c>
      <c r="S58" s="53">
        <v>111</v>
      </c>
      <c r="T58" s="16">
        <f t="shared" si="1"/>
        <v>33</v>
      </c>
      <c r="U58" s="53">
        <v>429</v>
      </c>
      <c r="V58" s="16">
        <f t="shared" si="2"/>
        <v>3539.25</v>
      </c>
      <c r="W58" s="53">
        <v>7</v>
      </c>
      <c r="X58" s="53" t="s">
        <v>46</v>
      </c>
      <c r="Y58" s="53" t="s">
        <v>55</v>
      </c>
      <c r="Z58" s="53" t="s">
        <v>97</v>
      </c>
      <c r="AA58" s="53" t="s">
        <v>86</v>
      </c>
      <c r="AB58" s="53" t="s">
        <v>258</v>
      </c>
    </row>
    <row r="59" spans="1:28" x14ac:dyDescent="0.15">
      <c r="A59" s="53" t="s">
        <v>34</v>
      </c>
      <c r="B59" s="53" t="s">
        <v>232</v>
      </c>
      <c r="C59" s="53">
        <v>2019</v>
      </c>
      <c r="D59" s="176" t="s">
        <v>168</v>
      </c>
      <c r="E59" s="53" t="s">
        <v>371</v>
      </c>
      <c r="F59" s="53" t="s">
        <v>370</v>
      </c>
      <c r="G59" s="53" t="s">
        <v>36</v>
      </c>
      <c r="H59" s="53" t="s">
        <v>165</v>
      </c>
      <c r="I59" s="53" t="s">
        <v>159</v>
      </c>
      <c r="J59" s="53" t="s">
        <v>38</v>
      </c>
      <c r="K59" s="53" t="s">
        <v>161</v>
      </c>
      <c r="L59" s="53">
        <v>1</v>
      </c>
      <c r="N59" s="53">
        <v>1</v>
      </c>
      <c r="O59" s="53">
        <v>1.1000000000000001</v>
      </c>
      <c r="P59" s="53">
        <v>1.25</v>
      </c>
      <c r="Q59" s="74">
        <f t="shared" si="0"/>
        <v>1.175</v>
      </c>
      <c r="R59" s="53">
        <v>15.3</v>
      </c>
      <c r="S59" s="53">
        <v>126</v>
      </c>
      <c r="T59" s="16">
        <f t="shared" si="1"/>
        <v>30</v>
      </c>
      <c r="U59" s="53">
        <v>105</v>
      </c>
      <c r="V59" s="16">
        <f t="shared" si="2"/>
        <v>3150</v>
      </c>
      <c r="W59" s="53">
        <v>3</v>
      </c>
      <c r="X59" s="53" t="s">
        <v>46</v>
      </c>
      <c r="Y59" s="53" t="s">
        <v>55</v>
      </c>
      <c r="Z59" s="53" t="s">
        <v>97</v>
      </c>
      <c r="AA59" s="53" t="s">
        <v>86</v>
      </c>
      <c r="AB59" s="53" t="s">
        <v>258</v>
      </c>
    </row>
    <row r="60" spans="1:28" x14ac:dyDescent="0.15">
      <c r="A60" s="53" t="s">
        <v>34</v>
      </c>
      <c r="B60" s="53" t="s">
        <v>232</v>
      </c>
      <c r="C60" s="53">
        <v>2019</v>
      </c>
      <c r="D60" s="176" t="s">
        <v>168</v>
      </c>
      <c r="E60" s="53" t="s">
        <v>371</v>
      </c>
      <c r="F60" s="53" t="s">
        <v>370</v>
      </c>
      <c r="G60" s="53" t="s">
        <v>36</v>
      </c>
      <c r="H60" s="53" t="s">
        <v>165</v>
      </c>
      <c r="I60" s="53" t="s">
        <v>159</v>
      </c>
      <c r="J60" s="53" t="s">
        <v>38</v>
      </c>
      <c r="K60" s="53" t="s">
        <v>161</v>
      </c>
      <c r="L60" s="53">
        <v>2</v>
      </c>
      <c r="N60" s="53">
        <v>1</v>
      </c>
      <c r="O60" s="53">
        <v>1.25</v>
      </c>
      <c r="P60" s="53">
        <v>1</v>
      </c>
      <c r="Q60" s="74">
        <f t="shared" si="0"/>
        <v>1.125</v>
      </c>
      <c r="R60" s="53">
        <v>17.899999999999999</v>
      </c>
      <c r="S60" s="53">
        <v>134</v>
      </c>
      <c r="T60" s="16">
        <f t="shared" si="1"/>
        <v>30</v>
      </c>
      <c r="U60" s="53">
        <v>105</v>
      </c>
      <c r="V60" s="16">
        <f t="shared" si="2"/>
        <v>3150</v>
      </c>
      <c r="W60" s="53">
        <v>3</v>
      </c>
      <c r="X60" s="53" t="s">
        <v>46</v>
      </c>
      <c r="Y60" s="53" t="s">
        <v>55</v>
      </c>
      <c r="Z60" s="53" t="s">
        <v>97</v>
      </c>
      <c r="AA60" s="53" t="s">
        <v>86</v>
      </c>
      <c r="AB60" s="53" t="s">
        <v>258</v>
      </c>
    </row>
    <row r="61" spans="1:28" x14ac:dyDescent="0.15">
      <c r="A61" s="53" t="s">
        <v>34</v>
      </c>
      <c r="B61" s="53" t="s">
        <v>232</v>
      </c>
      <c r="C61" s="53">
        <v>2019</v>
      </c>
      <c r="D61" s="176" t="s">
        <v>168</v>
      </c>
      <c r="E61" s="53" t="s">
        <v>371</v>
      </c>
      <c r="F61" s="53" t="s">
        <v>370</v>
      </c>
      <c r="G61" s="53" t="s">
        <v>36</v>
      </c>
      <c r="H61" s="53" t="s">
        <v>165</v>
      </c>
      <c r="I61" s="53" t="s">
        <v>159</v>
      </c>
      <c r="J61" s="53" t="s">
        <v>38</v>
      </c>
      <c r="K61" s="53" t="s">
        <v>161</v>
      </c>
      <c r="L61" s="53">
        <v>3</v>
      </c>
      <c r="N61" s="53">
        <v>1</v>
      </c>
      <c r="O61" s="53">
        <v>1.1000000000000001</v>
      </c>
      <c r="P61" s="53">
        <v>0.95</v>
      </c>
      <c r="Q61" s="74">
        <f t="shared" si="0"/>
        <v>1.0249999999999999</v>
      </c>
      <c r="R61" s="53">
        <v>17.2</v>
      </c>
      <c r="S61" s="53">
        <v>127</v>
      </c>
      <c r="T61" s="16">
        <f t="shared" si="1"/>
        <v>30</v>
      </c>
      <c r="U61" s="53">
        <v>105</v>
      </c>
      <c r="V61" s="16">
        <f t="shared" si="2"/>
        <v>3150</v>
      </c>
      <c r="W61" s="53">
        <v>3</v>
      </c>
      <c r="X61" s="53" t="s">
        <v>46</v>
      </c>
      <c r="Y61" s="53" t="s">
        <v>55</v>
      </c>
      <c r="Z61" s="53" t="s">
        <v>97</v>
      </c>
      <c r="AA61" s="53" t="s">
        <v>86</v>
      </c>
      <c r="AB61" s="53" t="s">
        <v>258</v>
      </c>
    </row>
    <row r="62" spans="1:28" x14ac:dyDescent="0.15">
      <c r="A62" s="53" t="s">
        <v>34</v>
      </c>
      <c r="B62" s="53" t="s">
        <v>232</v>
      </c>
      <c r="C62" s="53">
        <v>2019</v>
      </c>
      <c r="D62" s="176" t="s">
        <v>168</v>
      </c>
      <c r="E62" s="53" t="s">
        <v>371</v>
      </c>
      <c r="F62" s="53" t="s">
        <v>370</v>
      </c>
      <c r="G62" s="53" t="s">
        <v>36</v>
      </c>
      <c r="H62" s="53" t="s">
        <v>165</v>
      </c>
      <c r="I62" s="53" t="s">
        <v>159</v>
      </c>
      <c r="J62" s="53" t="s">
        <v>38</v>
      </c>
      <c r="K62" s="53" t="s">
        <v>161</v>
      </c>
      <c r="L62" s="53">
        <v>1</v>
      </c>
      <c r="N62" s="53">
        <v>6</v>
      </c>
      <c r="O62" s="53">
        <v>0.9</v>
      </c>
      <c r="P62" s="53">
        <v>1</v>
      </c>
      <c r="Q62" s="74">
        <f t="shared" si="0"/>
        <v>0.95</v>
      </c>
      <c r="R62" s="53">
        <v>16.600000000000001</v>
      </c>
      <c r="S62" s="53">
        <v>97</v>
      </c>
      <c r="T62" s="16">
        <f t="shared" si="1"/>
        <v>36</v>
      </c>
      <c r="U62" s="53">
        <v>429</v>
      </c>
      <c r="V62" s="16">
        <f t="shared" si="2"/>
        <v>2574</v>
      </c>
      <c r="W62" s="53">
        <v>3</v>
      </c>
      <c r="X62" s="53" t="s">
        <v>46</v>
      </c>
      <c r="Y62" s="53" t="s">
        <v>55</v>
      </c>
      <c r="Z62" s="53" t="s">
        <v>97</v>
      </c>
      <c r="AA62" s="53" t="s">
        <v>86</v>
      </c>
      <c r="AB62" s="53" t="s">
        <v>258</v>
      </c>
    </row>
    <row r="63" spans="1:28" x14ac:dyDescent="0.15">
      <c r="A63" s="53" t="s">
        <v>34</v>
      </c>
      <c r="B63" s="53" t="s">
        <v>232</v>
      </c>
      <c r="C63" s="53">
        <v>2019</v>
      </c>
      <c r="D63" s="176" t="s">
        <v>168</v>
      </c>
      <c r="E63" s="53" t="s">
        <v>371</v>
      </c>
      <c r="F63" s="53" t="s">
        <v>370</v>
      </c>
      <c r="G63" s="53" t="s">
        <v>36</v>
      </c>
      <c r="H63" s="53" t="s">
        <v>165</v>
      </c>
      <c r="I63" s="53" t="s">
        <v>159</v>
      </c>
      <c r="J63" s="53" t="s">
        <v>38</v>
      </c>
      <c r="K63" s="53" t="s">
        <v>161</v>
      </c>
      <c r="L63" s="53">
        <v>2</v>
      </c>
      <c r="N63" s="53">
        <v>6</v>
      </c>
      <c r="O63" s="53">
        <v>0.8</v>
      </c>
      <c r="P63" s="53">
        <v>0.75</v>
      </c>
      <c r="Q63" s="74">
        <f t="shared" si="0"/>
        <v>0.77500000000000002</v>
      </c>
      <c r="R63" s="53">
        <v>15.8</v>
      </c>
      <c r="S63" s="53">
        <v>94</v>
      </c>
      <c r="T63" s="16">
        <f t="shared" si="1"/>
        <v>36</v>
      </c>
      <c r="U63" s="53">
        <v>429</v>
      </c>
      <c r="V63" s="16">
        <f t="shared" si="2"/>
        <v>2574</v>
      </c>
      <c r="W63" s="53">
        <v>3</v>
      </c>
      <c r="X63" s="53" t="s">
        <v>46</v>
      </c>
      <c r="Y63" s="53" t="s">
        <v>55</v>
      </c>
      <c r="Z63" s="53" t="s">
        <v>97</v>
      </c>
      <c r="AA63" s="53" t="s">
        <v>86</v>
      </c>
      <c r="AB63" s="53" t="s">
        <v>258</v>
      </c>
    </row>
    <row r="64" spans="1:28" x14ac:dyDescent="0.15">
      <c r="A64" s="53" t="s">
        <v>34</v>
      </c>
      <c r="B64" s="53" t="s">
        <v>232</v>
      </c>
      <c r="C64" s="53">
        <v>2019</v>
      </c>
      <c r="D64" s="176" t="s">
        <v>168</v>
      </c>
      <c r="E64" s="53" t="s">
        <v>371</v>
      </c>
      <c r="F64" s="53" t="s">
        <v>370</v>
      </c>
      <c r="G64" s="53" t="s">
        <v>36</v>
      </c>
      <c r="H64" s="53" t="s">
        <v>165</v>
      </c>
      <c r="I64" s="53" t="s">
        <v>159</v>
      </c>
      <c r="J64" s="53" t="s">
        <v>38</v>
      </c>
      <c r="K64" s="53" t="s">
        <v>161</v>
      </c>
      <c r="L64" s="53">
        <v>3</v>
      </c>
      <c r="N64" s="53">
        <v>6</v>
      </c>
      <c r="O64" s="53">
        <v>1.1499999999999999</v>
      </c>
      <c r="P64" s="53">
        <v>1.05</v>
      </c>
      <c r="Q64" s="74">
        <f t="shared" si="0"/>
        <v>1.1000000000000001</v>
      </c>
      <c r="R64" s="53">
        <v>16.899999999999999</v>
      </c>
      <c r="S64" s="53">
        <v>104</v>
      </c>
      <c r="T64" s="16">
        <f t="shared" si="1"/>
        <v>33</v>
      </c>
      <c r="U64" s="53">
        <v>429</v>
      </c>
      <c r="V64" s="16">
        <f t="shared" si="2"/>
        <v>2359.5</v>
      </c>
      <c r="W64" s="53">
        <v>3</v>
      </c>
      <c r="X64" s="53" t="s">
        <v>46</v>
      </c>
      <c r="Y64" s="53" t="s">
        <v>55</v>
      </c>
      <c r="Z64" s="53" t="s">
        <v>97</v>
      </c>
      <c r="AA64" s="53" t="s">
        <v>86</v>
      </c>
      <c r="AB64" s="53" t="s">
        <v>258</v>
      </c>
    </row>
    <row r="65" spans="1:28" x14ac:dyDescent="0.15">
      <c r="A65" s="53" t="s">
        <v>34</v>
      </c>
      <c r="B65" s="53" t="s">
        <v>232</v>
      </c>
      <c r="C65" s="53">
        <v>2019</v>
      </c>
      <c r="D65" s="176" t="s">
        <v>168</v>
      </c>
      <c r="E65" s="53" t="s">
        <v>360</v>
      </c>
      <c r="F65" s="53" t="s">
        <v>370</v>
      </c>
      <c r="G65" s="53" t="s">
        <v>36</v>
      </c>
      <c r="H65" s="53" t="s">
        <v>160</v>
      </c>
      <c r="I65" s="53" t="s">
        <v>159</v>
      </c>
      <c r="J65" s="53" t="s">
        <v>38</v>
      </c>
      <c r="K65" s="53" t="s">
        <v>161</v>
      </c>
      <c r="L65" s="53">
        <v>1</v>
      </c>
      <c r="N65" s="53">
        <v>1</v>
      </c>
      <c r="O65" s="53">
        <v>0.2</v>
      </c>
      <c r="P65" s="53">
        <v>0.55000000000000004</v>
      </c>
      <c r="Q65" s="74">
        <f t="shared" si="0"/>
        <v>0.375</v>
      </c>
      <c r="R65" s="53">
        <v>20</v>
      </c>
      <c r="S65" s="53">
        <v>153</v>
      </c>
      <c r="T65" s="16">
        <f t="shared" si="1"/>
        <v>18</v>
      </c>
      <c r="U65" s="53">
        <v>101</v>
      </c>
      <c r="V65" s="16">
        <f t="shared" si="2"/>
        <v>1818</v>
      </c>
      <c r="W65" s="53">
        <v>8</v>
      </c>
      <c r="X65" s="53" t="s">
        <v>46</v>
      </c>
      <c r="Y65" s="53" t="s">
        <v>55</v>
      </c>
      <c r="Z65" s="53" t="s">
        <v>69</v>
      </c>
      <c r="AA65" s="53" t="s">
        <v>47</v>
      </c>
      <c r="AB65" s="53" t="s">
        <v>258</v>
      </c>
    </row>
    <row r="66" spans="1:28" x14ac:dyDescent="0.15">
      <c r="A66" s="53" t="s">
        <v>34</v>
      </c>
      <c r="B66" s="53" t="s">
        <v>232</v>
      </c>
      <c r="C66" s="53">
        <v>2019</v>
      </c>
      <c r="D66" s="176" t="s">
        <v>168</v>
      </c>
      <c r="E66" s="53" t="s">
        <v>360</v>
      </c>
      <c r="F66" s="53" t="s">
        <v>370</v>
      </c>
      <c r="G66" s="53" t="s">
        <v>36</v>
      </c>
      <c r="H66" s="53" t="s">
        <v>160</v>
      </c>
      <c r="I66" s="53" t="s">
        <v>159</v>
      </c>
      <c r="J66" s="53" t="s">
        <v>38</v>
      </c>
      <c r="K66" s="53" t="s">
        <v>161</v>
      </c>
      <c r="L66" s="53">
        <v>2</v>
      </c>
      <c r="N66" s="53">
        <v>1</v>
      </c>
      <c r="O66" s="53">
        <v>0.5</v>
      </c>
      <c r="P66" s="53">
        <v>0.65</v>
      </c>
      <c r="Q66" s="74">
        <f t="shared" si="0"/>
        <v>0.57499999999999996</v>
      </c>
      <c r="R66" s="53">
        <v>19.8</v>
      </c>
      <c r="S66" s="53">
        <v>153</v>
      </c>
      <c r="T66" s="16">
        <f t="shared" si="1"/>
        <v>18</v>
      </c>
      <c r="U66" s="53">
        <v>101</v>
      </c>
      <c r="V66" s="16">
        <f t="shared" si="2"/>
        <v>1818</v>
      </c>
      <c r="W66" s="53">
        <v>8</v>
      </c>
      <c r="X66" s="53" t="s">
        <v>46</v>
      </c>
      <c r="Y66" s="53" t="s">
        <v>55</v>
      </c>
      <c r="Z66" s="53" t="s">
        <v>69</v>
      </c>
      <c r="AA66" s="53" t="s">
        <v>47</v>
      </c>
      <c r="AB66" s="53" t="s">
        <v>258</v>
      </c>
    </row>
    <row r="67" spans="1:28" x14ac:dyDescent="0.15">
      <c r="A67" s="53" t="s">
        <v>34</v>
      </c>
      <c r="B67" s="53" t="s">
        <v>232</v>
      </c>
      <c r="C67" s="53">
        <v>2019</v>
      </c>
      <c r="D67" s="176" t="s">
        <v>168</v>
      </c>
      <c r="E67" s="53" t="s">
        <v>360</v>
      </c>
      <c r="F67" s="53" t="s">
        <v>370</v>
      </c>
      <c r="G67" s="53" t="s">
        <v>36</v>
      </c>
      <c r="H67" s="53" t="s">
        <v>160</v>
      </c>
      <c r="I67" s="53" t="s">
        <v>159</v>
      </c>
      <c r="J67" s="53" t="s">
        <v>38</v>
      </c>
      <c r="K67" s="53" t="s">
        <v>161</v>
      </c>
      <c r="L67" s="53">
        <v>3</v>
      </c>
      <c r="N67" s="53">
        <v>1</v>
      </c>
      <c r="O67" s="53">
        <v>0.5</v>
      </c>
      <c r="P67" s="53">
        <v>0.55000000000000004</v>
      </c>
      <c r="Q67" s="74">
        <f t="shared" si="0"/>
        <v>0.52500000000000002</v>
      </c>
      <c r="R67" s="53">
        <v>21.4</v>
      </c>
      <c r="S67" s="53">
        <v>166</v>
      </c>
      <c r="T67" s="16">
        <f t="shared" si="1"/>
        <v>18</v>
      </c>
      <c r="U67" s="53">
        <v>101</v>
      </c>
      <c r="V67" s="16">
        <f t="shared" si="2"/>
        <v>1818</v>
      </c>
      <c r="W67" s="53">
        <v>8</v>
      </c>
      <c r="X67" s="53" t="s">
        <v>46</v>
      </c>
      <c r="Y67" s="53" t="s">
        <v>55</v>
      </c>
      <c r="Z67" s="53" t="s">
        <v>69</v>
      </c>
      <c r="AA67" s="53" t="s">
        <v>47</v>
      </c>
      <c r="AB67" s="53" t="s">
        <v>258</v>
      </c>
    </row>
    <row r="68" spans="1:28" x14ac:dyDescent="0.15">
      <c r="A68" s="53" t="s">
        <v>34</v>
      </c>
      <c r="B68" s="53" t="s">
        <v>232</v>
      </c>
      <c r="C68" s="53">
        <v>2019</v>
      </c>
      <c r="D68" s="176" t="s">
        <v>168</v>
      </c>
      <c r="E68" s="53" t="s">
        <v>360</v>
      </c>
      <c r="F68" s="53" t="s">
        <v>370</v>
      </c>
      <c r="G68" s="53" t="s">
        <v>36</v>
      </c>
      <c r="H68" s="53" t="s">
        <v>160</v>
      </c>
      <c r="I68" s="53" t="s">
        <v>159</v>
      </c>
      <c r="J68" s="53" t="s">
        <v>38</v>
      </c>
      <c r="K68" s="53" t="s">
        <v>161</v>
      </c>
      <c r="L68" s="53">
        <v>1</v>
      </c>
      <c r="N68" s="53">
        <v>5</v>
      </c>
      <c r="O68" s="53">
        <v>0.65</v>
      </c>
      <c r="P68" s="53">
        <v>0.65</v>
      </c>
      <c r="Q68" s="74">
        <f t="shared" si="0"/>
        <v>0.65</v>
      </c>
      <c r="R68" s="53">
        <v>20.8</v>
      </c>
      <c r="S68" s="53">
        <v>159</v>
      </c>
      <c r="T68" s="16">
        <f t="shared" si="1"/>
        <v>18</v>
      </c>
      <c r="U68" s="53">
        <v>507</v>
      </c>
      <c r="V68" s="16">
        <f t="shared" si="2"/>
        <v>1825.2</v>
      </c>
      <c r="W68" s="53">
        <v>8</v>
      </c>
      <c r="X68" s="53" t="s">
        <v>46</v>
      </c>
      <c r="Y68" s="53" t="s">
        <v>55</v>
      </c>
      <c r="Z68" s="53" t="s">
        <v>69</v>
      </c>
      <c r="AA68" s="53" t="s">
        <v>47</v>
      </c>
      <c r="AB68" s="53" t="s">
        <v>258</v>
      </c>
    </row>
    <row r="69" spans="1:28" x14ac:dyDescent="0.15">
      <c r="A69" s="53" t="s">
        <v>34</v>
      </c>
      <c r="B69" s="53" t="s">
        <v>232</v>
      </c>
      <c r="C69" s="53">
        <v>2019</v>
      </c>
      <c r="D69" s="176" t="s">
        <v>168</v>
      </c>
      <c r="E69" s="53" t="s">
        <v>360</v>
      </c>
      <c r="F69" s="53" t="s">
        <v>370</v>
      </c>
      <c r="G69" s="53" t="s">
        <v>36</v>
      </c>
      <c r="H69" s="53" t="s">
        <v>160</v>
      </c>
      <c r="I69" s="53" t="s">
        <v>159</v>
      </c>
      <c r="J69" s="53" t="s">
        <v>38</v>
      </c>
      <c r="K69" s="53" t="s">
        <v>161</v>
      </c>
      <c r="L69" s="53">
        <v>2</v>
      </c>
      <c r="N69" s="53">
        <v>5</v>
      </c>
      <c r="O69" s="53">
        <v>0.9</v>
      </c>
      <c r="P69" s="53">
        <v>0.75</v>
      </c>
      <c r="Q69" s="74">
        <f t="shared" si="0"/>
        <v>0.82499999999999996</v>
      </c>
      <c r="R69" s="53">
        <v>20.7</v>
      </c>
      <c r="S69" s="53">
        <v>158</v>
      </c>
      <c r="T69" s="16">
        <f t="shared" si="1"/>
        <v>18</v>
      </c>
      <c r="U69" s="53">
        <v>507</v>
      </c>
      <c r="V69" s="16">
        <f t="shared" si="2"/>
        <v>1825.2</v>
      </c>
      <c r="W69" s="53">
        <v>8</v>
      </c>
      <c r="X69" s="53" t="s">
        <v>46</v>
      </c>
      <c r="Y69" s="53" t="s">
        <v>55</v>
      </c>
      <c r="Z69" s="53" t="s">
        <v>69</v>
      </c>
      <c r="AA69" s="53" t="s">
        <v>47</v>
      </c>
      <c r="AB69" s="53" t="s">
        <v>258</v>
      </c>
    </row>
    <row r="70" spans="1:28" x14ac:dyDescent="0.15">
      <c r="A70" s="53" t="s">
        <v>34</v>
      </c>
      <c r="B70" s="53" t="s">
        <v>232</v>
      </c>
      <c r="C70" s="53">
        <v>2019</v>
      </c>
      <c r="D70" s="176" t="s">
        <v>168</v>
      </c>
      <c r="E70" s="53" t="s">
        <v>360</v>
      </c>
      <c r="F70" s="53" t="s">
        <v>370</v>
      </c>
      <c r="G70" s="53" t="s">
        <v>36</v>
      </c>
      <c r="H70" s="53" t="s">
        <v>160</v>
      </c>
      <c r="I70" s="53" t="s">
        <v>159</v>
      </c>
      <c r="J70" s="53" t="s">
        <v>38</v>
      </c>
      <c r="K70" s="53" t="s">
        <v>161</v>
      </c>
      <c r="L70" s="53">
        <v>3</v>
      </c>
      <c r="N70" s="53">
        <v>5</v>
      </c>
      <c r="O70" s="53">
        <v>0.7</v>
      </c>
      <c r="P70" s="53">
        <v>0.85</v>
      </c>
      <c r="Q70" s="74">
        <f t="shared" si="0"/>
        <v>0.77499999999999991</v>
      </c>
      <c r="R70" s="53">
        <v>22.4</v>
      </c>
      <c r="S70" s="53">
        <v>164</v>
      </c>
      <c r="T70" s="16">
        <f t="shared" si="1"/>
        <v>18</v>
      </c>
      <c r="U70" s="53">
        <v>507</v>
      </c>
      <c r="V70" s="16">
        <f t="shared" si="2"/>
        <v>1825.2</v>
      </c>
      <c r="W70" s="53">
        <v>8</v>
      </c>
      <c r="X70" s="53" t="s">
        <v>46</v>
      </c>
      <c r="Y70" s="53" t="s">
        <v>55</v>
      </c>
      <c r="Z70" s="53" t="s">
        <v>69</v>
      </c>
      <c r="AA70" s="53" t="s">
        <v>47</v>
      </c>
      <c r="AB70" s="53" t="s">
        <v>258</v>
      </c>
    </row>
    <row r="71" spans="1:28" x14ac:dyDescent="0.15">
      <c r="A71" s="53" t="s">
        <v>34</v>
      </c>
      <c r="B71" s="53" t="s">
        <v>232</v>
      </c>
      <c r="C71" s="53">
        <v>2019</v>
      </c>
      <c r="D71" s="176" t="s">
        <v>168</v>
      </c>
      <c r="E71" s="53" t="s">
        <v>360</v>
      </c>
      <c r="F71" s="53" t="s">
        <v>370</v>
      </c>
      <c r="G71" s="53" t="s">
        <v>36</v>
      </c>
      <c r="H71" s="53" t="s">
        <v>165</v>
      </c>
      <c r="I71" s="53" t="s">
        <v>159</v>
      </c>
      <c r="J71" s="53" t="s">
        <v>38</v>
      </c>
      <c r="K71" s="53" t="s">
        <v>161</v>
      </c>
      <c r="L71" s="53">
        <v>1</v>
      </c>
      <c r="N71" s="53">
        <v>1</v>
      </c>
      <c r="O71" s="53">
        <v>0.6</v>
      </c>
      <c r="P71" s="53">
        <v>0.7</v>
      </c>
      <c r="Q71" s="74">
        <f t="shared" si="0"/>
        <v>0.64999999999999991</v>
      </c>
      <c r="R71" s="53">
        <v>17.8</v>
      </c>
      <c r="S71" s="53">
        <v>112</v>
      </c>
      <c r="T71" s="16">
        <f t="shared" si="1"/>
        <v>33</v>
      </c>
      <c r="U71" s="53">
        <v>85</v>
      </c>
      <c r="V71" s="16">
        <f t="shared" si="2"/>
        <v>2805</v>
      </c>
      <c r="W71" s="53">
        <v>2</v>
      </c>
      <c r="X71" s="53" t="s">
        <v>46</v>
      </c>
      <c r="Y71" s="53" t="s">
        <v>55</v>
      </c>
      <c r="Z71" s="53" t="s">
        <v>69</v>
      </c>
      <c r="AA71" s="53" t="s">
        <v>47</v>
      </c>
      <c r="AB71" s="53" t="s">
        <v>258</v>
      </c>
    </row>
    <row r="72" spans="1:28" x14ac:dyDescent="0.15">
      <c r="A72" s="53" t="s">
        <v>34</v>
      </c>
      <c r="B72" s="53" t="s">
        <v>232</v>
      </c>
      <c r="C72" s="53">
        <v>2019</v>
      </c>
      <c r="D72" s="176" t="s">
        <v>168</v>
      </c>
      <c r="E72" s="53" t="s">
        <v>360</v>
      </c>
      <c r="F72" s="53" t="s">
        <v>370</v>
      </c>
      <c r="G72" s="53" t="s">
        <v>36</v>
      </c>
      <c r="H72" s="53" t="s">
        <v>165</v>
      </c>
      <c r="I72" s="53" t="s">
        <v>159</v>
      </c>
      <c r="J72" s="53" t="s">
        <v>38</v>
      </c>
      <c r="K72" s="53" t="s">
        <v>161</v>
      </c>
      <c r="L72" s="53">
        <v>2</v>
      </c>
      <c r="N72" s="53">
        <v>1</v>
      </c>
      <c r="O72" s="53">
        <v>0.75</v>
      </c>
      <c r="P72" s="53">
        <v>0.85</v>
      </c>
      <c r="Q72" s="74">
        <f t="shared" si="0"/>
        <v>0.8</v>
      </c>
      <c r="R72" s="53">
        <v>17.2</v>
      </c>
      <c r="S72" s="53">
        <v>106</v>
      </c>
      <c r="T72" s="16">
        <f t="shared" si="1"/>
        <v>33</v>
      </c>
      <c r="U72" s="53">
        <v>85</v>
      </c>
      <c r="V72" s="16">
        <f t="shared" si="2"/>
        <v>2805</v>
      </c>
      <c r="W72" s="53">
        <v>2</v>
      </c>
      <c r="X72" s="53" t="s">
        <v>46</v>
      </c>
      <c r="Y72" s="53" t="s">
        <v>55</v>
      </c>
      <c r="Z72" s="53" t="s">
        <v>69</v>
      </c>
      <c r="AA72" s="53" t="s">
        <v>47</v>
      </c>
      <c r="AB72" s="53" t="s">
        <v>258</v>
      </c>
    </row>
    <row r="73" spans="1:28" x14ac:dyDescent="0.15">
      <c r="A73" s="53" t="s">
        <v>34</v>
      </c>
      <c r="B73" s="53" t="s">
        <v>232</v>
      </c>
      <c r="C73" s="53">
        <v>2019</v>
      </c>
      <c r="D73" s="176" t="s">
        <v>168</v>
      </c>
      <c r="E73" s="53" t="s">
        <v>360</v>
      </c>
      <c r="F73" s="53" t="s">
        <v>370</v>
      </c>
      <c r="G73" s="53" t="s">
        <v>36</v>
      </c>
      <c r="H73" s="53" t="s">
        <v>165</v>
      </c>
      <c r="I73" s="53" t="s">
        <v>159</v>
      </c>
      <c r="J73" s="53" t="s">
        <v>38</v>
      </c>
      <c r="K73" s="53" t="s">
        <v>161</v>
      </c>
      <c r="L73" s="53">
        <v>3</v>
      </c>
      <c r="N73" s="53">
        <v>1</v>
      </c>
      <c r="O73" s="53">
        <v>0.75</v>
      </c>
      <c r="P73" s="53">
        <v>0.7</v>
      </c>
      <c r="Q73" s="74">
        <f t="shared" si="0"/>
        <v>0.72499999999999998</v>
      </c>
      <c r="R73" s="53">
        <v>17.399999999999999</v>
      </c>
      <c r="S73" s="53">
        <v>112</v>
      </c>
      <c r="T73" s="16">
        <f t="shared" si="1"/>
        <v>33</v>
      </c>
      <c r="U73" s="53">
        <v>85</v>
      </c>
      <c r="V73" s="16">
        <f t="shared" si="2"/>
        <v>2805</v>
      </c>
      <c r="W73" s="53">
        <v>2</v>
      </c>
      <c r="X73" s="53" t="s">
        <v>46</v>
      </c>
      <c r="Y73" s="53" t="s">
        <v>55</v>
      </c>
      <c r="Z73" s="53" t="s">
        <v>69</v>
      </c>
      <c r="AA73" s="53" t="s">
        <v>47</v>
      </c>
      <c r="AB73" s="53" t="s">
        <v>258</v>
      </c>
    </row>
    <row r="74" spans="1:28" x14ac:dyDescent="0.15">
      <c r="A74" s="53" t="s">
        <v>34</v>
      </c>
      <c r="B74" s="53" t="s">
        <v>232</v>
      </c>
      <c r="C74" s="53">
        <v>2019</v>
      </c>
      <c r="D74" s="176" t="s">
        <v>168</v>
      </c>
      <c r="E74" s="53" t="s">
        <v>360</v>
      </c>
      <c r="F74" s="53" t="s">
        <v>370</v>
      </c>
      <c r="G74" s="53" t="s">
        <v>36</v>
      </c>
      <c r="H74" s="53" t="s">
        <v>128</v>
      </c>
      <c r="I74" s="53" t="s">
        <v>159</v>
      </c>
      <c r="J74" s="53" t="s">
        <v>80</v>
      </c>
      <c r="K74" s="53" t="s">
        <v>45</v>
      </c>
      <c r="L74" s="53">
        <v>1</v>
      </c>
      <c r="N74" s="53">
        <v>4</v>
      </c>
      <c r="O74" s="53">
        <v>0.2</v>
      </c>
      <c r="P74" s="53">
        <v>0.2</v>
      </c>
      <c r="Q74" s="74">
        <f t="shared" si="0"/>
        <v>0.2</v>
      </c>
      <c r="R74" s="53">
        <v>17.399999999999999</v>
      </c>
      <c r="S74" s="53">
        <v>97</v>
      </c>
      <c r="T74" s="16">
        <f t="shared" si="1"/>
        <v>36</v>
      </c>
      <c r="U74" s="53">
        <v>429</v>
      </c>
      <c r="V74" s="16">
        <f t="shared" si="2"/>
        <v>3861</v>
      </c>
      <c r="W74" s="53">
        <v>1</v>
      </c>
      <c r="X74" s="53" t="s">
        <v>46</v>
      </c>
      <c r="Y74" s="53" t="s">
        <v>55</v>
      </c>
      <c r="Z74" s="53" t="s">
        <v>69</v>
      </c>
      <c r="AA74" s="53" t="s">
        <v>47</v>
      </c>
      <c r="AB74" s="53" t="s">
        <v>258</v>
      </c>
    </row>
    <row r="75" spans="1:28" x14ac:dyDescent="0.15">
      <c r="A75" s="53" t="s">
        <v>34</v>
      </c>
      <c r="B75" s="53" t="s">
        <v>232</v>
      </c>
      <c r="C75" s="53">
        <v>2019</v>
      </c>
      <c r="D75" s="176" t="s">
        <v>168</v>
      </c>
      <c r="E75" s="53" t="s">
        <v>360</v>
      </c>
      <c r="F75" s="53" t="s">
        <v>370</v>
      </c>
      <c r="G75" s="53" t="s">
        <v>36</v>
      </c>
      <c r="H75" s="53" t="s">
        <v>128</v>
      </c>
      <c r="I75" s="53" t="s">
        <v>159</v>
      </c>
      <c r="J75" s="53" t="s">
        <v>80</v>
      </c>
      <c r="K75" s="53" t="s">
        <v>45</v>
      </c>
      <c r="L75" s="53">
        <v>2</v>
      </c>
      <c r="N75" s="53">
        <v>4</v>
      </c>
      <c r="O75" s="53">
        <v>0.55000000000000004</v>
      </c>
      <c r="P75" s="53">
        <v>0.2</v>
      </c>
      <c r="Q75" s="74">
        <f t="shared" si="0"/>
        <v>0.375</v>
      </c>
      <c r="R75" s="53">
        <v>19.100000000000001</v>
      </c>
      <c r="S75" s="53">
        <v>105</v>
      </c>
      <c r="T75" s="16">
        <f t="shared" si="1"/>
        <v>33</v>
      </c>
      <c r="U75" s="53">
        <v>429</v>
      </c>
      <c r="V75" s="16">
        <f t="shared" si="2"/>
        <v>3539.25</v>
      </c>
      <c r="W75" s="53">
        <v>1</v>
      </c>
      <c r="X75" s="53" t="s">
        <v>46</v>
      </c>
      <c r="Y75" s="53" t="s">
        <v>55</v>
      </c>
      <c r="Z75" s="53" t="s">
        <v>69</v>
      </c>
      <c r="AA75" s="53" t="s">
        <v>47</v>
      </c>
      <c r="AB75" s="53" t="s">
        <v>258</v>
      </c>
    </row>
    <row r="76" spans="1:28" x14ac:dyDescent="0.15">
      <c r="A76" s="53" t="s">
        <v>34</v>
      </c>
      <c r="B76" s="53" t="s">
        <v>232</v>
      </c>
      <c r="C76" s="53">
        <v>2019</v>
      </c>
      <c r="D76" s="176" t="s">
        <v>168</v>
      </c>
      <c r="E76" s="53" t="s">
        <v>360</v>
      </c>
      <c r="F76" s="53" t="s">
        <v>370</v>
      </c>
      <c r="G76" s="53" t="s">
        <v>36</v>
      </c>
      <c r="H76" s="53" t="s">
        <v>128</v>
      </c>
      <c r="I76" s="53" t="s">
        <v>159</v>
      </c>
      <c r="J76" s="53" t="s">
        <v>80</v>
      </c>
      <c r="K76" s="53" t="s">
        <v>45</v>
      </c>
      <c r="L76" s="53">
        <v>3</v>
      </c>
      <c r="N76" s="53">
        <v>4</v>
      </c>
      <c r="O76" s="53">
        <v>0.6</v>
      </c>
      <c r="P76" s="53">
        <v>0.6</v>
      </c>
      <c r="Q76" s="74">
        <f t="shared" si="0"/>
        <v>0.6</v>
      </c>
      <c r="R76" s="53">
        <v>17.3</v>
      </c>
      <c r="S76" s="53">
        <v>102</v>
      </c>
      <c r="T76" s="16">
        <f t="shared" si="1"/>
        <v>33</v>
      </c>
      <c r="U76" s="53">
        <v>429</v>
      </c>
      <c r="V76" s="16">
        <f t="shared" si="2"/>
        <v>3539.25</v>
      </c>
      <c r="W76" s="53">
        <v>1</v>
      </c>
      <c r="X76" s="53" t="s">
        <v>46</v>
      </c>
      <c r="Y76" s="53" t="s">
        <v>55</v>
      </c>
      <c r="Z76" s="53" t="s">
        <v>69</v>
      </c>
      <c r="AA76" s="53" t="s">
        <v>47</v>
      </c>
      <c r="AB76" s="53" t="s">
        <v>258</v>
      </c>
    </row>
    <row r="77" spans="1:28" x14ac:dyDescent="0.15">
      <c r="A77" s="53" t="s">
        <v>34</v>
      </c>
      <c r="B77" s="53" t="s">
        <v>232</v>
      </c>
      <c r="C77" s="53">
        <v>2019</v>
      </c>
      <c r="D77" s="176" t="s">
        <v>168</v>
      </c>
      <c r="E77" s="53" t="s">
        <v>374</v>
      </c>
      <c r="F77" s="53" t="s">
        <v>375</v>
      </c>
      <c r="G77" s="53" t="s">
        <v>36</v>
      </c>
      <c r="H77" s="53" t="s">
        <v>160</v>
      </c>
      <c r="I77" s="53" t="s">
        <v>159</v>
      </c>
      <c r="J77" s="53" t="s">
        <v>38</v>
      </c>
      <c r="K77" s="53" t="s">
        <v>161</v>
      </c>
      <c r="L77" s="53">
        <v>1</v>
      </c>
      <c r="N77" s="53">
        <v>1</v>
      </c>
      <c r="O77" s="53">
        <v>0.6</v>
      </c>
      <c r="P77" s="53">
        <v>0.65</v>
      </c>
      <c r="Q77" s="74">
        <f t="shared" si="0"/>
        <v>0.625</v>
      </c>
      <c r="R77" s="53">
        <v>18.399999999999999</v>
      </c>
      <c r="S77" s="53">
        <v>132</v>
      </c>
      <c r="T77" s="16">
        <f t="shared" si="1"/>
        <v>30</v>
      </c>
      <c r="U77" s="53">
        <v>149</v>
      </c>
      <c r="V77" s="16">
        <f t="shared" si="2"/>
        <v>4470</v>
      </c>
      <c r="W77" s="53">
        <v>7</v>
      </c>
      <c r="X77" s="53" t="s">
        <v>46</v>
      </c>
      <c r="Y77" s="53" t="s">
        <v>69</v>
      </c>
      <c r="Z77" s="53" t="s">
        <v>55</v>
      </c>
      <c r="AA77" s="53" t="s">
        <v>90</v>
      </c>
      <c r="AB77" s="53" t="s">
        <v>258</v>
      </c>
    </row>
    <row r="78" spans="1:28" x14ac:dyDescent="0.15">
      <c r="A78" s="53" t="s">
        <v>34</v>
      </c>
      <c r="B78" s="53" t="s">
        <v>232</v>
      </c>
      <c r="C78" s="53">
        <v>2019</v>
      </c>
      <c r="D78" s="176" t="s">
        <v>168</v>
      </c>
      <c r="E78" s="53" t="s">
        <v>374</v>
      </c>
      <c r="F78" s="53" t="s">
        <v>375</v>
      </c>
      <c r="G78" s="53" t="s">
        <v>36</v>
      </c>
      <c r="H78" s="53" t="s">
        <v>160</v>
      </c>
      <c r="I78" s="53" t="s">
        <v>159</v>
      </c>
      <c r="J78" s="53" t="s">
        <v>38</v>
      </c>
      <c r="K78" s="53" t="s">
        <v>161</v>
      </c>
      <c r="L78" s="53">
        <v>2</v>
      </c>
      <c r="N78" s="53">
        <v>1</v>
      </c>
      <c r="O78" s="53">
        <v>0.8</v>
      </c>
      <c r="P78" s="53">
        <v>0.7</v>
      </c>
      <c r="Q78" s="74">
        <f t="shared" si="0"/>
        <v>0.75</v>
      </c>
      <c r="R78" s="53">
        <v>17.3</v>
      </c>
      <c r="S78" s="53">
        <v>133</v>
      </c>
      <c r="T78" s="16">
        <f t="shared" si="1"/>
        <v>30</v>
      </c>
      <c r="U78" s="53">
        <v>149</v>
      </c>
      <c r="V78" s="16">
        <f t="shared" si="2"/>
        <v>4470</v>
      </c>
      <c r="W78" s="53">
        <v>7</v>
      </c>
      <c r="X78" s="53" t="s">
        <v>46</v>
      </c>
      <c r="Y78" s="53" t="s">
        <v>69</v>
      </c>
      <c r="Z78" s="53" t="s">
        <v>55</v>
      </c>
      <c r="AA78" s="53" t="s">
        <v>90</v>
      </c>
      <c r="AB78" s="53" t="s">
        <v>258</v>
      </c>
    </row>
    <row r="79" spans="1:28" x14ac:dyDescent="0.15">
      <c r="A79" s="53" t="s">
        <v>34</v>
      </c>
      <c r="B79" s="53" t="s">
        <v>232</v>
      </c>
      <c r="C79" s="53">
        <v>2019</v>
      </c>
      <c r="D79" s="176" t="s">
        <v>168</v>
      </c>
      <c r="E79" s="53" t="s">
        <v>374</v>
      </c>
      <c r="F79" s="53" t="s">
        <v>375</v>
      </c>
      <c r="G79" s="53" t="s">
        <v>36</v>
      </c>
      <c r="H79" s="53" t="s">
        <v>160</v>
      </c>
      <c r="I79" s="53" t="s">
        <v>159</v>
      </c>
      <c r="J79" s="53" t="s">
        <v>38</v>
      </c>
      <c r="K79" s="53" t="s">
        <v>161</v>
      </c>
      <c r="L79" s="53">
        <v>3</v>
      </c>
      <c r="N79" s="53">
        <v>1</v>
      </c>
      <c r="O79" s="53">
        <v>0.75</v>
      </c>
      <c r="P79" s="53">
        <v>0.7</v>
      </c>
      <c r="Q79" s="74">
        <f t="shared" si="0"/>
        <v>0.72499999999999998</v>
      </c>
      <c r="R79" s="53">
        <v>18.399999999999999</v>
      </c>
      <c r="S79" s="53">
        <v>125</v>
      </c>
      <c r="T79" s="16">
        <f t="shared" si="1"/>
        <v>30</v>
      </c>
      <c r="U79" s="53">
        <v>149</v>
      </c>
      <c r="V79" s="16">
        <f t="shared" si="2"/>
        <v>4470</v>
      </c>
      <c r="W79" s="53">
        <v>7</v>
      </c>
      <c r="X79" s="53" t="s">
        <v>46</v>
      </c>
      <c r="Y79" s="53" t="s">
        <v>69</v>
      </c>
      <c r="Z79" s="53" t="s">
        <v>55</v>
      </c>
      <c r="AA79" s="53" t="s">
        <v>90</v>
      </c>
      <c r="AB79" s="53" t="s">
        <v>258</v>
      </c>
    </row>
    <row r="80" spans="1:28" x14ac:dyDescent="0.15">
      <c r="A80" s="53" t="s">
        <v>34</v>
      </c>
      <c r="B80" s="53" t="s">
        <v>232</v>
      </c>
      <c r="C80" s="53">
        <v>2019</v>
      </c>
      <c r="D80" s="176" t="s">
        <v>168</v>
      </c>
      <c r="E80" s="53" t="s">
        <v>374</v>
      </c>
      <c r="F80" s="53" t="s">
        <v>375</v>
      </c>
      <c r="G80" s="53" t="s">
        <v>36</v>
      </c>
      <c r="H80" s="53" t="s">
        <v>160</v>
      </c>
      <c r="I80" s="53" t="s">
        <v>159</v>
      </c>
      <c r="J80" s="53" t="s">
        <v>38</v>
      </c>
      <c r="K80" s="53" t="s">
        <v>161</v>
      </c>
      <c r="L80" s="53">
        <v>1</v>
      </c>
      <c r="N80" s="53">
        <v>8</v>
      </c>
      <c r="O80" s="53">
        <v>0.75</v>
      </c>
      <c r="P80" s="53">
        <v>0.75</v>
      </c>
      <c r="Q80" s="74">
        <f t="shared" si="0"/>
        <v>0.75</v>
      </c>
      <c r="R80" s="53">
        <v>18</v>
      </c>
      <c r="S80" s="53">
        <v>103</v>
      </c>
      <c r="T80" s="16">
        <f t="shared" si="1"/>
        <v>33</v>
      </c>
      <c r="U80" s="53">
        <v>753</v>
      </c>
      <c r="V80" s="16">
        <f t="shared" si="2"/>
        <v>3106.125</v>
      </c>
      <c r="W80" s="53">
        <v>7</v>
      </c>
      <c r="X80" s="53" t="s">
        <v>46</v>
      </c>
      <c r="Y80" s="53" t="s">
        <v>69</v>
      </c>
      <c r="Z80" s="53" t="s">
        <v>55</v>
      </c>
      <c r="AA80" s="53" t="s">
        <v>90</v>
      </c>
      <c r="AB80" s="53" t="s">
        <v>258</v>
      </c>
    </row>
    <row r="81" spans="1:28" x14ac:dyDescent="0.15">
      <c r="A81" s="53" t="s">
        <v>34</v>
      </c>
      <c r="B81" s="53" t="s">
        <v>232</v>
      </c>
      <c r="C81" s="53">
        <v>2019</v>
      </c>
      <c r="D81" s="176" t="s">
        <v>168</v>
      </c>
      <c r="E81" s="53" t="s">
        <v>374</v>
      </c>
      <c r="F81" s="53" t="s">
        <v>375</v>
      </c>
      <c r="G81" s="53" t="s">
        <v>36</v>
      </c>
      <c r="H81" s="53" t="s">
        <v>160</v>
      </c>
      <c r="I81" s="53" t="s">
        <v>159</v>
      </c>
      <c r="J81" s="53" t="s">
        <v>38</v>
      </c>
      <c r="K81" s="53" t="s">
        <v>161</v>
      </c>
      <c r="L81" s="53">
        <v>2</v>
      </c>
      <c r="N81" s="53">
        <v>8</v>
      </c>
      <c r="O81" s="53">
        <v>0.65</v>
      </c>
      <c r="P81" s="53">
        <v>0.6</v>
      </c>
      <c r="Q81" s="74">
        <f t="shared" si="0"/>
        <v>0.625</v>
      </c>
      <c r="R81" s="53">
        <v>18.2</v>
      </c>
      <c r="S81" s="53">
        <v>104</v>
      </c>
      <c r="T81" s="16">
        <f t="shared" si="1"/>
        <v>33</v>
      </c>
      <c r="U81" s="53">
        <v>753</v>
      </c>
      <c r="V81" s="16">
        <f t="shared" si="2"/>
        <v>3106.125</v>
      </c>
      <c r="W81" s="53">
        <v>7</v>
      </c>
      <c r="X81" s="53" t="s">
        <v>46</v>
      </c>
      <c r="Y81" s="53" t="s">
        <v>69</v>
      </c>
      <c r="Z81" s="53" t="s">
        <v>55</v>
      </c>
      <c r="AA81" s="53" t="s">
        <v>90</v>
      </c>
      <c r="AB81" s="53" t="s">
        <v>258</v>
      </c>
    </row>
    <row r="82" spans="1:28" x14ac:dyDescent="0.15">
      <c r="A82" s="53" t="s">
        <v>34</v>
      </c>
      <c r="B82" s="53" t="s">
        <v>232</v>
      </c>
      <c r="C82" s="53">
        <v>2019</v>
      </c>
      <c r="D82" s="176" t="s">
        <v>168</v>
      </c>
      <c r="E82" s="53" t="s">
        <v>374</v>
      </c>
      <c r="F82" s="53" t="s">
        <v>375</v>
      </c>
      <c r="G82" s="53" t="s">
        <v>36</v>
      </c>
      <c r="H82" s="53" t="s">
        <v>160</v>
      </c>
      <c r="I82" s="53" t="s">
        <v>159</v>
      </c>
      <c r="J82" s="53" t="s">
        <v>38</v>
      </c>
      <c r="K82" s="53" t="s">
        <v>161</v>
      </c>
      <c r="L82" s="53">
        <v>3</v>
      </c>
      <c r="N82" s="53">
        <v>8</v>
      </c>
      <c r="O82" s="53">
        <v>0.55000000000000004</v>
      </c>
      <c r="P82" s="53">
        <v>0.45</v>
      </c>
      <c r="Q82" s="74">
        <f t="shared" si="0"/>
        <v>0.5</v>
      </c>
      <c r="R82" s="53">
        <v>19.3</v>
      </c>
      <c r="S82" s="53">
        <v>97</v>
      </c>
      <c r="T82" s="16">
        <f t="shared" si="1"/>
        <v>36</v>
      </c>
      <c r="U82" s="53">
        <v>753</v>
      </c>
      <c r="V82" s="16">
        <f t="shared" si="2"/>
        <v>3388.5</v>
      </c>
      <c r="W82" s="53">
        <v>7</v>
      </c>
      <c r="X82" s="53" t="s">
        <v>46</v>
      </c>
      <c r="Y82" s="53" t="s">
        <v>69</v>
      </c>
      <c r="Z82" s="53" t="s">
        <v>55</v>
      </c>
      <c r="AA82" s="53" t="s">
        <v>90</v>
      </c>
      <c r="AB82" s="53" t="s">
        <v>258</v>
      </c>
    </row>
    <row r="83" spans="1:28" x14ac:dyDescent="0.15">
      <c r="A83" s="53" t="s">
        <v>34</v>
      </c>
      <c r="B83" s="53" t="s">
        <v>232</v>
      </c>
      <c r="C83" s="53">
        <v>2019</v>
      </c>
      <c r="D83" s="176" t="s">
        <v>168</v>
      </c>
      <c r="E83" s="53" t="s">
        <v>374</v>
      </c>
      <c r="F83" s="53" t="s">
        <v>375</v>
      </c>
      <c r="G83" s="53" t="s">
        <v>36</v>
      </c>
      <c r="H83" s="53" t="s">
        <v>160</v>
      </c>
      <c r="I83" s="53" t="s">
        <v>159</v>
      </c>
      <c r="J83" s="53" t="s">
        <v>38</v>
      </c>
      <c r="K83" s="53" t="s">
        <v>161</v>
      </c>
      <c r="L83" s="53">
        <v>1</v>
      </c>
      <c r="N83" s="53">
        <v>4</v>
      </c>
      <c r="O83" s="53">
        <v>0.65</v>
      </c>
      <c r="P83" s="53">
        <v>0.65</v>
      </c>
      <c r="Q83" s="74">
        <f t="shared" ref="Q83:Q115" si="5">IF(OR(O83="",P83=""),"",AVERAGE(O83,P83))</f>
        <v>0.65</v>
      </c>
      <c r="R83" s="53">
        <v>18.7</v>
      </c>
      <c r="S83" s="53">
        <v>115</v>
      </c>
      <c r="T83" s="16">
        <f t="shared" ref="T83:T115" si="6">IF(H83="","",IF(OR(H83="GREEN",H83="GK"),IF(S83&gt;=$AX$2,VLOOKUP(S83,$AX$2:$AY$9,2,1),""),IF(S83&gt;=$AZ$2,VLOOKUP(S83,$AZ$2:$BA$9,2,1),"")))</f>
        <v>30</v>
      </c>
      <c r="U83" s="53">
        <v>429</v>
      </c>
      <c r="V83" s="16">
        <f t="shared" ref="V83:V115" si="7">IF(OR(N83="",U83="",T83=""),"",U83/N83*T83)</f>
        <v>3217.5</v>
      </c>
      <c r="W83" s="53">
        <v>7</v>
      </c>
      <c r="X83" s="53" t="s">
        <v>46</v>
      </c>
      <c r="Y83" s="53" t="s">
        <v>69</v>
      </c>
      <c r="Z83" s="53" t="s">
        <v>55</v>
      </c>
      <c r="AA83" s="53" t="s">
        <v>90</v>
      </c>
      <c r="AB83" s="53" t="s">
        <v>258</v>
      </c>
    </row>
    <row r="84" spans="1:28" x14ac:dyDescent="0.15">
      <c r="A84" s="53" t="s">
        <v>34</v>
      </c>
      <c r="B84" s="53" t="s">
        <v>232</v>
      </c>
      <c r="C84" s="53">
        <v>2019</v>
      </c>
      <c r="D84" s="176" t="s">
        <v>168</v>
      </c>
      <c r="E84" s="53" t="s">
        <v>374</v>
      </c>
      <c r="F84" s="53" t="s">
        <v>375</v>
      </c>
      <c r="G84" s="53" t="s">
        <v>36</v>
      </c>
      <c r="H84" s="53" t="s">
        <v>160</v>
      </c>
      <c r="I84" s="53" t="s">
        <v>159</v>
      </c>
      <c r="J84" s="53" t="s">
        <v>38</v>
      </c>
      <c r="K84" s="53" t="s">
        <v>161</v>
      </c>
      <c r="L84" s="53">
        <v>2</v>
      </c>
      <c r="N84" s="53">
        <v>4</v>
      </c>
      <c r="O84" s="53">
        <v>0.75</v>
      </c>
      <c r="P84" s="53">
        <v>0.75</v>
      </c>
      <c r="Q84" s="74">
        <f t="shared" si="5"/>
        <v>0.75</v>
      </c>
      <c r="R84" s="53">
        <v>17.2</v>
      </c>
      <c r="S84" s="53">
        <v>100</v>
      </c>
      <c r="T84" s="16">
        <f t="shared" si="6"/>
        <v>33</v>
      </c>
      <c r="U84" s="53">
        <v>429</v>
      </c>
      <c r="V84" s="16">
        <f t="shared" si="7"/>
        <v>3539.25</v>
      </c>
      <c r="W84" s="53">
        <v>7</v>
      </c>
      <c r="X84" s="53" t="s">
        <v>46</v>
      </c>
      <c r="Y84" s="53" t="s">
        <v>69</v>
      </c>
      <c r="Z84" s="53" t="s">
        <v>55</v>
      </c>
      <c r="AA84" s="53" t="s">
        <v>90</v>
      </c>
      <c r="AB84" s="53" t="s">
        <v>258</v>
      </c>
    </row>
    <row r="85" spans="1:28" x14ac:dyDescent="0.15">
      <c r="A85" s="53" t="s">
        <v>34</v>
      </c>
      <c r="B85" s="53" t="s">
        <v>232</v>
      </c>
      <c r="C85" s="53">
        <v>2019</v>
      </c>
      <c r="D85" s="176" t="s">
        <v>168</v>
      </c>
      <c r="E85" s="53" t="s">
        <v>374</v>
      </c>
      <c r="F85" s="53" t="s">
        <v>375</v>
      </c>
      <c r="G85" s="53" t="s">
        <v>36</v>
      </c>
      <c r="H85" s="53" t="s">
        <v>160</v>
      </c>
      <c r="I85" s="53" t="s">
        <v>159</v>
      </c>
      <c r="J85" s="53" t="s">
        <v>38</v>
      </c>
      <c r="K85" s="53" t="s">
        <v>161</v>
      </c>
      <c r="L85" s="53">
        <v>3</v>
      </c>
      <c r="N85" s="53">
        <v>4</v>
      </c>
      <c r="O85" s="53">
        <v>0.7</v>
      </c>
      <c r="P85" s="53">
        <v>0.65</v>
      </c>
      <c r="Q85" s="74">
        <f t="shared" si="5"/>
        <v>0.67500000000000004</v>
      </c>
      <c r="R85" s="53">
        <v>19.3</v>
      </c>
      <c r="S85" s="53">
        <v>107</v>
      </c>
      <c r="T85" s="16">
        <f t="shared" si="6"/>
        <v>33</v>
      </c>
      <c r="U85" s="53">
        <v>429</v>
      </c>
      <c r="V85" s="16">
        <f t="shared" si="7"/>
        <v>3539.25</v>
      </c>
      <c r="W85" s="53">
        <v>7</v>
      </c>
      <c r="X85" s="53" t="s">
        <v>46</v>
      </c>
      <c r="Y85" s="53" t="s">
        <v>69</v>
      </c>
      <c r="Z85" s="53" t="s">
        <v>55</v>
      </c>
      <c r="AA85" s="53" t="s">
        <v>90</v>
      </c>
      <c r="AB85" s="53" t="s">
        <v>258</v>
      </c>
    </row>
    <row r="86" spans="1:28" x14ac:dyDescent="0.15">
      <c r="A86" s="53" t="s">
        <v>34</v>
      </c>
      <c r="B86" s="53" t="s">
        <v>232</v>
      </c>
      <c r="C86" s="53">
        <v>2019</v>
      </c>
      <c r="D86" s="176" t="s">
        <v>168</v>
      </c>
      <c r="E86" s="53" t="s">
        <v>374</v>
      </c>
      <c r="F86" s="53" t="s">
        <v>375</v>
      </c>
      <c r="G86" s="53" t="s">
        <v>36</v>
      </c>
      <c r="H86" s="53" t="s">
        <v>165</v>
      </c>
      <c r="I86" s="53" t="s">
        <v>159</v>
      </c>
      <c r="J86" s="53" t="s">
        <v>38</v>
      </c>
      <c r="K86" s="53" t="s">
        <v>161</v>
      </c>
      <c r="L86" s="53">
        <v>1</v>
      </c>
      <c r="N86" s="53">
        <v>1</v>
      </c>
      <c r="O86" s="53">
        <v>1.6</v>
      </c>
      <c r="P86" s="53">
        <v>1.75</v>
      </c>
      <c r="Q86" s="74">
        <f t="shared" si="5"/>
        <v>1.675</v>
      </c>
      <c r="R86" s="53">
        <v>16.7</v>
      </c>
      <c r="S86" s="53">
        <v>137</v>
      </c>
      <c r="T86" s="16">
        <f t="shared" si="6"/>
        <v>30</v>
      </c>
      <c r="U86" s="53">
        <v>127</v>
      </c>
      <c r="V86" s="16">
        <f t="shared" si="7"/>
        <v>3810</v>
      </c>
      <c r="W86" s="53">
        <v>4</v>
      </c>
      <c r="X86" s="53" t="s">
        <v>46</v>
      </c>
      <c r="Y86" s="53" t="s">
        <v>69</v>
      </c>
      <c r="Z86" s="53" t="s">
        <v>55</v>
      </c>
      <c r="AA86" s="53" t="s">
        <v>90</v>
      </c>
      <c r="AB86" s="53" t="s">
        <v>258</v>
      </c>
    </row>
    <row r="87" spans="1:28" x14ac:dyDescent="0.15">
      <c r="A87" s="53" t="s">
        <v>34</v>
      </c>
      <c r="B87" s="53" t="s">
        <v>232</v>
      </c>
      <c r="C87" s="53">
        <v>2019</v>
      </c>
      <c r="D87" s="176" t="s">
        <v>168</v>
      </c>
      <c r="E87" s="53" t="s">
        <v>374</v>
      </c>
      <c r="F87" s="53" t="s">
        <v>375</v>
      </c>
      <c r="G87" s="53" t="s">
        <v>36</v>
      </c>
      <c r="H87" s="53" t="s">
        <v>165</v>
      </c>
      <c r="I87" s="53" t="s">
        <v>159</v>
      </c>
      <c r="J87" s="53" t="s">
        <v>38</v>
      </c>
      <c r="K87" s="53" t="s">
        <v>161</v>
      </c>
      <c r="L87" s="53">
        <v>2</v>
      </c>
      <c r="N87" s="53">
        <v>1</v>
      </c>
      <c r="O87" s="53">
        <v>1.6</v>
      </c>
      <c r="P87" s="53">
        <v>1.8</v>
      </c>
      <c r="Q87" s="74">
        <f t="shared" si="5"/>
        <v>1.7000000000000002</v>
      </c>
      <c r="R87" s="53">
        <v>15.2</v>
      </c>
      <c r="S87" s="53">
        <v>135</v>
      </c>
      <c r="T87" s="16">
        <f t="shared" si="6"/>
        <v>30</v>
      </c>
      <c r="U87" s="53">
        <v>127</v>
      </c>
      <c r="V87" s="16">
        <f t="shared" si="7"/>
        <v>3810</v>
      </c>
      <c r="W87" s="53">
        <v>4</v>
      </c>
      <c r="X87" s="53" t="s">
        <v>46</v>
      </c>
      <c r="Y87" s="53" t="s">
        <v>69</v>
      </c>
      <c r="Z87" s="53" t="s">
        <v>55</v>
      </c>
      <c r="AA87" s="53" t="s">
        <v>90</v>
      </c>
      <c r="AB87" s="53" t="s">
        <v>258</v>
      </c>
    </row>
    <row r="88" spans="1:28" x14ac:dyDescent="0.15">
      <c r="A88" s="53" t="s">
        <v>34</v>
      </c>
      <c r="B88" s="53" t="s">
        <v>232</v>
      </c>
      <c r="C88" s="53">
        <v>2019</v>
      </c>
      <c r="D88" s="176" t="s">
        <v>168</v>
      </c>
      <c r="E88" s="53" t="s">
        <v>374</v>
      </c>
      <c r="F88" s="53" t="s">
        <v>375</v>
      </c>
      <c r="G88" s="53" t="s">
        <v>36</v>
      </c>
      <c r="H88" s="53" t="s">
        <v>165</v>
      </c>
      <c r="I88" s="53" t="s">
        <v>159</v>
      </c>
      <c r="J88" s="53" t="s">
        <v>38</v>
      </c>
      <c r="K88" s="53" t="s">
        <v>161</v>
      </c>
      <c r="L88" s="53">
        <v>3</v>
      </c>
      <c r="N88" s="53">
        <v>1</v>
      </c>
      <c r="O88" s="53">
        <v>1.25</v>
      </c>
      <c r="P88" s="53">
        <v>1.3</v>
      </c>
      <c r="Q88" s="74">
        <f t="shared" si="5"/>
        <v>1.2749999999999999</v>
      </c>
      <c r="R88" s="53">
        <v>15.2</v>
      </c>
      <c r="S88" s="53">
        <v>129</v>
      </c>
      <c r="T88" s="16">
        <f t="shared" si="6"/>
        <v>30</v>
      </c>
      <c r="U88" s="53">
        <v>127</v>
      </c>
      <c r="V88" s="16">
        <f t="shared" si="7"/>
        <v>3810</v>
      </c>
      <c r="W88" s="53">
        <v>4</v>
      </c>
      <c r="X88" s="53" t="s">
        <v>46</v>
      </c>
      <c r="Y88" s="53" t="s">
        <v>69</v>
      </c>
      <c r="Z88" s="53" t="s">
        <v>55</v>
      </c>
      <c r="AA88" s="53" t="s">
        <v>90</v>
      </c>
      <c r="AB88" s="53" t="s">
        <v>258</v>
      </c>
    </row>
    <row r="89" spans="1:28" x14ac:dyDescent="0.15">
      <c r="A89" s="53" t="s">
        <v>34</v>
      </c>
      <c r="B89" s="53" t="s">
        <v>232</v>
      </c>
      <c r="C89" s="53">
        <v>2019</v>
      </c>
      <c r="D89" s="176" t="s">
        <v>168</v>
      </c>
      <c r="E89" s="53" t="s">
        <v>374</v>
      </c>
      <c r="F89" s="53" t="s">
        <v>375</v>
      </c>
      <c r="G89" s="53" t="s">
        <v>36</v>
      </c>
      <c r="H89" s="53" t="s">
        <v>165</v>
      </c>
      <c r="I89" s="53" t="s">
        <v>159</v>
      </c>
      <c r="J89" s="53" t="s">
        <v>38</v>
      </c>
      <c r="K89" s="53" t="s">
        <v>161</v>
      </c>
      <c r="L89" s="53">
        <v>1</v>
      </c>
      <c r="N89" s="53">
        <v>4</v>
      </c>
      <c r="O89" s="53">
        <v>0.7</v>
      </c>
      <c r="P89" s="53">
        <v>0.65</v>
      </c>
      <c r="Q89" s="74">
        <f t="shared" si="5"/>
        <v>0.67500000000000004</v>
      </c>
      <c r="R89" s="53">
        <v>14.3</v>
      </c>
      <c r="S89" s="53">
        <v>91</v>
      </c>
      <c r="T89" s="16">
        <f t="shared" si="6"/>
        <v>36</v>
      </c>
      <c r="U89" s="53">
        <v>321</v>
      </c>
      <c r="V89" s="16">
        <f t="shared" si="7"/>
        <v>2889</v>
      </c>
      <c r="W89" s="53">
        <v>4</v>
      </c>
      <c r="X89" s="53" t="s">
        <v>46</v>
      </c>
      <c r="Y89" s="53" t="s">
        <v>69</v>
      </c>
      <c r="Z89" s="53" t="s">
        <v>55</v>
      </c>
      <c r="AA89" s="53" t="s">
        <v>90</v>
      </c>
      <c r="AB89" s="53" t="s">
        <v>258</v>
      </c>
    </row>
    <row r="90" spans="1:28" x14ac:dyDescent="0.15">
      <c r="A90" s="53" t="s">
        <v>34</v>
      </c>
      <c r="B90" s="53" t="s">
        <v>232</v>
      </c>
      <c r="C90" s="53">
        <v>2019</v>
      </c>
      <c r="D90" s="176" t="s">
        <v>168</v>
      </c>
      <c r="E90" s="53" t="s">
        <v>374</v>
      </c>
      <c r="F90" s="53" t="s">
        <v>375</v>
      </c>
      <c r="G90" s="53" t="s">
        <v>36</v>
      </c>
      <c r="H90" s="53" t="s">
        <v>165</v>
      </c>
      <c r="I90" s="53" t="s">
        <v>159</v>
      </c>
      <c r="J90" s="53" t="s">
        <v>38</v>
      </c>
      <c r="K90" s="53" t="s">
        <v>161</v>
      </c>
      <c r="L90" s="53">
        <v>2</v>
      </c>
      <c r="N90" s="53">
        <v>4</v>
      </c>
      <c r="O90" s="53">
        <v>0.9</v>
      </c>
      <c r="P90" s="53">
        <v>0.85</v>
      </c>
      <c r="Q90" s="74">
        <f t="shared" si="5"/>
        <v>0.875</v>
      </c>
      <c r="R90" s="53">
        <v>13</v>
      </c>
      <c r="S90" s="53">
        <v>89</v>
      </c>
      <c r="T90" s="16">
        <f t="shared" si="6"/>
        <v>36</v>
      </c>
      <c r="U90" s="53">
        <v>321</v>
      </c>
      <c r="V90" s="16">
        <f t="shared" si="7"/>
        <v>2889</v>
      </c>
      <c r="W90" s="53">
        <v>4</v>
      </c>
      <c r="X90" s="53" t="s">
        <v>46</v>
      </c>
      <c r="Y90" s="53" t="s">
        <v>69</v>
      </c>
      <c r="Z90" s="53" t="s">
        <v>55</v>
      </c>
      <c r="AA90" s="53" t="s">
        <v>90</v>
      </c>
      <c r="AB90" s="53" t="s">
        <v>258</v>
      </c>
    </row>
    <row r="91" spans="1:28" x14ac:dyDescent="0.15">
      <c r="A91" s="53" t="s">
        <v>34</v>
      </c>
      <c r="B91" s="53" t="s">
        <v>232</v>
      </c>
      <c r="C91" s="53">
        <v>2019</v>
      </c>
      <c r="D91" s="176" t="s">
        <v>168</v>
      </c>
      <c r="E91" s="53" t="s">
        <v>374</v>
      </c>
      <c r="F91" s="53" t="s">
        <v>375</v>
      </c>
      <c r="G91" s="53" t="s">
        <v>36</v>
      </c>
      <c r="H91" s="53" t="s">
        <v>165</v>
      </c>
      <c r="I91" s="53" t="s">
        <v>159</v>
      </c>
      <c r="J91" s="53" t="s">
        <v>38</v>
      </c>
      <c r="K91" s="53" t="s">
        <v>161</v>
      </c>
      <c r="L91" s="53">
        <v>3</v>
      </c>
      <c r="N91" s="53">
        <v>4</v>
      </c>
      <c r="O91" s="53">
        <v>0.9</v>
      </c>
      <c r="P91" s="53">
        <v>0.95</v>
      </c>
      <c r="Q91" s="74">
        <f t="shared" si="5"/>
        <v>0.92500000000000004</v>
      </c>
      <c r="R91" s="53">
        <v>14.2</v>
      </c>
      <c r="S91" s="53">
        <v>89</v>
      </c>
      <c r="T91" s="16">
        <f t="shared" si="6"/>
        <v>36</v>
      </c>
      <c r="U91" s="53">
        <v>321</v>
      </c>
      <c r="V91" s="16">
        <f t="shared" si="7"/>
        <v>2889</v>
      </c>
      <c r="W91" s="53">
        <v>4</v>
      </c>
      <c r="X91" s="53" t="s">
        <v>46</v>
      </c>
      <c r="Y91" s="53" t="s">
        <v>69</v>
      </c>
      <c r="Z91" s="53" t="s">
        <v>55</v>
      </c>
      <c r="AA91" s="53" t="s">
        <v>90</v>
      </c>
      <c r="AB91" s="53" t="s">
        <v>258</v>
      </c>
    </row>
    <row r="92" spans="1:28" x14ac:dyDescent="0.15">
      <c r="A92" s="53" t="s">
        <v>34</v>
      </c>
      <c r="B92" s="53" t="s">
        <v>232</v>
      </c>
      <c r="C92" s="53">
        <v>2019</v>
      </c>
      <c r="D92" s="176" t="s">
        <v>168</v>
      </c>
      <c r="E92" s="53" t="s">
        <v>376</v>
      </c>
      <c r="F92" s="53" t="s">
        <v>377</v>
      </c>
      <c r="G92" s="53" t="s">
        <v>36</v>
      </c>
      <c r="H92" s="53" t="s">
        <v>160</v>
      </c>
      <c r="I92" s="53" t="s">
        <v>159</v>
      </c>
      <c r="J92" s="53" t="s">
        <v>38</v>
      </c>
      <c r="K92" s="53" t="s">
        <v>161</v>
      </c>
      <c r="L92" s="53">
        <v>1</v>
      </c>
      <c r="N92" s="53">
        <v>1</v>
      </c>
      <c r="O92" s="53">
        <v>0.65</v>
      </c>
      <c r="P92" s="53">
        <v>0.7</v>
      </c>
      <c r="Q92" s="74">
        <f t="shared" si="5"/>
        <v>0.67500000000000004</v>
      </c>
      <c r="R92" s="53">
        <v>18.5</v>
      </c>
      <c r="S92" s="53">
        <v>106</v>
      </c>
      <c r="T92" s="16">
        <f t="shared" si="6"/>
        <v>33</v>
      </c>
      <c r="U92" s="53">
        <v>149</v>
      </c>
      <c r="V92" s="16">
        <f t="shared" si="7"/>
        <v>4917</v>
      </c>
      <c r="W92" s="53">
        <v>5</v>
      </c>
      <c r="X92" s="53" t="s">
        <v>46</v>
      </c>
      <c r="Y92" s="53" t="s">
        <v>55</v>
      </c>
      <c r="Z92" s="53" t="s">
        <v>69</v>
      </c>
      <c r="AA92" s="53" t="s">
        <v>47</v>
      </c>
      <c r="AB92" s="53" t="s">
        <v>258</v>
      </c>
    </row>
    <row r="93" spans="1:28" x14ac:dyDescent="0.15">
      <c r="A93" s="53" t="s">
        <v>34</v>
      </c>
      <c r="B93" s="53" t="s">
        <v>232</v>
      </c>
      <c r="C93" s="53">
        <v>2019</v>
      </c>
      <c r="D93" s="176" t="s">
        <v>168</v>
      </c>
      <c r="E93" s="53" t="s">
        <v>376</v>
      </c>
      <c r="F93" s="53" t="s">
        <v>377</v>
      </c>
      <c r="G93" s="53" t="s">
        <v>36</v>
      </c>
      <c r="H93" s="53" t="s">
        <v>160</v>
      </c>
      <c r="I93" s="53" t="s">
        <v>159</v>
      </c>
      <c r="J93" s="53" t="s">
        <v>38</v>
      </c>
      <c r="K93" s="53" t="s">
        <v>161</v>
      </c>
      <c r="L93" s="53">
        <v>2</v>
      </c>
      <c r="N93" s="53">
        <v>1</v>
      </c>
      <c r="O93" s="53">
        <v>0.65</v>
      </c>
      <c r="P93" s="53">
        <v>0.65</v>
      </c>
      <c r="Q93" s="74">
        <f t="shared" si="5"/>
        <v>0.65</v>
      </c>
      <c r="R93" s="53">
        <v>18.3</v>
      </c>
      <c r="S93" s="53">
        <v>106</v>
      </c>
      <c r="T93" s="16">
        <f t="shared" si="6"/>
        <v>33</v>
      </c>
      <c r="U93" s="53">
        <v>149</v>
      </c>
      <c r="V93" s="16">
        <f t="shared" si="7"/>
        <v>4917</v>
      </c>
      <c r="W93" s="53">
        <v>5</v>
      </c>
      <c r="X93" s="53" t="s">
        <v>46</v>
      </c>
      <c r="Y93" s="53" t="s">
        <v>55</v>
      </c>
      <c r="Z93" s="53" t="s">
        <v>69</v>
      </c>
      <c r="AA93" s="53" t="s">
        <v>47</v>
      </c>
      <c r="AB93" s="53" t="s">
        <v>258</v>
      </c>
    </row>
    <row r="94" spans="1:28" x14ac:dyDescent="0.15">
      <c r="A94" s="53" t="s">
        <v>34</v>
      </c>
      <c r="B94" s="53" t="s">
        <v>232</v>
      </c>
      <c r="C94" s="53">
        <v>2019</v>
      </c>
      <c r="D94" s="176" t="s">
        <v>168</v>
      </c>
      <c r="E94" s="53" t="s">
        <v>376</v>
      </c>
      <c r="F94" s="53" t="s">
        <v>377</v>
      </c>
      <c r="G94" s="53" t="s">
        <v>36</v>
      </c>
      <c r="H94" s="53" t="s">
        <v>160</v>
      </c>
      <c r="I94" s="53" t="s">
        <v>159</v>
      </c>
      <c r="J94" s="53" t="s">
        <v>38</v>
      </c>
      <c r="K94" s="53" t="s">
        <v>161</v>
      </c>
      <c r="L94" s="53">
        <v>3</v>
      </c>
      <c r="N94" s="53">
        <v>1</v>
      </c>
      <c r="O94" s="53">
        <v>0.85</v>
      </c>
      <c r="P94" s="53">
        <v>0.9</v>
      </c>
      <c r="Q94" s="74">
        <f t="shared" si="5"/>
        <v>0.875</v>
      </c>
      <c r="R94" s="53">
        <v>17.8</v>
      </c>
      <c r="S94" s="53">
        <v>109</v>
      </c>
      <c r="T94" s="16">
        <f t="shared" si="6"/>
        <v>33</v>
      </c>
      <c r="U94" s="53">
        <v>149</v>
      </c>
      <c r="V94" s="16">
        <f t="shared" si="7"/>
        <v>4917</v>
      </c>
      <c r="W94" s="53">
        <v>5</v>
      </c>
      <c r="X94" s="53" t="s">
        <v>46</v>
      </c>
      <c r="Y94" s="53" t="s">
        <v>55</v>
      </c>
      <c r="Z94" s="53" t="s">
        <v>69</v>
      </c>
      <c r="AA94" s="53" t="s">
        <v>47</v>
      </c>
      <c r="AB94" s="53" t="s">
        <v>258</v>
      </c>
    </row>
    <row r="95" spans="1:28" x14ac:dyDescent="0.15">
      <c r="A95" s="53" t="s">
        <v>34</v>
      </c>
      <c r="B95" s="53" t="s">
        <v>232</v>
      </c>
      <c r="C95" s="53">
        <v>2019</v>
      </c>
      <c r="D95" s="176" t="s">
        <v>168</v>
      </c>
      <c r="E95" s="53" t="s">
        <v>376</v>
      </c>
      <c r="F95" s="53" t="s">
        <v>377</v>
      </c>
      <c r="G95" s="53" t="s">
        <v>36</v>
      </c>
      <c r="H95" s="53" t="s">
        <v>160</v>
      </c>
      <c r="I95" s="53" t="s">
        <v>159</v>
      </c>
      <c r="J95" s="53" t="s">
        <v>38</v>
      </c>
      <c r="K95" s="53" t="s">
        <v>161</v>
      </c>
      <c r="L95" s="53">
        <v>1</v>
      </c>
      <c r="N95" s="53">
        <v>4</v>
      </c>
      <c r="O95" s="53">
        <v>0.75</v>
      </c>
      <c r="P95" s="53">
        <v>0.75</v>
      </c>
      <c r="Q95" s="74">
        <f t="shared" si="5"/>
        <v>0.75</v>
      </c>
      <c r="R95" s="53">
        <v>18</v>
      </c>
      <c r="S95" s="53">
        <v>110</v>
      </c>
      <c r="T95" s="16">
        <f t="shared" si="6"/>
        <v>33</v>
      </c>
      <c r="U95" s="53">
        <v>537</v>
      </c>
      <c r="V95" s="16">
        <f t="shared" si="7"/>
        <v>4430.25</v>
      </c>
      <c r="W95" s="53">
        <v>5</v>
      </c>
      <c r="X95" s="53" t="s">
        <v>46</v>
      </c>
      <c r="Y95" s="53" t="s">
        <v>55</v>
      </c>
      <c r="Z95" s="53" t="s">
        <v>69</v>
      </c>
      <c r="AA95" s="53" t="s">
        <v>47</v>
      </c>
      <c r="AB95" s="53" t="s">
        <v>258</v>
      </c>
    </row>
    <row r="96" spans="1:28" x14ac:dyDescent="0.15">
      <c r="A96" s="53" t="s">
        <v>34</v>
      </c>
      <c r="B96" s="53" t="s">
        <v>232</v>
      </c>
      <c r="C96" s="53">
        <v>2019</v>
      </c>
      <c r="D96" s="176" t="s">
        <v>168</v>
      </c>
      <c r="E96" s="53" t="s">
        <v>376</v>
      </c>
      <c r="F96" s="53" t="s">
        <v>377</v>
      </c>
      <c r="G96" s="53" t="s">
        <v>36</v>
      </c>
      <c r="H96" s="53" t="s">
        <v>160</v>
      </c>
      <c r="I96" s="53" t="s">
        <v>159</v>
      </c>
      <c r="J96" s="53" t="s">
        <v>38</v>
      </c>
      <c r="K96" s="53" t="s">
        <v>161</v>
      </c>
      <c r="L96" s="53">
        <v>2</v>
      </c>
      <c r="N96" s="53">
        <v>4</v>
      </c>
      <c r="O96" s="53">
        <v>0.55000000000000004</v>
      </c>
      <c r="P96" s="53">
        <v>0.6</v>
      </c>
      <c r="Q96" s="74">
        <f t="shared" si="5"/>
        <v>0.57499999999999996</v>
      </c>
      <c r="R96" s="53">
        <v>20</v>
      </c>
      <c r="S96" s="53">
        <v>111</v>
      </c>
      <c r="T96" s="16">
        <f t="shared" si="6"/>
        <v>33</v>
      </c>
      <c r="U96" s="53">
        <v>537</v>
      </c>
      <c r="V96" s="16">
        <f t="shared" si="7"/>
        <v>4430.25</v>
      </c>
      <c r="W96" s="53">
        <v>5</v>
      </c>
      <c r="X96" s="53" t="s">
        <v>46</v>
      </c>
      <c r="Y96" s="53" t="s">
        <v>55</v>
      </c>
      <c r="Z96" s="53" t="s">
        <v>69</v>
      </c>
      <c r="AA96" s="53" t="s">
        <v>47</v>
      </c>
      <c r="AB96" s="53" t="s">
        <v>258</v>
      </c>
    </row>
    <row r="97" spans="1:28" x14ac:dyDescent="0.15">
      <c r="A97" s="53" t="s">
        <v>34</v>
      </c>
      <c r="B97" s="53" t="s">
        <v>232</v>
      </c>
      <c r="C97" s="53">
        <v>2019</v>
      </c>
      <c r="D97" s="176" t="s">
        <v>168</v>
      </c>
      <c r="E97" s="53" t="s">
        <v>376</v>
      </c>
      <c r="F97" s="53" t="s">
        <v>377</v>
      </c>
      <c r="G97" s="53" t="s">
        <v>36</v>
      </c>
      <c r="H97" s="53" t="s">
        <v>160</v>
      </c>
      <c r="I97" s="53" t="s">
        <v>159</v>
      </c>
      <c r="J97" s="53" t="s">
        <v>38</v>
      </c>
      <c r="K97" s="53" t="s">
        <v>161</v>
      </c>
      <c r="L97" s="53">
        <v>3</v>
      </c>
      <c r="N97" s="53">
        <v>4</v>
      </c>
      <c r="O97" s="53">
        <v>0.55000000000000004</v>
      </c>
      <c r="P97" s="53">
        <v>0.6</v>
      </c>
      <c r="Q97" s="74">
        <f t="shared" si="5"/>
        <v>0.57499999999999996</v>
      </c>
      <c r="R97" s="53">
        <v>19.100000000000001</v>
      </c>
      <c r="S97" s="53">
        <v>109</v>
      </c>
      <c r="T97" s="16">
        <f t="shared" si="6"/>
        <v>33</v>
      </c>
      <c r="U97" s="53">
        <v>537</v>
      </c>
      <c r="V97" s="16">
        <f t="shared" si="7"/>
        <v>4430.25</v>
      </c>
      <c r="W97" s="53">
        <v>5</v>
      </c>
      <c r="X97" s="53" t="s">
        <v>46</v>
      </c>
      <c r="Y97" s="53" t="s">
        <v>55</v>
      </c>
      <c r="Z97" s="53" t="s">
        <v>69</v>
      </c>
      <c r="AA97" s="53" t="s">
        <v>47</v>
      </c>
      <c r="AB97" s="53" t="s">
        <v>258</v>
      </c>
    </row>
    <row r="98" spans="1:28" x14ac:dyDescent="0.15">
      <c r="A98" s="53" t="s">
        <v>34</v>
      </c>
      <c r="B98" s="53" t="s">
        <v>232</v>
      </c>
      <c r="C98" s="53">
        <v>2019</v>
      </c>
      <c r="D98" s="176" t="s">
        <v>168</v>
      </c>
      <c r="E98" s="53" t="s">
        <v>376</v>
      </c>
      <c r="F98" s="53" t="s">
        <v>377</v>
      </c>
      <c r="G98" s="53" t="s">
        <v>36</v>
      </c>
      <c r="H98" s="53" t="s">
        <v>165</v>
      </c>
      <c r="I98" s="53" t="s">
        <v>159</v>
      </c>
      <c r="J98" s="53" t="s">
        <v>38</v>
      </c>
      <c r="K98" s="53" t="s">
        <v>161</v>
      </c>
      <c r="L98" s="53">
        <v>1</v>
      </c>
      <c r="N98" s="53">
        <v>1</v>
      </c>
      <c r="O98" s="53">
        <v>0.65</v>
      </c>
      <c r="P98" s="53">
        <v>0.75</v>
      </c>
      <c r="Q98" s="74">
        <f t="shared" si="5"/>
        <v>0.7</v>
      </c>
      <c r="R98" s="53">
        <v>17.8</v>
      </c>
      <c r="S98" s="53">
        <v>111</v>
      </c>
      <c r="T98" s="16">
        <f t="shared" si="6"/>
        <v>33</v>
      </c>
      <c r="U98" s="53">
        <v>101</v>
      </c>
      <c r="V98" s="16">
        <f t="shared" si="7"/>
        <v>3333</v>
      </c>
      <c r="W98" s="53">
        <v>8</v>
      </c>
      <c r="X98" s="53" t="s">
        <v>46</v>
      </c>
      <c r="Y98" s="53" t="s">
        <v>55</v>
      </c>
      <c r="Z98" s="53" t="s">
        <v>69</v>
      </c>
      <c r="AA98" s="53" t="s">
        <v>47</v>
      </c>
      <c r="AB98" s="53" t="s">
        <v>258</v>
      </c>
    </row>
    <row r="99" spans="1:28" x14ac:dyDescent="0.15">
      <c r="A99" s="53" t="s">
        <v>34</v>
      </c>
      <c r="B99" s="53" t="s">
        <v>232</v>
      </c>
      <c r="C99" s="53">
        <v>2019</v>
      </c>
      <c r="D99" s="176" t="s">
        <v>168</v>
      </c>
      <c r="E99" s="53" t="s">
        <v>376</v>
      </c>
      <c r="F99" s="53" t="s">
        <v>377</v>
      </c>
      <c r="G99" s="53" t="s">
        <v>36</v>
      </c>
      <c r="H99" s="53" t="s">
        <v>165</v>
      </c>
      <c r="I99" s="53" t="s">
        <v>159</v>
      </c>
      <c r="J99" s="53" t="s">
        <v>38</v>
      </c>
      <c r="K99" s="53" t="s">
        <v>161</v>
      </c>
      <c r="L99" s="53">
        <v>2</v>
      </c>
      <c r="N99" s="53">
        <v>1</v>
      </c>
      <c r="O99" s="53">
        <v>0.2</v>
      </c>
      <c r="P99" s="53">
        <v>0.5</v>
      </c>
      <c r="Q99" s="74">
        <f t="shared" si="5"/>
        <v>0.35</v>
      </c>
      <c r="R99" s="53">
        <v>17.2</v>
      </c>
      <c r="S99" s="53">
        <v>110</v>
      </c>
      <c r="T99" s="16">
        <f t="shared" si="6"/>
        <v>33</v>
      </c>
      <c r="U99" s="53">
        <v>101</v>
      </c>
      <c r="V99" s="16">
        <f t="shared" si="7"/>
        <v>3333</v>
      </c>
      <c r="W99" s="53">
        <v>8</v>
      </c>
      <c r="X99" s="53" t="s">
        <v>46</v>
      </c>
      <c r="Y99" s="53" t="s">
        <v>55</v>
      </c>
      <c r="Z99" s="53" t="s">
        <v>69</v>
      </c>
      <c r="AA99" s="53" t="s">
        <v>47</v>
      </c>
      <c r="AB99" s="53" t="s">
        <v>258</v>
      </c>
    </row>
    <row r="100" spans="1:28" x14ac:dyDescent="0.15">
      <c r="A100" s="53" t="s">
        <v>34</v>
      </c>
      <c r="B100" s="53" t="s">
        <v>232</v>
      </c>
      <c r="C100" s="53">
        <v>2019</v>
      </c>
      <c r="D100" s="176" t="s">
        <v>168</v>
      </c>
      <c r="E100" s="53" t="s">
        <v>376</v>
      </c>
      <c r="F100" s="53" t="s">
        <v>377</v>
      </c>
      <c r="G100" s="53" t="s">
        <v>36</v>
      </c>
      <c r="H100" s="53" t="s">
        <v>165</v>
      </c>
      <c r="I100" s="53" t="s">
        <v>159</v>
      </c>
      <c r="J100" s="53" t="s">
        <v>38</v>
      </c>
      <c r="K100" s="53" t="s">
        <v>161</v>
      </c>
      <c r="L100" s="53">
        <v>3</v>
      </c>
      <c r="N100" s="53">
        <v>1</v>
      </c>
      <c r="O100" s="53">
        <v>0.65</v>
      </c>
      <c r="P100" s="53">
        <v>0.7</v>
      </c>
      <c r="Q100" s="74">
        <f t="shared" si="5"/>
        <v>0.67500000000000004</v>
      </c>
      <c r="R100" s="53">
        <v>17.3</v>
      </c>
      <c r="S100" s="53">
        <v>115</v>
      </c>
      <c r="T100" s="16">
        <f t="shared" si="6"/>
        <v>30</v>
      </c>
      <c r="U100" s="53">
        <v>101</v>
      </c>
      <c r="V100" s="16">
        <f t="shared" si="7"/>
        <v>3030</v>
      </c>
      <c r="W100" s="53">
        <v>8</v>
      </c>
      <c r="X100" s="53" t="s">
        <v>46</v>
      </c>
      <c r="Y100" s="53" t="s">
        <v>55</v>
      </c>
      <c r="Z100" s="53" t="s">
        <v>69</v>
      </c>
      <c r="AA100" s="53" t="s">
        <v>47</v>
      </c>
      <c r="AB100" s="53" t="s">
        <v>258</v>
      </c>
    </row>
    <row r="101" spans="1:28" x14ac:dyDescent="0.15">
      <c r="A101" s="53" t="s">
        <v>34</v>
      </c>
      <c r="B101" s="53" t="s">
        <v>232</v>
      </c>
      <c r="C101" s="53">
        <v>2019</v>
      </c>
      <c r="D101" s="176" t="s">
        <v>168</v>
      </c>
      <c r="E101" s="53" t="s">
        <v>376</v>
      </c>
      <c r="F101" s="53" t="s">
        <v>377</v>
      </c>
      <c r="G101" s="53" t="s">
        <v>36</v>
      </c>
      <c r="H101" s="53" t="s">
        <v>165</v>
      </c>
      <c r="I101" s="53" t="s">
        <v>159</v>
      </c>
      <c r="J101" s="53" t="s">
        <v>38</v>
      </c>
      <c r="K101" s="53" t="s">
        <v>161</v>
      </c>
      <c r="L101" s="53">
        <v>1</v>
      </c>
      <c r="N101" s="53">
        <v>5</v>
      </c>
      <c r="O101" s="53">
        <v>1.1000000000000001</v>
      </c>
      <c r="P101" s="53">
        <v>0.95</v>
      </c>
      <c r="Q101" s="74">
        <f t="shared" si="5"/>
        <v>1.0249999999999999</v>
      </c>
      <c r="R101" s="53">
        <v>14.4</v>
      </c>
      <c r="S101" s="53">
        <v>93</v>
      </c>
      <c r="T101" s="16">
        <f t="shared" si="6"/>
        <v>36</v>
      </c>
      <c r="U101" s="53">
        <v>321</v>
      </c>
      <c r="V101" s="16">
        <f t="shared" si="7"/>
        <v>2311.2000000000003</v>
      </c>
      <c r="W101" s="53">
        <v>8</v>
      </c>
      <c r="X101" s="53" t="s">
        <v>46</v>
      </c>
      <c r="Y101" s="53" t="s">
        <v>55</v>
      </c>
      <c r="Z101" s="53" t="s">
        <v>69</v>
      </c>
      <c r="AA101" s="53" t="s">
        <v>47</v>
      </c>
      <c r="AB101" s="53" t="s">
        <v>258</v>
      </c>
    </row>
    <row r="102" spans="1:28" x14ac:dyDescent="0.15">
      <c r="A102" s="53" t="s">
        <v>34</v>
      </c>
      <c r="B102" s="53" t="s">
        <v>232</v>
      </c>
      <c r="C102" s="53">
        <v>2019</v>
      </c>
      <c r="D102" s="176" t="s">
        <v>168</v>
      </c>
      <c r="E102" s="53" t="s">
        <v>376</v>
      </c>
      <c r="F102" s="53" t="s">
        <v>377</v>
      </c>
      <c r="G102" s="53" t="s">
        <v>36</v>
      </c>
      <c r="H102" s="53" t="s">
        <v>165</v>
      </c>
      <c r="I102" s="53" t="s">
        <v>159</v>
      </c>
      <c r="J102" s="53" t="s">
        <v>38</v>
      </c>
      <c r="K102" s="53" t="s">
        <v>161</v>
      </c>
      <c r="L102" s="53">
        <v>2</v>
      </c>
      <c r="N102" s="53">
        <v>5</v>
      </c>
      <c r="O102" s="53">
        <v>0.8</v>
      </c>
      <c r="P102" s="53">
        <v>0.8</v>
      </c>
      <c r="Q102" s="74">
        <f t="shared" si="5"/>
        <v>0.8</v>
      </c>
      <c r="R102" s="53">
        <v>15.2</v>
      </c>
      <c r="S102" s="53">
        <v>83</v>
      </c>
      <c r="T102" s="16">
        <f t="shared" si="6"/>
        <v>39</v>
      </c>
      <c r="U102" s="53">
        <v>321</v>
      </c>
      <c r="V102" s="16">
        <f t="shared" si="7"/>
        <v>2503.8000000000002</v>
      </c>
      <c r="W102" s="53">
        <v>8</v>
      </c>
      <c r="X102" s="53" t="s">
        <v>46</v>
      </c>
      <c r="Y102" s="53" t="s">
        <v>55</v>
      </c>
      <c r="Z102" s="53" t="s">
        <v>69</v>
      </c>
      <c r="AA102" s="53" t="s">
        <v>47</v>
      </c>
      <c r="AB102" s="53" t="s">
        <v>258</v>
      </c>
    </row>
    <row r="103" spans="1:28" x14ac:dyDescent="0.15">
      <c r="A103" s="53" t="s">
        <v>34</v>
      </c>
      <c r="B103" s="53" t="s">
        <v>232</v>
      </c>
      <c r="C103" s="53">
        <v>2019</v>
      </c>
      <c r="D103" s="176" t="s">
        <v>168</v>
      </c>
      <c r="E103" s="53" t="s">
        <v>376</v>
      </c>
      <c r="F103" s="53" t="s">
        <v>377</v>
      </c>
      <c r="G103" s="53" t="s">
        <v>36</v>
      </c>
      <c r="H103" s="53" t="s">
        <v>165</v>
      </c>
      <c r="I103" s="53" t="s">
        <v>159</v>
      </c>
      <c r="J103" s="53" t="s">
        <v>38</v>
      </c>
      <c r="K103" s="53" t="s">
        <v>161</v>
      </c>
      <c r="L103" s="53">
        <v>3</v>
      </c>
      <c r="N103" s="53">
        <v>5</v>
      </c>
      <c r="O103" s="53">
        <v>0.75</v>
      </c>
      <c r="P103" s="53">
        <v>0.9</v>
      </c>
      <c r="Q103" s="74">
        <f t="shared" si="5"/>
        <v>0.82499999999999996</v>
      </c>
      <c r="R103" s="53">
        <v>16.8</v>
      </c>
      <c r="S103" s="53">
        <v>88</v>
      </c>
      <c r="T103" s="16">
        <f t="shared" si="6"/>
        <v>36</v>
      </c>
      <c r="U103" s="53">
        <v>321</v>
      </c>
      <c r="V103" s="16">
        <f t="shared" si="7"/>
        <v>2311.2000000000003</v>
      </c>
      <c r="W103" s="53">
        <v>8</v>
      </c>
      <c r="X103" s="53" t="s">
        <v>46</v>
      </c>
      <c r="Y103" s="53" t="s">
        <v>55</v>
      </c>
      <c r="Z103" s="53" t="s">
        <v>69</v>
      </c>
      <c r="AA103" s="53" t="s">
        <v>47</v>
      </c>
      <c r="AB103" s="53" t="s">
        <v>258</v>
      </c>
    </row>
    <row r="104" spans="1:28" x14ac:dyDescent="0.15">
      <c r="A104" s="53" t="s">
        <v>34</v>
      </c>
      <c r="B104" s="53" t="s">
        <v>232</v>
      </c>
      <c r="C104" s="53">
        <v>2019</v>
      </c>
      <c r="D104" s="176" t="s">
        <v>168</v>
      </c>
      <c r="E104" s="53" t="s">
        <v>269</v>
      </c>
      <c r="F104" s="53" t="s">
        <v>378</v>
      </c>
      <c r="G104" s="53" t="s">
        <v>36</v>
      </c>
      <c r="H104" s="53" t="s">
        <v>160</v>
      </c>
      <c r="I104" s="53" t="s">
        <v>159</v>
      </c>
      <c r="J104" s="53" t="s">
        <v>38</v>
      </c>
      <c r="K104" s="53" t="s">
        <v>161</v>
      </c>
      <c r="L104" s="53">
        <v>1</v>
      </c>
      <c r="N104" s="53">
        <v>6</v>
      </c>
      <c r="O104" s="53">
        <v>0.5</v>
      </c>
      <c r="P104" s="53">
        <v>0.45</v>
      </c>
      <c r="Q104" s="74">
        <f t="shared" si="5"/>
        <v>0.47499999999999998</v>
      </c>
      <c r="R104" s="53">
        <v>20.6</v>
      </c>
      <c r="S104" s="53">
        <v>95</v>
      </c>
      <c r="T104" s="16">
        <f t="shared" si="6"/>
        <v>36</v>
      </c>
      <c r="U104" s="53">
        <v>626</v>
      </c>
      <c r="V104" s="16">
        <f t="shared" si="7"/>
        <v>3756</v>
      </c>
      <c r="W104" s="53">
        <v>6</v>
      </c>
      <c r="X104" s="53" t="s">
        <v>46</v>
      </c>
      <c r="Y104" s="53" t="s">
        <v>55</v>
      </c>
      <c r="Z104" s="53" t="s">
        <v>47</v>
      </c>
      <c r="AA104" s="53" t="s">
        <v>69</v>
      </c>
      <c r="AB104" s="53" t="s">
        <v>258</v>
      </c>
    </row>
    <row r="105" spans="1:28" x14ac:dyDescent="0.15">
      <c r="A105" s="53" t="s">
        <v>34</v>
      </c>
      <c r="B105" s="53" t="s">
        <v>232</v>
      </c>
      <c r="C105" s="53">
        <v>2019</v>
      </c>
      <c r="D105" s="176" t="s">
        <v>168</v>
      </c>
      <c r="E105" s="53" t="s">
        <v>269</v>
      </c>
      <c r="F105" s="53" t="s">
        <v>378</v>
      </c>
      <c r="G105" s="53" t="s">
        <v>36</v>
      </c>
      <c r="H105" s="53" t="s">
        <v>160</v>
      </c>
      <c r="I105" s="53" t="s">
        <v>159</v>
      </c>
      <c r="J105" s="53" t="s">
        <v>38</v>
      </c>
      <c r="K105" s="53" t="s">
        <v>161</v>
      </c>
      <c r="L105" s="53">
        <v>2</v>
      </c>
      <c r="N105" s="53">
        <v>6</v>
      </c>
      <c r="O105" s="53">
        <v>0.7</v>
      </c>
      <c r="P105" s="53">
        <v>0.45</v>
      </c>
      <c r="Q105" s="74">
        <f t="shared" si="5"/>
        <v>0.57499999999999996</v>
      </c>
      <c r="R105" s="53">
        <v>18.2</v>
      </c>
      <c r="S105" s="53">
        <v>101</v>
      </c>
      <c r="T105" s="16">
        <f t="shared" si="6"/>
        <v>33</v>
      </c>
      <c r="U105" s="53">
        <v>626</v>
      </c>
      <c r="V105" s="16">
        <f t="shared" si="7"/>
        <v>3443</v>
      </c>
      <c r="W105" s="53">
        <v>6</v>
      </c>
      <c r="X105" s="53" t="s">
        <v>46</v>
      </c>
      <c r="Y105" s="53" t="s">
        <v>55</v>
      </c>
      <c r="Z105" s="53" t="s">
        <v>47</v>
      </c>
      <c r="AA105" s="53" t="s">
        <v>69</v>
      </c>
      <c r="AB105" s="53" t="s">
        <v>258</v>
      </c>
    </row>
    <row r="106" spans="1:28" x14ac:dyDescent="0.15">
      <c r="A106" s="53" t="s">
        <v>34</v>
      </c>
      <c r="B106" s="53" t="s">
        <v>232</v>
      </c>
      <c r="C106" s="53">
        <v>2019</v>
      </c>
      <c r="D106" s="176" t="s">
        <v>168</v>
      </c>
      <c r="E106" s="53" t="s">
        <v>269</v>
      </c>
      <c r="F106" s="53" t="s">
        <v>378</v>
      </c>
      <c r="G106" s="53" t="s">
        <v>36</v>
      </c>
      <c r="H106" s="53" t="s">
        <v>160</v>
      </c>
      <c r="I106" s="53" t="s">
        <v>159</v>
      </c>
      <c r="J106" s="53" t="s">
        <v>38</v>
      </c>
      <c r="K106" s="53" t="s">
        <v>161</v>
      </c>
      <c r="L106" s="53">
        <v>3</v>
      </c>
      <c r="N106" s="53">
        <v>6</v>
      </c>
      <c r="O106" s="53">
        <v>0.65</v>
      </c>
      <c r="P106" s="53">
        <v>0.65</v>
      </c>
      <c r="Q106" s="74">
        <f t="shared" si="5"/>
        <v>0.65</v>
      </c>
      <c r="R106" s="53">
        <v>18.100000000000001</v>
      </c>
      <c r="S106" s="53">
        <v>96</v>
      </c>
      <c r="T106" s="16">
        <f t="shared" si="6"/>
        <v>36</v>
      </c>
      <c r="U106" s="53">
        <v>626</v>
      </c>
      <c r="V106" s="16">
        <f t="shared" si="7"/>
        <v>3756</v>
      </c>
      <c r="W106" s="53">
        <v>6</v>
      </c>
      <c r="X106" s="53" t="s">
        <v>46</v>
      </c>
      <c r="Y106" s="53" t="s">
        <v>55</v>
      </c>
      <c r="Z106" s="53" t="s">
        <v>47</v>
      </c>
      <c r="AA106" s="53" t="s">
        <v>69</v>
      </c>
      <c r="AB106" s="53" t="s">
        <v>258</v>
      </c>
    </row>
    <row r="107" spans="1:28" x14ac:dyDescent="0.15">
      <c r="A107" s="53" t="s">
        <v>34</v>
      </c>
      <c r="B107" s="53" t="s">
        <v>232</v>
      </c>
      <c r="C107" s="53">
        <v>2019</v>
      </c>
      <c r="D107" s="176" t="s">
        <v>168</v>
      </c>
      <c r="E107" s="53" t="s">
        <v>269</v>
      </c>
      <c r="F107" s="53" t="s">
        <v>378</v>
      </c>
      <c r="G107" s="53" t="s">
        <v>36</v>
      </c>
      <c r="H107" s="53" t="s">
        <v>165</v>
      </c>
      <c r="I107" s="53" t="s">
        <v>159</v>
      </c>
      <c r="J107" s="53" t="s">
        <v>38</v>
      </c>
      <c r="K107" s="53" t="s">
        <v>161</v>
      </c>
      <c r="L107" s="53">
        <v>1</v>
      </c>
      <c r="N107" s="53">
        <v>1</v>
      </c>
      <c r="O107" s="53">
        <v>0.6</v>
      </c>
      <c r="P107" s="53">
        <v>0.5</v>
      </c>
      <c r="Q107" s="74">
        <f t="shared" si="5"/>
        <v>0.55000000000000004</v>
      </c>
      <c r="R107" s="53">
        <v>17.7</v>
      </c>
      <c r="S107" s="53">
        <v>113</v>
      </c>
      <c r="T107" s="16">
        <f t="shared" si="6"/>
        <v>30</v>
      </c>
      <c r="U107" s="53">
        <v>138</v>
      </c>
      <c r="V107" s="16">
        <f t="shared" si="7"/>
        <v>4140</v>
      </c>
      <c r="W107" s="53">
        <v>3</v>
      </c>
      <c r="X107" s="53" t="s">
        <v>46</v>
      </c>
      <c r="Y107" s="53" t="s">
        <v>55</v>
      </c>
      <c r="Z107" s="53" t="s">
        <v>47</v>
      </c>
      <c r="AA107" s="53" t="s">
        <v>69</v>
      </c>
      <c r="AB107" s="53" t="s">
        <v>258</v>
      </c>
    </row>
    <row r="108" spans="1:28" x14ac:dyDescent="0.15">
      <c r="A108" s="53" t="s">
        <v>34</v>
      </c>
      <c r="B108" s="53" t="s">
        <v>232</v>
      </c>
      <c r="C108" s="53">
        <v>2019</v>
      </c>
      <c r="D108" s="176" t="s">
        <v>168</v>
      </c>
      <c r="E108" s="53" t="s">
        <v>269</v>
      </c>
      <c r="F108" s="53" t="s">
        <v>378</v>
      </c>
      <c r="G108" s="53" t="s">
        <v>36</v>
      </c>
      <c r="H108" s="53" t="s">
        <v>165</v>
      </c>
      <c r="I108" s="53" t="s">
        <v>159</v>
      </c>
      <c r="J108" s="53" t="s">
        <v>38</v>
      </c>
      <c r="K108" s="53" t="s">
        <v>161</v>
      </c>
      <c r="L108" s="53">
        <v>2</v>
      </c>
      <c r="N108" s="53">
        <v>1</v>
      </c>
      <c r="O108" s="53">
        <v>0.6</v>
      </c>
      <c r="P108" s="53">
        <v>0.5</v>
      </c>
      <c r="Q108" s="74">
        <f t="shared" si="5"/>
        <v>0.55000000000000004</v>
      </c>
      <c r="R108" s="53">
        <v>18</v>
      </c>
      <c r="S108" s="53">
        <v>120</v>
      </c>
      <c r="T108" s="16">
        <f t="shared" si="6"/>
        <v>30</v>
      </c>
      <c r="U108" s="53">
        <v>138</v>
      </c>
      <c r="V108" s="16">
        <f t="shared" si="7"/>
        <v>4140</v>
      </c>
      <c r="W108" s="53">
        <v>3</v>
      </c>
      <c r="X108" s="53" t="s">
        <v>46</v>
      </c>
      <c r="Y108" s="53" t="s">
        <v>55</v>
      </c>
      <c r="Z108" s="53" t="s">
        <v>47</v>
      </c>
      <c r="AA108" s="53" t="s">
        <v>69</v>
      </c>
      <c r="AB108" s="53" t="s">
        <v>258</v>
      </c>
    </row>
    <row r="109" spans="1:28" x14ac:dyDescent="0.15">
      <c r="A109" s="53" t="s">
        <v>34</v>
      </c>
      <c r="B109" s="53" t="s">
        <v>232</v>
      </c>
      <c r="C109" s="53">
        <v>2019</v>
      </c>
      <c r="D109" s="176" t="s">
        <v>168</v>
      </c>
      <c r="E109" s="53" t="s">
        <v>269</v>
      </c>
      <c r="F109" s="53" t="s">
        <v>378</v>
      </c>
      <c r="G109" s="53" t="s">
        <v>36</v>
      </c>
      <c r="H109" s="53" t="s">
        <v>165</v>
      </c>
      <c r="I109" s="53" t="s">
        <v>159</v>
      </c>
      <c r="J109" s="53" t="s">
        <v>38</v>
      </c>
      <c r="K109" s="53" t="s">
        <v>161</v>
      </c>
      <c r="L109" s="53">
        <v>3</v>
      </c>
      <c r="N109" s="53">
        <v>1</v>
      </c>
      <c r="O109" s="53">
        <v>0.5</v>
      </c>
      <c r="P109" s="53">
        <v>0.2</v>
      </c>
      <c r="Q109" s="74">
        <f t="shared" si="5"/>
        <v>0.35</v>
      </c>
      <c r="R109" s="53">
        <v>17.7</v>
      </c>
      <c r="S109" s="53">
        <v>122</v>
      </c>
      <c r="T109" s="16">
        <f t="shared" si="6"/>
        <v>30</v>
      </c>
      <c r="U109" s="53">
        <v>138</v>
      </c>
      <c r="V109" s="16">
        <f t="shared" si="7"/>
        <v>4140</v>
      </c>
      <c r="W109" s="53">
        <v>3</v>
      </c>
      <c r="X109" s="53" t="s">
        <v>46</v>
      </c>
      <c r="Y109" s="53" t="s">
        <v>55</v>
      </c>
      <c r="Z109" s="53" t="s">
        <v>47</v>
      </c>
      <c r="AA109" s="53" t="s">
        <v>69</v>
      </c>
      <c r="AB109" s="53" t="s">
        <v>258</v>
      </c>
    </row>
    <row r="110" spans="1:28" x14ac:dyDescent="0.15">
      <c r="A110" s="53" t="s">
        <v>34</v>
      </c>
      <c r="B110" s="53" t="s">
        <v>232</v>
      </c>
      <c r="C110" s="53">
        <v>2019</v>
      </c>
      <c r="D110" s="176" t="s">
        <v>168</v>
      </c>
      <c r="E110" s="53" t="s">
        <v>269</v>
      </c>
      <c r="F110" s="53" t="s">
        <v>378</v>
      </c>
      <c r="G110" s="53" t="s">
        <v>36</v>
      </c>
      <c r="H110" s="53" t="s">
        <v>165</v>
      </c>
      <c r="I110" s="53" t="s">
        <v>159</v>
      </c>
      <c r="J110" s="53" t="s">
        <v>38</v>
      </c>
      <c r="K110" s="53" t="s">
        <v>161</v>
      </c>
      <c r="L110" s="53">
        <v>1</v>
      </c>
      <c r="N110" s="53">
        <v>5</v>
      </c>
      <c r="O110" s="53">
        <v>0.55000000000000004</v>
      </c>
      <c r="P110" s="53">
        <v>0.55000000000000004</v>
      </c>
      <c r="Q110" s="74">
        <f t="shared" si="5"/>
        <v>0.55000000000000004</v>
      </c>
      <c r="R110" s="53">
        <v>16.899999999999999</v>
      </c>
      <c r="S110" s="53">
        <v>82</v>
      </c>
      <c r="T110" s="16">
        <f t="shared" si="6"/>
        <v>39</v>
      </c>
      <c r="U110" s="53">
        <v>429</v>
      </c>
      <c r="V110" s="16">
        <f t="shared" si="7"/>
        <v>3346.2</v>
      </c>
      <c r="W110" s="53">
        <v>3</v>
      </c>
      <c r="X110" s="53" t="s">
        <v>46</v>
      </c>
      <c r="Y110" s="53" t="s">
        <v>55</v>
      </c>
      <c r="Z110" s="53" t="s">
        <v>47</v>
      </c>
      <c r="AA110" s="53" t="s">
        <v>69</v>
      </c>
      <c r="AB110" s="53" t="s">
        <v>258</v>
      </c>
    </row>
    <row r="111" spans="1:28" x14ac:dyDescent="0.15">
      <c r="A111" s="53" t="s">
        <v>34</v>
      </c>
      <c r="B111" s="53" t="s">
        <v>232</v>
      </c>
      <c r="C111" s="53">
        <v>2019</v>
      </c>
      <c r="D111" s="176" t="s">
        <v>168</v>
      </c>
      <c r="E111" s="53" t="s">
        <v>269</v>
      </c>
      <c r="F111" s="53" t="s">
        <v>378</v>
      </c>
      <c r="G111" s="53" t="s">
        <v>36</v>
      </c>
      <c r="H111" s="53" t="s">
        <v>165</v>
      </c>
      <c r="I111" s="53" t="s">
        <v>159</v>
      </c>
      <c r="J111" s="53" t="s">
        <v>38</v>
      </c>
      <c r="K111" s="53" t="s">
        <v>161</v>
      </c>
      <c r="L111" s="53">
        <v>2</v>
      </c>
      <c r="N111" s="53">
        <v>5</v>
      </c>
      <c r="O111" s="53">
        <v>0.45</v>
      </c>
      <c r="P111" s="53">
        <v>0.2</v>
      </c>
      <c r="Q111" s="74">
        <f t="shared" si="5"/>
        <v>0.32500000000000001</v>
      </c>
      <c r="R111" s="53">
        <v>16.2</v>
      </c>
      <c r="S111" s="53">
        <v>85</v>
      </c>
      <c r="T111" s="16">
        <f t="shared" si="6"/>
        <v>36</v>
      </c>
      <c r="U111" s="53">
        <v>429</v>
      </c>
      <c r="V111" s="16">
        <f t="shared" si="7"/>
        <v>3088.7999999999997</v>
      </c>
      <c r="W111" s="53">
        <v>3</v>
      </c>
      <c r="X111" s="53" t="s">
        <v>46</v>
      </c>
      <c r="Y111" s="53" t="s">
        <v>55</v>
      </c>
      <c r="Z111" s="53" t="s">
        <v>47</v>
      </c>
      <c r="AA111" s="53" t="s">
        <v>69</v>
      </c>
      <c r="AB111" s="53" t="s">
        <v>258</v>
      </c>
    </row>
    <row r="112" spans="1:28" x14ac:dyDescent="0.15">
      <c r="A112" s="53" t="s">
        <v>34</v>
      </c>
      <c r="B112" s="53" t="s">
        <v>232</v>
      </c>
      <c r="C112" s="53">
        <v>2019</v>
      </c>
      <c r="D112" s="176" t="s">
        <v>168</v>
      </c>
      <c r="E112" s="53" t="s">
        <v>269</v>
      </c>
      <c r="F112" s="53" t="s">
        <v>378</v>
      </c>
      <c r="G112" s="53" t="s">
        <v>36</v>
      </c>
      <c r="H112" s="53" t="s">
        <v>165</v>
      </c>
      <c r="I112" s="53" t="s">
        <v>159</v>
      </c>
      <c r="J112" s="53" t="s">
        <v>38</v>
      </c>
      <c r="K112" s="53" t="s">
        <v>161</v>
      </c>
      <c r="L112" s="53">
        <v>3</v>
      </c>
      <c r="N112" s="53">
        <v>5</v>
      </c>
      <c r="O112" s="53">
        <v>0.7</v>
      </c>
      <c r="P112" s="53">
        <v>0.65</v>
      </c>
      <c r="Q112" s="74">
        <f t="shared" si="5"/>
        <v>0.67500000000000004</v>
      </c>
      <c r="R112" s="53">
        <v>17.5</v>
      </c>
      <c r="S112" s="53">
        <v>83</v>
      </c>
      <c r="T112" s="16">
        <f t="shared" si="6"/>
        <v>39</v>
      </c>
      <c r="U112" s="53">
        <v>429</v>
      </c>
      <c r="V112" s="16">
        <f t="shared" si="7"/>
        <v>3346.2</v>
      </c>
      <c r="W112" s="53">
        <v>3</v>
      </c>
      <c r="X112" s="53" t="s">
        <v>46</v>
      </c>
      <c r="Y112" s="53" t="s">
        <v>55</v>
      </c>
      <c r="Z112" s="53" t="s">
        <v>47</v>
      </c>
      <c r="AA112" s="53" t="s">
        <v>69</v>
      </c>
      <c r="AB112" s="53" t="s">
        <v>258</v>
      </c>
    </row>
    <row r="113" spans="1:28" x14ac:dyDescent="0.15">
      <c r="A113" s="53" t="s">
        <v>34</v>
      </c>
      <c r="B113" s="53" t="s">
        <v>232</v>
      </c>
      <c r="C113" s="53">
        <v>2019</v>
      </c>
      <c r="D113" s="176" t="s">
        <v>168</v>
      </c>
      <c r="E113" s="53" t="s">
        <v>269</v>
      </c>
      <c r="F113" s="53" t="s">
        <v>378</v>
      </c>
      <c r="G113" s="53" t="s">
        <v>36</v>
      </c>
      <c r="H113" s="53" t="s">
        <v>164</v>
      </c>
      <c r="I113" s="53" t="s">
        <v>159</v>
      </c>
      <c r="J113" s="53" t="s">
        <v>38</v>
      </c>
      <c r="K113" s="53" t="s">
        <v>161</v>
      </c>
      <c r="L113" s="53">
        <v>1</v>
      </c>
      <c r="N113" s="53">
        <v>10</v>
      </c>
      <c r="O113" s="53">
        <v>0.8</v>
      </c>
      <c r="P113" s="53">
        <v>0.75</v>
      </c>
      <c r="Q113" s="16">
        <f t="shared" si="5"/>
        <v>0.77500000000000002</v>
      </c>
      <c r="R113" s="53">
        <v>17.100000000000001</v>
      </c>
      <c r="S113" s="53">
        <v>80</v>
      </c>
      <c r="T113" s="16">
        <f t="shared" si="6"/>
        <v>39</v>
      </c>
      <c r="U113" s="53">
        <v>626</v>
      </c>
      <c r="V113" s="16">
        <f t="shared" si="7"/>
        <v>2441.4</v>
      </c>
      <c r="W113" s="53">
        <v>3</v>
      </c>
      <c r="X113" s="53" t="s">
        <v>46</v>
      </c>
      <c r="Y113" s="53" t="s">
        <v>55</v>
      </c>
      <c r="Z113" s="53" t="s">
        <v>47</v>
      </c>
      <c r="AA113" s="53" t="s">
        <v>69</v>
      </c>
      <c r="AB113" s="53" t="s">
        <v>258</v>
      </c>
    </row>
    <row r="114" spans="1:28" x14ac:dyDescent="0.15">
      <c r="A114" s="53" t="s">
        <v>34</v>
      </c>
      <c r="B114" s="53" t="s">
        <v>232</v>
      </c>
      <c r="C114" s="53">
        <v>2019</v>
      </c>
      <c r="D114" s="176" t="s">
        <v>168</v>
      </c>
      <c r="E114" s="53" t="s">
        <v>269</v>
      </c>
      <c r="F114" s="53" t="s">
        <v>378</v>
      </c>
      <c r="G114" s="53" t="s">
        <v>36</v>
      </c>
      <c r="H114" s="53" t="s">
        <v>164</v>
      </c>
      <c r="I114" s="53" t="s">
        <v>159</v>
      </c>
      <c r="J114" s="53" t="s">
        <v>38</v>
      </c>
      <c r="K114" s="53" t="s">
        <v>161</v>
      </c>
      <c r="L114" s="53">
        <v>2</v>
      </c>
      <c r="N114" s="53">
        <v>10</v>
      </c>
      <c r="O114" s="53">
        <v>1.05</v>
      </c>
      <c r="P114" s="53">
        <v>1</v>
      </c>
      <c r="Q114" s="16">
        <f t="shared" si="5"/>
        <v>1.0249999999999999</v>
      </c>
      <c r="R114" s="53">
        <v>16.899999999999999</v>
      </c>
      <c r="S114" s="53">
        <v>75</v>
      </c>
      <c r="T114" s="16">
        <f t="shared" si="6"/>
        <v>42</v>
      </c>
      <c r="U114" s="53">
        <v>626</v>
      </c>
      <c r="V114" s="16">
        <f t="shared" si="7"/>
        <v>2629.2000000000003</v>
      </c>
      <c r="W114" s="53">
        <v>3</v>
      </c>
      <c r="X114" s="53" t="s">
        <v>46</v>
      </c>
      <c r="Y114" s="53" t="s">
        <v>55</v>
      </c>
      <c r="Z114" s="53" t="s">
        <v>47</v>
      </c>
      <c r="AA114" s="53" t="s">
        <v>69</v>
      </c>
      <c r="AB114" s="53" t="s">
        <v>258</v>
      </c>
    </row>
    <row r="115" spans="1:28" x14ac:dyDescent="0.15">
      <c r="A115" s="53" t="s">
        <v>34</v>
      </c>
      <c r="B115" s="53" t="s">
        <v>232</v>
      </c>
      <c r="C115" s="53">
        <v>2019</v>
      </c>
      <c r="D115" s="176" t="s">
        <v>168</v>
      </c>
      <c r="E115" s="53" t="s">
        <v>269</v>
      </c>
      <c r="F115" s="53" t="s">
        <v>378</v>
      </c>
      <c r="G115" s="53" t="s">
        <v>36</v>
      </c>
      <c r="H115" s="53" t="s">
        <v>164</v>
      </c>
      <c r="I115" s="53" t="s">
        <v>159</v>
      </c>
      <c r="J115" s="53" t="s">
        <v>38</v>
      </c>
      <c r="K115" s="53" t="s">
        <v>161</v>
      </c>
      <c r="L115" s="53">
        <v>3</v>
      </c>
      <c r="N115" s="53">
        <v>10</v>
      </c>
      <c r="O115" s="53">
        <v>0.9</v>
      </c>
      <c r="P115" s="53">
        <v>0.95</v>
      </c>
      <c r="Q115" s="16">
        <f t="shared" si="5"/>
        <v>0.92500000000000004</v>
      </c>
      <c r="R115" s="53">
        <v>16.7</v>
      </c>
      <c r="S115" s="53">
        <v>75</v>
      </c>
      <c r="T115" s="16">
        <f t="shared" si="6"/>
        <v>42</v>
      </c>
      <c r="U115" s="53">
        <v>626</v>
      </c>
      <c r="V115" s="16">
        <f t="shared" si="7"/>
        <v>2629.2000000000003</v>
      </c>
      <c r="W115" s="53">
        <v>3</v>
      </c>
      <c r="X115" s="53" t="s">
        <v>46</v>
      </c>
      <c r="Y115" s="53" t="s">
        <v>55</v>
      </c>
      <c r="Z115" s="53" t="s">
        <v>47</v>
      </c>
      <c r="AA115" s="53" t="s">
        <v>69</v>
      </c>
      <c r="AB115" s="53" t="s">
        <v>258</v>
      </c>
    </row>
    <row r="116" spans="1:28" x14ac:dyDescent="0.15">
      <c r="D116" s="176"/>
    </row>
  </sheetData>
  <autoFilter ref="A1:BA82" xr:uid="{00000000-0009-0000-0000-000000000000}"/>
  <phoneticPr fontId="3"/>
  <dataValidations count="12">
    <dataValidation type="list" allowBlank="1" showInputMessage="1" showErrorMessage="1" sqref="K2:K738" xr:uid="{BC8492EC-1208-477F-9CA5-D5ED57B65504}">
      <formula1>$AR$2:$AR$23</formula1>
    </dataValidation>
    <dataValidation type="list" allowBlank="1" showInputMessage="1" showErrorMessage="1" sqref="A2:A425" xr:uid="{A72FADAF-C284-43D6-9AA4-6EC9BCBA2F58}">
      <formula1>$AE$2:$AE$19</formula1>
    </dataValidation>
    <dataValidation type="list" allowBlank="1" showInputMessage="1" showErrorMessage="1" sqref="Y2:AA426" xr:uid="{E566131C-647E-47F9-9B2A-5259E89FFB17}">
      <formula1>$AV$2:$AV$21</formula1>
    </dataValidation>
    <dataValidation type="list" allowBlank="1" showInputMessage="1" showErrorMessage="1" sqref="H2:H426" xr:uid="{4BDFE0B9-793F-4025-9440-751A6FD38074}">
      <formula1>$AL$2:$AL$8</formula1>
    </dataValidation>
    <dataValidation type="list" allowBlank="1" showInputMessage="1" showErrorMessage="1" sqref="X2:X426" xr:uid="{3B111DFD-F376-4E1B-A290-C7D536F50B6E}">
      <formula1>$AT$2:$AT$3</formula1>
    </dataValidation>
    <dataValidation type="list" allowBlank="1" showInputMessage="1" showErrorMessage="1" sqref="G2:G426" xr:uid="{062133EC-7F64-41AC-AF3E-046526FD93BA}">
      <formula1>$AJ$2:$AJ$4</formula1>
    </dataValidation>
    <dataValidation type="list" allowBlank="1" showInputMessage="1" showErrorMessage="1" sqref="I2:I426" xr:uid="{DF486829-0580-4C74-9219-DA5F1260B887}">
      <formula1>$AN$5:$AN$6</formula1>
    </dataValidation>
    <dataValidation type="list" allowBlank="1" showInputMessage="1" showErrorMessage="1" sqref="J2:J426" xr:uid="{3F4F3B24-0D4A-423C-8A7C-B32884367DC6}">
      <formula1>$AP$2:$AP$24</formula1>
    </dataValidation>
    <dataValidation type="list" allowBlank="1" showInputMessage="1" showErrorMessage="1" sqref="F2:F426" xr:uid="{9EBE26B8-9454-4F40-BB82-62D77E7F7AFC}">
      <formula1>$AH$2:$AH$11</formula1>
    </dataValidation>
    <dataValidation type="list" allowBlank="1" showInputMessage="1" showErrorMessage="1" sqref="E2:E426" xr:uid="{68F64537-DB6E-4844-AB53-AB29BA7E9831}">
      <formula1>$AG$2:$AG$11</formula1>
    </dataValidation>
    <dataValidation type="decimal" allowBlank="1" showInputMessage="1" showErrorMessage="1" error="硬度を正しく入力して下さい。" sqref="O2:P49 O59:P426" xr:uid="{E9E71BEC-80EB-4A21-A149-365D56FD0BB6}">
      <formula1>0</formula1>
      <formula2>7</formula2>
    </dataValidation>
    <dataValidation operator="equal" allowBlank="1" showInputMessage="1" showErrorMessage="1" sqref="B2:B116" xr:uid="{EB5B486C-9314-458F-B8D6-EDFC23C1D4D7}"/>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DF9FE5E-DF10-4664-8640-736809A48362}"/>
</file>

<file path=customXml/itemProps2.xml><?xml version="1.0" encoding="utf-8"?>
<ds:datastoreItem xmlns:ds="http://schemas.openxmlformats.org/officeDocument/2006/customXml" ds:itemID="{FF6F26BC-CF18-4458-95D8-0AA46BA84663}"/>
</file>

<file path=customXml/itemProps3.xml><?xml version="1.0" encoding="utf-8"?>
<ds:datastoreItem xmlns:ds="http://schemas.openxmlformats.org/officeDocument/2006/customXml" ds:itemID="{1FDC030B-9DF8-4E75-AD40-2A120F0CB82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2019-06-03T01:44:57Z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