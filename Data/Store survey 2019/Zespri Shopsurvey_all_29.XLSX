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727"/>
  <workbookPr defaultThemeVersion="124226"/>
  <mc:AlternateContent xmlns:mc="http://schemas.openxmlformats.org/markup-compatibility/2006">
    <mc:Choice Requires="x15">
      <x15ac:absPath xmlns:x15ac="http://schemas.microsoft.com/office/spreadsheetml/2010/11/ac" url="\\192.168.11.200\000_全国共有\2-Zespri\品質調査\2019\29週\"/>
    </mc:Choice>
  </mc:AlternateContent>
  <xr:revisionPtr revIDLastSave="0" documentId="13_ncr:1_{68612873-880F-443A-BC33-2CB34F45523B}" xr6:coauthVersionLast="43" xr6:coauthVersionMax="43" xr10:uidLastSave="{00000000-0000-0000-0000-000000000000}"/>
  <bookViews>
    <workbookView xWindow="-120" yWindow="-120" windowWidth="29040" windowHeight="15840" xr2:uid="{00000000-000D-0000-FFFF-FFFF00000000}"/>
  </bookViews>
  <sheets>
    <sheet name="sapporo" sheetId="17" r:id="rId1"/>
    <sheet name="miyagi" sheetId="18" r:id="rId2"/>
    <sheet name="nagoya" sheetId="19" r:id="rId3"/>
    <sheet name="osaka" sheetId="24" r:id="rId4"/>
    <sheet name="hiroshima" sheetId="20" r:id="rId5"/>
    <sheet name="fukuoka" sheetId="21" r:id="rId6"/>
    <sheet name="tokyo-east(ota)" sheetId="22" r:id="rId7"/>
    <sheet name="tokyo-west(kato)" sheetId="23" r:id="rId8"/>
  </sheets>
  <definedNames>
    <definedName name="_xlnm._FilterDatabase" localSheetId="5" hidden="1">fukuoka!$A$1:$BA$145</definedName>
    <definedName name="_xlnm._FilterDatabase" localSheetId="4" hidden="1">hiroshima!$A$1:$BA$1</definedName>
    <definedName name="_xlnm._FilterDatabase" localSheetId="1" hidden="1">miyagi!$A$1:$BA$387</definedName>
    <definedName name="_xlnm._FilterDatabase" localSheetId="2" hidden="1">nagoya!$A$1:$BA$52</definedName>
    <definedName name="_xlnm._FilterDatabase" localSheetId="3" hidden="1">osaka!$A$1:$BA$85</definedName>
    <definedName name="_xlnm._FilterDatabase" localSheetId="0" hidden="1">sapporo!$A$1:$BA$120</definedName>
    <definedName name="_xlnm._FilterDatabase" localSheetId="6" hidden="1">'tokyo-east(ota)'!$A$1:$BA$1</definedName>
    <definedName name="_xlnm._FilterDatabase" localSheetId="7" hidden="1">'tokyo-west(kato)'!$A$1:$BA$82</definedName>
    <definedName name="aaa" localSheetId="0">#REF!</definedName>
    <definedName name="aaa">#REF!</definedName>
    <definedName name="Brand" localSheetId="0">#REF!</definedName>
    <definedName name="Brand">#REF!</definedName>
    <definedName name="District" localSheetId="0">#REF!</definedName>
    <definedName name="District">#REF!</definedName>
    <definedName name="Fruit" localSheetId="0">#REF!</definedName>
    <definedName name="Fruit">#REF!</definedName>
    <definedName name="GoldSIZE" localSheetId="0">#REF!</definedName>
    <definedName name="GoldSIZE">#REF!</definedName>
    <definedName name="GreenSIZE" localSheetId="0">#REF!</definedName>
    <definedName name="GreenSIZE">#REF!</definedName>
    <definedName name="GrowingMethod" localSheetId="0">#REF!</definedName>
    <definedName name="GrowingMethod">#REF!</definedName>
    <definedName name="hiroshima">#REF!</definedName>
    <definedName name="kk">#REF!</definedName>
    <definedName name="ｌｌｌｌｌ">#REF!</definedName>
    <definedName name="miyagi">#REF!</definedName>
    <definedName name="miyagi2">#REF!</definedName>
    <definedName name="Origin" localSheetId="0">#REF!</definedName>
    <definedName name="Origin">#REF!</definedName>
    <definedName name="Shelf" localSheetId="0">#REF!</definedName>
    <definedName name="Shelf">#REF!</definedName>
    <definedName name="Shop" localSheetId="0">#REF!</definedName>
    <definedName name="Shop">#REF!</definedName>
    <definedName name="ShopName1" localSheetId="0">#REF!</definedName>
    <definedName name="ShopName1">#REF!</definedName>
    <definedName name="ShopName2" localSheetId="0">#REF!</definedName>
    <definedName name="ShopName2">#REF!</definedName>
    <definedName name="Variety" localSheetId="0">#REF!</definedName>
    <definedName name="Variety">#REF!</definedName>
    <definedName name="yaginuma">#REF!</definedName>
    <definedName name="検索店舗名" localSheetId="0">#REF!</definedName>
    <definedName name="検索店舗名">#REF!</definedName>
    <definedName name="栽培方法">#REF!</definedName>
    <definedName name="販売ユニット個数" localSheetId="0">#REF!</definedName>
    <definedName name="販売ユニット個数">#REF!</definedName>
  </definedNames>
  <calcPr calcId="18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T85" i="24" l="1"/>
  <c r="V85" i="24" s="1"/>
  <c r="Q85" i="24"/>
  <c r="T84" i="24"/>
  <c r="V84" i="24" s="1"/>
  <c r="Q84" i="24"/>
  <c r="T83" i="24"/>
  <c r="V83" i="24" s="1"/>
  <c r="Q83" i="24"/>
  <c r="T82" i="24"/>
  <c r="V82" i="24" s="1"/>
  <c r="Q82" i="24"/>
  <c r="T81" i="24"/>
  <c r="V81" i="24" s="1"/>
  <c r="Q81" i="24"/>
  <c r="T80" i="24"/>
  <c r="V80" i="24" s="1"/>
  <c r="Q80" i="24"/>
  <c r="T79" i="24"/>
  <c r="V79" i="24" s="1"/>
  <c r="Q79" i="24"/>
  <c r="T78" i="24"/>
  <c r="V78" i="24" s="1"/>
  <c r="Q78" i="24"/>
  <c r="T77" i="24"/>
  <c r="V77" i="24" s="1"/>
  <c r="Q77" i="24"/>
  <c r="T76" i="24"/>
  <c r="V76" i="24" s="1"/>
  <c r="Q76" i="24"/>
  <c r="T75" i="24"/>
  <c r="V75" i="24" s="1"/>
  <c r="Q75" i="24"/>
  <c r="T74" i="24"/>
  <c r="V74" i="24" s="1"/>
  <c r="Q74" i="24"/>
  <c r="T73" i="24"/>
  <c r="V73" i="24" s="1"/>
  <c r="Q73" i="24"/>
  <c r="T72" i="24"/>
  <c r="V72" i="24" s="1"/>
  <c r="Q72" i="24"/>
  <c r="T71" i="24"/>
  <c r="V71" i="24" s="1"/>
  <c r="Q71" i="24"/>
  <c r="T70" i="24"/>
  <c r="V70" i="24" s="1"/>
  <c r="Q70" i="24"/>
  <c r="T69" i="24"/>
  <c r="V69" i="24" s="1"/>
  <c r="Q69" i="24"/>
  <c r="T68" i="24"/>
  <c r="V68" i="24" s="1"/>
  <c r="Q68" i="24"/>
  <c r="T67" i="24"/>
  <c r="V67" i="24" s="1"/>
  <c r="Q67" i="24"/>
  <c r="T66" i="24"/>
  <c r="V66" i="24" s="1"/>
  <c r="Q66" i="24"/>
  <c r="T65" i="24"/>
  <c r="V65" i="24" s="1"/>
  <c r="Q65" i="24"/>
  <c r="T64" i="24"/>
  <c r="V64" i="24" s="1"/>
  <c r="Q64" i="24"/>
  <c r="T63" i="24"/>
  <c r="V63" i="24" s="1"/>
  <c r="Q63" i="24"/>
  <c r="T62" i="24"/>
  <c r="V62" i="24" s="1"/>
  <c r="Q62" i="24"/>
  <c r="T61" i="24"/>
  <c r="V61" i="24" s="1"/>
  <c r="Q61" i="24"/>
  <c r="T60" i="24"/>
  <c r="V60" i="24" s="1"/>
  <c r="Q60" i="24"/>
  <c r="T59" i="24"/>
  <c r="V59" i="24" s="1"/>
  <c r="Q59" i="24"/>
  <c r="T58" i="24"/>
  <c r="V58" i="24" s="1"/>
  <c r="Q58" i="24"/>
  <c r="T57" i="24"/>
  <c r="V57" i="24" s="1"/>
  <c r="Q57" i="24"/>
  <c r="T56" i="24"/>
  <c r="V56" i="24" s="1"/>
  <c r="Q56" i="24"/>
  <c r="T55" i="24"/>
  <c r="V55" i="24" s="1"/>
  <c r="Q55" i="24"/>
  <c r="T54" i="24"/>
  <c r="V54" i="24" s="1"/>
  <c r="Q54" i="24"/>
  <c r="T53" i="24"/>
  <c r="V53" i="24" s="1"/>
  <c r="Q53" i="24"/>
  <c r="T52" i="24"/>
  <c r="V52" i="24" s="1"/>
  <c r="Q52" i="24"/>
  <c r="T51" i="24"/>
  <c r="V51" i="24" s="1"/>
  <c r="Q51" i="24"/>
  <c r="T50" i="24"/>
  <c r="V50" i="24" s="1"/>
  <c r="Q50" i="24"/>
  <c r="T49" i="24"/>
  <c r="V49" i="24" s="1"/>
  <c r="Q49" i="24"/>
  <c r="T48" i="24"/>
  <c r="V48" i="24" s="1"/>
  <c r="Q48" i="24"/>
  <c r="T47" i="24"/>
  <c r="V47" i="24" s="1"/>
  <c r="Q47" i="24"/>
  <c r="T46" i="24"/>
  <c r="V46" i="24" s="1"/>
  <c r="Q46" i="24"/>
  <c r="T45" i="24"/>
  <c r="V45" i="24" s="1"/>
  <c r="Q45" i="24"/>
  <c r="T44" i="24"/>
  <c r="V44" i="24" s="1"/>
  <c r="Q44" i="24"/>
  <c r="T43" i="24"/>
  <c r="V43" i="24" s="1"/>
  <c r="Q43" i="24"/>
  <c r="T42" i="24"/>
  <c r="V42" i="24" s="1"/>
  <c r="Q42" i="24"/>
  <c r="T41" i="24"/>
  <c r="V41" i="24" s="1"/>
  <c r="Q41" i="24"/>
  <c r="T40" i="24"/>
  <c r="V40" i="24" s="1"/>
  <c r="Q40" i="24"/>
  <c r="T39" i="24"/>
  <c r="V39" i="24" s="1"/>
  <c r="Q39" i="24"/>
  <c r="T38" i="24"/>
  <c r="V38" i="24" s="1"/>
  <c r="Q38" i="24"/>
  <c r="T37" i="24"/>
  <c r="V37" i="24" s="1"/>
  <c r="Q37" i="24"/>
  <c r="T36" i="24"/>
  <c r="V36" i="24" s="1"/>
  <c r="Q36" i="24"/>
  <c r="T35" i="24"/>
  <c r="V35" i="24" s="1"/>
  <c r="Q35" i="24"/>
  <c r="T34" i="24"/>
  <c r="V34" i="24" s="1"/>
  <c r="Q34" i="24"/>
  <c r="T33" i="24"/>
  <c r="V33" i="24" s="1"/>
  <c r="Q33" i="24"/>
  <c r="T32" i="24"/>
  <c r="V32" i="24" s="1"/>
  <c r="Q32" i="24"/>
  <c r="T31" i="24"/>
  <c r="V31" i="24" s="1"/>
  <c r="Q31" i="24"/>
  <c r="T30" i="24"/>
  <c r="V30" i="24" s="1"/>
  <c r="Q30" i="24"/>
  <c r="T29" i="24"/>
  <c r="V29" i="24" s="1"/>
  <c r="Q29" i="24"/>
  <c r="T28" i="24"/>
  <c r="V28" i="24" s="1"/>
  <c r="Q28" i="24"/>
  <c r="T27" i="24"/>
  <c r="V27" i="24" s="1"/>
  <c r="Q27" i="24"/>
  <c r="T26" i="24"/>
  <c r="V26" i="24" s="1"/>
  <c r="Q26" i="24"/>
  <c r="T25" i="24"/>
  <c r="V25" i="24" s="1"/>
  <c r="Q25" i="24"/>
  <c r="T24" i="24"/>
  <c r="V24" i="24" s="1"/>
  <c r="Q24" i="24"/>
  <c r="T23" i="24"/>
  <c r="V23" i="24" s="1"/>
  <c r="Q23" i="24"/>
  <c r="T22" i="24"/>
  <c r="V22" i="24" s="1"/>
  <c r="Q22" i="24"/>
  <c r="T21" i="24"/>
  <c r="V21" i="24" s="1"/>
  <c r="Q21" i="24"/>
  <c r="T20" i="24"/>
  <c r="V20" i="24" s="1"/>
  <c r="Q20" i="24"/>
  <c r="T19" i="24"/>
  <c r="V19" i="24" s="1"/>
  <c r="Q19" i="24"/>
  <c r="T18" i="24"/>
  <c r="V18" i="24" s="1"/>
  <c r="Q18" i="24"/>
  <c r="T17" i="24"/>
  <c r="V17" i="24" s="1"/>
  <c r="Q17" i="24"/>
  <c r="T16" i="24"/>
  <c r="V16" i="24" s="1"/>
  <c r="Q16" i="24"/>
  <c r="T15" i="24"/>
  <c r="V15" i="24" s="1"/>
  <c r="Q15" i="24"/>
  <c r="T14" i="24"/>
  <c r="V14" i="24" s="1"/>
  <c r="Q14" i="24"/>
  <c r="T13" i="24"/>
  <c r="V13" i="24" s="1"/>
  <c r="Q13" i="24"/>
  <c r="T12" i="24"/>
  <c r="V12" i="24" s="1"/>
  <c r="Q12" i="24"/>
  <c r="T11" i="24"/>
  <c r="V11" i="24" s="1"/>
  <c r="Q11" i="24"/>
  <c r="T10" i="24"/>
  <c r="V10" i="24" s="1"/>
  <c r="Q10" i="24"/>
  <c r="T9" i="24"/>
  <c r="V9" i="24" s="1"/>
  <c r="Q9" i="24"/>
  <c r="T8" i="24"/>
  <c r="V8" i="24" s="1"/>
  <c r="Q8" i="24"/>
  <c r="T7" i="24"/>
  <c r="V7" i="24" s="1"/>
  <c r="Q7" i="24"/>
  <c r="T6" i="24"/>
  <c r="V6" i="24" s="1"/>
  <c r="Q6" i="24"/>
  <c r="T5" i="24"/>
  <c r="V5" i="24" s="1"/>
  <c r="Q5" i="24"/>
  <c r="T4" i="24"/>
  <c r="V4" i="24" s="1"/>
  <c r="Q4" i="24"/>
  <c r="T3" i="24"/>
  <c r="V3" i="24" s="1"/>
  <c r="Q3" i="24"/>
  <c r="T2" i="24"/>
  <c r="V2" i="24" s="1"/>
  <c r="Q2" i="24"/>
  <c r="T127" i="23" l="1"/>
  <c r="V127" i="23" s="1"/>
  <c r="Q127" i="23"/>
  <c r="T126" i="23"/>
  <c r="V126" i="23" s="1"/>
  <c r="Q126" i="23"/>
  <c r="T125" i="23"/>
  <c r="V125" i="23" s="1"/>
  <c r="Q125" i="23"/>
  <c r="T124" i="23"/>
  <c r="V124" i="23" s="1"/>
  <c r="Q124" i="23"/>
  <c r="T123" i="23"/>
  <c r="V123" i="23" s="1"/>
  <c r="Q123" i="23"/>
  <c r="T122" i="23"/>
  <c r="V122" i="23" s="1"/>
  <c r="Q122" i="23"/>
  <c r="T121" i="23"/>
  <c r="V121" i="23" s="1"/>
  <c r="Q121" i="23"/>
  <c r="T120" i="23"/>
  <c r="V120" i="23" s="1"/>
  <c r="Q120" i="23"/>
  <c r="T119" i="23"/>
  <c r="V119" i="23" s="1"/>
  <c r="Q119" i="23"/>
  <c r="T118" i="23"/>
  <c r="V118" i="23" s="1"/>
  <c r="Q118" i="23"/>
  <c r="T117" i="23"/>
  <c r="V117" i="23" s="1"/>
  <c r="Q117" i="23"/>
  <c r="T116" i="23"/>
  <c r="V116" i="23" s="1"/>
  <c r="Q116" i="23"/>
  <c r="T115" i="23"/>
  <c r="V115" i="23" s="1"/>
  <c r="Q115" i="23"/>
  <c r="T114" i="23"/>
  <c r="V114" i="23" s="1"/>
  <c r="Q114" i="23"/>
  <c r="T113" i="23"/>
  <c r="V113" i="23" s="1"/>
  <c r="Q113" i="23"/>
  <c r="T112" i="23"/>
  <c r="V112" i="23" s="1"/>
  <c r="Q112" i="23"/>
  <c r="T111" i="23"/>
  <c r="V111" i="23" s="1"/>
  <c r="Q111" i="23"/>
  <c r="T110" i="23"/>
  <c r="V110" i="23" s="1"/>
  <c r="Q110" i="23"/>
  <c r="T109" i="23"/>
  <c r="V109" i="23" s="1"/>
  <c r="Q109" i="23"/>
  <c r="T108" i="23"/>
  <c r="V108" i="23" s="1"/>
  <c r="Q108" i="23"/>
  <c r="T107" i="23"/>
  <c r="V107" i="23" s="1"/>
  <c r="Q107" i="23"/>
  <c r="T106" i="23"/>
  <c r="V106" i="23" s="1"/>
  <c r="Q106" i="23"/>
  <c r="T105" i="23"/>
  <c r="V105" i="23" s="1"/>
  <c r="Q105" i="23"/>
  <c r="T104" i="23"/>
  <c r="V104" i="23" s="1"/>
  <c r="Q104" i="23"/>
  <c r="T103" i="23"/>
  <c r="V103" i="23" s="1"/>
  <c r="Q103" i="23"/>
  <c r="T102" i="23"/>
  <c r="V102" i="23" s="1"/>
  <c r="Q102" i="23"/>
  <c r="T101" i="23"/>
  <c r="V101" i="23" s="1"/>
  <c r="Q101" i="23"/>
  <c r="T100" i="23"/>
  <c r="V100" i="23" s="1"/>
  <c r="Q100" i="23"/>
  <c r="T99" i="23"/>
  <c r="V99" i="23" s="1"/>
  <c r="Q99" i="23"/>
  <c r="T98" i="23"/>
  <c r="V98" i="23" s="1"/>
  <c r="Q98" i="23"/>
  <c r="T97" i="23"/>
  <c r="V97" i="23" s="1"/>
  <c r="Q97" i="23"/>
  <c r="T96" i="23"/>
  <c r="V96" i="23" s="1"/>
  <c r="Q96" i="23"/>
  <c r="T95" i="23"/>
  <c r="V95" i="23" s="1"/>
  <c r="Q95" i="23"/>
  <c r="T94" i="23"/>
  <c r="V94" i="23" s="1"/>
  <c r="Q94" i="23"/>
  <c r="T93" i="23"/>
  <c r="V93" i="23" s="1"/>
  <c r="Q93" i="23"/>
  <c r="T92" i="23"/>
  <c r="V92" i="23" s="1"/>
  <c r="Q92" i="23"/>
  <c r="T91" i="23"/>
  <c r="V91" i="23" s="1"/>
  <c r="Q91" i="23"/>
  <c r="T90" i="23"/>
  <c r="V90" i="23" s="1"/>
  <c r="Q90" i="23"/>
  <c r="T89" i="23"/>
  <c r="V89" i="23" s="1"/>
  <c r="Q89" i="23"/>
  <c r="T88" i="23"/>
  <c r="V88" i="23" s="1"/>
  <c r="Q88" i="23"/>
  <c r="T87" i="23"/>
  <c r="V87" i="23" s="1"/>
  <c r="Q87" i="23"/>
  <c r="T86" i="23"/>
  <c r="V86" i="23" s="1"/>
  <c r="Q86" i="23"/>
  <c r="T85" i="23"/>
  <c r="V85" i="23" s="1"/>
  <c r="Q85" i="23"/>
  <c r="T84" i="23"/>
  <c r="V84" i="23" s="1"/>
  <c r="Q84" i="23"/>
  <c r="T83" i="23"/>
  <c r="V83" i="23" s="1"/>
  <c r="Q83" i="23"/>
  <c r="T82" i="23"/>
  <c r="V82" i="23" s="1"/>
  <c r="Q82" i="23"/>
  <c r="T81" i="23"/>
  <c r="V81" i="23" s="1"/>
  <c r="Q81" i="23"/>
  <c r="T80" i="23"/>
  <c r="V80" i="23" s="1"/>
  <c r="Q80" i="23"/>
  <c r="T79" i="23"/>
  <c r="V79" i="23" s="1"/>
  <c r="Q79" i="23"/>
  <c r="T78" i="23"/>
  <c r="V78" i="23" s="1"/>
  <c r="Q78" i="23"/>
  <c r="T77" i="23"/>
  <c r="V77" i="23" s="1"/>
  <c r="Q77" i="23"/>
  <c r="T76" i="23"/>
  <c r="V76" i="23" s="1"/>
  <c r="Q76" i="23"/>
  <c r="T75" i="23"/>
  <c r="V75" i="23" s="1"/>
  <c r="Q75" i="23"/>
  <c r="T74" i="23"/>
  <c r="V74" i="23" s="1"/>
  <c r="Q74" i="23"/>
  <c r="T73" i="23"/>
  <c r="V73" i="23" s="1"/>
  <c r="Q73" i="23"/>
  <c r="T72" i="23"/>
  <c r="V72" i="23" s="1"/>
  <c r="Q72" i="23"/>
  <c r="T71" i="23"/>
  <c r="V71" i="23" s="1"/>
  <c r="Q71" i="23"/>
  <c r="T70" i="23"/>
  <c r="V70" i="23" s="1"/>
  <c r="Q70" i="23"/>
  <c r="T69" i="23"/>
  <c r="V69" i="23" s="1"/>
  <c r="Q69" i="23"/>
  <c r="T68" i="23"/>
  <c r="V68" i="23" s="1"/>
  <c r="Q68" i="23"/>
  <c r="T67" i="23"/>
  <c r="V67" i="23" s="1"/>
  <c r="Q67" i="23"/>
  <c r="T66" i="23"/>
  <c r="V66" i="23" s="1"/>
  <c r="Q66" i="23"/>
  <c r="T65" i="23"/>
  <c r="V65" i="23" s="1"/>
  <c r="Q65" i="23"/>
  <c r="T64" i="23"/>
  <c r="V64" i="23" s="1"/>
  <c r="Q64" i="23"/>
  <c r="T63" i="23"/>
  <c r="V63" i="23" s="1"/>
  <c r="Q63" i="23"/>
  <c r="T62" i="23"/>
  <c r="V62" i="23" s="1"/>
  <c r="Q62" i="23"/>
  <c r="T61" i="23"/>
  <c r="V61" i="23" s="1"/>
  <c r="Q61" i="23"/>
  <c r="T60" i="23"/>
  <c r="V60" i="23" s="1"/>
  <c r="Q60" i="23"/>
  <c r="T59" i="23"/>
  <c r="V59" i="23" s="1"/>
  <c r="Q59" i="23"/>
  <c r="T58" i="23"/>
  <c r="V58" i="23" s="1"/>
  <c r="Q58" i="23"/>
  <c r="T57" i="23"/>
  <c r="V57" i="23" s="1"/>
  <c r="Q57" i="23"/>
  <c r="T56" i="23"/>
  <c r="V56" i="23" s="1"/>
  <c r="Q56" i="23"/>
  <c r="T55" i="23"/>
  <c r="V55" i="23" s="1"/>
  <c r="Q55" i="23"/>
  <c r="T54" i="23"/>
  <c r="V54" i="23" s="1"/>
  <c r="Q54" i="23"/>
  <c r="T53" i="23"/>
  <c r="V53" i="23" s="1"/>
  <c r="Q53" i="23"/>
  <c r="T52" i="23"/>
  <c r="V52" i="23" s="1"/>
  <c r="Q52" i="23"/>
  <c r="T51" i="23"/>
  <c r="V51" i="23" s="1"/>
  <c r="Q51" i="23"/>
  <c r="T50" i="23"/>
  <c r="V50" i="23" s="1"/>
  <c r="Q50" i="23"/>
  <c r="T49" i="23"/>
  <c r="V49" i="23" s="1"/>
  <c r="Q49" i="23"/>
  <c r="T48" i="23"/>
  <c r="V48" i="23" s="1"/>
  <c r="Q48" i="23"/>
  <c r="T47" i="23"/>
  <c r="V47" i="23" s="1"/>
  <c r="Q47" i="23"/>
  <c r="T46" i="23"/>
  <c r="V46" i="23" s="1"/>
  <c r="Q46" i="23"/>
  <c r="T45" i="23"/>
  <c r="V45" i="23" s="1"/>
  <c r="Q45" i="23"/>
  <c r="T44" i="23"/>
  <c r="V44" i="23" s="1"/>
  <c r="Q44" i="23"/>
  <c r="T43" i="23"/>
  <c r="V43" i="23" s="1"/>
  <c r="Q43" i="23"/>
  <c r="T42" i="23"/>
  <c r="V42" i="23" s="1"/>
  <c r="Q42" i="23"/>
  <c r="T41" i="23"/>
  <c r="V41" i="23" s="1"/>
  <c r="Q41" i="23"/>
  <c r="T40" i="23"/>
  <c r="V40" i="23" s="1"/>
  <c r="Q40" i="23"/>
  <c r="T39" i="23"/>
  <c r="V39" i="23" s="1"/>
  <c r="Q39" i="23"/>
  <c r="T38" i="23"/>
  <c r="V38" i="23" s="1"/>
  <c r="Q38" i="23"/>
  <c r="T37" i="23"/>
  <c r="V37" i="23" s="1"/>
  <c r="Q37" i="23"/>
  <c r="T36" i="23"/>
  <c r="V36" i="23" s="1"/>
  <c r="Q36" i="23"/>
  <c r="T35" i="23"/>
  <c r="V35" i="23" s="1"/>
  <c r="Q35" i="23"/>
  <c r="T34" i="23"/>
  <c r="V34" i="23" s="1"/>
  <c r="Q34" i="23"/>
  <c r="T33" i="23"/>
  <c r="V33" i="23" s="1"/>
  <c r="Q33" i="23"/>
  <c r="T32" i="23"/>
  <c r="V32" i="23" s="1"/>
  <c r="Q32" i="23"/>
  <c r="T31" i="23"/>
  <c r="V31" i="23" s="1"/>
  <c r="Q31" i="23"/>
  <c r="T30" i="23"/>
  <c r="V30" i="23" s="1"/>
  <c r="Q30" i="23"/>
  <c r="T29" i="23"/>
  <c r="V29" i="23" s="1"/>
  <c r="Q29" i="23"/>
  <c r="T28" i="23"/>
  <c r="V28" i="23" s="1"/>
  <c r="Q28" i="23"/>
  <c r="T27" i="23"/>
  <c r="V27" i="23" s="1"/>
  <c r="Q27" i="23"/>
  <c r="T26" i="23"/>
  <c r="V26" i="23" s="1"/>
  <c r="Q26" i="23"/>
  <c r="T25" i="23"/>
  <c r="V25" i="23" s="1"/>
  <c r="Q25" i="23"/>
  <c r="T24" i="23"/>
  <c r="V24" i="23" s="1"/>
  <c r="Q24" i="23"/>
  <c r="T23" i="23"/>
  <c r="V23" i="23" s="1"/>
  <c r="Q23" i="23"/>
  <c r="T22" i="23"/>
  <c r="V22" i="23" s="1"/>
  <c r="Q22" i="23"/>
  <c r="T21" i="23"/>
  <c r="V21" i="23" s="1"/>
  <c r="Q21" i="23"/>
  <c r="T20" i="23"/>
  <c r="V20" i="23" s="1"/>
  <c r="Q20" i="23"/>
  <c r="T19" i="23"/>
  <c r="V19" i="23" s="1"/>
  <c r="Q19" i="23"/>
  <c r="T18" i="23"/>
  <c r="V18" i="23" s="1"/>
  <c r="Q18" i="23"/>
  <c r="T17" i="23"/>
  <c r="V17" i="23" s="1"/>
  <c r="Q17" i="23"/>
  <c r="T16" i="23"/>
  <c r="V16" i="23" s="1"/>
  <c r="Q16" i="23"/>
  <c r="T15" i="23"/>
  <c r="V15" i="23" s="1"/>
  <c r="Q15" i="23"/>
  <c r="T14" i="23"/>
  <c r="V14" i="23" s="1"/>
  <c r="Q14" i="23"/>
  <c r="T13" i="23"/>
  <c r="V13" i="23" s="1"/>
  <c r="Q13" i="23"/>
  <c r="T12" i="23"/>
  <c r="V12" i="23" s="1"/>
  <c r="Q12" i="23"/>
  <c r="T11" i="23"/>
  <c r="V11" i="23" s="1"/>
  <c r="Q11" i="23"/>
  <c r="T10" i="23"/>
  <c r="V10" i="23" s="1"/>
  <c r="Q10" i="23"/>
  <c r="T9" i="23"/>
  <c r="V9" i="23" s="1"/>
  <c r="Q9" i="23"/>
  <c r="T8" i="23"/>
  <c r="V8" i="23" s="1"/>
  <c r="Q8" i="23"/>
  <c r="T7" i="23"/>
  <c r="V7" i="23" s="1"/>
  <c r="Q7" i="23"/>
  <c r="T6" i="23"/>
  <c r="V6" i="23" s="1"/>
  <c r="Q6" i="23"/>
  <c r="T5" i="23"/>
  <c r="V5" i="23" s="1"/>
  <c r="Q5" i="23"/>
  <c r="T4" i="23"/>
  <c r="V4" i="23" s="1"/>
  <c r="Q4" i="23"/>
  <c r="T3" i="23"/>
  <c r="V3" i="23" s="1"/>
  <c r="Q3" i="23"/>
  <c r="T2" i="23"/>
  <c r="V2" i="23" s="1"/>
  <c r="Q2" i="23"/>
  <c r="T91" i="22" l="1"/>
  <c r="V91" i="22" s="1"/>
  <c r="Q91" i="22"/>
  <c r="T90" i="22"/>
  <c r="V90" i="22" s="1"/>
  <c r="Q90" i="22"/>
  <c r="T89" i="22"/>
  <c r="V89" i="22" s="1"/>
  <c r="Q89" i="22"/>
  <c r="T88" i="22"/>
  <c r="V88" i="22" s="1"/>
  <c r="Q88" i="22"/>
  <c r="T87" i="22"/>
  <c r="V87" i="22" s="1"/>
  <c r="Q87" i="22"/>
  <c r="T86" i="22"/>
  <c r="V86" i="22" s="1"/>
  <c r="Q86" i="22"/>
  <c r="T85" i="22"/>
  <c r="V85" i="22" s="1"/>
  <c r="Q85" i="22"/>
  <c r="T84" i="22"/>
  <c r="V84" i="22" s="1"/>
  <c r="Q84" i="22"/>
  <c r="T83" i="22"/>
  <c r="V83" i="22" s="1"/>
  <c r="Q83" i="22"/>
  <c r="T82" i="22"/>
  <c r="V82" i="22" s="1"/>
  <c r="Q82" i="22"/>
  <c r="T81" i="22"/>
  <c r="V81" i="22" s="1"/>
  <c r="Q81" i="22"/>
  <c r="T80" i="22"/>
  <c r="V80" i="22" s="1"/>
  <c r="Q80" i="22"/>
  <c r="T79" i="22"/>
  <c r="V79" i="22" s="1"/>
  <c r="Q79" i="22"/>
  <c r="T78" i="22"/>
  <c r="V78" i="22" s="1"/>
  <c r="Q78" i="22"/>
  <c r="T77" i="22"/>
  <c r="V77" i="22" s="1"/>
  <c r="Q77" i="22"/>
  <c r="T76" i="22"/>
  <c r="V76" i="22" s="1"/>
  <c r="Q76" i="22"/>
  <c r="T75" i="22"/>
  <c r="V75" i="22" s="1"/>
  <c r="Q75" i="22"/>
  <c r="T74" i="22"/>
  <c r="V74" i="22" s="1"/>
  <c r="Q74" i="22"/>
  <c r="T73" i="22"/>
  <c r="V73" i="22" s="1"/>
  <c r="Q73" i="22"/>
  <c r="T72" i="22"/>
  <c r="V72" i="22" s="1"/>
  <c r="Q72" i="22"/>
  <c r="T71" i="22"/>
  <c r="V71" i="22" s="1"/>
  <c r="Q71" i="22"/>
  <c r="T70" i="22"/>
  <c r="V70" i="22" s="1"/>
  <c r="Q70" i="22"/>
  <c r="T69" i="22"/>
  <c r="V69" i="22" s="1"/>
  <c r="Q69" i="22"/>
  <c r="T68" i="22"/>
  <c r="V68" i="22" s="1"/>
  <c r="Q68" i="22"/>
  <c r="T67" i="22"/>
  <c r="V67" i="22" s="1"/>
  <c r="Q67" i="22"/>
  <c r="T66" i="22"/>
  <c r="V66" i="22" s="1"/>
  <c r="Q66" i="22"/>
  <c r="T65" i="22"/>
  <c r="V65" i="22" s="1"/>
  <c r="Q65" i="22"/>
  <c r="T64" i="22"/>
  <c r="V64" i="22" s="1"/>
  <c r="Q64" i="22"/>
  <c r="T63" i="22"/>
  <c r="V63" i="22" s="1"/>
  <c r="Q63" i="22"/>
  <c r="T62" i="22"/>
  <c r="V62" i="22" s="1"/>
  <c r="Q62" i="22"/>
  <c r="T55" i="22"/>
  <c r="V55" i="22" s="1"/>
  <c r="Q55" i="22"/>
  <c r="T54" i="22"/>
  <c r="V54" i="22" s="1"/>
  <c r="Q54" i="22"/>
  <c r="T53" i="22"/>
  <c r="V53" i="22" s="1"/>
  <c r="Q53" i="22"/>
  <c r="T52" i="22"/>
  <c r="V52" i="22" s="1"/>
  <c r="Q52" i="22"/>
  <c r="T51" i="22"/>
  <c r="V51" i="22" s="1"/>
  <c r="Q51" i="22"/>
  <c r="T50" i="22"/>
  <c r="V50" i="22" s="1"/>
  <c r="Q50" i="22"/>
  <c r="T49" i="22"/>
  <c r="V49" i="22" s="1"/>
  <c r="Q49" i="22"/>
  <c r="T48" i="22"/>
  <c r="V48" i="22" s="1"/>
  <c r="Q48" i="22"/>
  <c r="T47" i="22"/>
  <c r="V47" i="22" s="1"/>
  <c r="Q47" i="22"/>
  <c r="T46" i="22"/>
  <c r="V46" i="22" s="1"/>
  <c r="Q46" i="22"/>
  <c r="T45" i="22"/>
  <c r="V45" i="22" s="1"/>
  <c r="Q45" i="22"/>
  <c r="T44" i="22"/>
  <c r="V44" i="22" s="1"/>
  <c r="Q44" i="22"/>
  <c r="T43" i="22"/>
  <c r="V43" i="22" s="1"/>
  <c r="Q43" i="22"/>
  <c r="T42" i="22"/>
  <c r="V42" i="22" s="1"/>
  <c r="Q42" i="22"/>
  <c r="T41" i="22"/>
  <c r="V41" i="22" s="1"/>
  <c r="Q41" i="22"/>
  <c r="T40" i="22"/>
  <c r="V40" i="22" s="1"/>
  <c r="Q40" i="22"/>
  <c r="T39" i="22"/>
  <c r="V39" i="22" s="1"/>
  <c r="Q39" i="22"/>
  <c r="T38" i="22"/>
  <c r="V38" i="22" s="1"/>
  <c r="Q38" i="22"/>
  <c r="T37" i="22"/>
  <c r="V37" i="22" s="1"/>
  <c r="Q37" i="22"/>
  <c r="T36" i="22"/>
  <c r="V36" i="22" s="1"/>
  <c r="Q36" i="22"/>
  <c r="T35" i="22"/>
  <c r="V35" i="22" s="1"/>
  <c r="Q35" i="22"/>
  <c r="T34" i="22"/>
  <c r="V34" i="22" s="1"/>
  <c r="Q34" i="22"/>
  <c r="T33" i="22"/>
  <c r="V33" i="22" s="1"/>
  <c r="Q33" i="22"/>
  <c r="T32" i="22"/>
  <c r="V32" i="22" s="1"/>
  <c r="Q32" i="22"/>
  <c r="T31" i="22"/>
  <c r="V31" i="22" s="1"/>
  <c r="Q31" i="22"/>
  <c r="T30" i="22"/>
  <c r="V30" i="22" s="1"/>
  <c r="Q30" i="22"/>
  <c r="T29" i="22"/>
  <c r="V29" i="22" s="1"/>
  <c r="Q29" i="22"/>
  <c r="T28" i="22"/>
  <c r="V28" i="22" s="1"/>
  <c r="Q28" i="22"/>
  <c r="T27" i="22"/>
  <c r="V27" i="22" s="1"/>
  <c r="Q27" i="22"/>
  <c r="T26" i="22"/>
  <c r="V26" i="22" s="1"/>
  <c r="Q26" i="22"/>
  <c r="T25" i="22"/>
  <c r="V25" i="22" s="1"/>
  <c r="Q25" i="22"/>
  <c r="T24" i="22"/>
  <c r="V24" i="22" s="1"/>
  <c r="Q24" i="22"/>
  <c r="T23" i="22"/>
  <c r="V23" i="22" s="1"/>
  <c r="Q23" i="22"/>
  <c r="T22" i="22"/>
  <c r="V22" i="22" s="1"/>
  <c r="Q22" i="22"/>
  <c r="T21" i="22"/>
  <c r="V21" i="22" s="1"/>
  <c r="Q21" i="22"/>
  <c r="T20" i="22"/>
  <c r="V20" i="22" s="1"/>
  <c r="Q20" i="22"/>
  <c r="T19" i="22"/>
  <c r="V19" i="22" s="1"/>
  <c r="Q19" i="22"/>
  <c r="T18" i="22"/>
  <c r="V18" i="22" s="1"/>
  <c r="Q18" i="22"/>
  <c r="T17" i="22"/>
  <c r="V17" i="22" s="1"/>
  <c r="Q17" i="22"/>
  <c r="T16" i="22"/>
  <c r="V16" i="22" s="1"/>
  <c r="Q16" i="22"/>
  <c r="T15" i="22"/>
  <c r="V15" i="22" s="1"/>
  <c r="Q15" i="22"/>
  <c r="T14" i="22"/>
  <c r="V14" i="22" s="1"/>
  <c r="Q14" i="22"/>
  <c r="T13" i="22"/>
  <c r="V13" i="22" s="1"/>
  <c r="Q13" i="22"/>
  <c r="T12" i="22"/>
  <c r="V12" i="22" s="1"/>
  <c r="Q12" i="22"/>
  <c r="T11" i="22"/>
  <c r="V11" i="22" s="1"/>
  <c r="Q11" i="22"/>
  <c r="T10" i="22"/>
  <c r="V10" i="22" s="1"/>
  <c r="Q10" i="22"/>
  <c r="T9" i="22"/>
  <c r="V9" i="22" s="1"/>
  <c r="Q9" i="22"/>
  <c r="T8" i="22"/>
  <c r="V8" i="22" s="1"/>
  <c r="Q8" i="22"/>
  <c r="T7" i="22"/>
  <c r="V7" i="22" s="1"/>
  <c r="Q7" i="22"/>
  <c r="T6" i="22"/>
  <c r="V6" i="22" s="1"/>
  <c r="Q6" i="22"/>
  <c r="T5" i="22"/>
  <c r="V5" i="22" s="1"/>
  <c r="Q5" i="22"/>
  <c r="T4" i="22"/>
  <c r="V4" i="22" s="1"/>
  <c r="Q4" i="22"/>
  <c r="T3" i="22"/>
  <c r="V3" i="22" s="1"/>
  <c r="Q3" i="22"/>
  <c r="T2" i="22"/>
  <c r="V2" i="22" s="1"/>
  <c r="Q2" i="22"/>
  <c r="V145" i="21" l="1"/>
  <c r="T145" i="21"/>
  <c r="Q145" i="21"/>
  <c r="V144" i="21"/>
  <c r="T144" i="21"/>
  <c r="Q144" i="21"/>
  <c r="V143" i="21"/>
  <c r="T143" i="21"/>
  <c r="Q143" i="21"/>
  <c r="V142" i="21"/>
  <c r="T142" i="21"/>
  <c r="Q142" i="21"/>
  <c r="V141" i="21"/>
  <c r="T141" i="21"/>
  <c r="Q141" i="21"/>
  <c r="V140" i="21"/>
  <c r="T140" i="21"/>
  <c r="Q140" i="21"/>
  <c r="V139" i="21"/>
  <c r="T139" i="21"/>
  <c r="Q139" i="21"/>
  <c r="V138" i="21"/>
  <c r="T138" i="21"/>
  <c r="Q138" i="21"/>
  <c r="V137" i="21"/>
  <c r="T137" i="21"/>
  <c r="Q137" i="21"/>
  <c r="V136" i="21"/>
  <c r="T136" i="21"/>
  <c r="Q136" i="21"/>
  <c r="V135" i="21"/>
  <c r="T135" i="21"/>
  <c r="Q135" i="21"/>
  <c r="V134" i="21"/>
  <c r="T134" i="21"/>
  <c r="Q134" i="21"/>
  <c r="V133" i="21"/>
  <c r="T133" i="21"/>
  <c r="Q133" i="21"/>
  <c r="V132" i="21"/>
  <c r="T132" i="21"/>
  <c r="Q132" i="21"/>
  <c r="V131" i="21"/>
  <c r="T131" i="21"/>
  <c r="Q131" i="21"/>
  <c r="V130" i="21"/>
  <c r="T130" i="21"/>
  <c r="Q130" i="21"/>
  <c r="V129" i="21"/>
  <c r="T129" i="21"/>
  <c r="Q129" i="21"/>
  <c r="V128" i="21"/>
  <c r="T128" i="21"/>
  <c r="Q128" i="21"/>
  <c r="V127" i="21"/>
  <c r="T127" i="21"/>
  <c r="Q127" i="21"/>
  <c r="V126" i="21"/>
  <c r="T126" i="21"/>
  <c r="Q126" i="21"/>
  <c r="V125" i="21"/>
  <c r="T125" i="21"/>
  <c r="Q125" i="21"/>
  <c r="V124" i="21"/>
  <c r="T124" i="21"/>
  <c r="Q124" i="21"/>
  <c r="V123" i="21"/>
  <c r="T123" i="21"/>
  <c r="Q123" i="21"/>
  <c r="V122" i="21"/>
  <c r="T122" i="21"/>
  <c r="Q122" i="21"/>
  <c r="V121" i="21"/>
  <c r="T121" i="21"/>
  <c r="Q121" i="21"/>
  <c r="V120" i="21"/>
  <c r="T120" i="21"/>
  <c r="Q120" i="21"/>
  <c r="V119" i="21"/>
  <c r="T119" i="21"/>
  <c r="Q119" i="21"/>
  <c r="V118" i="21"/>
  <c r="T118" i="21"/>
  <c r="Q118" i="21"/>
  <c r="V117" i="21"/>
  <c r="T117" i="21"/>
  <c r="Q117" i="21"/>
  <c r="V116" i="21"/>
  <c r="T116" i="21"/>
  <c r="Q116" i="21"/>
  <c r="V115" i="21"/>
  <c r="T115" i="21"/>
  <c r="Q115" i="21"/>
  <c r="V114" i="21"/>
  <c r="T114" i="21"/>
  <c r="Q114" i="21"/>
  <c r="V113" i="21"/>
  <c r="T113" i="21"/>
  <c r="Q113" i="21"/>
  <c r="V112" i="21"/>
  <c r="T112" i="21"/>
  <c r="Q112" i="21"/>
  <c r="V111" i="21"/>
  <c r="T111" i="21"/>
  <c r="Q111" i="21"/>
  <c r="V110" i="21"/>
  <c r="T110" i="21"/>
  <c r="Q110" i="21"/>
  <c r="V109" i="21"/>
  <c r="T109" i="21"/>
  <c r="Q109" i="21"/>
  <c r="V108" i="21"/>
  <c r="T108" i="21"/>
  <c r="Q108" i="21"/>
  <c r="V107" i="21"/>
  <c r="T107" i="21"/>
  <c r="Q107" i="21"/>
  <c r="V106" i="21"/>
  <c r="T106" i="21"/>
  <c r="Q106" i="21"/>
  <c r="V105" i="21"/>
  <c r="T105" i="21"/>
  <c r="Q105" i="21"/>
  <c r="V104" i="21"/>
  <c r="T104" i="21"/>
  <c r="Q104" i="21"/>
  <c r="V103" i="21"/>
  <c r="T103" i="21"/>
  <c r="Q103" i="21"/>
  <c r="V102" i="21"/>
  <c r="T102" i="21"/>
  <c r="Q102" i="21"/>
  <c r="V101" i="21"/>
  <c r="T101" i="21"/>
  <c r="Q101" i="21"/>
  <c r="V100" i="21"/>
  <c r="T100" i="21"/>
  <c r="Q100" i="21"/>
  <c r="V99" i="21"/>
  <c r="T99" i="21"/>
  <c r="Q99" i="21"/>
  <c r="V98" i="21"/>
  <c r="T98" i="21"/>
  <c r="Q98" i="21"/>
  <c r="V97" i="21"/>
  <c r="T97" i="21"/>
  <c r="Q97" i="21"/>
  <c r="V96" i="21"/>
  <c r="T96" i="21"/>
  <c r="Q96" i="21"/>
  <c r="V95" i="21"/>
  <c r="T95" i="21"/>
  <c r="Q95" i="21"/>
  <c r="V94" i="21"/>
  <c r="T94" i="21"/>
  <c r="Q94" i="21"/>
  <c r="V61" i="21"/>
  <c r="T61" i="21"/>
  <c r="Q61" i="21"/>
  <c r="V60" i="21"/>
  <c r="T60" i="21"/>
  <c r="Q60" i="21"/>
  <c r="V59" i="21"/>
  <c r="T59" i="21"/>
  <c r="Q59" i="21"/>
  <c r="V58" i="21"/>
  <c r="T58" i="21"/>
  <c r="Q58" i="21"/>
  <c r="V57" i="21"/>
  <c r="T57" i="21"/>
  <c r="Q57" i="21"/>
  <c r="V56" i="21"/>
  <c r="T56" i="21"/>
  <c r="Q56" i="21"/>
  <c r="V55" i="21"/>
  <c r="T55" i="21"/>
  <c r="Q55" i="21"/>
  <c r="V54" i="21"/>
  <c r="T54" i="21"/>
  <c r="Q54" i="21"/>
  <c r="V53" i="21"/>
  <c r="T53" i="21"/>
  <c r="Q53" i="21"/>
  <c r="V52" i="21"/>
  <c r="T52" i="21"/>
  <c r="Q52" i="21"/>
  <c r="V51" i="21"/>
  <c r="T51" i="21"/>
  <c r="Q51" i="21"/>
  <c r="V50" i="21"/>
  <c r="T50" i="21"/>
  <c r="Q50" i="21"/>
  <c r="V49" i="21"/>
  <c r="T49" i="21"/>
  <c r="Q49" i="21"/>
  <c r="V48" i="21"/>
  <c r="T48" i="21"/>
  <c r="Q48" i="21"/>
  <c r="V47" i="21"/>
  <c r="T47" i="21"/>
  <c r="Q47" i="21"/>
  <c r="V46" i="21"/>
  <c r="T46" i="21"/>
  <c r="Q46" i="21"/>
  <c r="V45" i="21"/>
  <c r="T45" i="21"/>
  <c r="Q45" i="21"/>
  <c r="V44" i="21"/>
  <c r="T44" i="21"/>
  <c r="Q44" i="21"/>
  <c r="V43" i="21"/>
  <c r="T43" i="21"/>
  <c r="Q43" i="21"/>
  <c r="V42" i="21"/>
  <c r="T42" i="21"/>
  <c r="Q42" i="21"/>
  <c r="V41" i="21"/>
  <c r="T41" i="21"/>
  <c r="Q41" i="21"/>
  <c r="V40" i="21"/>
  <c r="T40" i="21"/>
  <c r="Q40" i="21"/>
  <c r="V39" i="21"/>
  <c r="T39" i="21"/>
  <c r="Q39" i="21"/>
  <c r="V38" i="21"/>
  <c r="T38" i="21"/>
  <c r="Q38" i="21"/>
  <c r="V37" i="21"/>
  <c r="T37" i="21"/>
  <c r="Q37" i="21"/>
  <c r="V36" i="21"/>
  <c r="T36" i="21"/>
  <c r="Q36" i="21"/>
  <c r="V35" i="21"/>
  <c r="T35" i="21"/>
  <c r="Q35" i="21"/>
  <c r="V34" i="21"/>
  <c r="T34" i="21"/>
  <c r="Q34" i="21"/>
  <c r="V33" i="21"/>
  <c r="T33" i="21"/>
  <c r="Q33" i="21"/>
  <c r="V32" i="21"/>
  <c r="T32" i="21"/>
  <c r="Q32" i="21"/>
  <c r="V31" i="21"/>
  <c r="T31" i="21"/>
  <c r="Q31" i="21"/>
  <c r="V30" i="21"/>
  <c r="T30" i="21"/>
  <c r="Q30" i="21"/>
  <c r="V29" i="21"/>
  <c r="T29" i="21"/>
  <c r="Q29" i="21"/>
  <c r="V28" i="21"/>
  <c r="T28" i="21"/>
  <c r="Q28" i="21"/>
  <c r="V27" i="21"/>
  <c r="T27" i="21"/>
  <c r="Q27" i="21"/>
  <c r="V26" i="21"/>
  <c r="T26" i="21"/>
  <c r="Q26" i="21"/>
  <c r="V25" i="21"/>
  <c r="T25" i="21"/>
  <c r="Q25" i="21"/>
  <c r="V24" i="21"/>
  <c r="T24" i="21"/>
  <c r="Q24" i="21"/>
  <c r="V23" i="21"/>
  <c r="T23" i="21"/>
  <c r="Q23" i="21"/>
  <c r="V22" i="21"/>
  <c r="T22" i="21"/>
  <c r="Q22" i="21"/>
  <c r="V21" i="21"/>
  <c r="T21" i="21"/>
  <c r="Q21" i="21"/>
  <c r="V20" i="21"/>
  <c r="T20" i="21"/>
  <c r="Q20" i="21"/>
  <c r="V19" i="21"/>
  <c r="T19" i="21"/>
  <c r="Q19" i="21"/>
  <c r="V18" i="21"/>
  <c r="T18" i="21"/>
  <c r="Q18" i="21"/>
  <c r="V17" i="21"/>
  <c r="T17" i="21"/>
  <c r="Q17" i="21"/>
  <c r="V16" i="21"/>
  <c r="T16" i="21"/>
  <c r="Q16" i="21"/>
  <c r="V15" i="21"/>
  <c r="T15" i="21"/>
  <c r="Q15" i="21"/>
  <c r="V14" i="21"/>
  <c r="T14" i="21"/>
  <c r="Q14" i="21"/>
  <c r="V13" i="21"/>
  <c r="T13" i="21"/>
  <c r="Q13" i="21"/>
  <c r="V12" i="21"/>
  <c r="T12" i="21"/>
  <c r="Q12" i="21"/>
  <c r="V11" i="21"/>
  <c r="T11" i="21"/>
  <c r="Q11" i="21"/>
  <c r="V10" i="21"/>
  <c r="T10" i="21"/>
  <c r="Q10" i="21"/>
  <c r="V9" i="21"/>
  <c r="T9" i="21"/>
  <c r="Q9" i="21"/>
  <c r="V8" i="21"/>
  <c r="T8" i="21"/>
  <c r="Q8" i="21"/>
  <c r="V7" i="21"/>
  <c r="T7" i="21"/>
  <c r="Q7" i="21"/>
  <c r="V6" i="21"/>
  <c r="T6" i="21"/>
  <c r="Q6" i="21"/>
  <c r="V5" i="21"/>
  <c r="T5" i="21"/>
  <c r="Q5" i="21"/>
  <c r="V4" i="21"/>
  <c r="T4" i="21"/>
  <c r="Q4" i="21"/>
  <c r="V3" i="21"/>
  <c r="T3" i="21"/>
  <c r="Q3" i="21"/>
  <c r="V2" i="21"/>
  <c r="T2" i="21"/>
  <c r="Q2" i="21"/>
  <c r="T79" i="20" l="1"/>
  <c r="V79" i="20" s="1"/>
  <c r="Q79" i="20"/>
  <c r="T78" i="20"/>
  <c r="V78" i="20" s="1"/>
  <c r="Q78" i="20"/>
  <c r="T77" i="20"/>
  <c r="V77" i="20" s="1"/>
  <c r="Q77" i="20"/>
  <c r="T73" i="20"/>
  <c r="V73" i="20" s="1"/>
  <c r="Q73" i="20"/>
  <c r="T72" i="20"/>
  <c r="V72" i="20" s="1"/>
  <c r="Q72" i="20"/>
  <c r="T71" i="20"/>
  <c r="V71" i="20" s="1"/>
  <c r="Q71" i="20"/>
  <c r="T70" i="20"/>
  <c r="V70" i="20" s="1"/>
  <c r="Q70" i="20"/>
  <c r="T69" i="20"/>
  <c r="V69" i="20" s="1"/>
  <c r="Q69" i="20"/>
  <c r="T68" i="20"/>
  <c r="V68" i="20" s="1"/>
  <c r="Q68" i="20"/>
  <c r="T67" i="20"/>
  <c r="V67" i="20" s="1"/>
  <c r="Q67" i="20"/>
  <c r="T66" i="20"/>
  <c r="V66" i="20" s="1"/>
  <c r="Q66" i="20"/>
  <c r="T65" i="20"/>
  <c r="V65" i="20" s="1"/>
  <c r="Q65" i="20"/>
  <c r="T64" i="20"/>
  <c r="V64" i="20" s="1"/>
  <c r="Q64" i="20"/>
  <c r="T63" i="20"/>
  <c r="V63" i="20" s="1"/>
  <c r="Q63" i="20"/>
  <c r="T62" i="20"/>
  <c r="V62" i="20" s="1"/>
  <c r="Q62" i="20"/>
  <c r="T61" i="20"/>
  <c r="V61" i="20" s="1"/>
  <c r="Q61" i="20"/>
  <c r="T60" i="20"/>
  <c r="V60" i="20" s="1"/>
  <c r="Q60" i="20"/>
  <c r="T59" i="20"/>
  <c r="V59" i="20" s="1"/>
  <c r="Q59" i="20"/>
  <c r="T58" i="20"/>
  <c r="V58" i="20" s="1"/>
  <c r="Q58" i="20"/>
  <c r="T57" i="20"/>
  <c r="V57" i="20" s="1"/>
  <c r="Q57" i="20"/>
  <c r="T56" i="20"/>
  <c r="V56" i="20" s="1"/>
  <c r="Q56" i="20"/>
  <c r="T55" i="20"/>
  <c r="V55" i="20" s="1"/>
  <c r="Q55" i="20"/>
  <c r="T54" i="20"/>
  <c r="V54" i="20" s="1"/>
  <c r="Q54" i="20"/>
  <c r="T53" i="20"/>
  <c r="V53" i="20" s="1"/>
  <c r="Q53" i="20"/>
  <c r="T52" i="20"/>
  <c r="V52" i="20" s="1"/>
  <c r="Q52" i="20"/>
  <c r="T51" i="20"/>
  <c r="V51" i="20" s="1"/>
  <c r="Q51" i="20"/>
  <c r="T50" i="20"/>
  <c r="V50" i="20" s="1"/>
  <c r="Q50" i="20"/>
  <c r="T49" i="20"/>
  <c r="V49" i="20" s="1"/>
  <c r="Q49" i="20"/>
  <c r="T48" i="20"/>
  <c r="V48" i="20" s="1"/>
  <c r="Q48" i="20"/>
  <c r="T47" i="20"/>
  <c r="V47" i="20" s="1"/>
  <c r="Q47" i="20"/>
  <c r="T46" i="20"/>
  <c r="V46" i="20" s="1"/>
  <c r="Q46" i="20"/>
  <c r="T45" i="20"/>
  <c r="V45" i="20" s="1"/>
  <c r="Q45" i="20"/>
  <c r="T44" i="20"/>
  <c r="V44" i="20" s="1"/>
  <c r="Q44" i="20"/>
  <c r="T43" i="20"/>
  <c r="V43" i="20" s="1"/>
  <c r="Q43" i="20"/>
  <c r="T42" i="20"/>
  <c r="V42" i="20" s="1"/>
  <c r="Q42" i="20"/>
  <c r="T41" i="20"/>
  <c r="V41" i="20" s="1"/>
  <c r="Q41" i="20"/>
  <c r="T40" i="20"/>
  <c r="V40" i="20" s="1"/>
  <c r="Q40" i="20"/>
  <c r="T39" i="20"/>
  <c r="V39" i="20" s="1"/>
  <c r="Q39" i="20"/>
  <c r="T38" i="20"/>
  <c r="V38" i="20" s="1"/>
  <c r="Q38" i="20"/>
  <c r="T37" i="20"/>
  <c r="V37" i="20" s="1"/>
  <c r="Q37" i="20"/>
  <c r="T36" i="20"/>
  <c r="V36" i="20" s="1"/>
  <c r="Q36" i="20"/>
  <c r="T35" i="20"/>
  <c r="V35" i="20" s="1"/>
  <c r="Q35" i="20"/>
  <c r="T34" i="20"/>
  <c r="V34" i="20" s="1"/>
  <c r="Q34" i="20"/>
  <c r="T33" i="20"/>
  <c r="V33" i="20" s="1"/>
  <c r="Q33" i="20"/>
  <c r="T32" i="20"/>
  <c r="V32" i="20" s="1"/>
  <c r="Q32" i="20"/>
  <c r="T31" i="20"/>
  <c r="V31" i="20" s="1"/>
  <c r="Q31" i="20"/>
  <c r="T30" i="20"/>
  <c r="V30" i="20" s="1"/>
  <c r="Q30" i="20"/>
  <c r="T29" i="20"/>
  <c r="V29" i="20" s="1"/>
  <c r="Q29" i="20"/>
  <c r="T28" i="20"/>
  <c r="V28" i="20" s="1"/>
  <c r="Q28" i="20"/>
  <c r="T27" i="20"/>
  <c r="V27" i="20" s="1"/>
  <c r="Q27" i="20"/>
  <c r="T26" i="20"/>
  <c r="V26" i="20" s="1"/>
  <c r="Q26" i="20"/>
  <c r="T25" i="20"/>
  <c r="V25" i="20" s="1"/>
  <c r="Q25" i="20"/>
  <c r="T24" i="20"/>
  <c r="V24" i="20" s="1"/>
  <c r="Q24" i="20"/>
  <c r="T23" i="20"/>
  <c r="V23" i="20" s="1"/>
  <c r="Q23" i="20"/>
  <c r="T22" i="20"/>
  <c r="V22" i="20" s="1"/>
  <c r="Q22" i="20"/>
  <c r="T21" i="20"/>
  <c r="V21" i="20" s="1"/>
  <c r="Q21" i="20"/>
  <c r="T20" i="20"/>
  <c r="V20" i="20" s="1"/>
  <c r="Q20" i="20"/>
  <c r="T19" i="20"/>
  <c r="V19" i="20" s="1"/>
  <c r="Q19" i="20"/>
  <c r="T18" i="20"/>
  <c r="V18" i="20" s="1"/>
  <c r="Q18" i="20"/>
  <c r="T17" i="20"/>
  <c r="V17" i="20" s="1"/>
  <c r="Q17" i="20"/>
  <c r="T16" i="20"/>
  <c r="V16" i="20" s="1"/>
  <c r="Q16" i="20"/>
  <c r="T15" i="20"/>
  <c r="V15" i="20" s="1"/>
  <c r="Q15" i="20"/>
  <c r="T14" i="20"/>
  <c r="V14" i="20" s="1"/>
  <c r="Q14" i="20"/>
  <c r="T13" i="20"/>
  <c r="V13" i="20" s="1"/>
  <c r="Q13" i="20"/>
  <c r="T12" i="20"/>
  <c r="V12" i="20" s="1"/>
  <c r="Q12" i="20"/>
  <c r="T11" i="20"/>
  <c r="V11" i="20" s="1"/>
  <c r="Q11" i="20"/>
  <c r="T10" i="20"/>
  <c r="V10" i="20" s="1"/>
  <c r="Q10" i="20"/>
  <c r="T9" i="20"/>
  <c r="V9" i="20" s="1"/>
  <c r="Q9" i="20"/>
  <c r="T8" i="20"/>
  <c r="V8" i="20" s="1"/>
  <c r="Q8" i="20"/>
  <c r="T7" i="20"/>
  <c r="V7" i="20" s="1"/>
  <c r="Q7" i="20"/>
  <c r="T6" i="20"/>
  <c r="V6" i="20" s="1"/>
  <c r="Q6" i="20"/>
  <c r="T5" i="20"/>
  <c r="V5" i="20" s="1"/>
  <c r="Q5" i="20"/>
  <c r="T4" i="20"/>
  <c r="V4" i="20" s="1"/>
  <c r="Q4" i="20"/>
  <c r="T3" i="20"/>
  <c r="V3" i="20" s="1"/>
  <c r="Q3" i="20"/>
  <c r="T2" i="20"/>
  <c r="V2" i="20" s="1"/>
  <c r="Q2" i="20"/>
  <c r="T61" i="19" l="1"/>
  <c r="V61" i="19" s="1"/>
  <c r="Q61" i="19"/>
  <c r="T60" i="19"/>
  <c r="V60" i="19" s="1"/>
  <c r="Q60" i="19"/>
  <c r="T59" i="19"/>
  <c r="V59" i="19" s="1"/>
  <c r="Q59" i="19"/>
  <c r="T58" i="19"/>
  <c r="V58" i="19" s="1"/>
  <c r="Q58" i="19"/>
  <c r="T57" i="19"/>
  <c r="V57" i="19" s="1"/>
  <c r="Q57" i="19"/>
  <c r="T56" i="19"/>
  <c r="V56" i="19" s="1"/>
  <c r="Q56" i="19"/>
  <c r="T55" i="19"/>
  <c r="V55" i="19" s="1"/>
  <c r="Q55" i="19"/>
  <c r="T54" i="19"/>
  <c r="V54" i="19" s="1"/>
  <c r="Q54" i="19"/>
  <c r="T53" i="19"/>
  <c r="V53" i="19" s="1"/>
  <c r="Q53" i="19"/>
  <c r="T52" i="19"/>
  <c r="V52" i="19" s="1"/>
  <c r="Q52" i="19"/>
  <c r="T51" i="19"/>
  <c r="V51" i="19" s="1"/>
  <c r="Q51" i="19"/>
  <c r="T50" i="19"/>
  <c r="V50" i="19" s="1"/>
  <c r="Q50" i="19"/>
  <c r="T49" i="19"/>
  <c r="V49" i="19" s="1"/>
  <c r="Q49" i="19"/>
  <c r="T48" i="19"/>
  <c r="V48" i="19" s="1"/>
  <c r="Q48" i="19"/>
  <c r="T47" i="19"/>
  <c r="V47" i="19" s="1"/>
  <c r="Q47" i="19"/>
  <c r="T46" i="19"/>
  <c r="V46" i="19" s="1"/>
  <c r="Q46" i="19"/>
  <c r="T45" i="19"/>
  <c r="V45" i="19" s="1"/>
  <c r="Q45" i="19"/>
  <c r="T44" i="19"/>
  <c r="V44" i="19" s="1"/>
  <c r="Q44" i="19"/>
  <c r="T43" i="19"/>
  <c r="V43" i="19" s="1"/>
  <c r="Q43" i="19"/>
  <c r="T42" i="19"/>
  <c r="V42" i="19" s="1"/>
  <c r="Q42" i="19"/>
  <c r="T41" i="19"/>
  <c r="V41" i="19" s="1"/>
  <c r="Q41" i="19"/>
  <c r="T40" i="19"/>
  <c r="V40" i="19" s="1"/>
  <c r="Q40" i="19"/>
  <c r="T39" i="19"/>
  <c r="V39" i="19" s="1"/>
  <c r="Q39" i="19"/>
  <c r="T38" i="19"/>
  <c r="V38" i="19" s="1"/>
  <c r="Q38" i="19"/>
  <c r="T37" i="19"/>
  <c r="V37" i="19" s="1"/>
  <c r="Q37" i="19"/>
  <c r="T36" i="19"/>
  <c r="V36" i="19" s="1"/>
  <c r="Q36" i="19"/>
  <c r="T35" i="19"/>
  <c r="V35" i="19" s="1"/>
  <c r="Q35" i="19"/>
  <c r="T34" i="19"/>
  <c r="V34" i="19" s="1"/>
  <c r="Q34" i="19"/>
  <c r="T33" i="19"/>
  <c r="V33" i="19" s="1"/>
  <c r="Q33" i="19"/>
  <c r="T32" i="19"/>
  <c r="V32" i="19" s="1"/>
  <c r="Q32" i="19"/>
  <c r="T31" i="19"/>
  <c r="V31" i="19" s="1"/>
  <c r="Q31" i="19"/>
  <c r="T30" i="19"/>
  <c r="V30" i="19" s="1"/>
  <c r="Q30" i="19"/>
  <c r="T29" i="19"/>
  <c r="V29" i="19" s="1"/>
  <c r="Q29" i="19"/>
  <c r="T28" i="19"/>
  <c r="V28" i="19" s="1"/>
  <c r="Q28" i="19"/>
  <c r="T27" i="19"/>
  <c r="V27" i="19" s="1"/>
  <c r="Q27" i="19"/>
  <c r="T26" i="19"/>
  <c r="V26" i="19" s="1"/>
  <c r="Q26" i="19"/>
  <c r="T25" i="19"/>
  <c r="V25" i="19" s="1"/>
  <c r="Q25" i="19"/>
  <c r="T24" i="19"/>
  <c r="V24" i="19" s="1"/>
  <c r="Q24" i="19"/>
  <c r="T23" i="19"/>
  <c r="V23" i="19" s="1"/>
  <c r="Q23" i="19"/>
  <c r="T22" i="19"/>
  <c r="V22" i="19" s="1"/>
  <c r="Q22" i="19"/>
  <c r="T21" i="19"/>
  <c r="V21" i="19" s="1"/>
  <c r="Q21" i="19"/>
  <c r="T20" i="19"/>
  <c r="V20" i="19" s="1"/>
  <c r="Q20" i="19"/>
  <c r="T19" i="19"/>
  <c r="V19" i="19" s="1"/>
  <c r="Q19" i="19"/>
  <c r="T18" i="19"/>
  <c r="V18" i="19" s="1"/>
  <c r="Q18" i="19"/>
  <c r="T17" i="19"/>
  <c r="V17" i="19" s="1"/>
  <c r="Q17" i="19"/>
  <c r="T16" i="19"/>
  <c r="V16" i="19" s="1"/>
  <c r="Q16" i="19"/>
  <c r="T15" i="19"/>
  <c r="V15" i="19" s="1"/>
  <c r="Q15" i="19"/>
  <c r="T14" i="19"/>
  <c r="V14" i="19" s="1"/>
  <c r="Q14" i="19"/>
  <c r="T13" i="19"/>
  <c r="V13" i="19" s="1"/>
  <c r="Q13" i="19"/>
  <c r="T12" i="19"/>
  <c r="V12" i="19" s="1"/>
  <c r="Q12" i="19"/>
  <c r="T11" i="19"/>
  <c r="V11" i="19" s="1"/>
  <c r="Q11" i="19"/>
  <c r="T10" i="19"/>
  <c r="V10" i="19" s="1"/>
  <c r="Q10" i="19"/>
  <c r="T9" i="19"/>
  <c r="V9" i="19" s="1"/>
  <c r="Q9" i="19"/>
  <c r="T8" i="19"/>
  <c r="V8" i="19" s="1"/>
  <c r="Q8" i="19"/>
  <c r="T7" i="19"/>
  <c r="V7" i="19" s="1"/>
  <c r="Q7" i="19"/>
  <c r="T6" i="19"/>
  <c r="V6" i="19" s="1"/>
  <c r="Q6" i="19"/>
  <c r="T5" i="19"/>
  <c r="V5" i="19" s="1"/>
  <c r="Q5" i="19"/>
  <c r="T4" i="19"/>
  <c r="V4" i="19" s="1"/>
  <c r="Q4" i="19"/>
  <c r="T3" i="19"/>
  <c r="V3" i="19" s="1"/>
  <c r="Q3" i="19"/>
  <c r="T2" i="19"/>
  <c r="V2" i="19" s="1"/>
  <c r="Q2" i="19"/>
  <c r="T387" i="18" l="1"/>
  <c r="T386" i="18"/>
  <c r="T385" i="18"/>
  <c r="T384" i="18"/>
  <c r="T383" i="18"/>
  <c r="T382" i="18"/>
  <c r="T381" i="18"/>
  <c r="T380" i="18"/>
  <c r="T379" i="18"/>
  <c r="T378" i="18"/>
  <c r="T377" i="18"/>
  <c r="T376" i="18"/>
  <c r="T375" i="18"/>
  <c r="T374" i="18"/>
  <c r="T373" i="18"/>
  <c r="T372" i="18"/>
  <c r="T371" i="18"/>
  <c r="T370" i="18"/>
  <c r="T369" i="18"/>
  <c r="T368" i="18"/>
  <c r="T367" i="18"/>
  <c r="V367" i="18" s="1"/>
  <c r="T366" i="18"/>
  <c r="V366" i="18" s="1"/>
  <c r="V365" i="18"/>
  <c r="T365" i="18"/>
  <c r="T364" i="18"/>
  <c r="V364" i="18" s="1"/>
  <c r="T363" i="18"/>
  <c r="V363" i="18" s="1"/>
  <c r="T362" i="18"/>
  <c r="V362" i="18" s="1"/>
  <c r="T361" i="18"/>
  <c r="V361" i="18" s="1"/>
  <c r="T360" i="18"/>
  <c r="V360" i="18" s="1"/>
  <c r="V359" i="18"/>
  <c r="T359" i="18"/>
  <c r="Q359" i="18"/>
  <c r="T358" i="18"/>
  <c r="V358" i="18" s="1"/>
  <c r="Q358" i="18"/>
  <c r="T357" i="18"/>
  <c r="V357" i="18" s="1"/>
  <c r="Q357" i="18"/>
  <c r="V356" i="18"/>
  <c r="T356" i="18"/>
  <c r="Q356" i="18"/>
  <c r="V355" i="18"/>
  <c r="T355" i="18"/>
  <c r="Q355" i="18"/>
  <c r="T354" i="18"/>
  <c r="V354" i="18" s="1"/>
  <c r="Q354" i="18"/>
  <c r="T353" i="18"/>
  <c r="V353" i="18" s="1"/>
  <c r="Q353" i="18"/>
  <c r="V352" i="18"/>
  <c r="T352" i="18"/>
  <c r="Q352" i="18"/>
  <c r="V351" i="18"/>
  <c r="T351" i="18"/>
  <c r="Q351" i="18"/>
  <c r="T350" i="18"/>
  <c r="V350" i="18" s="1"/>
  <c r="Q350" i="18"/>
  <c r="T349" i="18"/>
  <c r="V349" i="18" s="1"/>
  <c r="Q349" i="18"/>
  <c r="V348" i="18"/>
  <c r="T348" i="18"/>
  <c r="Q348" i="18"/>
  <c r="V347" i="18"/>
  <c r="T347" i="18"/>
  <c r="Q347" i="18"/>
  <c r="T346" i="18"/>
  <c r="V346" i="18" s="1"/>
  <c r="Q346" i="18"/>
  <c r="T345" i="18"/>
  <c r="V345" i="18" s="1"/>
  <c r="Q345" i="18"/>
  <c r="V344" i="18"/>
  <c r="T344" i="18"/>
  <c r="Q344" i="18"/>
  <c r="V343" i="18"/>
  <c r="T343" i="18"/>
  <c r="Q343" i="18"/>
  <c r="T342" i="18"/>
  <c r="V342" i="18" s="1"/>
  <c r="Q342" i="18"/>
  <c r="T341" i="18"/>
  <c r="V341" i="18" s="1"/>
  <c r="Q341" i="18"/>
  <c r="V340" i="18"/>
  <c r="T340" i="18"/>
  <c r="Q340" i="18"/>
  <c r="V339" i="18"/>
  <c r="T339" i="18"/>
  <c r="Q339" i="18"/>
  <c r="T338" i="18"/>
  <c r="V338" i="18" s="1"/>
  <c r="Q338" i="18"/>
  <c r="T337" i="18"/>
  <c r="V337" i="18" s="1"/>
  <c r="Q337" i="18"/>
  <c r="V336" i="18"/>
  <c r="T336" i="18"/>
  <c r="Q336" i="18"/>
  <c r="V335" i="18"/>
  <c r="T335" i="18"/>
  <c r="Q335" i="18"/>
  <c r="T334" i="18"/>
  <c r="V334" i="18" s="1"/>
  <c r="Q334" i="18"/>
  <c r="T333" i="18"/>
  <c r="V333" i="18" s="1"/>
  <c r="Q333" i="18"/>
  <c r="V332" i="18"/>
  <c r="T332" i="18"/>
  <c r="Q332" i="18"/>
  <c r="V331" i="18"/>
  <c r="T331" i="18"/>
  <c r="Q331" i="18"/>
  <c r="T330" i="18"/>
  <c r="V330" i="18" s="1"/>
  <c r="Q330" i="18"/>
  <c r="T329" i="18"/>
  <c r="V329" i="18" s="1"/>
  <c r="Q329" i="18"/>
  <c r="V328" i="18"/>
  <c r="T328" i="18"/>
  <c r="Q328" i="18"/>
  <c r="V327" i="18"/>
  <c r="T327" i="18"/>
  <c r="Q327" i="18"/>
  <c r="T326" i="18"/>
  <c r="V326" i="18" s="1"/>
  <c r="Q326" i="18"/>
  <c r="T325" i="18"/>
  <c r="V325" i="18" s="1"/>
  <c r="Q325" i="18"/>
  <c r="V324" i="18"/>
  <c r="T324" i="18"/>
  <c r="Q324" i="18"/>
  <c r="V323" i="18"/>
  <c r="T323" i="18"/>
  <c r="Q323" i="18"/>
  <c r="T322" i="18"/>
  <c r="V322" i="18" s="1"/>
  <c r="Q322" i="18"/>
  <c r="T321" i="18"/>
  <c r="V321" i="18" s="1"/>
  <c r="Q321" i="18"/>
  <c r="V320" i="18"/>
  <c r="T320" i="18"/>
  <c r="Q320" i="18"/>
  <c r="V319" i="18"/>
  <c r="T319" i="18"/>
  <c r="Q319" i="18"/>
  <c r="T318" i="18"/>
  <c r="V318" i="18" s="1"/>
  <c r="Q318" i="18"/>
  <c r="T317" i="18"/>
  <c r="V317" i="18" s="1"/>
  <c r="Q317" i="18"/>
  <c r="V316" i="18"/>
  <c r="T316" i="18"/>
  <c r="Q316" i="18"/>
  <c r="V315" i="18"/>
  <c r="T315" i="18"/>
  <c r="Q315" i="18"/>
  <c r="T314" i="18"/>
  <c r="V314" i="18" s="1"/>
  <c r="Q314" i="18"/>
  <c r="T313" i="18"/>
  <c r="V313" i="18" s="1"/>
  <c r="Q313" i="18"/>
  <c r="V312" i="18"/>
  <c r="T312" i="18"/>
  <c r="Q312" i="18"/>
  <c r="V311" i="18"/>
  <c r="T311" i="18"/>
  <c r="Q311" i="18"/>
  <c r="T310" i="18"/>
  <c r="V310" i="18" s="1"/>
  <c r="Q310" i="18"/>
  <c r="T309" i="18"/>
  <c r="V309" i="18" s="1"/>
  <c r="Q309" i="18"/>
  <c r="V308" i="18"/>
  <c r="T308" i="18"/>
  <c r="Q308" i="18"/>
  <c r="V307" i="18"/>
  <c r="T307" i="18"/>
  <c r="Q307" i="18"/>
  <c r="T306" i="18"/>
  <c r="V306" i="18" s="1"/>
  <c r="Q306" i="18"/>
  <c r="T305" i="18"/>
  <c r="V305" i="18" s="1"/>
  <c r="Q305" i="18"/>
  <c r="V304" i="18"/>
  <c r="T304" i="18"/>
  <c r="Q304" i="18"/>
  <c r="V303" i="18"/>
  <c r="T303" i="18"/>
  <c r="Q303" i="18"/>
  <c r="T302" i="18"/>
  <c r="V302" i="18" s="1"/>
  <c r="Q302" i="18"/>
  <c r="T301" i="18"/>
  <c r="V301" i="18" s="1"/>
  <c r="Q301" i="18"/>
  <c r="V300" i="18"/>
  <c r="T300" i="18"/>
  <c r="Q300" i="18"/>
  <c r="V299" i="18"/>
  <c r="T299" i="18"/>
  <c r="Q299" i="18"/>
  <c r="T298" i="18"/>
  <c r="V298" i="18" s="1"/>
  <c r="Q298" i="18"/>
  <c r="T297" i="18"/>
  <c r="V297" i="18" s="1"/>
  <c r="Q297" i="18"/>
  <c r="V296" i="18"/>
  <c r="T296" i="18"/>
  <c r="Q296" i="18"/>
  <c r="V295" i="18"/>
  <c r="T295" i="18"/>
  <c r="Q295" i="18"/>
  <c r="T294" i="18"/>
  <c r="V294" i="18" s="1"/>
  <c r="Q294" i="18"/>
  <c r="T293" i="18"/>
  <c r="V293" i="18" s="1"/>
  <c r="Q293" i="18"/>
  <c r="V292" i="18"/>
  <c r="T292" i="18"/>
  <c r="Q292" i="18"/>
  <c r="V291" i="18"/>
  <c r="T291" i="18"/>
  <c r="Q291" i="18"/>
  <c r="T290" i="18"/>
  <c r="V290" i="18" s="1"/>
  <c r="Q290" i="18"/>
  <c r="T289" i="18"/>
  <c r="V289" i="18" s="1"/>
  <c r="Q289" i="18"/>
  <c r="V288" i="18"/>
  <c r="T288" i="18"/>
  <c r="Q288" i="18"/>
  <c r="V287" i="18"/>
  <c r="T287" i="18"/>
  <c r="Q287" i="18"/>
  <c r="T286" i="18"/>
  <c r="V286" i="18" s="1"/>
  <c r="Q286" i="18"/>
  <c r="T285" i="18"/>
  <c r="V285" i="18" s="1"/>
  <c r="Q285" i="18"/>
  <c r="V284" i="18"/>
  <c r="T284" i="18"/>
  <c r="Q284" i="18"/>
  <c r="V283" i="18"/>
  <c r="T283" i="18"/>
  <c r="Q283" i="18"/>
  <c r="T282" i="18"/>
  <c r="V282" i="18" s="1"/>
  <c r="Q282" i="18"/>
  <c r="T281" i="18"/>
  <c r="V281" i="18" s="1"/>
  <c r="Q281" i="18"/>
  <c r="V280" i="18"/>
  <c r="T280" i="18"/>
  <c r="Q280" i="18"/>
  <c r="V279" i="18"/>
  <c r="T279" i="18"/>
  <c r="Q279" i="18"/>
  <c r="T278" i="18"/>
  <c r="V278" i="18" s="1"/>
  <c r="Q278" i="18"/>
  <c r="T277" i="18"/>
  <c r="V277" i="18" s="1"/>
  <c r="Q277" i="18"/>
  <c r="V276" i="18"/>
  <c r="T276" i="18"/>
  <c r="Q276" i="18"/>
  <c r="V275" i="18"/>
  <c r="T275" i="18"/>
  <c r="Q275" i="18"/>
  <c r="T274" i="18"/>
  <c r="V274" i="18" s="1"/>
  <c r="Q274" i="18"/>
  <c r="T273" i="18"/>
  <c r="V273" i="18" s="1"/>
  <c r="Q273" i="18"/>
  <c r="V272" i="18"/>
  <c r="T272" i="18"/>
  <c r="Q272" i="18"/>
  <c r="V271" i="18"/>
  <c r="T271" i="18"/>
  <c r="Q271" i="18"/>
  <c r="T270" i="18"/>
  <c r="V270" i="18" s="1"/>
  <c r="Q270" i="18"/>
  <c r="T269" i="18"/>
  <c r="V269" i="18" s="1"/>
  <c r="Q269" i="18"/>
  <c r="V268" i="18"/>
  <c r="T268" i="18"/>
  <c r="Q268" i="18"/>
  <c r="V267" i="18"/>
  <c r="T267" i="18"/>
  <c r="Q267" i="18"/>
  <c r="T266" i="18"/>
  <c r="V266" i="18" s="1"/>
  <c r="Q266" i="18"/>
  <c r="T265" i="18"/>
  <c r="V265" i="18" s="1"/>
  <c r="Q265" i="18"/>
  <c r="V264" i="18"/>
  <c r="T264" i="18"/>
  <c r="Q264" i="18"/>
  <c r="V263" i="18"/>
  <c r="T263" i="18"/>
  <c r="Q263" i="18"/>
  <c r="T262" i="18"/>
  <c r="V262" i="18" s="1"/>
  <c r="Q262" i="18"/>
  <c r="T261" i="18"/>
  <c r="V261" i="18" s="1"/>
  <c r="Q261" i="18"/>
  <c r="V260" i="18"/>
  <c r="T260" i="18"/>
  <c r="Q260" i="18"/>
  <c r="V259" i="18"/>
  <c r="T259" i="18"/>
  <c r="Q259" i="18"/>
  <c r="T258" i="18"/>
  <c r="V258" i="18" s="1"/>
  <c r="Q258" i="18"/>
  <c r="T257" i="18"/>
  <c r="V257" i="18" s="1"/>
  <c r="Q257" i="18"/>
  <c r="T256" i="18"/>
  <c r="V256" i="18" s="1"/>
  <c r="Q256" i="18"/>
  <c r="V255" i="18"/>
  <c r="T255" i="18"/>
  <c r="Q255" i="18"/>
  <c r="T254" i="18"/>
  <c r="V254" i="18" s="1"/>
  <c r="Q254" i="18"/>
  <c r="T253" i="18"/>
  <c r="V253" i="18" s="1"/>
  <c r="Q253" i="18"/>
  <c r="V252" i="18"/>
  <c r="T252" i="18"/>
  <c r="Q252" i="18"/>
  <c r="V251" i="18"/>
  <c r="T251" i="18"/>
  <c r="Q251" i="18"/>
  <c r="T250" i="18"/>
  <c r="V250" i="18" s="1"/>
  <c r="Q250" i="18"/>
  <c r="T249" i="18"/>
  <c r="V249" i="18" s="1"/>
  <c r="Q249" i="18"/>
  <c r="V248" i="18"/>
  <c r="T248" i="18"/>
  <c r="Q248" i="18"/>
  <c r="V247" i="18"/>
  <c r="T247" i="18"/>
  <c r="Q247" i="18"/>
  <c r="T246" i="18"/>
  <c r="V246" i="18" s="1"/>
  <c r="Q246" i="18"/>
  <c r="T245" i="18"/>
  <c r="V245" i="18" s="1"/>
  <c r="Q245" i="18"/>
  <c r="V244" i="18"/>
  <c r="T244" i="18"/>
  <c r="Q244" i="18"/>
  <c r="V243" i="18"/>
  <c r="T243" i="18"/>
  <c r="Q243" i="18"/>
  <c r="T242" i="18"/>
  <c r="V242" i="18" s="1"/>
  <c r="Q242" i="18"/>
  <c r="T241" i="18"/>
  <c r="V241" i="18" s="1"/>
  <c r="Q241" i="18"/>
  <c r="V240" i="18"/>
  <c r="T240" i="18"/>
  <c r="Q240" i="18"/>
  <c r="V239" i="18"/>
  <c r="T239" i="18"/>
  <c r="Q239" i="18"/>
  <c r="T238" i="18"/>
  <c r="V238" i="18" s="1"/>
  <c r="Q238" i="18"/>
  <c r="T237" i="18"/>
  <c r="V237" i="18" s="1"/>
  <c r="Q237" i="18"/>
  <c r="V236" i="18"/>
  <c r="T236" i="18"/>
  <c r="Q236" i="18"/>
  <c r="V235" i="18"/>
  <c r="T235" i="18"/>
  <c r="Q235" i="18"/>
  <c r="T234" i="18"/>
  <c r="V234" i="18" s="1"/>
  <c r="Q234" i="18"/>
  <c r="T233" i="18"/>
  <c r="V233" i="18" s="1"/>
  <c r="Q233" i="18"/>
  <c r="T232" i="18"/>
  <c r="V232" i="18" s="1"/>
  <c r="Q232" i="18"/>
  <c r="V231" i="18"/>
  <c r="T231" i="18"/>
  <c r="Q231" i="18"/>
  <c r="T230" i="18"/>
  <c r="V230" i="18" s="1"/>
  <c r="Q230" i="18"/>
  <c r="T229" i="18"/>
  <c r="V229" i="18" s="1"/>
  <c r="Q229" i="18"/>
  <c r="V228" i="18"/>
  <c r="T228" i="18"/>
  <c r="Q228" i="18"/>
  <c r="V227" i="18"/>
  <c r="T227" i="18"/>
  <c r="Q227" i="18"/>
  <c r="T226" i="18"/>
  <c r="V226" i="18" s="1"/>
  <c r="Q226" i="18"/>
  <c r="T225" i="18"/>
  <c r="V225" i="18" s="1"/>
  <c r="Q225" i="18"/>
  <c r="V224" i="18"/>
  <c r="T224" i="18"/>
  <c r="Q224" i="18"/>
  <c r="V223" i="18"/>
  <c r="T223" i="18"/>
  <c r="Q223" i="18"/>
  <c r="T222" i="18"/>
  <c r="V222" i="18" s="1"/>
  <c r="Q222" i="18"/>
  <c r="T221" i="18"/>
  <c r="V221" i="18" s="1"/>
  <c r="Q221" i="18"/>
  <c r="V220" i="18"/>
  <c r="T220" i="18"/>
  <c r="Q220" i="18"/>
  <c r="V219" i="18"/>
  <c r="T219" i="18"/>
  <c r="Q219" i="18"/>
  <c r="T218" i="18"/>
  <c r="V218" i="18" s="1"/>
  <c r="Q218" i="18"/>
  <c r="T217" i="18"/>
  <c r="V217" i="18" s="1"/>
  <c r="Q217" i="18"/>
  <c r="V216" i="18"/>
  <c r="T216" i="18"/>
  <c r="Q216" i="18"/>
  <c r="V215" i="18"/>
  <c r="T215" i="18"/>
  <c r="Q215" i="18"/>
  <c r="T214" i="18"/>
  <c r="V214" i="18" s="1"/>
  <c r="Q214" i="18"/>
  <c r="T213" i="18"/>
  <c r="V213" i="18" s="1"/>
  <c r="Q213" i="18"/>
  <c r="V212" i="18"/>
  <c r="T212" i="18"/>
  <c r="Q212" i="18"/>
  <c r="V211" i="18"/>
  <c r="T211" i="18"/>
  <c r="Q211" i="18"/>
  <c r="T210" i="18"/>
  <c r="V210" i="18" s="1"/>
  <c r="Q210" i="18"/>
  <c r="T209" i="18"/>
  <c r="V209" i="18" s="1"/>
  <c r="Q209" i="18"/>
  <c r="T208" i="18"/>
  <c r="V208" i="18" s="1"/>
  <c r="Q208" i="18"/>
  <c r="V207" i="18"/>
  <c r="T207" i="18"/>
  <c r="Q207" i="18"/>
  <c r="T206" i="18"/>
  <c r="V206" i="18" s="1"/>
  <c r="Q206" i="18"/>
  <c r="T205" i="18"/>
  <c r="V205" i="18" s="1"/>
  <c r="Q205" i="18"/>
  <c r="V204" i="18"/>
  <c r="T204" i="18"/>
  <c r="Q204" i="18"/>
  <c r="V203" i="18"/>
  <c r="T203" i="18"/>
  <c r="Q203" i="18"/>
  <c r="T202" i="18"/>
  <c r="V202" i="18" s="1"/>
  <c r="Q202" i="18"/>
  <c r="T201" i="18"/>
  <c r="V201" i="18" s="1"/>
  <c r="Q201" i="18"/>
  <c r="V200" i="18"/>
  <c r="T200" i="18"/>
  <c r="Q200" i="18"/>
  <c r="V199" i="18"/>
  <c r="T199" i="18"/>
  <c r="Q199" i="18"/>
  <c r="T198" i="18"/>
  <c r="V198" i="18" s="1"/>
  <c r="Q198" i="18"/>
  <c r="T197" i="18"/>
  <c r="V197" i="18" s="1"/>
  <c r="Q197" i="18"/>
  <c r="T196" i="18"/>
  <c r="V196" i="18" s="1"/>
  <c r="Q196" i="18"/>
  <c r="V195" i="18"/>
  <c r="T195" i="18"/>
  <c r="Q195" i="18"/>
  <c r="T194" i="18"/>
  <c r="V194" i="18" s="1"/>
  <c r="Q194" i="18"/>
  <c r="T193" i="18"/>
  <c r="V193" i="18" s="1"/>
  <c r="Q193" i="18"/>
  <c r="V192" i="18"/>
  <c r="T192" i="18"/>
  <c r="Q192" i="18"/>
  <c r="V191" i="18"/>
  <c r="T191" i="18"/>
  <c r="Q191" i="18"/>
  <c r="T190" i="18"/>
  <c r="V190" i="18" s="1"/>
  <c r="Q190" i="18"/>
  <c r="T189" i="18"/>
  <c r="V189" i="18" s="1"/>
  <c r="Q189" i="18"/>
  <c r="V188" i="18"/>
  <c r="T188" i="18"/>
  <c r="Q188" i="18"/>
  <c r="V187" i="18"/>
  <c r="T187" i="18"/>
  <c r="Q187" i="18"/>
  <c r="T186" i="18"/>
  <c r="V186" i="18" s="1"/>
  <c r="Q186" i="18"/>
  <c r="T185" i="18"/>
  <c r="V185" i="18" s="1"/>
  <c r="Q185" i="18"/>
  <c r="T184" i="18"/>
  <c r="V184" i="18" s="1"/>
  <c r="Q184" i="18"/>
  <c r="V183" i="18"/>
  <c r="T183" i="18"/>
  <c r="Q183" i="18"/>
  <c r="T182" i="18"/>
  <c r="V182" i="18" s="1"/>
  <c r="Q182" i="18"/>
  <c r="T181" i="18"/>
  <c r="V181" i="18" s="1"/>
  <c r="Q181" i="18"/>
  <c r="V180" i="18"/>
  <c r="T180" i="18"/>
  <c r="Q180" i="18"/>
  <c r="V179" i="18"/>
  <c r="T179" i="18"/>
  <c r="Q179" i="18"/>
  <c r="T178" i="18"/>
  <c r="V178" i="18" s="1"/>
  <c r="Q178" i="18"/>
  <c r="T177" i="18"/>
  <c r="V177" i="18" s="1"/>
  <c r="Q177" i="18"/>
  <c r="V176" i="18"/>
  <c r="T176" i="18"/>
  <c r="Q176" i="18"/>
  <c r="V175" i="18"/>
  <c r="T175" i="18"/>
  <c r="Q175" i="18"/>
  <c r="T174" i="18"/>
  <c r="V174" i="18" s="1"/>
  <c r="Q174" i="18"/>
  <c r="T173" i="18"/>
  <c r="V173" i="18" s="1"/>
  <c r="Q173" i="18"/>
  <c r="T172" i="18"/>
  <c r="V172" i="18" s="1"/>
  <c r="Q172" i="18"/>
  <c r="V171" i="18"/>
  <c r="T171" i="18"/>
  <c r="Q171" i="18"/>
  <c r="T170" i="18"/>
  <c r="V170" i="18" s="1"/>
  <c r="Q170" i="18"/>
  <c r="T169" i="18"/>
  <c r="V169" i="18" s="1"/>
  <c r="Q169" i="18"/>
  <c r="V168" i="18"/>
  <c r="T168" i="18"/>
  <c r="Q168" i="18"/>
  <c r="V167" i="18"/>
  <c r="T167" i="18"/>
  <c r="Q167" i="18"/>
  <c r="T166" i="18"/>
  <c r="V166" i="18" s="1"/>
  <c r="Q166" i="18"/>
  <c r="T165" i="18"/>
  <c r="V165" i="18" s="1"/>
  <c r="Q165" i="18"/>
  <c r="V164" i="18"/>
  <c r="T164" i="18"/>
  <c r="Q164" i="18"/>
  <c r="V163" i="18"/>
  <c r="T163" i="18"/>
  <c r="Q163" i="18"/>
  <c r="T162" i="18"/>
  <c r="V162" i="18" s="1"/>
  <c r="Q162" i="18"/>
  <c r="T161" i="18"/>
  <c r="V161" i="18" s="1"/>
  <c r="Q161" i="18"/>
  <c r="T160" i="18"/>
  <c r="V160" i="18" s="1"/>
  <c r="Q160" i="18"/>
  <c r="V159" i="18"/>
  <c r="T159" i="18"/>
  <c r="Q159" i="18"/>
  <c r="T158" i="18"/>
  <c r="V158" i="18" s="1"/>
  <c r="Q158" i="18"/>
  <c r="T157" i="18"/>
  <c r="V157" i="18" s="1"/>
  <c r="Q157" i="18"/>
  <c r="V156" i="18"/>
  <c r="T156" i="18"/>
  <c r="Q156" i="18"/>
  <c r="V155" i="18"/>
  <c r="T155" i="18"/>
  <c r="Q155" i="18"/>
  <c r="T154" i="18"/>
  <c r="V154" i="18" s="1"/>
  <c r="Q154" i="18"/>
  <c r="T153" i="18"/>
  <c r="V153" i="18" s="1"/>
  <c r="Q153" i="18"/>
  <c r="V152" i="18"/>
  <c r="T152" i="18"/>
  <c r="Q152" i="18"/>
  <c r="V151" i="18"/>
  <c r="T151" i="18"/>
  <c r="Q151" i="18"/>
  <c r="T150" i="18"/>
  <c r="V150" i="18" s="1"/>
  <c r="Q150" i="18"/>
  <c r="T149" i="18"/>
  <c r="V149" i="18" s="1"/>
  <c r="Q149" i="18"/>
  <c r="T148" i="18"/>
  <c r="V148" i="18" s="1"/>
  <c r="Q148" i="18"/>
  <c r="T147" i="18"/>
  <c r="V147" i="18" s="1"/>
  <c r="Q147" i="18"/>
  <c r="T146" i="18"/>
  <c r="V146" i="18" s="1"/>
  <c r="Q146" i="18"/>
  <c r="T145" i="18"/>
  <c r="V145" i="18" s="1"/>
  <c r="Q145" i="18"/>
  <c r="V144" i="18"/>
  <c r="T144" i="18"/>
  <c r="Q144" i="18"/>
  <c r="T143" i="18"/>
  <c r="V143" i="18" s="1"/>
  <c r="Q143" i="18"/>
  <c r="T142" i="18"/>
  <c r="V142" i="18" s="1"/>
  <c r="Q142" i="18"/>
  <c r="T141" i="18"/>
  <c r="V141" i="18" s="1"/>
  <c r="Q141" i="18"/>
  <c r="V140" i="18"/>
  <c r="T140" i="18"/>
  <c r="Q140" i="18"/>
  <c r="T139" i="18"/>
  <c r="V139" i="18" s="1"/>
  <c r="Q139" i="18"/>
  <c r="T138" i="18"/>
  <c r="V138" i="18" s="1"/>
  <c r="Q138" i="18"/>
  <c r="T137" i="18"/>
  <c r="V137" i="18" s="1"/>
  <c r="Q137" i="18"/>
  <c r="T136" i="18"/>
  <c r="V136" i="18" s="1"/>
  <c r="Q136" i="18"/>
  <c r="T135" i="18"/>
  <c r="V135" i="18" s="1"/>
  <c r="Q135" i="18"/>
  <c r="T134" i="18"/>
  <c r="V134" i="18" s="1"/>
  <c r="Q134" i="18"/>
  <c r="T133" i="18"/>
  <c r="V133" i="18" s="1"/>
  <c r="Q133" i="18"/>
  <c r="V132" i="18"/>
  <c r="T132" i="18"/>
  <c r="Q132" i="18"/>
  <c r="V131" i="18"/>
  <c r="T131" i="18"/>
  <c r="Q131" i="18"/>
  <c r="T130" i="18"/>
  <c r="V130" i="18" s="1"/>
  <c r="Q130" i="18"/>
  <c r="T129" i="18"/>
  <c r="V129" i="18" s="1"/>
  <c r="Q129" i="18"/>
  <c r="V128" i="18"/>
  <c r="T128" i="18"/>
  <c r="Q128" i="18"/>
  <c r="T127" i="18"/>
  <c r="T126" i="18"/>
  <c r="T125" i="18"/>
  <c r="T124" i="18"/>
  <c r="T123" i="18"/>
  <c r="T122" i="18"/>
  <c r="T121" i="18"/>
  <c r="T120" i="18"/>
  <c r="T119" i="18"/>
  <c r="T118" i="18"/>
  <c r="T117" i="18"/>
  <c r="T116" i="18"/>
  <c r="T115" i="18"/>
  <c r="T114" i="18"/>
  <c r="T113" i="18"/>
  <c r="T112" i="18"/>
  <c r="T111" i="18"/>
  <c r="T110" i="18"/>
  <c r="T109" i="18"/>
  <c r="V109" i="18" s="1"/>
  <c r="Q109" i="18"/>
  <c r="T108" i="18"/>
  <c r="V108" i="18" s="1"/>
  <c r="Q108" i="18"/>
  <c r="V107" i="18"/>
  <c r="T107" i="18"/>
  <c r="Q107" i="18"/>
  <c r="T106" i="18"/>
  <c r="V106" i="18" s="1"/>
  <c r="Q106" i="18"/>
  <c r="T105" i="18"/>
  <c r="V105" i="18" s="1"/>
  <c r="Q105" i="18"/>
  <c r="T104" i="18"/>
  <c r="V104" i="18" s="1"/>
  <c r="Q104" i="18"/>
  <c r="V103" i="18"/>
  <c r="T103" i="18"/>
  <c r="Q103" i="18"/>
  <c r="T102" i="18"/>
  <c r="V102" i="18" s="1"/>
  <c r="Q102" i="18"/>
  <c r="T101" i="18"/>
  <c r="V101" i="18" s="1"/>
  <c r="Q101" i="18"/>
  <c r="T100" i="18"/>
  <c r="V100" i="18" s="1"/>
  <c r="Q100" i="18"/>
  <c r="T99" i="18"/>
  <c r="V99" i="18" s="1"/>
  <c r="Q99" i="18"/>
  <c r="T98" i="18"/>
  <c r="V98" i="18" s="1"/>
  <c r="Q98" i="18"/>
  <c r="T97" i="18"/>
  <c r="V97" i="18" s="1"/>
  <c r="Q97" i="18"/>
  <c r="V96" i="18"/>
  <c r="T96" i="18"/>
  <c r="Q96" i="18"/>
  <c r="V95" i="18"/>
  <c r="T95" i="18"/>
  <c r="Q95" i="18"/>
  <c r="T94" i="18"/>
  <c r="V94" i="18" s="1"/>
  <c r="Q94" i="18"/>
  <c r="T93" i="18"/>
  <c r="V93" i="18" s="1"/>
  <c r="Q93" i="18"/>
  <c r="T92" i="18"/>
  <c r="V92" i="18" s="1"/>
  <c r="Q92" i="18"/>
  <c r="V91" i="18"/>
  <c r="T91" i="18"/>
  <c r="Q91" i="18"/>
  <c r="T90" i="18"/>
  <c r="V90" i="18" s="1"/>
  <c r="Q90" i="18"/>
  <c r="T89" i="18"/>
  <c r="V89" i="18" s="1"/>
  <c r="Q89" i="18"/>
  <c r="T88" i="18"/>
  <c r="V88" i="18" s="1"/>
  <c r="Q88" i="18"/>
  <c r="T87" i="18"/>
  <c r="V87" i="18" s="1"/>
  <c r="Q87" i="18"/>
  <c r="T86" i="18"/>
  <c r="V86" i="18" s="1"/>
  <c r="Q86" i="18"/>
  <c r="T85" i="18"/>
  <c r="V85" i="18" s="1"/>
  <c r="Q85" i="18"/>
  <c r="T84" i="18"/>
  <c r="V84" i="18" s="1"/>
  <c r="Q84" i="18"/>
  <c r="V83" i="18"/>
  <c r="T83" i="18"/>
  <c r="Q83" i="18"/>
  <c r="T82" i="18"/>
  <c r="V82" i="18" s="1"/>
  <c r="Q82" i="18"/>
  <c r="T81" i="18"/>
  <c r="V81" i="18" s="1"/>
  <c r="Q81" i="18"/>
  <c r="T80" i="18"/>
  <c r="V80" i="18" s="1"/>
  <c r="Q80" i="18"/>
  <c r="V79" i="18"/>
  <c r="T79" i="18"/>
  <c r="Q79" i="18"/>
  <c r="T78" i="18"/>
  <c r="V78" i="18" s="1"/>
  <c r="Q78" i="18"/>
  <c r="T77" i="18"/>
  <c r="V77" i="18" s="1"/>
  <c r="Q77" i="18"/>
  <c r="T76" i="18"/>
  <c r="V76" i="18" s="1"/>
  <c r="Q76" i="18"/>
  <c r="T75" i="18"/>
  <c r="V75" i="18" s="1"/>
  <c r="Q75" i="18"/>
  <c r="T74" i="18"/>
  <c r="V74" i="18" s="1"/>
  <c r="Q74" i="18"/>
  <c r="T73" i="18"/>
  <c r="V73" i="18" s="1"/>
  <c r="Q73" i="18"/>
  <c r="V72" i="18"/>
  <c r="T72" i="18"/>
  <c r="Q72" i="18"/>
  <c r="V71" i="18"/>
  <c r="T71" i="18"/>
  <c r="Q71" i="18"/>
  <c r="T70" i="18"/>
  <c r="V70" i="18" s="1"/>
  <c r="Q70" i="18"/>
  <c r="T69" i="18"/>
  <c r="V69" i="18" s="1"/>
  <c r="Q69" i="18"/>
  <c r="T68" i="18"/>
  <c r="V68" i="18" s="1"/>
  <c r="Q68" i="18"/>
  <c r="V67" i="18"/>
  <c r="T67" i="18"/>
  <c r="Q67" i="18"/>
  <c r="T66" i="18"/>
  <c r="V66" i="18" s="1"/>
  <c r="Q66" i="18"/>
  <c r="T65" i="18"/>
  <c r="V65" i="18" s="1"/>
  <c r="Q65" i="18"/>
  <c r="T64" i="18"/>
  <c r="V64" i="18" s="1"/>
  <c r="Q64" i="18"/>
  <c r="T63" i="18"/>
  <c r="V63" i="18" s="1"/>
  <c r="Q63" i="18"/>
  <c r="T62" i="18"/>
  <c r="V62" i="18" s="1"/>
  <c r="Q62" i="18"/>
  <c r="T61" i="18"/>
  <c r="V61" i="18" s="1"/>
  <c r="Q61" i="18"/>
  <c r="T60" i="18"/>
  <c r="V60" i="18" s="1"/>
  <c r="Q60" i="18"/>
  <c r="T59" i="18"/>
  <c r="V59" i="18" s="1"/>
  <c r="Q59" i="18"/>
  <c r="T58" i="18"/>
  <c r="V58" i="18" s="1"/>
  <c r="Q58" i="18"/>
  <c r="T57" i="18"/>
  <c r="V57" i="18" s="1"/>
  <c r="Q57" i="18"/>
  <c r="V56" i="18"/>
  <c r="T56" i="18"/>
  <c r="Q56" i="18"/>
  <c r="V55" i="18"/>
  <c r="T55" i="18"/>
  <c r="Q55" i="18"/>
  <c r="T54" i="18"/>
  <c r="V54" i="18" s="1"/>
  <c r="Q54" i="18"/>
  <c r="T53" i="18"/>
  <c r="V53" i="18" s="1"/>
  <c r="Q53" i="18"/>
  <c r="T52" i="18"/>
  <c r="V52" i="18" s="1"/>
  <c r="Q52" i="18"/>
  <c r="T51" i="18"/>
  <c r="V51" i="18" s="1"/>
  <c r="Q51" i="18"/>
  <c r="T50" i="18"/>
  <c r="V50" i="18" s="1"/>
  <c r="Q50" i="18"/>
  <c r="T49" i="18"/>
  <c r="V49" i="18" s="1"/>
  <c r="Q49" i="18"/>
  <c r="V48" i="18"/>
  <c r="T48" i="18"/>
  <c r="Q48" i="18"/>
  <c r="V47" i="18"/>
  <c r="T47" i="18"/>
  <c r="Q47" i="18"/>
  <c r="T46" i="18"/>
  <c r="V46" i="18" s="1"/>
  <c r="Q46" i="18"/>
  <c r="T45" i="18"/>
  <c r="V45" i="18" s="1"/>
  <c r="Q45" i="18"/>
  <c r="T44" i="18"/>
  <c r="V44" i="18" s="1"/>
  <c r="Q44" i="18"/>
  <c r="V43" i="18"/>
  <c r="T43" i="18"/>
  <c r="Q43" i="18"/>
  <c r="T42" i="18"/>
  <c r="V42" i="18" s="1"/>
  <c r="Q42" i="18"/>
  <c r="T41" i="18"/>
  <c r="V41" i="18" s="1"/>
  <c r="Q41" i="18"/>
  <c r="T40" i="18"/>
  <c r="V40" i="18" s="1"/>
  <c r="Q40" i="18"/>
  <c r="T39" i="18"/>
  <c r="V39" i="18" s="1"/>
  <c r="Q39" i="18"/>
  <c r="T38" i="18"/>
  <c r="V38" i="18" s="1"/>
  <c r="Q38" i="18"/>
  <c r="T37" i="18"/>
  <c r="V37" i="18" s="1"/>
  <c r="Q37" i="18"/>
  <c r="V36" i="18"/>
  <c r="T36" i="18"/>
  <c r="Q36" i="18"/>
  <c r="T35" i="18"/>
  <c r="V35" i="18" s="1"/>
  <c r="Q35" i="18"/>
  <c r="T34" i="18"/>
  <c r="V34" i="18" s="1"/>
  <c r="Q34" i="18"/>
  <c r="T33" i="18"/>
  <c r="V33" i="18" s="1"/>
  <c r="Q33" i="18"/>
  <c r="V32" i="18"/>
  <c r="T32" i="18"/>
  <c r="Q32" i="18"/>
  <c r="V31" i="18"/>
  <c r="T31" i="18"/>
  <c r="Q31" i="18"/>
  <c r="T30" i="18"/>
  <c r="V30" i="18" s="1"/>
  <c r="Q30" i="18"/>
  <c r="T29" i="18"/>
  <c r="V29" i="18" s="1"/>
  <c r="Q29" i="18"/>
  <c r="T28" i="18"/>
  <c r="V28" i="18" s="1"/>
  <c r="Q28" i="18"/>
  <c r="T27" i="18"/>
  <c r="V27" i="18" s="1"/>
  <c r="Q27" i="18"/>
  <c r="T26" i="18"/>
  <c r="V26" i="18" s="1"/>
  <c r="Q26" i="18"/>
  <c r="T25" i="18"/>
  <c r="V25" i="18" s="1"/>
  <c r="Q25" i="18"/>
  <c r="V24" i="18"/>
  <c r="T24" i="18"/>
  <c r="Q24" i="18"/>
  <c r="T23" i="18"/>
  <c r="V23" i="18" s="1"/>
  <c r="Q23" i="18"/>
  <c r="T22" i="18"/>
  <c r="V22" i="18" s="1"/>
  <c r="Q22" i="18"/>
  <c r="T21" i="18"/>
  <c r="V21" i="18" s="1"/>
  <c r="Q21" i="18"/>
  <c r="T20" i="18"/>
  <c r="V20" i="18" s="1"/>
  <c r="Q20" i="18"/>
  <c r="V19" i="18"/>
  <c r="T19" i="18"/>
  <c r="Q19" i="18"/>
  <c r="T18" i="18"/>
  <c r="V18" i="18" s="1"/>
  <c r="Q18" i="18"/>
  <c r="T17" i="18"/>
  <c r="V17" i="18" s="1"/>
  <c r="Q17" i="18"/>
  <c r="T16" i="18"/>
  <c r="V16" i="18" s="1"/>
  <c r="Q16" i="18"/>
  <c r="T15" i="18"/>
  <c r="V15" i="18" s="1"/>
  <c r="Q15" i="18"/>
  <c r="T14" i="18"/>
  <c r="V14" i="18" s="1"/>
  <c r="Q14" i="18"/>
  <c r="T13" i="18"/>
  <c r="V13" i="18" s="1"/>
  <c r="Q13" i="18"/>
  <c r="T12" i="18"/>
  <c r="V12" i="18" s="1"/>
  <c r="Q12" i="18"/>
  <c r="T11" i="18"/>
  <c r="V11" i="18" s="1"/>
  <c r="Q11" i="18"/>
  <c r="V10" i="18"/>
  <c r="T10" i="18"/>
  <c r="Q10" i="18"/>
  <c r="T9" i="18"/>
  <c r="V9" i="18" s="1"/>
  <c r="Q9" i="18"/>
  <c r="T8" i="18"/>
  <c r="V8" i="18" s="1"/>
  <c r="Q8" i="18"/>
  <c r="T7" i="18"/>
  <c r="V7" i="18" s="1"/>
  <c r="Q7" i="18"/>
  <c r="T6" i="18"/>
  <c r="V6" i="18" s="1"/>
  <c r="Q6" i="18"/>
  <c r="T5" i="18"/>
  <c r="V5" i="18" s="1"/>
  <c r="Q5" i="18"/>
  <c r="T4" i="18"/>
  <c r="V4" i="18" s="1"/>
  <c r="Q4" i="18"/>
  <c r="T3" i="18"/>
  <c r="V3" i="18" s="1"/>
  <c r="Q3" i="18"/>
  <c r="T2" i="18"/>
  <c r="V2" i="18" s="1"/>
  <c r="Q2" i="18"/>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<sst xmlns="http://schemas.openxmlformats.org/spreadsheetml/2006/main" count="11017" uniqueCount="388">
  <si>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</si>
  <si>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</si>
  <si>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</si>
  <si>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</si>
  <si>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</si>
  <si>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</si>
  <si>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</si>
  <si>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</si>
  <si>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</si>
  <si>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</si>
  <si>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</si>
  <si>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</si>
  <si>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</si>
  <si>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</si>
  <si>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</si>
  <si>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</si>
  <si>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</si>
  <si>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</si>
  <si>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</si>
  <si>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</si>
  <si>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</si>
  <si>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</si>
  <si>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</si>
  <si>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</si>
  <si>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</si>
  <si>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</si>
  <si>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</si>
  <si>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</si>
  <si>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</si>
  <si>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</si>
  <si>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</si>
  <si>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</si>
  <si>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</si>
  <si>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</si>
  <si>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</si>
  <si>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</si>
  <si>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</si>
  <si>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</si>
  <si>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</si>
  <si>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</si>
  <si>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</si>
  <si>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</si>
  <si>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</si>
  <si>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</si>
  <si>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</si>
  <si>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</si>
  <si>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</si>
  <si>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</si>
  <si>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</si>
  <si>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</si>
  <si>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</si>
  <si>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</si>
  <si>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</si>
  <si>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</si>
  <si>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</si>
  <si>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</si>
  <si>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</si>
  <si>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</si>
  <si>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</si>
  <si>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</si>
  <si>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</si>
  <si>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</si>
  <si>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</si>
  <si>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</si>
  <si>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</si>
  <si>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</si>
  <si>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</si>
  <si>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</si>
  <si>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</si>
  <si>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</si>
  <si>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</si>
  <si>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</si>
  <si>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</si>
  <si>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</si>
  <si>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</si>
  <si>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</si>
  <si>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</si>
  <si>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</si>
  <si>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</si>
  <si>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</si>
  <si>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</si>
  <si>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</si>
  <si>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</si>
  <si>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</si>
  <si>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</si>
  <si>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</si>
  <si>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</si>
  <si>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</si>
  <si>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</si>
  <si>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</si>
  <si>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</si>
  <si>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</si>
  <si>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</si>
  <si>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</si>
  <si>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</si>
  <si>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</si>
  <si>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</si>
  <si>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</si>
  <si>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</si>
  <si>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</si>
  <si>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</si>
  <si>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</si>
  <si>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</si>
  <si>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</si>
  <si>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</si>
  <si>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</si>
  <si>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</si>
  <si>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</si>
  <si>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</si>
  <si>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</si>
  <si>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</si>
  <si>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</si>
  <si>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</si>
  <si>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</si>
  <si>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</si>
  <si>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</si>
  <si>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</si>
  <si>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</si>
  <si>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</si>
  <si>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</si>
  <si>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</si>
  <si>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</si>
  <si>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</si>
  <si>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</si>
  <si>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</si>
  <si>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</si>
  <si>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</si>
  <si>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</si>
  <si>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</si>
  <si>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</si>
  <si>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</si>
  <si>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</si>
  <si>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</si>
  <si>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</si>
  <si>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</si>
  <si>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</si>
  <si>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</si>
  <si>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</si>
  <si>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</si>
  <si>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</si>
  <si>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ホクレンショップ</t>
  </si>
  <si>
    <t>スーパーアークス</t>
  </si>
  <si>
    <t>東光ストア</t>
  </si>
  <si>
    <t>ラルズマート</t>
  </si>
  <si>
    <t>とんでん店</t>
    <rPh sb="4" eb="5">
      <t>テン</t>
    </rPh>
    <phoneticPr fontId="3"/>
  </si>
  <si>
    <t>屯田店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</si>
  <si>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</si>
  <si>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</si>
  <si>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</si>
  <si>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</si>
  <si>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</si>
  <si>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</si>
  <si>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</si>
  <si>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宮崎</t>
    <rPh sb="0" eb="2">
      <t>ミヤザキ</t>
    </rPh>
    <phoneticPr fontId="3"/>
  </si>
  <si>
    <t>マックスバリュ</t>
    <phoneticPr fontId="3"/>
  </si>
  <si>
    <t>北40条</t>
    <phoneticPr fontId="3"/>
  </si>
  <si>
    <t>北海道</t>
    <rPh sb="0" eb="3">
      <t>ホッカイドウ</t>
    </rPh>
    <phoneticPr fontId="3"/>
  </si>
  <si>
    <t>JP</t>
  </si>
  <si>
    <t>JPY</t>
  </si>
  <si>
    <t>CK</t>
  </si>
  <si>
    <t>GA</t>
  </si>
  <si>
    <t>ﾆｭｰｼﾞｰﾗﾝﾄﾞ</t>
  </si>
  <si>
    <t>マックスバリュ</t>
  </si>
  <si>
    <t>北40条</t>
  </si>
  <si>
    <t>HW</t>
  </si>
  <si>
    <t>16.07.2019</t>
  </si>
  <si>
    <t>16.07.2019</t>
    <phoneticPr fontId="3"/>
  </si>
  <si>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</si>
  <si>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</si>
  <si>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</si>
  <si>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</si>
  <si>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</si>
  <si>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</si>
  <si>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</si>
  <si>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</si>
  <si>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</si>
  <si>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</si>
  <si>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</si>
  <si>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</si>
  <si>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t xml:space="preserve">Green
Other
</t>
    </r>
    <r>
      <rPr>
        <b/>
        <sz val="8"/>
        <color theme="1"/>
        <rFont val="ＭＳ Ｐゴシック"/>
        <family val="3"/>
        <charset val="128"/>
      </rPr>
      <t>最低重量</t>
    </r>
  </si>
  <si>
    <t>Green
Other
SIZE</t>
  </si>
  <si>
    <r>
      <t xml:space="preserve">Gold
</t>
    </r>
    <r>
      <rPr>
        <b/>
        <sz val="8"/>
        <color theme="1"/>
        <rFont val="ＭＳ Ｐゴシック"/>
        <family val="3"/>
        <charset val="128"/>
      </rPr>
      <t>最低重量</t>
    </r>
  </si>
  <si>
    <t>Gold
SIZE</t>
  </si>
  <si>
    <t>16.07.2019</t>
    <phoneticPr fontId="22"/>
  </si>
  <si>
    <t>利府店</t>
  </si>
  <si>
    <t>その他グリーン</t>
  </si>
  <si>
    <t>みやぎ生協</t>
  </si>
  <si>
    <t>その他ゴールド</t>
  </si>
  <si>
    <t>杉の入店</t>
  </si>
  <si>
    <t>その他レッド</t>
  </si>
  <si>
    <t>減農薬栽培</t>
  </si>
  <si>
    <t>D'lish</t>
  </si>
  <si>
    <t>中国</t>
  </si>
  <si>
    <t>ウジエ</t>
  </si>
  <si>
    <t>Del Monte</t>
  </si>
  <si>
    <t>塩釜店</t>
  </si>
  <si>
    <t>GK</t>
  </si>
  <si>
    <t>OB</t>
  </si>
  <si>
    <t>ザ・ビッグ</t>
  </si>
  <si>
    <t>HE</t>
  </si>
  <si>
    <t>長野</t>
  </si>
  <si>
    <t>ヤマザワ</t>
  </si>
  <si>
    <t>多賀城店</t>
  </si>
  <si>
    <t>岩手</t>
  </si>
  <si>
    <t>ヨークベニマル</t>
  </si>
  <si>
    <t>塩釜北浜店</t>
  </si>
  <si>
    <t>長崎</t>
  </si>
  <si>
    <t>福島</t>
  </si>
  <si>
    <t>塩釜中の島店</t>
  </si>
  <si>
    <t>和歌山</t>
  </si>
  <si>
    <t>西友</t>
  </si>
  <si>
    <t>高砂駅前店</t>
  </si>
  <si>
    <t>佐賀</t>
  </si>
  <si>
    <t>埼玉</t>
  </si>
  <si>
    <t>群馬</t>
  </si>
  <si>
    <t>千葉</t>
  </si>
  <si>
    <t>熊本</t>
  </si>
  <si>
    <t>岐阜</t>
  </si>
  <si>
    <t>兵庫</t>
  </si>
  <si>
    <t>京都</t>
  </si>
  <si>
    <t>ＪＡ大分</t>
  </si>
  <si>
    <t>ＪＡ山梨</t>
  </si>
  <si>
    <t>ＪＡ香川</t>
  </si>
  <si>
    <t>山梨</t>
  </si>
  <si>
    <t>ＪＡ徳島</t>
  </si>
  <si>
    <t>いちじく</t>
  </si>
  <si>
    <t>ＪＡ広島</t>
  </si>
  <si>
    <t>ラフランス</t>
  </si>
  <si>
    <t>ＪＡ山形</t>
  </si>
  <si>
    <t>ＪＡ神奈川</t>
  </si>
  <si>
    <t>宮崎</t>
  </si>
  <si>
    <t>ＪＡ石川</t>
  </si>
  <si>
    <t>JP</t>
    <phoneticPr fontId="3"/>
  </si>
  <si>
    <t>19.07.2019</t>
    <phoneticPr fontId="3"/>
  </si>
  <si>
    <t>旬楽膳</t>
    <rPh sb="0" eb="1">
      <t>シュン</t>
    </rPh>
    <rPh sb="1" eb="2">
      <t>ラク</t>
    </rPh>
    <rPh sb="2" eb="3">
      <t>ゼン</t>
    </rPh>
    <phoneticPr fontId="4"/>
  </si>
  <si>
    <t>日進店</t>
    <rPh sb="0" eb="2">
      <t>ニッシン</t>
    </rPh>
    <rPh sb="2" eb="3">
      <t>ミセ</t>
    </rPh>
    <phoneticPr fontId="4"/>
  </si>
  <si>
    <t>JPY</t>
    <phoneticPr fontId="3"/>
  </si>
  <si>
    <t>フェルナ</t>
    <phoneticPr fontId="3"/>
  </si>
  <si>
    <t>段の上店</t>
    <rPh sb="0" eb="1">
      <t>ダン</t>
    </rPh>
    <rPh sb="2" eb="3">
      <t>ウエ</t>
    </rPh>
    <rPh sb="3" eb="4">
      <t>テン</t>
    </rPh>
    <phoneticPr fontId="3"/>
  </si>
  <si>
    <t>アオキスーパー</t>
    <phoneticPr fontId="4"/>
  </si>
  <si>
    <t>ピアゴ</t>
    <phoneticPr fontId="4"/>
  </si>
  <si>
    <t>長久手南店</t>
    <phoneticPr fontId="4"/>
  </si>
  <si>
    <t>その他レッド</t>
    <rPh sb="2" eb="3">
      <t>タ</t>
    </rPh>
    <phoneticPr fontId="4"/>
  </si>
  <si>
    <t>カネスエ</t>
    <phoneticPr fontId="4"/>
  </si>
  <si>
    <t>長久手店</t>
    <phoneticPr fontId="4"/>
  </si>
  <si>
    <t>Del Monte</t>
    <phoneticPr fontId="4"/>
  </si>
  <si>
    <t>アピタ</t>
    <phoneticPr fontId="4"/>
  </si>
  <si>
    <t>マックスバリュ</t>
    <phoneticPr fontId="4"/>
  </si>
  <si>
    <t>藤が丘店</t>
    <rPh sb="0" eb="1">
      <t>フジ</t>
    </rPh>
    <rPh sb="2" eb="3">
      <t>オカ</t>
    </rPh>
    <rPh sb="3" eb="4">
      <t>ミセ</t>
    </rPh>
    <phoneticPr fontId="4"/>
  </si>
  <si>
    <t>アオキスーパー</t>
  </si>
  <si>
    <t>カネトク</t>
    <phoneticPr fontId="4"/>
  </si>
  <si>
    <t>長久手店</t>
  </si>
  <si>
    <t>ピアゴ</t>
  </si>
  <si>
    <t>長久手南店</t>
  </si>
  <si>
    <t>ラフランス</t>
    <phoneticPr fontId="4"/>
  </si>
  <si>
    <t>カネスエ</t>
  </si>
  <si>
    <t>カネトク</t>
  </si>
  <si>
    <t>フェルナ</t>
  </si>
  <si>
    <t>アピタ</t>
  </si>
  <si>
    <t>県名</t>
    <phoneticPr fontId="3"/>
  </si>
  <si>
    <t>チェーン名</t>
    <phoneticPr fontId="3"/>
  </si>
  <si>
    <t>品種</t>
    <phoneticPr fontId="3"/>
  </si>
  <si>
    <t>福や</t>
  </si>
  <si>
    <t>鉄砲町店</t>
    <rPh sb="3" eb="4">
      <t>テン</t>
    </rPh>
    <phoneticPr fontId="3"/>
  </si>
  <si>
    <t>ユアーズ</t>
  </si>
  <si>
    <t>十日市店</t>
    <rPh sb="3" eb="4">
      <t>テン</t>
    </rPh>
    <phoneticPr fontId="3"/>
  </si>
  <si>
    <t>スパーク</t>
  </si>
  <si>
    <t>御幸の杜店</t>
    <rPh sb="3" eb="4">
      <t>モリ</t>
    </rPh>
    <rPh sb="4" eb="5">
      <t>テン</t>
    </rPh>
    <phoneticPr fontId="3"/>
  </si>
  <si>
    <t>山陽マルナカ</t>
  </si>
  <si>
    <t>白島店</t>
    <rPh sb="0" eb="2">
      <t>ハクシマ</t>
    </rPh>
    <rPh sb="2" eb="3">
      <t>テン</t>
    </rPh>
    <phoneticPr fontId="3"/>
  </si>
  <si>
    <t>アルク</t>
  </si>
  <si>
    <t>東千田店</t>
    <rPh sb="3" eb="4">
      <t>テン</t>
    </rPh>
    <phoneticPr fontId="3"/>
  </si>
  <si>
    <t>フレスタ</t>
  </si>
  <si>
    <t>吉島店</t>
    <rPh sb="0" eb="2">
      <t>ヨシジマ</t>
    </rPh>
    <rPh sb="2" eb="3">
      <t>テン</t>
    </rPh>
    <phoneticPr fontId="3"/>
  </si>
  <si>
    <t>ピュアクック</t>
  </si>
  <si>
    <t>観音店</t>
    <rPh sb="2" eb="3">
      <t>テン</t>
    </rPh>
    <phoneticPr fontId="3"/>
  </si>
  <si>
    <t>宇品店</t>
    <rPh sb="2" eb="3">
      <t>テン</t>
    </rPh>
    <phoneticPr fontId="3"/>
  </si>
  <si>
    <t>イズミゆめタウン</t>
  </si>
  <si>
    <t>広島店</t>
    <rPh sb="2" eb="3">
      <t>テン</t>
    </rPh>
    <phoneticPr fontId="3"/>
  </si>
  <si>
    <t>フジグラン</t>
  </si>
  <si>
    <t>バナナ</t>
    <phoneticPr fontId="4"/>
  </si>
  <si>
    <t>パパイヤ</t>
    <phoneticPr fontId="4"/>
  </si>
  <si>
    <t>びわ</t>
    <phoneticPr fontId="4"/>
  </si>
  <si>
    <t>メロン</t>
    <phoneticPr fontId="4"/>
  </si>
  <si>
    <t>桃</t>
    <phoneticPr fontId="4"/>
  </si>
  <si>
    <t>ブドウ</t>
    <phoneticPr fontId="4"/>
  </si>
  <si>
    <t>バナナ</t>
    <phoneticPr fontId="3"/>
  </si>
  <si>
    <t>りんご</t>
    <phoneticPr fontId="4"/>
  </si>
  <si>
    <t>みかん</t>
    <phoneticPr fontId="4"/>
  </si>
  <si>
    <t>マンゴー</t>
    <phoneticPr fontId="3"/>
  </si>
  <si>
    <t>販売
ユニット
個数</t>
    <phoneticPr fontId="4"/>
  </si>
  <si>
    <t>U/P JPY</t>
    <phoneticPr fontId="4"/>
  </si>
  <si>
    <t>17.07.2019</t>
    <phoneticPr fontId="3"/>
  </si>
  <si>
    <t>マルショク</t>
    <phoneticPr fontId="3"/>
  </si>
  <si>
    <t>野間大池</t>
    <rPh sb="0" eb="2">
      <t>ノマ</t>
    </rPh>
    <rPh sb="2" eb="4">
      <t>オオイケ</t>
    </rPh>
    <phoneticPr fontId="3"/>
  </si>
  <si>
    <t>りんご</t>
    <phoneticPr fontId="3"/>
  </si>
  <si>
    <t>JPY</t>
    <phoneticPr fontId="4"/>
  </si>
  <si>
    <t>サニー</t>
  </si>
  <si>
    <t>野間</t>
    <rPh sb="0" eb="2">
      <t>ノマ</t>
    </rPh>
    <phoneticPr fontId="3"/>
  </si>
  <si>
    <t>一般栽培</t>
    <phoneticPr fontId="4"/>
  </si>
  <si>
    <t>マルショク</t>
  </si>
  <si>
    <t>CK</t>
    <phoneticPr fontId="3"/>
  </si>
  <si>
    <t>マミーズ</t>
  </si>
  <si>
    <t>美野島</t>
    <rPh sb="0" eb="1">
      <t>ミ</t>
    </rPh>
    <rPh sb="1" eb="2">
      <t>ノ</t>
    </rPh>
    <rPh sb="2" eb="3">
      <t>シマ</t>
    </rPh>
    <phoneticPr fontId="3"/>
  </si>
  <si>
    <t>福岡</t>
    <rPh sb="0" eb="2">
      <t>フクオカ</t>
    </rPh>
    <phoneticPr fontId="4"/>
  </si>
  <si>
    <t>西鉄ストア</t>
    <rPh sb="0" eb="2">
      <t>ニシテツ</t>
    </rPh>
    <phoneticPr fontId="3"/>
  </si>
  <si>
    <t>高宮</t>
    <rPh sb="0" eb="2">
      <t>タカミヤ</t>
    </rPh>
    <phoneticPr fontId="3"/>
  </si>
  <si>
    <t>いちご</t>
    <phoneticPr fontId="3"/>
  </si>
  <si>
    <t>レッドキャベツ</t>
  </si>
  <si>
    <t>博多駅南</t>
    <rPh sb="0" eb="3">
      <t>ハカタエキ</t>
    </rPh>
    <rPh sb="3" eb="4">
      <t>ミナミ</t>
    </rPh>
    <phoneticPr fontId="3"/>
  </si>
  <si>
    <t>佐賀</t>
    <rPh sb="0" eb="2">
      <t>サガ</t>
    </rPh>
    <phoneticPr fontId="3"/>
  </si>
  <si>
    <t>マルキョウ</t>
  </si>
  <si>
    <t>清水</t>
    <rPh sb="0" eb="2">
      <t>シミズ</t>
    </rPh>
    <phoneticPr fontId="3"/>
  </si>
  <si>
    <t>韓国</t>
    <rPh sb="0" eb="2">
      <t>カンコク</t>
    </rPh>
    <phoneticPr fontId="4"/>
  </si>
  <si>
    <t>大橋</t>
    <rPh sb="0" eb="2">
      <t>オオハシ</t>
    </rPh>
    <phoneticPr fontId="3"/>
  </si>
  <si>
    <t>ダイキョーバリュー</t>
  </si>
  <si>
    <t>JA伊万里</t>
    <rPh sb="2" eb="5">
      <t>イマリ</t>
    </rPh>
    <phoneticPr fontId="3"/>
  </si>
  <si>
    <t>ボンラパス</t>
  </si>
  <si>
    <t>ニューヨークストア</t>
  </si>
  <si>
    <t>住吉</t>
    <rPh sb="0" eb="2">
      <t>スミヨシ</t>
    </rPh>
    <phoneticPr fontId="3"/>
  </si>
  <si>
    <t>JA全農ふくれん</t>
    <rPh sb="2" eb="4">
      <t>ゼンノウ</t>
    </rPh>
    <phoneticPr fontId="3"/>
  </si>
  <si>
    <t>栃木</t>
    <rPh sb="0" eb="2">
      <t>トチギ</t>
    </rPh>
    <phoneticPr fontId="4"/>
  </si>
  <si>
    <t>オレンジ</t>
    <phoneticPr fontId="3"/>
  </si>
  <si>
    <t>山神農園</t>
    <rPh sb="0" eb="4">
      <t>ヤマガミノウエン</t>
    </rPh>
    <phoneticPr fontId="3"/>
  </si>
  <si>
    <t>喜芳園</t>
    <rPh sb="0" eb="1">
      <t>ヨロコ</t>
    </rPh>
    <rPh sb="1" eb="2">
      <t>ヨシモト</t>
    </rPh>
    <rPh sb="2" eb="3">
      <t>¥</t>
    </rPh>
    <phoneticPr fontId="3"/>
  </si>
  <si>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</si>
  <si>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</si>
  <si>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</si>
  <si>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ＪＡ八女</t>
    <rPh sb="2" eb="4">
      <t>ヤメ</t>
    </rPh>
    <phoneticPr fontId="4"/>
  </si>
  <si>
    <t>甘夏</t>
    <rPh sb="0" eb="2">
      <t>アマナツ</t>
    </rPh>
    <phoneticPr fontId="3"/>
  </si>
  <si>
    <t>プラム</t>
    <phoneticPr fontId="3"/>
  </si>
  <si>
    <t>ぽんかん</t>
    <phoneticPr fontId="3"/>
  </si>
  <si>
    <t>アメリカンチェリー</t>
    <phoneticPr fontId="3"/>
  </si>
  <si>
    <t>山口</t>
    <rPh sb="0" eb="2">
      <t>ヤマグチ</t>
    </rPh>
    <phoneticPr fontId="3"/>
  </si>
  <si>
    <t>18.07.2019</t>
    <phoneticPr fontId="3"/>
  </si>
  <si>
    <t>サミット</t>
  </si>
  <si>
    <t>久が原食品館</t>
  </si>
  <si>
    <t>18.07.2019</t>
  </si>
  <si>
    <t>東急ストア</t>
  </si>
  <si>
    <t>蒲田</t>
  </si>
  <si>
    <t>マルエツ</t>
  </si>
  <si>
    <t>大森西</t>
  </si>
  <si>
    <t>大森</t>
  </si>
  <si>
    <t>カドヤ</t>
  </si>
  <si>
    <t>大井町</t>
  </si>
  <si>
    <t>品川シーサイド</t>
  </si>
  <si>
    <t>ライフ</t>
  </si>
  <si>
    <t>大崎ニューシティ</t>
  </si>
  <si>
    <t>東京</t>
    <phoneticPr fontId="3"/>
  </si>
  <si>
    <t>２番人気
果実</t>
    <phoneticPr fontId="3"/>
  </si>
  <si>
    <t>ビッグ・エー</t>
  </si>
  <si>
    <t>江戸川本一色店</t>
  </si>
  <si>
    <t>松江店</t>
  </si>
  <si>
    <t>マックスバリュエクスプレス</t>
  </si>
  <si>
    <t>HW</t>
    <phoneticPr fontId="3"/>
  </si>
  <si>
    <t>ヤマイチ</t>
  </si>
  <si>
    <t>中央店</t>
    <rPh sb="0" eb="2">
      <t>チュウオウ</t>
    </rPh>
    <phoneticPr fontId="3"/>
  </si>
  <si>
    <t>コモディイイダ</t>
  </si>
  <si>
    <t>西瑞江店</t>
  </si>
  <si>
    <t>いなげや</t>
  </si>
  <si>
    <t>江戸川春江店</t>
  </si>
  <si>
    <t>鹿骨店</t>
  </si>
  <si>
    <t>東武ストア</t>
  </si>
  <si>
    <t>新小岩店</t>
  </si>
  <si>
    <t>サミットストア</t>
  </si>
  <si>
    <t>江戸川区役所前店</t>
    <rPh sb="0" eb="6">
      <t>エドガワクヤクショ</t>
    </rPh>
    <rPh sb="6" eb="7">
      <t>マエ</t>
    </rPh>
    <rPh sb="7" eb="8">
      <t>ミセ</t>
    </rPh>
    <phoneticPr fontId="3"/>
  </si>
  <si>
    <t>江戸川中央店</t>
  </si>
  <si>
    <r>
      <rPr>
        <b/>
        <sz val="8"/>
        <rFont val="Arial"/>
        <family val="2"/>
      </rPr>
      <t xml:space="preserve">Green
Other
</t>
    </r>
    <r>
      <rPr>
        <b/>
        <sz val="8"/>
        <rFont val="ＭＳ Ｐゴシック"/>
        <family val="3"/>
        <charset val="128"/>
      </rPr>
      <t>最低重量</t>
    </r>
  </si>
  <si>
    <r>
      <rPr>
        <b/>
        <sz val="8"/>
        <rFont val="Arial"/>
        <family val="2"/>
      </rPr>
      <t xml:space="preserve">Gold
</t>
    </r>
    <r>
      <rPr>
        <b/>
        <sz val="8"/>
        <rFont val="ＭＳ Ｐゴシック"/>
        <family val="3"/>
        <charset val="128"/>
      </rPr>
      <t>最低重量</t>
    </r>
  </si>
  <si>
    <t>19.07.2019</t>
  </si>
  <si>
    <t>コノミヤ</t>
  </si>
  <si>
    <t>深井店</t>
  </si>
  <si>
    <t>JPY</t>
    <phoneticPr fontId="22"/>
  </si>
  <si>
    <t>上野芝店</t>
  </si>
  <si>
    <t>デイリーカナート</t>
  </si>
  <si>
    <t>向ヶ丘店</t>
  </si>
  <si>
    <t>松源</t>
  </si>
  <si>
    <t>北条店</t>
  </si>
  <si>
    <t>キンショー</t>
  </si>
  <si>
    <t>東湊店</t>
  </si>
  <si>
    <t>万代</t>
  </si>
  <si>
    <t>イズミヤ</t>
  </si>
  <si>
    <t>泉北店</t>
  </si>
  <si>
    <t>ダイエーグルメシティ</t>
  </si>
  <si>
    <t>津久野店</t>
  </si>
  <si>
    <t>キラキラ</t>
  </si>
  <si>
    <t>グリーンアイ</t>
  </si>
  <si>
    <t>ＪＡ大阪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</si>
</sst>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26"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color theme="1"/>
      <name val="ＭＳ Ｐゴシック"/>
      <family val="2"/>
      <scheme val="minor"/>
    </font>
    <font>
      <sz val="9"/>
      <color theme="1"/>
      <name val="ＭＳ Ｐゴシック"/>
      <family val="3"/>
      <charset val="128"/>
    </font>
    <font>
      <sz val="9"/>
      <color theme="1"/>
      <name val="CG Omega"/>
      <family val="2"/>
    </font>
    <font>
      <sz val="11"/>
      <color theme="1"/>
      <name val="ＭＳ Ｐゴシック"/>
      <family val="3"/>
      <charset val="128"/>
    </font>
    <font>
      <b/>
      <sz val="8"/>
      <color theme="1"/>
      <name val="ＭＳ Ｐゴシック"/>
      <family val="3"/>
      <charset val="128"/>
    </font>
    <font>
      <b/>
      <sz val="8"/>
      <color theme="1"/>
      <name val="CG Omega"/>
      <family val="2"/>
    </font>
    <font>
      <b/>
      <sz val="8"/>
      <color theme="1"/>
      <name val="Arial"/>
      <family val="2"/>
    </font>
    <font>
      <sz val="11"/>
      <name val="ＭＳ Ｐゴシック"/>
      <family val="3"/>
      <charset val="128"/>
      <scheme val="minor"/>
    </font>
    <font>
      <sz val="6"/>
      <name val="ＭＳ Ｐゴシック"/>
      <family val="3"/>
      <charset val="128"/>
      <scheme val="minor"/>
    </font>
    <font>
      <sz val="10"/>
      <name val="ＭＳ ゴシック"/>
      <family val="3"/>
      <charset val="128"/>
    </font>
    <font>
      <sz val="11"/>
      <color indexed="8"/>
      <name val="ＭＳ Ｐゴシック"/>
      <family val="3"/>
      <charset val="128"/>
    </font>
    <font>
      <sz val="11"/>
      <name val="ＭＳ Ｐゴシック"/>
      <family val="2"/>
      <charset val="128"/>
      <scheme val="minor"/>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5">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auto="1"/>
      </left>
      <right/>
      <top/>
      <bottom/>
      <diagonal/>
    </border>
    <border>
      <left style="hair">
        <color auto="1"/>
      </left>
      <right style="thin">
        <color auto="1"/>
      </right>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0691854609822"/>
      </top>
      <bottom style="thin">
        <color theme="0" tint="-0.14990691854609822"/>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s>
  <cellStyleXfs count="9">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xf numFmtId="0" fontId="14" fillId="0" borderId="0"/>
  </cellStyleXfs>
  <cellXfs count="196">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0" fontId="1" fillId="0" borderId="0" xfId="1"/>
    <xf numFmtId="0" fontId="1" fillId="0" borderId="0" xfId="1" applyFill="1"/>
    <xf numFmtId="49" fontId="15" fillId="5" borderId="1" xfId="1" applyNumberFormat="1" applyFont="1" applyFill="1" applyBorder="1" applyAlignment="1">
      <alignment horizontal="center" vertical="center" wrapText="1"/>
    </xf>
    <xf numFmtId="49" fontId="15" fillId="0" borderId="2" xfId="1" applyNumberFormat="1" applyFont="1" applyBorder="1" applyAlignment="1">
      <alignment horizontal="center" vertical="center" wrapText="1"/>
    </xf>
    <xf numFmtId="49" fontId="15" fillId="0" borderId="3" xfId="1" applyNumberFormat="1" applyFont="1" applyBorder="1" applyAlignment="1">
      <alignment horizontal="center" vertical="center" wrapText="1"/>
    </xf>
    <xf numFmtId="49" fontId="15" fillId="5" borderId="3" xfId="1" applyNumberFormat="1" applyFont="1" applyFill="1" applyBorder="1" applyAlignment="1">
      <alignment horizontal="center" vertical="center" wrapText="1"/>
    </xf>
    <xf numFmtId="49" fontId="15" fillId="3" borderId="3" xfId="1" applyNumberFormat="1" applyFont="1" applyFill="1" applyBorder="1" applyAlignment="1">
      <alignment horizontal="center" vertical="center" wrapText="1"/>
    </xf>
    <xf numFmtId="49" fontId="16" fillId="0" borderId="3" xfId="1" applyNumberFormat="1" applyFont="1" applyBorder="1" applyAlignment="1">
      <alignment horizontal="center" vertical="center" wrapText="1"/>
    </xf>
    <xf numFmtId="0" fontId="15" fillId="3" borderId="3" xfId="1" applyFont="1" applyFill="1" applyBorder="1" applyAlignment="1">
      <alignment horizontal="center" vertical="center" wrapText="1"/>
    </xf>
    <xf numFmtId="49" fontId="15" fillId="5" borderId="4" xfId="1" applyNumberFormat="1" applyFont="1" applyFill="1" applyBorder="1" applyAlignment="1">
      <alignment horizontal="center" vertical="center" wrapText="1"/>
    </xf>
    <xf numFmtId="0" fontId="17" fillId="0" borderId="0" xfId="1" applyFont="1"/>
    <xf numFmtId="49" fontId="18" fillId="0" borderId="6" xfId="1" applyNumberFormat="1" applyFont="1" applyBorder="1" applyAlignment="1">
      <alignment horizontal="center" vertical="center" wrapText="1"/>
    </xf>
    <xf numFmtId="49" fontId="19" fillId="0" borderId="0" xfId="1" applyNumberFormat="1" applyFont="1" applyAlignment="1">
      <alignment horizontal="center" vertical="center" wrapText="1"/>
    </xf>
    <xf numFmtId="0" fontId="18" fillId="0" borderId="6" xfId="1" applyFont="1" applyBorder="1" applyAlignment="1">
      <alignment horizontal="center" vertical="center"/>
    </xf>
    <xf numFmtId="0" fontId="18" fillId="0" borderId="6" xfId="1" applyFont="1" applyBorder="1" applyAlignment="1">
      <alignment horizontal="center" vertical="center" wrapText="1"/>
    </xf>
    <xf numFmtId="0" fontId="20" fillId="0" borderId="1" xfId="1" applyFont="1" applyBorder="1" applyAlignment="1">
      <alignment horizontal="center" vertical="center" wrapText="1"/>
    </xf>
    <xf numFmtId="0" fontId="20" fillId="0" borderId="3" xfId="1" applyFont="1" applyBorder="1" applyAlignment="1">
      <alignment horizontal="center" vertical="center" wrapText="1"/>
    </xf>
    <xf numFmtId="0" fontId="20" fillId="0" borderId="4" xfId="1" applyFont="1" applyBorder="1" applyAlignment="1">
      <alignment horizontal="center" vertical="center" wrapText="1"/>
    </xf>
    <xf numFmtId="0" fontId="1" fillId="0" borderId="0" xfId="1" applyAlignment="1">
      <alignment horizontal="center"/>
    </xf>
    <xf numFmtId="14" fontId="21" fillId="0" borderId="0" xfId="1" applyNumberFormat="1" applyFont="1" applyAlignment="1">
      <alignment horizontal="right"/>
    </xf>
    <xf numFmtId="0" fontId="10" fillId="0" borderId="7" xfId="1" applyFont="1" applyBorder="1"/>
    <xf numFmtId="0" fontId="23" fillId="0" borderId="22" xfId="2" applyFont="1" applyBorder="1" applyAlignment="1">
      <alignment horizontal="center" vertical="center"/>
    </xf>
    <xf numFmtId="0" fontId="23" fillId="0" borderId="23" xfId="2" applyFont="1" applyBorder="1" applyAlignment="1">
      <alignment horizontal="center" vertical="center"/>
    </xf>
    <xf numFmtId="0" fontId="1" fillId="0" borderId="8" xfId="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23" fillId="0" borderId="12" xfId="2" applyFont="1" applyBorder="1" applyAlignment="1">
      <alignment horizontal="center" vertical="center"/>
    </xf>
    <xf numFmtId="178" fontId="1" fillId="3" borderId="0" xfId="1" applyNumberFormat="1" applyFill="1"/>
    <xf numFmtId="0" fontId="1" fillId="0" borderId="18" xfId="1" applyBorder="1"/>
    <xf numFmtId="0" fontId="21" fillId="0" borderId="0" xfId="1" applyFont="1"/>
    <xf numFmtId="178" fontId="1" fillId="2" borderId="0" xfId="1" applyNumberFormat="1" applyFill="1"/>
    <xf numFmtId="0" fontId="21" fillId="0" borderId="0" xfId="2" applyFont="1">
      <alignment vertical="center"/>
    </xf>
    <xf numFmtId="178" fontId="17" fillId="2" borderId="0" xfId="1" applyNumberFormat="1" applyFont="1" applyFill="1"/>
    <xf numFmtId="0" fontId="17" fillId="2" borderId="0" xfId="1" applyFont="1" applyFill="1"/>
    <xf numFmtId="49" fontId="2" fillId="6" borderId="1" xfId="1" applyNumberFormat="1" applyFont="1" applyFill="1" applyBorder="1" applyAlignment="1">
      <alignment horizontal="center" vertical="center" wrapText="1"/>
    </xf>
    <xf numFmtId="49" fontId="2" fillId="0" borderId="2" xfId="1" applyNumberFormat="1" applyFont="1" applyBorder="1" applyAlignment="1">
      <alignment horizontal="center" vertical="center" wrapText="1"/>
    </xf>
    <xf numFmtId="49" fontId="2" fillId="0" borderId="3" xfId="1" applyNumberFormat="1" applyFont="1" applyBorder="1" applyAlignment="1">
      <alignment horizontal="center" vertical="center" wrapText="1"/>
    </xf>
    <xf numFmtId="49" fontId="2" fillId="6" borderId="3" xfId="1" applyNumberFormat="1" applyFont="1" applyFill="1" applyBorder="1" applyAlignment="1">
      <alignment horizontal="center" vertical="center" wrapText="1"/>
    </xf>
    <xf numFmtId="49" fontId="5" fillId="0" borderId="3" xfId="1" applyNumberFormat="1" applyFont="1" applyBorder="1" applyAlignment="1">
      <alignment horizontal="center" vertical="center" wrapText="1"/>
    </xf>
    <xf numFmtId="49" fontId="2" fillId="6" borderId="4" xfId="1" applyNumberFormat="1" applyFont="1" applyFill="1" applyBorder="1" applyAlignment="1">
      <alignment horizontal="center" vertical="center" wrapText="1"/>
    </xf>
    <xf numFmtId="49" fontId="7" fillId="0" borderId="5" xfId="1" applyNumberFormat="1" applyFont="1" applyBorder="1" applyAlignment="1">
      <alignment horizontal="center" vertical="center" wrapText="1"/>
    </xf>
    <xf numFmtId="49" fontId="8" fillId="0" borderId="6" xfId="1" applyNumberFormat="1" applyFont="1" applyBorder="1" applyAlignment="1">
      <alignment horizontal="center" vertical="center" wrapText="1"/>
    </xf>
    <xf numFmtId="49" fontId="7" fillId="0" borderId="0" xfId="1" applyNumberFormat="1" applyFont="1" applyAlignment="1">
      <alignment horizontal="center" vertical="center" wrapText="1"/>
    </xf>
    <xf numFmtId="14" fontId="24" fillId="0" borderId="0" xfId="1" applyNumberFormat="1" applyFont="1"/>
    <xf numFmtId="0" fontId="1" fillId="0" borderId="12" xfId="1" applyBorder="1" applyAlignment="1">
      <alignment shrinkToFit="1"/>
    </xf>
    <xf numFmtId="0" fontId="24" fillId="0" borderId="0" xfId="1" applyFont="1"/>
    <xf numFmtId="49" fontId="2" fillId="0" borderId="1" xfId="1" applyNumberFormat="1" applyFont="1" applyBorder="1" applyAlignment="1">
      <alignment horizontal="center" vertical="center" wrapText="1"/>
    </xf>
    <xf numFmtId="49" fontId="2" fillId="0" borderId="4" xfId="1" applyNumberFormat="1" applyFont="1" applyBorder="1" applyAlignment="1">
      <alignment horizontal="center" vertical="center" wrapText="1"/>
    </xf>
    <xf numFmtId="49" fontId="7" fillId="0" borderId="6" xfId="1" applyNumberFormat="1" applyFont="1" applyBorder="1" applyAlignment="1">
      <alignment horizontal="center" vertical="center" wrapText="1"/>
    </xf>
    <xf numFmtId="0" fontId="10" fillId="0" borderId="24" xfId="1" applyFont="1" applyBorder="1" applyAlignment="1">
      <alignment horizontal="left" wrapText="1"/>
    </xf>
    <xf numFmtId="0" fontId="1" fillId="4" borderId="0" xfId="1" applyFill="1"/>
    <xf numFmtId="14" fontId="1" fillId="4" borderId="0" xfId="1" applyNumberFormat="1" applyFill="1"/>
    <xf numFmtId="1" fontId="1" fillId="2" borderId="0" xfId="1" applyNumberFormat="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0" fillId="0" borderId="16" xfId="1" applyFont="1" applyBorder="1"/>
    <xf numFmtId="0" fontId="0" fillId="0" borderId="12" xfId="1" applyFont="1" applyBorder="1"/>
    <xf numFmtId="0" fontId="0" fillId="0" borderId="17" xfId="1" applyFont="1" applyBorder="1"/>
    <xf numFmtId="14" fontId="24" fillId="0" borderId="0" xfId="1" applyNumberFormat="1" applyFont="1" applyAlignment="1">
      <alignment horizontal="center"/>
    </xf>
    <xf numFmtId="0" fontId="25" fillId="0" borderId="1" xfId="0" applyFont="1" applyBorder="1">
      <alignment vertical="center"/>
    </xf>
    <xf numFmtId="0" fontId="21" fillId="0" borderId="4" xfId="0" applyFont="1" applyBorder="1">
      <alignment vertical="center"/>
    </xf>
    <xf numFmtId="0" fontId="21" fillId="0" borderId="1" xfId="0" applyFont="1" applyBorder="1">
      <alignment vertical="center"/>
    </xf>
    <xf numFmtId="0" fontId="21" fillId="0" borderId="6" xfId="0" applyFont="1" applyBorder="1">
      <alignment vertical="center"/>
    </xf>
    <xf numFmtId="49" fontId="2" fillId="5" borderId="25" xfId="1" applyNumberFormat="1" applyFont="1" applyFill="1" applyBorder="1" applyAlignment="1">
      <alignment horizontal="center" vertical="center" wrapText="1"/>
    </xf>
    <xf numFmtId="49" fontId="7" fillId="4" borderId="0" xfId="1" applyNumberFormat="1" applyFont="1" applyFill="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6" xfId="1" applyFill="1" applyBorder="1"/>
    <xf numFmtId="14" fontId="0" fillId="4" borderId="27" xfId="1" applyNumberFormat="1" applyFont="1" applyFill="1" applyBorder="1"/>
    <xf numFmtId="0" fontId="1" fillId="4" borderId="28" xfId="1" applyFill="1" applyBorder="1"/>
    <xf numFmtId="0" fontId="1" fillId="4" borderId="29" xfId="1" applyFill="1" applyBorder="1"/>
    <xf numFmtId="0" fontId="1" fillId="4" borderId="30" xfId="1" applyFill="1" applyBorder="1"/>
    <xf numFmtId="0" fontId="1" fillId="4" borderId="31" xfId="1" applyFill="1" applyBorder="1"/>
    <xf numFmtId="0" fontId="1" fillId="4" borderId="32" xfId="1" applyFill="1" applyBorder="1"/>
    <xf numFmtId="178" fontId="1" fillId="3" borderId="29" xfId="1" applyNumberFormat="1" applyFill="1" applyBorder="1"/>
    <xf numFmtId="0" fontId="1" fillId="4" borderId="33" xfId="1" applyFill="1" applyBorder="1"/>
    <xf numFmtId="0" fontId="1" fillId="3" borderId="30" xfId="1" applyFill="1" applyBorder="1"/>
    <xf numFmtId="0" fontId="1" fillId="4" borderId="34" xfId="1" applyFill="1" applyBorder="1"/>
    <xf numFmtId="0" fontId="1" fillId="4" borderId="35" xfId="1" applyFill="1" applyBorder="1"/>
    <xf numFmtId="0" fontId="1" fillId="4" borderId="36" xfId="1" applyFill="1" applyBorder="1"/>
    <xf numFmtId="0" fontId="1" fillId="0" borderId="36" xfId="1" applyBorder="1"/>
    <xf numFmtId="14" fontId="0" fillId="4" borderId="37" xfId="1" applyNumberFormat="1" applyFont="1" applyFill="1" applyBorder="1"/>
    <xf numFmtId="0" fontId="1" fillId="4" borderId="38" xfId="1" applyFill="1" applyBorder="1"/>
    <xf numFmtId="178" fontId="1" fillId="3" borderId="39" xfId="1" applyNumberFormat="1" applyFill="1" applyBorder="1"/>
    <xf numFmtId="0" fontId="1" fillId="0" borderId="40" xfId="1" applyBorder="1"/>
    <xf numFmtId="0" fontId="1" fillId="0" borderId="41" xfId="1" applyBorder="1"/>
    <xf numFmtId="0" fontId="1" fillId="0" borderId="42" xfId="1" applyBorder="1"/>
    <xf numFmtId="0" fontId="1" fillId="4" borderId="43" xfId="1" applyFill="1" applyBorder="1"/>
    <xf numFmtId="0" fontId="1" fillId="4" borderId="12" xfId="1" applyFill="1" applyBorder="1"/>
    <xf numFmtId="0" fontId="1" fillId="0" borderId="44" xfId="1" applyBorder="1"/>
    <xf numFmtId="0" fontId="1" fillId="4" borderId="41" xfId="1" applyFill="1" applyBorder="1"/>
    <xf numFmtId="0" fontId="1" fillId="4" borderId="16" xfId="1" applyFill="1" applyBorder="1"/>
    <xf numFmtId="0" fontId="1" fillId="4" borderId="17" xfId="1" applyFill="1" applyBorder="1"/>
    <xf numFmtId="0" fontId="1" fillId="0" borderId="43" xfId="1" applyBorder="1"/>
    <xf numFmtId="0" fontId="1" fillId="0" borderId="35" xfId="1" applyBorder="1"/>
    <xf numFmtId="14" fontId="0" fillId="0" borderId="0" xfId="1" applyNumberFormat="1" applyFont="1"/>
    <xf numFmtId="49" fontId="8" fillId="0" borderId="24" xfId="1" applyNumberFormat="1" applyFont="1" applyBorder="1" applyAlignment="1">
      <alignment horizontal="center" vertical="center" wrapText="1"/>
    </xf>
    <xf numFmtId="49" fontId="1" fillId="0" borderId="0" xfId="1" applyNumberFormat="1" applyAlignment="1">
      <alignment horizontal="right"/>
    </xf>
    <xf numFmtId="0" fontId="1" fillId="0" borderId="7" xfId="1" applyBorder="1" applyProtection="1">
      <protection locked="0"/>
    </xf>
    <xf numFmtId="0" fontId="1" fillId="0" borderId="8" xfId="1" applyBorder="1" applyProtection="1">
      <protection locked="0"/>
    </xf>
    <xf numFmtId="0" fontId="11" fillId="0" borderId="0" xfId="7">
      <alignment vertical="center"/>
    </xf>
    <xf numFmtId="49" fontId="2" fillId="6" borderId="1" xfId="5" applyNumberFormat="1" applyFont="1" applyFill="1" applyBorder="1" applyAlignment="1">
      <alignment horizontal="center" vertical="center" wrapText="1"/>
    </xf>
    <xf numFmtId="49" fontId="2" fillId="0" borderId="2" xfId="5" applyNumberFormat="1" applyFont="1" applyBorder="1" applyAlignment="1">
      <alignment horizontal="center" vertical="center" wrapText="1"/>
    </xf>
    <xf numFmtId="49" fontId="2" fillId="0" borderId="3" xfId="5" applyNumberFormat="1" applyFont="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Border="1" applyAlignment="1">
      <alignment horizontal="center" vertical="center" wrapText="1"/>
    </xf>
    <xf numFmtId="0" fontId="1" fillId="0" borderId="0" xfId="5" applyAlignment="1"/>
    <xf numFmtId="49" fontId="8" fillId="0" borderId="6" xfId="5" applyNumberFormat="1" applyFont="1" applyBorder="1" applyAlignment="1">
      <alignment horizontal="center" vertical="center" wrapText="1"/>
    </xf>
    <xf numFmtId="49" fontId="7" fillId="0" borderId="0" xfId="5" applyNumberFormat="1" applyFont="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Alignment="1"/>
    <xf numFmtId="177" fontId="1" fillId="2" borderId="0" xfId="5" applyNumberFormat="1" applyFill="1" applyAlignment="1"/>
    <xf numFmtId="0" fontId="1" fillId="2" borderId="0" xfId="5" applyFill="1" applyAlignment="1"/>
    <xf numFmtId="179" fontId="1" fillId="2" borderId="0" xfId="5" applyNumberFormat="1" applyFill="1" applyAlignment="1"/>
    <xf numFmtId="0" fontId="10" fillId="0" borderId="7" xfId="5" applyFont="1" applyBorder="1" applyAlignment="1"/>
    <xf numFmtId="0" fontId="1" fillId="0" borderId="8" xfId="5" applyBorder="1" applyAlignment="1"/>
    <xf numFmtId="0" fontId="1" fillId="0" borderId="9" xfId="5" applyBorder="1" applyAlignment="1">
      <alignment wrapText="1"/>
    </xf>
    <xf numFmtId="0" fontId="1" fillId="0" borderId="10" xfId="5" applyBorder="1" applyAlignment="1">
      <alignment wrapText="1"/>
    </xf>
    <xf numFmtId="0" fontId="1" fillId="0" borderId="11" xfId="5" applyBorder="1" applyAlignment="1">
      <alignment wrapText="1"/>
    </xf>
    <xf numFmtId="0" fontId="10" fillId="0" borderId="12" xfId="5" applyFont="1" applyBorder="1" applyAlignment="1"/>
    <xf numFmtId="0" fontId="1" fillId="0" borderId="12" xfId="5" applyBorder="1" applyAlignment="1"/>
    <xf numFmtId="0" fontId="1" fillId="0" borderId="13" xfId="5" applyBorder="1" applyAlignment="1">
      <alignment wrapText="1"/>
    </xf>
    <xf numFmtId="0" fontId="1" fillId="0" borderId="14" xfId="5" applyBorder="1" applyAlignment="1">
      <alignment wrapText="1"/>
    </xf>
    <xf numFmtId="0" fontId="1" fillId="0" borderId="15" xfId="5" applyBorder="1" applyAlignment="1">
      <alignment wrapText="1"/>
    </xf>
    <xf numFmtId="0" fontId="1" fillId="0" borderId="16" xfId="5" applyBorder="1" applyAlignment="1"/>
    <xf numFmtId="0" fontId="1" fillId="0" borderId="17" xfId="5" applyBorder="1" applyAlignment="1"/>
    <xf numFmtId="0" fontId="1" fillId="0" borderId="18" xfId="5" applyBorder="1" applyAlignment="1"/>
    <xf numFmtId="0" fontId="1" fillId="0" borderId="19" xfId="5" applyBorder="1" applyAlignment="1">
      <alignment wrapText="1"/>
    </xf>
    <xf numFmtId="0" fontId="1" fillId="0" borderId="20" xfId="5" applyBorder="1" applyAlignment="1">
      <alignment wrapText="1"/>
    </xf>
    <xf numFmtId="0" fontId="1" fillId="0" borderId="21" xfId="5" applyBorder="1" applyAlignment="1">
      <alignment wrapText="1"/>
    </xf>
    <xf numFmtId="0" fontId="10" fillId="0" borderId="16" xfId="5" applyFont="1" applyBorder="1" applyAlignment="1"/>
    <xf numFmtId="14" fontId="0" fillId="0" borderId="0" xfId="5" applyNumberFormat="1" applyFont="1" applyAlignment="1"/>
  </cellXfs>
  <cellStyles count="9">
    <cellStyle name="桁区切り[0]" xfId="3" xr:uid="{00000000-0005-0000-0000-000000000000}"/>
    <cellStyle name="通貨[0]" xfId="4" xr:uid="{00000000-0005-0000-0000-000001000000}"/>
    <cellStyle name="標準" xfId="0" builtinId="0"/>
    <cellStyle name="標準 2" xfId="1" xr:uid="{00000000-0005-0000-0000-000003000000}"/>
    <cellStyle name="標準 2 2" xfId="5" xr:uid="{00000000-0005-0000-0000-000004000000}"/>
    <cellStyle name="標準 3" xfId="2" xr:uid="{00000000-0005-0000-0000-000005000000}"/>
    <cellStyle name="標準 3 2" xfId="7" xr:uid="{00000000-0005-0000-0000-000006000000}"/>
    <cellStyle name="標準 4" xfId="6" xr:uid="{00000000-0005-0000-0000-000007000000}"/>
    <cellStyle name="標準 5" xfId="8" xr:uid="{00000000-0005-0000-0000-000008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20"/>
  <sheetViews>
    <sheetView tabSelected="1" zoomScale="70" zoomScaleNormal="70" workbookViewId="0">
      <selection activeCell="M2" sqref="M2"/>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156</v>
      </c>
      <c r="B2" s="15" t="s">
        <v>157</v>
      </c>
      <c r="C2" s="15">
        <v>2019</v>
      </c>
      <c r="D2" s="50" t="s">
        <v>166</v>
      </c>
      <c r="E2" s="15" t="s">
        <v>141</v>
      </c>
      <c r="F2" s="15" t="s">
        <v>149</v>
      </c>
      <c r="G2" s="15" t="s">
        <v>36</v>
      </c>
      <c r="H2" s="15" t="s">
        <v>164</v>
      </c>
      <c r="I2" s="15" t="s">
        <v>159</v>
      </c>
      <c r="J2" s="15" t="s">
        <v>38</v>
      </c>
      <c r="K2" s="7" t="s">
        <v>161</v>
      </c>
      <c r="L2" s="7">
        <v>1</v>
      </c>
      <c r="N2" s="47">
        <v>1</v>
      </c>
      <c r="O2" s="15">
        <v>0.5</v>
      </c>
      <c r="P2" s="15">
        <v>0.5</v>
      </c>
      <c r="Q2" s="51">
        <f t="shared" ref="Q2:Q65" si="0">IF(OR(O2="",P2=""),"",AVERAGE(O2,P2))</f>
        <v>0.5</v>
      </c>
      <c r="R2" s="15">
        <v>16.100000000000001</v>
      </c>
      <c r="S2" s="15">
        <v>117</v>
      </c>
      <c r="T2" s="38">
        <f t="shared" ref="T2:T59" si="1">IF(H2="","",IF(OR(H2="GREEN",H2="GK"),IF(S2&gt;=$AX$2,VLOOKUP(S2,$AX$2:$AY$12,2,1),""),IF(S2&gt;=$AZ$2,VLOOKUP(S2,$AZ$2:$BA$12,2,1),"")))</f>
        <v>30</v>
      </c>
      <c r="U2" s="15">
        <v>85</v>
      </c>
      <c r="V2" s="38">
        <f t="shared" ref="V2:V65" si="2">IF(OR(N2="",U2="",T2=""),"",U2/N2*T2)</f>
        <v>2550</v>
      </c>
      <c r="W2" s="15">
        <v>8</v>
      </c>
      <c r="X2" s="15" t="s">
        <v>46</v>
      </c>
      <c r="Y2" s="15" t="s">
        <v>55</v>
      </c>
      <c r="Z2" s="15" t="s">
        <v>97</v>
      </c>
      <c r="AA2" s="15" t="s">
        <v>86</v>
      </c>
      <c r="AB2" s="39" t="s">
        <v>158</v>
      </c>
      <c r="AE2" s="17" t="s">
        <v>35</v>
      </c>
      <c r="AG2" s="49" t="s">
        <v>131</v>
      </c>
      <c r="AH2" s="49" t="s">
        <v>144</v>
      </c>
      <c r="AJ2" s="18" t="s">
        <v>36</v>
      </c>
      <c r="AL2" s="18" t="s">
        <v>127</v>
      </c>
      <c r="AN2" s="18" t="s">
        <v>37</v>
      </c>
      <c r="AP2" s="18" t="s">
        <v>38</v>
      </c>
      <c r="AR2" s="18" t="s">
        <v>120</v>
      </c>
      <c r="AT2" s="18" t="s">
        <v>39</v>
      </c>
      <c r="AV2" s="18" t="s">
        <v>40</v>
      </c>
      <c r="AX2" s="19">
        <v>1</v>
      </c>
      <c r="AY2" s="20">
        <v>50</v>
      </c>
      <c r="AZ2" s="20">
        <v>1</v>
      </c>
      <c r="BA2" s="21">
        <v>50</v>
      </c>
    </row>
    <row r="3" spans="1:53" x14ac:dyDescent="0.15">
      <c r="A3" s="15" t="s">
        <v>156</v>
      </c>
      <c r="B3" s="15" t="s">
        <v>157</v>
      </c>
      <c r="C3" s="15">
        <v>2019</v>
      </c>
      <c r="D3" s="37" t="s">
        <v>165</v>
      </c>
      <c r="E3" s="15" t="s">
        <v>141</v>
      </c>
      <c r="F3" s="7" t="s">
        <v>149</v>
      </c>
      <c r="G3" s="7" t="s">
        <v>36</v>
      </c>
      <c r="H3" s="15" t="s">
        <v>164</v>
      </c>
      <c r="I3" s="7" t="s">
        <v>159</v>
      </c>
      <c r="J3" s="15" t="s">
        <v>38</v>
      </c>
      <c r="K3" s="7" t="s">
        <v>161</v>
      </c>
      <c r="L3" s="7">
        <v>2</v>
      </c>
      <c r="N3" s="7">
        <v>1</v>
      </c>
      <c r="O3" s="34">
        <v>0.5</v>
      </c>
      <c r="P3" s="7">
        <v>0.5</v>
      </c>
      <c r="Q3" s="52">
        <f t="shared" si="0"/>
        <v>0.5</v>
      </c>
      <c r="R3" s="7">
        <v>16.7</v>
      </c>
      <c r="S3" s="7">
        <v>122</v>
      </c>
      <c r="T3" s="16">
        <f t="shared" si="1"/>
        <v>27</v>
      </c>
      <c r="U3" s="15">
        <v>85</v>
      </c>
      <c r="V3" s="16">
        <f t="shared" si="2"/>
        <v>2295</v>
      </c>
      <c r="W3" s="15">
        <v>8</v>
      </c>
      <c r="X3" s="15" t="s">
        <v>46</v>
      </c>
      <c r="Y3" s="15" t="s">
        <v>55</v>
      </c>
      <c r="Z3" s="15" t="s">
        <v>97</v>
      </c>
      <c r="AA3" s="15" t="s">
        <v>86</v>
      </c>
      <c r="AB3" s="39" t="s">
        <v>158</v>
      </c>
      <c r="AE3" s="22" t="s">
        <v>41</v>
      </c>
      <c r="AG3" s="49" t="s">
        <v>139</v>
      </c>
      <c r="AH3" s="49" t="s">
        <v>145</v>
      </c>
      <c r="AJ3" s="23" t="s">
        <v>42</v>
      </c>
      <c r="AL3" s="23" t="s">
        <v>128</v>
      </c>
      <c r="AN3" s="23" t="s">
        <v>43</v>
      </c>
      <c r="AP3" s="23" t="s">
        <v>44</v>
      </c>
      <c r="AR3" s="41" t="s">
        <v>45</v>
      </c>
      <c r="AT3" s="23" t="s">
        <v>46</v>
      </c>
      <c r="AV3" s="23" t="s">
        <v>47</v>
      </c>
      <c r="AX3" s="24">
        <v>72</v>
      </c>
      <c r="AY3" s="25">
        <v>46</v>
      </c>
      <c r="AZ3" s="25">
        <v>71</v>
      </c>
      <c r="BA3" s="26">
        <v>42</v>
      </c>
    </row>
    <row r="4" spans="1:53" x14ac:dyDescent="0.15">
      <c r="A4" s="15" t="s">
        <v>156</v>
      </c>
      <c r="B4" s="15" t="s">
        <v>157</v>
      </c>
      <c r="C4" s="15">
        <v>2019</v>
      </c>
      <c r="D4" s="37" t="s">
        <v>165</v>
      </c>
      <c r="E4" s="15" t="s">
        <v>141</v>
      </c>
      <c r="F4" s="7" t="s">
        <v>149</v>
      </c>
      <c r="G4" s="7" t="s">
        <v>36</v>
      </c>
      <c r="H4" s="15" t="s">
        <v>164</v>
      </c>
      <c r="I4" s="7" t="s">
        <v>159</v>
      </c>
      <c r="J4" s="15" t="s">
        <v>38</v>
      </c>
      <c r="K4" s="7" t="s">
        <v>161</v>
      </c>
      <c r="L4" s="7">
        <v>3</v>
      </c>
      <c r="N4" s="7">
        <v>1</v>
      </c>
      <c r="O4" s="7">
        <v>0.5</v>
      </c>
      <c r="P4" s="7">
        <v>0.5</v>
      </c>
      <c r="Q4" s="52">
        <f t="shared" si="0"/>
        <v>0.5</v>
      </c>
      <c r="R4" s="7">
        <v>17</v>
      </c>
      <c r="S4" s="7">
        <v>127</v>
      </c>
      <c r="T4" s="16">
        <f t="shared" si="1"/>
        <v>27</v>
      </c>
      <c r="U4" s="15">
        <v>85</v>
      </c>
      <c r="V4" s="16">
        <f t="shared" si="2"/>
        <v>2295</v>
      </c>
      <c r="W4" s="15">
        <v>8</v>
      </c>
      <c r="X4" s="15" t="s">
        <v>46</v>
      </c>
      <c r="Y4" s="54" t="s">
        <v>55</v>
      </c>
      <c r="Z4" s="54" t="s">
        <v>97</v>
      </c>
      <c r="AA4" s="54" t="s">
        <v>86</v>
      </c>
      <c r="AB4" s="39" t="s">
        <v>158</v>
      </c>
      <c r="AE4" s="22" t="s">
        <v>34</v>
      </c>
      <c r="AG4" s="49" t="s">
        <v>154</v>
      </c>
      <c r="AH4" s="49" t="s">
        <v>155</v>
      </c>
      <c r="AJ4" s="27" t="s">
        <v>48</v>
      </c>
      <c r="AL4" s="27" t="s">
        <v>129</v>
      </c>
      <c r="AN4" s="28" t="s">
        <v>49</v>
      </c>
      <c r="AP4" s="23" t="s">
        <v>93</v>
      </c>
      <c r="AR4" s="41" t="s">
        <v>121</v>
      </c>
      <c r="AT4" s="28"/>
      <c r="AV4" s="23" t="s">
        <v>50</v>
      </c>
      <c r="AX4" s="24">
        <v>75</v>
      </c>
      <c r="AY4" s="25">
        <v>42</v>
      </c>
      <c r="AZ4" s="25">
        <v>76</v>
      </c>
      <c r="BA4" s="26">
        <v>39</v>
      </c>
    </row>
    <row r="5" spans="1:53" x14ac:dyDescent="0.15">
      <c r="A5" s="15" t="s">
        <v>156</v>
      </c>
      <c r="B5" s="15" t="s">
        <v>157</v>
      </c>
      <c r="C5" s="15">
        <v>2019</v>
      </c>
      <c r="D5" s="37" t="s">
        <v>165</v>
      </c>
      <c r="E5" s="15" t="s">
        <v>141</v>
      </c>
      <c r="F5" s="15" t="s">
        <v>149</v>
      </c>
      <c r="G5" s="7" t="s">
        <v>36</v>
      </c>
      <c r="H5" s="15" t="s">
        <v>160</v>
      </c>
      <c r="I5" s="7" t="s">
        <v>159</v>
      </c>
      <c r="J5" s="15" t="s">
        <v>38</v>
      </c>
      <c r="K5" s="7" t="s">
        <v>161</v>
      </c>
      <c r="L5" s="7">
        <v>1</v>
      </c>
      <c r="N5" s="7">
        <v>1</v>
      </c>
      <c r="O5" s="7">
        <v>0.5</v>
      </c>
      <c r="P5" s="7">
        <v>0.55000000000000004</v>
      </c>
      <c r="Q5" s="52">
        <f t="shared" si="0"/>
        <v>0.52500000000000002</v>
      </c>
      <c r="R5" s="7">
        <v>15</v>
      </c>
      <c r="S5" s="7">
        <v>128</v>
      </c>
      <c r="T5" s="16">
        <f t="shared" si="1"/>
        <v>27</v>
      </c>
      <c r="U5" s="15">
        <v>135</v>
      </c>
      <c r="V5" s="16">
        <f t="shared" si="2"/>
        <v>3645</v>
      </c>
      <c r="W5" s="15">
        <v>22</v>
      </c>
      <c r="X5" s="15" t="s">
        <v>46</v>
      </c>
      <c r="Y5" s="54" t="s">
        <v>55</v>
      </c>
      <c r="Z5" s="54" t="s">
        <v>97</v>
      </c>
      <c r="AA5" s="54" t="s">
        <v>86</v>
      </c>
      <c r="AB5" s="39" t="s">
        <v>158</v>
      </c>
      <c r="AE5" s="22" t="s">
        <v>51</v>
      </c>
      <c r="AG5" s="49" t="s">
        <v>130</v>
      </c>
      <c r="AH5" s="49" t="s">
        <v>146</v>
      </c>
      <c r="AJ5" s="28"/>
      <c r="AL5" s="29" t="s">
        <v>66</v>
      </c>
      <c r="AN5" s="29" t="s">
        <v>52</v>
      </c>
      <c r="AP5" s="23" t="s">
        <v>119</v>
      </c>
      <c r="AR5" s="41" t="s">
        <v>54</v>
      </c>
      <c r="AV5" s="23" t="s">
        <v>55</v>
      </c>
      <c r="AX5" s="24">
        <v>84</v>
      </c>
      <c r="AY5" s="25">
        <v>39</v>
      </c>
      <c r="AZ5" s="25">
        <v>84</v>
      </c>
      <c r="BA5" s="26">
        <v>36</v>
      </c>
    </row>
    <row r="6" spans="1:53" x14ac:dyDescent="0.15">
      <c r="A6" s="15" t="s">
        <v>156</v>
      </c>
      <c r="B6" s="15" t="s">
        <v>157</v>
      </c>
      <c r="C6" s="15">
        <v>2019</v>
      </c>
      <c r="D6" s="37" t="s">
        <v>165</v>
      </c>
      <c r="E6" s="15" t="s">
        <v>141</v>
      </c>
      <c r="F6" s="7" t="s">
        <v>149</v>
      </c>
      <c r="G6" s="7" t="s">
        <v>36</v>
      </c>
      <c r="H6" s="54" t="s">
        <v>160</v>
      </c>
      <c r="I6" s="7" t="s">
        <v>159</v>
      </c>
      <c r="J6" s="15" t="s">
        <v>38</v>
      </c>
      <c r="K6" s="7" t="s">
        <v>161</v>
      </c>
      <c r="L6" s="7">
        <v>2</v>
      </c>
      <c r="N6" s="7">
        <v>1</v>
      </c>
      <c r="O6" s="7">
        <v>0.55000000000000004</v>
      </c>
      <c r="P6" s="7">
        <v>0.55000000000000004</v>
      </c>
      <c r="Q6" s="52">
        <f t="shared" si="0"/>
        <v>0.55000000000000004</v>
      </c>
      <c r="R6" s="7">
        <v>17.8</v>
      </c>
      <c r="S6" s="7">
        <v>130</v>
      </c>
      <c r="T6" s="16">
        <f t="shared" si="1"/>
        <v>25</v>
      </c>
      <c r="U6" s="15">
        <v>135</v>
      </c>
      <c r="V6" s="16">
        <f t="shared" si="2"/>
        <v>3375</v>
      </c>
      <c r="W6" s="15">
        <v>22</v>
      </c>
      <c r="X6" s="15" t="s">
        <v>46</v>
      </c>
      <c r="Y6" s="54" t="s">
        <v>55</v>
      </c>
      <c r="Z6" s="54" t="s">
        <v>97</v>
      </c>
      <c r="AA6" s="54" t="s">
        <v>86</v>
      </c>
      <c r="AB6" s="39" t="s">
        <v>158</v>
      </c>
      <c r="AE6" s="22" t="s">
        <v>56</v>
      </c>
      <c r="AG6" s="49" t="s">
        <v>132</v>
      </c>
      <c r="AH6" s="49" t="s">
        <v>147</v>
      </c>
      <c r="AL6" s="29" t="s">
        <v>99</v>
      </c>
      <c r="AN6" s="29" t="s">
        <v>57</v>
      </c>
      <c r="AP6" s="23" t="s">
        <v>53</v>
      </c>
      <c r="AR6" s="41" t="s">
        <v>59</v>
      </c>
      <c r="AV6" s="23" t="s">
        <v>60</v>
      </c>
      <c r="AX6" s="24">
        <v>97</v>
      </c>
      <c r="AY6" s="25">
        <v>36</v>
      </c>
      <c r="AZ6" s="25">
        <v>99</v>
      </c>
      <c r="BA6" s="26">
        <v>33</v>
      </c>
    </row>
    <row r="7" spans="1:53" ht="12" customHeight="1" x14ac:dyDescent="0.15">
      <c r="A7" s="15" t="s">
        <v>156</v>
      </c>
      <c r="B7" s="15" t="s">
        <v>157</v>
      </c>
      <c r="C7" s="15">
        <v>2019</v>
      </c>
      <c r="D7" s="37" t="s">
        <v>165</v>
      </c>
      <c r="E7" s="15" t="s">
        <v>141</v>
      </c>
      <c r="F7" s="7" t="s">
        <v>149</v>
      </c>
      <c r="G7" s="7" t="s">
        <v>36</v>
      </c>
      <c r="H7" s="54" t="s">
        <v>160</v>
      </c>
      <c r="I7" s="7" t="s">
        <v>159</v>
      </c>
      <c r="J7" s="15" t="s">
        <v>38</v>
      </c>
      <c r="K7" s="7" t="s">
        <v>161</v>
      </c>
      <c r="L7" s="7">
        <v>3</v>
      </c>
      <c r="N7" s="7">
        <v>1</v>
      </c>
      <c r="O7" s="7">
        <v>0.55000000000000004</v>
      </c>
      <c r="P7" s="7">
        <v>0.5</v>
      </c>
      <c r="Q7" s="52">
        <f t="shared" si="0"/>
        <v>0.52500000000000002</v>
      </c>
      <c r="R7" s="34">
        <v>18.899999999999999</v>
      </c>
      <c r="S7" s="7">
        <v>129</v>
      </c>
      <c r="T7" s="16">
        <f t="shared" si="1"/>
        <v>25</v>
      </c>
      <c r="U7" s="15">
        <v>135</v>
      </c>
      <c r="V7" s="16">
        <f t="shared" si="2"/>
        <v>3375</v>
      </c>
      <c r="W7" s="15">
        <v>22</v>
      </c>
      <c r="X7" s="15" t="s">
        <v>46</v>
      </c>
      <c r="Y7" s="54" t="s">
        <v>55</v>
      </c>
      <c r="Z7" s="54" t="s">
        <v>97</v>
      </c>
      <c r="AA7" s="54" t="s">
        <v>86</v>
      </c>
      <c r="AB7" s="39" t="s">
        <v>158</v>
      </c>
      <c r="AE7" s="22" t="s">
        <v>61</v>
      </c>
      <c r="AG7" s="49" t="s">
        <v>140</v>
      </c>
      <c r="AH7" s="49" t="s">
        <v>148</v>
      </c>
      <c r="AL7" s="34" t="s">
        <v>109</v>
      </c>
      <c r="AP7" s="23" t="s">
        <v>58</v>
      </c>
      <c r="AR7" s="30" t="s">
        <v>122</v>
      </c>
      <c r="AV7" s="23" t="s">
        <v>64</v>
      </c>
      <c r="AX7" s="24">
        <v>109</v>
      </c>
      <c r="AY7" s="25">
        <v>33</v>
      </c>
      <c r="AZ7" s="25">
        <v>113</v>
      </c>
      <c r="BA7" s="26">
        <v>30</v>
      </c>
    </row>
    <row r="8" spans="1:53" ht="12.75" customHeight="1" x14ac:dyDescent="0.15">
      <c r="A8" s="15" t="s">
        <v>156</v>
      </c>
      <c r="B8" s="15" t="s">
        <v>157</v>
      </c>
      <c r="C8" s="15">
        <v>2019</v>
      </c>
      <c r="D8" s="37" t="s">
        <v>165</v>
      </c>
      <c r="E8" s="15" t="s">
        <v>133</v>
      </c>
      <c r="F8" s="7" t="s">
        <v>150</v>
      </c>
      <c r="G8" s="7" t="s">
        <v>36</v>
      </c>
      <c r="H8" s="15" t="s">
        <v>164</v>
      </c>
      <c r="I8" s="7" t="s">
        <v>159</v>
      </c>
      <c r="J8" s="15" t="s">
        <v>38</v>
      </c>
      <c r="K8" s="7" t="s">
        <v>161</v>
      </c>
      <c r="L8" s="7">
        <v>1</v>
      </c>
      <c r="N8" s="7">
        <v>1</v>
      </c>
      <c r="O8" s="7">
        <v>0.7</v>
      </c>
      <c r="P8" s="7">
        <v>0.65</v>
      </c>
      <c r="Q8" s="52">
        <f t="shared" si="0"/>
        <v>0.67500000000000004</v>
      </c>
      <c r="R8" s="34">
        <v>15.5</v>
      </c>
      <c r="S8" s="7">
        <v>126</v>
      </c>
      <c r="T8" s="16">
        <f t="shared" si="1"/>
        <v>27</v>
      </c>
      <c r="U8" s="15">
        <v>98</v>
      </c>
      <c r="V8" s="16">
        <f t="shared" si="2"/>
        <v>2646</v>
      </c>
      <c r="W8" s="15">
        <v>18</v>
      </c>
      <c r="X8" s="15" t="s">
        <v>46</v>
      </c>
      <c r="Y8" s="54" t="s">
        <v>86</v>
      </c>
      <c r="Z8" s="54" t="s">
        <v>55</v>
      </c>
      <c r="AA8" s="54" t="s">
        <v>69</v>
      </c>
      <c r="AB8" s="39" t="s">
        <v>158</v>
      </c>
      <c r="AE8" s="22" t="s">
        <v>59</v>
      </c>
      <c r="AG8" s="49" t="s">
        <v>141</v>
      </c>
      <c r="AH8" s="49" t="s">
        <v>149</v>
      </c>
      <c r="AL8" s="34" t="s">
        <v>134</v>
      </c>
      <c r="AP8" s="23" t="s">
        <v>62</v>
      </c>
      <c r="AR8" s="41" t="s">
        <v>81</v>
      </c>
      <c r="AV8" s="23" t="s">
        <v>97</v>
      </c>
      <c r="AX8" s="24">
        <v>119</v>
      </c>
      <c r="AY8" s="25">
        <v>30</v>
      </c>
      <c r="AZ8" s="25">
        <v>121</v>
      </c>
      <c r="BA8" s="26">
        <v>27</v>
      </c>
    </row>
    <row r="9" spans="1:53" x14ac:dyDescent="0.15">
      <c r="A9" s="15" t="s">
        <v>156</v>
      </c>
      <c r="B9" s="15" t="s">
        <v>157</v>
      </c>
      <c r="C9" s="15">
        <v>2019</v>
      </c>
      <c r="D9" s="37" t="s">
        <v>165</v>
      </c>
      <c r="E9" s="15" t="s">
        <v>133</v>
      </c>
      <c r="F9" s="7" t="s">
        <v>150</v>
      </c>
      <c r="G9" s="7" t="s">
        <v>36</v>
      </c>
      <c r="H9" s="54" t="s">
        <v>164</v>
      </c>
      <c r="I9" s="7" t="s">
        <v>159</v>
      </c>
      <c r="J9" s="15" t="s">
        <v>38</v>
      </c>
      <c r="K9" s="7" t="s">
        <v>161</v>
      </c>
      <c r="L9" s="7">
        <v>2</v>
      </c>
      <c r="N9" s="7">
        <v>1</v>
      </c>
      <c r="O9" s="7">
        <v>0.9</v>
      </c>
      <c r="P9" s="7">
        <v>1.1000000000000001</v>
      </c>
      <c r="Q9" s="52">
        <f t="shared" si="0"/>
        <v>1</v>
      </c>
      <c r="R9" s="7">
        <v>17</v>
      </c>
      <c r="S9" s="7">
        <v>121</v>
      </c>
      <c r="T9" s="16">
        <f t="shared" si="1"/>
        <v>27</v>
      </c>
      <c r="U9" s="15">
        <v>98</v>
      </c>
      <c r="V9" s="16">
        <f t="shared" si="2"/>
        <v>2646</v>
      </c>
      <c r="W9" s="15">
        <v>18</v>
      </c>
      <c r="X9" s="15" t="s">
        <v>46</v>
      </c>
      <c r="Y9" s="54" t="s">
        <v>86</v>
      </c>
      <c r="Z9" s="54" t="s">
        <v>55</v>
      </c>
      <c r="AA9" s="54" t="s">
        <v>69</v>
      </c>
      <c r="AB9" s="39" t="s">
        <v>158</v>
      </c>
      <c r="AE9" s="22" t="s">
        <v>98</v>
      </c>
      <c r="AG9" s="49" t="s">
        <v>133</v>
      </c>
      <c r="AH9" s="49" t="s">
        <v>150</v>
      </c>
      <c r="AL9" s="34"/>
      <c r="AP9" s="23" t="s">
        <v>95</v>
      </c>
      <c r="AR9" s="30" t="s">
        <v>89</v>
      </c>
      <c r="AV9" s="23" t="s">
        <v>102</v>
      </c>
      <c r="AX9" s="24">
        <v>128</v>
      </c>
      <c r="AY9" s="25">
        <v>27</v>
      </c>
      <c r="AZ9" s="25">
        <v>129</v>
      </c>
      <c r="BA9" s="26">
        <v>25</v>
      </c>
    </row>
    <row r="10" spans="1:53" x14ac:dyDescent="0.15">
      <c r="A10" s="15" t="s">
        <v>156</v>
      </c>
      <c r="B10" s="15" t="s">
        <v>157</v>
      </c>
      <c r="C10" s="15">
        <v>2019</v>
      </c>
      <c r="D10" s="37" t="s">
        <v>165</v>
      </c>
      <c r="E10" s="15" t="s">
        <v>133</v>
      </c>
      <c r="F10" s="7" t="s">
        <v>150</v>
      </c>
      <c r="G10" s="7" t="s">
        <v>36</v>
      </c>
      <c r="H10" s="54" t="s">
        <v>164</v>
      </c>
      <c r="I10" s="7" t="s">
        <v>159</v>
      </c>
      <c r="J10" s="15" t="s">
        <v>38</v>
      </c>
      <c r="K10" s="7" t="s">
        <v>161</v>
      </c>
      <c r="L10" s="7">
        <v>3</v>
      </c>
      <c r="N10" s="7">
        <v>1</v>
      </c>
      <c r="O10" s="7">
        <v>0.75</v>
      </c>
      <c r="P10" s="7">
        <v>0.75</v>
      </c>
      <c r="Q10" s="52">
        <f t="shared" si="0"/>
        <v>0.75</v>
      </c>
      <c r="R10" s="7">
        <v>16.899999999999999</v>
      </c>
      <c r="S10" s="7">
        <v>120</v>
      </c>
      <c r="T10" s="16">
        <f t="shared" si="1"/>
        <v>30</v>
      </c>
      <c r="U10" s="15">
        <v>98</v>
      </c>
      <c r="V10" s="16">
        <f t="shared" si="2"/>
        <v>2940</v>
      </c>
      <c r="W10" s="15">
        <v>18</v>
      </c>
      <c r="X10" s="15" t="s">
        <v>46</v>
      </c>
      <c r="Y10" s="54" t="s">
        <v>86</v>
      </c>
      <c r="Z10" s="54" t="s">
        <v>55</v>
      </c>
      <c r="AA10" s="54" t="s">
        <v>69</v>
      </c>
      <c r="AB10" s="39" t="s">
        <v>158</v>
      </c>
      <c r="AE10" s="22" t="s">
        <v>103</v>
      </c>
      <c r="AG10" s="49" t="s">
        <v>142</v>
      </c>
      <c r="AH10" s="49" t="s">
        <v>151</v>
      </c>
      <c r="AP10" s="23" t="s">
        <v>100</v>
      </c>
      <c r="AR10" s="30" t="s">
        <v>123</v>
      </c>
      <c r="AV10" s="23" t="s">
        <v>106</v>
      </c>
      <c r="AX10" s="24">
        <v>138</v>
      </c>
      <c r="AY10" s="25">
        <v>25</v>
      </c>
      <c r="AZ10" s="25">
        <v>138</v>
      </c>
      <c r="BA10" s="26">
        <v>22</v>
      </c>
    </row>
    <row r="11" spans="1:53" x14ac:dyDescent="0.15">
      <c r="A11" s="15" t="s">
        <v>156</v>
      </c>
      <c r="B11" s="15" t="s">
        <v>157</v>
      </c>
      <c r="C11" s="15">
        <v>2019</v>
      </c>
      <c r="D11" s="37" t="s">
        <v>165</v>
      </c>
      <c r="E11" s="15" t="s">
        <v>133</v>
      </c>
      <c r="F11" s="7" t="s">
        <v>150</v>
      </c>
      <c r="G11" s="7" t="s">
        <v>36</v>
      </c>
      <c r="H11" s="15" t="s">
        <v>160</v>
      </c>
      <c r="I11" s="7" t="s">
        <v>159</v>
      </c>
      <c r="J11" s="15" t="s">
        <v>38</v>
      </c>
      <c r="K11" s="7" t="s">
        <v>161</v>
      </c>
      <c r="L11" s="7">
        <v>1</v>
      </c>
      <c r="N11" s="7">
        <v>1</v>
      </c>
      <c r="O11" s="7">
        <v>0.75</v>
      </c>
      <c r="P11" s="7">
        <v>0.95</v>
      </c>
      <c r="Q11" s="52">
        <f t="shared" si="0"/>
        <v>0.85</v>
      </c>
      <c r="R11" s="7">
        <v>19.2</v>
      </c>
      <c r="S11" s="7">
        <v>130</v>
      </c>
      <c r="T11" s="16">
        <f t="shared" si="1"/>
        <v>25</v>
      </c>
      <c r="U11" s="7">
        <v>98</v>
      </c>
      <c r="V11" s="16">
        <f t="shared" si="2"/>
        <v>2450</v>
      </c>
      <c r="W11" s="7">
        <v>5</v>
      </c>
      <c r="X11" s="15" t="s">
        <v>46</v>
      </c>
      <c r="Y11" s="54" t="s">
        <v>86</v>
      </c>
      <c r="Z11" s="54" t="s">
        <v>55</v>
      </c>
      <c r="AA11" s="54" t="s">
        <v>69</v>
      </c>
      <c r="AB11" s="39" t="s">
        <v>158</v>
      </c>
      <c r="AE11" s="22" t="s">
        <v>65</v>
      </c>
      <c r="AG11" s="49" t="s">
        <v>143</v>
      </c>
      <c r="AH11" s="49" t="s">
        <v>152</v>
      </c>
      <c r="AP11" s="23" t="s">
        <v>104</v>
      </c>
      <c r="AR11" s="30" t="s">
        <v>87</v>
      </c>
      <c r="AV11" s="23" t="s">
        <v>69</v>
      </c>
      <c r="AX11" s="24">
        <v>151</v>
      </c>
      <c r="AY11" s="25">
        <v>22</v>
      </c>
      <c r="AZ11" s="25">
        <v>152</v>
      </c>
      <c r="BA11" s="26">
        <v>18</v>
      </c>
    </row>
    <row r="12" spans="1:53" x14ac:dyDescent="0.15">
      <c r="A12" s="15" t="s">
        <v>156</v>
      </c>
      <c r="B12" s="15" t="s">
        <v>157</v>
      </c>
      <c r="C12" s="15">
        <v>2019</v>
      </c>
      <c r="D12" s="37" t="s">
        <v>165</v>
      </c>
      <c r="E12" s="15" t="s">
        <v>133</v>
      </c>
      <c r="F12" s="7" t="s">
        <v>150</v>
      </c>
      <c r="G12" s="7" t="s">
        <v>36</v>
      </c>
      <c r="H12" s="54" t="s">
        <v>160</v>
      </c>
      <c r="I12" s="53" t="s">
        <v>159</v>
      </c>
      <c r="J12" s="15" t="s">
        <v>38</v>
      </c>
      <c r="K12" s="7" t="s">
        <v>161</v>
      </c>
      <c r="L12" s="7">
        <v>2</v>
      </c>
      <c r="N12" s="7">
        <v>1</v>
      </c>
      <c r="O12" s="7">
        <v>0.7</v>
      </c>
      <c r="P12" s="7">
        <v>0.85</v>
      </c>
      <c r="Q12" s="52">
        <f t="shared" si="0"/>
        <v>0.77499999999999991</v>
      </c>
      <c r="R12" s="34">
        <v>18.100000000000001</v>
      </c>
      <c r="S12" s="7">
        <v>131</v>
      </c>
      <c r="T12" s="16">
        <f t="shared" si="1"/>
        <v>25</v>
      </c>
      <c r="U12" s="7">
        <v>98</v>
      </c>
      <c r="V12" s="16">
        <f t="shared" si="2"/>
        <v>2450</v>
      </c>
      <c r="W12" s="7">
        <v>5</v>
      </c>
      <c r="X12" s="15" t="s">
        <v>46</v>
      </c>
      <c r="Y12" s="54" t="s">
        <v>86</v>
      </c>
      <c r="Z12" s="54" t="s">
        <v>55</v>
      </c>
      <c r="AA12" s="54" t="s">
        <v>69</v>
      </c>
      <c r="AB12" s="39" t="s">
        <v>158</v>
      </c>
      <c r="AE12" s="22" t="s">
        <v>70</v>
      </c>
      <c r="AG12" s="40"/>
      <c r="AH12" s="40"/>
      <c r="AP12" s="23" t="s">
        <v>67</v>
      </c>
      <c r="AR12" s="30" t="s">
        <v>124</v>
      </c>
      <c r="AV12" s="23" t="s">
        <v>72</v>
      </c>
      <c r="AX12" s="31">
        <v>180</v>
      </c>
      <c r="AY12" s="32">
        <v>18</v>
      </c>
      <c r="AZ12" s="32">
        <v>181</v>
      </c>
      <c r="BA12" s="33">
        <v>16</v>
      </c>
    </row>
    <row r="13" spans="1:53" x14ac:dyDescent="0.15">
      <c r="A13" s="15" t="s">
        <v>156</v>
      </c>
      <c r="B13" s="15" t="s">
        <v>157</v>
      </c>
      <c r="C13" s="15">
        <v>2019</v>
      </c>
      <c r="D13" s="37" t="s">
        <v>165</v>
      </c>
      <c r="E13" s="15" t="s">
        <v>133</v>
      </c>
      <c r="F13" s="7" t="s">
        <v>150</v>
      </c>
      <c r="G13" s="7" t="s">
        <v>36</v>
      </c>
      <c r="H13" s="54" t="s">
        <v>160</v>
      </c>
      <c r="I13" s="53" t="s">
        <v>159</v>
      </c>
      <c r="J13" s="15" t="s">
        <v>38</v>
      </c>
      <c r="K13" s="7" t="s">
        <v>161</v>
      </c>
      <c r="L13" s="7">
        <v>3</v>
      </c>
      <c r="N13" s="7">
        <v>1</v>
      </c>
      <c r="O13" s="7">
        <v>0.75</v>
      </c>
      <c r="P13" s="7">
        <v>0.75</v>
      </c>
      <c r="Q13" s="52">
        <f t="shared" si="0"/>
        <v>0.75</v>
      </c>
      <c r="R13" s="7">
        <v>19.2</v>
      </c>
      <c r="S13" s="7">
        <v>133</v>
      </c>
      <c r="T13" s="16">
        <f t="shared" si="1"/>
        <v>25</v>
      </c>
      <c r="U13" s="7">
        <v>98</v>
      </c>
      <c r="V13" s="16">
        <f t="shared" si="2"/>
        <v>2450</v>
      </c>
      <c r="W13" s="7">
        <v>5</v>
      </c>
      <c r="X13" s="15" t="s">
        <v>46</v>
      </c>
      <c r="Y13" s="54" t="s">
        <v>86</v>
      </c>
      <c r="Z13" s="54" t="s">
        <v>55</v>
      </c>
      <c r="AA13" s="54" t="s">
        <v>69</v>
      </c>
      <c r="AB13" s="39" t="s">
        <v>158</v>
      </c>
      <c r="AE13" s="22" t="s">
        <v>73</v>
      </c>
      <c r="AG13" s="23"/>
      <c r="AH13" s="23"/>
      <c r="AP13" s="23" t="s">
        <v>71</v>
      </c>
      <c r="AR13" s="30" t="s">
        <v>103</v>
      </c>
      <c r="AV13" s="23" t="s">
        <v>75</v>
      </c>
    </row>
    <row r="14" spans="1:53" x14ac:dyDescent="0.15">
      <c r="A14" s="15" t="s">
        <v>156</v>
      </c>
      <c r="B14" s="15" t="s">
        <v>157</v>
      </c>
      <c r="C14" s="15">
        <v>2019</v>
      </c>
      <c r="D14" s="37" t="s">
        <v>165</v>
      </c>
      <c r="E14" s="15" t="s">
        <v>142</v>
      </c>
      <c r="F14" s="7" t="s">
        <v>151</v>
      </c>
      <c r="G14" s="7" t="s">
        <v>36</v>
      </c>
      <c r="H14" s="15" t="s">
        <v>164</v>
      </c>
      <c r="I14" s="7" t="s">
        <v>159</v>
      </c>
      <c r="J14" s="15" t="s">
        <v>38</v>
      </c>
      <c r="K14" s="7" t="s">
        <v>161</v>
      </c>
      <c r="L14" s="7">
        <v>1</v>
      </c>
      <c r="N14" s="53">
        <v>1</v>
      </c>
      <c r="O14" s="7">
        <v>0.55000000000000004</v>
      </c>
      <c r="P14" s="7">
        <v>0.65</v>
      </c>
      <c r="Q14" s="52">
        <f t="shared" si="0"/>
        <v>0.60000000000000009</v>
      </c>
      <c r="R14" s="7">
        <v>12</v>
      </c>
      <c r="S14" s="7">
        <v>113</v>
      </c>
      <c r="T14" s="16">
        <f t="shared" si="1"/>
        <v>30</v>
      </c>
      <c r="U14" s="7">
        <v>138</v>
      </c>
      <c r="V14" s="16">
        <f t="shared" si="2"/>
        <v>4140</v>
      </c>
      <c r="W14" s="7">
        <v>4</v>
      </c>
      <c r="X14" s="15" t="s">
        <v>46</v>
      </c>
      <c r="Y14" s="54" t="s">
        <v>86</v>
      </c>
      <c r="Z14" s="54" t="s">
        <v>55</v>
      </c>
      <c r="AA14" s="54" t="s">
        <v>69</v>
      </c>
      <c r="AB14" s="39" t="s">
        <v>158</v>
      </c>
      <c r="AE14" s="22" t="s">
        <v>76</v>
      </c>
      <c r="AG14" s="23"/>
      <c r="AH14" s="23"/>
      <c r="AP14" s="23" t="s">
        <v>74</v>
      </c>
      <c r="AR14" s="30" t="s">
        <v>125</v>
      </c>
      <c r="AV14" s="23" t="s">
        <v>78</v>
      </c>
    </row>
    <row r="15" spans="1:53" x14ac:dyDescent="0.15">
      <c r="A15" s="15" t="s">
        <v>156</v>
      </c>
      <c r="B15" s="15" t="s">
        <v>157</v>
      </c>
      <c r="C15" s="15">
        <v>2019</v>
      </c>
      <c r="D15" s="37" t="s">
        <v>165</v>
      </c>
      <c r="E15" s="15" t="s">
        <v>142</v>
      </c>
      <c r="F15" s="7" t="s">
        <v>151</v>
      </c>
      <c r="G15" s="7" t="s">
        <v>36</v>
      </c>
      <c r="H15" s="15" t="s">
        <v>164</v>
      </c>
      <c r="I15" s="7" t="s">
        <v>159</v>
      </c>
      <c r="J15" s="15" t="s">
        <v>38</v>
      </c>
      <c r="K15" s="7" t="s">
        <v>161</v>
      </c>
      <c r="L15" s="7">
        <v>2</v>
      </c>
      <c r="N15" s="53">
        <v>1</v>
      </c>
      <c r="O15" s="7">
        <v>0.5</v>
      </c>
      <c r="P15" s="7">
        <v>0.6</v>
      </c>
      <c r="Q15" s="52">
        <f t="shared" si="0"/>
        <v>0.55000000000000004</v>
      </c>
      <c r="R15" s="7">
        <v>13.2</v>
      </c>
      <c r="S15" s="7">
        <v>111</v>
      </c>
      <c r="T15" s="16">
        <f t="shared" si="1"/>
        <v>33</v>
      </c>
      <c r="U15" s="7">
        <v>138</v>
      </c>
      <c r="V15" s="16">
        <f t="shared" si="2"/>
        <v>4554</v>
      </c>
      <c r="W15" s="7">
        <v>4</v>
      </c>
      <c r="X15" s="15" t="s">
        <v>46</v>
      </c>
      <c r="Y15" s="54" t="s">
        <v>86</v>
      </c>
      <c r="Z15" s="54" t="s">
        <v>55</v>
      </c>
      <c r="AA15" s="54" t="s">
        <v>69</v>
      </c>
      <c r="AB15" s="39" t="s">
        <v>158</v>
      </c>
      <c r="AE15" s="22" t="s">
        <v>79</v>
      </c>
      <c r="AG15" s="23"/>
      <c r="AH15" s="23"/>
      <c r="AP15" s="23" t="s">
        <v>77</v>
      </c>
      <c r="AR15" s="30" t="s">
        <v>94</v>
      </c>
      <c r="AV15" s="23" t="s">
        <v>107</v>
      </c>
    </row>
    <row r="16" spans="1:53" x14ac:dyDescent="0.15">
      <c r="A16" s="15" t="s">
        <v>156</v>
      </c>
      <c r="B16" s="15" t="s">
        <v>157</v>
      </c>
      <c r="C16" s="15">
        <v>2019</v>
      </c>
      <c r="D16" s="37" t="s">
        <v>165</v>
      </c>
      <c r="E16" s="15" t="s">
        <v>142</v>
      </c>
      <c r="F16" s="7" t="s">
        <v>151</v>
      </c>
      <c r="G16" s="7" t="s">
        <v>36</v>
      </c>
      <c r="H16" s="15" t="s">
        <v>164</v>
      </c>
      <c r="I16" s="7" t="s">
        <v>159</v>
      </c>
      <c r="J16" s="15" t="s">
        <v>38</v>
      </c>
      <c r="K16" s="7" t="s">
        <v>161</v>
      </c>
      <c r="L16" s="7">
        <v>3</v>
      </c>
      <c r="N16" s="53">
        <v>1</v>
      </c>
      <c r="O16" s="7">
        <v>0.6</v>
      </c>
      <c r="P16" s="7">
        <v>0.6</v>
      </c>
      <c r="Q16" s="52">
        <f t="shared" si="0"/>
        <v>0.6</v>
      </c>
      <c r="R16" s="7">
        <v>16.5</v>
      </c>
      <c r="S16" s="7">
        <v>112</v>
      </c>
      <c r="T16" s="16">
        <f t="shared" si="1"/>
        <v>33</v>
      </c>
      <c r="U16" s="7">
        <v>138</v>
      </c>
      <c r="V16" s="16">
        <f t="shared" si="2"/>
        <v>4554</v>
      </c>
      <c r="W16" s="7">
        <v>4</v>
      </c>
      <c r="X16" s="15" t="s">
        <v>46</v>
      </c>
      <c r="Y16" s="54" t="s">
        <v>86</v>
      </c>
      <c r="Z16" s="54" t="s">
        <v>55</v>
      </c>
      <c r="AA16" s="54" t="s">
        <v>69</v>
      </c>
      <c r="AB16" s="39" t="s">
        <v>158</v>
      </c>
      <c r="AE16" s="22" t="s">
        <v>82</v>
      </c>
      <c r="AG16" s="28"/>
      <c r="AH16" s="28"/>
      <c r="AP16" s="23" t="s">
        <v>80</v>
      </c>
      <c r="AR16" s="41" t="s">
        <v>63</v>
      </c>
      <c r="AV16" s="23" t="s">
        <v>84</v>
      </c>
    </row>
    <row r="17" spans="1:48" x14ac:dyDescent="0.15">
      <c r="A17" s="15" t="s">
        <v>156</v>
      </c>
      <c r="B17" s="15" t="s">
        <v>157</v>
      </c>
      <c r="C17" s="15">
        <v>2019</v>
      </c>
      <c r="D17" s="37" t="s">
        <v>165</v>
      </c>
      <c r="E17" s="15" t="s">
        <v>142</v>
      </c>
      <c r="F17" s="7" t="s">
        <v>151</v>
      </c>
      <c r="G17" s="7" t="s">
        <v>36</v>
      </c>
      <c r="H17" s="15" t="s">
        <v>160</v>
      </c>
      <c r="I17" s="7" t="s">
        <v>159</v>
      </c>
      <c r="J17" s="15" t="s">
        <v>38</v>
      </c>
      <c r="K17" s="7" t="s">
        <v>161</v>
      </c>
      <c r="L17" s="7">
        <v>1</v>
      </c>
      <c r="N17" s="7">
        <v>1</v>
      </c>
      <c r="O17" s="7">
        <v>0.8</v>
      </c>
      <c r="P17" s="7">
        <v>0.7</v>
      </c>
      <c r="Q17" s="52">
        <f t="shared" si="0"/>
        <v>0.75</v>
      </c>
      <c r="R17" s="7">
        <v>17.600000000000001</v>
      </c>
      <c r="S17" s="7">
        <v>114</v>
      </c>
      <c r="T17" s="16">
        <f t="shared" si="1"/>
        <v>30</v>
      </c>
      <c r="U17" s="7">
        <v>108</v>
      </c>
      <c r="V17" s="16">
        <f t="shared" si="2"/>
        <v>3240</v>
      </c>
      <c r="W17" s="7">
        <v>6</v>
      </c>
      <c r="X17" s="15" t="s">
        <v>46</v>
      </c>
      <c r="Y17" s="54" t="s">
        <v>86</v>
      </c>
      <c r="Z17" s="54" t="s">
        <v>55</v>
      </c>
      <c r="AA17" s="54" t="s">
        <v>69</v>
      </c>
      <c r="AB17" s="39" t="s">
        <v>158</v>
      </c>
      <c r="AE17" s="22" t="s">
        <v>85</v>
      </c>
      <c r="AP17" s="43" t="s">
        <v>110</v>
      </c>
      <c r="AR17" s="41" t="s">
        <v>96</v>
      </c>
      <c r="AV17" s="23" t="s">
        <v>86</v>
      </c>
    </row>
    <row r="18" spans="1:48" x14ac:dyDescent="0.15">
      <c r="A18" s="15" t="s">
        <v>156</v>
      </c>
      <c r="B18" s="15" t="s">
        <v>157</v>
      </c>
      <c r="C18" s="15">
        <v>2019</v>
      </c>
      <c r="D18" s="37" t="s">
        <v>165</v>
      </c>
      <c r="E18" s="15" t="s">
        <v>142</v>
      </c>
      <c r="F18" s="7" t="s">
        <v>151</v>
      </c>
      <c r="G18" s="7" t="s">
        <v>36</v>
      </c>
      <c r="H18" s="15" t="s">
        <v>160</v>
      </c>
      <c r="I18" s="7" t="s">
        <v>159</v>
      </c>
      <c r="J18" s="15" t="s">
        <v>38</v>
      </c>
      <c r="K18" s="7" t="s">
        <v>161</v>
      </c>
      <c r="L18" s="7">
        <v>2</v>
      </c>
      <c r="N18" s="7">
        <v>1</v>
      </c>
      <c r="O18" s="7">
        <v>0.7</v>
      </c>
      <c r="P18" s="7">
        <v>0.9</v>
      </c>
      <c r="Q18" s="52">
        <f t="shared" si="0"/>
        <v>0.8</v>
      </c>
      <c r="R18" s="7">
        <v>18.3</v>
      </c>
      <c r="S18" s="7">
        <v>117</v>
      </c>
      <c r="T18" s="16">
        <f t="shared" si="1"/>
        <v>30</v>
      </c>
      <c r="U18" s="7">
        <v>108</v>
      </c>
      <c r="V18" s="16">
        <f t="shared" si="2"/>
        <v>3240</v>
      </c>
      <c r="W18" s="7">
        <v>6</v>
      </c>
      <c r="X18" s="15" t="s">
        <v>46</v>
      </c>
      <c r="Y18" s="54" t="s">
        <v>86</v>
      </c>
      <c r="Z18" s="54" t="s">
        <v>55</v>
      </c>
      <c r="AA18" s="54" t="s">
        <v>69</v>
      </c>
      <c r="AB18" s="39" t="s">
        <v>158</v>
      </c>
      <c r="AE18" s="22" t="s">
        <v>87</v>
      </c>
      <c r="AP18" s="43" t="s">
        <v>111</v>
      </c>
      <c r="AR18" s="41" t="s">
        <v>101</v>
      </c>
      <c r="AV18" s="23" t="s">
        <v>88</v>
      </c>
    </row>
    <row r="19" spans="1:48" x14ac:dyDescent="0.15">
      <c r="A19" s="15" t="s">
        <v>156</v>
      </c>
      <c r="B19" s="15" t="s">
        <v>157</v>
      </c>
      <c r="C19" s="15">
        <v>2019</v>
      </c>
      <c r="D19" s="37" t="s">
        <v>165</v>
      </c>
      <c r="E19" s="15" t="s">
        <v>142</v>
      </c>
      <c r="F19" s="7" t="s">
        <v>151</v>
      </c>
      <c r="G19" s="7" t="s">
        <v>36</v>
      </c>
      <c r="H19" s="15" t="s">
        <v>160</v>
      </c>
      <c r="I19" s="7" t="s">
        <v>159</v>
      </c>
      <c r="J19" s="15" t="s">
        <v>38</v>
      </c>
      <c r="K19" s="7" t="s">
        <v>161</v>
      </c>
      <c r="L19" s="7">
        <v>3</v>
      </c>
      <c r="N19" s="7">
        <v>1</v>
      </c>
      <c r="O19" s="7">
        <v>0.65</v>
      </c>
      <c r="P19" s="7">
        <v>0.6</v>
      </c>
      <c r="Q19" s="52">
        <f t="shared" si="0"/>
        <v>0.625</v>
      </c>
      <c r="R19" s="7">
        <v>15.3</v>
      </c>
      <c r="S19" s="7">
        <v>112</v>
      </c>
      <c r="T19" s="16">
        <f t="shared" si="1"/>
        <v>33</v>
      </c>
      <c r="U19" s="7">
        <v>108</v>
      </c>
      <c r="V19" s="16">
        <f t="shared" si="2"/>
        <v>3564</v>
      </c>
      <c r="W19" s="7">
        <v>6</v>
      </c>
      <c r="X19" s="15" t="s">
        <v>46</v>
      </c>
      <c r="Y19" s="54" t="s">
        <v>86</v>
      </c>
      <c r="Z19" s="54" t="s">
        <v>55</v>
      </c>
      <c r="AA19" s="54" t="s">
        <v>69</v>
      </c>
      <c r="AB19" s="39" t="s">
        <v>158</v>
      </c>
      <c r="AE19" s="35" t="s">
        <v>89</v>
      </c>
      <c r="AP19" s="43" t="s">
        <v>112</v>
      </c>
      <c r="AR19" s="30" t="s">
        <v>126</v>
      </c>
      <c r="AV19" s="23" t="s">
        <v>90</v>
      </c>
    </row>
    <row r="20" spans="1:48" x14ac:dyDescent="0.15">
      <c r="A20" s="15" t="s">
        <v>156</v>
      </c>
      <c r="B20" s="15" t="s">
        <v>157</v>
      </c>
      <c r="C20" s="15">
        <v>2019</v>
      </c>
      <c r="D20" s="37" t="s">
        <v>165</v>
      </c>
      <c r="E20" s="15" t="s">
        <v>143</v>
      </c>
      <c r="F20" s="7" t="s">
        <v>152</v>
      </c>
      <c r="G20" s="7" t="s">
        <v>36</v>
      </c>
      <c r="H20" s="15" t="s">
        <v>164</v>
      </c>
      <c r="I20" s="7" t="s">
        <v>159</v>
      </c>
      <c r="J20" s="15" t="s">
        <v>38</v>
      </c>
      <c r="K20" s="7" t="s">
        <v>161</v>
      </c>
      <c r="L20" s="7">
        <v>1</v>
      </c>
      <c r="N20" s="7">
        <v>1</v>
      </c>
      <c r="O20" s="7">
        <v>0.65</v>
      </c>
      <c r="P20" s="34">
        <v>0.6</v>
      </c>
      <c r="Q20" s="52">
        <f t="shared" si="0"/>
        <v>0.625</v>
      </c>
      <c r="R20" s="7">
        <v>18</v>
      </c>
      <c r="S20" s="7">
        <v>118</v>
      </c>
      <c r="T20" s="16">
        <f t="shared" si="1"/>
        <v>30</v>
      </c>
      <c r="U20" s="7">
        <v>85</v>
      </c>
      <c r="V20" s="16">
        <f t="shared" si="2"/>
        <v>2550</v>
      </c>
      <c r="W20" s="7">
        <v>6</v>
      </c>
      <c r="X20" s="15" t="s">
        <v>46</v>
      </c>
      <c r="Y20" s="54" t="s">
        <v>97</v>
      </c>
      <c r="Z20" s="54" t="s">
        <v>55</v>
      </c>
      <c r="AA20" s="54" t="s">
        <v>64</v>
      </c>
      <c r="AB20" s="39" t="s">
        <v>158</v>
      </c>
      <c r="AE20" s="22"/>
      <c r="AP20" s="43" t="s">
        <v>113</v>
      </c>
      <c r="AR20" s="41" t="s">
        <v>105</v>
      </c>
      <c r="AV20" s="27" t="s">
        <v>135</v>
      </c>
    </row>
    <row r="21" spans="1:48" x14ac:dyDescent="0.15">
      <c r="A21" s="15" t="s">
        <v>156</v>
      </c>
      <c r="B21" s="15" t="s">
        <v>157</v>
      </c>
      <c r="C21" s="15">
        <v>2019</v>
      </c>
      <c r="D21" s="37" t="s">
        <v>165</v>
      </c>
      <c r="E21" s="15" t="s">
        <v>143</v>
      </c>
      <c r="F21" s="7" t="s">
        <v>152</v>
      </c>
      <c r="G21" s="7" t="s">
        <v>36</v>
      </c>
      <c r="H21" s="15" t="s">
        <v>164</v>
      </c>
      <c r="I21" s="7" t="s">
        <v>159</v>
      </c>
      <c r="J21" s="15" t="s">
        <v>38</v>
      </c>
      <c r="K21" s="7" t="s">
        <v>161</v>
      </c>
      <c r="L21" s="7">
        <v>2</v>
      </c>
      <c r="N21" s="7">
        <v>1</v>
      </c>
      <c r="O21" s="7">
        <v>0.7</v>
      </c>
      <c r="P21" s="7">
        <v>0.8</v>
      </c>
      <c r="Q21" s="52">
        <f t="shared" si="0"/>
        <v>0.75</v>
      </c>
      <c r="R21" s="7">
        <v>17.899999999999999</v>
      </c>
      <c r="S21" s="7">
        <v>122</v>
      </c>
      <c r="T21" s="16">
        <f t="shared" si="1"/>
        <v>27</v>
      </c>
      <c r="U21" s="7">
        <v>85</v>
      </c>
      <c r="V21" s="16">
        <f t="shared" si="2"/>
        <v>2295</v>
      </c>
      <c r="W21" s="7">
        <v>6</v>
      </c>
      <c r="X21" s="15" t="s">
        <v>46</v>
      </c>
      <c r="Y21" s="54" t="s">
        <v>97</v>
      </c>
      <c r="Z21" s="54" t="s">
        <v>55</v>
      </c>
      <c r="AA21" s="54" t="s">
        <v>64</v>
      </c>
      <c r="AB21" s="39" t="s">
        <v>158</v>
      </c>
      <c r="AE21" s="22"/>
      <c r="AP21" s="43" t="s">
        <v>114</v>
      </c>
      <c r="AR21" s="41" t="s">
        <v>68</v>
      </c>
      <c r="AV21" s="27" t="s">
        <v>136</v>
      </c>
    </row>
    <row r="22" spans="1:48" x14ac:dyDescent="0.15">
      <c r="A22" s="15" t="s">
        <v>156</v>
      </c>
      <c r="B22" s="15" t="s">
        <v>157</v>
      </c>
      <c r="C22" s="15">
        <v>2019</v>
      </c>
      <c r="D22" s="37" t="s">
        <v>165</v>
      </c>
      <c r="E22" s="15" t="s">
        <v>143</v>
      </c>
      <c r="F22" s="7" t="s">
        <v>152</v>
      </c>
      <c r="G22" s="7" t="s">
        <v>36</v>
      </c>
      <c r="H22" s="15" t="s">
        <v>164</v>
      </c>
      <c r="I22" s="7" t="s">
        <v>159</v>
      </c>
      <c r="J22" s="15" t="s">
        <v>38</v>
      </c>
      <c r="K22" s="7" t="s">
        <v>161</v>
      </c>
      <c r="L22" s="7">
        <v>3</v>
      </c>
      <c r="N22" s="7">
        <v>1</v>
      </c>
      <c r="O22" s="34">
        <v>0.5</v>
      </c>
      <c r="P22" s="7">
        <v>0.5</v>
      </c>
      <c r="Q22" s="52">
        <f t="shared" si="0"/>
        <v>0.5</v>
      </c>
      <c r="R22" s="7">
        <v>16.100000000000001</v>
      </c>
      <c r="S22" s="7">
        <v>119</v>
      </c>
      <c r="T22" s="16">
        <f t="shared" si="1"/>
        <v>30</v>
      </c>
      <c r="U22" s="7">
        <v>85</v>
      </c>
      <c r="V22" s="16">
        <f t="shared" si="2"/>
        <v>2550</v>
      </c>
      <c r="W22" s="7">
        <v>6</v>
      </c>
      <c r="X22" s="15" t="s">
        <v>46</v>
      </c>
      <c r="Y22" s="54" t="s">
        <v>97</v>
      </c>
      <c r="Z22" s="54" t="s">
        <v>55</v>
      </c>
      <c r="AA22" s="54" t="s">
        <v>64</v>
      </c>
      <c r="AB22" s="39" t="s">
        <v>158</v>
      </c>
      <c r="AE22" s="35"/>
      <c r="AP22" s="43" t="s">
        <v>115</v>
      </c>
      <c r="AR22" s="41" t="s">
        <v>83</v>
      </c>
      <c r="AV22" s="27"/>
    </row>
    <row r="23" spans="1:48" x14ac:dyDescent="0.15">
      <c r="A23" s="15" t="s">
        <v>156</v>
      </c>
      <c r="B23" s="15" t="s">
        <v>157</v>
      </c>
      <c r="C23" s="15">
        <v>2019</v>
      </c>
      <c r="D23" s="37" t="s">
        <v>165</v>
      </c>
      <c r="E23" s="7" t="s">
        <v>143</v>
      </c>
      <c r="F23" s="7" t="s">
        <v>152</v>
      </c>
      <c r="G23" s="7" t="s">
        <v>36</v>
      </c>
      <c r="H23" s="15" t="s">
        <v>160</v>
      </c>
      <c r="I23" s="7" t="s">
        <v>159</v>
      </c>
      <c r="J23" s="15" t="s">
        <v>38</v>
      </c>
      <c r="K23" s="7" t="s">
        <v>161</v>
      </c>
      <c r="L23" s="7">
        <v>1</v>
      </c>
      <c r="N23" s="7">
        <v>1</v>
      </c>
      <c r="O23" s="34">
        <v>0.55000000000000004</v>
      </c>
      <c r="P23" s="7">
        <v>0.5</v>
      </c>
      <c r="Q23" s="52">
        <f t="shared" si="0"/>
        <v>0.52500000000000002</v>
      </c>
      <c r="R23" s="7">
        <v>19.600000000000001</v>
      </c>
      <c r="S23" s="7">
        <v>117</v>
      </c>
      <c r="T23" s="16">
        <f t="shared" si="1"/>
        <v>30</v>
      </c>
      <c r="U23" s="7">
        <v>138</v>
      </c>
      <c r="V23" s="16">
        <f t="shared" si="2"/>
        <v>4140</v>
      </c>
      <c r="W23" s="7">
        <v>4</v>
      </c>
      <c r="X23" s="15" t="s">
        <v>46</v>
      </c>
      <c r="Y23" s="54" t="s">
        <v>97</v>
      </c>
      <c r="Z23" s="54" t="s">
        <v>55</v>
      </c>
      <c r="AA23" s="54" t="s">
        <v>64</v>
      </c>
      <c r="AB23" s="39" t="s">
        <v>158</v>
      </c>
      <c r="AE23" s="22"/>
      <c r="AP23" s="43" t="s">
        <v>137</v>
      </c>
      <c r="AR23" s="41" t="s">
        <v>61</v>
      </c>
      <c r="AV23" s="27"/>
    </row>
    <row r="24" spans="1:48" x14ac:dyDescent="0.15">
      <c r="A24" s="15" t="s">
        <v>156</v>
      </c>
      <c r="B24" s="15" t="s">
        <v>157</v>
      </c>
      <c r="C24" s="15">
        <v>2019</v>
      </c>
      <c r="D24" s="37" t="s">
        <v>165</v>
      </c>
      <c r="E24" s="7" t="s">
        <v>143</v>
      </c>
      <c r="F24" s="7" t="s">
        <v>152</v>
      </c>
      <c r="G24" s="7" t="s">
        <v>36</v>
      </c>
      <c r="H24" s="15" t="s">
        <v>160</v>
      </c>
      <c r="I24" s="7" t="s">
        <v>159</v>
      </c>
      <c r="J24" s="15" t="s">
        <v>38</v>
      </c>
      <c r="K24" s="7" t="s">
        <v>161</v>
      </c>
      <c r="L24" s="7">
        <v>2</v>
      </c>
      <c r="N24" s="7">
        <v>1</v>
      </c>
      <c r="O24" s="7">
        <v>0.7</v>
      </c>
      <c r="P24" s="7">
        <v>0.85</v>
      </c>
      <c r="Q24" s="52">
        <f t="shared" si="0"/>
        <v>0.77499999999999991</v>
      </c>
      <c r="R24" s="7">
        <v>16.7</v>
      </c>
      <c r="S24" s="7">
        <v>117</v>
      </c>
      <c r="T24" s="16">
        <f t="shared" si="1"/>
        <v>30</v>
      </c>
      <c r="U24" s="7">
        <v>138</v>
      </c>
      <c r="V24" s="16">
        <f t="shared" si="2"/>
        <v>4140</v>
      </c>
      <c r="W24" s="7">
        <v>4</v>
      </c>
      <c r="X24" s="15" t="s">
        <v>46</v>
      </c>
      <c r="Y24" s="54" t="s">
        <v>97</v>
      </c>
      <c r="Z24" s="54" t="s">
        <v>55</v>
      </c>
      <c r="AA24" s="54" t="s">
        <v>64</v>
      </c>
      <c r="AB24" s="39" t="s">
        <v>158</v>
      </c>
      <c r="AE24" s="22"/>
      <c r="AP24" s="43" t="s">
        <v>138</v>
      </c>
      <c r="AR24" s="41" t="s">
        <v>91</v>
      </c>
      <c r="AV24" s="27"/>
    </row>
    <row r="25" spans="1:48" x14ac:dyDescent="0.15">
      <c r="A25" s="15" t="s">
        <v>156</v>
      </c>
      <c r="B25" s="15" t="s">
        <v>157</v>
      </c>
      <c r="C25" s="15">
        <v>2019</v>
      </c>
      <c r="D25" s="37" t="s">
        <v>165</v>
      </c>
      <c r="E25" s="7" t="s">
        <v>143</v>
      </c>
      <c r="F25" s="7" t="s">
        <v>152</v>
      </c>
      <c r="G25" s="7" t="s">
        <v>36</v>
      </c>
      <c r="H25" s="15" t="s">
        <v>160</v>
      </c>
      <c r="I25" s="7" t="s">
        <v>159</v>
      </c>
      <c r="J25" s="15" t="s">
        <v>38</v>
      </c>
      <c r="K25" s="7" t="s">
        <v>161</v>
      </c>
      <c r="L25" s="7">
        <v>3</v>
      </c>
      <c r="N25" s="7">
        <v>1</v>
      </c>
      <c r="O25" s="7">
        <v>0.5</v>
      </c>
      <c r="P25" s="7">
        <v>0.5</v>
      </c>
      <c r="Q25" s="52">
        <f t="shared" si="0"/>
        <v>0.5</v>
      </c>
      <c r="R25" s="7">
        <v>18.2</v>
      </c>
      <c r="S25" s="7">
        <v>128</v>
      </c>
      <c r="T25" s="16">
        <f t="shared" si="1"/>
        <v>27</v>
      </c>
      <c r="U25" s="7">
        <v>138</v>
      </c>
      <c r="V25" s="16">
        <f t="shared" si="2"/>
        <v>3726</v>
      </c>
      <c r="W25" s="7">
        <v>4</v>
      </c>
      <c r="X25" s="15" t="s">
        <v>46</v>
      </c>
      <c r="Y25" s="54" t="s">
        <v>97</v>
      </c>
      <c r="Z25" s="54" t="s">
        <v>55</v>
      </c>
      <c r="AA25" s="54" t="s">
        <v>64</v>
      </c>
      <c r="AB25" s="39" t="s">
        <v>158</v>
      </c>
      <c r="AE25" s="35"/>
      <c r="AP25" s="43" t="s">
        <v>116</v>
      </c>
      <c r="AR25" s="42" t="s">
        <v>92</v>
      </c>
      <c r="AV25" s="27"/>
    </row>
    <row r="26" spans="1:48" x14ac:dyDescent="0.15">
      <c r="A26" s="15" t="s">
        <v>156</v>
      </c>
      <c r="B26" s="15" t="s">
        <v>157</v>
      </c>
      <c r="C26" s="15">
        <v>2019</v>
      </c>
      <c r="D26" s="37" t="s">
        <v>165</v>
      </c>
      <c r="E26" s="7" t="s">
        <v>131</v>
      </c>
      <c r="F26" s="7" t="s">
        <v>144</v>
      </c>
      <c r="G26" s="7" t="s">
        <v>36</v>
      </c>
      <c r="H26" s="15" t="s">
        <v>164</v>
      </c>
      <c r="I26" s="7" t="s">
        <v>159</v>
      </c>
      <c r="J26" s="15" t="s">
        <v>38</v>
      </c>
      <c r="K26" s="7" t="s">
        <v>161</v>
      </c>
      <c r="L26" s="7">
        <v>1</v>
      </c>
      <c r="N26" s="53">
        <v>1</v>
      </c>
      <c r="O26" s="7">
        <v>0.65</v>
      </c>
      <c r="P26" s="7">
        <v>0.8</v>
      </c>
      <c r="Q26" s="52">
        <f t="shared" si="0"/>
        <v>0.72500000000000009</v>
      </c>
      <c r="R26" s="7">
        <v>13.6</v>
      </c>
      <c r="S26" s="7">
        <v>117</v>
      </c>
      <c r="T26" s="16">
        <f t="shared" si="1"/>
        <v>30</v>
      </c>
      <c r="U26" s="7">
        <v>138</v>
      </c>
      <c r="V26" s="16">
        <f t="shared" si="2"/>
        <v>4140</v>
      </c>
      <c r="W26" s="7">
        <v>4</v>
      </c>
      <c r="X26" s="15" t="s">
        <v>46</v>
      </c>
      <c r="Y26" s="54" t="s">
        <v>55</v>
      </c>
      <c r="Z26" s="54" t="s">
        <v>97</v>
      </c>
      <c r="AA26" s="54" t="s">
        <v>86</v>
      </c>
      <c r="AB26" s="39" t="s">
        <v>158</v>
      </c>
      <c r="AE26" s="35"/>
      <c r="AP26" s="43" t="s">
        <v>117</v>
      </c>
      <c r="AR26" s="23" t="s">
        <v>153</v>
      </c>
      <c r="AV26" s="28"/>
    </row>
    <row r="27" spans="1:48" x14ac:dyDescent="0.15">
      <c r="A27" s="15" t="s">
        <v>156</v>
      </c>
      <c r="B27" s="15" t="s">
        <v>157</v>
      </c>
      <c r="C27" s="15">
        <v>2019</v>
      </c>
      <c r="D27" s="37" t="s">
        <v>165</v>
      </c>
      <c r="E27" s="7" t="s">
        <v>131</v>
      </c>
      <c r="F27" s="7" t="s">
        <v>144</v>
      </c>
      <c r="G27" s="7" t="s">
        <v>36</v>
      </c>
      <c r="H27" s="54" t="s">
        <v>164</v>
      </c>
      <c r="I27" s="7" t="s">
        <v>159</v>
      </c>
      <c r="J27" s="15" t="s">
        <v>38</v>
      </c>
      <c r="K27" s="7" t="s">
        <v>161</v>
      </c>
      <c r="L27" s="7">
        <v>2</v>
      </c>
      <c r="N27" s="53">
        <v>1</v>
      </c>
      <c r="O27" s="7">
        <v>0.7</v>
      </c>
      <c r="P27" s="7">
        <v>0.55000000000000004</v>
      </c>
      <c r="Q27" s="52">
        <f t="shared" si="0"/>
        <v>0.625</v>
      </c>
      <c r="R27" s="7">
        <v>15.7</v>
      </c>
      <c r="S27" s="7">
        <v>115</v>
      </c>
      <c r="T27" s="16">
        <f t="shared" si="1"/>
        <v>30</v>
      </c>
      <c r="U27" s="7">
        <v>138</v>
      </c>
      <c r="V27" s="16">
        <f t="shared" si="2"/>
        <v>4140</v>
      </c>
      <c r="W27" s="7">
        <v>4</v>
      </c>
      <c r="X27" s="15" t="s">
        <v>46</v>
      </c>
      <c r="Y27" s="54" t="s">
        <v>55</v>
      </c>
      <c r="Z27" s="54" t="s">
        <v>97</v>
      </c>
      <c r="AA27" s="54" t="s">
        <v>86</v>
      </c>
      <c r="AB27" s="39" t="s">
        <v>158</v>
      </c>
      <c r="AE27" s="28"/>
      <c r="AP27" s="43" t="s">
        <v>118</v>
      </c>
      <c r="AR27" s="23"/>
    </row>
    <row r="28" spans="1:48" x14ac:dyDescent="0.15">
      <c r="A28" s="15" t="s">
        <v>156</v>
      </c>
      <c r="B28" s="15" t="s">
        <v>157</v>
      </c>
      <c r="C28" s="15">
        <v>2019</v>
      </c>
      <c r="D28" s="37" t="s">
        <v>165</v>
      </c>
      <c r="E28" s="7" t="s">
        <v>131</v>
      </c>
      <c r="F28" s="7" t="s">
        <v>144</v>
      </c>
      <c r="G28" s="7" t="s">
        <v>36</v>
      </c>
      <c r="H28" s="54" t="s">
        <v>164</v>
      </c>
      <c r="I28" s="7" t="s">
        <v>159</v>
      </c>
      <c r="J28" s="15" t="s">
        <v>38</v>
      </c>
      <c r="K28" s="7" t="s">
        <v>161</v>
      </c>
      <c r="L28" s="7">
        <v>3</v>
      </c>
      <c r="N28" s="53">
        <v>1</v>
      </c>
      <c r="O28" s="7">
        <v>0.65</v>
      </c>
      <c r="P28" s="7">
        <v>0.8</v>
      </c>
      <c r="Q28" s="52">
        <f t="shared" si="0"/>
        <v>0.72500000000000009</v>
      </c>
      <c r="R28" s="7">
        <v>18.3</v>
      </c>
      <c r="S28" s="7">
        <v>116</v>
      </c>
      <c r="T28" s="16">
        <f t="shared" si="1"/>
        <v>30</v>
      </c>
      <c r="U28" s="7">
        <v>138</v>
      </c>
      <c r="V28" s="16">
        <f t="shared" si="2"/>
        <v>4140</v>
      </c>
      <c r="W28" s="7">
        <v>4</v>
      </c>
      <c r="X28" s="15" t="s">
        <v>46</v>
      </c>
      <c r="Y28" s="54" t="s">
        <v>55</v>
      </c>
      <c r="Z28" s="54" t="s">
        <v>97</v>
      </c>
      <c r="AA28" s="54" t="s">
        <v>86</v>
      </c>
      <c r="AB28" s="39" t="s">
        <v>158</v>
      </c>
      <c r="AP28" s="27"/>
      <c r="AR28" s="23"/>
    </row>
    <row r="29" spans="1:48" x14ac:dyDescent="0.15">
      <c r="A29" s="15" t="s">
        <v>156</v>
      </c>
      <c r="B29" s="15" t="s">
        <v>157</v>
      </c>
      <c r="C29" s="15">
        <v>2019</v>
      </c>
      <c r="D29" s="37" t="s">
        <v>165</v>
      </c>
      <c r="E29" s="7" t="s">
        <v>131</v>
      </c>
      <c r="F29" s="7" t="s">
        <v>144</v>
      </c>
      <c r="G29" s="7" t="s">
        <v>36</v>
      </c>
      <c r="H29" s="54" t="s">
        <v>160</v>
      </c>
      <c r="I29" s="7" t="s">
        <v>159</v>
      </c>
      <c r="J29" s="15" t="s">
        <v>38</v>
      </c>
      <c r="K29" s="7" t="s">
        <v>161</v>
      </c>
      <c r="L29" s="7">
        <v>1</v>
      </c>
      <c r="N29" s="53">
        <v>1</v>
      </c>
      <c r="O29" s="7">
        <v>0.65</v>
      </c>
      <c r="P29" s="7">
        <v>0.65</v>
      </c>
      <c r="Q29" s="52">
        <f t="shared" si="0"/>
        <v>0.65</v>
      </c>
      <c r="R29" s="7">
        <v>18.7</v>
      </c>
      <c r="S29" s="7">
        <v>118</v>
      </c>
      <c r="T29" s="16">
        <f t="shared" si="1"/>
        <v>30</v>
      </c>
      <c r="U29" s="7">
        <v>138</v>
      </c>
      <c r="V29" s="16">
        <f t="shared" si="2"/>
        <v>4140</v>
      </c>
      <c r="W29" s="7">
        <v>7</v>
      </c>
      <c r="X29" s="15" t="s">
        <v>46</v>
      </c>
      <c r="Y29" s="54" t="s">
        <v>55</v>
      </c>
      <c r="Z29" s="54" t="s">
        <v>97</v>
      </c>
      <c r="AA29" s="54" t="s">
        <v>86</v>
      </c>
      <c r="AB29" s="39" t="s">
        <v>158</v>
      </c>
      <c r="AP29" s="27"/>
      <c r="AR29" s="27"/>
      <c r="AV29" s="28"/>
    </row>
    <row r="30" spans="1:48" x14ac:dyDescent="0.15">
      <c r="A30" s="15" t="s">
        <v>156</v>
      </c>
      <c r="B30" s="15" t="s">
        <v>157</v>
      </c>
      <c r="C30" s="15">
        <v>2019</v>
      </c>
      <c r="D30" s="37" t="s">
        <v>165</v>
      </c>
      <c r="E30" s="7" t="s">
        <v>131</v>
      </c>
      <c r="F30" s="7" t="s">
        <v>144</v>
      </c>
      <c r="G30" s="7" t="s">
        <v>36</v>
      </c>
      <c r="H30" s="54" t="s">
        <v>160</v>
      </c>
      <c r="I30" s="53" t="s">
        <v>159</v>
      </c>
      <c r="J30" s="15" t="s">
        <v>38</v>
      </c>
      <c r="K30" s="7" t="s">
        <v>161</v>
      </c>
      <c r="L30" s="7">
        <v>2</v>
      </c>
      <c r="N30" s="7">
        <v>1</v>
      </c>
      <c r="O30" s="7">
        <v>0.7</v>
      </c>
      <c r="P30" s="7">
        <v>0.85</v>
      </c>
      <c r="Q30" s="52">
        <f t="shared" si="0"/>
        <v>0.77499999999999991</v>
      </c>
      <c r="R30" s="7">
        <v>16.899999999999999</v>
      </c>
      <c r="S30" s="7">
        <v>121</v>
      </c>
      <c r="T30" s="16">
        <f t="shared" si="1"/>
        <v>27</v>
      </c>
      <c r="U30" s="7">
        <v>138</v>
      </c>
      <c r="V30" s="16">
        <f t="shared" si="2"/>
        <v>3726</v>
      </c>
      <c r="W30" s="7">
        <v>7</v>
      </c>
      <c r="X30" s="15" t="s">
        <v>46</v>
      </c>
      <c r="Y30" s="54" t="s">
        <v>55</v>
      </c>
      <c r="Z30" s="54" t="s">
        <v>97</v>
      </c>
      <c r="AA30" s="54" t="s">
        <v>86</v>
      </c>
      <c r="AB30" s="39" t="s">
        <v>158</v>
      </c>
      <c r="AP30" s="27"/>
      <c r="AR30" s="27"/>
    </row>
    <row r="31" spans="1:48" x14ac:dyDescent="0.15">
      <c r="A31" s="15" t="s">
        <v>156</v>
      </c>
      <c r="B31" s="15" t="s">
        <v>157</v>
      </c>
      <c r="C31" s="15">
        <v>2019</v>
      </c>
      <c r="D31" s="37" t="s">
        <v>165</v>
      </c>
      <c r="E31" s="7" t="s">
        <v>131</v>
      </c>
      <c r="F31" s="7" t="s">
        <v>144</v>
      </c>
      <c r="G31" s="7" t="s">
        <v>36</v>
      </c>
      <c r="H31" s="54" t="s">
        <v>160</v>
      </c>
      <c r="I31" s="53" t="s">
        <v>159</v>
      </c>
      <c r="J31" s="15" t="s">
        <v>38</v>
      </c>
      <c r="K31" s="7" t="s">
        <v>161</v>
      </c>
      <c r="L31" s="7">
        <v>3</v>
      </c>
      <c r="N31" s="7">
        <v>1</v>
      </c>
      <c r="O31" s="7">
        <v>0.8</v>
      </c>
      <c r="P31" s="7">
        <v>0.7</v>
      </c>
      <c r="Q31" s="52">
        <f t="shared" si="0"/>
        <v>0.75</v>
      </c>
      <c r="R31" s="7">
        <v>16.5</v>
      </c>
      <c r="S31" s="7">
        <v>122</v>
      </c>
      <c r="T31" s="16">
        <f t="shared" si="1"/>
        <v>27</v>
      </c>
      <c r="U31" s="7">
        <v>138</v>
      </c>
      <c r="V31" s="16">
        <f t="shared" si="2"/>
        <v>3726</v>
      </c>
      <c r="W31" s="7">
        <v>7</v>
      </c>
      <c r="X31" s="15" t="s">
        <v>46</v>
      </c>
      <c r="Y31" s="54" t="s">
        <v>55</v>
      </c>
      <c r="Z31" s="54" t="s">
        <v>97</v>
      </c>
      <c r="AA31" s="54" t="s">
        <v>86</v>
      </c>
      <c r="AB31" s="39" t="s">
        <v>158</v>
      </c>
      <c r="AP31" s="27"/>
      <c r="AR31" s="27"/>
    </row>
    <row r="32" spans="1:48" x14ac:dyDescent="0.15">
      <c r="A32" s="15" t="s">
        <v>156</v>
      </c>
      <c r="B32" s="15" t="s">
        <v>157</v>
      </c>
      <c r="C32" s="15">
        <v>2019</v>
      </c>
      <c r="D32" s="37" t="s">
        <v>165</v>
      </c>
      <c r="E32" s="7" t="s">
        <v>139</v>
      </c>
      <c r="F32" s="7" t="s">
        <v>145</v>
      </c>
      <c r="G32" s="7" t="s">
        <v>36</v>
      </c>
      <c r="H32" s="15" t="s">
        <v>164</v>
      </c>
      <c r="I32" s="7" t="s">
        <v>159</v>
      </c>
      <c r="J32" s="15" t="s">
        <v>38</v>
      </c>
      <c r="K32" s="7" t="s">
        <v>161</v>
      </c>
      <c r="L32" s="7">
        <v>1</v>
      </c>
      <c r="N32" s="7">
        <v>1</v>
      </c>
      <c r="O32" s="7">
        <v>0.5</v>
      </c>
      <c r="P32" s="7">
        <v>0.55000000000000004</v>
      </c>
      <c r="Q32" s="52">
        <f t="shared" si="0"/>
        <v>0.52500000000000002</v>
      </c>
      <c r="R32" s="7">
        <v>16</v>
      </c>
      <c r="S32" s="7">
        <v>108</v>
      </c>
      <c r="T32" s="16">
        <f t="shared" si="1"/>
        <v>33</v>
      </c>
      <c r="U32" s="7">
        <v>100</v>
      </c>
      <c r="V32" s="16">
        <f t="shared" si="2"/>
        <v>3300</v>
      </c>
      <c r="W32" s="7">
        <v>10</v>
      </c>
      <c r="X32" s="15" t="s">
        <v>46</v>
      </c>
      <c r="Y32" s="54" t="s">
        <v>97</v>
      </c>
      <c r="Z32" s="54" t="s">
        <v>55</v>
      </c>
      <c r="AA32" s="54" t="s">
        <v>86</v>
      </c>
      <c r="AB32" s="39" t="s">
        <v>158</v>
      </c>
      <c r="AP32" s="28"/>
      <c r="AR32" s="28"/>
    </row>
    <row r="33" spans="1:44" x14ac:dyDescent="0.15">
      <c r="A33" s="15" t="s">
        <v>156</v>
      </c>
      <c r="B33" s="15" t="s">
        <v>157</v>
      </c>
      <c r="C33" s="15">
        <v>2019</v>
      </c>
      <c r="D33" s="37" t="s">
        <v>165</v>
      </c>
      <c r="E33" s="7" t="s">
        <v>139</v>
      </c>
      <c r="F33" s="7" t="s">
        <v>145</v>
      </c>
      <c r="G33" s="7" t="s">
        <v>36</v>
      </c>
      <c r="H33" s="15" t="s">
        <v>164</v>
      </c>
      <c r="I33" s="53" t="s">
        <v>159</v>
      </c>
      <c r="J33" s="15" t="s">
        <v>38</v>
      </c>
      <c r="K33" s="7" t="s">
        <v>161</v>
      </c>
      <c r="L33" s="7">
        <v>2</v>
      </c>
      <c r="N33" s="7">
        <v>1</v>
      </c>
      <c r="O33" s="7">
        <v>0.5</v>
      </c>
      <c r="P33" s="7">
        <v>0.5</v>
      </c>
      <c r="Q33" s="52">
        <f t="shared" si="0"/>
        <v>0.5</v>
      </c>
      <c r="R33" s="7">
        <v>17.399999999999999</v>
      </c>
      <c r="S33" s="7">
        <v>114</v>
      </c>
      <c r="T33" s="16">
        <f t="shared" si="1"/>
        <v>30</v>
      </c>
      <c r="U33" s="7">
        <v>100</v>
      </c>
      <c r="V33" s="16">
        <f t="shared" si="2"/>
        <v>3000</v>
      </c>
      <c r="W33" s="7">
        <v>10</v>
      </c>
      <c r="X33" s="15" t="s">
        <v>46</v>
      </c>
      <c r="Y33" s="54" t="s">
        <v>97</v>
      </c>
      <c r="Z33" s="54" t="s">
        <v>55</v>
      </c>
      <c r="AA33" s="54" t="s">
        <v>86</v>
      </c>
      <c r="AB33" s="39" t="s">
        <v>158</v>
      </c>
    </row>
    <row r="34" spans="1:44" x14ac:dyDescent="0.15">
      <c r="A34" s="15" t="s">
        <v>156</v>
      </c>
      <c r="B34" s="15" t="s">
        <v>157</v>
      </c>
      <c r="C34" s="15">
        <v>2019</v>
      </c>
      <c r="D34" s="37" t="s">
        <v>165</v>
      </c>
      <c r="E34" s="7" t="s">
        <v>139</v>
      </c>
      <c r="F34" s="7" t="s">
        <v>145</v>
      </c>
      <c r="G34" s="7" t="s">
        <v>36</v>
      </c>
      <c r="H34" s="15" t="s">
        <v>164</v>
      </c>
      <c r="I34" s="53" t="s">
        <v>159</v>
      </c>
      <c r="J34" s="15" t="s">
        <v>38</v>
      </c>
      <c r="K34" s="7" t="s">
        <v>161</v>
      </c>
      <c r="L34" s="7">
        <v>3</v>
      </c>
      <c r="N34" s="7">
        <v>1</v>
      </c>
      <c r="O34" s="7">
        <v>0.65</v>
      </c>
      <c r="P34" s="7">
        <v>0.55000000000000004</v>
      </c>
      <c r="Q34" s="52">
        <f t="shared" si="0"/>
        <v>0.60000000000000009</v>
      </c>
      <c r="R34" s="7">
        <v>14</v>
      </c>
      <c r="S34" s="7">
        <v>107</v>
      </c>
      <c r="T34" s="16">
        <f t="shared" si="1"/>
        <v>33</v>
      </c>
      <c r="U34" s="7">
        <v>100</v>
      </c>
      <c r="V34" s="16">
        <f t="shared" si="2"/>
        <v>3300</v>
      </c>
      <c r="W34" s="7">
        <v>10</v>
      </c>
      <c r="X34" s="15" t="s">
        <v>46</v>
      </c>
      <c r="Y34" s="54" t="s">
        <v>97</v>
      </c>
      <c r="Z34" s="54" t="s">
        <v>55</v>
      </c>
      <c r="AA34" s="54" t="s">
        <v>86</v>
      </c>
      <c r="AB34" s="39" t="s">
        <v>158</v>
      </c>
    </row>
    <row r="35" spans="1:44" x14ac:dyDescent="0.15">
      <c r="A35" s="15" t="s">
        <v>156</v>
      </c>
      <c r="B35" s="15" t="s">
        <v>157</v>
      </c>
      <c r="C35" s="15">
        <v>2019</v>
      </c>
      <c r="D35" s="37" t="s">
        <v>165</v>
      </c>
      <c r="E35" s="7" t="s">
        <v>139</v>
      </c>
      <c r="F35" s="7" t="s">
        <v>145</v>
      </c>
      <c r="G35" s="7" t="s">
        <v>36</v>
      </c>
      <c r="H35" s="15" t="s">
        <v>160</v>
      </c>
      <c r="I35" s="7" t="s">
        <v>159</v>
      </c>
      <c r="J35" s="15" t="s">
        <v>38</v>
      </c>
      <c r="K35" s="7" t="s">
        <v>161</v>
      </c>
      <c r="L35" s="7">
        <v>1</v>
      </c>
      <c r="N35" s="7">
        <v>1</v>
      </c>
      <c r="O35" s="7">
        <v>0.5</v>
      </c>
      <c r="P35" s="7">
        <v>0.5</v>
      </c>
      <c r="Q35" s="52">
        <f t="shared" si="0"/>
        <v>0.5</v>
      </c>
      <c r="R35" s="7">
        <v>20.8</v>
      </c>
      <c r="S35" s="7">
        <v>147</v>
      </c>
      <c r="T35" s="16">
        <f t="shared" si="1"/>
        <v>22</v>
      </c>
      <c r="U35" s="7">
        <v>159</v>
      </c>
      <c r="V35" s="16">
        <f t="shared" si="2"/>
        <v>3498</v>
      </c>
      <c r="W35" s="7">
        <v>10</v>
      </c>
      <c r="X35" s="15" t="s">
        <v>46</v>
      </c>
      <c r="Y35" s="54" t="s">
        <v>97</v>
      </c>
      <c r="Z35" s="54" t="s">
        <v>55</v>
      </c>
      <c r="AA35" s="54" t="s">
        <v>86</v>
      </c>
      <c r="AB35" s="39" t="s">
        <v>158</v>
      </c>
      <c r="AP35" s="28"/>
      <c r="AR35" s="28"/>
    </row>
    <row r="36" spans="1:44" x14ac:dyDescent="0.15">
      <c r="A36" s="15" t="s">
        <v>156</v>
      </c>
      <c r="B36" s="15" t="s">
        <v>157</v>
      </c>
      <c r="C36" s="15">
        <v>2019</v>
      </c>
      <c r="D36" s="37" t="s">
        <v>165</v>
      </c>
      <c r="E36" s="7" t="s">
        <v>139</v>
      </c>
      <c r="F36" s="7" t="s">
        <v>145</v>
      </c>
      <c r="G36" s="7" t="s">
        <v>36</v>
      </c>
      <c r="H36" s="54" t="s">
        <v>160</v>
      </c>
      <c r="I36" s="7" t="s">
        <v>159</v>
      </c>
      <c r="J36" s="15" t="s">
        <v>38</v>
      </c>
      <c r="K36" s="7" t="s">
        <v>161</v>
      </c>
      <c r="L36" s="7">
        <v>2</v>
      </c>
      <c r="N36" s="7">
        <v>1</v>
      </c>
      <c r="O36" s="7">
        <v>0.5</v>
      </c>
      <c r="P36" s="7">
        <v>0.5</v>
      </c>
      <c r="Q36" s="52">
        <f t="shared" si="0"/>
        <v>0.5</v>
      </c>
      <c r="R36" s="7">
        <v>20.7</v>
      </c>
      <c r="S36" s="7">
        <v>140</v>
      </c>
      <c r="T36" s="16">
        <f t="shared" si="1"/>
        <v>22</v>
      </c>
      <c r="U36" s="7">
        <v>159</v>
      </c>
      <c r="V36" s="16">
        <f t="shared" si="2"/>
        <v>3498</v>
      </c>
      <c r="W36" s="7">
        <v>10</v>
      </c>
      <c r="X36" s="15" t="s">
        <v>46</v>
      </c>
      <c r="Y36" s="54" t="s">
        <v>97</v>
      </c>
      <c r="Z36" s="54" t="s">
        <v>55</v>
      </c>
      <c r="AA36" s="54" t="s">
        <v>86</v>
      </c>
      <c r="AB36" s="39" t="s">
        <v>158</v>
      </c>
    </row>
    <row r="37" spans="1:44" x14ac:dyDescent="0.15">
      <c r="A37" s="15" t="s">
        <v>156</v>
      </c>
      <c r="B37" s="15" t="s">
        <v>157</v>
      </c>
      <c r="C37" s="15">
        <v>2019</v>
      </c>
      <c r="D37" s="37" t="s">
        <v>165</v>
      </c>
      <c r="E37" s="7" t="s">
        <v>139</v>
      </c>
      <c r="F37" s="7" t="s">
        <v>145</v>
      </c>
      <c r="G37" s="7" t="s">
        <v>36</v>
      </c>
      <c r="H37" s="54" t="s">
        <v>160</v>
      </c>
      <c r="I37" s="7" t="s">
        <v>159</v>
      </c>
      <c r="J37" s="15" t="s">
        <v>38</v>
      </c>
      <c r="K37" s="7" t="s">
        <v>161</v>
      </c>
      <c r="L37" s="7">
        <v>3</v>
      </c>
      <c r="N37" s="7">
        <v>1</v>
      </c>
      <c r="O37" s="34">
        <v>0.5</v>
      </c>
      <c r="P37" s="34">
        <v>0.5</v>
      </c>
      <c r="Q37" s="52">
        <f t="shared" si="0"/>
        <v>0.5</v>
      </c>
      <c r="R37" s="7">
        <v>19.5</v>
      </c>
      <c r="S37" s="7">
        <v>139</v>
      </c>
      <c r="T37" s="16">
        <f t="shared" si="1"/>
        <v>22</v>
      </c>
      <c r="U37" s="7">
        <v>159</v>
      </c>
      <c r="V37" s="16">
        <f t="shared" si="2"/>
        <v>3498</v>
      </c>
      <c r="W37" s="7">
        <v>10</v>
      </c>
      <c r="X37" s="15" t="s">
        <v>46</v>
      </c>
      <c r="Y37" s="54" t="s">
        <v>97</v>
      </c>
      <c r="Z37" s="54" t="s">
        <v>55</v>
      </c>
      <c r="AA37" s="54" t="s">
        <v>86</v>
      </c>
      <c r="AB37" s="39" t="s">
        <v>158</v>
      </c>
    </row>
    <row r="38" spans="1:44" x14ac:dyDescent="0.15">
      <c r="A38" s="15" t="s">
        <v>156</v>
      </c>
      <c r="B38" s="15" t="s">
        <v>157</v>
      </c>
      <c r="C38" s="15">
        <v>2019</v>
      </c>
      <c r="D38" s="37" t="s">
        <v>165</v>
      </c>
      <c r="E38" s="7" t="s">
        <v>162</v>
      </c>
      <c r="F38" s="7" t="s">
        <v>163</v>
      </c>
      <c r="G38" s="7" t="s">
        <v>36</v>
      </c>
      <c r="H38" s="15" t="s">
        <v>164</v>
      </c>
      <c r="I38" s="7" t="s">
        <v>159</v>
      </c>
      <c r="J38" s="15" t="s">
        <v>38</v>
      </c>
      <c r="K38" s="7" t="s">
        <v>161</v>
      </c>
      <c r="L38" s="7">
        <v>1</v>
      </c>
      <c r="N38" s="53">
        <v>1</v>
      </c>
      <c r="O38" s="34">
        <v>0.75</v>
      </c>
      <c r="P38" s="34">
        <v>0.95</v>
      </c>
      <c r="Q38" s="52">
        <f t="shared" si="0"/>
        <v>0.85</v>
      </c>
      <c r="R38" s="7">
        <v>14.8</v>
      </c>
      <c r="S38" s="7">
        <v>122</v>
      </c>
      <c r="T38" s="16">
        <f t="shared" si="1"/>
        <v>27</v>
      </c>
      <c r="U38" s="7">
        <v>95</v>
      </c>
      <c r="V38" s="16">
        <f t="shared" si="2"/>
        <v>2565</v>
      </c>
      <c r="W38" s="7">
        <v>4</v>
      </c>
      <c r="X38" s="15" t="s">
        <v>46</v>
      </c>
      <c r="Y38" s="54" t="s">
        <v>69</v>
      </c>
      <c r="Z38" s="54" t="s">
        <v>55</v>
      </c>
      <c r="AA38" s="54" t="s">
        <v>90</v>
      </c>
      <c r="AB38" s="39" t="s">
        <v>158</v>
      </c>
    </row>
    <row r="39" spans="1:44" x14ac:dyDescent="0.15">
      <c r="A39" s="15" t="s">
        <v>156</v>
      </c>
      <c r="B39" s="15" t="s">
        <v>157</v>
      </c>
      <c r="C39" s="15">
        <v>2019</v>
      </c>
      <c r="D39" s="37" t="s">
        <v>165</v>
      </c>
      <c r="E39" s="7" t="s">
        <v>162</v>
      </c>
      <c r="F39" s="7" t="s">
        <v>163</v>
      </c>
      <c r="G39" s="7" t="s">
        <v>36</v>
      </c>
      <c r="H39" s="54" t="s">
        <v>164</v>
      </c>
      <c r="I39" s="7" t="s">
        <v>159</v>
      </c>
      <c r="J39" s="15" t="s">
        <v>38</v>
      </c>
      <c r="K39" s="7" t="s">
        <v>161</v>
      </c>
      <c r="L39" s="7">
        <v>2</v>
      </c>
      <c r="N39" s="53">
        <v>1</v>
      </c>
      <c r="O39" s="7">
        <v>0.65</v>
      </c>
      <c r="P39" s="7">
        <v>0.55000000000000004</v>
      </c>
      <c r="Q39" s="52">
        <f t="shared" si="0"/>
        <v>0.60000000000000009</v>
      </c>
      <c r="R39" s="34">
        <v>14.6</v>
      </c>
      <c r="S39" s="7">
        <v>117</v>
      </c>
      <c r="T39" s="16">
        <f t="shared" si="1"/>
        <v>30</v>
      </c>
      <c r="U39" s="7">
        <v>95</v>
      </c>
      <c r="V39" s="16">
        <f t="shared" si="2"/>
        <v>2850</v>
      </c>
      <c r="W39" s="7">
        <v>4</v>
      </c>
      <c r="X39" s="15" t="s">
        <v>46</v>
      </c>
      <c r="Y39" s="54" t="s">
        <v>69</v>
      </c>
      <c r="Z39" s="54" t="s">
        <v>55</v>
      </c>
      <c r="AA39" s="54" t="s">
        <v>90</v>
      </c>
      <c r="AB39" s="39" t="s">
        <v>158</v>
      </c>
    </row>
    <row r="40" spans="1:44" x14ac:dyDescent="0.15">
      <c r="A40" s="15" t="s">
        <v>156</v>
      </c>
      <c r="B40" s="15" t="s">
        <v>157</v>
      </c>
      <c r="C40" s="15">
        <v>2019</v>
      </c>
      <c r="D40" s="37" t="s">
        <v>165</v>
      </c>
      <c r="E40" s="7" t="s">
        <v>162</v>
      </c>
      <c r="F40" s="7" t="s">
        <v>163</v>
      </c>
      <c r="G40" s="7" t="s">
        <v>36</v>
      </c>
      <c r="H40" s="54" t="s">
        <v>164</v>
      </c>
      <c r="I40" s="7" t="s">
        <v>159</v>
      </c>
      <c r="J40" s="15" t="s">
        <v>38</v>
      </c>
      <c r="K40" s="7" t="s">
        <v>161</v>
      </c>
      <c r="L40" s="7">
        <v>3</v>
      </c>
      <c r="N40" s="53">
        <v>1</v>
      </c>
      <c r="O40" s="7">
        <v>0.6</v>
      </c>
      <c r="P40" s="7">
        <v>0.6</v>
      </c>
      <c r="Q40" s="52">
        <f t="shared" si="0"/>
        <v>0.6</v>
      </c>
      <c r="R40" s="7">
        <v>16.100000000000001</v>
      </c>
      <c r="S40" s="7">
        <v>125</v>
      </c>
      <c r="T40" s="16">
        <f t="shared" si="1"/>
        <v>27</v>
      </c>
      <c r="U40" s="7">
        <v>95</v>
      </c>
      <c r="V40" s="16">
        <f t="shared" si="2"/>
        <v>2565</v>
      </c>
      <c r="W40" s="7">
        <v>4</v>
      </c>
      <c r="X40" s="15" t="s">
        <v>46</v>
      </c>
      <c r="Y40" s="54" t="s">
        <v>69</v>
      </c>
      <c r="Z40" s="54" t="s">
        <v>55</v>
      </c>
      <c r="AA40" s="54" t="s">
        <v>90</v>
      </c>
      <c r="AB40" s="39" t="s">
        <v>158</v>
      </c>
    </row>
    <row r="41" spans="1:44" ht="12.75" customHeight="1" x14ac:dyDescent="0.15">
      <c r="A41" s="15" t="s">
        <v>156</v>
      </c>
      <c r="B41" s="15" t="s">
        <v>157</v>
      </c>
      <c r="C41" s="15">
        <v>2019</v>
      </c>
      <c r="D41" s="37" t="s">
        <v>165</v>
      </c>
      <c r="E41" s="7" t="s">
        <v>162</v>
      </c>
      <c r="F41" s="7" t="s">
        <v>163</v>
      </c>
      <c r="G41" s="7" t="s">
        <v>36</v>
      </c>
      <c r="H41" s="15" t="s">
        <v>160</v>
      </c>
      <c r="I41" s="7" t="s">
        <v>159</v>
      </c>
      <c r="J41" s="15" t="s">
        <v>38</v>
      </c>
      <c r="K41" s="7" t="s">
        <v>161</v>
      </c>
      <c r="L41" s="7">
        <v>1</v>
      </c>
      <c r="N41" s="7">
        <v>1</v>
      </c>
      <c r="O41" s="7">
        <v>0.55000000000000004</v>
      </c>
      <c r="P41" s="7">
        <v>0.5</v>
      </c>
      <c r="Q41" s="52">
        <f t="shared" si="0"/>
        <v>0.52500000000000002</v>
      </c>
      <c r="R41" s="7">
        <v>15.5</v>
      </c>
      <c r="S41" s="7">
        <v>115</v>
      </c>
      <c r="T41" s="16">
        <f t="shared" si="1"/>
        <v>30</v>
      </c>
      <c r="U41" s="7">
        <v>95</v>
      </c>
      <c r="V41" s="16">
        <f t="shared" si="2"/>
        <v>2850</v>
      </c>
      <c r="W41" s="7">
        <v>4</v>
      </c>
      <c r="X41" s="15" t="s">
        <v>46</v>
      </c>
      <c r="Y41" s="54" t="s">
        <v>69</v>
      </c>
      <c r="Z41" s="54" t="s">
        <v>55</v>
      </c>
      <c r="AA41" s="54" t="s">
        <v>90</v>
      </c>
      <c r="AB41" s="39" t="s">
        <v>158</v>
      </c>
    </row>
    <row r="42" spans="1:44" x14ac:dyDescent="0.15">
      <c r="A42" s="15" t="s">
        <v>156</v>
      </c>
      <c r="B42" s="15" t="s">
        <v>157</v>
      </c>
      <c r="C42" s="15">
        <v>2019</v>
      </c>
      <c r="D42" s="37" t="s">
        <v>165</v>
      </c>
      <c r="E42" s="7" t="s">
        <v>162</v>
      </c>
      <c r="F42" s="7" t="s">
        <v>163</v>
      </c>
      <c r="G42" s="7" t="s">
        <v>36</v>
      </c>
      <c r="H42" s="54" t="s">
        <v>160</v>
      </c>
      <c r="I42" s="7" t="s">
        <v>159</v>
      </c>
      <c r="J42" s="15" t="s">
        <v>38</v>
      </c>
      <c r="K42" s="7" t="s">
        <v>161</v>
      </c>
      <c r="L42" s="7">
        <v>2</v>
      </c>
      <c r="N42" s="7">
        <v>1</v>
      </c>
      <c r="O42" s="7">
        <v>0.5</v>
      </c>
      <c r="P42" s="7">
        <v>0.5</v>
      </c>
      <c r="Q42" s="52">
        <f t="shared" si="0"/>
        <v>0.5</v>
      </c>
      <c r="R42" s="7">
        <v>16.3</v>
      </c>
      <c r="S42" s="7">
        <v>108</v>
      </c>
      <c r="T42" s="16">
        <f t="shared" si="1"/>
        <v>33</v>
      </c>
      <c r="U42" s="7">
        <v>95</v>
      </c>
      <c r="V42" s="16">
        <f t="shared" si="2"/>
        <v>3135</v>
      </c>
      <c r="W42" s="7">
        <v>4</v>
      </c>
      <c r="X42" s="15" t="s">
        <v>46</v>
      </c>
      <c r="Y42" s="54" t="s">
        <v>69</v>
      </c>
      <c r="Z42" s="54" t="s">
        <v>55</v>
      </c>
      <c r="AA42" s="54" t="s">
        <v>90</v>
      </c>
      <c r="AB42" s="39" t="s">
        <v>158</v>
      </c>
    </row>
    <row r="43" spans="1:44" x14ac:dyDescent="0.15">
      <c r="A43" s="15" t="s">
        <v>156</v>
      </c>
      <c r="B43" s="15" t="s">
        <v>157</v>
      </c>
      <c r="C43" s="15">
        <v>2019</v>
      </c>
      <c r="D43" s="37" t="s">
        <v>165</v>
      </c>
      <c r="E43" s="7" t="s">
        <v>162</v>
      </c>
      <c r="F43" s="7" t="s">
        <v>163</v>
      </c>
      <c r="G43" s="7" t="s">
        <v>36</v>
      </c>
      <c r="H43" s="54" t="s">
        <v>160</v>
      </c>
      <c r="I43" s="7" t="s">
        <v>159</v>
      </c>
      <c r="J43" s="15" t="s">
        <v>38</v>
      </c>
      <c r="K43" s="7" t="s">
        <v>161</v>
      </c>
      <c r="L43" s="7">
        <v>3</v>
      </c>
      <c r="N43" s="7">
        <v>1</v>
      </c>
      <c r="O43" s="7">
        <v>0.5</v>
      </c>
      <c r="P43" s="7">
        <v>0.5</v>
      </c>
      <c r="Q43" s="52">
        <f t="shared" si="0"/>
        <v>0.5</v>
      </c>
      <c r="R43" s="7">
        <v>18.2</v>
      </c>
      <c r="S43" s="7">
        <v>111</v>
      </c>
      <c r="T43" s="16">
        <f t="shared" si="1"/>
        <v>33</v>
      </c>
      <c r="U43" s="7">
        <v>95</v>
      </c>
      <c r="V43" s="16">
        <f t="shared" si="2"/>
        <v>3135</v>
      </c>
      <c r="W43" s="7">
        <v>4</v>
      </c>
      <c r="X43" s="15" t="s">
        <v>46</v>
      </c>
      <c r="Y43" s="54" t="s">
        <v>69</v>
      </c>
      <c r="Z43" s="54" t="s">
        <v>55</v>
      </c>
      <c r="AA43" s="54" t="s">
        <v>90</v>
      </c>
      <c r="AB43" s="39" t="s">
        <v>158</v>
      </c>
    </row>
    <row r="44" spans="1:44" x14ac:dyDescent="0.15">
      <c r="A44" s="15" t="s">
        <v>156</v>
      </c>
      <c r="B44" s="15" t="s">
        <v>157</v>
      </c>
      <c r="C44" s="15">
        <v>2019</v>
      </c>
      <c r="D44" s="37" t="s">
        <v>165</v>
      </c>
      <c r="E44" s="7" t="s">
        <v>130</v>
      </c>
      <c r="F44" s="7" t="s">
        <v>146</v>
      </c>
      <c r="G44" s="7" t="s">
        <v>36</v>
      </c>
      <c r="H44" s="15" t="s">
        <v>164</v>
      </c>
      <c r="I44" s="7" t="s">
        <v>159</v>
      </c>
      <c r="J44" s="15" t="s">
        <v>38</v>
      </c>
      <c r="K44" s="7" t="s">
        <v>161</v>
      </c>
      <c r="L44" s="7">
        <v>1</v>
      </c>
      <c r="N44" s="7">
        <v>1</v>
      </c>
      <c r="O44" s="7">
        <v>0.9</v>
      </c>
      <c r="P44" s="7">
        <v>0.85</v>
      </c>
      <c r="Q44" s="52">
        <f t="shared" si="0"/>
        <v>0.875</v>
      </c>
      <c r="R44" s="7">
        <v>14.6</v>
      </c>
      <c r="S44" s="7">
        <v>119</v>
      </c>
      <c r="T44" s="16">
        <f t="shared" si="1"/>
        <v>30</v>
      </c>
      <c r="U44" s="7">
        <v>85</v>
      </c>
      <c r="V44" s="16">
        <f t="shared" si="2"/>
        <v>2550</v>
      </c>
      <c r="W44" s="7">
        <v>8</v>
      </c>
      <c r="X44" s="15" t="s">
        <v>46</v>
      </c>
      <c r="Y44" s="54" t="s">
        <v>97</v>
      </c>
      <c r="Z44" s="54" t="s">
        <v>55</v>
      </c>
      <c r="AA44" s="54" t="s">
        <v>64</v>
      </c>
      <c r="AB44" s="39" t="s">
        <v>158</v>
      </c>
    </row>
    <row r="45" spans="1:44" x14ac:dyDescent="0.15">
      <c r="A45" s="15" t="s">
        <v>156</v>
      </c>
      <c r="B45" s="15" t="s">
        <v>157</v>
      </c>
      <c r="C45" s="15">
        <v>2019</v>
      </c>
      <c r="D45" s="37" t="s">
        <v>165</v>
      </c>
      <c r="E45" s="7" t="s">
        <v>130</v>
      </c>
      <c r="F45" s="7" t="s">
        <v>146</v>
      </c>
      <c r="G45" s="7" t="s">
        <v>36</v>
      </c>
      <c r="H45" s="15" t="s">
        <v>164</v>
      </c>
      <c r="I45" s="7" t="s">
        <v>159</v>
      </c>
      <c r="J45" s="15" t="s">
        <v>38</v>
      </c>
      <c r="K45" s="7" t="s">
        <v>161</v>
      </c>
      <c r="L45" s="7">
        <v>2</v>
      </c>
      <c r="N45" s="7">
        <v>1</v>
      </c>
      <c r="O45" s="7">
        <v>0.6</v>
      </c>
      <c r="P45" s="7">
        <v>0.7</v>
      </c>
      <c r="Q45" s="52">
        <f t="shared" si="0"/>
        <v>0.64999999999999991</v>
      </c>
      <c r="R45" s="7">
        <v>14.1</v>
      </c>
      <c r="S45" s="7">
        <v>117</v>
      </c>
      <c r="T45" s="16">
        <f t="shared" si="1"/>
        <v>30</v>
      </c>
      <c r="U45" s="7">
        <v>85</v>
      </c>
      <c r="V45" s="16">
        <f t="shared" si="2"/>
        <v>2550</v>
      </c>
      <c r="W45" s="7">
        <v>8</v>
      </c>
      <c r="X45" s="15" t="s">
        <v>46</v>
      </c>
      <c r="Y45" s="54" t="s">
        <v>97</v>
      </c>
      <c r="Z45" s="54" t="s">
        <v>55</v>
      </c>
      <c r="AA45" s="54" t="s">
        <v>64</v>
      </c>
      <c r="AB45" s="39" t="s">
        <v>158</v>
      </c>
    </row>
    <row r="46" spans="1:44" x14ac:dyDescent="0.15">
      <c r="A46" s="15" t="s">
        <v>156</v>
      </c>
      <c r="B46" s="15" t="s">
        <v>157</v>
      </c>
      <c r="C46" s="15">
        <v>2019</v>
      </c>
      <c r="D46" s="37" t="s">
        <v>165</v>
      </c>
      <c r="E46" s="7" t="s">
        <v>130</v>
      </c>
      <c r="F46" s="7" t="s">
        <v>146</v>
      </c>
      <c r="G46" s="7" t="s">
        <v>36</v>
      </c>
      <c r="H46" s="15" t="s">
        <v>164</v>
      </c>
      <c r="I46" s="7" t="s">
        <v>159</v>
      </c>
      <c r="J46" s="15" t="s">
        <v>38</v>
      </c>
      <c r="K46" s="7" t="s">
        <v>161</v>
      </c>
      <c r="L46" s="7">
        <v>3</v>
      </c>
      <c r="N46" s="7">
        <v>1</v>
      </c>
      <c r="O46" s="7">
        <v>0.6</v>
      </c>
      <c r="P46" s="34">
        <v>0.6</v>
      </c>
      <c r="Q46" s="52">
        <f t="shared" si="0"/>
        <v>0.6</v>
      </c>
      <c r="R46" s="7">
        <v>12.9</v>
      </c>
      <c r="S46" s="7">
        <v>116</v>
      </c>
      <c r="T46" s="16">
        <f t="shared" si="1"/>
        <v>30</v>
      </c>
      <c r="U46" s="7">
        <v>85</v>
      </c>
      <c r="V46" s="16">
        <f t="shared" si="2"/>
        <v>2550</v>
      </c>
      <c r="W46" s="7">
        <v>8</v>
      </c>
      <c r="X46" s="15" t="s">
        <v>46</v>
      </c>
      <c r="Y46" s="54" t="s">
        <v>97</v>
      </c>
      <c r="Z46" s="54" t="s">
        <v>55</v>
      </c>
      <c r="AA46" s="54" t="s">
        <v>64</v>
      </c>
      <c r="AB46" s="39" t="s">
        <v>158</v>
      </c>
    </row>
    <row r="47" spans="1:44" x14ac:dyDescent="0.15">
      <c r="A47" s="15" t="s">
        <v>156</v>
      </c>
      <c r="B47" s="15" t="s">
        <v>157</v>
      </c>
      <c r="C47" s="15">
        <v>2019</v>
      </c>
      <c r="D47" s="37" t="s">
        <v>165</v>
      </c>
      <c r="E47" s="7" t="s">
        <v>130</v>
      </c>
      <c r="F47" s="7" t="s">
        <v>146</v>
      </c>
      <c r="G47" s="7" t="s">
        <v>36</v>
      </c>
      <c r="H47" s="15" t="s">
        <v>160</v>
      </c>
      <c r="I47" s="7" t="s">
        <v>159</v>
      </c>
      <c r="J47" s="15" t="s">
        <v>38</v>
      </c>
      <c r="K47" s="7" t="s">
        <v>161</v>
      </c>
      <c r="L47" s="7">
        <v>1</v>
      </c>
      <c r="N47" s="7">
        <v>1</v>
      </c>
      <c r="O47" s="7">
        <v>0.55000000000000004</v>
      </c>
      <c r="P47" s="7">
        <v>0.5</v>
      </c>
      <c r="Q47" s="52">
        <f t="shared" si="0"/>
        <v>0.52500000000000002</v>
      </c>
      <c r="R47" s="7">
        <v>19.600000000000001</v>
      </c>
      <c r="S47" s="7">
        <v>134</v>
      </c>
      <c r="T47" s="16">
        <f t="shared" si="1"/>
        <v>25</v>
      </c>
      <c r="U47" s="7">
        <v>135</v>
      </c>
      <c r="V47" s="16">
        <f t="shared" si="2"/>
        <v>3375</v>
      </c>
      <c r="W47" s="7">
        <v>10</v>
      </c>
      <c r="X47" s="15" t="s">
        <v>46</v>
      </c>
      <c r="Y47" s="54" t="s">
        <v>97</v>
      </c>
      <c r="Z47" s="54" t="s">
        <v>55</v>
      </c>
      <c r="AA47" s="54" t="s">
        <v>64</v>
      </c>
      <c r="AB47" s="39" t="s">
        <v>158</v>
      </c>
    </row>
    <row r="48" spans="1:44" x14ac:dyDescent="0.15">
      <c r="A48" s="15" t="s">
        <v>156</v>
      </c>
      <c r="B48" s="15" t="s">
        <v>157</v>
      </c>
      <c r="C48" s="15">
        <v>2019</v>
      </c>
      <c r="D48" s="37" t="s">
        <v>165</v>
      </c>
      <c r="E48" s="7" t="s">
        <v>130</v>
      </c>
      <c r="F48" s="7" t="s">
        <v>146</v>
      </c>
      <c r="G48" s="7" t="s">
        <v>36</v>
      </c>
      <c r="H48" s="15" t="s">
        <v>160</v>
      </c>
      <c r="I48" s="7" t="s">
        <v>159</v>
      </c>
      <c r="J48" s="15" t="s">
        <v>38</v>
      </c>
      <c r="K48" s="7" t="s">
        <v>161</v>
      </c>
      <c r="L48" s="7">
        <v>2</v>
      </c>
      <c r="N48" s="7">
        <v>1</v>
      </c>
      <c r="O48" s="7">
        <v>0.6</v>
      </c>
      <c r="P48" s="7">
        <v>0.7</v>
      </c>
      <c r="Q48" s="52">
        <f t="shared" si="0"/>
        <v>0.64999999999999991</v>
      </c>
      <c r="R48" s="7">
        <v>19.3</v>
      </c>
      <c r="S48" s="7">
        <v>132</v>
      </c>
      <c r="T48" s="16">
        <f t="shared" si="1"/>
        <v>25</v>
      </c>
      <c r="U48" s="7">
        <v>135</v>
      </c>
      <c r="V48" s="16">
        <f t="shared" si="2"/>
        <v>3375</v>
      </c>
      <c r="W48" s="7">
        <v>10</v>
      </c>
      <c r="X48" s="15" t="s">
        <v>46</v>
      </c>
      <c r="Y48" s="54" t="s">
        <v>97</v>
      </c>
      <c r="Z48" s="54" t="s">
        <v>55</v>
      </c>
      <c r="AA48" s="54" t="s">
        <v>64</v>
      </c>
      <c r="AB48" s="39" t="s">
        <v>158</v>
      </c>
    </row>
    <row r="49" spans="1:29" x14ac:dyDescent="0.15">
      <c r="A49" s="15" t="s">
        <v>156</v>
      </c>
      <c r="B49" s="15" t="s">
        <v>157</v>
      </c>
      <c r="C49" s="15">
        <v>2019</v>
      </c>
      <c r="D49" s="37" t="s">
        <v>165</v>
      </c>
      <c r="E49" s="7" t="s">
        <v>130</v>
      </c>
      <c r="F49" s="7" t="s">
        <v>146</v>
      </c>
      <c r="G49" s="7" t="s">
        <v>36</v>
      </c>
      <c r="H49" s="15" t="s">
        <v>160</v>
      </c>
      <c r="I49" s="7" t="s">
        <v>159</v>
      </c>
      <c r="J49" s="15" t="s">
        <v>38</v>
      </c>
      <c r="K49" s="7" t="s">
        <v>161</v>
      </c>
      <c r="L49" s="7">
        <v>3</v>
      </c>
      <c r="N49" s="7">
        <v>1</v>
      </c>
      <c r="O49" s="7">
        <v>1.1000000000000001</v>
      </c>
      <c r="P49" s="34">
        <v>1</v>
      </c>
      <c r="Q49" s="52">
        <f t="shared" si="0"/>
        <v>1.05</v>
      </c>
      <c r="R49" s="7">
        <v>16</v>
      </c>
      <c r="S49" s="7">
        <v>124</v>
      </c>
      <c r="T49" s="16">
        <f t="shared" si="1"/>
        <v>27</v>
      </c>
      <c r="U49" s="7">
        <v>135</v>
      </c>
      <c r="V49" s="16">
        <f t="shared" si="2"/>
        <v>3645</v>
      </c>
      <c r="W49" s="7">
        <v>10</v>
      </c>
      <c r="X49" s="15" t="s">
        <v>46</v>
      </c>
      <c r="Y49" s="54" t="s">
        <v>97</v>
      </c>
      <c r="Z49" s="54" t="s">
        <v>55</v>
      </c>
      <c r="AA49" s="54" t="s">
        <v>64</v>
      </c>
      <c r="AB49" s="39" t="s">
        <v>158</v>
      </c>
    </row>
    <row r="50" spans="1:29" x14ac:dyDescent="0.15">
      <c r="A50" s="15" t="s">
        <v>156</v>
      </c>
      <c r="B50" s="15" t="s">
        <v>157</v>
      </c>
      <c r="C50" s="15">
        <v>2019</v>
      </c>
      <c r="D50" s="37" t="s">
        <v>165</v>
      </c>
      <c r="E50" s="7" t="s">
        <v>132</v>
      </c>
      <c r="F50" s="7" t="s">
        <v>147</v>
      </c>
      <c r="G50" s="7" t="s">
        <v>36</v>
      </c>
      <c r="H50" s="15" t="s">
        <v>164</v>
      </c>
      <c r="I50" s="7" t="s">
        <v>159</v>
      </c>
      <c r="J50" s="15" t="s">
        <v>38</v>
      </c>
      <c r="K50" s="7" t="s">
        <v>161</v>
      </c>
      <c r="L50" s="7">
        <v>1</v>
      </c>
      <c r="N50" s="7">
        <v>1</v>
      </c>
      <c r="O50" s="7">
        <v>0.5</v>
      </c>
      <c r="P50" s="7">
        <v>0.55000000000000004</v>
      </c>
      <c r="Q50" s="52">
        <f t="shared" si="0"/>
        <v>0.52500000000000002</v>
      </c>
      <c r="R50" s="7">
        <v>13.7</v>
      </c>
      <c r="S50" s="7">
        <v>107</v>
      </c>
      <c r="T50" s="16">
        <f t="shared" si="1"/>
        <v>33</v>
      </c>
      <c r="U50" s="7">
        <v>84</v>
      </c>
      <c r="V50" s="16">
        <f t="shared" si="2"/>
        <v>2772</v>
      </c>
      <c r="W50" s="7">
        <v>8</v>
      </c>
      <c r="X50" s="15" t="s">
        <v>46</v>
      </c>
      <c r="Y50" s="54" t="s">
        <v>55</v>
      </c>
      <c r="Z50" s="54" t="s">
        <v>86</v>
      </c>
      <c r="AA50" s="54" t="s">
        <v>97</v>
      </c>
      <c r="AB50" s="39" t="s">
        <v>158</v>
      </c>
    </row>
    <row r="51" spans="1:29" x14ac:dyDescent="0.15">
      <c r="A51" s="15" t="s">
        <v>156</v>
      </c>
      <c r="B51" s="15" t="s">
        <v>157</v>
      </c>
      <c r="C51" s="15">
        <v>2019</v>
      </c>
      <c r="D51" s="37" t="s">
        <v>165</v>
      </c>
      <c r="E51" s="7" t="s">
        <v>132</v>
      </c>
      <c r="F51" s="7" t="s">
        <v>147</v>
      </c>
      <c r="G51" s="7" t="s">
        <v>36</v>
      </c>
      <c r="H51" s="15" t="s">
        <v>164</v>
      </c>
      <c r="I51" s="7" t="s">
        <v>159</v>
      </c>
      <c r="J51" s="15" t="s">
        <v>38</v>
      </c>
      <c r="K51" s="7" t="s">
        <v>161</v>
      </c>
      <c r="L51" s="7">
        <v>2</v>
      </c>
      <c r="N51" s="7">
        <v>1</v>
      </c>
      <c r="O51" s="7">
        <v>0.6</v>
      </c>
      <c r="P51" s="7">
        <v>0.55000000000000004</v>
      </c>
      <c r="Q51" s="52">
        <f t="shared" si="0"/>
        <v>0.57499999999999996</v>
      </c>
      <c r="R51" s="7">
        <v>14.1</v>
      </c>
      <c r="S51" s="7">
        <v>135</v>
      </c>
      <c r="T51" s="16">
        <f t="shared" si="1"/>
        <v>25</v>
      </c>
      <c r="U51" s="7">
        <v>84</v>
      </c>
      <c r="V51" s="16">
        <f t="shared" si="2"/>
        <v>2100</v>
      </c>
      <c r="W51" s="7">
        <v>8</v>
      </c>
      <c r="X51" s="15" t="s">
        <v>46</v>
      </c>
      <c r="Y51" s="54" t="s">
        <v>55</v>
      </c>
      <c r="Z51" s="54" t="s">
        <v>86</v>
      </c>
      <c r="AA51" s="54" t="s">
        <v>97</v>
      </c>
      <c r="AB51" s="39" t="s">
        <v>158</v>
      </c>
    </row>
    <row r="52" spans="1:29" x14ac:dyDescent="0.15">
      <c r="A52" s="15" t="s">
        <v>156</v>
      </c>
      <c r="B52" s="15" t="s">
        <v>157</v>
      </c>
      <c r="C52" s="15">
        <v>2019</v>
      </c>
      <c r="D52" s="37" t="s">
        <v>165</v>
      </c>
      <c r="E52" s="7" t="s">
        <v>132</v>
      </c>
      <c r="F52" s="7" t="s">
        <v>147</v>
      </c>
      <c r="G52" s="7" t="s">
        <v>36</v>
      </c>
      <c r="H52" s="15" t="s">
        <v>164</v>
      </c>
      <c r="I52" s="7" t="s">
        <v>159</v>
      </c>
      <c r="J52" s="15" t="s">
        <v>38</v>
      </c>
      <c r="K52" s="7" t="s">
        <v>161</v>
      </c>
      <c r="L52" s="7">
        <v>3</v>
      </c>
      <c r="N52" s="7">
        <v>1</v>
      </c>
      <c r="O52" s="7">
        <v>0.5</v>
      </c>
      <c r="P52" s="7">
        <v>0.6</v>
      </c>
      <c r="Q52" s="52">
        <f t="shared" si="0"/>
        <v>0.55000000000000004</v>
      </c>
      <c r="R52" s="7">
        <v>15.6</v>
      </c>
      <c r="S52" s="7">
        <v>135</v>
      </c>
      <c r="T52" s="16">
        <f t="shared" si="1"/>
        <v>25</v>
      </c>
      <c r="U52" s="7">
        <v>84</v>
      </c>
      <c r="V52" s="16">
        <f t="shared" si="2"/>
        <v>2100</v>
      </c>
      <c r="W52" s="7">
        <v>8</v>
      </c>
      <c r="X52" s="15" t="s">
        <v>46</v>
      </c>
      <c r="Y52" s="54" t="s">
        <v>55</v>
      </c>
      <c r="Z52" s="54" t="s">
        <v>86</v>
      </c>
      <c r="AA52" s="54" t="s">
        <v>97</v>
      </c>
      <c r="AB52" s="39" t="s">
        <v>158</v>
      </c>
    </row>
    <row r="53" spans="1:29" x14ac:dyDescent="0.15">
      <c r="A53" s="15" t="s">
        <v>156</v>
      </c>
      <c r="B53" s="15" t="s">
        <v>157</v>
      </c>
      <c r="C53" s="15">
        <v>2019</v>
      </c>
      <c r="D53" s="37" t="s">
        <v>165</v>
      </c>
      <c r="E53" s="7" t="s">
        <v>132</v>
      </c>
      <c r="F53" s="7" t="s">
        <v>147</v>
      </c>
      <c r="G53" s="7" t="s">
        <v>36</v>
      </c>
      <c r="H53" s="15" t="s">
        <v>160</v>
      </c>
      <c r="I53" s="7" t="s">
        <v>159</v>
      </c>
      <c r="J53" s="15" t="s">
        <v>38</v>
      </c>
      <c r="K53" s="7" t="s">
        <v>161</v>
      </c>
      <c r="L53" s="7">
        <v>1</v>
      </c>
      <c r="N53" s="7">
        <v>1</v>
      </c>
      <c r="O53" s="7">
        <v>0.6</v>
      </c>
      <c r="P53" s="7">
        <v>0.75</v>
      </c>
      <c r="Q53" s="52">
        <f t="shared" si="0"/>
        <v>0.67500000000000004</v>
      </c>
      <c r="R53" s="7">
        <v>19.600000000000001</v>
      </c>
      <c r="S53" s="7">
        <v>129</v>
      </c>
      <c r="T53" s="16">
        <f t="shared" si="1"/>
        <v>25</v>
      </c>
      <c r="U53" s="7">
        <v>138</v>
      </c>
      <c r="V53" s="16">
        <f t="shared" si="2"/>
        <v>3450</v>
      </c>
      <c r="W53" s="7">
        <v>8</v>
      </c>
      <c r="X53" s="15" t="s">
        <v>46</v>
      </c>
      <c r="Y53" s="54" t="s">
        <v>55</v>
      </c>
      <c r="Z53" s="54" t="s">
        <v>86</v>
      </c>
      <c r="AA53" s="54" t="s">
        <v>97</v>
      </c>
      <c r="AB53" s="39" t="s">
        <v>158</v>
      </c>
      <c r="AC53" s="36"/>
    </row>
    <row r="54" spans="1:29" x14ac:dyDescent="0.15">
      <c r="A54" s="15" t="s">
        <v>156</v>
      </c>
      <c r="B54" s="15" t="s">
        <v>157</v>
      </c>
      <c r="C54" s="15">
        <v>2019</v>
      </c>
      <c r="D54" s="37" t="s">
        <v>165</v>
      </c>
      <c r="E54" s="7" t="s">
        <v>132</v>
      </c>
      <c r="F54" s="7" t="s">
        <v>147</v>
      </c>
      <c r="G54" s="7" t="s">
        <v>36</v>
      </c>
      <c r="H54" s="15" t="s">
        <v>160</v>
      </c>
      <c r="I54" s="7" t="s">
        <v>159</v>
      </c>
      <c r="J54" s="15" t="s">
        <v>38</v>
      </c>
      <c r="K54" s="7" t="s">
        <v>161</v>
      </c>
      <c r="L54" s="7">
        <v>2</v>
      </c>
      <c r="N54" s="7">
        <v>1</v>
      </c>
      <c r="O54" s="7">
        <v>0.75</v>
      </c>
      <c r="P54" s="7">
        <v>0.75</v>
      </c>
      <c r="Q54" s="52">
        <f t="shared" si="0"/>
        <v>0.75</v>
      </c>
      <c r="R54" s="7">
        <v>18.8</v>
      </c>
      <c r="S54" s="7">
        <v>126</v>
      </c>
      <c r="T54" s="16">
        <f t="shared" si="1"/>
        <v>27</v>
      </c>
      <c r="U54" s="7">
        <v>138</v>
      </c>
      <c r="V54" s="16">
        <f t="shared" si="2"/>
        <v>3726</v>
      </c>
      <c r="W54" s="7">
        <v>8</v>
      </c>
      <c r="X54" s="15" t="s">
        <v>46</v>
      </c>
      <c r="Y54" s="54" t="s">
        <v>55</v>
      </c>
      <c r="Z54" s="54" t="s">
        <v>86</v>
      </c>
      <c r="AA54" s="54" t="s">
        <v>97</v>
      </c>
      <c r="AB54" s="39" t="s">
        <v>158</v>
      </c>
      <c r="AC54" s="36"/>
    </row>
    <row r="55" spans="1:29" x14ac:dyDescent="0.15">
      <c r="A55" s="15" t="s">
        <v>156</v>
      </c>
      <c r="B55" s="15" t="s">
        <v>157</v>
      </c>
      <c r="C55" s="15">
        <v>2019</v>
      </c>
      <c r="D55" s="37" t="s">
        <v>165</v>
      </c>
      <c r="E55" s="7" t="s">
        <v>132</v>
      </c>
      <c r="F55" s="7" t="s">
        <v>147</v>
      </c>
      <c r="G55" s="7" t="s">
        <v>36</v>
      </c>
      <c r="H55" s="15" t="s">
        <v>160</v>
      </c>
      <c r="I55" s="7" t="s">
        <v>159</v>
      </c>
      <c r="J55" s="15" t="s">
        <v>38</v>
      </c>
      <c r="K55" s="7" t="s">
        <v>161</v>
      </c>
      <c r="L55" s="7">
        <v>3</v>
      </c>
      <c r="N55" s="7">
        <v>1</v>
      </c>
      <c r="O55" s="7">
        <v>0.6</v>
      </c>
      <c r="P55" s="7">
        <v>0.65</v>
      </c>
      <c r="Q55" s="52">
        <f t="shared" si="0"/>
        <v>0.625</v>
      </c>
      <c r="R55" s="7">
        <v>19.899999999999999</v>
      </c>
      <c r="S55" s="7">
        <v>127</v>
      </c>
      <c r="T55" s="16">
        <f t="shared" si="1"/>
        <v>27</v>
      </c>
      <c r="U55" s="7">
        <v>138</v>
      </c>
      <c r="V55" s="16">
        <f t="shared" si="2"/>
        <v>3726</v>
      </c>
      <c r="W55" s="7">
        <v>8</v>
      </c>
      <c r="X55" s="15" t="s">
        <v>46</v>
      </c>
      <c r="Y55" s="54" t="s">
        <v>55</v>
      </c>
      <c r="Z55" s="54" t="s">
        <v>86</v>
      </c>
      <c r="AA55" s="54" t="s">
        <v>97</v>
      </c>
      <c r="AB55" s="39" t="s">
        <v>158</v>
      </c>
      <c r="AC55" s="36"/>
    </row>
    <row r="56" spans="1:29" x14ac:dyDescent="0.15">
      <c r="A56" s="15" t="s">
        <v>156</v>
      </c>
      <c r="B56" s="15" t="s">
        <v>157</v>
      </c>
      <c r="C56" s="15">
        <v>2019</v>
      </c>
      <c r="D56" s="37" t="s">
        <v>165</v>
      </c>
      <c r="E56" s="7" t="s">
        <v>140</v>
      </c>
      <c r="F56" s="7" t="s">
        <v>148</v>
      </c>
      <c r="G56" s="7" t="s">
        <v>36</v>
      </c>
      <c r="H56" s="15" t="s">
        <v>164</v>
      </c>
      <c r="I56" s="7" t="s">
        <v>159</v>
      </c>
      <c r="J56" s="15" t="s">
        <v>38</v>
      </c>
      <c r="K56" s="7" t="s">
        <v>161</v>
      </c>
      <c r="L56" s="7">
        <v>1</v>
      </c>
      <c r="N56" s="7">
        <v>1</v>
      </c>
      <c r="O56" s="7">
        <v>0.5</v>
      </c>
      <c r="P56" s="7">
        <v>0.5</v>
      </c>
      <c r="Q56" s="52">
        <f t="shared" si="0"/>
        <v>0.5</v>
      </c>
      <c r="R56" s="7">
        <v>14.6</v>
      </c>
      <c r="S56" s="7">
        <v>135</v>
      </c>
      <c r="T56" s="16">
        <f t="shared" si="1"/>
        <v>25</v>
      </c>
      <c r="U56" s="7">
        <v>95</v>
      </c>
      <c r="V56" s="16">
        <f t="shared" si="2"/>
        <v>2375</v>
      </c>
      <c r="W56" s="7">
        <v>8</v>
      </c>
      <c r="X56" s="15" t="s">
        <v>46</v>
      </c>
      <c r="Y56" s="54" t="s">
        <v>86</v>
      </c>
      <c r="Z56" s="54" t="s">
        <v>97</v>
      </c>
      <c r="AA56" s="54" t="s">
        <v>47</v>
      </c>
      <c r="AB56" s="39" t="s">
        <v>158</v>
      </c>
    </row>
    <row r="57" spans="1:29" x14ac:dyDescent="0.15">
      <c r="A57" s="15" t="s">
        <v>156</v>
      </c>
      <c r="B57" s="15" t="s">
        <v>157</v>
      </c>
      <c r="C57" s="15">
        <v>2019</v>
      </c>
      <c r="D57" s="37" t="s">
        <v>165</v>
      </c>
      <c r="E57" s="7" t="s">
        <v>140</v>
      </c>
      <c r="F57" s="7" t="s">
        <v>148</v>
      </c>
      <c r="G57" s="7" t="s">
        <v>36</v>
      </c>
      <c r="H57" s="54" t="s">
        <v>164</v>
      </c>
      <c r="I57" s="7" t="s">
        <v>159</v>
      </c>
      <c r="J57" s="15" t="s">
        <v>38</v>
      </c>
      <c r="K57" s="7" t="s">
        <v>161</v>
      </c>
      <c r="L57" s="7">
        <v>2</v>
      </c>
      <c r="N57" s="7">
        <v>1</v>
      </c>
      <c r="O57" s="7">
        <v>0.55000000000000004</v>
      </c>
      <c r="P57" s="7">
        <v>0.55000000000000004</v>
      </c>
      <c r="Q57" s="52">
        <f t="shared" si="0"/>
        <v>0.55000000000000004</v>
      </c>
      <c r="R57" s="7">
        <v>16</v>
      </c>
      <c r="S57" s="7">
        <v>136</v>
      </c>
      <c r="T57" s="16">
        <f t="shared" si="1"/>
        <v>25</v>
      </c>
      <c r="U57" s="7">
        <v>95</v>
      </c>
      <c r="V57" s="16">
        <f t="shared" si="2"/>
        <v>2375</v>
      </c>
      <c r="W57" s="7">
        <v>8</v>
      </c>
      <c r="X57" s="15" t="s">
        <v>46</v>
      </c>
      <c r="Y57" s="54" t="s">
        <v>86</v>
      </c>
      <c r="Z57" s="54" t="s">
        <v>97</v>
      </c>
      <c r="AA57" s="54" t="s">
        <v>47</v>
      </c>
      <c r="AB57" s="39" t="s">
        <v>158</v>
      </c>
    </row>
    <row r="58" spans="1:29" x14ac:dyDescent="0.15">
      <c r="A58" s="15" t="s">
        <v>156</v>
      </c>
      <c r="B58" s="15" t="s">
        <v>157</v>
      </c>
      <c r="C58" s="15">
        <v>2019</v>
      </c>
      <c r="D58" s="37" t="s">
        <v>165</v>
      </c>
      <c r="E58" s="7" t="s">
        <v>140</v>
      </c>
      <c r="F58" s="7" t="s">
        <v>148</v>
      </c>
      <c r="G58" s="7" t="s">
        <v>36</v>
      </c>
      <c r="H58" s="54" t="s">
        <v>164</v>
      </c>
      <c r="I58" s="7" t="s">
        <v>159</v>
      </c>
      <c r="J58" s="15" t="s">
        <v>38</v>
      </c>
      <c r="K58" s="7" t="s">
        <v>161</v>
      </c>
      <c r="L58" s="7">
        <v>3</v>
      </c>
      <c r="N58" s="7">
        <v>1</v>
      </c>
      <c r="O58" s="7">
        <v>0.75</v>
      </c>
      <c r="P58" s="7">
        <v>0.75</v>
      </c>
      <c r="Q58" s="52">
        <f t="shared" si="0"/>
        <v>0.75</v>
      </c>
      <c r="R58" s="7">
        <v>14.7</v>
      </c>
      <c r="S58" s="7">
        <v>135</v>
      </c>
      <c r="T58" s="16">
        <f t="shared" si="1"/>
        <v>25</v>
      </c>
      <c r="U58" s="7">
        <v>95</v>
      </c>
      <c r="V58" s="16">
        <f t="shared" si="2"/>
        <v>2375</v>
      </c>
      <c r="W58" s="7">
        <v>8</v>
      </c>
      <c r="X58" s="15" t="s">
        <v>46</v>
      </c>
      <c r="Y58" s="54" t="s">
        <v>86</v>
      </c>
      <c r="Z58" s="54" t="s">
        <v>97</v>
      </c>
      <c r="AA58" s="54" t="s">
        <v>47</v>
      </c>
      <c r="AB58" s="39" t="s">
        <v>158</v>
      </c>
    </row>
    <row r="59" spans="1:29" x14ac:dyDescent="0.15">
      <c r="A59" s="15" t="s">
        <v>156</v>
      </c>
      <c r="B59" s="15" t="s">
        <v>157</v>
      </c>
      <c r="C59" s="15">
        <v>2019</v>
      </c>
      <c r="D59" s="37" t="s">
        <v>165</v>
      </c>
      <c r="E59" s="7" t="s">
        <v>140</v>
      </c>
      <c r="F59" s="7" t="s">
        <v>148</v>
      </c>
      <c r="G59" s="7" t="s">
        <v>36</v>
      </c>
      <c r="H59" s="15" t="s">
        <v>160</v>
      </c>
      <c r="I59" s="7" t="s">
        <v>159</v>
      </c>
      <c r="J59" s="15" t="s">
        <v>38</v>
      </c>
      <c r="K59" s="7" t="s">
        <v>161</v>
      </c>
      <c r="L59" s="7">
        <v>1</v>
      </c>
      <c r="N59" s="7">
        <v>1</v>
      </c>
      <c r="O59" s="7">
        <v>0.8</v>
      </c>
      <c r="P59" s="7">
        <v>0.75</v>
      </c>
      <c r="Q59" s="52">
        <f t="shared" si="0"/>
        <v>0.77500000000000002</v>
      </c>
      <c r="R59" s="7">
        <v>16.8</v>
      </c>
      <c r="S59" s="7">
        <v>100</v>
      </c>
      <c r="T59" s="16">
        <f t="shared" si="1"/>
        <v>33</v>
      </c>
      <c r="U59" s="7">
        <v>81</v>
      </c>
      <c r="V59" s="16">
        <f t="shared" si="2"/>
        <v>2673</v>
      </c>
      <c r="W59" s="7">
        <v>6</v>
      </c>
      <c r="X59" s="15" t="s">
        <v>46</v>
      </c>
      <c r="Y59" s="54" t="s">
        <v>86</v>
      </c>
      <c r="Z59" s="54" t="s">
        <v>97</v>
      </c>
      <c r="AA59" s="54" t="s">
        <v>47</v>
      </c>
      <c r="AB59" s="39" t="s">
        <v>158</v>
      </c>
    </row>
    <row r="60" spans="1:29" x14ac:dyDescent="0.15">
      <c r="A60" s="15" t="s">
        <v>156</v>
      </c>
      <c r="B60" s="15" t="s">
        <v>157</v>
      </c>
      <c r="C60" s="15">
        <v>2019</v>
      </c>
      <c r="D60" s="37" t="s">
        <v>165</v>
      </c>
      <c r="E60" s="7" t="s">
        <v>140</v>
      </c>
      <c r="F60" s="7" t="s">
        <v>148</v>
      </c>
      <c r="G60" s="7" t="s">
        <v>36</v>
      </c>
      <c r="H60" s="15" t="s">
        <v>160</v>
      </c>
      <c r="I60" s="7" t="s">
        <v>159</v>
      </c>
      <c r="J60" s="15" t="s">
        <v>38</v>
      </c>
      <c r="K60" s="7" t="s">
        <v>161</v>
      </c>
      <c r="L60" s="7">
        <v>2</v>
      </c>
      <c r="N60" s="7">
        <v>1</v>
      </c>
      <c r="O60" s="7">
        <v>0.75</v>
      </c>
      <c r="P60" s="7">
        <v>0.8</v>
      </c>
      <c r="Q60" s="52">
        <f t="shared" si="0"/>
        <v>0.77500000000000002</v>
      </c>
      <c r="R60" s="7">
        <v>16.2</v>
      </c>
      <c r="S60" s="7">
        <v>98</v>
      </c>
      <c r="T60" s="16">
        <f>IF(H60="","",IF(OR(H60="GREEN",H60="GK"),IF(S60&gt;=$AX$2,VLOOKUP(S60,$AX$2:$AY$12,2,1),""),IF(S60&gt;=$AZ$2,VLOOKUP(S60,$AZ$2:$BA$12,2,1),"")))</f>
        <v>36</v>
      </c>
      <c r="U60" s="7">
        <v>81</v>
      </c>
      <c r="V60" s="16">
        <f t="shared" si="2"/>
        <v>2916</v>
      </c>
      <c r="W60" s="7">
        <v>6</v>
      </c>
      <c r="X60" s="15" t="s">
        <v>46</v>
      </c>
      <c r="Y60" s="54" t="s">
        <v>86</v>
      </c>
      <c r="Z60" s="54" t="s">
        <v>97</v>
      </c>
      <c r="AA60" s="54" t="s">
        <v>47</v>
      </c>
      <c r="AB60" s="39" t="s">
        <v>158</v>
      </c>
    </row>
    <row r="61" spans="1:29" x14ac:dyDescent="0.15">
      <c r="A61" s="15" t="s">
        <v>156</v>
      </c>
      <c r="B61" s="15" t="s">
        <v>157</v>
      </c>
      <c r="C61" s="15">
        <v>2019</v>
      </c>
      <c r="D61" s="37" t="s">
        <v>165</v>
      </c>
      <c r="E61" s="7" t="s">
        <v>140</v>
      </c>
      <c r="F61" s="7" t="s">
        <v>148</v>
      </c>
      <c r="G61" s="7" t="s">
        <v>36</v>
      </c>
      <c r="H61" s="15" t="s">
        <v>160</v>
      </c>
      <c r="I61" s="7" t="s">
        <v>159</v>
      </c>
      <c r="J61" s="15" t="s">
        <v>38</v>
      </c>
      <c r="K61" s="7" t="s">
        <v>161</v>
      </c>
      <c r="L61" s="7">
        <v>3</v>
      </c>
      <c r="N61" s="53">
        <v>1</v>
      </c>
      <c r="O61" s="7">
        <v>0.8</v>
      </c>
      <c r="P61" s="7">
        <v>0.75</v>
      </c>
      <c r="Q61" s="52">
        <f t="shared" si="0"/>
        <v>0.77500000000000002</v>
      </c>
      <c r="R61" s="7">
        <v>16.100000000000001</v>
      </c>
      <c r="S61" s="7">
        <v>105</v>
      </c>
      <c r="T61" s="16">
        <f>IF(H61="","",IF(OR(H61="GREEN",H61="GK"),IF(S61&gt;=$AX$2,VLOOKUP(S61,$AX$2:$AY$12,2,1),""),IF(S61&gt;=$AZ$2,VLOOKUP(S61,$AZ$2:$BA$12,2,1),"")))</f>
        <v>33</v>
      </c>
      <c r="U61" s="7">
        <v>81</v>
      </c>
      <c r="V61" s="16">
        <f t="shared" si="2"/>
        <v>2673</v>
      </c>
      <c r="W61" s="7">
        <v>6</v>
      </c>
      <c r="X61" s="15" t="s">
        <v>46</v>
      </c>
      <c r="Y61" s="54" t="s">
        <v>86</v>
      </c>
      <c r="Z61" s="54" t="s">
        <v>97</v>
      </c>
      <c r="AA61" s="54" t="s">
        <v>47</v>
      </c>
      <c r="AB61" s="39" t="s">
        <v>158</v>
      </c>
    </row>
    <row r="62" spans="1:29" x14ac:dyDescent="0.15">
      <c r="A62" s="15"/>
      <c r="B62" s="15"/>
      <c r="C62" s="15"/>
      <c r="D62" s="37"/>
      <c r="H62" s="15"/>
      <c r="J62" s="15"/>
      <c r="N62" s="53"/>
      <c r="Q62" s="52" t="str">
        <f t="shared" si="0"/>
        <v/>
      </c>
      <c r="T62" s="16" t="str">
        <f t="shared" ref="T62:T120" si="3">IF(H62="","",IF(OR(H62="GREEN",H62="GK"),IF(S62&gt;=$AX$2,VLOOKUP(S62,$AX$2:$AY$12,2,1),""),IF(S62&gt;=$AZ$2,VLOOKUP(S62,$AZ$2:$BA$12,2,1),"")))</f>
        <v/>
      </c>
      <c r="V62" s="16" t="str">
        <f t="shared" si="2"/>
        <v/>
      </c>
      <c r="X62" s="54"/>
      <c r="Y62" s="54"/>
      <c r="Z62" s="54"/>
      <c r="AA62" s="54"/>
      <c r="AB62" s="39"/>
    </row>
    <row r="63" spans="1:29" x14ac:dyDescent="0.15">
      <c r="A63" s="15"/>
      <c r="B63" s="15"/>
      <c r="C63" s="15"/>
      <c r="D63" s="37"/>
      <c r="H63" s="15"/>
      <c r="J63" s="15"/>
      <c r="N63" s="53"/>
      <c r="Q63" s="52" t="str">
        <f t="shared" si="0"/>
        <v/>
      </c>
      <c r="T63" s="16" t="str">
        <f t="shared" si="3"/>
        <v/>
      </c>
      <c r="V63" s="16" t="str">
        <f t="shared" si="2"/>
        <v/>
      </c>
      <c r="X63" s="54"/>
      <c r="Y63" s="54"/>
      <c r="Z63" s="54"/>
      <c r="AA63" s="54"/>
      <c r="AB63" s="39"/>
    </row>
    <row r="64" spans="1:29" x14ac:dyDescent="0.15">
      <c r="A64" s="15"/>
      <c r="B64" s="15"/>
      <c r="C64" s="15"/>
      <c r="D64" s="37"/>
      <c r="H64" s="15"/>
      <c r="J64" s="15"/>
      <c r="N64" s="53"/>
      <c r="Q64" s="52" t="str">
        <f t="shared" si="0"/>
        <v/>
      </c>
      <c r="T64" s="16" t="str">
        <f t="shared" si="3"/>
        <v/>
      </c>
      <c r="V64" s="16" t="str">
        <f t="shared" si="2"/>
        <v/>
      </c>
      <c r="X64" s="54"/>
      <c r="Y64" s="54"/>
      <c r="Z64" s="54"/>
      <c r="AA64" s="54"/>
      <c r="AB64" s="39"/>
    </row>
    <row r="65" spans="1:28" x14ac:dyDescent="0.15">
      <c r="A65" s="15"/>
      <c r="B65" s="15"/>
      <c r="C65" s="15"/>
      <c r="D65" s="37"/>
      <c r="H65" s="15"/>
      <c r="J65" s="15"/>
      <c r="N65" s="53"/>
      <c r="Q65" s="52" t="str">
        <f t="shared" si="0"/>
        <v/>
      </c>
      <c r="T65" s="16" t="str">
        <f t="shared" si="3"/>
        <v/>
      </c>
      <c r="V65" s="16" t="str">
        <f t="shared" si="2"/>
        <v/>
      </c>
      <c r="X65" s="54"/>
      <c r="Y65" s="54"/>
      <c r="Z65" s="54"/>
      <c r="AA65" s="54"/>
      <c r="AB65" s="39"/>
    </row>
    <row r="66" spans="1:28" x14ac:dyDescent="0.15">
      <c r="A66" s="15"/>
      <c r="B66" s="15"/>
      <c r="C66" s="15"/>
      <c r="D66" s="37"/>
      <c r="H66" s="15"/>
      <c r="J66" s="15"/>
      <c r="Q66" s="52" t="str">
        <f t="shared" ref="Q66:Q77" si="4">IF(OR(O66="",P66=""),"",AVERAGE(O66,P66))</f>
        <v/>
      </c>
      <c r="T66" s="16" t="str">
        <f t="shared" si="3"/>
        <v/>
      </c>
      <c r="V66" s="16" t="str">
        <f t="shared" ref="V66:V70" si="5">IF(OR(N66="",U66="",T66=""),"",U66/N66*T66)</f>
        <v/>
      </c>
      <c r="X66" s="54"/>
      <c r="Y66" s="54"/>
      <c r="Z66" s="54"/>
      <c r="AA66" s="54"/>
      <c r="AB66" s="39"/>
    </row>
    <row r="67" spans="1:28" x14ac:dyDescent="0.15">
      <c r="A67" s="15"/>
      <c r="B67" s="15"/>
      <c r="C67" s="15"/>
      <c r="D67" s="37"/>
      <c r="H67" s="15"/>
      <c r="J67" s="15"/>
      <c r="Q67" s="52" t="str">
        <f t="shared" si="4"/>
        <v/>
      </c>
      <c r="T67" s="16" t="str">
        <f t="shared" si="3"/>
        <v/>
      </c>
      <c r="V67" s="16" t="str">
        <f t="shared" si="5"/>
        <v/>
      </c>
      <c r="X67" s="54"/>
      <c r="Y67" s="54"/>
      <c r="Z67" s="54"/>
      <c r="AA67" s="54"/>
      <c r="AB67" s="39"/>
    </row>
    <row r="68" spans="1:28" x14ac:dyDescent="0.15">
      <c r="A68" s="15"/>
      <c r="B68" s="15"/>
      <c r="C68" s="15"/>
      <c r="D68" s="37"/>
      <c r="H68" s="15"/>
      <c r="J68" s="15"/>
      <c r="Q68" s="52" t="str">
        <f t="shared" si="4"/>
        <v/>
      </c>
      <c r="T68" s="16" t="str">
        <f t="shared" si="3"/>
        <v/>
      </c>
      <c r="V68" s="16" t="str">
        <f t="shared" si="5"/>
        <v/>
      </c>
      <c r="X68" s="54"/>
      <c r="Y68" s="54"/>
      <c r="Z68" s="54"/>
      <c r="AA68" s="54"/>
      <c r="AB68" s="39"/>
    </row>
    <row r="69" spans="1:28" x14ac:dyDescent="0.15">
      <c r="A69" s="15"/>
      <c r="B69" s="15"/>
      <c r="C69" s="15"/>
      <c r="D69" s="37"/>
      <c r="H69" s="54"/>
      <c r="J69" s="15"/>
      <c r="Q69" s="52" t="str">
        <f t="shared" si="4"/>
        <v/>
      </c>
      <c r="T69" s="16" t="str">
        <f t="shared" si="3"/>
        <v/>
      </c>
      <c r="V69" s="16" t="str">
        <f t="shared" si="5"/>
        <v/>
      </c>
      <c r="X69" s="54"/>
      <c r="Y69" s="54"/>
      <c r="Z69" s="54"/>
      <c r="AA69" s="54"/>
      <c r="AB69" s="39"/>
    </row>
    <row r="70" spans="1:28" x14ac:dyDescent="0.15">
      <c r="A70" s="15"/>
      <c r="B70" s="15"/>
      <c r="C70" s="15"/>
      <c r="D70" s="37"/>
      <c r="H70" s="54"/>
      <c r="J70" s="15"/>
      <c r="Q70" s="52" t="str">
        <f t="shared" si="4"/>
        <v/>
      </c>
      <c r="T70" s="16" t="str">
        <f t="shared" si="3"/>
        <v/>
      </c>
      <c r="V70" s="16" t="str">
        <f t="shared" si="5"/>
        <v/>
      </c>
      <c r="X70" s="54"/>
      <c r="Y70" s="54"/>
      <c r="Z70" s="54"/>
      <c r="AA70" s="54"/>
      <c r="AB70" s="39"/>
    </row>
    <row r="71" spans="1:28" x14ac:dyDescent="0.15">
      <c r="A71" s="15"/>
      <c r="B71" s="15"/>
      <c r="C71" s="15"/>
      <c r="D71" s="37"/>
      <c r="H71" s="15"/>
      <c r="J71" s="15"/>
      <c r="Q71" s="52" t="str">
        <f t="shared" si="4"/>
        <v/>
      </c>
      <c r="T71" s="16" t="str">
        <f t="shared" si="3"/>
        <v/>
      </c>
      <c r="V71" s="16" t="str">
        <f>IF(OR(N71="",U71="",T71=""),"",U71/N71*T71)</f>
        <v/>
      </c>
      <c r="X71" s="15"/>
      <c r="Y71" s="15"/>
      <c r="Z71" s="15"/>
      <c r="AA71" s="15"/>
      <c r="AB71" s="39"/>
    </row>
    <row r="72" spans="1:28" x14ac:dyDescent="0.15">
      <c r="A72" s="15"/>
      <c r="B72" s="15"/>
      <c r="C72" s="15"/>
      <c r="D72" s="37"/>
      <c r="H72" s="15"/>
      <c r="J72" s="15"/>
      <c r="Q72" s="52" t="str">
        <f t="shared" si="4"/>
        <v/>
      </c>
      <c r="T72" s="16" t="str">
        <f t="shared" si="3"/>
        <v/>
      </c>
      <c r="V72" s="16" t="str">
        <f t="shared" ref="V72:V74" si="6">IF(OR(N72="",U72="",T72=""),"",U72/N72*T72)</f>
        <v/>
      </c>
      <c r="X72" s="15"/>
      <c r="Y72" s="15"/>
      <c r="Z72" s="15"/>
      <c r="AA72" s="15"/>
      <c r="AB72" s="39"/>
    </row>
    <row r="73" spans="1:28" x14ac:dyDescent="0.15">
      <c r="A73" s="15"/>
      <c r="B73" s="15"/>
      <c r="C73" s="15"/>
      <c r="D73" s="37"/>
      <c r="H73" s="15"/>
      <c r="J73" s="15"/>
      <c r="Q73" s="52" t="str">
        <f t="shared" si="4"/>
        <v/>
      </c>
      <c r="T73" s="16" t="str">
        <f t="shared" si="3"/>
        <v/>
      </c>
      <c r="V73" s="16" t="str">
        <f>IF(OR(N73="",U73="",T73=""),"",U73/N73*T73)</f>
        <v/>
      </c>
      <c r="X73" s="15"/>
      <c r="Y73" s="15"/>
      <c r="Z73" s="15"/>
      <c r="AA73" s="15"/>
      <c r="AB73" s="39"/>
    </row>
    <row r="74" spans="1:28" x14ac:dyDescent="0.15">
      <c r="A74" s="15"/>
      <c r="B74" s="15"/>
      <c r="C74" s="15"/>
      <c r="D74" s="37"/>
      <c r="H74" s="15"/>
      <c r="J74" s="15"/>
      <c r="Q74" s="52" t="str">
        <f t="shared" si="4"/>
        <v/>
      </c>
      <c r="T74" s="16" t="str">
        <f t="shared" si="3"/>
        <v/>
      </c>
      <c r="V74" s="16" t="str">
        <f t="shared" si="6"/>
        <v/>
      </c>
      <c r="X74" s="15"/>
      <c r="Y74" s="15"/>
      <c r="Z74" s="15"/>
      <c r="AA74" s="15"/>
      <c r="AB74" s="39"/>
    </row>
    <row r="75" spans="1:28" x14ac:dyDescent="0.15">
      <c r="A75" s="15"/>
      <c r="B75" s="15"/>
      <c r="C75" s="15"/>
      <c r="D75" s="37"/>
      <c r="H75" s="15"/>
      <c r="J75" s="15"/>
      <c r="Q75" s="52" t="str">
        <f t="shared" si="4"/>
        <v/>
      </c>
      <c r="T75" s="16" t="str">
        <f t="shared" si="3"/>
        <v/>
      </c>
      <c r="V75" s="16" t="str">
        <f>IF(OR(N75="",U75="",T75=""),"",U75/N75*T75)</f>
        <v/>
      </c>
      <c r="X75" s="15"/>
      <c r="Y75" s="15"/>
      <c r="Z75" s="15"/>
      <c r="AA75" s="15"/>
      <c r="AB75" s="39"/>
    </row>
    <row r="76" spans="1:28" x14ac:dyDescent="0.15">
      <c r="A76" s="15"/>
      <c r="B76" s="15"/>
      <c r="C76" s="15"/>
      <c r="D76" s="37"/>
      <c r="H76" s="15"/>
      <c r="J76" s="15"/>
      <c r="Q76" s="52" t="str">
        <f t="shared" si="4"/>
        <v/>
      </c>
      <c r="T76" s="16" t="str">
        <f t="shared" si="3"/>
        <v/>
      </c>
      <c r="V76" s="16" t="str">
        <f>IF(OR(N76="",U76="",T76=""),"",U76/N76*T76)</f>
        <v/>
      </c>
      <c r="X76" s="15"/>
      <c r="Y76" s="15"/>
      <c r="Z76" s="15"/>
      <c r="AA76" s="15"/>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xr:uid="{00000000-0009-0000-0000-00000000000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00000000-0002-0000-0000-00000000000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00000000-0002-0000-0000-000001000000}"/>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xr:uid="{00000000-0002-0000-0000-000002000000}">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xr:uid="{00000000-0002-0000-0000-000003000000}">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00000000-0002-0000-0000-000004000000}">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00000000-0002-0000-0000-000005000000}">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00000000-0002-0000-0000-000006000000}">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00000000-0002-0000-0000-000007000000}">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00000000-0002-0000-0000-000008000000}">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00000000-0002-0000-0000-000009000000}">
      <formula1>$AV$2:$AV$20</formula1>
    </dataValidation>
    <dataValidation type="list" allowBlank="1" showInputMessage="1" showErrorMessage="1" sqref="H2:H497" xr:uid="{00000000-0002-0000-0000-00000A000000}">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00000000-0002-0000-0000-00000B000000}">
      <formula1>$AH$2:$AH$10</formula1>
    </dataValidation>
    <dataValidation type="list" allowBlank="1" showInputMessage="1" showErrorMessage="1" sqref="J2:J497" xr:uid="{00000000-0002-0000-0000-00000C000000}">
      <formula1>$AP$2:$AP$27</formula1>
    </dataValidation>
    <dataValidation type="list" allowBlank="1" showInputMessage="1" showErrorMessage="1" sqref="A3:A497" xr:uid="{00000000-0002-0000-0000-00000D000000}">
      <formula1>$AE$2:$AE$19</formula1>
    </dataValidation>
    <dataValidation type="list" allowBlank="1" showInputMessage="1" showErrorMessage="1" sqref="K127:K497" xr:uid="{00000000-0002-0000-0000-00000E000000}">
      <formula1>$AR$2:$AR$25</formula1>
    </dataValidation>
    <dataValidation type="list" allowBlank="1" showInputMessage="1" showErrorMessage="1" sqref="Y2:AA497" xr:uid="{00000000-0002-0000-0000-00000F000000}">
      <formula1>$AV$2:$AV$21</formula1>
    </dataValidation>
    <dataValidation type="decimal" allowBlank="1" showInputMessage="1" showErrorMessage="1" error="硬度を正しく入力して下さい。" sqref="O2:P497" xr:uid="{00000000-0002-0000-0000-000010000000}">
      <formula1>0</formula1>
      <formula2>7</formula2>
    </dataValidation>
    <dataValidation type="list" allowBlank="1" showInputMessage="1" showErrorMessage="1" sqref="F1:F1048576" xr:uid="{00000000-0002-0000-0000-000011000000}">
      <formula1>$AH$2:$AH$11</formula1>
    </dataValidation>
    <dataValidation type="list" allowBlank="1" showInputMessage="1" showErrorMessage="1" sqref="K2:K126" xr:uid="{00000000-0002-0000-0000-000012000000}">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79097-6DED-4993-8B49-176975FB97BF}">
  <dimension ref="A1:BA387"/>
  <sheetViews>
    <sheetView topLeftCell="A70" zoomScale="70" zoomScaleNormal="70" workbookViewId="0">
      <selection activeCell="O165" sqref="O165"/>
    </sheetView>
  </sheetViews>
  <sheetFormatPr defaultColWidth="9" defaultRowHeight="13.5" x14ac:dyDescent="0.15"/>
  <cols>
    <col min="1" max="3" width="9" style="63"/>
    <col min="4" max="4" width="11" style="63" customWidth="1"/>
    <col min="5" max="5" width="10.875" style="63" customWidth="1"/>
    <col min="6" max="16" width="9" style="63"/>
    <col min="17" max="17" width="9" style="87"/>
    <col min="18" max="18" width="9" style="63"/>
    <col min="19" max="19" width="11.625" style="63" customWidth="1"/>
    <col min="20" max="20" width="9" style="87"/>
    <col min="21" max="21" width="9" style="63"/>
    <col min="22" max="22" width="9" style="87"/>
    <col min="23" max="32" width="9" style="63"/>
    <col min="33" max="33" width="14.375" style="63" customWidth="1"/>
    <col min="34" max="34" width="11.375" style="63" customWidth="1"/>
    <col min="35" max="16384" width="9" style="63"/>
  </cols>
  <sheetData>
    <row r="1" spans="1:53" ht="45" x14ac:dyDescent="0.15">
      <c r="A1" s="55" t="s">
        <v>0</v>
      </c>
      <c r="B1" s="56" t="s">
        <v>167</v>
      </c>
      <c r="C1" s="56" t="s">
        <v>168</v>
      </c>
      <c r="D1" s="57" t="s">
        <v>3</v>
      </c>
      <c r="E1" s="58" t="s">
        <v>4</v>
      </c>
      <c r="F1" s="58" t="s">
        <v>5</v>
      </c>
      <c r="G1" s="58" t="s">
        <v>6</v>
      </c>
      <c r="H1" s="58" t="s">
        <v>7</v>
      </c>
      <c r="I1" s="58" t="s">
        <v>8</v>
      </c>
      <c r="J1" s="58" t="s">
        <v>9</v>
      </c>
      <c r="K1" s="58" t="s">
        <v>10</v>
      </c>
      <c r="L1" s="57" t="s">
        <v>169</v>
      </c>
      <c r="M1" s="57" t="s">
        <v>170</v>
      </c>
      <c r="N1" s="57" t="s">
        <v>13</v>
      </c>
      <c r="O1" s="57" t="s">
        <v>171</v>
      </c>
      <c r="P1" s="57" t="s">
        <v>172</v>
      </c>
      <c r="Q1" s="59" t="s">
        <v>173</v>
      </c>
      <c r="R1" s="57" t="s">
        <v>174</v>
      </c>
      <c r="S1" s="57" t="s">
        <v>175</v>
      </c>
      <c r="T1" s="59" t="s">
        <v>19</v>
      </c>
      <c r="U1" s="60" t="s">
        <v>108</v>
      </c>
      <c r="V1" s="61" t="s">
        <v>20</v>
      </c>
      <c r="W1" s="57" t="s">
        <v>176</v>
      </c>
      <c r="X1" s="58" t="s">
        <v>22</v>
      </c>
      <c r="Y1" s="58" t="s">
        <v>23</v>
      </c>
      <c r="Z1" s="58" t="s">
        <v>24</v>
      </c>
      <c r="AA1" s="58" t="s">
        <v>25</v>
      </c>
      <c r="AB1" s="62" t="s">
        <v>177</v>
      </c>
      <c r="AE1" s="64" t="s">
        <v>0</v>
      </c>
      <c r="AF1" s="65"/>
      <c r="AG1" s="64" t="s">
        <v>4</v>
      </c>
      <c r="AH1" s="64" t="s">
        <v>5</v>
      </c>
      <c r="AI1" s="65"/>
      <c r="AJ1" s="64" t="s">
        <v>6</v>
      </c>
      <c r="AK1" s="65"/>
      <c r="AL1" s="66" t="s">
        <v>7</v>
      </c>
      <c r="AM1" s="65"/>
      <c r="AN1" s="66" t="s">
        <v>8</v>
      </c>
      <c r="AO1" s="65"/>
      <c r="AP1" s="66" t="s">
        <v>27</v>
      </c>
      <c r="AQ1" s="65"/>
      <c r="AR1" s="66" t="s">
        <v>10</v>
      </c>
      <c r="AS1" s="65"/>
      <c r="AT1" s="67" t="s">
        <v>178</v>
      </c>
      <c r="AU1" s="65"/>
      <c r="AV1" s="66" t="s">
        <v>29</v>
      </c>
      <c r="AX1" s="68" t="s">
        <v>179</v>
      </c>
      <c r="AY1" s="69" t="s">
        <v>180</v>
      </c>
      <c r="AZ1" s="69" t="s">
        <v>181</v>
      </c>
      <c r="BA1" s="70" t="s">
        <v>182</v>
      </c>
    </row>
    <row r="2" spans="1:53" s="53" customFormat="1" x14ac:dyDescent="0.15">
      <c r="A2" s="53" t="s">
        <v>41</v>
      </c>
      <c r="B2" s="53" t="s">
        <v>157</v>
      </c>
      <c r="C2" s="71">
        <v>2019</v>
      </c>
      <c r="D2" s="72" t="s">
        <v>183</v>
      </c>
      <c r="E2" s="53" t="s">
        <v>133</v>
      </c>
      <c r="F2" s="53" t="s">
        <v>184</v>
      </c>
      <c r="G2" s="53" t="s">
        <v>42</v>
      </c>
      <c r="H2" s="53" t="s">
        <v>164</v>
      </c>
      <c r="I2" s="53" t="s">
        <v>159</v>
      </c>
      <c r="J2" s="53" t="s">
        <v>38</v>
      </c>
      <c r="K2" s="53" t="s">
        <v>161</v>
      </c>
      <c r="L2" s="53">
        <v>1</v>
      </c>
      <c r="N2" s="53">
        <v>1</v>
      </c>
      <c r="O2" s="53">
        <v>0.65</v>
      </c>
      <c r="P2" s="53">
        <v>0.6</v>
      </c>
      <c r="Q2" s="16">
        <f t="shared" ref="Q2:Q65" si="0">IF(OR(O2="",P2=""),"",AVERAGE(O2,P2))</f>
        <v>0.625</v>
      </c>
      <c r="R2" s="53">
        <v>12.6</v>
      </c>
      <c r="S2" s="53">
        <v>124</v>
      </c>
      <c r="T2" s="16">
        <f t="shared" ref="T2:T65" si="1">IF(H2="","",IF(OR(H2="GREEN",H2="GK"),IF(S2&gt;=$AX$2,VLOOKUP(S2,$AX$2:$AY$10,2,1),""),IF(S2&gt;=$AZ$2,VLOOKUP(S2,$AZ$2:$BA$10,2,1),"")))</f>
        <v>27</v>
      </c>
      <c r="U2" s="53">
        <v>105</v>
      </c>
      <c r="V2" s="16">
        <f t="shared" ref="V2:V65" si="2">IF(OR(N2="",U2="",T2=""),"",U2/N2*T2)</f>
        <v>2835</v>
      </c>
      <c r="W2" s="53">
        <v>4</v>
      </c>
      <c r="X2" s="53" t="s">
        <v>46</v>
      </c>
      <c r="Y2" s="53" t="s">
        <v>55</v>
      </c>
      <c r="Z2" s="53" t="s">
        <v>69</v>
      </c>
      <c r="AA2" s="53" t="s">
        <v>88</v>
      </c>
      <c r="AB2" s="53" t="s">
        <v>158</v>
      </c>
      <c r="AE2" s="73" t="s">
        <v>35</v>
      </c>
      <c r="AG2" s="74" t="s">
        <v>133</v>
      </c>
      <c r="AH2" s="75" t="s">
        <v>184</v>
      </c>
      <c r="AJ2" s="76" t="s">
        <v>36</v>
      </c>
      <c r="AL2" s="76" t="s">
        <v>185</v>
      </c>
      <c r="AN2" s="76" t="s">
        <v>37</v>
      </c>
      <c r="AP2" s="76" t="s">
        <v>38</v>
      </c>
      <c r="AR2" s="76" t="s">
        <v>161</v>
      </c>
      <c r="AT2" s="76" t="s">
        <v>39</v>
      </c>
      <c r="AV2" s="76" t="s">
        <v>40</v>
      </c>
      <c r="AX2" s="77">
        <v>1</v>
      </c>
      <c r="AY2" s="78">
        <v>50</v>
      </c>
      <c r="AZ2" s="78">
        <v>1</v>
      </c>
      <c r="BA2" s="79">
        <v>50</v>
      </c>
    </row>
    <row r="3" spans="1:53" s="53" customFormat="1" x14ac:dyDescent="0.15">
      <c r="A3" s="53" t="s">
        <v>41</v>
      </c>
      <c r="B3" s="53" t="s">
        <v>157</v>
      </c>
      <c r="C3" s="71">
        <v>2019</v>
      </c>
      <c r="D3" s="72" t="s">
        <v>183</v>
      </c>
      <c r="E3" s="53" t="s">
        <v>133</v>
      </c>
      <c r="F3" s="53" t="s">
        <v>184</v>
      </c>
      <c r="G3" s="53" t="s">
        <v>42</v>
      </c>
      <c r="H3" s="53" t="s">
        <v>164</v>
      </c>
      <c r="I3" s="53" t="s">
        <v>159</v>
      </c>
      <c r="J3" s="53" t="s">
        <v>38</v>
      </c>
      <c r="K3" s="53" t="s">
        <v>161</v>
      </c>
      <c r="L3" s="53">
        <v>2</v>
      </c>
      <c r="N3" s="53">
        <v>1</v>
      </c>
      <c r="O3" s="53">
        <v>0.75</v>
      </c>
      <c r="P3" s="53">
        <v>0.8</v>
      </c>
      <c r="Q3" s="16">
        <f t="shared" si="0"/>
        <v>0.77500000000000002</v>
      </c>
      <c r="R3" s="53">
        <v>14.1</v>
      </c>
      <c r="S3" s="53">
        <v>126</v>
      </c>
      <c r="T3" s="16">
        <f t="shared" si="1"/>
        <v>27</v>
      </c>
      <c r="U3" s="53">
        <v>105</v>
      </c>
      <c r="V3" s="16">
        <f t="shared" si="2"/>
        <v>2835</v>
      </c>
      <c r="W3" s="53">
        <v>4</v>
      </c>
      <c r="X3" s="53" t="s">
        <v>46</v>
      </c>
      <c r="Y3" s="53" t="s">
        <v>55</v>
      </c>
      <c r="Z3" s="53" t="s">
        <v>69</v>
      </c>
      <c r="AA3" s="53" t="s">
        <v>88</v>
      </c>
      <c r="AB3" s="53" t="s">
        <v>158</v>
      </c>
      <c r="AE3" s="22" t="s">
        <v>41</v>
      </c>
      <c r="AG3" s="80" t="s">
        <v>186</v>
      </c>
      <c r="AH3" s="80" t="s">
        <v>184</v>
      </c>
      <c r="AJ3" s="23" t="s">
        <v>42</v>
      </c>
      <c r="AL3" s="23" t="s">
        <v>187</v>
      </c>
      <c r="AN3" s="23" t="s">
        <v>43</v>
      </c>
      <c r="AP3" s="23" t="s">
        <v>44</v>
      </c>
      <c r="AR3" s="23" t="s">
        <v>45</v>
      </c>
      <c r="AT3" s="23" t="s">
        <v>46</v>
      </c>
      <c r="AV3" s="23" t="s">
        <v>47</v>
      </c>
      <c r="AX3" s="24">
        <v>72</v>
      </c>
      <c r="AY3" s="25">
        <v>46</v>
      </c>
      <c r="AZ3" s="25">
        <v>71</v>
      </c>
      <c r="BA3" s="26">
        <v>42</v>
      </c>
    </row>
    <row r="4" spans="1:53" s="53" customFormat="1" x14ac:dyDescent="0.15">
      <c r="A4" s="53" t="s">
        <v>41</v>
      </c>
      <c r="B4" s="53" t="s">
        <v>157</v>
      </c>
      <c r="C4" s="71">
        <v>2019</v>
      </c>
      <c r="D4" s="72" t="s">
        <v>165</v>
      </c>
      <c r="E4" s="53" t="s">
        <v>133</v>
      </c>
      <c r="F4" s="53" t="s">
        <v>184</v>
      </c>
      <c r="G4" s="53" t="s">
        <v>42</v>
      </c>
      <c r="H4" s="53" t="s">
        <v>164</v>
      </c>
      <c r="I4" s="53" t="s">
        <v>159</v>
      </c>
      <c r="J4" s="53" t="s">
        <v>38</v>
      </c>
      <c r="K4" s="53" t="s">
        <v>161</v>
      </c>
      <c r="L4" s="53">
        <v>3</v>
      </c>
      <c r="N4" s="53">
        <v>1</v>
      </c>
      <c r="O4" s="53">
        <v>0.8</v>
      </c>
      <c r="P4" s="53">
        <v>0.75</v>
      </c>
      <c r="Q4" s="16">
        <f t="shared" si="0"/>
        <v>0.77500000000000002</v>
      </c>
      <c r="R4" s="53">
        <v>13.3</v>
      </c>
      <c r="S4" s="53">
        <v>122</v>
      </c>
      <c r="T4" s="16">
        <f t="shared" si="1"/>
        <v>27</v>
      </c>
      <c r="U4" s="53">
        <v>105</v>
      </c>
      <c r="V4" s="16">
        <f t="shared" si="2"/>
        <v>2835</v>
      </c>
      <c r="W4" s="53">
        <v>4</v>
      </c>
      <c r="X4" s="53" t="s">
        <v>46</v>
      </c>
      <c r="Y4" s="53" t="s">
        <v>55</v>
      </c>
      <c r="Z4" s="53" t="s">
        <v>69</v>
      </c>
      <c r="AA4" s="53" t="s">
        <v>88</v>
      </c>
      <c r="AB4" s="53" t="s">
        <v>158</v>
      </c>
      <c r="AE4" s="22" t="s">
        <v>34</v>
      </c>
      <c r="AG4" s="80" t="s">
        <v>186</v>
      </c>
      <c r="AH4" s="80" t="s">
        <v>188</v>
      </c>
      <c r="AJ4" s="27" t="s">
        <v>48</v>
      </c>
      <c r="AL4" s="27" t="s">
        <v>189</v>
      </c>
      <c r="AN4" s="28" t="s">
        <v>190</v>
      </c>
      <c r="AP4" s="23" t="s">
        <v>191</v>
      </c>
      <c r="AR4" s="23" t="s">
        <v>192</v>
      </c>
      <c r="AT4" s="28"/>
      <c r="AV4" s="23" t="s">
        <v>50</v>
      </c>
      <c r="AX4" s="24">
        <v>75</v>
      </c>
      <c r="AY4" s="25">
        <v>42</v>
      </c>
      <c r="AZ4" s="25">
        <v>76</v>
      </c>
      <c r="BA4" s="26">
        <v>39</v>
      </c>
    </row>
    <row r="5" spans="1:53" s="53" customFormat="1" ht="13.5" customHeight="1" x14ac:dyDescent="0.15">
      <c r="A5" s="53" t="s">
        <v>41</v>
      </c>
      <c r="B5" s="53" t="s">
        <v>157</v>
      </c>
      <c r="C5" s="71">
        <v>2019</v>
      </c>
      <c r="D5" s="72" t="s">
        <v>165</v>
      </c>
      <c r="E5" s="53" t="s">
        <v>133</v>
      </c>
      <c r="F5" s="53" t="s">
        <v>184</v>
      </c>
      <c r="G5" s="53" t="s">
        <v>42</v>
      </c>
      <c r="H5" s="53" t="s">
        <v>164</v>
      </c>
      <c r="I5" s="53" t="s">
        <v>159</v>
      </c>
      <c r="J5" s="53" t="s">
        <v>38</v>
      </c>
      <c r="K5" s="53" t="s">
        <v>161</v>
      </c>
      <c r="L5" s="53">
        <v>1</v>
      </c>
      <c r="N5" s="53">
        <v>8</v>
      </c>
      <c r="O5" s="53">
        <v>1.3</v>
      </c>
      <c r="P5" s="53">
        <v>1.2</v>
      </c>
      <c r="Q5" s="81">
        <f t="shared" si="0"/>
        <v>1.25</v>
      </c>
      <c r="R5" s="53">
        <v>12.5</v>
      </c>
      <c r="S5" s="53">
        <v>120</v>
      </c>
      <c r="T5" s="16">
        <f t="shared" si="1"/>
        <v>30</v>
      </c>
      <c r="U5" s="53">
        <v>753</v>
      </c>
      <c r="V5" s="16">
        <f t="shared" si="2"/>
        <v>2823.75</v>
      </c>
      <c r="W5" s="53">
        <v>6</v>
      </c>
      <c r="X5" s="53" t="s">
        <v>46</v>
      </c>
      <c r="Y5" s="53" t="s">
        <v>55</v>
      </c>
      <c r="Z5" s="53" t="s">
        <v>69</v>
      </c>
      <c r="AA5" s="53" t="s">
        <v>88</v>
      </c>
      <c r="AB5" s="53" t="s">
        <v>158</v>
      </c>
      <c r="AE5" s="22" t="s">
        <v>51</v>
      </c>
      <c r="AG5" s="80" t="s">
        <v>193</v>
      </c>
      <c r="AH5" s="80" t="s">
        <v>184</v>
      </c>
      <c r="AJ5" s="28"/>
      <c r="AL5" s="82" t="s">
        <v>164</v>
      </c>
      <c r="AN5" s="82" t="s">
        <v>159</v>
      </c>
      <c r="AP5" s="23" t="s">
        <v>194</v>
      </c>
      <c r="AR5" s="23" t="s">
        <v>54</v>
      </c>
      <c r="AV5" s="23" t="s">
        <v>55</v>
      </c>
      <c r="AX5" s="24">
        <v>84</v>
      </c>
      <c r="AY5" s="25">
        <v>39</v>
      </c>
      <c r="AZ5" s="25">
        <v>84</v>
      </c>
      <c r="BA5" s="26">
        <v>36</v>
      </c>
    </row>
    <row r="6" spans="1:53" s="53" customFormat="1" x14ac:dyDescent="0.15">
      <c r="A6" s="53" t="s">
        <v>41</v>
      </c>
      <c r="B6" s="53" t="s">
        <v>157</v>
      </c>
      <c r="C6" s="71">
        <v>2019</v>
      </c>
      <c r="D6" s="72" t="s">
        <v>165</v>
      </c>
      <c r="E6" s="53" t="s">
        <v>133</v>
      </c>
      <c r="F6" s="53" t="s">
        <v>184</v>
      </c>
      <c r="G6" s="53" t="s">
        <v>42</v>
      </c>
      <c r="H6" s="53" t="s">
        <v>164</v>
      </c>
      <c r="I6" s="53" t="s">
        <v>159</v>
      </c>
      <c r="J6" s="53" t="s">
        <v>38</v>
      </c>
      <c r="K6" s="53" t="s">
        <v>161</v>
      </c>
      <c r="L6" s="53">
        <v>2</v>
      </c>
      <c r="N6" s="53">
        <v>8</v>
      </c>
      <c r="O6" s="53">
        <v>1</v>
      </c>
      <c r="P6" s="53">
        <v>1.2</v>
      </c>
      <c r="Q6" s="81">
        <f t="shared" si="0"/>
        <v>1.1000000000000001</v>
      </c>
      <c r="R6" s="53">
        <v>15.4</v>
      </c>
      <c r="S6" s="53">
        <v>114</v>
      </c>
      <c r="T6" s="16">
        <f t="shared" si="1"/>
        <v>30</v>
      </c>
      <c r="U6" s="53">
        <v>753</v>
      </c>
      <c r="V6" s="16">
        <f t="shared" si="2"/>
        <v>2823.75</v>
      </c>
      <c r="W6" s="53">
        <v>6</v>
      </c>
      <c r="X6" s="53" t="s">
        <v>46</v>
      </c>
      <c r="Y6" s="53" t="s">
        <v>55</v>
      </c>
      <c r="Z6" s="53" t="s">
        <v>69</v>
      </c>
      <c r="AA6" s="53" t="s">
        <v>88</v>
      </c>
      <c r="AB6" s="53" t="s">
        <v>158</v>
      </c>
      <c r="AE6" s="22" t="s">
        <v>56</v>
      </c>
      <c r="AG6" s="80" t="s">
        <v>193</v>
      </c>
      <c r="AH6" s="80" t="s">
        <v>195</v>
      </c>
      <c r="AL6" s="82" t="s">
        <v>196</v>
      </c>
      <c r="AN6" s="82" t="s">
        <v>197</v>
      </c>
      <c r="AP6" s="23" t="s">
        <v>53</v>
      </c>
      <c r="AR6" s="23" t="s">
        <v>59</v>
      </c>
      <c r="AV6" s="23" t="s">
        <v>60</v>
      </c>
      <c r="AX6" s="24">
        <v>97</v>
      </c>
      <c r="AY6" s="25">
        <v>36</v>
      </c>
      <c r="AZ6" s="25">
        <v>99</v>
      </c>
      <c r="BA6" s="26">
        <v>33</v>
      </c>
    </row>
    <row r="7" spans="1:53" s="53" customFormat="1" x14ac:dyDescent="0.15">
      <c r="A7" s="53" t="s">
        <v>41</v>
      </c>
      <c r="B7" s="53" t="s">
        <v>157</v>
      </c>
      <c r="C7" s="71">
        <v>2019</v>
      </c>
      <c r="D7" s="72" t="s">
        <v>165</v>
      </c>
      <c r="E7" s="53" t="s">
        <v>133</v>
      </c>
      <c r="F7" s="53" t="s">
        <v>184</v>
      </c>
      <c r="G7" s="53" t="s">
        <v>42</v>
      </c>
      <c r="H7" s="53" t="s">
        <v>164</v>
      </c>
      <c r="I7" s="53" t="s">
        <v>159</v>
      </c>
      <c r="J7" s="53" t="s">
        <v>38</v>
      </c>
      <c r="K7" s="53" t="s">
        <v>161</v>
      </c>
      <c r="L7" s="53">
        <v>3</v>
      </c>
      <c r="N7" s="53">
        <v>8</v>
      </c>
      <c r="O7" s="53">
        <v>1.2</v>
      </c>
      <c r="P7" s="53">
        <v>1.05</v>
      </c>
      <c r="Q7" s="81">
        <f t="shared" si="0"/>
        <v>1.125</v>
      </c>
      <c r="R7" s="53">
        <v>16</v>
      </c>
      <c r="S7" s="53">
        <v>115</v>
      </c>
      <c r="T7" s="16">
        <f t="shared" si="1"/>
        <v>30</v>
      </c>
      <c r="U7" s="53">
        <v>753</v>
      </c>
      <c r="V7" s="16">
        <f t="shared" si="2"/>
        <v>2823.75</v>
      </c>
      <c r="W7" s="53">
        <v>6</v>
      </c>
      <c r="X7" s="53" t="s">
        <v>46</v>
      </c>
      <c r="Y7" s="53" t="s">
        <v>55</v>
      </c>
      <c r="Z7" s="53" t="s">
        <v>69</v>
      </c>
      <c r="AA7" s="53" t="s">
        <v>88</v>
      </c>
      <c r="AB7" s="53" t="s">
        <v>158</v>
      </c>
      <c r="AE7" s="22" t="s">
        <v>61</v>
      </c>
      <c r="AG7" s="80" t="s">
        <v>198</v>
      </c>
      <c r="AH7" s="80" t="s">
        <v>195</v>
      </c>
      <c r="AL7" s="83" t="s">
        <v>199</v>
      </c>
      <c r="AP7" s="23" t="s">
        <v>58</v>
      </c>
      <c r="AR7" s="23" t="s">
        <v>200</v>
      </c>
      <c r="AV7" s="23" t="s">
        <v>64</v>
      </c>
      <c r="AX7" s="24">
        <v>109</v>
      </c>
      <c r="AY7" s="25">
        <v>33</v>
      </c>
      <c r="AZ7" s="25">
        <v>113</v>
      </c>
      <c r="BA7" s="26">
        <v>30</v>
      </c>
    </row>
    <row r="8" spans="1:53" s="53" customFormat="1" x14ac:dyDescent="0.15">
      <c r="A8" s="53" t="s">
        <v>41</v>
      </c>
      <c r="B8" s="53" t="s">
        <v>157</v>
      </c>
      <c r="C8" s="71">
        <v>2019</v>
      </c>
      <c r="D8" s="72" t="s">
        <v>165</v>
      </c>
      <c r="E8" s="53" t="s">
        <v>133</v>
      </c>
      <c r="F8" s="53" t="s">
        <v>184</v>
      </c>
      <c r="G8" s="53" t="s">
        <v>42</v>
      </c>
      <c r="H8" s="53" t="s">
        <v>164</v>
      </c>
      <c r="I8" s="53" t="s">
        <v>159</v>
      </c>
      <c r="J8" s="53" t="s">
        <v>38</v>
      </c>
      <c r="K8" s="53" t="s">
        <v>161</v>
      </c>
      <c r="L8" s="53">
        <v>1</v>
      </c>
      <c r="N8" s="53">
        <v>16</v>
      </c>
      <c r="O8" s="53">
        <v>0.25</v>
      </c>
      <c r="P8" s="53">
        <v>0.25</v>
      </c>
      <c r="Q8" s="16">
        <f t="shared" si="0"/>
        <v>0.25</v>
      </c>
      <c r="R8" s="53">
        <v>15.4</v>
      </c>
      <c r="S8" s="53">
        <v>98</v>
      </c>
      <c r="T8" s="16">
        <f t="shared" si="1"/>
        <v>36</v>
      </c>
      <c r="U8" s="53">
        <v>1026</v>
      </c>
      <c r="V8" s="16">
        <f t="shared" si="2"/>
        <v>2308.5</v>
      </c>
      <c r="W8" s="53">
        <v>4</v>
      </c>
      <c r="X8" s="53" t="s">
        <v>46</v>
      </c>
      <c r="Y8" s="53" t="s">
        <v>55</v>
      </c>
      <c r="Z8" s="53" t="s">
        <v>69</v>
      </c>
      <c r="AA8" s="53" t="s">
        <v>88</v>
      </c>
      <c r="AB8" s="53" t="s">
        <v>158</v>
      </c>
      <c r="AE8" s="22" t="s">
        <v>59</v>
      </c>
      <c r="AG8" s="80" t="s">
        <v>201</v>
      </c>
      <c r="AH8" s="80" t="s">
        <v>202</v>
      </c>
      <c r="AL8" s="83" t="s">
        <v>160</v>
      </c>
      <c r="AP8" s="23" t="s">
        <v>62</v>
      </c>
      <c r="AR8" s="23" t="s">
        <v>81</v>
      </c>
      <c r="AV8" s="23" t="s">
        <v>97</v>
      </c>
      <c r="AX8" s="24">
        <v>119</v>
      </c>
      <c r="AY8" s="25">
        <v>30</v>
      </c>
      <c r="AZ8" s="25">
        <v>121</v>
      </c>
      <c r="BA8" s="26">
        <v>27</v>
      </c>
    </row>
    <row r="9" spans="1:53" s="53" customFormat="1" x14ac:dyDescent="0.15">
      <c r="A9" s="53" t="s">
        <v>41</v>
      </c>
      <c r="B9" s="53" t="s">
        <v>157</v>
      </c>
      <c r="C9" s="71">
        <v>2019</v>
      </c>
      <c r="D9" s="72" t="s">
        <v>165</v>
      </c>
      <c r="E9" s="53" t="s">
        <v>133</v>
      </c>
      <c r="F9" s="53" t="s">
        <v>184</v>
      </c>
      <c r="G9" s="53" t="s">
        <v>42</v>
      </c>
      <c r="H9" s="53" t="s">
        <v>164</v>
      </c>
      <c r="I9" s="53" t="s">
        <v>159</v>
      </c>
      <c r="J9" s="53" t="s">
        <v>38</v>
      </c>
      <c r="K9" s="53" t="s">
        <v>161</v>
      </c>
      <c r="L9" s="53">
        <v>2</v>
      </c>
      <c r="N9" s="53">
        <v>16</v>
      </c>
      <c r="O9" s="53">
        <v>0.25</v>
      </c>
      <c r="P9" s="53">
        <v>0.25</v>
      </c>
      <c r="Q9" s="16">
        <f t="shared" si="0"/>
        <v>0.25</v>
      </c>
      <c r="R9" s="53">
        <v>12</v>
      </c>
      <c r="S9" s="53">
        <v>95</v>
      </c>
      <c r="T9" s="16">
        <f t="shared" si="1"/>
        <v>36</v>
      </c>
      <c r="U9" s="53">
        <v>1026</v>
      </c>
      <c r="V9" s="16">
        <f t="shared" si="2"/>
        <v>2308.5</v>
      </c>
      <c r="W9" s="53">
        <v>4</v>
      </c>
      <c r="X9" s="53" t="s">
        <v>46</v>
      </c>
      <c r="Y9" s="53" t="s">
        <v>55</v>
      </c>
      <c r="Z9" s="53" t="s">
        <v>69</v>
      </c>
      <c r="AA9" s="53" t="s">
        <v>88</v>
      </c>
      <c r="AB9" s="53" t="s">
        <v>158</v>
      </c>
      <c r="AE9" s="22" t="s">
        <v>203</v>
      </c>
      <c r="AG9" s="80" t="s">
        <v>204</v>
      </c>
      <c r="AH9" s="80" t="s">
        <v>205</v>
      </c>
      <c r="AL9" s="82"/>
      <c r="AP9" s="23" t="s">
        <v>95</v>
      </c>
      <c r="AR9" s="23" t="s">
        <v>206</v>
      </c>
      <c r="AV9" s="23" t="s">
        <v>102</v>
      </c>
      <c r="AX9" s="24">
        <v>128</v>
      </c>
      <c r="AY9" s="25">
        <v>27</v>
      </c>
      <c r="AZ9" s="25">
        <v>129</v>
      </c>
      <c r="BA9" s="26">
        <v>25</v>
      </c>
    </row>
    <row r="10" spans="1:53" s="53" customFormat="1" x14ac:dyDescent="0.15">
      <c r="A10" s="53" t="s">
        <v>41</v>
      </c>
      <c r="B10" s="53" t="s">
        <v>157</v>
      </c>
      <c r="C10" s="71">
        <v>2019</v>
      </c>
      <c r="D10" s="72" t="s">
        <v>165</v>
      </c>
      <c r="E10" s="53" t="s">
        <v>133</v>
      </c>
      <c r="F10" s="53" t="s">
        <v>184</v>
      </c>
      <c r="G10" s="53" t="s">
        <v>42</v>
      </c>
      <c r="H10" s="53" t="s">
        <v>164</v>
      </c>
      <c r="I10" s="53" t="s">
        <v>159</v>
      </c>
      <c r="J10" s="53" t="s">
        <v>38</v>
      </c>
      <c r="K10" s="53" t="s">
        <v>161</v>
      </c>
      <c r="L10" s="53">
        <v>3</v>
      </c>
      <c r="N10" s="53">
        <v>16</v>
      </c>
      <c r="O10" s="53">
        <v>0.25</v>
      </c>
      <c r="P10" s="53">
        <v>0.25</v>
      </c>
      <c r="Q10" s="16">
        <f t="shared" si="0"/>
        <v>0.25</v>
      </c>
      <c r="R10" s="53">
        <v>14.4</v>
      </c>
      <c r="S10" s="53">
        <v>92</v>
      </c>
      <c r="T10" s="16">
        <f t="shared" si="1"/>
        <v>36</v>
      </c>
      <c r="U10" s="53">
        <v>1026</v>
      </c>
      <c r="V10" s="16">
        <f t="shared" si="2"/>
        <v>2308.5</v>
      </c>
      <c r="W10" s="53">
        <v>4</v>
      </c>
      <c r="X10" s="53" t="s">
        <v>46</v>
      </c>
      <c r="Y10" s="53" t="s">
        <v>55</v>
      </c>
      <c r="Z10" s="53" t="s">
        <v>69</v>
      </c>
      <c r="AA10" s="53" t="s">
        <v>88</v>
      </c>
      <c r="AB10" s="53" t="s">
        <v>158</v>
      </c>
      <c r="AE10" s="22" t="s">
        <v>207</v>
      </c>
      <c r="AG10" s="80" t="s">
        <v>201</v>
      </c>
      <c r="AH10" s="80" t="s">
        <v>208</v>
      </c>
      <c r="AL10" s="83"/>
      <c r="AP10" s="23" t="s">
        <v>100</v>
      </c>
      <c r="AR10" s="23" t="s">
        <v>209</v>
      </c>
      <c r="AV10" s="23" t="s">
        <v>106</v>
      </c>
      <c r="AX10" s="24">
        <v>138</v>
      </c>
      <c r="AY10" s="25">
        <v>25</v>
      </c>
      <c r="AZ10" s="25">
        <v>138</v>
      </c>
      <c r="BA10" s="26">
        <v>22</v>
      </c>
    </row>
    <row r="11" spans="1:53" s="53" customFormat="1" x14ac:dyDescent="0.15">
      <c r="A11" s="53" t="s">
        <v>41</v>
      </c>
      <c r="B11" s="53" t="s">
        <v>157</v>
      </c>
      <c r="C11" s="71">
        <v>2019</v>
      </c>
      <c r="D11" s="72" t="s">
        <v>165</v>
      </c>
      <c r="E11" s="53" t="s">
        <v>133</v>
      </c>
      <c r="F11" s="53" t="s">
        <v>184</v>
      </c>
      <c r="G11" s="53" t="s">
        <v>42</v>
      </c>
      <c r="H11" s="53" t="s">
        <v>160</v>
      </c>
      <c r="I11" s="53" t="s">
        <v>159</v>
      </c>
      <c r="J11" s="53" t="s">
        <v>38</v>
      </c>
      <c r="K11" s="53" t="s">
        <v>161</v>
      </c>
      <c r="L11" s="53">
        <v>1</v>
      </c>
      <c r="N11" s="53">
        <v>1</v>
      </c>
      <c r="O11" s="53">
        <v>0.45</v>
      </c>
      <c r="P11" s="53">
        <v>0.65</v>
      </c>
      <c r="Q11" s="84">
        <f t="shared" si="0"/>
        <v>0.55000000000000004</v>
      </c>
      <c r="R11" s="53">
        <v>15.4</v>
      </c>
      <c r="S11" s="53">
        <v>127</v>
      </c>
      <c r="T11" s="16">
        <f t="shared" si="1"/>
        <v>27</v>
      </c>
      <c r="U11" s="53">
        <v>139</v>
      </c>
      <c r="V11" s="16">
        <f t="shared" si="2"/>
        <v>3753</v>
      </c>
      <c r="W11" s="53">
        <v>5</v>
      </c>
      <c r="X11" s="53" t="s">
        <v>46</v>
      </c>
      <c r="Y11" s="53" t="s">
        <v>55</v>
      </c>
      <c r="Z11" s="53" t="s">
        <v>69</v>
      </c>
      <c r="AA11" s="53" t="s">
        <v>88</v>
      </c>
      <c r="AB11" s="53" t="s">
        <v>158</v>
      </c>
      <c r="AE11" s="22" t="s">
        <v>68</v>
      </c>
      <c r="AG11" s="80" t="s">
        <v>210</v>
      </c>
      <c r="AH11" s="80" t="s">
        <v>211</v>
      </c>
      <c r="AL11" s="83"/>
      <c r="AP11" s="23" t="s">
        <v>104</v>
      </c>
      <c r="AR11" s="23" t="s">
        <v>212</v>
      </c>
      <c r="AV11" s="23" t="s">
        <v>69</v>
      </c>
      <c r="AX11" s="24">
        <v>151</v>
      </c>
      <c r="AY11" s="25">
        <v>22</v>
      </c>
      <c r="AZ11" s="25">
        <v>152</v>
      </c>
      <c r="BA11" s="26">
        <v>18</v>
      </c>
    </row>
    <row r="12" spans="1:53" s="53" customFormat="1" x14ac:dyDescent="0.15">
      <c r="A12" s="53" t="s">
        <v>41</v>
      </c>
      <c r="B12" s="53" t="s">
        <v>157</v>
      </c>
      <c r="C12" s="71">
        <v>2019</v>
      </c>
      <c r="D12" s="72" t="s">
        <v>165</v>
      </c>
      <c r="E12" s="53" t="s">
        <v>133</v>
      </c>
      <c r="F12" s="53" t="s">
        <v>184</v>
      </c>
      <c r="G12" s="53" t="s">
        <v>42</v>
      </c>
      <c r="H12" s="53" t="s">
        <v>160</v>
      </c>
      <c r="I12" s="53" t="s">
        <v>159</v>
      </c>
      <c r="J12" s="53" t="s">
        <v>38</v>
      </c>
      <c r="K12" s="53" t="s">
        <v>161</v>
      </c>
      <c r="L12" s="53">
        <v>2</v>
      </c>
      <c r="N12" s="53">
        <v>1</v>
      </c>
      <c r="O12" s="53">
        <v>0.7</v>
      </c>
      <c r="P12" s="53">
        <v>0.5</v>
      </c>
      <c r="Q12" s="84">
        <f t="shared" si="0"/>
        <v>0.6</v>
      </c>
      <c r="R12" s="53">
        <v>16.100000000000001</v>
      </c>
      <c r="S12" s="53">
        <v>126</v>
      </c>
      <c r="T12" s="16">
        <f t="shared" si="1"/>
        <v>27</v>
      </c>
      <c r="U12" s="53">
        <v>139</v>
      </c>
      <c r="V12" s="16">
        <f t="shared" si="2"/>
        <v>3753</v>
      </c>
      <c r="W12" s="53">
        <v>5</v>
      </c>
      <c r="X12" s="53" t="s">
        <v>46</v>
      </c>
      <c r="Y12" s="53" t="s">
        <v>55</v>
      </c>
      <c r="Z12" s="53" t="s">
        <v>69</v>
      </c>
      <c r="AA12" s="53" t="s">
        <v>88</v>
      </c>
      <c r="AB12" s="53" t="s">
        <v>158</v>
      </c>
      <c r="AE12" s="22" t="s">
        <v>213</v>
      </c>
      <c r="AG12" s="22"/>
      <c r="AH12" s="22"/>
      <c r="AL12" s="83"/>
      <c r="AP12" s="23" t="s">
        <v>67</v>
      </c>
      <c r="AR12" s="23" t="s">
        <v>214</v>
      </c>
      <c r="AV12" s="23" t="s">
        <v>72</v>
      </c>
      <c r="AX12" s="31">
        <v>180</v>
      </c>
      <c r="AY12" s="32">
        <v>18</v>
      </c>
      <c r="AZ12" s="32">
        <v>181</v>
      </c>
      <c r="BA12" s="33">
        <v>16</v>
      </c>
    </row>
    <row r="13" spans="1:53" s="53" customFormat="1" x14ac:dyDescent="0.15">
      <c r="A13" s="53" t="s">
        <v>41</v>
      </c>
      <c r="B13" s="53" t="s">
        <v>157</v>
      </c>
      <c r="C13" s="71">
        <v>2019</v>
      </c>
      <c r="D13" s="72" t="s">
        <v>165</v>
      </c>
      <c r="E13" s="53" t="s">
        <v>133</v>
      </c>
      <c r="F13" s="53" t="s">
        <v>184</v>
      </c>
      <c r="G13" s="53" t="s">
        <v>42</v>
      </c>
      <c r="H13" s="53" t="s">
        <v>160</v>
      </c>
      <c r="I13" s="53" t="s">
        <v>159</v>
      </c>
      <c r="J13" s="53" t="s">
        <v>38</v>
      </c>
      <c r="K13" s="53" t="s">
        <v>161</v>
      </c>
      <c r="L13" s="53">
        <v>3</v>
      </c>
      <c r="N13" s="53">
        <v>1</v>
      </c>
      <c r="O13" s="53">
        <v>0.45</v>
      </c>
      <c r="P13" s="53">
        <v>0.5</v>
      </c>
      <c r="Q13" s="84">
        <f t="shared" si="0"/>
        <v>0.47499999999999998</v>
      </c>
      <c r="R13" s="53">
        <v>16.2</v>
      </c>
      <c r="S13" s="53">
        <v>123</v>
      </c>
      <c r="T13" s="16">
        <f t="shared" si="1"/>
        <v>27</v>
      </c>
      <c r="U13" s="53">
        <v>139</v>
      </c>
      <c r="V13" s="16">
        <f t="shared" si="2"/>
        <v>3753</v>
      </c>
      <c r="W13" s="53">
        <v>5</v>
      </c>
      <c r="X13" s="53" t="s">
        <v>46</v>
      </c>
      <c r="Y13" s="53" t="s">
        <v>55</v>
      </c>
      <c r="Z13" s="53" t="s">
        <v>69</v>
      </c>
      <c r="AA13" s="53" t="s">
        <v>88</v>
      </c>
      <c r="AB13" s="53" t="s">
        <v>158</v>
      </c>
      <c r="AE13" s="22" t="s">
        <v>215</v>
      </c>
      <c r="AG13" s="23"/>
      <c r="AH13" s="23"/>
      <c r="AP13" s="23" t="s">
        <v>71</v>
      </c>
      <c r="AR13" s="23" t="s">
        <v>207</v>
      </c>
      <c r="AV13" s="23" t="s">
        <v>75</v>
      </c>
    </row>
    <row r="14" spans="1:53" s="53" customFormat="1" x14ac:dyDescent="0.15">
      <c r="A14" s="53" t="s">
        <v>41</v>
      </c>
      <c r="B14" s="53" t="s">
        <v>157</v>
      </c>
      <c r="C14" s="71">
        <v>2019</v>
      </c>
      <c r="D14" s="72" t="s">
        <v>165</v>
      </c>
      <c r="E14" s="53" t="s">
        <v>133</v>
      </c>
      <c r="F14" s="53" t="s">
        <v>184</v>
      </c>
      <c r="G14" s="53" t="s">
        <v>42</v>
      </c>
      <c r="H14" s="53" t="s">
        <v>160</v>
      </c>
      <c r="I14" s="53" t="s">
        <v>159</v>
      </c>
      <c r="J14" s="53" t="s">
        <v>38</v>
      </c>
      <c r="K14" s="53" t="s">
        <v>161</v>
      </c>
      <c r="L14" s="53">
        <v>1</v>
      </c>
      <c r="N14" s="53">
        <v>8</v>
      </c>
      <c r="O14" s="53">
        <v>0.85</v>
      </c>
      <c r="P14" s="53">
        <v>0.9</v>
      </c>
      <c r="Q14" s="81">
        <f t="shared" si="0"/>
        <v>0.875</v>
      </c>
      <c r="R14" s="53">
        <v>14.1</v>
      </c>
      <c r="S14" s="53">
        <v>120</v>
      </c>
      <c r="T14" s="16">
        <f t="shared" si="1"/>
        <v>30</v>
      </c>
      <c r="U14" s="53">
        <v>753</v>
      </c>
      <c r="V14" s="16">
        <f t="shared" si="2"/>
        <v>2823.75</v>
      </c>
      <c r="W14" s="53">
        <v>6</v>
      </c>
      <c r="X14" s="53" t="s">
        <v>46</v>
      </c>
      <c r="Y14" s="53" t="s">
        <v>55</v>
      </c>
      <c r="Z14" s="53" t="s">
        <v>69</v>
      </c>
      <c r="AA14" s="53" t="s">
        <v>88</v>
      </c>
      <c r="AB14" s="53" t="s">
        <v>158</v>
      </c>
      <c r="AE14" s="22" t="s">
        <v>96</v>
      </c>
      <c r="AG14" s="23"/>
      <c r="AH14" s="23"/>
      <c r="AP14" s="23" t="s">
        <v>74</v>
      </c>
      <c r="AR14" s="23" t="s">
        <v>216</v>
      </c>
      <c r="AV14" s="23" t="s">
        <v>78</v>
      </c>
    </row>
    <row r="15" spans="1:53" s="53" customFormat="1" x14ac:dyDescent="0.15">
      <c r="A15" s="53" t="s">
        <v>41</v>
      </c>
      <c r="B15" s="53" t="s">
        <v>157</v>
      </c>
      <c r="C15" s="71">
        <v>2019</v>
      </c>
      <c r="D15" s="72" t="s">
        <v>165</v>
      </c>
      <c r="E15" s="53" t="s">
        <v>133</v>
      </c>
      <c r="F15" s="53" t="s">
        <v>184</v>
      </c>
      <c r="G15" s="53" t="s">
        <v>42</v>
      </c>
      <c r="H15" s="53" t="s">
        <v>160</v>
      </c>
      <c r="I15" s="53" t="s">
        <v>159</v>
      </c>
      <c r="J15" s="53" t="s">
        <v>38</v>
      </c>
      <c r="K15" s="53" t="s">
        <v>161</v>
      </c>
      <c r="L15" s="53">
        <v>2</v>
      </c>
      <c r="N15" s="53">
        <v>8</v>
      </c>
      <c r="O15" s="53">
        <v>1.2</v>
      </c>
      <c r="P15" s="53">
        <v>1.1000000000000001</v>
      </c>
      <c r="Q15" s="81">
        <f t="shared" si="0"/>
        <v>1.1499999999999999</v>
      </c>
      <c r="R15" s="53">
        <v>15.4</v>
      </c>
      <c r="S15" s="53">
        <v>120</v>
      </c>
      <c r="T15" s="16">
        <f t="shared" si="1"/>
        <v>30</v>
      </c>
      <c r="U15" s="53">
        <v>753</v>
      </c>
      <c r="V15" s="16">
        <f t="shared" si="2"/>
        <v>2823.75</v>
      </c>
      <c r="W15" s="53">
        <v>6</v>
      </c>
      <c r="X15" s="53" t="s">
        <v>46</v>
      </c>
      <c r="Y15" s="53" t="s">
        <v>55</v>
      </c>
      <c r="Z15" s="53" t="s">
        <v>69</v>
      </c>
      <c r="AA15" s="53" t="s">
        <v>88</v>
      </c>
      <c r="AB15" s="53" t="s">
        <v>158</v>
      </c>
      <c r="AE15" s="22" t="s">
        <v>217</v>
      </c>
      <c r="AG15" s="23"/>
      <c r="AH15" s="23"/>
      <c r="AP15" s="23" t="s">
        <v>77</v>
      </c>
      <c r="AR15" s="23" t="s">
        <v>80</v>
      </c>
      <c r="AV15" s="23" t="s">
        <v>107</v>
      </c>
    </row>
    <row r="16" spans="1:53" s="53" customFormat="1" x14ac:dyDescent="0.15">
      <c r="A16" s="53" t="s">
        <v>41</v>
      </c>
      <c r="B16" s="53" t="s">
        <v>157</v>
      </c>
      <c r="C16" s="71">
        <v>2019</v>
      </c>
      <c r="D16" s="72" t="s">
        <v>165</v>
      </c>
      <c r="E16" s="53" t="s">
        <v>133</v>
      </c>
      <c r="F16" s="53" t="s">
        <v>184</v>
      </c>
      <c r="G16" s="53" t="s">
        <v>42</v>
      </c>
      <c r="H16" s="53" t="s">
        <v>160</v>
      </c>
      <c r="I16" s="53" t="s">
        <v>159</v>
      </c>
      <c r="J16" s="53" t="s">
        <v>38</v>
      </c>
      <c r="K16" s="53" t="s">
        <v>161</v>
      </c>
      <c r="L16" s="53">
        <v>3</v>
      </c>
      <c r="N16" s="53">
        <v>8</v>
      </c>
      <c r="O16" s="53">
        <v>1.3</v>
      </c>
      <c r="P16" s="53">
        <v>1</v>
      </c>
      <c r="Q16" s="81">
        <f t="shared" si="0"/>
        <v>1.1499999999999999</v>
      </c>
      <c r="R16" s="53">
        <v>15.8</v>
      </c>
      <c r="S16" s="53">
        <v>117</v>
      </c>
      <c r="T16" s="16">
        <f t="shared" si="1"/>
        <v>30</v>
      </c>
      <c r="U16" s="53">
        <v>753</v>
      </c>
      <c r="V16" s="16">
        <f t="shared" si="2"/>
        <v>2823.75</v>
      </c>
      <c r="W16" s="53">
        <v>6</v>
      </c>
      <c r="X16" s="53" t="s">
        <v>46</v>
      </c>
      <c r="Y16" s="53" t="s">
        <v>55</v>
      </c>
      <c r="Z16" s="53" t="s">
        <v>69</v>
      </c>
      <c r="AA16" s="53" t="s">
        <v>88</v>
      </c>
      <c r="AB16" s="53" t="s">
        <v>158</v>
      </c>
      <c r="AE16" s="22" t="s">
        <v>218</v>
      </c>
      <c r="AG16" s="28"/>
      <c r="AH16" s="28"/>
      <c r="AP16" s="23" t="s">
        <v>80</v>
      </c>
      <c r="AR16" s="23" t="s">
        <v>63</v>
      </c>
      <c r="AV16" s="23" t="s">
        <v>84</v>
      </c>
    </row>
    <row r="17" spans="1:48" s="53" customFormat="1" x14ac:dyDescent="0.15">
      <c r="A17" s="53" t="s">
        <v>41</v>
      </c>
      <c r="B17" s="53" t="s">
        <v>157</v>
      </c>
      <c r="C17" s="71">
        <v>2019</v>
      </c>
      <c r="D17" s="72" t="s">
        <v>165</v>
      </c>
      <c r="E17" s="53" t="s">
        <v>133</v>
      </c>
      <c r="F17" s="53" t="s">
        <v>184</v>
      </c>
      <c r="G17" s="53" t="s">
        <v>42</v>
      </c>
      <c r="H17" s="53" t="s">
        <v>160</v>
      </c>
      <c r="I17" s="53" t="s">
        <v>159</v>
      </c>
      <c r="J17" s="53" t="s">
        <v>38</v>
      </c>
      <c r="K17" s="53" t="s">
        <v>161</v>
      </c>
      <c r="L17" s="53">
        <v>1</v>
      </c>
      <c r="N17" s="53">
        <v>16</v>
      </c>
      <c r="O17" s="53">
        <v>0.25</v>
      </c>
      <c r="P17" s="53">
        <v>0.25</v>
      </c>
      <c r="Q17" s="81">
        <f t="shared" si="0"/>
        <v>0.25</v>
      </c>
      <c r="R17" s="53">
        <v>16</v>
      </c>
      <c r="S17" s="53">
        <v>91</v>
      </c>
      <c r="T17" s="16">
        <f t="shared" si="1"/>
        <v>36</v>
      </c>
      <c r="U17" s="53">
        <v>1026</v>
      </c>
      <c r="V17" s="16">
        <f t="shared" si="2"/>
        <v>2308.5</v>
      </c>
      <c r="W17" s="53">
        <v>4</v>
      </c>
      <c r="X17" s="53" t="s">
        <v>46</v>
      </c>
      <c r="Y17" s="53" t="s">
        <v>55</v>
      </c>
      <c r="Z17" s="53" t="s">
        <v>69</v>
      </c>
      <c r="AA17" s="53" t="s">
        <v>88</v>
      </c>
      <c r="AB17" s="53" t="s">
        <v>158</v>
      </c>
      <c r="AE17" s="22" t="s">
        <v>219</v>
      </c>
      <c r="AP17" s="27" t="s">
        <v>220</v>
      </c>
      <c r="AR17" s="23" t="s">
        <v>96</v>
      </c>
      <c r="AV17" s="23" t="s">
        <v>86</v>
      </c>
    </row>
    <row r="18" spans="1:48" s="53" customFormat="1" x14ac:dyDescent="0.15">
      <c r="A18" s="53" t="s">
        <v>41</v>
      </c>
      <c r="B18" s="53" t="s">
        <v>157</v>
      </c>
      <c r="C18" s="71">
        <v>2019</v>
      </c>
      <c r="D18" s="72" t="s">
        <v>165</v>
      </c>
      <c r="E18" s="53" t="s">
        <v>133</v>
      </c>
      <c r="F18" s="53" t="s">
        <v>184</v>
      </c>
      <c r="G18" s="53" t="s">
        <v>42</v>
      </c>
      <c r="H18" s="53" t="s">
        <v>160</v>
      </c>
      <c r="I18" s="53" t="s">
        <v>159</v>
      </c>
      <c r="J18" s="53" t="s">
        <v>38</v>
      </c>
      <c r="K18" s="53" t="s">
        <v>161</v>
      </c>
      <c r="L18" s="53">
        <v>2</v>
      </c>
      <c r="N18" s="53">
        <v>16</v>
      </c>
      <c r="O18" s="53">
        <v>0.25</v>
      </c>
      <c r="P18" s="53">
        <v>0.25</v>
      </c>
      <c r="Q18" s="81">
        <f t="shared" si="0"/>
        <v>0.25</v>
      </c>
      <c r="R18" s="53">
        <v>12.7</v>
      </c>
      <c r="S18" s="53">
        <v>98</v>
      </c>
      <c r="T18" s="16">
        <f t="shared" si="1"/>
        <v>36</v>
      </c>
      <c r="U18" s="53">
        <v>1026</v>
      </c>
      <c r="V18" s="16">
        <f t="shared" si="2"/>
        <v>2308.5</v>
      </c>
      <c r="W18" s="53">
        <v>4</v>
      </c>
      <c r="X18" s="53" t="s">
        <v>46</v>
      </c>
      <c r="Y18" s="53" t="s">
        <v>55</v>
      </c>
      <c r="Z18" s="53" t="s">
        <v>69</v>
      </c>
      <c r="AA18" s="53" t="s">
        <v>88</v>
      </c>
      <c r="AB18" s="53" t="s">
        <v>158</v>
      </c>
      <c r="AE18" s="22" t="s">
        <v>212</v>
      </c>
      <c r="AP18" s="27" t="s">
        <v>221</v>
      </c>
      <c r="AR18" s="23" t="s">
        <v>101</v>
      </c>
      <c r="AV18" s="23" t="s">
        <v>88</v>
      </c>
    </row>
    <row r="19" spans="1:48" s="53" customFormat="1" x14ac:dyDescent="0.15">
      <c r="A19" s="53" t="s">
        <v>41</v>
      </c>
      <c r="B19" s="53" t="s">
        <v>157</v>
      </c>
      <c r="C19" s="71">
        <v>2019</v>
      </c>
      <c r="D19" s="72" t="s">
        <v>165</v>
      </c>
      <c r="E19" s="53" t="s">
        <v>133</v>
      </c>
      <c r="F19" s="53" t="s">
        <v>184</v>
      </c>
      <c r="G19" s="53" t="s">
        <v>42</v>
      </c>
      <c r="H19" s="53" t="s">
        <v>160</v>
      </c>
      <c r="I19" s="53" t="s">
        <v>159</v>
      </c>
      <c r="J19" s="53" t="s">
        <v>38</v>
      </c>
      <c r="K19" s="53" t="s">
        <v>161</v>
      </c>
      <c r="L19" s="53">
        <v>3</v>
      </c>
      <c r="N19" s="53">
        <v>16</v>
      </c>
      <c r="O19" s="53">
        <v>0.25</v>
      </c>
      <c r="P19" s="53">
        <v>0.25</v>
      </c>
      <c r="Q19" s="81">
        <f t="shared" si="0"/>
        <v>0.25</v>
      </c>
      <c r="R19" s="53">
        <v>16.2</v>
      </c>
      <c r="S19" s="53">
        <v>95</v>
      </c>
      <c r="T19" s="16">
        <f t="shared" si="1"/>
        <v>36</v>
      </c>
      <c r="U19" s="53">
        <v>1026</v>
      </c>
      <c r="V19" s="16">
        <f t="shared" si="2"/>
        <v>2308.5</v>
      </c>
      <c r="W19" s="53">
        <v>4</v>
      </c>
      <c r="X19" s="53" t="s">
        <v>46</v>
      </c>
      <c r="Y19" s="53" t="s">
        <v>55</v>
      </c>
      <c r="Z19" s="53" t="s">
        <v>69</v>
      </c>
      <c r="AA19" s="53" t="s">
        <v>88</v>
      </c>
      <c r="AB19" s="53" t="s">
        <v>158</v>
      </c>
      <c r="AE19" s="35" t="s">
        <v>206</v>
      </c>
      <c r="AP19" s="27" t="s">
        <v>222</v>
      </c>
      <c r="AR19" s="23" t="s">
        <v>223</v>
      </c>
      <c r="AV19" s="23" t="s">
        <v>90</v>
      </c>
    </row>
    <row r="20" spans="1:48" s="53" customFormat="1" x14ac:dyDescent="0.15">
      <c r="A20" s="53" t="s">
        <v>41</v>
      </c>
      <c r="B20" s="53" t="s">
        <v>157</v>
      </c>
      <c r="C20" s="71">
        <v>2019</v>
      </c>
      <c r="D20" s="72" t="s">
        <v>165</v>
      </c>
      <c r="E20" s="53" t="s">
        <v>186</v>
      </c>
      <c r="F20" s="53" t="s">
        <v>184</v>
      </c>
      <c r="G20" s="53" t="s">
        <v>42</v>
      </c>
      <c r="H20" s="53" t="s">
        <v>160</v>
      </c>
      <c r="I20" s="53" t="s">
        <v>159</v>
      </c>
      <c r="J20" s="53" t="s">
        <v>38</v>
      </c>
      <c r="K20" s="53" t="s">
        <v>161</v>
      </c>
      <c r="L20" s="53">
        <v>1</v>
      </c>
      <c r="N20" s="53">
        <v>1</v>
      </c>
      <c r="O20" s="53">
        <v>0.4</v>
      </c>
      <c r="P20" s="53">
        <v>0.6</v>
      </c>
      <c r="Q20" s="81">
        <f t="shared" si="0"/>
        <v>0.5</v>
      </c>
      <c r="R20" s="53">
        <v>15.4</v>
      </c>
      <c r="S20" s="53">
        <v>124</v>
      </c>
      <c r="T20" s="16">
        <f t="shared" si="1"/>
        <v>27</v>
      </c>
      <c r="U20" s="53">
        <v>105</v>
      </c>
      <c r="V20" s="16">
        <f t="shared" si="2"/>
        <v>2835</v>
      </c>
      <c r="W20" s="53">
        <v>7</v>
      </c>
      <c r="X20" s="53" t="s">
        <v>46</v>
      </c>
      <c r="Y20" s="53" t="s">
        <v>97</v>
      </c>
      <c r="Z20" s="53" t="s">
        <v>69</v>
      </c>
      <c r="AA20" s="53" t="s">
        <v>55</v>
      </c>
      <c r="AB20" s="53" t="s">
        <v>158</v>
      </c>
      <c r="AE20" s="35"/>
      <c r="AP20" s="27" t="s">
        <v>224</v>
      </c>
      <c r="AR20" s="23" t="s">
        <v>105</v>
      </c>
      <c r="AV20" s="27" t="s">
        <v>225</v>
      </c>
    </row>
    <row r="21" spans="1:48" s="53" customFormat="1" x14ac:dyDescent="0.15">
      <c r="A21" s="53" t="s">
        <v>41</v>
      </c>
      <c r="B21" s="53" t="s">
        <v>157</v>
      </c>
      <c r="C21" s="71">
        <v>2019</v>
      </c>
      <c r="D21" s="72" t="s">
        <v>165</v>
      </c>
      <c r="E21" s="53" t="s">
        <v>186</v>
      </c>
      <c r="F21" s="53" t="s">
        <v>184</v>
      </c>
      <c r="G21" s="53" t="s">
        <v>42</v>
      </c>
      <c r="H21" s="53" t="s">
        <v>160</v>
      </c>
      <c r="I21" s="53" t="s">
        <v>159</v>
      </c>
      <c r="J21" s="53" t="s">
        <v>38</v>
      </c>
      <c r="K21" s="53" t="s">
        <v>161</v>
      </c>
      <c r="L21" s="53">
        <v>2</v>
      </c>
      <c r="N21" s="53">
        <v>1</v>
      </c>
      <c r="O21" s="53">
        <v>0.65</v>
      </c>
      <c r="P21" s="53">
        <v>0.7</v>
      </c>
      <c r="Q21" s="81">
        <f t="shared" si="0"/>
        <v>0.67500000000000004</v>
      </c>
      <c r="R21" s="53">
        <v>16.8</v>
      </c>
      <c r="S21" s="53">
        <v>126</v>
      </c>
      <c r="T21" s="16">
        <f t="shared" si="1"/>
        <v>27</v>
      </c>
      <c r="U21" s="53">
        <v>105</v>
      </c>
      <c r="V21" s="16">
        <f t="shared" si="2"/>
        <v>2835</v>
      </c>
      <c r="W21" s="53">
        <v>7</v>
      </c>
      <c r="X21" s="53" t="s">
        <v>46</v>
      </c>
      <c r="Y21" s="53" t="s">
        <v>97</v>
      </c>
      <c r="Z21" s="53" t="s">
        <v>69</v>
      </c>
      <c r="AA21" s="53" t="s">
        <v>55</v>
      </c>
      <c r="AB21" s="53" t="s">
        <v>158</v>
      </c>
      <c r="AE21" s="28"/>
      <c r="AP21" s="27" t="s">
        <v>226</v>
      </c>
      <c r="AR21" s="23" t="s">
        <v>68</v>
      </c>
      <c r="AV21" s="27" t="s">
        <v>227</v>
      </c>
    </row>
    <row r="22" spans="1:48" s="53" customFormat="1" x14ac:dyDescent="0.15">
      <c r="A22" s="53" t="s">
        <v>41</v>
      </c>
      <c r="B22" s="53" t="s">
        <v>157</v>
      </c>
      <c r="C22" s="71">
        <v>2019</v>
      </c>
      <c r="D22" s="72" t="s">
        <v>165</v>
      </c>
      <c r="E22" s="53" t="s">
        <v>186</v>
      </c>
      <c r="F22" s="53" t="s">
        <v>184</v>
      </c>
      <c r="G22" s="53" t="s">
        <v>42</v>
      </c>
      <c r="H22" s="53" t="s">
        <v>160</v>
      </c>
      <c r="I22" s="53" t="s">
        <v>159</v>
      </c>
      <c r="J22" s="53" t="s">
        <v>38</v>
      </c>
      <c r="K22" s="53" t="s">
        <v>161</v>
      </c>
      <c r="L22" s="53">
        <v>3</v>
      </c>
      <c r="N22" s="53">
        <v>1</v>
      </c>
      <c r="O22" s="53">
        <v>0.5</v>
      </c>
      <c r="P22" s="53">
        <v>0.65</v>
      </c>
      <c r="Q22" s="81">
        <f t="shared" si="0"/>
        <v>0.57499999999999996</v>
      </c>
      <c r="R22" s="53">
        <v>17.100000000000001</v>
      </c>
      <c r="S22" s="53">
        <v>128</v>
      </c>
      <c r="T22" s="16">
        <f t="shared" si="1"/>
        <v>27</v>
      </c>
      <c r="U22" s="53">
        <v>105</v>
      </c>
      <c r="V22" s="16">
        <f t="shared" si="2"/>
        <v>2835</v>
      </c>
      <c r="W22" s="53">
        <v>7</v>
      </c>
      <c r="X22" s="53" t="s">
        <v>46</v>
      </c>
      <c r="Y22" s="53" t="s">
        <v>97</v>
      </c>
      <c r="Z22" s="53" t="s">
        <v>69</v>
      </c>
      <c r="AA22" s="53" t="s">
        <v>55</v>
      </c>
      <c r="AB22" s="53" t="s">
        <v>158</v>
      </c>
      <c r="AP22" s="27" t="s">
        <v>228</v>
      </c>
      <c r="AR22" s="23" t="s">
        <v>83</v>
      </c>
      <c r="AV22" s="27"/>
    </row>
    <row r="23" spans="1:48" s="53" customFormat="1" x14ac:dyDescent="0.15">
      <c r="A23" s="53" t="s">
        <v>41</v>
      </c>
      <c r="B23" s="53" t="s">
        <v>157</v>
      </c>
      <c r="C23" s="71">
        <v>2019</v>
      </c>
      <c r="D23" s="72" t="s">
        <v>165</v>
      </c>
      <c r="E23" s="53" t="s">
        <v>186</v>
      </c>
      <c r="F23" s="53" t="s">
        <v>184</v>
      </c>
      <c r="G23" s="53" t="s">
        <v>42</v>
      </c>
      <c r="H23" s="53" t="s">
        <v>160</v>
      </c>
      <c r="I23" s="53" t="s">
        <v>159</v>
      </c>
      <c r="J23" s="53" t="s">
        <v>38</v>
      </c>
      <c r="K23" s="53" t="s">
        <v>161</v>
      </c>
      <c r="L23" s="53">
        <v>1</v>
      </c>
      <c r="N23" s="53">
        <v>6</v>
      </c>
      <c r="O23" s="53">
        <v>0.6</v>
      </c>
      <c r="P23" s="53">
        <v>0.65</v>
      </c>
      <c r="Q23" s="81">
        <f t="shared" si="0"/>
        <v>0.625</v>
      </c>
      <c r="R23" s="53">
        <v>18</v>
      </c>
      <c r="S23" s="53">
        <v>120</v>
      </c>
      <c r="T23" s="16">
        <f t="shared" si="1"/>
        <v>30</v>
      </c>
      <c r="U23" s="53">
        <v>626</v>
      </c>
      <c r="V23" s="16">
        <f t="shared" si="2"/>
        <v>3130</v>
      </c>
      <c r="W23" s="53">
        <v>3</v>
      </c>
      <c r="X23" s="53" t="s">
        <v>46</v>
      </c>
      <c r="Y23" s="53" t="s">
        <v>97</v>
      </c>
      <c r="Z23" s="53" t="s">
        <v>69</v>
      </c>
      <c r="AA23" s="53" t="s">
        <v>55</v>
      </c>
      <c r="AB23" s="53" t="s">
        <v>158</v>
      </c>
      <c r="AP23" s="27" t="s">
        <v>229</v>
      </c>
      <c r="AR23" s="28" t="s">
        <v>230</v>
      </c>
      <c r="AV23" s="28"/>
    </row>
    <row r="24" spans="1:48" s="53" customFormat="1" x14ac:dyDescent="0.15">
      <c r="A24" s="53" t="s">
        <v>41</v>
      </c>
      <c r="B24" s="53" t="s">
        <v>157</v>
      </c>
      <c r="C24" s="71">
        <v>2019</v>
      </c>
      <c r="D24" s="72" t="s">
        <v>165</v>
      </c>
      <c r="E24" s="53" t="s">
        <v>186</v>
      </c>
      <c r="F24" s="53" t="s">
        <v>184</v>
      </c>
      <c r="G24" s="53" t="s">
        <v>42</v>
      </c>
      <c r="H24" s="53" t="s">
        <v>160</v>
      </c>
      <c r="I24" s="53" t="s">
        <v>159</v>
      </c>
      <c r="J24" s="53" t="s">
        <v>38</v>
      </c>
      <c r="K24" s="53" t="s">
        <v>161</v>
      </c>
      <c r="L24" s="53">
        <v>2</v>
      </c>
      <c r="N24" s="53">
        <v>6</v>
      </c>
      <c r="O24" s="53">
        <v>0.5</v>
      </c>
      <c r="P24" s="53">
        <v>0.55000000000000004</v>
      </c>
      <c r="Q24" s="81">
        <f t="shared" si="0"/>
        <v>0.52500000000000002</v>
      </c>
      <c r="R24" s="53">
        <v>14.8</v>
      </c>
      <c r="S24" s="53">
        <v>118</v>
      </c>
      <c r="T24" s="16">
        <f t="shared" si="1"/>
        <v>30</v>
      </c>
      <c r="U24" s="53">
        <v>626</v>
      </c>
      <c r="V24" s="16">
        <f t="shared" si="2"/>
        <v>3130</v>
      </c>
      <c r="W24" s="53">
        <v>3</v>
      </c>
      <c r="X24" s="53" t="s">
        <v>46</v>
      </c>
      <c r="Y24" s="53" t="s">
        <v>97</v>
      </c>
      <c r="Z24" s="53" t="s">
        <v>69</v>
      </c>
      <c r="AA24" s="53" t="s">
        <v>55</v>
      </c>
      <c r="AB24" s="53" t="s">
        <v>158</v>
      </c>
      <c r="AP24" s="27" t="s">
        <v>231</v>
      </c>
    </row>
    <row r="25" spans="1:48" s="53" customFormat="1" x14ac:dyDescent="0.15">
      <c r="A25" s="53" t="s">
        <v>41</v>
      </c>
      <c r="B25" s="53" t="s">
        <v>157</v>
      </c>
      <c r="C25" s="71">
        <v>2019</v>
      </c>
      <c r="D25" s="72" t="s">
        <v>165</v>
      </c>
      <c r="E25" s="53" t="s">
        <v>186</v>
      </c>
      <c r="F25" s="53" t="s">
        <v>184</v>
      </c>
      <c r="G25" s="53" t="s">
        <v>42</v>
      </c>
      <c r="H25" s="53" t="s">
        <v>160</v>
      </c>
      <c r="I25" s="53" t="s">
        <v>159</v>
      </c>
      <c r="J25" s="53" t="s">
        <v>38</v>
      </c>
      <c r="K25" s="53" t="s">
        <v>161</v>
      </c>
      <c r="L25" s="53">
        <v>3</v>
      </c>
      <c r="N25" s="53">
        <v>6</v>
      </c>
      <c r="O25" s="53">
        <v>0.35</v>
      </c>
      <c r="P25" s="53">
        <v>0.4</v>
      </c>
      <c r="Q25" s="81">
        <f t="shared" si="0"/>
        <v>0.375</v>
      </c>
      <c r="R25" s="53">
        <v>14.4</v>
      </c>
      <c r="S25" s="53">
        <v>118</v>
      </c>
      <c r="T25" s="16">
        <f t="shared" si="1"/>
        <v>30</v>
      </c>
      <c r="U25" s="53">
        <v>626</v>
      </c>
      <c r="V25" s="16">
        <f t="shared" si="2"/>
        <v>3130</v>
      </c>
      <c r="W25" s="53">
        <v>3</v>
      </c>
      <c r="X25" s="53" t="s">
        <v>46</v>
      </c>
      <c r="Y25" s="53" t="s">
        <v>97</v>
      </c>
      <c r="Z25" s="53" t="s">
        <v>69</v>
      </c>
      <c r="AA25" s="53" t="s">
        <v>55</v>
      </c>
      <c r="AB25" s="53" t="s">
        <v>158</v>
      </c>
    </row>
    <row r="26" spans="1:48" s="53" customFormat="1" x14ac:dyDescent="0.15">
      <c r="A26" s="53" t="s">
        <v>41</v>
      </c>
      <c r="B26" s="53" t="s">
        <v>157</v>
      </c>
      <c r="C26" s="71">
        <v>2019</v>
      </c>
      <c r="D26" s="72" t="s">
        <v>165</v>
      </c>
      <c r="E26" s="53" t="s">
        <v>186</v>
      </c>
      <c r="F26" s="53" t="s">
        <v>184</v>
      </c>
      <c r="G26" s="53" t="s">
        <v>42</v>
      </c>
      <c r="H26" s="53" t="s">
        <v>164</v>
      </c>
      <c r="I26" s="53" t="s">
        <v>159</v>
      </c>
      <c r="J26" s="53" t="s">
        <v>38</v>
      </c>
      <c r="K26" s="53" t="s">
        <v>161</v>
      </c>
      <c r="L26" s="53">
        <v>1</v>
      </c>
      <c r="N26" s="53">
        <v>1</v>
      </c>
      <c r="O26" s="53">
        <v>0.85</v>
      </c>
      <c r="P26" s="53">
        <v>0.8</v>
      </c>
      <c r="Q26" s="84">
        <f t="shared" si="0"/>
        <v>0.82499999999999996</v>
      </c>
      <c r="R26" s="53">
        <v>12.4</v>
      </c>
      <c r="S26" s="53">
        <v>127</v>
      </c>
      <c r="T26" s="16">
        <f t="shared" si="1"/>
        <v>27</v>
      </c>
      <c r="U26" s="53">
        <v>105</v>
      </c>
      <c r="V26" s="16">
        <f t="shared" si="2"/>
        <v>2835</v>
      </c>
      <c r="W26" s="53">
        <v>4</v>
      </c>
      <c r="X26" s="53" t="s">
        <v>46</v>
      </c>
      <c r="Y26" s="53" t="s">
        <v>97</v>
      </c>
      <c r="Z26" s="53" t="s">
        <v>69</v>
      </c>
      <c r="AA26" s="53" t="s">
        <v>55</v>
      </c>
      <c r="AB26" s="53" t="s">
        <v>158</v>
      </c>
    </row>
    <row r="27" spans="1:48" s="53" customFormat="1" x14ac:dyDescent="0.15">
      <c r="A27" s="53" t="s">
        <v>41</v>
      </c>
      <c r="B27" s="53" t="s">
        <v>157</v>
      </c>
      <c r="C27" s="71">
        <v>2019</v>
      </c>
      <c r="D27" s="72" t="s">
        <v>165</v>
      </c>
      <c r="E27" s="53" t="s">
        <v>186</v>
      </c>
      <c r="F27" s="53" t="s">
        <v>184</v>
      </c>
      <c r="G27" s="53" t="s">
        <v>42</v>
      </c>
      <c r="H27" s="53" t="s">
        <v>164</v>
      </c>
      <c r="I27" s="53" t="s">
        <v>159</v>
      </c>
      <c r="J27" s="53" t="s">
        <v>38</v>
      </c>
      <c r="K27" s="53" t="s">
        <v>161</v>
      </c>
      <c r="L27" s="53">
        <v>2</v>
      </c>
      <c r="N27" s="53">
        <v>1</v>
      </c>
      <c r="O27" s="53">
        <v>0.8</v>
      </c>
      <c r="P27" s="53">
        <v>0.8</v>
      </c>
      <c r="Q27" s="84">
        <f t="shared" si="0"/>
        <v>0.8</v>
      </c>
      <c r="R27" s="53">
        <v>13.8</v>
      </c>
      <c r="S27" s="53">
        <v>126</v>
      </c>
      <c r="T27" s="16">
        <f t="shared" si="1"/>
        <v>27</v>
      </c>
      <c r="U27" s="53">
        <v>105</v>
      </c>
      <c r="V27" s="16">
        <f t="shared" si="2"/>
        <v>2835</v>
      </c>
      <c r="W27" s="53">
        <v>4</v>
      </c>
      <c r="X27" s="53" t="s">
        <v>46</v>
      </c>
      <c r="Y27" s="53" t="s">
        <v>97</v>
      </c>
      <c r="Z27" s="53" t="s">
        <v>69</v>
      </c>
      <c r="AA27" s="53" t="s">
        <v>55</v>
      </c>
      <c r="AB27" s="53" t="s">
        <v>158</v>
      </c>
    </row>
    <row r="28" spans="1:48" s="53" customFormat="1" x14ac:dyDescent="0.15">
      <c r="A28" s="53" t="s">
        <v>41</v>
      </c>
      <c r="B28" s="53" t="s">
        <v>157</v>
      </c>
      <c r="C28" s="71">
        <v>2019</v>
      </c>
      <c r="D28" s="72" t="s">
        <v>165</v>
      </c>
      <c r="E28" s="53" t="s">
        <v>186</v>
      </c>
      <c r="F28" s="53" t="s">
        <v>184</v>
      </c>
      <c r="G28" s="53" t="s">
        <v>42</v>
      </c>
      <c r="H28" s="53" t="s">
        <v>164</v>
      </c>
      <c r="I28" s="53" t="s">
        <v>159</v>
      </c>
      <c r="J28" s="53" t="s">
        <v>38</v>
      </c>
      <c r="K28" s="53" t="s">
        <v>161</v>
      </c>
      <c r="L28" s="53">
        <v>3</v>
      </c>
      <c r="N28" s="53">
        <v>1</v>
      </c>
      <c r="O28" s="53">
        <v>0.7</v>
      </c>
      <c r="P28" s="53">
        <v>0.95</v>
      </c>
      <c r="Q28" s="84">
        <f t="shared" si="0"/>
        <v>0.82499999999999996</v>
      </c>
      <c r="R28" s="53">
        <v>16.2</v>
      </c>
      <c r="S28" s="53">
        <v>123</v>
      </c>
      <c r="T28" s="16">
        <f t="shared" si="1"/>
        <v>27</v>
      </c>
      <c r="U28" s="53">
        <v>105</v>
      </c>
      <c r="V28" s="16">
        <f t="shared" si="2"/>
        <v>2835</v>
      </c>
      <c r="W28" s="53">
        <v>4</v>
      </c>
      <c r="X28" s="53" t="s">
        <v>46</v>
      </c>
      <c r="Y28" s="53" t="s">
        <v>97</v>
      </c>
      <c r="Z28" s="53" t="s">
        <v>69</v>
      </c>
      <c r="AA28" s="53" t="s">
        <v>55</v>
      </c>
      <c r="AB28" s="53" t="s">
        <v>158</v>
      </c>
    </row>
    <row r="29" spans="1:48" s="53" customFormat="1" x14ac:dyDescent="0.15">
      <c r="A29" s="53" t="s">
        <v>41</v>
      </c>
      <c r="B29" s="53" t="s">
        <v>157</v>
      </c>
      <c r="C29" s="71">
        <v>2019</v>
      </c>
      <c r="D29" s="72" t="s">
        <v>165</v>
      </c>
      <c r="E29" s="53" t="s">
        <v>186</v>
      </c>
      <c r="F29" s="53" t="s">
        <v>184</v>
      </c>
      <c r="G29" s="53" t="s">
        <v>42</v>
      </c>
      <c r="H29" s="53" t="s">
        <v>164</v>
      </c>
      <c r="I29" s="53" t="s">
        <v>159</v>
      </c>
      <c r="J29" s="53" t="s">
        <v>38</v>
      </c>
      <c r="K29" s="53" t="s">
        <v>161</v>
      </c>
      <c r="L29" s="53">
        <v>1</v>
      </c>
      <c r="N29" s="53">
        <v>8</v>
      </c>
      <c r="O29" s="53">
        <v>0.35</v>
      </c>
      <c r="P29" s="53">
        <v>0.4</v>
      </c>
      <c r="Q29" s="84">
        <f t="shared" si="0"/>
        <v>0.375</v>
      </c>
      <c r="R29" s="53">
        <v>15.2</v>
      </c>
      <c r="S29" s="53">
        <v>100</v>
      </c>
      <c r="T29" s="16">
        <f t="shared" si="1"/>
        <v>33</v>
      </c>
      <c r="U29" s="53">
        <v>626</v>
      </c>
      <c r="V29" s="16">
        <f t="shared" si="2"/>
        <v>2582.25</v>
      </c>
      <c r="W29" s="53">
        <v>3</v>
      </c>
      <c r="X29" s="53" t="s">
        <v>46</v>
      </c>
      <c r="Y29" s="53" t="s">
        <v>97</v>
      </c>
      <c r="Z29" s="53" t="s">
        <v>69</v>
      </c>
      <c r="AA29" s="53" t="s">
        <v>55</v>
      </c>
      <c r="AB29" s="53" t="s">
        <v>158</v>
      </c>
    </row>
    <row r="30" spans="1:48" s="53" customFormat="1" x14ac:dyDescent="0.15">
      <c r="A30" s="53" t="s">
        <v>41</v>
      </c>
      <c r="B30" s="53" t="s">
        <v>157</v>
      </c>
      <c r="C30" s="71">
        <v>2019</v>
      </c>
      <c r="D30" s="72" t="s">
        <v>165</v>
      </c>
      <c r="E30" s="53" t="s">
        <v>186</v>
      </c>
      <c r="F30" s="53" t="s">
        <v>184</v>
      </c>
      <c r="G30" s="53" t="s">
        <v>42</v>
      </c>
      <c r="H30" s="53" t="s">
        <v>164</v>
      </c>
      <c r="I30" s="53" t="s">
        <v>159</v>
      </c>
      <c r="J30" s="53" t="s">
        <v>38</v>
      </c>
      <c r="K30" s="53" t="s">
        <v>161</v>
      </c>
      <c r="L30" s="53">
        <v>2</v>
      </c>
      <c r="N30" s="53">
        <v>8</v>
      </c>
      <c r="O30" s="53">
        <v>0.4</v>
      </c>
      <c r="P30" s="53">
        <v>0.45</v>
      </c>
      <c r="Q30" s="84">
        <f t="shared" si="0"/>
        <v>0.42500000000000004</v>
      </c>
      <c r="R30" s="53">
        <v>15.5</v>
      </c>
      <c r="S30" s="53">
        <v>104</v>
      </c>
      <c r="T30" s="16">
        <f t="shared" si="1"/>
        <v>33</v>
      </c>
      <c r="U30" s="53">
        <v>626</v>
      </c>
      <c r="V30" s="16">
        <f t="shared" si="2"/>
        <v>2582.25</v>
      </c>
      <c r="W30" s="53">
        <v>3</v>
      </c>
      <c r="X30" s="53" t="s">
        <v>46</v>
      </c>
      <c r="Y30" s="53" t="s">
        <v>97</v>
      </c>
      <c r="Z30" s="53" t="s">
        <v>69</v>
      </c>
      <c r="AA30" s="53" t="s">
        <v>55</v>
      </c>
      <c r="AB30" s="53" t="s">
        <v>158</v>
      </c>
    </row>
    <row r="31" spans="1:48" s="53" customFormat="1" x14ac:dyDescent="0.15">
      <c r="A31" s="53" t="s">
        <v>41</v>
      </c>
      <c r="B31" s="53" t="s">
        <v>157</v>
      </c>
      <c r="C31" s="71">
        <v>2019</v>
      </c>
      <c r="D31" s="72" t="s">
        <v>165</v>
      </c>
      <c r="E31" s="53" t="s">
        <v>186</v>
      </c>
      <c r="F31" s="53" t="s">
        <v>184</v>
      </c>
      <c r="G31" s="53" t="s">
        <v>42</v>
      </c>
      <c r="H31" s="53" t="s">
        <v>164</v>
      </c>
      <c r="I31" s="53" t="s">
        <v>159</v>
      </c>
      <c r="J31" s="53" t="s">
        <v>38</v>
      </c>
      <c r="K31" s="53" t="s">
        <v>161</v>
      </c>
      <c r="L31" s="53">
        <v>3</v>
      </c>
      <c r="N31" s="53">
        <v>8</v>
      </c>
      <c r="O31" s="53">
        <v>0.5</v>
      </c>
      <c r="P31" s="53">
        <v>0.45</v>
      </c>
      <c r="Q31" s="84">
        <f t="shared" si="0"/>
        <v>0.47499999999999998</v>
      </c>
      <c r="R31" s="53">
        <v>14.8</v>
      </c>
      <c r="S31" s="53">
        <v>108</v>
      </c>
      <c r="T31" s="16">
        <f t="shared" si="1"/>
        <v>33</v>
      </c>
      <c r="U31" s="53">
        <v>626</v>
      </c>
      <c r="V31" s="16">
        <f t="shared" si="2"/>
        <v>2582.25</v>
      </c>
      <c r="W31" s="53">
        <v>3</v>
      </c>
      <c r="X31" s="53" t="s">
        <v>46</v>
      </c>
      <c r="Y31" s="53" t="s">
        <v>97</v>
      </c>
      <c r="Z31" s="53" t="s">
        <v>69</v>
      </c>
      <c r="AA31" s="53" t="s">
        <v>55</v>
      </c>
      <c r="AB31" s="53" t="s">
        <v>158</v>
      </c>
    </row>
    <row r="32" spans="1:48" s="53" customFormat="1" x14ac:dyDescent="0.15">
      <c r="A32" s="53" t="s">
        <v>41</v>
      </c>
      <c r="B32" s="53" t="s">
        <v>157</v>
      </c>
      <c r="C32" s="71">
        <v>2019</v>
      </c>
      <c r="D32" s="72" t="s">
        <v>165</v>
      </c>
      <c r="E32" s="53" t="s">
        <v>186</v>
      </c>
      <c r="F32" s="53" t="s">
        <v>188</v>
      </c>
      <c r="G32" s="53" t="s">
        <v>42</v>
      </c>
      <c r="H32" s="53" t="s">
        <v>160</v>
      </c>
      <c r="I32" s="53" t="s">
        <v>159</v>
      </c>
      <c r="J32" s="53" t="s">
        <v>38</v>
      </c>
      <c r="K32" s="53" t="s">
        <v>161</v>
      </c>
      <c r="L32" s="53">
        <v>1</v>
      </c>
      <c r="N32" s="53">
        <v>1</v>
      </c>
      <c r="O32" s="53">
        <v>0.7</v>
      </c>
      <c r="P32" s="53">
        <v>0.8</v>
      </c>
      <c r="Q32" s="84">
        <f t="shared" si="0"/>
        <v>0.75</v>
      </c>
      <c r="R32" s="53">
        <v>15</v>
      </c>
      <c r="S32" s="53">
        <v>123</v>
      </c>
      <c r="T32" s="16">
        <f t="shared" si="1"/>
        <v>27</v>
      </c>
      <c r="U32" s="53">
        <v>105</v>
      </c>
      <c r="V32" s="16">
        <f t="shared" si="2"/>
        <v>2835</v>
      </c>
      <c r="W32" s="53">
        <v>3</v>
      </c>
      <c r="X32" s="53" t="s">
        <v>46</v>
      </c>
      <c r="Y32" s="53" t="s">
        <v>97</v>
      </c>
      <c r="Z32" s="53" t="s">
        <v>69</v>
      </c>
      <c r="AA32" s="53" t="s">
        <v>55</v>
      </c>
      <c r="AB32" s="53" t="s">
        <v>158</v>
      </c>
    </row>
    <row r="33" spans="1:28" s="53" customFormat="1" x14ac:dyDescent="0.15">
      <c r="A33" s="53" t="s">
        <v>41</v>
      </c>
      <c r="B33" s="53" t="s">
        <v>157</v>
      </c>
      <c r="C33" s="71">
        <v>2019</v>
      </c>
      <c r="D33" s="72" t="s">
        <v>165</v>
      </c>
      <c r="E33" s="53" t="s">
        <v>186</v>
      </c>
      <c r="F33" s="53" t="s">
        <v>188</v>
      </c>
      <c r="G33" s="53" t="s">
        <v>42</v>
      </c>
      <c r="H33" s="53" t="s">
        <v>160</v>
      </c>
      <c r="I33" s="53" t="s">
        <v>159</v>
      </c>
      <c r="J33" s="53" t="s">
        <v>38</v>
      </c>
      <c r="K33" s="53" t="s">
        <v>161</v>
      </c>
      <c r="L33" s="53">
        <v>2</v>
      </c>
      <c r="N33" s="53">
        <v>1</v>
      </c>
      <c r="O33" s="53">
        <v>0.5</v>
      </c>
      <c r="P33" s="53">
        <v>0.65</v>
      </c>
      <c r="Q33" s="84">
        <f t="shared" si="0"/>
        <v>0.57499999999999996</v>
      </c>
      <c r="R33" s="53">
        <v>14.2</v>
      </c>
      <c r="S33" s="53">
        <v>127</v>
      </c>
      <c r="T33" s="16">
        <f t="shared" si="1"/>
        <v>27</v>
      </c>
      <c r="U33" s="53">
        <v>105</v>
      </c>
      <c r="V33" s="16">
        <f t="shared" si="2"/>
        <v>2835</v>
      </c>
      <c r="W33" s="53">
        <v>3</v>
      </c>
      <c r="X33" s="53" t="s">
        <v>46</v>
      </c>
      <c r="Y33" s="53" t="s">
        <v>97</v>
      </c>
      <c r="Z33" s="53" t="s">
        <v>69</v>
      </c>
      <c r="AA33" s="53" t="s">
        <v>55</v>
      </c>
      <c r="AB33" s="53" t="s">
        <v>158</v>
      </c>
    </row>
    <row r="34" spans="1:28" s="53" customFormat="1" x14ac:dyDescent="0.15">
      <c r="A34" s="53" t="s">
        <v>41</v>
      </c>
      <c r="B34" s="53" t="s">
        <v>157</v>
      </c>
      <c r="C34" s="71">
        <v>2019</v>
      </c>
      <c r="D34" s="72" t="s">
        <v>165</v>
      </c>
      <c r="E34" s="53" t="s">
        <v>186</v>
      </c>
      <c r="F34" s="53" t="s">
        <v>188</v>
      </c>
      <c r="G34" s="53" t="s">
        <v>42</v>
      </c>
      <c r="H34" s="53" t="s">
        <v>160</v>
      </c>
      <c r="I34" s="53" t="s">
        <v>159</v>
      </c>
      <c r="J34" s="53" t="s">
        <v>38</v>
      </c>
      <c r="K34" s="53" t="s">
        <v>161</v>
      </c>
      <c r="L34" s="53">
        <v>3</v>
      </c>
      <c r="N34" s="53">
        <v>1</v>
      </c>
      <c r="O34" s="53">
        <v>0.65</v>
      </c>
      <c r="P34" s="53">
        <v>0.7</v>
      </c>
      <c r="Q34" s="84">
        <f t="shared" si="0"/>
        <v>0.67500000000000004</v>
      </c>
      <c r="R34" s="53">
        <v>12.8</v>
      </c>
      <c r="S34" s="53">
        <v>125</v>
      </c>
      <c r="T34" s="16">
        <f t="shared" si="1"/>
        <v>27</v>
      </c>
      <c r="U34" s="53">
        <v>105</v>
      </c>
      <c r="V34" s="16">
        <f t="shared" si="2"/>
        <v>2835</v>
      </c>
      <c r="W34" s="53">
        <v>3</v>
      </c>
      <c r="X34" s="53" t="s">
        <v>46</v>
      </c>
      <c r="Y34" s="53" t="s">
        <v>97</v>
      </c>
      <c r="Z34" s="53" t="s">
        <v>69</v>
      </c>
      <c r="AA34" s="53" t="s">
        <v>55</v>
      </c>
      <c r="AB34" s="53" t="s">
        <v>158</v>
      </c>
    </row>
    <row r="35" spans="1:28" s="53" customFormat="1" x14ac:dyDescent="0.15">
      <c r="A35" s="53" t="s">
        <v>41</v>
      </c>
      <c r="B35" s="53" t="s">
        <v>157</v>
      </c>
      <c r="C35" s="71">
        <v>2019</v>
      </c>
      <c r="D35" s="72" t="s">
        <v>165</v>
      </c>
      <c r="E35" s="53" t="s">
        <v>186</v>
      </c>
      <c r="F35" s="53" t="s">
        <v>188</v>
      </c>
      <c r="G35" s="53" t="s">
        <v>42</v>
      </c>
      <c r="H35" s="53" t="s">
        <v>160</v>
      </c>
      <c r="I35" s="53" t="s">
        <v>159</v>
      </c>
      <c r="J35" s="53" t="s">
        <v>38</v>
      </c>
      <c r="K35" s="53" t="s">
        <v>161</v>
      </c>
      <c r="L35" s="53">
        <v>1</v>
      </c>
      <c r="N35" s="53">
        <v>4</v>
      </c>
      <c r="O35" s="53">
        <v>0.7</v>
      </c>
      <c r="P35" s="53">
        <v>0.55000000000000004</v>
      </c>
      <c r="Q35" s="84">
        <f t="shared" si="0"/>
        <v>0.625</v>
      </c>
      <c r="R35" s="53">
        <v>16.399999999999999</v>
      </c>
      <c r="S35" s="53">
        <v>120</v>
      </c>
      <c r="T35" s="16">
        <f t="shared" si="1"/>
        <v>30</v>
      </c>
      <c r="U35" s="53">
        <v>429</v>
      </c>
      <c r="V35" s="16">
        <f t="shared" si="2"/>
        <v>3217.5</v>
      </c>
      <c r="W35" s="53">
        <v>1</v>
      </c>
      <c r="X35" s="53" t="s">
        <v>46</v>
      </c>
      <c r="Y35" s="53" t="s">
        <v>97</v>
      </c>
      <c r="Z35" s="53" t="s">
        <v>69</v>
      </c>
      <c r="AA35" s="53" t="s">
        <v>55</v>
      </c>
      <c r="AB35" s="53" t="s">
        <v>158</v>
      </c>
    </row>
    <row r="36" spans="1:28" s="53" customFormat="1" x14ac:dyDescent="0.15">
      <c r="A36" s="53" t="s">
        <v>41</v>
      </c>
      <c r="B36" s="53" t="s">
        <v>157</v>
      </c>
      <c r="C36" s="71">
        <v>2019</v>
      </c>
      <c r="D36" s="72" t="s">
        <v>165</v>
      </c>
      <c r="E36" s="53" t="s">
        <v>186</v>
      </c>
      <c r="F36" s="53" t="s">
        <v>188</v>
      </c>
      <c r="G36" s="53" t="s">
        <v>42</v>
      </c>
      <c r="H36" s="53" t="s">
        <v>160</v>
      </c>
      <c r="I36" s="53" t="s">
        <v>159</v>
      </c>
      <c r="J36" s="53" t="s">
        <v>38</v>
      </c>
      <c r="K36" s="53" t="s">
        <v>161</v>
      </c>
      <c r="L36" s="53">
        <v>2</v>
      </c>
      <c r="N36" s="53">
        <v>4</v>
      </c>
      <c r="O36" s="53">
        <v>0.7</v>
      </c>
      <c r="P36" s="53">
        <v>0.85</v>
      </c>
      <c r="Q36" s="84">
        <f t="shared" si="0"/>
        <v>0.77499999999999991</v>
      </c>
      <c r="R36" s="53">
        <v>15.8</v>
      </c>
      <c r="S36" s="53">
        <v>120</v>
      </c>
      <c r="T36" s="16">
        <f t="shared" si="1"/>
        <v>30</v>
      </c>
      <c r="U36" s="53">
        <v>429</v>
      </c>
      <c r="V36" s="16">
        <f t="shared" si="2"/>
        <v>3217.5</v>
      </c>
      <c r="W36" s="53">
        <v>1</v>
      </c>
      <c r="X36" s="53" t="s">
        <v>46</v>
      </c>
      <c r="Y36" s="53" t="s">
        <v>97</v>
      </c>
      <c r="Z36" s="53" t="s">
        <v>69</v>
      </c>
      <c r="AA36" s="53" t="s">
        <v>55</v>
      </c>
      <c r="AB36" s="53" t="s">
        <v>158</v>
      </c>
    </row>
    <row r="37" spans="1:28" s="53" customFormat="1" x14ac:dyDescent="0.15">
      <c r="A37" s="53" t="s">
        <v>41</v>
      </c>
      <c r="B37" s="53" t="s">
        <v>157</v>
      </c>
      <c r="C37" s="71">
        <v>2019</v>
      </c>
      <c r="D37" s="72" t="s">
        <v>165</v>
      </c>
      <c r="E37" s="53" t="s">
        <v>186</v>
      </c>
      <c r="F37" s="53" t="s">
        <v>188</v>
      </c>
      <c r="G37" s="53" t="s">
        <v>42</v>
      </c>
      <c r="H37" s="53" t="s">
        <v>160</v>
      </c>
      <c r="I37" s="53" t="s">
        <v>159</v>
      </c>
      <c r="J37" s="53" t="s">
        <v>38</v>
      </c>
      <c r="K37" s="53" t="s">
        <v>161</v>
      </c>
      <c r="L37" s="53">
        <v>3</v>
      </c>
      <c r="N37" s="53">
        <v>4</v>
      </c>
      <c r="O37" s="53">
        <v>0.6</v>
      </c>
      <c r="P37" s="53">
        <v>0.7</v>
      </c>
      <c r="Q37" s="84">
        <f t="shared" si="0"/>
        <v>0.64999999999999991</v>
      </c>
      <c r="R37" s="53">
        <v>14</v>
      </c>
      <c r="S37" s="53">
        <v>120</v>
      </c>
      <c r="T37" s="16">
        <f t="shared" si="1"/>
        <v>30</v>
      </c>
      <c r="U37" s="53">
        <v>429</v>
      </c>
      <c r="V37" s="16">
        <f t="shared" si="2"/>
        <v>3217.5</v>
      </c>
      <c r="W37" s="53">
        <v>1</v>
      </c>
      <c r="X37" s="53" t="s">
        <v>46</v>
      </c>
      <c r="Y37" s="53" t="s">
        <v>97</v>
      </c>
      <c r="Z37" s="53" t="s">
        <v>69</v>
      </c>
      <c r="AA37" s="53" t="s">
        <v>55</v>
      </c>
      <c r="AB37" s="53" t="s">
        <v>158</v>
      </c>
    </row>
    <row r="38" spans="1:28" s="53" customFormat="1" x14ac:dyDescent="0.15">
      <c r="A38" s="53" t="s">
        <v>41</v>
      </c>
      <c r="B38" s="53" t="s">
        <v>157</v>
      </c>
      <c r="C38" s="71">
        <v>2019</v>
      </c>
      <c r="D38" s="72" t="s">
        <v>165</v>
      </c>
      <c r="E38" s="53" t="s">
        <v>186</v>
      </c>
      <c r="F38" s="53" t="s">
        <v>188</v>
      </c>
      <c r="G38" s="53" t="s">
        <v>42</v>
      </c>
      <c r="H38" s="53" t="s">
        <v>160</v>
      </c>
      <c r="I38" s="53" t="s">
        <v>159</v>
      </c>
      <c r="J38" s="53" t="s">
        <v>38</v>
      </c>
      <c r="K38" s="53" t="s">
        <v>161</v>
      </c>
      <c r="L38" s="53">
        <v>1</v>
      </c>
      <c r="N38" s="53">
        <v>6</v>
      </c>
      <c r="O38" s="53">
        <v>0.25</v>
      </c>
      <c r="P38" s="53">
        <v>0.25</v>
      </c>
      <c r="Q38" s="84">
        <f t="shared" si="0"/>
        <v>0.25</v>
      </c>
      <c r="R38" s="53">
        <v>14.9</v>
      </c>
      <c r="S38" s="53">
        <v>111</v>
      </c>
      <c r="T38" s="16">
        <f t="shared" si="1"/>
        <v>33</v>
      </c>
      <c r="U38" s="53">
        <v>538</v>
      </c>
      <c r="V38" s="16">
        <f t="shared" si="2"/>
        <v>2959</v>
      </c>
      <c r="W38" s="53">
        <v>1</v>
      </c>
      <c r="X38" s="53" t="s">
        <v>46</v>
      </c>
      <c r="Y38" s="53" t="s">
        <v>97</v>
      </c>
      <c r="Z38" s="53" t="s">
        <v>69</v>
      </c>
      <c r="AA38" s="53" t="s">
        <v>55</v>
      </c>
      <c r="AB38" s="53" t="s">
        <v>158</v>
      </c>
    </row>
    <row r="39" spans="1:28" s="53" customFormat="1" x14ac:dyDescent="0.15">
      <c r="A39" s="53" t="s">
        <v>41</v>
      </c>
      <c r="B39" s="53" t="s">
        <v>157</v>
      </c>
      <c r="C39" s="71">
        <v>2019</v>
      </c>
      <c r="D39" s="72" t="s">
        <v>165</v>
      </c>
      <c r="E39" s="53" t="s">
        <v>186</v>
      </c>
      <c r="F39" s="53" t="s">
        <v>188</v>
      </c>
      <c r="G39" s="53" t="s">
        <v>42</v>
      </c>
      <c r="H39" s="53" t="s">
        <v>160</v>
      </c>
      <c r="I39" s="53" t="s">
        <v>159</v>
      </c>
      <c r="J39" s="53" t="s">
        <v>38</v>
      </c>
      <c r="K39" s="53" t="s">
        <v>161</v>
      </c>
      <c r="L39" s="53">
        <v>2</v>
      </c>
      <c r="N39" s="53">
        <v>6</v>
      </c>
      <c r="O39" s="53">
        <v>0.25</v>
      </c>
      <c r="P39" s="53">
        <v>0.3</v>
      </c>
      <c r="Q39" s="84">
        <f t="shared" si="0"/>
        <v>0.27500000000000002</v>
      </c>
      <c r="R39" s="53">
        <v>16</v>
      </c>
      <c r="S39" s="53">
        <v>105</v>
      </c>
      <c r="T39" s="16">
        <f t="shared" si="1"/>
        <v>33</v>
      </c>
      <c r="U39" s="53">
        <v>538</v>
      </c>
      <c r="V39" s="16">
        <f t="shared" si="2"/>
        <v>2959</v>
      </c>
      <c r="W39" s="53">
        <v>1</v>
      </c>
      <c r="X39" s="53" t="s">
        <v>46</v>
      </c>
      <c r="Y39" s="53" t="s">
        <v>97</v>
      </c>
      <c r="Z39" s="53" t="s">
        <v>69</v>
      </c>
      <c r="AA39" s="53" t="s">
        <v>55</v>
      </c>
      <c r="AB39" s="53" t="s">
        <v>158</v>
      </c>
    </row>
    <row r="40" spans="1:28" s="53" customFormat="1" x14ac:dyDescent="0.15">
      <c r="A40" s="53" t="s">
        <v>41</v>
      </c>
      <c r="B40" s="53" t="s">
        <v>157</v>
      </c>
      <c r="C40" s="71">
        <v>2019</v>
      </c>
      <c r="D40" s="72" t="s">
        <v>165</v>
      </c>
      <c r="E40" s="53" t="s">
        <v>186</v>
      </c>
      <c r="F40" s="53" t="s">
        <v>188</v>
      </c>
      <c r="G40" s="53" t="s">
        <v>42</v>
      </c>
      <c r="H40" s="53" t="s">
        <v>160</v>
      </c>
      <c r="I40" s="53" t="s">
        <v>159</v>
      </c>
      <c r="J40" s="53" t="s">
        <v>38</v>
      </c>
      <c r="K40" s="53" t="s">
        <v>161</v>
      </c>
      <c r="L40" s="53">
        <v>3</v>
      </c>
      <c r="N40" s="53">
        <v>6</v>
      </c>
      <c r="O40" s="53">
        <v>0.25</v>
      </c>
      <c r="P40" s="53">
        <v>0.25</v>
      </c>
      <c r="Q40" s="84">
        <f t="shared" si="0"/>
        <v>0.25</v>
      </c>
      <c r="R40" s="53">
        <v>17.399999999999999</v>
      </c>
      <c r="S40" s="53">
        <v>107</v>
      </c>
      <c r="T40" s="16">
        <f t="shared" si="1"/>
        <v>33</v>
      </c>
      <c r="U40" s="53">
        <v>538</v>
      </c>
      <c r="V40" s="16">
        <f t="shared" si="2"/>
        <v>2959</v>
      </c>
      <c r="W40" s="53">
        <v>1</v>
      </c>
      <c r="X40" s="53" t="s">
        <v>46</v>
      </c>
      <c r="Y40" s="53" t="s">
        <v>97</v>
      </c>
      <c r="Z40" s="53" t="s">
        <v>69</v>
      </c>
      <c r="AA40" s="53" t="s">
        <v>55</v>
      </c>
      <c r="AB40" s="53" t="s">
        <v>158</v>
      </c>
    </row>
    <row r="41" spans="1:28" s="53" customFormat="1" x14ac:dyDescent="0.15">
      <c r="A41" s="53" t="s">
        <v>41</v>
      </c>
      <c r="B41" s="53" t="s">
        <v>157</v>
      </c>
      <c r="C41" s="71">
        <v>2019</v>
      </c>
      <c r="D41" s="72" t="s">
        <v>165</v>
      </c>
      <c r="E41" s="53" t="s">
        <v>186</v>
      </c>
      <c r="F41" s="53" t="s">
        <v>188</v>
      </c>
      <c r="G41" s="53" t="s">
        <v>42</v>
      </c>
      <c r="H41" s="53" t="s">
        <v>164</v>
      </c>
      <c r="I41" s="53" t="s">
        <v>159</v>
      </c>
      <c r="J41" s="53" t="s">
        <v>38</v>
      </c>
      <c r="K41" s="53" t="s">
        <v>161</v>
      </c>
      <c r="L41" s="53">
        <v>1</v>
      </c>
      <c r="N41" s="53">
        <v>1</v>
      </c>
      <c r="O41" s="53">
        <v>0.45</v>
      </c>
      <c r="P41" s="53">
        <v>0.6</v>
      </c>
      <c r="Q41" s="16">
        <f t="shared" si="0"/>
        <v>0.52500000000000002</v>
      </c>
      <c r="R41" s="53">
        <v>14.8</v>
      </c>
      <c r="S41" s="53">
        <v>126</v>
      </c>
      <c r="T41" s="16">
        <f t="shared" si="1"/>
        <v>27</v>
      </c>
      <c r="U41" s="53">
        <v>105</v>
      </c>
      <c r="V41" s="16">
        <f t="shared" si="2"/>
        <v>2835</v>
      </c>
      <c r="W41" s="53">
        <v>3</v>
      </c>
      <c r="X41" s="53" t="s">
        <v>46</v>
      </c>
      <c r="Y41" s="53" t="s">
        <v>97</v>
      </c>
      <c r="Z41" s="53" t="s">
        <v>69</v>
      </c>
      <c r="AA41" s="53" t="s">
        <v>55</v>
      </c>
      <c r="AB41" s="53" t="s">
        <v>158</v>
      </c>
    </row>
    <row r="42" spans="1:28" s="53" customFormat="1" x14ac:dyDescent="0.15">
      <c r="A42" s="53" t="s">
        <v>41</v>
      </c>
      <c r="B42" s="53" t="s">
        <v>157</v>
      </c>
      <c r="C42" s="71">
        <v>2019</v>
      </c>
      <c r="D42" s="72" t="s">
        <v>165</v>
      </c>
      <c r="E42" s="53" t="s">
        <v>186</v>
      </c>
      <c r="F42" s="53" t="s">
        <v>188</v>
      </c>
      <c r="G42" s="53" t="s">
        <v>42</v>
      </c>
      <c r="H42" s="53" t="s">
        <v>164</v>
      </c>
      <c r="I42" s="53" t="s">
        <v>159</v>
      </c>
      <c r="J42" s="53" t="s">
        <v>38</v>
      </c>
      <c r="K42" s="53" t="s">
        <v>161</v>
      </c>
      <c r="L42" s="53">
        <v>2</v>
      </c>
      <c r="N42" s="53">
        <v>1</v>
      </c>
      <c r="O42" s="53">
        <v>0.6</v>
      </c>
      <c r="P42" s="53">
        <v>0.65</v>
      </c>
      <c r="Q42" s="16">
        <f t="shared" si="0"/>
        <v>0.625</v>
      </c>
      <c r="R42" s="53">
        <v>14.9</v>
      </c>
      <c r="S42" s="53">
        <v>123</v>
      </c>
      <c r="T42" s="16">
        <f t="shared" si="1"/>
        <v>27</v>
      </c>
      <c r="U42" s="53">
        <v>105</v>
      </c>
      <c r="V42" s="16">
        <f t="shared" si="2"/>
        <v>2835</v>
      </c>
      <c r="W42" s="53">
        <v>3</v>
      </c>
      <c r="X42" s="53" t="s">
        <v>46</v>
      </c>
      <c r="Y42" s="53" t="s">
        <v>97</v>
      </c>
      <c r="Z42" s="53" t="s">
        <v>69</v>
      </c>
      <c r="AA42" s="53" t="s">
        <v>55</v>
      </c>
      <c r="AB42" s="53" t="s">
        <v>158</v>
      </c>
    </row>
    <row r="43" spans="1:28" s="53" customFormat="1" x14ac:dyDescent="0.15">
      <c r="A43" s="53" t="s">
        <v>41</v>
      </c>
      <c r="B43" s="53" t="s">
        <v>157</v>
      </c>
      <c r="C43" s="71">
        <v>2019</v>
      </c>
      <c r="D43" s="72" t="s">
        <v>165</v>
      </c>
      <c r="E43" s="53" t="s">
        <v>186</v>
      </c>
      <c r="F43" s="53" t="s">
        <v>188</v>
      </c>
      <c r="G43" s="53" t="s">
        <v>42</v>
      </c>
      <c r="H43" s="53" t="s">
        <v>164</v>
      </c>
      <c r="I43" s="53" t="s">
        <v>159</v>
      </c>
      <c r="J43" s="53" t="s">
        <v>38</v>
      </c>
      <c r="K43" s="53" t="s">
        <v>161</v>
      </c>
      <c r="L43" s="53">
        <v>3</v>
      </c>
      <c r="N43" s="53">
        <v>1</v>
      </c>
      <c r="O43" s="53">
        <v>0.5</v>
      </c>
      <c r="P43" s="53">
        <v>0.5</v>
      </c>
      <c r="Q43" s="16">
        <f t="shared" si="0"/>
        <v>0.5</v>
      </c>
      <c r="R43" s="53">
        <v>15</v>
      </c>
      <c r="S43" s="53">
        <v>124</v>
      </c>
      <c r="T43" s="16">
        <f t="shared" si="1"/>
        <v>27</v>
      </c>
      <c r="U43" s="53">
        <v>105</v>
      </c>
      <c r="V43" s="16">
        <f t="shared" si="2"/>
        <v>2835</v>
      </c>
      <c r="W43" s="53">
        <v>3</v>
      </c>
      <c r="X43" s="53" t="s">
        <v>46</v>
      </c>
      <c r="Y43" s="53" t="s">
        <v>97</v>
      </c>
      <c r="Z43" s="53" t="s">
        <v>69</v>
      </c>
      <c r="AA43" s="53" t="s">
        <v>55</v>
      </c>
      <c r="AB43" s="53" t="s">
        <v>158</v>
      </c>
    </row>
    <row r="44" spans="1:28" s="53" customFormat="1" x14ac:dyDescent="0.15">
      <c r="A44" s="53" t="s">
        <v>41</v>
      </c>
      <c r="B44" s="53" t="s">
        <v>157</v>
      </c>
      <c r="C44" s="71">
        <v>2019</v>
      </c>
      <c r="D44" s="72" t="s">
        <v>165</v>
      </c>
      <c r="E44" s="53" t="s">
        <v>186</v>
      </c>
      <c r="F44" s="53" t="s">
        <v>188</v>
      </c>
      <c r="G44" s="53" t="s">
        <v>42</v>
      </c>
      <c r="H44" s="53" t="s">
        <v>164</v>
      </c>
      <c r="I44" s="53" t="s">
        <v>159</v>
      </c>
      <c r="J44" s="53" t="s">
        <v>38</v>
      </c>
      <c r="K44" s="53" t="s">
        <v>161</v>
      </c>
      <c r="L44" s="53">
        <v>1</v>
      </c>
      <c r="N44" s="53">
        <v>5</v>
      </c>
      <c r="O44" s="53">
        <v>0.8</v>
      </c>
      <c r="P44" s="53">
        <v>0.7</v>
      </c>
      <c r="Q44" s="16">
        <f t="shared" si="0"/>
        <v>0.75</v>
      </c>
      <c r="R44" s="53">
        <v>15.6</v>
      </c>
      <c r="S44" s="53">
        <v>124</v>
      </c>
      <c r="T44" s="16">
        <f t="shared" si="1"/>
        <v>27</v>
      </c>
      <c r="U44" s="53">
        <v>429</v>
      </c>
      <c r="V44" s="16">
        <f t="shared" si="2"/>
        <v>2316.6</v>
      </c>
      <c r="W44" s="53">
        <v>1</v>
      </c>
      <c r="X44" s="53" t="s">
        <v>46</v>
      </c>
      <c r="Y44" s="53" t="s">
        <v>97</v>
      </c>
      <c r="Z44" s="53" t="s">
        <v>69</v>
      </c>
      <c r="AA44" s="53" t="s">
        <v>55</v>
      </c>
      <c r="AB44" s="53" t="s">
        <v>158</v>
      </c>
    </row>
    <row r="45" spans="1:28" s="53" customFormat="1" x14ac:dyDescent="0.15">
      <c r="A45" s="53" t="s">
        <v>41</v>
      </c>
      <c r="B45" s="53" t="s">
        <v>157</v>
      </c>
      <c r="C45" s="71">
        <v>2019</v>
      </c>
      <c r="D45" s="72" t="s">
        <v>165</v>
      </c>
      <c r="E45" s="53" t="s">
        <v>186</v>
      </c>
      <c r="F45" s="53" t="s">
        <v>188</v>
      </c>
      <c r="G45" s="53" t="s">
        <v>42</v>
      </c>
      <c r="H45" s="53" t="s">
        <v>164</v>
      </c>
      <c r="I45" s="53" t="s">
        <v>159</v>
      </c>
      <c r="J45" s="53" t="s">
        <v>38</v>
      </c>
      <c r="K45" s="53" t="s">
        <v>161</v>
      </c>
      <c r="L45" s="53">
        <v>2</v>
      </c>
      <c r="N45" s="53">
        <v>5</v>
      </c>
      <c r="O45" s="53">
        <v>0.6</v>
      </c>
      <c r="P45" s="53">
        <v>0.65</v>
      </c>
      <c r="Q45" s="16">
        <f t="shared" si="0"/>
        <v>0.625</v>
      </c>
      <c r="R45" s="53">
        <v>14.4</v>
      </c>
      <c r="S45" s="53">
        <v>125</v>
      </c>
      <c r="T45" s="16">
        <f t="shared" si="1"/>
        <v>27</v>
      </c>
      <c r="U45" s="53">
        <v>429</v>
      </c>
      <c r="V45" s="16">
        <f t="shared" si="2"/>
        <v>2316.6</v>
      </c>
      <c r="W45" s="53">
        <v>1</v>
      </c>
      <c r="X45" s="53" t="s">
        <v>46</v>
      </c>
      <c r="Y45" s="53" t="s">
        <v>97</v>
      </c>
      <c r="Z45" s="53" t="s">
        <v>69</v>
      </c>
      <c r="AA45" s="53" t="s">
        <v>55</v>
      </c>
      <c r="AB45" s="53" t="s">
        <v>158</v>
      </c>
    </row>
    <row r="46" spans="1:28" s="53" customFormat="1" x14ac:dyDescent="0.15">
      <c r="A46" s="53" t="s">
        <v>41</v>
      </c>
      <c r="B46" s="53" t="s">
        <v>157</v>
      </c>
      <c r="C46" s="71">
        <v>2019</v>
      </c>
      <c r="D46" s="72" t="s">
        <v>165</v>
      </c>
      <c r="E46" s="53" t="s">
        <v>186</v>
      </c>
      <c r="F46" s="53" t="s">
        <v>188</v>
      </c>
      <c r="G46" s="53" t="s">
        <v>42</v>
      </c>
      <c r="H46" s="53" t="s">
        <v>164</v>
      </c>
      <c r="I46" s="53" t="s">
        <v>159</v>
      </c>
      <c r="J46" s="53" t="s">
        <v>38</v>
      </c>
      <c r="K46" s="53" t="s">
        <v>161</v>
      </c>
      <c r="L46" s="53">
        <v>3</v>
      </c>
      <c r="N46" s="53">
        <v>5</v>
      </c>
      <c r="O46" s="53">
        <v>0.75</v>
      </c>
      <c r="P46" s="53">
        <v>0.55000000000000004</v>
      </c>
      <c r="Q46" s="16">
        <f t="shared" si="0"/>
        <v>0.65</v>
      </c>
      <c r="R46" s="53">
        <v>14</v>
      </c>
      <c r="S46" s="53">
        <v>125</v>
      </c>
      <c r="T46" s="16">
        <f t="shared" si="1"/>
        <v>27</v>
      </c>
      <c r="U46" s="53">
        <v>429</v>
      </c>
      <c r="V46" s="16">
        <f t="shared" si="2"/>
        <v>2316.6</v>
      </c>
      <c r="W46" s="53">
        <v>1</v>
      </c>
      <c r="X46" s="53" t="s">
        <v>46</v>
      </c>
      <c r="Y46" s="53" t="s">
        <v>97</v>
      </c>
      <c r="Z46" s="53" t="s">
        <v>69</v>
      </c>
      <c r="AA46" s="53" t="s">
        <v>55</v>
      </c>
      <c r="AB46" s="53" t="s">
        <v>158</v>
      </c>
    </row>
    <row r="47" spans="1:28" s="53" customFormat="1" x14ac:dyDescent="0.15">
      <c r="A47" s="53" t="s">
        <v>41</v>
      </c>
      <c r="B47" s="53" t="s">
        <v>157</v>
      </c>
      <c r="C47" s="71">
        <v>2019</v>
      </c>
      <c r="D47" s="72" t="s">
        <v>165</v>
      </c>
      <c r="E47" s="53" t="s">
        <v>186</v>
      </c>
      <c r="F47" s="53" t="s">
        <v>188</v>
      </c>
      <c r="G47" s="53" t="s">
        <v>42</v>
      </c>
      <c r="H47" s="53" t="s">
        <v>164</v>
      </c>
      <c r="I47" s="53" t="s">
        <v>159</v>
      </c>
      <c r="J47" s="53" t="s">
        <v>38</v>
      </c>
      <c r="K47" s="53" t="s">
        <v>161</v>
      </c>
      <c r="L47" s="53">
        <v>1</v>
      </c>
      <c r="N47" s="53">
        <v>7</v>
      </c>
      <c r="O47" s="53">
        <v>0.3</v>
      </c>
      <c r="P47" s="53">
        <v>0.25</v>
      </c>
      <c r="Q47" s="16">
        <f t="shared" si="0"/>
        <v>0.27500000000000002</v>
      </c>
      <c r="R47" s="53">
        <v>13.1</v>
      </c>
      <c r="S47" s="53">
        <v>90</v>
      </c>
      <c r="T47" s="16">
        <f t="shared" si="1"/>
        <v>36</v>
      </c>
      <c r="U47" s="53">
        <v>429</v>
      </c>
      <c r="V47" s="16">
        <f t="shared" si="2"/>
        <v>2206.2857142857142</v>
      </c>
      <c r="W47" s="53">
        <v>1</v>
      </c>
      <c r="X47" s="53" t="s">
        <v>46</v>
      </c>
      <c r="Y47" s="53" t="s">
        <v>97</v>
      </c>
      <c r="Z47" s="53" t="s">
        <v>69</v>
      </c>
      <c r="AA47" s="53" t="s">
        <v>55</v>
      </c>
      <c r="AB47" s="53" t="s">
        <v>158</v>
      </c>
    </row>
    <row r="48" spans="1:28" s="53" customFormat="1" x14ac:dyDescent="0.15">
      <c r="A48" s="53" t="s">
        <v>41</v>
      </c>
      <c r="B48" s="53" t="s">
        <v>157</v>
      </c>
      <c r="C48" s="71">
        <v>2019</v>
      </c>
      <c r="D48" s="72" t="s">
        <v>165</v>
      </c>
      <c r="E48" s="53" t="s">
        <v>186</v>
      </c>
      <c r="F48" s="53" t="s">
        <v>188</v>
      </c>
      <c r="G48" s="53" t="s">
        <v>42</v>
      </c>
      <c r="H48" s="53" t="s">
        <v>164</v>
      </c>
      <c r="I48" s="53" t="s">
        <v>159</v>
      </c>
      <c r="J48" s="53" t="s">
        <v>38</v>
      </c>
      <c r="K48" s="53" t="s">
        <v>161</v>
      </c>
      <c r="L48" s="53">
        <v>2</v>
      </c>
      <c r="N48" s="53">
        <v>7</v>
      </c>
      <c r="O48" s="53">
        <v>0.3</v>
      </c>
      <c r="P48" s="53">
        <v>0.3</v>
      </c>
      <c r="Q48" s="16">
        <f t="shared" si="0"/>
        <v>0.3</v>
      </c>
      <c r="R48" s="53">
        <v>13.2</v>
      </c>
      <c r="S48" s="53">
        <v>92</v>
      </c>
      <c r="T48" s="16">
        <f t="shared" si="1"/>
        <v>36</v>
      </c>
      <c r="U48" s="53">
        <v>429</v>
      </c>
      <c r="V48" s="16">
        <f t="shared" si="2"/>
        <v>2206.2857142857142</v>
      </c>
      <c r="W48" s="53">
        <v>1</v>
      </c>
      <c r="X48" s="53" t="s">
        <v>46</v>
      </c>
      <c r="Y48" s="53" t="s">
        <v>97</v>
      </c>
      <c r="Z48" s="53" t="s">
        <v>69</v>
      </c>
      <c r="AA48" s="53" t="s">
        <v>55</v>
      </c>
      <c r="AB48" s="53" t="s">
        <v>158</v>
      </c>
    </row>
    <row r="49" spans="1:28" s="53" customFormat="1" x14ac:dyDescent="0.15">
      <c r="A49" s="53" t="s">
        <v>41</v>
      </c>
      <c r="B49" s="53" t="s">
        <v>157</v>
      </c>
      <c r="C49" s="71">
        <v>2019</v>
      </c>
      <c r="D49" s="72" t="s">
        <v>165</v>
      </c>
      <c r="E49" s="53" t="s">
        <v>186</v>
      </c>
      <c r="F49" s="53" t="s">
        <v>188</v>
      </c>
      <c r="G49" s="53" t="s">
        <v>42</v>
      </c>
      <c r="H49" s="53" t="s">
        <v>164</v>
      </c>
      <c r="I49" s="53" t="s">
        <v>159</v>
      </c>
      <c r="J49" s="53" t="s">
        <v>38</v>
      </c>
      <c r="K49" s="53" t="s">
        <v>161</v>
      </c>
      <c r="L49" s="53">
        <v>3</v>
      </c>
      <c r="N49" s="53">
        <v>7</v>
      </c>
      <c r="O49" s="53">
        <v>0.25</v>
      </c>
      <c r="P49" s="53">
        <v>0.25</v>
      </c>
      <c r="Q49" s="16">
        <f t="shared" si="0"/>
        <v>0.25</v>
      </c>
      <c r="R49" s="53">
        <v>14.2</v>
      </c>
      <c r="S49" s="53">
        <v>94</v>
      </c>
      <c r="T49" s="16">
        <f t="shared" si="1"/>
        <v>36</v>
      </c>
      <c r="U49" s="53">
        <v>429</v>
      </c>
      <c r="V49" s="16">
        <f t="shared" si="2"/>
        <v>2206.2857142857142</v>
      </c>
      <c r="W49" s="53">
        <v>1</v>
      </c>
      <c r="X49" s="53" t="s">
        <v>46</v>
      </c>
      <c r="Y49" s="53" t="s">
        <v>97</v>
      </c>
      <c r="Z49" s="53" t="s">
        <v>69</v>
      </c>
      <c r="AA49" s="53" t="s">
        <v>55</v>
      </c>
      <c r="AB49" s="53" t="s">
        <v>158</v>
      </c>
    </row>
    <row r="50" spans="1:28" s="53" customFormat="1" x14ac:dyDescent="0.15">
      <c r="A50" s="53" t="s">
        <v>41</v>
      </c>
      <c r="B50" s="53" t="s">
        <v>157</v>
      </c>
      <c r="C50" s="71">
        <v>2019</v>
      </c>
      <c r="D50" s="72" t="s">
        <v>165</v>
      </c>
      <c r="E50" s="53" t="s">
        <v>186</v>
      </c>
      <c r="F50" s="53" t="s">
        <v>188</v>
      </c>
      <c r="G50" s="53" t="s">
        <v>42</v>
      </c>
      <c r="H50" s="53" t="s">
        <v>160</v>
      </c>
      <c r="I50" s="53" t="s">
        <v>197</v>
      </c>
      <c r="J50" s="53" t="s">
        <v>38</v>
      </c>
      <c r="K50" s="53" t="s">
        <v>161</v>
      </c>
      <c r="L50" s="53">
        <v>1</v>
      </c>
      <c r="N50" s="53">
        <v>2</v>
      </c>
      <c r="O50" s="53">
        <v>0.3</v>
      </c>
      <c r="P50" s="53">
        <v>0.25</v>
      </c>
      <c r="Q50" s="16">
        <f t="shared" si="0"/>
        <v>0.27500000000000002</v>
      </c>
      <c r="R50" s="53">
        <v>13.2</v>
      </c>
      <c r="S50" s="53">
        <v>128</v>
      </c>
      <c r="T50" s="16">
        <f t="shared" si="1"/>
        <v>27</v>
      </c>
      <c r="U50" s="53">
        <v>321</v>
      </c>
      <c r="V50" s="16">
        <f t="shared" si="2"/>
        <v>4333.5</v>
      </c>
      <c r="W50" s="53">
        <v>2</v>
      </c>
      <c r="X50" s="53" t="s">
        <v>46</v>
      </c>
      <c r="Y50" s="53" t="s">
        <v>97</v>
      </c>
      <c r="Z50" s="53" t="s">
        <v>69</v>
      </c>
      <c r="AA50" s="53" t="s">
        <v>55</v>
      </c>
      <c r="AB50" s="53" t="s">
        <v>158</v>
      </c>
    </row>
    <row r="51" spans="1:28" s="53" customFormat="1" x14ac:dyDescent="0.15">
      <c r="A51" s="53" t="s">
        <v>41</v>
      </c>
      <c r="B51" s="53" t="s">
        <v>157</v>
      </c>
      <c r="C51" s="71">
        <v>2019</v>
      </c>
      <c r="D51" s="72" t="s">
        <v>165</v>
      </c>
      <c r="E51" s="53" t="s">
        <v>186</v>
      </c>
      <c r="F51" s="53" t="s">
        <v>188</v>
      </c>
      <c r="G51" s="53" t="s">
        <v>42</v>
      </c>
      <c r="H51" s="53" t="s">
        <v>160</v>
      </c>
      <c r="I51" s="53" t="s">
        <v>197</v>
      </c>
      <c r="J51" s="53" t="s">
        <v>38</v>
      </c>
      <c r="K51" s="53" t="s">
        <v>161</v>
      </c>
      <c r="L51" s="53">
        <v>2</v>
      </c>
      <c r="N51" s="53">
        <v>2</v>
      </c>
      <c r="O51" s="53">
        <v>0.35</v>
      </c>
      <c r="P51" s="53">
        <v>0.3</v>
      </c>
      <c r="Q51" s="16">
        <f t="shared" si="0"/>
        <v>0.32499999999999996</v>
      </c>
      <c r="R51" s="53">
        <v>15.2</v>
      </c>
      <c r="S51" s="53">
        <v>131</v>
      </c>
      <c r="T51" s="16">
        <f t="shared" si="1"/>
        <v>25</v>
      </c>
      <c r="U51" s="53">
        <v>321</v>
      </c>
      <c r="V51" s="16">
        <f t="shared" si="2"/>
        <v>4012.5</v>
      </c>
      <c r="W51" s="53">
        <v>2</v>
      </c>
      <c r="X51" s="53" t="s">
        <v>46</v>
      </c>
      <c r="Y51" s="53" t="s">
        <v>97</v>
      </c>
      <c r="Z51" s="53" t="s">
        <v>69</v>
      </c>
      <c r="AA51" s="53" t="s">
        <v>55</v>
      </c>
      <c r="AB51" s="53" t="s">
        <v>158</v>
      </c>
    </row>
    <row r="52" spans="1:28" s="53" customFormat="1" x14ac:dyDescent="0.15">
      <c r="A52" s="53" t="s">
        <v>41</v>
      </c>
      <c r="B52" s="53" t="s">
        <v>157</v>
      </c>
      <c r="C52" s="71">
        <v>2019</v>
      </c>
      <c r="D52" s="72" t="s">
        <v>165</v>
      </c>
      <c r="E52" s="53" t="s">
        <v>186</v>
      </c>
      <c r="F52" s="53" t="s">
        <v>188</v>
      </c>
      <c r="G52" s="53" t="s">
        <v>42</v>
      </c>
      <c r="H52" s="53" t="s">
        <v>160</v>
      </c>
      <c r="I52" s="53" t="s">
        <v>197</v>
      </c>
      <c r="J52" s="53" t="s">
        <v>38</v>
      </c>
      <c r="K52" s="53" t="s">
        <v>161</v>
      </c>
      <c r="L52" s="53">
        <v>3</v>
      </c>
      <c r="N52" s="53">
        <v>2</v>
      </c>
      <c r="O52" s="53">
        <v>0.25</v>
      </c>
      <c r="P52" s="53">
        <v>0.25</v>
      </c>
      <c r="Q52" s="16">
        <f t="shared" si="0"/>
        <v>0.25</v>
      </c>
      <c r="R52" s="53">
        <v>13.3</v>
      </c>
      <c r="S52" s="53">
        <v>130</v>
      </c>
      <c r="T52" s="16">
        <f t="shared" si="1"/>
        <v>25</v>
      </c>
      <c r="U52" s="53">
        <v>321</v>
      </c>
      <c r="V52" s="16">
        <f t="shared" si="2"/>
        <v>4012.5</v>
      </c>
      <c r="W52" s="53">
        <v>2</v>
      </c>
      <c r="X52" s="53" t="s">
        <v>46</v>
      </c>
      <c r="Y52" s="53" t="s">
        <v>97</v>
      </c>
      <c r="Z52" s="53" t="s">
        <v>69</v>
      </c>
      <c r="AA52" s="53" t="s">
        <v>55</v>
      </c>
      <c r="AB52" s="53" t="s">
        <v>158</v>
      </c>
    </row>
    <row r="53" spans="1:28" s="53" customFormat="1" x14ac:dyDescent="0.15">
      <c r="A53" s="53" t="s">
        <v>41</v>
      </c>
      <c r="B53" s="53" t="s">
        <v>157</v>
      </c>
      <c r="C53" s="71">
        <v>2019</v>
      </c>
      <c r="D53" s="72" t="s">
        <v>165</v>
      </c>
      <c r="E53" s="53" t="s">
        <v>193</v>
      </c>
      <c r="F53" s="53" t="s">
        <v>184</v>
      </c>
      <c r="G53" s="53" t="s">
        <v>42</v>
      </c>
      <c r="H53" s="53" t="s">
        <v>164</v>
      </c>
      <c r="I53" s="53" t="s">
        <v>159</v>
      </c>
      <c r="J53" s="53" t="s">
        <v>38</v>
      </c>
      <c r="K53" s="53" t="s">
        <v>161</v>
      </c>
      <c r="L53" s="53">
        <v>1</v>
      </c>
      <c r="N53" s="53">
        <v>1</v>
      </c>
      <c r="O53" s="53">
        <v>0.65</v>
      </c>
      <c r="P53" s="53">
        <v>0.7</v>
      </c>
      <c r="Q53" s="84">
        <f t="shared" si="0"/>
        <v>0.67500000000000004</v>
      </c>
      <c r="R53" s="53">
        <v>13.3</v>
      </c>
      <c r="S53" s="53">
        <v>124</v>
      </c>
      <c r="T53" s="16">
        <f t="shared" si="1"/>
        <v>27</v>
      </c>
      <c r="U53" s="53">
        <v>84</v>
      </c>
      <c r="V53" s="16">
        <f t="shared" si="2"/>
        <v>2268</v>
      </c>
      <c r="W53" s="53">
        <v>4</v>
      </c>
      <c r="X53" s="53" t="s">
        <v>46</v>
      </c>
      <c r="Y53" s="53" t="s">
        <v>97</v>
      </c>
      <c r="Z53" s="53" t="s">
        <v>55</v>
      </c>
      <c r="AA53" s="53" t="s">
        <v>86</v>
      </c>
      <c r="AB53" s="53" t="s">
        <v>158</v>
      </c>
    </row>
    <row r="54" spans="1:28" s="53" customFormat="1" x14ac:dyDescent="0.15">
      <c r="A54" s="53" t="s">
        <v>41</v>
      </c>
      <c r="B54" s="53" t="s">
        <v>157</v>
      </c>
      <c r="C54" s="71">
        <v>2019</v>
      </c>
      <c r="D54" s="72" t="s">
        <v>165</v>
      </c>
      <c r="E54" s="53" t="s">
        <v>193</v>
      </c>
      <c r="F54" s="53" t="s">
        <v>184</v>
      </c>
      <c r="G54" s="53" t="s">
        <v>42</v>
      </c>
      <c r="H54" s="53" t="s">
        <v>164</v>
      </c>
      <c r="I54" s="53" t="s">
        <v>159</v>
      </c>
      <c r="J54" s="53" t="s">
        <v>38</v>
      </c>
      <c r="K54" s="53" t="s">
        <v>161</v>
      </c>
      <c r="L54" s="53">
        <v>2</v>
      </c>
      <c r="N54" s="53">
        <v>1</v>
      </c>
      <c r="O54" s="53">
        <v>0.8</v>
      </c>
      <c r="P54" s="53">
        <v>0.65</v>
      </c>
      <c r="Q54" s="84">
        <f t="shared" si="0"/>
        <v>0.72500000000000009</v>
      </c>
      <c r="R54" s="53">
        <v>15</v>
      </c>
      <c r="S54" s="53">
        <v>122</v>
      </c>
      <c r="T54" s="16">
        <f t="shared" si="1"/>
        <v>27</v>
      </c>
      <c r="U54" s="53">
        <v>84</v>
      </c>
      <c r="V54" s="16">
        <f t="shared" si="2"/>
        <v>2268</v>
      </c>
      <c r="W54" s="53">
        <v>4</v>
      </c>
      <c r="X54" s="53" t="s">
        <v>46</v>
      </c>
      <c r="Y54" s="53" t="s">
        <v>97</v>
      </c>
      <c r="Z54" s="53" t="s">
        <v>55</v>
      </c>
      <c r="AA54" s="53" t="s">
        <v>86</v>
      </c>
      <c r="AB54" s="53" t="s">
        <v>158</v>
      </c>
    </row>
    <row r="55" spans="1:28" s="53" customFormat="1" x14ac:dyDescent="0.15">
      <c r="A55" s="53" t="s">
        <v>41</v>
      </c>
      <c r="B55" s="53" t="s">
        <v>157</v>
      </c>
      <c r="C55" s="71">
        <v>2019</v>
      </c>
      <c r="D55" s="72" t="s">
        <v>165</v>
      </c>
      <c r="E55" s="53" t="s">
        <v>193</v>
      </c>
      <c r="F55" s="53" t="s">
        <v>184</v>
      </c>
      <c r="G55" s="53" t="s">
        <v>42</v>
      </c>
      <c r="H55" s="53" t="s">
        <v>164</v>
      </c>
      <c r="I55" s="53" t="s">
        <v>159</v>
      </c>
      <c r="J55" s="53" t="s">
        <v>38</v>
      </c>
      <c r="K55" s="53" t="s">
        <v>161</v>
      </c>
      <c r="L55" s="53">
        <v>3</v>
      </c>
      <c r="N55" s="53">
        <v>1</v>
      </c>
      <c r="O55" s="53">
        <v>0.75</v>
      </c>
      <c r="P55" s="53">
        <v>0.8</v>
      </c>
      <c r="Q55" s="84">
        <f t="shared" si="0"/>
        <v>0.77500000000000002</v>
      </c>
      <c r="R55" s="53">
        <v>14.2</v>
      </c>
      <c r="S55" s="53">
        <v>122</v>
      </c>
      <c r="T55" s="16">
        <f t="shared" si="1"/>
        <v>27</v>
      </c>
      <c r="U55" s="53">
        <v>84</v>
      </c>
      <c r="V55" s="16">
        <f t="shared" si="2"/>
        <v>2268</v>
      </c>
      <c r="W55" s="53">
        <v>4</v>
      </c>
      <c r="X55" s="53" t="s">
        <v>46</v>
      </c>
      <c r="Y55" s="53" t="s">
        <v>97</v>
      </c>
      <c r="Z55" s="53" t="s">
        <v>55</v>
      </c>
      <c r="AA55" s="53" t="s">
        <v>86</v>
      </c>
      <c r="AB55" s="53" t="s">
        <v>158</v>
      </c>
    </row>
    <row r="56" spans="1:28" s="53" customFormat="1" x14ac:dyDescent="0.15">
      <c r="A56" s="53" t="s">
        <v>41</v>
      </c>
      <c r="B56" s="53" t="s">
        <v>157</v>
      </c>
      <c r="C56" s="71">
        <v>2019</v>
      </c>
      <c r="D56" s="72" t="s">
        <v>165</v>
      </c>
      <c r="E56" s="53" t="s">
        <v>193</v>
      </c>
      <c r="F56" s="53" t="s">
        <v>184</v>
      </c>
      <c r="G56" s="53" t="s">
        <v>42</v>
      </c>
      <c r="H56" s="53" t="s">
        <v>164</v>
      </c>
      <c r="I56" s="53" t="s">
        <v>159</v>
      </c>
      <c r="J56" s="53" t="s">
        <v>38</v>
      </c>
      <c r="K56" s="53" t="s">
        <v>161</v>
      </c>
      <c r="L56" s="53">
        <v>1</v>
      </c>
      <c r="N56" s="53">
        <v>6</v>
      </c>
      <c r="O56" s="53">
        <v>0.35</v>
      </c>
      <c r="P56" s="53">
        <v>0.3</v>
      </c>
      <c r="Q56" s="84">
        <f t="shared" si="0"/>
        <v>0.32499999999999996</v>
      </c>
      <c r="R56" s="53">
        <v>14.4</v>
      </c>
      <c r="S56" s="53">
        <v>117</v>
      </c>
      <c r="T56" s="16">
        <f t="shared" si="1"/>
        <v>30</v>
      </c>
      <c r="U56" s="53">
        <v>429</v>
      </c>
      <c r="V56" s="16">
        <f t="shared" si="2"/>
        <v>2145</v>
      </c>
      <c r="W56" s="53">
        <v>2</v>
      </c>
      <c r="X56" s="53" t="s">
        <v>46</v>
      </c>
      <c r="Y56" s="53" t="s">
        <v>97</v>
      </c>
      <c r="Z56" s="53" t="s">
        <v>55</v>
      </c>
      <c r="AA56" s="53" t="s">
        <v>86</v>
      </c>
      <c r="AB56" s="53" t="s">
        <v>158</v>
      </c>
    </row>
    <row r="57" spans="1:28" s="53" customFormat="1" x14ac:dyDescent="0.15">
      <c r="A57" s="53" t="s">
        <v>41</v>
      </c>
      <c r="B57" s="53" t="s">
        <v>157</v>
      </c>
      <c r="C57" s="71">
        <v>2019</v>
      </c>
      <c r="D57" s="72" t="s">
        <v>165</v>
      </c>
      <c r="E57" s="53" t="s">
        <v>193</v>
      </c>
      <c r="F57" s="53" t="s">
        <v>184</v>
      </c>
      <c r="G57" s="53" t="s">
        <v>42</v>
      </c>
      <c r="H57" s="53" t="s">
        <v>164</v>
      </c>
      <c r="I57" s="53" t="s">
        <v>159</v>
      </c>
      <c r="J57" s="53" t="s">
        <v>38</v>
      </c>
      <c r="K57" s="53" t="s">
        <v>161</v>
      </c>
      <c r="L57" s="53">
        <v>2</v>
      </c>
      <c r="N57" s="53">
        <v>6</v>
      </c>
      <c r="O57" s="53">
        <v>0.4</v>
      </c>
      <c r="P57" s="53">
        <v>0.35</v>
      </c>
      <c r="Q57" s="84">
        <f t="shared" si="0"/>
        <v>0.375</v>
      </c>
      <c r="R57" s="53">
        <v>12.6</v>
      </c>
      <c r="S57" s="53">
        <v>114</v>
      </c>
      <c r="T57" s="16">
        <f t="shared" si="1"/>
        <v>30</v>
      </c>
      <c r="U57" s="53">
        <v>429</v>
      </c>
      <c r="V57" s="16">
        <f t="shared" si="2"/>
        <v>2145</v>
      </c>
      <c r="W57" s="53">
        <v>2</v>
      </c>
      <c r="X57" s="53" t="s">
        <v>46</v>
      </c>
      <c r="Y57" s="53" t="s">
        <v>97</v>
      </c>
      <c r="Z57" s="53" t="s">
        <v>55</v>
      </c>
      <c r="AA57" s="53" t="s">
        <v>86</v>
      </c>
      <c r="AB57" s="53" t="s">
        <v>158</v>
      </c>
    </row>
    <row r="58" spans="1:28" s="53" customFormat="1" x14ac:dyDescent="0.15">
      <c r="A58" s="53" t="s">
        <v>41</v>
      </c>
      <c r="B58" s="53" t="s">
        <v>157</v>
      </c>
      <c r="C58" s="71">
        <v>2019</v>
      </c>
      <c r="D58" s="72" t="s">
        <v>165</v>
      </c>
      <c r="E58" s="53" t="s">
        <v>193</v>
      </c>
      <c r="F58" s="53" t="s">
        <v>184</v>
      </c>
      <c r="G58" s="53" t="s">
        <v>42</v>
      </c>
      <c r="H58" s="53" t="s">
        <v>164</v>
      </c>
      <c r="I58" s="53" t="s">
        <v>159</v>
      </c>
      <c r="J58" s="53" t="s">
        <v>38</v>
      </c>
      <c r="K58" s="53" t="s">
        <v>161</v>
      </c>
      <c r="L58" s="53">
        <v>3</v>
      </c>
      <c r="N58" s="53">
        <v>6</v>
      </c>
      <c r="O58" s="53">
        <v>0.45</v>
      </c>
      <c r="P58" s="53">
        <v>0.4</v>
      </c>
      <c r="Q58" s="84">
        <f t="shared" si="0"/>
        <v>0.42500000000000004</v>
      </c>
      <c r="R58" s="53">
        <v>15</v>
      </c>
      <c r="S58" s="53">
        <v>116</v>
      </c>
      <c r="T58" s="16">
        <f t="shared" si="1"/>
        <v>30</v>
      </c>
      <c r="U58" s="53">
        <v>429</v>
      </c>
      <c r="V58" s="16">
        <f t="shared" si="2"/>
        <v>2145</v>
      </c>
      <c r="W58" s="53">
        <v>2</v>
      </c>
      <c r="X58" s="53" t="s">
        <v>46</v>
      </c>
      <c r="Y58" s="53" t="s">
        <v>97</v>
      </c>
      <c r="Z58" s="53" t="s">
        <v>55</v>
      </c>
      <c r="AA58" s="53" t="s">
        <v>86</v>
      </c>
      <c r="AB58" s="53" t="s">
        <v>158</v>
      </c>
    </row>
    <row r="59" spans="1:28" s="53" customFormat="1" x14ac:dyDescent="0.15">
      <c r="A59" s="53" t="s">
        <v>41</v>
      </c>
      <c r="B59" s="53" t="s">
        <v>157</v>
      </c>
      <c r="C59" s="71">
        <v>2019</v>
      </c>
      <c r="D59" s="72" t="s">
        <v>165</v>
      </c>
      <c r="E59" s="53" t="s">
        <v>193</v>
      </c>
      <c r="F59" s="53" t="s">
        <v>184</v>
      </c>
      <c r="G59" s="53" t="s">
        <v>42</v>
      </c>
      <c r="H59" s="53" t="s">
        <v>164</v>
      </c>
      <c r="I59" s="53" t="s">
        <v>159</v>
      </c>
      <c r="J59" s="53" t="s">
        <v>38</v>
      </c>
      <c r="K59" s="53" t="s">
        <v>161</v>
      </c>
      <c r="L59" s="53">
        <v>1</v>
      </c>
      <c r="N59" s="53">
        <v>8</v>
      </c>
      <c r="O59" s="53">
        <v>0.3</v>
      </c>
      <c r="P59" s="53">
        <v>0.45</v>
      </c>
      <c r="Q59" s="84">
        <f t="shared" si="0"/>
        <v>0.375</v>
      </c>
      <c r="R59" s="53">
        <v>14.8</v>
      </c>
      <c r="S59" s="53">
        <v>120</v>
      </c>
      <c r="T59" s="16">
        <f t="shared" si="1"/>
        <v>30</v>
      </c>
      <c r="U59" s="53">
        <v>626</v>
      </c>
      <c r="V59" s="16">
        <f t="shared" si="2"/>
        <v>2347.5</v>
      </c>
      <c r="W59" s="53">
        <v>2</v>
      </c>
      <c r="X59" s="53" t="s">
        <v>46</v>
      </c>
      <c r="Y59" s="53" t="s">
        <v>97</v>
      </c>
      <c r="Z59" s="53" t="s">
        <v>55</v>
      </c>
      <c r="AA59" s="53" t="s">
        <v>86</v>
      </c>
      <c r="AB59" s="53" t="s">
        <v>158</v>
      </c>
    </row>
    <row r="60" spans="1:28" s="53" customFormat="1" x14ac:dyDescent="0.15">
      <c r="A60" s="53" t="s">
        <v>41</v>
      </c>
      <c r="B60" s="53" t="s">
        <v>157</v>
      </c>
      <c r="C60" s="71">
        <v>2019</v>
      </c>
      <c r="D60" s="72" t="s">
        <v>165</v>
      </c>
      <c r="E60" s="53" t="s">
        <v>193</v>
      </c>
      <c r="F60" s="53" t="s">
        <v>184</v>
      </c>
      <c r="G60" s="53" t="s">
        <v>42</v>
      </c>
      <c r="H60" s="53" t="s">
        <v>164</v>
      </c>
      <c r="I60" s="53" t="s">
        <v>159</v>
      </c>
      <c r="J60" s="53" t="s">
        <v>38</v>
      </c>
      <c r="K60" s="53" t="s">
        <v>161</v>
      </c>
      <c r="L60" s="53">
        <v>2</v>
      </c>
      <c r="N60" s="53">
        <v>8</v>
      </c>
      <c r="O60" s="53">
        <v>0.25</v>
      </c>
      <c r="P60" s="53">
        <v>0.3</v>
      </c>
      <c r="Q60" s="84">
        <f t="shared" si="0"/>
        <v>0.27500000000000002</v>
      </c>
      <c r="R60" s="53">
        <v>15.4</v>
      </c>
      <c r="S60" s="53">
        <v>117</v>
      </c>
      <c r="T60" s="16">
        <f t="shared" si="1"/>
        <v>30</v>
      </c>
      <c r="U60" s="53">
        <v>626</v>
      </c>
      <c r="V60" s="16">
        <f t="shared" si="2"/>
        <v>2347.5</v>
      </c>
      <c r="W60" s="53">
        <v>2</v>
      </c>
      <c r="X60" s="53" t="s">
        <v>46</v>
      </c>
      <c r="Y60" s="53" t="s">
        <v>97</v>
      </c>
      <c r="Z60" s="53" t="s">
        <v>55</v>
      </c>
      <c r="AA60" s="53" t="s">
        <v>86</v>
      </c>
      <c r="AB60" s="53" t="s">
        <v>158</v>
      </c>
    </row>
    <row r="61" spans="1:28" s="53" customFormat="1" x14ac:dyDescent="0.15">
      <c r="A61" s="53" t="s">
        <v>41</v>
      </c>
      <c r="B61" s="53" t="s">
        <v>157</v>
      </c>
      <c r="C61" s="71">
        <v>2019</v>
      </c>
      <c r="D61" s="72" t="s">
        <v>165</v>
      </c>
      <c r="E61" s="53" t="s">
        <v>193</v>
      </c>
      <c r="F61" s="53" t="s">
        <v>184</v>
      </c>
      <c r="G61" s="53" t="s">
        <v>42</v>
      </c>
      <c r="H61" s="53" t="s">
        <v>164</v>
      </c>
      <c r="I61" s="53" t="s">
        <v>159</v>
      </c>
      <c r="J61" s="53" t="s">
        <v>38</v>
      </c>
      <c r="K61" s="53" t="s">
        <v>161</v>
      </c>
      <c r="L61" s="53">
        <v>3</v>
      </c>
      <c r="N61" s="53">
        <v>8</v>
      </c>
      <c r="O61" s="53">
        <v>0.3</v>
      </c>
      <c r="P61" s="53">
        <v>0.45</v>
      </c>
      <c r="Q61" s="84">
        <f t="shared" si="0"/>
        <v>0.375</v>
      </c>
      <c r="R61" s="53">
        <v>13.8</v>
      </c>
      <c r="S61" s="53">
        <v>115</v>
      </c>
      <c r="T61" s="16">
        <f t="shared" si="1"/>
        <v>30</v>
      </c>
      <c r="U61" s="53">
        <v>626</v>
      </c>
      <c r="V61" s="16">
        <f t="shared" si="2"/>
        <v>2347.5</v>
      </c>
      <c r="W61" s="53">
        <v>2</v>
      </c>
      <c r="X61" s="53" t="s">
        <v>46</v>
      </c>
      <c r="Y61" s="53" t="s">
        <v>97</v>
      </c>
      <c r="Z61" s="53" t="s">
        <v>55</v>
      </c>
      <c r="AA61" s="53" t="s">
        <v>86</v>
      </c>
      <c r="AB61" s="53" t="s">
        <v>158</v>
      </c>
    </row>
    <row r="62" spans="1:28" s="53" customFormat="1" x14ac:dyDescent="0.15">
      <c r="A62" s="53" t="s">
        <v>41</v>
      </c>
      <c r="B62" s="53" t="s">
        <v>157</v>
      </c>
      <c r="C62" s="71">
        <v>2019</v>
      </c>
      <c r="D62" s="72" t="s">
        <v>165</v>
      </c>
      <c r="E62" s="53" t="s">
        <v>193</v>
      </c>
      <c r="F62" s="53" t="s">
        <v>184</v>
      </c>
      <c r="G62" s="53" t="s">
        <v>42</v>
      </c>
      <c r="H62" s="53" t="s">
        <v>160</v>
      </c>
      <c r="I62" s="53" t="s">
        <v>159</v>
      </c>
      <c r="J62" s="53" t="s">
        <v>38</v>
      </c>
      <c r="K62" s="53" t="s">
        <v>161</v>
      </c>
      <c r="L62" s="53">
        <v>1</v>
      </c>
      <c r="N62" s="53">
        <v>1</v>
      </c>
      <c r="O62" s="53">
        <v>0.25</v>
      </c>
      <c r="P62" s="53">
        <v>0.3</v>
      </c>
      <c r="Q62" s="84">
        <f t="shared" si="0"/>
        <v>0.27500000000000002</v>
      </c>
      <c r="R62" s="53">
        <v>17.8</v>
      </c>
      <c r="S62" s="53">
        <v>123</v>
      </c>
      <c r="T62" s="16">
        <f t="shared" si="1"/>
        <v>27</v>
      </c>
      <c r="U62" s="53">
        <v>84</v>
      </c>
      <c r="V62" s="16">
        <f t="shared" si="2"/>
        <v>2268</v>
      </c>
      <c r="W62" s="53">
        <v>4</v>
      </c>
      <c r="X62" s="53" t="s">
        <v>46</v>
      </c>
      <c r="Y62" s="53" t="s">
        <v>97</v>
      </c>
      <c r="Z62" s="53" t="s">
        <v>55</v>
      </c>
      <c r="AA62" s="53" t="s">
        <v>86</v>
      </c>
      <c r="AB62" s="53" t="s">
        <v>158</v>
      </c>
    </row>
    <row r="63" spans="1:28" s="53" customFormat="1" x14ac:dyDescent="0.15">
      <c r="A63" s="53" t="s">
        <v>41</v>
      </c>
      <c r="B63" s="53" t="s">
        <v>157</v>
      </c>
      <c r="C63" s="71">
        <v>2019</v>
      </c>
      <c r="D63" s="72" t="s">
        <v>165</v>
      </c>
      <c r="E63" s="53" t="s">
        <v>193</v>
      </c>
      <c r="F63" s="53" t="s">
        <v>184</v>
      </c>
      <c r="G63" s="53" t="s">
        <v>42</v>
      </c>
      <c r="H63" s="53" t="s">
        <v>160</v>
      </c>
      <c r="I63" s="53" t="s">
        <v>159</v>
      </c>
      <c r="J63" s="53" t="s">
        <v>38</v>
      </c>
      <c r="K63" s="53" t="s">
        <v>161</v>
      </c>
      <c r="L63" s="53">
        <v>2</v>
      </c>
      <c r="N63" s="53">
        <v>1</v>
      </c>
      <c r="O63" s="53">
        <v>0.5</v>
      </c>
      <c r="P63" s="53">
        <v>0.45</v>
      </c>
      <c r="Q63" s="84">
        <f t="shared" si="0"/>
        <v>0.47499999999999998</v>
      </c>
      <c r="R63" s="53">
        <v>16.399999999999999</v>
      </c>
      <c r="S63" s="53">
        <v>122</v>
      </c>
      <c r="T63" s="16">
        <f t="shared" si="1"/>
        <v>27</v>
      </c>
      <c r="U63" s="53">
        <v>84</v>
      </c>
      <c r="V63" s="16">
        <f t="shared" si="2"/>
        <v>2268</v>
      </c>
      <c r="W63" s="53">
        <v>4</v>
      </c>
      <c r="X63" s="53" t="s">
        <v>46</v>
      </c>
      <c r="Y63" s="53" t="s">
        <v>97</v>
      </c>
      <c r="Z63" s="53" t="s">
        <v>55</v>
      </c>
      <c r="AA63" s="53" t="s">
        <v>86</v>
      </c>
      <c r="AB63" s="53" t="s">
        <v>158</v>
      </c>
    </row>
    <row r="64" spans="1:28" s="53" customFormat="1" x14ac:dyDescent="0.15">
      <c r="A64" s="53" t="s">
        <v>41</v>
      </c>
      <c r="B64" s="53" t="s">
        <v>157</v>
      </c>
      <c r="C64" s="71">
        <v>2019</v>
      </c>
      <c r="D64" s="72" t="s">
        <v>165</v>
      </c>
      <c r="E64" s="53" t="s">
        <v>193</v>
      </c>
      <c r="F64" s="53" t="s">
        <v>184</v>
      </c>
      <c r="G64" s="53" t="s">
        <v>42</v>
      </c>
      <c r="H64" s="53" t="s">
        <v>160</v>
      </c>
      <c r="I64" s="53" t="s">
        <v>159</v>
      </c>
      <c r="J64" s="53" t="s">
        <v>38</v>
      </c>
      <c r="K64" s="53" t="s">
        <v>161</v>
      </c>
      <c r="L64" s="53">
        <v>3</v>
      </c>
      <c r="N64" s="53">
        <v>1</v>
      </c>
      <c r="O64" s="53">
        <v>0.55000000000000004</v>
      </c>
      <c r="P64" s="53">
        <v>0.5</v>
      </c>
      <c r="Q64" s="84">
        <f t="shared" si="0"/>
        <v>0.52500000000000002</v>
      </c>
      <c r="R64" s="53">
        <v>15.1</v>
      </c>
      <c r="S64" s="53">
        <v>124</v>
      </c>
      <c r="T64" s="16">
        <f t="shared" si="1"/>
        <v>27</v>
      </c>
      <c r="U64" s="53">
        <v>84</v>
      </c>
      <c r="V64" s="16">
        <f t="shared" si="2"/>
        <v>2268</v>
      </c>
      <c r="W64" s="53">
        <v>4</v>
      </c>
      <c r="X64" s="53" t="s">
        <v>46</v>
      </c>
      <c r="Y64" s="53" t="s">
        <v>97</v>
      </c>
      <c r="Z64" s="53" t="s">
        <v>55</v>
      </c>
      <c r="AA64" s="53" t="s">
        <v>86</v>
      </c>
      <c r="AB64" s="53" t="s">
        <v>158</v>
      </c>
    </row>
    <row r="65" spans="1:34" s="53" customFormat="1" x14ac:dyDescent="0.15">
      <c r="A65" s="53" t="s">
        <v>41</v>
      </c>
      <c r="B65" s="53" t="s">
        <v>157</v>
      </c>
      <c r="C65" s="71">
        <v>2019</v>
      </c>
      <c r="D65" s="72" t="s">
        <v>165</v>
      </c>
      <c r="E65" s="53" t="s">
        <v>193</v>
      </c>
      <c r="F65" s="53" t="s">
        <v>184</v>
      </c>
      <c r="G65" s="53" t="s">
        <v>42</v>
      </c>
      <c r="H65" s="53" t="s">
        <v>160</v>
      </c>
      <c r="I65" s="53" t="s">
        <v>159</v>
      </c>
      <c r="J65" s="53" t="s">
        <v>38</v>
      </c>
      <c r="K65" s="53" t="s">
        <v>161</v>
      </c>
      <c r="L65" s="53">
        <v>1</v>
      </c>
      <c r="N65" s="53">
        <v>4</v>
      </c>
      <c r="O65" s="53">
        <v>0.7</v>
      </c>
      <c r="P65" s="53">
        <v>0.85</v>
      </c>
      <c r="Q65" s="84">
        <f t="shared" si="0"/>
        <v>0.77499999999999991</v>
      </c>
      <c r="R65" s="53">
        <v>14.7</v>
      </c>
      <c r="S65" s="53">
        <v>122</v>
      </c>
      <c r="T65" s="16">
        <f t="shared" si="1"/>
        <v>27</v>
      </c>
      <c r="U65" s="53">
        <v>537</v>
      </c>
      <c r="V65" s="16">
        <f t="shared" si="2"/>
        <v>3624.75</v>
      </c>
      <c r="W65" s="53">
        <v>2</v>
      </c>
      <c r="X65" s="53" t="s">
        <v>46</v>
      </c>
      <c r="Y65" s="53" t="s">
        <v>97</v>
      </c>
      <c r="Z65" s="53" t="s">
        <v>55</v>
      </c>
      <c r="AA65" s="53" t="s">
        <v>86</v>
      </c>
      <c r="AB65" s="53" t="s">
        <v>158</v>
      </c>
    </row>
    <row r="66" spans="1:34" s="53" customFormat="1" x14ac:dyDescent="0.15">
      <c r="A66" s="53" t="s">
        <v>41</v>
      </c>
      <c r="B66" s="53" t="s">
        <v>157</v>
      </c>
      <c r="C66" s="71">
        <v>2019</v>
      </c>
      <c r="D66" s="72" t="s">
        <v>165</v>
      </c>
      <c r="E66" s="53" t="s">
        <v>193</v>
      </c>
      <c r="F66" s="53" t="s">
        <v>184</v>
      </c>
      <c r="G66" s="53" t="s">
        <v>42</v>
      </c>
      <c r="H66" s="53" t="s">
        <v>160</v>
      </c>
      <c r="I66" s="53" t="s">
        <v>159</v>
      </c>
      <c r="J66" s="53" t="s">
        <v>38</v>
      </c>
      <c r="K66" s="53" t="s">
        <v>161</v>
      </c>
      <c r="L66" s="53">
        <v>2</v>
      </c>
      <c r="N66" s="53">
        <v>4</v>
      </c>
      <c r="O66" s="53">
        <v>0.65</v>
      </c>
      <c r="P66" s="53">
        <v>0.8</v>
      </c>
      <c r="Q66" s="84">
        <f t="shared" ref="Q66:Q109" si="3">IF(OR(O66="",P66=""),"",AVERAGE(O66,P66))</f>
        <v>0.72500000000000009</v>
      </c>
      <c r="R66" s="53">
        <v>13.8</v>
      </c>
      <c r="S66" s="53">
        <v>124</v>
      </c>
      <c r="T66" s="16">
        <f t="shared" ref="T66:T129" si="4">IF(H66="","",IF(OR(H66="GREEN",H66="GK"),IF(S66&gt;=$AX$2,VLOOKUP(S66,$AX$2:$AY$10,2,1),""),IF(S66&gt;=$AZ$2,VLOOKUP(S66,$AZ$2:$BA$10,2,1),"")))</f>
        <v>27</v>
      </c>
      <c r="U66" s="53">
        <v>537</v>
      </c>
      <c r="V66" s="16">
        <f t="shared" ref="V66:V109" si="5">IF(OR(N66="",U66="",T66=""),"",U66/N66*T66)</f>
        <v>3624.75</v>
      </c>
      <c r="W66" s="53">
        <v>2</v>
      </c>
      <c r="X66" s="53" t="s">
        <v>46</v>
      </c>
      <c r="Y66" s="53" t="s">
        <v>97</v>
      </c>
      <c r="Z66" s="53" t="s">
        <v>55</v>
      </c>
      <c r="AA66" s="53" t="s">
        <v>86</v>
      </c>
      <c r="AB66" s="53" t="s">
        <v>158</v>
      </c>
    </row>
    <row r="67" spans="1:34" s="53" customFormat="1" x14ac:dyDescent="0.15">
      <c r="A67" s="53" t="s">
        <v>41</v>
      </c>
      <c r="B67" s="53" t="s">
        <v>157</v>
      </c>
      <c r="C67" s="71">
        <v>2019</v>
      </c>
      <c r="D67" s="72" t="s">
        <v>165</v>
      </c>
      <c r="E67" s="53" t="s">
        <v>193</v>
      </c>
      <c r="F67" s="53" t="s">
        <v>184</v>
      </c>
      <c r="G67" s="53" t="s">
        <v>42</v>
      </c>
      <c r="H67" s="53" t="s">
        <v>160</v>
      </c>
      <c r="I67" s="53" t="s">
        <v>159</v>
      </c>
      <c r="J67" s="53" t="s">
        <v>38</v>
      </c>
      <c r="K67" s="53" t="s">
        <v>161</v>
      </c>
      <c r="L67" s="53">
        <v>3</v>
      </c>
      <c r="N67" s="53">
        <v>4</v>
      </c>
      <c r="O67" s="53">
        <v>0.65</v>
      </c>
      <c r="P67" s="53">
        <v>0.5</v>
      </c>
      <c r="Q67" s="84">
        <f t="shared" si="3"/>
        <v>0.57499999999999996</v>
      </c>
      <c r="R67" s="53">
        <v>14</v>
      </c>
      <c r="S67" s="53">
        <v>122</v>
      </c>
      <c r="T67" s="16">
        <f t="shared" si="4"/>
        <v>27</v>
      </c>
      <c r="U67" s="53">
        <v>537</v>
      </c>
      <c r="V67" s="16">
        <f t="shared" si="5"/>
        <v>3624.75</v>
      </c>
      <c r="W67" s="53">
        <v>2</v>
      </c>
      <c r="X67" s="53" t="s">
        <v>46</v>
      </c>
      <c r="Y67" s="53" t="s">
        <v>97</v>
      </c>
      <c r="Z67" s="53" t="s">
        <v>55</v>
      </c>
      <c r="AA67" s="53" t="s">
        <v>86</v>
      </c>
      <c r="AB67" s="53" t="s">
        <v>158</v>
      </c>
    </row>
    <row r="68" spans="1:34" s="53" customFormat="1" x14ac:dyDescent="0.15">
      <c r="A68" s="53" t="s">
        <v>41</v>
      </c>
      <c r="B68" s="53" t="s">
        <v>157</v>
      </c>
      <c r="C68" s="71">
        <v>2019</v>
      </c>
      <c r="D68" s="72" t="s">
        <v>165</v>
      </c>
      <c r="E68" s="53" t="s">
        <v>193</v>
      </c>
      <c r="F68" s="53" t="s">
        <v>184</v>
      </c>
      <c r="G68" s="53" t="s">
        <v>42</v>
      </c>
      <c r="H68" s="53" t="s">
        <v>160</v>
      </c>
      <c r="I68" s="53" t="s">
        <v>159</v>
      </c>
      <c r="J68" s="53" t="s">
        <v>38</v>
      </c>
      <c r="K68" s="53" t="s">
        <v>161</v>
      </c>
      <c r="L68" s="53">
        <v>1</v>
      </c>
      <c r="N68" s="53">
        <v>6</v>
      </c>
      <c r="O68" s="53">
        <v>0.45</v>
      </c>
      <c r="P68" s="53">
        <v>0.6</v>
      </c>
      <c r="Q68" s="84">
        <f t="shared" si="3"/>
        <v>0.52500000000000002</v>
      </c>
      <c r="R68" s="53">
        <v>15.8</v>
      </c>
      <c r="S68" s="53">
        <v>118</v>
      </c>
      <c r="T68" s="16">
        <f t="shared" si="4"/>
        <v>30</v>
      </c>
      <c r="U68" s="53">
        <v>626</v>
      </c>
      <c r="V68" s="16">
        <f t="shared" si="5"/>
        <v>3130</v>
      </c>
      <c r="W68" s="53">
        <v>2</v>
      </c>
      <c r="X68" s="53" t="s">
        <v>46</v>
      </c>
      <c r="Y68" s="53" t="s">
        <v>97</v>
      </c>
      <c r="Z68" s="53" t="s">
        <v>55</v>
      </c>
      <c r="AA68" s="53" t="s">
        <v>86</v>
      </c>
      <c r="AB68" s="53" t="s">
        <v>158</v>
      </c>
    </row>
    <row r="69" spans="1:34" s="53" customFormat="1" x14ac:dyDescent="0.15">
      <c r="A69" s="53" t="s">
        <v>41</v>
      </c>
      <c r="B69" s="53" t="s">
        <v>157</v>
      </c>
      <c r="C69" s="71">
        <v>2019</v>
      </c>
      <c r="D69" s="72" t="s">
        <v>165</v>
      </c>
      <c r="E69" s="53" t="s">
        <v>193</v>
      </c>
      <c r="F69" s="53" t="s">
        <v>184</v>
      </c>
      <c r="G69" s="53" t="s">
        <v>42</v>
      </c>
      <c r="H69" s="53" t="s">
        <v>160</v>
      </c>
      <c r="I69" s="53" t="s">
        <v>159</v>
      </c>
      <c r="J69" s="53" t="s">
        <v>38</v>
      </c>
      <c r="K69" s="53" t="s">
        <v>161</v>
      </c>
      <c r="L69" s="53">
        <v>2</v>
      </c>
      <c r="N69" s="53">
        <v>6</v>
      </c>
      <c r="O69" s="53">
        <v>0.45</v>
      </c>
      <c r="P69" s="53">
        <v>0.35</v>
      </c>
      <c r="Q69" s="84">
        <f t="shared" si="3"/>
        <v>0.4</v>
      </c>
      <c r="R69" s="53">
        <v>17.399999999999999</v>
      </c>
      <c r="S69" s="53">
        <v>115</v>
      </c>
      <c r="T69" s="16">
        <f t="shared" si="4"/>
        <v>30</v>
      </c>
      <c r="U69" s="53">
        <v>626</v>
      </c>
      <c r="V69" s="16">
        <f t="shared" si="5"/>
        <v>3130</v>
      </c>
      <c r="W69" s="53">
        <v>2</v>
      </c>
      <c r="X69" s="53" t="s">
        <v>46</v>
      </c>
      <c r="Y69" s="53" t="s">
        <v>97</v>
      </c>
      <c r="Z69" s="53" t="s">
        <v>55</v>
      </c>
      <c r="AA69" s="53" t="s">
        <v>86</v>
      </c>
      <c r="AB69" s="53" t="s">
        <v>158</v>
      </c>
    </row>
    <row r="70" spans="1:34" s="53" customFormat="1" x14ac:dyDescent="0.15">
      <c r="A70" s="53" t="s">
        <v>41</v>
      </c>
      <c r="B70" s="53" t="s">
        <v>157</v>
      </c>
      <c r="C70" s="71">
        <v>2019</v>
      </c>
      <c r="D70" s="72" t="s">
        <v>165</v>
      </c>
      <c r="E70" s="53" t="s">
        <v>193</v>
      </c>
      <c r="F70" s="53" t="s">
        <v>184</v>
      </c>
      <c r="G70" s="53" t="s">
        <v>42</v>
      </c>
      <c r="H70" s="53" t="s">
        <v>160</v>
      </c>
      <c r="I70" s="53" t="s">
        <v>159</v>
      </c>
      <c r="J70" s="53" t="s">
        <v>38</v>
      </c>
      <c r="K70" s="53" t="s">
        <v>161</v>
      </c>
      <c r="L70" s="53">
        <v>3</v>
      </c>
      <c r="N70" s="53">
        <v>6</v>
      </c>
      <c r="O70" s="53">
        <v>0.3</v>
      </c>
      <c r="P70" s="53">
        <v>0.3</v>
      </c>
      <c r="Q70" s="84">
        <f t="shared" si="3"/>
        <v>0.3</v>
      </c>
      <c r="R70" s="53">
        <v>13.6</v>
      </c>
      <c r="S70" s="53">
        <v>114</v>
      </c>
      <c r="T70" s="16">
        <f t="shared" si="4"/>
        <v>30</v>
      </c>
      <c r="U70" s="53">
        <v>626</v>
      </c>
      <c r="V70" s="16">
        <f t="shared" si="5"/>
        <v>3130</v>
      </c>
      <c r="W70" s="53">
        <v>2</v>
      </c>
      <c r="X70" s="53" t="s">
        <v>46</v>
      </c>
      <c r="Y70" s="53" t="s">
        <v>97</v>
      </c>
      <c r="Z70" s="53" t="s">
        <v>55</v>
      </c>
      <c r="AA70" s="53" t="s">
        <v>86</v>
      </c>
      <c r="AB70" s="53" t="s">
        <v>158</v>
      </c>
    </row>
    <row r="71" spans="1:34" s="53" customFormat="1" x14ac:dyDescent="0.15">
      <c r="A71" s="53" t="s">
        <v>41</v>
      </c>
      <c r="B71" s="53" t="s">
        <v>157</v>
      </c>
      <c r="C71" s="71">
        <v>2019</v>
      </c>
      <c r="D71" s="72" t="s">
        <v>165</v>
      </c>
      <c r="E71" s="53" t="s">
        <v>193</v>
      </c>
      <c r="F71" s="53" t="s">
        <v>195</v>
      </c>
      <c r="G71" s="53" t="s">
        <v>42</v>
      </c>
      <c r="H71" s="53" t="s">
        <v>164</v>
      </c>
      <c r="I71" s="53" t="s">
        <v>159</v>
      </c>
      <c r="J71" s="53" t="s">
        <v>38</v>
      </c>
      <c r="K71" s="53" t="s">
        <v>161</v>
      </c>
      <c r="L71" s="53">
        <v>1</v>
      </c>
      <c r="N71" s="53">
        <v>1</v>
      </c>
      <c r="O71" s="53">
        <v>0.85</v>
      </c>
      <c r="P71" s="53">
        <v>0.8</v>
      </c>
      <c r="Q71" s="84">
        <f t="shared" si="3"/>
        <v>0.82499999999999996</v>
      </c>
      <c r="R71" s="53">
        <v>12</v>
      </c>
      <c r="S71" s="53">
        <v>121</v>
      </c>
      <c r="T71" s="16">
        <f t="shared" si="4"/>
        <v>27</v>
      </c>
      <c r="U71" s="53">
        <v>105</v>
      </c>
      <c r="V71" s="16">
        <f t="shared" si="5"/>
        <v>2835</v>
      </c>
      <c r="W71" s="53">
        <v>2</v>
      </c>
      <c r="X71" s="53" t="s">
        <v>46</v>
      </c>
      <c r="Y71" s="53" t="s">
        <v>97</v>
      </c>
      <c r="Z71" s="53" t="s">
        <v>69</v>
      </c>
      <c r="AA71" s="53" t="s">
        <v>88</v>
      </c>
      <c r="AB71" s="53" t="s">
        <v>158</v>
      </c>
      <c r="AC71" s="85"/>
      <c r="AD71" s="85"/>
      <c r="AE71" s="85"/>
      <c r="AF71" s="85"/>
      <c r="AG71" s="85"/>
      <c r="AH71" s="85"/>
    </row>
    <row r="72" spans="1:34" s="53" customFormat="1" x14ac:dyDescent="0.15">
      <c r="A72" s="53" t="s">
        <v>41</v>
      </c>
      <c r="B72" s="53" t="s">
        <v>157</v>
      </c>
      <c r="C72" s="71">
        <v>2019</v>
      </c>
      <c r="D72" s="72" t="s">
        <v>165</v>
      </c>
      <c r="E72" s="53" t="s">
        <v>193</v>
      </c>
      <c r="F72" s="53" t="s">
        <v>195</v>
      </c>
      <c r="G72" s="53" t="s">
        <v>42</v>
      </c>
      <c r="H72" s="53" t="s">
        <v>164</v>
      </c>
      <c r="I72" s="53" t="s">
        <v>159</v>
      </c>
      <c r="J72" s="53" t="s">
        <v>38</v>
      </c>
      <c r="K72" s="53" t="s">
        <v>161</v>
      </c>
      <c r="L72" s="53">
        <v>2</v>
      </c>
      <c r="N72" s="53">
        <v>1</v>
      </c>
      <c r="O72" s="53">
        <v>0.9</v>
      </c>
      <c r="P72" s="53">
        <v>0.8</v>
      </c>
      <c r="Q72" s="84">
        <f t="shared" si="3"/>
        <v>0.85000000000000009</v>
      </c>
      <c r="R72" s="53">
        <v>13.7</v>
      </c>
      <c r="S72" s="53">
        <v>124</v>
      </c>
      <c r="T72" s="16">
        <f t="shared" si="4"/>
        <v>27</v>
      </c>
      <c r="U72" s="53">
        <v>105</v>
      </c>
      <c r="V72" s="16">
        <f t="shared" si="5"/>
        <v>2835</v>
      </c>
      <c r="W72" s="53">
        <v>2</v>
      </c>
      <c r="X72" s="53" t="s">
        <v>46</v>
      </c>
      <c r="Y72" s="53" t="s">
        <v>97</v>
      </c>
      <c r="Z72" s="53" t="s">
        <v>69</v>
      </c>
      <c r="AA72" s="53" t="s">
        <v>88</v>
      </c>
      <c r="AB72" s="53" t="s">
        <v>158</v>
      </c>
      <c r="AC72" s="85"/>
      <c r="AD72" s="85"/>
      <c r="AE72" s="85"/>
      <c r="AF72" s="85"/>
      <c r="AG72" s="85"/>
      <c r="AH72" s="85"/>
    </row>
    <row r="73" spans="1:34" s="53" customFormat="1" x14ac:dyDescent="0.15">
      <c r="A73" s="53" t="s">
        <v>41</v>
      </c>
      <c r="B73" s="53" t="s">
        <v>157</v>
      </c>
      <c r="C73" s="71">
        <v>2019</v>
      </c>
      <c r="D73" s="72" t="s">
        <v>165</v>
      </c>
      <c r="E73" s="53" t="s">
        <v>193</v>
      </c>
      <c r="F73" s="53" t="s">
        <v>195</v>
      </c>
      <c r="G73" s="53" t="s">
        <v>42</v>
      </c>
      <c r="H73" s="53" t="s">
        <v>164</v>
      </c>
      <c r="I73" s="53" t="s">
        <v>159</v>
      </c>
      <c r="J73" s="53" t="s">
        <v>38</v>
      </c>
      <c r="K73" s="53" t="s">
        <v>161</v>
      </c>
      <c r="L73" s="53">
        <v>3</v>
      </c>
      <c r="N73" s="53">
        <v>1</v>
      </c>
      <c r="O73" s="53">
        <v>0.75</v>
      </c>
      <c r="P73" s="53">
        <v>0.8</v>
      </c>
      <c r="Q73" s="84">
        <f t="shared" si="3"/>
        <v>0.77500000000000002</v>
      </c>
      <c r="R73" s="53">
        <v>13.8</v>
      </c>
      <c r="S73" s="53">
        <v>126</v>
      </c>
      <c r="T73" s="16">
        <f t="shared" si="4"/>
        <v>27</v>
      </c>
      <c r="U73" s="53">
        <v>105</v>
      </c>
      <c r="V73" s="16">
        <f t="shared" si="5"/>
        <v>2835</v>
      </c>
      <c r="W73" s="53">
        <v>2</v>
      </c>
      <c r="X73" s="53" t="s">
        <v>46</v>
      </c>
      <c r="Y73" s="53" t="s">
        <v>97</v>
      </c>
      <c r="Z73" s="53" t="s">
        <v>69</v>
      </c>
      <c r="AA73" s="53" t="s">
        <v>88</v>
      </c>
      <c r="AB73" s="53" t="s">
        <v>158</v>
      </c>
      <c r="AC73" s="85"/>
      <c r="AD73" s="85"/>
      <c r="AE73" s="85"/>
      <c r="AF73" s="85"/>
      <c r="AG73" s="85"/>
      <c r="AH73" s="85"/>
    </row>
    <row r="74" spans="1:34" s="53" customFormat="1" x14ac:dyDescent="0.15">
      <c r="A74" s="53" t="s">
        <v>41</v>
      </c>
      <c r="B74" s="53" t="s">
        <v>157</v>
      </c>
      <c r="C74" s="71">
        <v>2019</v>
      </c>
      <c r="D74" s="72" t="s">
        <v>165</v>
      </c>
      <c r="E74" s="53" t="s">
        <v>193</v>
      </c>
      <c r="F74" s="53" t="s">
        <v>195</v>
      </c>
      <c r="G74" s="53" t="s">
        <v>42</v>
      </c>
      <c r="H74" s="53" t="s">
        <v>164</v>
      </c>
      <c r="I74" s="53" t="s">
        <v>159</v>
      </c>
      <c r="J74" s="53" t="s">
        <v>38</v>
      </c>
      <c r="K74" s="53" t="s">
        <v>161</v>
      </c>
      <c r="L74" s="53">
        <v>1</v>
      </c>
      <c r="N74" s="53">
        <v>5</v>
      </c>
      <c r="O74" s="53">
        <v>0.35</v>
      </c>
      <c r="P74" s="53">
        <v>0.4</v>
      </c>
      <c r="Q74" s="84">
        <f t="shared" si="3"/>
        <v>0.375</v>
      </c>
      <c r="R74" s="53">
        <v>14.1</v>
      </c>
      <c r="S74" s="53">
        <v>118</v>
      </c>
      <c r="T74" s="16">
        <f t="shared" si="4"/>
        <v>30</v>
      </c>
      <c r="U74" s="53">
        <v>421</v>
      </c>
      <c r="V74" s="16">
        <f t="shared" si="5"/>
        <v>2526</v>
      </c>
      <c r="W74" s="53">
        <v>2</v>
      </c>
      <c r="X74" s="53" t="s">
        <v>46</v>
      </c>
      <c r="Y74" s="53" t="s">
        <v>97</v>
      </c>
      <c r="Z74" s="53" t="s">
        <v>69</v>
      </c>
      <c r="AA74" s="53" t="s">
        <v>88</v>
      </c>
      <c r="AB74" s="53" t="s">
        <v>158</v>
      </c>
      <c r="AC74" s="85"/>
      <c r="AD74" s="85"/>
      <c r="AE74" s="85"/>
      <c r="AF74" s="85"/>
      <c r="AG74" s="85"/>
      <c r="AH74" s="85"/>
    </row>
    <row r="75" spans="1:34" s="53" customFormat="1" x14ac:dyDescent="0.15">
      <c r="A75" s="53" t="s">
        <v>41</v>
      </c>
      <c r="B75" s="53" t="s">
        <v>157</v>
      </c>
      <c r="C75" s="71">
        <v>2019</v>
      </c>
      <c r="D75" s="72" t="s">
        <v>165</v>
      </c>
      <c r="E75" s="53" t="s">
        <v>193</v>
      </c>
      <c r="F75" s="53" t="s">
        <v>195</v>
      </c>
      <c r="G75" s="53" t="s">
        <v>42</v>
      </c>
      <c r="H75" s="53" t="s">
        <v>164</v>
      </c>
      <c r="I75" s="53" t="s">
        <v>159</v>
      </c>
      <c r="J75" s="53" t="s">
        <v>38</v>
      </c>
      <c r="K75" s="53" t="s">
        <v>161</v>
      </c>
      <c r="L75" s="53">
        <v>2</v>
      </c>
      <c r="N75" s="53">
        <v>5</v>
      </c>
      <c r="O75" s="53">
        <v>0.35</v>
      </c>
      <c r="P75" s="53">
        <v>0.35</v>
      </c>
      <c r="Q75" s="84">
        <f t="shared" si="3"/>
        <v>0.35</v>
      </c>
      <c r="R75" s="53">
        <v>14.4</v>
      </c>
      <c r="S75" s="53">
        <v>120</v>
      </c>
      <c r="T75" s="16">
        <f t="shared" si="4"/>
        <v>30</v>
      </c>
      <c r="U75" s="53">
        <v>421</v>
      </c>
      <c r="V75" s="16">
        <f t="shared" si="5"/>
        <v>2526</v>
      </c>
      <c r="W75" s="53">
        <v>2</v>
      </c>
      <c r="X75" s="53" t="s">
        <v>46</v>
      </c>
      <c r="Y75" s="53" t="s">
        <v>97</v>
      </c>
      <c r="Z75" s="53" t="s">
        <v>69</v>
      </c>
      <c r="AA75" s="53" t="s">
        <v>88</v>
      </c>
      <c r="AB75" s="53" t="s">
        <v>158</v>
      </c>
      <c r="AC75" s="85"/>
      <c r="AD75" s="85"/>
      <c r="AE75" s="85"/>
      <c r="AF75" s="85"/>
      <c r="AG75" s="85"/>
      <c r="AH75" s="85"/>
    </row>
    <row r="76" spans="1:34" s="53" customFormat="1" x14ac:dyDescent="0.15">
      <c r="A76" s="53" t="s">
        <v>41</v>
      </c>
      <c r="B76" s="53" t="s">
        <v>157</v>
      </c>
      <c r="C76" s="71">
        <v>2019</v>
      </c>
      <c r="D76" s="72" t="s">
        <v>165</v>
      </c>
      <c r="E76" s="53" t="s">
        <v>193</v>
      </c>
      <c r="F76" s="53" t="s">
        <v>195</v>
      </c>
      <c r="G76" s="53" t="s">
        <v>42</v>
      </c>
      <c r="H76" s="53" t="s">
        <v>164</v>
      </c>
      <c r="I76" s="53" t="s">
        <v>159</v>
      </c>
      <c r="J76" s="53" t="s">
        <v>38</v>
      </c>
      <c r="K76" s="53" t="s">
        <v>161</v>
      </c>
      <c r="L76" s="53">
        <v>3</v>
      </c>
      <c r="N76" s="53">
        <v>5</v>
      </c>
      <c r="O76" s="53">
        <v>0.25</v>
      </c>
      <c r="P76" s="53">
        <v>0.3</v>
      </c>
      <c r="Q76" s="84">
        <f t="shared" si="3"/>
        <v>0.27500000000000002</v>
      </c>
      <c r="R76" s="53">
        <v>15.2</v>
      </c>
      <c r="S76" s="53">
        <v>119</v>
      </c>
      <c r="T76" s="16">
        <f t="shared" si="4"/>
        <v>30</v>
      </c>
      <c r="U76" s="53">
        <v>421</v>
      </c>
      <c r="V76" s="16">
        <f t="shared" si="5"/>
        <v>2526</v>
      </c>
      <c r="W76" s="53">
        <v>2</v>
      </c>
      <c r="X76" s="53" t="s">
        <v>46</v>
      </c>
      <c r="Y76" s="53" t="s">
        <v>97</v>
      </c>
      <c r="Z76" s="53" t="s">
        <v>69</v>
      </c>
      <c r="AA76" s="53" t="s">
        <v>88</v>
      </c>
      <c r="AB76" s="53" t="s">
        <v>158</v>
      </c>
      <c r="AC76" s="85"/>
      <c r="AD76" s="85"/>
      <c r="AE76" s="85"/>
      <c r="AF76" s="85"/>
      <c r="AG76" s="85"/>
      <c r="AH76" s="85"/>
    </row>
    <row r="77" spans="1:34" s="53" customFormat="1" x14ac:dyDescent="0.15">
      <c r="A77" s="53" t="s">
        <v>41</v>
      </c>
      <c r="B77" s="53" t="s">
        <v>157</v>
      </c>
      <c r="C77" s="71">
        <v>2019</v>
      </c>
      <c r="D77" s="72" t="s">
        <v>165</v>
      </c>
      <c r="E77" s="53" t="s">
        <v>193</v>
      </c>
      <c r="F77" s="53" t="s">
        <v>195</v>
      </c>
      <c r="G77" s="53" t="s">
        <v>42</v>
      </c>
      <c r="H77" s="53" t="s">
        <v>160</v>
      </c>
      <c r="I77" s="53" t="s">
        <v>159</v>
      </c>
      <c r="J77" s="53" t="s">
        <v>38</v>
      </c>
      <c r="K77" s="53" t="s">
        <v>161</v>
      </c>
      <c r="L77" s="53">
        <v>1</v>
      </c>
      <c r="N77" s="53">
        <v>1</v>
      </c>
      <c r="O77" s="53">
        <v>0.5</v>
      </c>
      <c r="P77" s="53">
        <v>0.6</v>
      </c>
      <c r="Q77" s="84">
        <f t="shared" si="3"/>
        <v>0.55000000000000004</v>
      </c>
      <c r="R77" s="53">
        <v>15.8</v>
      </c>
      <c r="S77" s="53">
        <v>122</v>
      </c>
      <c r="T77" s="16">
        <f t="shared" si="4"/>
        <v>27</v>
      </c>
      <c r="U77" s="53">
        <v>170</v>
      </c>
      <c r="V77" s="16">
        <f t="shared" si="5"/>
        <v>4590</v>
      </c>
      <c r="W77" s="53">
        <v>2</v>
      </c>
      <c r="X77" s="53" t="s">
        <v>46</v>
      </c>
      <c r="Y77" s="53" t="s">
        <v>97</v>
      </c>
      <c r="Z77" s="53" t="s">
        <v>69</v>
      </c>
      <c r="AA77" s="53" t="s">
        <v>88</v>
      </c>
      <c r="AB77" s="53" t="s">
        <v>158</v>
      </c>
      <c r="AC77" s="85"/>
      <c r="AD77" s="85"/>
      <c r="AE77" s="85"/>
      <c r="AF77" s="85"/>
      <c r="AG77" s="85"/>
      <c r="AH77" s="85"/>
    </row>
    <row r="78" spans="1:34" s="53" customFormat="1" x14ac:dyDescent="0.15">
      <c r="A78" s="53" t="s">
        <v>41</v>
      </c>
      <c r="B78" s="53" t="s">
        <v>157</v>
      </c>
      <c r="C78" s="71">
        <v>2019</v>
      </c>
      <c r="D78" s="72" t="s">
        <v>165</v>
      </c>
      <c r="E78" s="53" t="s">
        <v>193</v>
      </c>
      <c r="F78" s="53" t="s">
        <v>195</v>
      </c>
      <c r="G78" s="53" t="s">
        <v>42</v>
      </c>
      <c r="H78" s="53" t="s">
        <v>160</v>
      </c>
      <c r="I78" s="53" t="s">
        <v>159</v>
      </c>
      <c r="J78" s="53" t="s">
        <v>38</v>
      </c>
      <c r="K78" s="53" t="s">
        <v>161</v>
      </c>
      <c r="L78" s="53">
        <v>2</v>
      </c>
      <c r="N78" s="53">
        <v>1</v>
      </c>
      <c r="O78" s="53">
        <v>0.65</v>
      </c>
      <c r="P78" s="53">
        <v>0.7</v>
      </c>
      <c r="Q78" s="84">
        <f t="shared" si="3"/>
        <v>0.67500000000000004</v>
      </c>
      <c r="R78" s="53">
        <v>16.399999999999999</v>
      </c>
      <c r="S78" s="53">
        <v>123</v>
      </c>
      <c r="T78" s="16">
        <f t="shared" si="4"/>
        <v>27</v>
      </c>
      <c r="U78" s="53">
        <v>170</v>
      </c>
      <c r="V78" s="16">
        <f t="shared" si="5"/>
        <v>4590</v>
      </c>
      <c r="W78" s="53">
        <v>2</v>
      </c>
      <c r="X78" s="53" t="s">
        <v>46</v>
      </c>
      <c r="Y78" s="53" t="s">
        <v>97</v>
      </c>
      <c r="Z78" s="53" t="s">
        <v>69</v>
      </c>
      <c r="AA78" s="53" t="s">
        <v>88</v>
      </c>
      <c r="AB78" s="53" t="s">
        <v>158</v>
      </c>
      <c r="AC78" s="85"/>
      <c r="AD78" s="85"/>
      <c r="AE78" s="85"/>
      <c r="AF78" s="85"/>
      <c r="AG78" s="85"/>
      <c r="AH78" s="85"/>
    </row>
    <row r="79" spans="1:34" s="53" customFormat="1" x14ac:dyDescent="0.15">
      <c r="A79" s="53" t="s">
        <v>41</v>
      </c>
      <c r="B79" s="53" t="s">
        <v>157</v>
      </c>
      <c r="C79" s="71">
        <v>2019</v>
      </c>
      <c r="D79" s="72" t="s">
        <v>165</v>
      </c>
      <c r="E79" s="53" t="s">
        <v>193</v>
      </c>
      <c r="F79" s="53" t="s">
        <v>195</v>
      </c>
      <c r="G79" s="53" t="s">
        <v>42</v>
      </c>
      <c r="H79" s="53" t="s">
        <v>160</v>
      </c>
      <c r="I79" s="53" t="s">
        <v>159</v>
      </c>
      <c r="J79" s="53" t="s">
        <v>38</v>
      </c>
      <c r="K79" s="53" t="s">
        <v>161</v>
      </c>
      <c r="L79" s="53">
        <v>3</v>
      </c>
      <c r="N79" s="53">
        <v>1</v>
      </c>
      <c r="O79" s="53">
        <v>0.4</v>
      </c>
      <c r="P79" s="53">
        <v>0.5</v>
      </c>
      <c r="Q79" s="84">
        <f t="shared" si="3"/>
        <v>0.45</v>
      </c>
      <c r="R79" s="53">
        <v>14.7</v>
      </c>
      <c r="S79" s="53">
        <v>122</v>
      </c>
      <c r="T79" s="16">
        <f t="shared" si="4"/>
        <v>27</v>
      </c>
      <c r="U79" s="53">
        <v>170</v>
      </c>
      <c r="V79" s="16">
        <f t="shared" si="5"/>
        <v>4590</v>
      </c>
      <c r="W79" s="53">
        <v>2</v>
      </c>
      <c r="X79" s="53" t="s">
        <v>46</v>
      </c>
      <c r="Y79" s="53" t="s">
        <v>97</v>
      </c>
      <c r="Z79" s="53" t="s">
        <v>69</v>
      </c>
      <c r="AA79" s="53" t="s">
        <v>88</v>
      </c>
      <c r="AB79" s="53" t="s">
        <v>158</v>
      </c>
      <c r="AC79" s="85"/>
      <c r="AD79" s="85"/>
      <c r="AE79" s="85"/>
      <c r="AF79" s="85"/>
      <c r="AG79" s="85"/>
      <c r="AH79" s="85"/>
    </row>
    <row r="80" spans="1:34" s="53" customFormat="1" x14ac:dyDescent="0.15">
      <c r="A80" s="53" t="s">
        <v>41</v>
      </c>
      <c r="B80" s="53" t="s">
        <v>157</v>
      </c>
      <c r="C80" s="71">
        <v>2019</v>
      </c>
      <c r="D80" s="72" t="s">
        <v>165</v>
      </c>
      <c r="E80" s="53" t="s">
        <v>193</v>
      </c>
      <c r="F80" s="53" t="s">
        <v>195</v>
      </c>
      <c r="G80" s="53" t="s">
        <v>42</v>
      </c>
      <c r="H80" s="53" t="s">
        <v>160</v>
      </c>
      <c r="I80" s="53" t="s">
        <v>159</v>
      </c>
      <c r="J80" s="53" t="s">
        <v>38</v>
      </c>
      <c r="K80" s="53" t="s">
        <v>161</v>
      </c>
      <c r="L80" s="53">
        <v>1</v>
      </c>
      <c r="N80" s="53">
        <v>4</v>
      </c>
      <c r="O80" s="53">
        <v>0.25</v>
      </c>
      <c r="P80" s="53">
        <v>0.25</v>
      </c>
      <c r="Q80" s="84">
        <f t="shared" si="3"/>
        <v>0.25</v>
      </c>
      <c r="R80" s="53">
        <v>14.1</v>
      </c>
      <c r="S80" s="53">
        <v>120</v>
      </c>
      <c r="T80" s="16">
        <f t="shared" si="4"/>
        <v>30</v>
      </c>
      <c r="U80" s="53">
        <v>540</v>
      </c>
      <c r="V80" s="16">
        <f t="shared" si="5"/>
        <v>4050</v>
      </c>
      <c r="W80" s="53">
        <v>2</v>
      </c>
      <c r="X80" s="53" t="s">
        <v>46</v>
      </c>
      <c r="Y80" s="53" t="s">
        <v>97</v>
      </c>
      <c r="Z80" s="53" t="s">
        <v>69</v>
      </c>
      <c r="AA80" s="53" t="s">
        <v>88</v>
      </c>
      <c r="AB80" s="53" t="s">
        <v>158</v>
      </c>
      <c r="AC80" s="85"/>
      <c r="AD80" s="85"/>
      <c r="AE80" s="85"/>
      <c r="AF80" s="85"/>
      <c r="AG80" s="85"/>
      <c r="AH80" s="85"/>
    </row>
    <row r="81" spans="1:34" s="53" customFormat="1" x14ac:dyDescent="0.15">
      <c r="A81" s="53" t="s">
        <v>41</v>
      </c>
      <c r="B81" s="53" t="s">
        <v>157</v>
      </c>
      <c r="C81" s="71">
        <v>2019</v>
      </c>
      <c r="D81" s="72" t="s">
        <v>165</v>
      </c>
      <c r="E81" s="53" t="s">
        <v>193</v>
      </c>
      <c r="F81" s="53" t="s">
        <v>195</v>
      </c>
      <c r="G81" s="53" t="s">
        <v>42</v>
      </c>
      <c r="H81" s="53" t="s">
        <v>160</v>
      </c>
      <c r="I81" s="53" t="s">
        <v>159</v>
      </c>
      <c r="J81" s="53" t="s">
        <v>38</v>
      </c>
      <c r="K81" s="53" t="s">
        <v>161</v>
      </c>
      <c r="L81" s="53">
        <v>2</v>
      </c>
      <c r="N81" s="53">
        <v>4</v>
      </c>
      <c r="O81" s="53">
        <v>0.25</v>
      </c>
      <c r="P81" s="53">
        <v>0.25</v>
      </c>
      <c r="Q81" s="84">
        <f t="shared" si="3"/>
        <v>0.25</v>
      </c>
      <c r="R81" s="53">
        <v>13.9</v>
      </c>
      <c r="S81" s="53">
        <v>118</v>
      </c>
      <c r="T81" s="16">
        <f t="shared" si="4"/>
        <v>30</v>
      </c>
      <c r="U81" s="53">
        <v>540</v>
      </c>
      <c r="V81" s="16">
        <f t="shared" si="5"/>
        <v>4050</v>
      </c>
      <c r="W81" s="53">
        <v>2</v>
      </c>
      <c r="X81" s="53" t="s">
        <v>46</v>
      </c>
      <c r="Y81" s="53" t="s">
        <v>97</v>
      </c>
      <c r="Z81" s="53" t="s">
        <v>69</v>
      </c>
      <c r="AA81" s="53" t="s">
        <v>88</v>
      </c>
      <c r="AB81" s="53" t="s">
        <v>158</v>
      </c>
      <c r="AC81" s="85"/>
      <c r="AD81" s="85"/>
      <c r="AE81" s="85"/>
      <c r="AF81" s="85"/>
      <c r="AG81" s="85"/>
      <c r="AH81" s="85"/>
    </row>
    <row r="82" spans="1:34" s="53" customFormat="1" x14ac:dyDescent="0.15">
      <c r="A82" s="53" t="s">
        <v>41</v>
      </c>
      <c r="B82" s="53" t="s">
        <v>157</v>
      </c>
      <c r="C82" s="71">
        <v>2019</v>
      </c>
      <c r="D82" s="72" t="s">
        <v>165</v>
      </c>
      <c r="E82" s="53" t="s">
        <v>193</v>
      </c>
      <c r="F82" s="53" t="s">
        <v>195</v>
      </c>
      <c r="G82" s="53" t="s">
        <v>42</v>
      </c>
      <c r="H82" s="53" t="s">
        <v>160</v>
      </c>
      <c r="I82" s="53" t="s">
        <v>159</v>
      </c>
      <c r="J82" s="53" t="s">
        <v>38</v>
      </c>
      <c r="K82" s="53" t="s">
        <v>161</v>
      </c>
      <c r="L82" s="53">
        <v>3</v>
      </c>
      <c r="N82" s="53">
        <v>4</v>
      </c>
      <c r="O82" s="53">
        <v>0.25</v>
      </c>
      <c r="P82" s="53">
        <v>0.25</v>
      </c>
      <c r="Q82" s="84">
        <f t="shared" si="3"/>
        <v>0.25</v>
      </c>
      <c r="R82" s="53">
        <v>14.5</v>
      </c>
      <c r="S82" s="53">
        <v>121</v>
      </c>
      <c r="T82" s="16">
        <f t="shared" si="4"/>
        <v>27</v>
      </c>
      <c r="U82" s="53">
        <v>540</v>
      </c>
      <c r="V82" s="16">
        <f t="shared" si="5"/>
        <v>3645</v>
      </c>
      <c r="W82" s="53">
        <v>2</v>
      </c>
      <c r="X82" s="53" t="s">
        <v>46</v>
      </c>
      <c r="Y82" s="53" t="s">
        <v>97</v>
      </c>
      <c r="Z82" s="53" t="s">
        <v>69</v>
      </c>
      <c r="AA82" s="53" t="s">
        <v>88</v>
      </c>
      <c r="AB82" s="53" t="s">
        <v>158</v>
      </c>
      <c r="AC82" s="85"/>
      <c r="AD82" s="85"/>
      <c r="AE82" s="85"/>
      <c r="AF82" s="85"/>
      <c r="AG82" s="85"/>
      <c r="AH82" s="85"/>
    </row>
    <row r="83" spans="1:34" s="53" customFormat="1" x14ac:dyDescent="0.15">
      <c r="A83" s="53" t="s">
        <v>41</v>
      </c>
      <c r="B83" s="53" t="s">
        <v>157</v>
      </c>
      <c r="C83" s="71">
        <v>2019</v>
      </c>
      <c r="D83" s="72" t="s">
        <v>165</v>
      </c>
      <c r="E83" s="53" t="s">
        <v>198</v>
      </c>
      <c r="F83" s="53" t="s">
        <v>195</v>
      </c>
      <c r="G83" s="53" t="s">
        <v>42</v>
      </c>
      <c r="H83" s="53" t="s">
        <v>160</v>
      </c>
      <c r="I83" s="53" t="s">
        <v>159</v>
      </c>
      <c r="J83" s="53" t="s">
        <v>38</v>
      </c>
      <c r="K83" s="53" t="s">
        <v>161</v>
      </c>
      <c r="L83" s="53">
        <v>1</v>
      </c>
      <c r="N83" s="53">
        <v>1</v>
      </c>
      <c r="O83" s="53">
        <v>0.25</v>
      </c>
      <c r="P83" s="53">
        <v>0.3</v>
      </c>
      <c r="Q83" s="16">
        <f t="shared" si="3"/>
        <v>0.27500000000000002</v>
      </c>
      <c r="R83" s="53">
        <v>13.2</v>
      </c>
      <c r="S83" s="53">
        <v>114</v>
      </c>
      <c r="T83" s="38">
        <f t="shared" si="4"/>
        <v>30</v>
      </c>
      <c r="U83" s="53">
        <v>104</v>
      </c>
      <c r="V83" s="16">
        <f t="shared" si="5"/>
        <v>3120</v>
      </c>
      <c r="W83" s="53">
        <v>2</v>
      </c>
      <c r="X83" s="53" t="s">
        <v>46</v>
      </c>
      <c r="Y83" s="53" t="s">
        <v>86</v>
      </c>
      <c r="Z83" s="53" t="s">
        <v>69</v>
      </c>
      <c r="AA83" s="53" t="s">
        <v>88</v>
      </c>
      <c r="AB83" s="53" t="s">
        <v>158</v>
      </c>
      <c r="AC83" s="85"/>
      <c r="AD83" s="85"/>
      <c r="AE83" s="85"/>
      <c r="AF83" s="85"/>
      <c r="AG83" s="85"/>
      <c r="AH83" s="85"/>
    </row>
    <row r="84" spans="1:34" s="53" customFormat="1" x14ac:dyDescent="0.15">
      <c r="A84" s="53" t="s">
        <v>41</v>
      </c>
      <c r="B84" s="53" t="s">
        <v>157</v>
      </c>
      <c r="C84" s="71">
        <v>2019</v>
      </c>
      <c r="D84" s="72" t="s">
        <v>165</v>
      </c>
      <c r="E84" s="53" t="s">
        <v>198</v>
      </c>
      <c r="F84" s="53" t="s">
        <v>195</v>
      </c>
      <c r="G84" s="53" t="s">
        <v>42</v>
      </c>
      <c r="H84" s="53" t="s">
        <v>160</v>
      </c>
      <c r="I84" s="53" t="s">
        <v>159</v>
      </c>
      <c r="J84" s="53" t="s">
        <v>38</v>
      </c>
      <c r="K84" s="53" t="s">
        <v>161</v>
      </c>
      <c r="L84" s="53">
        <v>2</v>
      </c>
      <c r="N84" s="53">
        <v>1</v>
      </c>
      <c r="O84" s="53">
        <v>0.25</v>
      </c>
      <c r="P84" s="53">
        <v>0.25</v>
      </c>
      <c r="Q84" s="16">
        <f t="shared" si="3"/>
        <v>0.25</v>
      </c>
      <c r="R84" s="53">
        <v>14.7</v>
      </c>
      <c r="S84" s="53">
        <v>115</v>
      </c>
      <c r="T84" s="38">
        <f t="shared" si="4"/>
        <v>30</v>
      </c>
      <c r="U84" s="53">
        <v>104</v>
      </c>
      <c r="V84" s="16">
        <f t="shared" si="5"/>
        <v>3120</v>
      </c>
      <c r="W84" s="53">
        <v>2</v>
      </c>
      <c r="X84" s="53" t="s">
        <v>46</v>
      </c>
      <c r="Y84" s="53" t="s">
        <v>86</v>
      </c>
      <c r="Z84" s="53" t="s">
        <v>69</v>
      </c>
      <c r="AA84" s="53" t="s">
        <v>88</v>
      </c>
      <c r="AB84" s="53" t="s">
        <v>158</v>
      </c>
      <c r="AC84" s="85"/>
      <c r="AD84" s="85"/>
      <c r="AE84" s="85"/>
      <c r="AF84" s="85"/>
      <c r="AG84" s="85"/>
      <c r="AH84" s="85"/>
    </row>
    <row r="85" spans="1:34" s="53" customFormat="1" x14ac:dyDescent="0.15">
      <c r="A85" s="53" t="s">
        <v>41</v>
      </c>
      <c r="B85" s="53" t="s">
        <v>157</v>
      </c>
      <c r="C85" s="71">
        <v>2019</v>
      </c>
      <c r="D85" s="72" t="s">
        <v>165</v>
      </c>
      <c r="E85" s="53" t="s">
        <v>198</v>
      </c>
      <c r="F85" s="53" t="s">
        <v>195</v>
      </c>
      <c r="G85" s="53" t="s">
        <v>42</v>
      </c>
      <c r="H85" s="53" t="s">
        <v>160</v>
      </c>
      <c r="I85" s="53" t="s">
        <v>159</v>
      </c>
      <c r="J85" s="53" t="s">
        <v>38</v>
      </c>
      <c r="K85" s="53" t="s">
        <v>161</v>
      </c>
      <c r="L85" s="53">
        <v>3</v>
      </c>
      <c r="N85" s="53">
        <v>1</v>
      </c>
      <c r="O85" s="53">
        <v>0.3</v>
      </c>
      <c r="P85" s="53">
        <v>0.3</v>
      </c>
      <c r="Q85" s="16">
        <f t="shared" si="3"/>
        <v>0.3</v>
      </c>
      <c r="R85" s="53">
        <v>13.5</v>
      </c>
      <c r="S85" s="53">
        <v>117</v>
      </c>
      <c r="T85" s="38">
        <f t="shared" si="4"/>
        <v>30</v>
      </c>
      <c r="U85" s="53">
        <v>104</v>
      </c>
      <c r="V85" s="38">
        <f t="shared" si="5"/>
        <v>3120</v>
      </c>
      <c r="W85" s="53">
        <v>2</v>
      </c>
      <c r="X85" s="53" t="s">
        <v>46</v>
      </c>
      <c r="Y85" s="53" t="s">
        <v>86</v>
      </c>
      <c r="Z85" s="53" t="s">
        <v>69</v>
      </c>
      <c r="AA85" s="53" t="s">
        <v>88</v>
      </c>
      <c r="AB85" s="53" t="s">
        <v>158</v>
      </c>
      <c r="AC85" s="85"/>
      <c r="AD85" s="85"/>
      <c r="AE85" s="85"/>
      <c r="AF85" s="85"/>
      <c r="AG85" s="85"/>
      <c r="AH85" s="85"/>
    </row>
    <row r="86" spans="1:34" s="53" customFormat="1" x14ac:dyDescent="0.15">
      <c r="A86" s="53" t="s">
        <v>41</v>
      </c>
      <c r="B86" s="53" t="s">
        <v>157</v>
      </c>
      <c r="C86" s="71">
        <v>2019</v>
      </c>
      <c r="D86" s="72" t="s">
        <v>165</v>
      </c>
      <c r="E86" s="53" t="s">
        <v>198</v>
      </c>
      <c r="F86" s="53" t="s">
        <v>195</v>
      </c>
      <c r="G86" s="53" t="s">
        <v>42</v>
      </c>
      <c r="H86" s="53" t="s">
        <v>164</v>
      </c>
      <c r="I86" s="53" t="s">
        <v>159</v>
      </c>
      <c r="J86" s="53" t="s">
        <v>38</v>
      </c>
      <c r="K86" s="53" t="s">
        <v>161</v>
      </c>
      <c r="L86" s="53">
        <v>1</v>
      </c>
      <c r="N86" s="53">
        <v>1</v>
      </c>
      <c r="O86" s="53">
        <v>0.65</v>
      </c>
      <c r="P86" s="53">
        <v>0.6</v>
      </c>
      <c r="Q86" s="84">
        <f t="shared" si="3"/>
        <v>0.625</v>
      </c>
      <c r="R86" s="53">
        <v>12.5</v>
      </c>
      <c r="S86" s="53">
        <v>120</v>
      </c>
      <c r="T86" s="16">
        <f t="shared" si="4"/>
        <v>30</v>
      </c>
      <c r="U86" s="53">
        <v>104</v>
      </c>
      <c r="V86" s="16">
        <f t="shared" si="5"/>
        <v>3120</v>
      </c>
      <c r="W86" s="53">
        <v>2</v>
      </c>
      <c r="X86" s="53" t="s">
        <v>46</v>
      </c>
      <c r="Y86" s="53" t="s">
        <v>86</v>
      </c>
      <c r="Z86" s="53" t="s">
        <v>69</v>
      </c>
      <c r="AA86" s="53" t="s">
        <v>88</v>
      </c>
      <c r="AB86" s="53" t="s">
        <v>158</v>
      </c>
      <c r="AC86" s="85"/>
      <c r="AD86" s="85"/>
      <c r="AE86" s="85"/>
      <c r="AF86" s="85"/>
      <c r="AG86" s="85"/>
      <c r="AH86" s="85"/>
    </row>
    <row r="87" spans="1:34" s="53" customFormat="1" x14ac:dyDescent="0.15">
      <c r="A87" s="53" t="s">
        <v>41</v>
      </c>
      <c r="B87" s="53" t="s">
        <v>157</v>
      </c>
      <c r="C87" s="71">
        <v>2019</v>
      </c>
      <c r="D87" s="72" t="s">
        <v>165</v>
      </c>
      <c r="E87" s="53" t="s">
        <v>198</v>
      </c>
      <c r="F87" s="53" t="s">
        <v>195</v>
      </c>
      <c r="G87" s="53" t="s">
        <v>42</v>
      </c>
      <c r="H87" s="53" t="s">
        <v>164</v>
      </c>
      <c r="I87" s="53" t="s">
        <v>159</v>
      </c>
      <c r="J87" s="53" t="s">
        <v>38</v>
      </c>
      <c r="K87" s="53" t="s">
        <v>161</v>
      </c>
      <c r="L87" s="53">
        <v>2</v>
      </c>
      <c r="N87" s="53">
        <v>1</v>
      </c>
      <c r="O87" s="53">
        <v>0.7</v>
      </c>
      <c r="P87" s="53">
        <v>0.8</v>
      </c>
      <c r="Q87" s="84">
        <f t="shared" si="3"/>
        <v>0.75</v>
      </c>
      <c r="R87" s="53">
        <v>11</v>
      </c>
      <c r="S87" s="53">
        <v>117</v>
      </c>
      <c r="T87" s="16">
        <f t="shared" si="4"/>
        <v>30</v>
      </c>
      <c r="U87" s="53">
        <v>104</v>
      </c>
      <c r="V87" s="16">
        <f t="shared" si="5"/>
        <v>3120</v>
      </c>
      <c r="W87" s="53">
        <v>2</v>
      </c>
      <c r="X87" s="53" t="s">
        <v>46</v>
      </c>
      <c r="Y87" s="53" t="s">
        <v>86</v>
      </c>
      <c r="Z87" s="53" t="s">
        <v>69</v>
      </c>
      <c r="AA87" s="53" t="s">
        <v>88</v>
      </c>
      <c r="AB87" s="53" t="s">
        <v>158</v>
      </c>
      <c r="AC87" s="85"/>
      <c r="AD87" s="85"/>
      <c r="AE87" s="85"/>
      <c r="AF87" s="85"/>
      <c r="AG87" s="85"/>
      <c r="AH87" s="85"/>
    </row>
    <row r="88" spans="1:34" s="53" customFormat="1" x14ac:dyDescent="0.15">
      <c r="A88" s="53" t="s">
        <v>41</v>
      </c>
      <c r="B88" s="53" t="s">
        <v>157</v>
      </c>
      <c r="C88" s="71">
        <v>2019</v>
      </c>
      <c r="D88" s="72" t="s">
        <v>165</v>
      </c>
      <c r="E88" s="53" t="s">
        <v>198</v>
      </c>
      <c r="F88" s="53" t="s">
        <v>195</v>
      </c>
      <c r="G88" s="53" t="s">
        <v>42</v>
      </c>
      <c r="H88" s="53" t="s">
        <v>164</v>
      </c>
      <c r="I88" s="53" t="s">
        <v>159</v>
      </c>
      <c r="J88" s="53" t="s">
        <v>38</v>
      </c>
      <c r="K88" s="53" t="s">
        <v>161</v>
      </c>
      <c r="L88" s="53">
        <v>3</v>
      </c>
      <c r="N88" s="53">
        <v>1</v>
      </c>
      <c r="O88" s="53">
        <v>0.5</v>
      </c>
      <c r="P88" s="53">
        <v>0.55000000000000004</v>
      </c>
      <c r="Q88" s="84">
        <f t="shared" si="3"/>
        <v>0.52500000000000002</v>
      </c>
      <c r="R88" s="53">
        <v>13.4</v>
      </c>
      <c r="S88" s="53">
        <v>115</v>
      </c>
      <c r="T88" s="16">
        <f t="shared" si="4"/>
        <v>30</v>
      </c>
      <c r="U88" s="53">
        <v>104</v>
      </c>
      <c r="V88" s="16">
        <f t="shared" si="5"/>
        <v>3120</v>
      </c>
      <c r="W88" s="53">
        <v>2</v>
      </c>
      <c r="X88" s="53" t="s">
        <v>46</v>
      </c>
      <c r="Y88" s="53" t="s">
        <v>86</v>
      </c>
      <c r="Z88" s="53" t="s">
        <v>69</v>
      </c>
      <c r="AA88" s="53" t="s">
        <v>88</v>
      </c>
      <c r="AB88" s="53" t="s">
        <v>158</v>
      </c>
      <c r="AC88" s="85"/>
      <c r="AD88" s="85"/>
      <c r="AE88" s="85"/>
      <c r="AF88" s="85"/>
      <c r="AG88" s="85"/>
      <c r="AH88" s="85"/>
    </row>
    <row r="89" spans="1:34" s="53" customFormat="1" x14ac:dyDescent="0.15">
      <c r="A89" s="53" t="s">
        <v>41</v>
      </c>
      <c r="B89" s="53" t="s">
        <v>157</v>
      </c>
      <c r="C89" s="71">
        <v>2019</v>
      </c>
      <c r="D89" s="72" t="s">
        <v>165</v>
      </c>
      <c r="E89" s="53" t="s">
        <v>198</v>
      </c>
      <c r="F89" s="53" t="s">
        <v>195</v>
      </c>
      <c r="G89" s="53" t="s">
        <v>42</v>
      </c>
      <c r="H89" s="53" t="s">
        <v>160</v>
      </c>
      <c r="I89" s="53" t="s">
        <v>159</v>
      </c>
      <c r="J89" s="53" t="s">
        <v>38</v>
      </c>
      <c r="K89" s="53" t="s">
        <v>161</v>
      </c>
      <c r="L89" s="53">
        <v>1</v>
      </c>
      <c r="N89" s="53">
        <v>6</v>
      </c>
      <c r="O89" s="53">
        <v>0.25</v>
      </c>
      <c r="P89" s="53">
        <v>0.25</v>
      </c>
      <c r="Q89" s="16">
        <f t="shared" si="3"/>
        <v>0.25</v>
      </c>
      <c r="R89" s="53">
        <v>15.1</v>
      </c>
      <c r="S89" s="53">
        <v>120</v>
      </c>
      <c r="T89" s="38">
        <f t="shared" si="4"/>
        <v>30</v>
      </c>
      <c r="U89" s="53">
        <v>537</v>
      </c>
      <c r="V89" s="16">
        <f t="shared" si="5"/>
        <v>2685</v>
      </c>
      <c r="W89" s="53">
        <v>1</v>
      </c>
      <c r="X89" s="53" t="s">
        <v>46</v>
      </c>
      <c r="Y89" s="53" t="s">
        <v>86</v>
      </c>
      <c r="Z89" s="53" t="s">
        <v>69</v>
      </c>
      <c r="AA89" s="53" t="s">
        <v>88</v>
      </c>
      <c r="AB89" s="53" t="s">
        <v>158</v>
      </c>
      <c r="AC89" s="85"/>
      <c r="AD89" s="85"/>
      <c r="AE89" s="85"/>
      <c r="AF89" s="85"/>
      <c r="AG89" s="85"/>
      <c r="AH89" s="85"/>
    </row>
    <row r="90" spans="1:34" s="53" customFormat="1" x14ac:dyDescent="0.15">
      <c r="A90" s="53" t="s">
        <v>41</v>
      </c>
      <c r="B90" s="53" t="s">
        <v>157</v>
      </c>
      <c r="C90" s="71">
        <v>2019</v>
      </c>
      <c r="D90" s="72" t="s">
        <v>165</v>
      </c>
      <c r="E90" s="53" t="s">
        <v>198</v>
      </c>
      <c r="F90" s="53" t="s">
        <v>195</v>
      </c>
      <c r="G90" s="53" t="s">
        <v>42</v>
      </c>
      <c r="H90" s="53" t="s">
        <v>160</v>
      </c>
      <c r="I90" s="53" t="s">
        <v>159</v>
      </c>
      <c r="J90" s="53" t="s">
        <v>38</v>
      </c>
      <c r="K90" s="53" t="s">
        <v>161</v>
      </c>
      <c r="L90" s="53">
        <v>2</v>
      </c>
      <c r="N90" s="53">
        <v>6</v>
      </c>
      <c r="O90" s="53">
        <v>0.25</v>
      </c>
      <c r="P90" s="53">
        <v>0.25</v>
      </c>
      <c r="Q90" s="16">
        <f t="shared" si="3"/>
        <v>0.25</v>
      </c>
      <c r="R90" s="53">
        <v>17.399999999999999</v>
      </c>
      <c r="S90" s="53">
        <v>112</v>
      </c>
      <c r="T90" s="38">
        <f t="shared" si="4"/>
        <v>33</v>
      </c>
      <c r="U90" s="53">
        <v>537</v>
      </c>
      <c r="V90" s="16">
        <f t="shared" si="5"/>
        <v>2953.5</v>
      </c>
      <c r="W90" s="53">
        <v>1</v>
      </c>
      <c r="X90" s="53" t="s">
        <v>46</v>
      </c>
      <c r="Y90" s="53" t="s">
        <v>86</v>
      </c>
      <c r="Z90" s="53" t="s">
        <v>69</v>
      </c>
      <c r="AA90" s="53" t="s">
        <v>88</v>
      </c>
      <c r="AB90" s="53" t="s">
        <v>158</v>
      </c>
      <c r="AC90" s="85"/>
      <c r="AD90" s="85"/>
      <c r="AE90" s="85"/>
      <c r="AF90" s="85"/>
      <c r="AG90" s="85"/>
      <c r="AH90" s="85"/>
    </row>
    <row r="91" spans="1:34" s="53" customFormat="1" x14ac:dyDescent="0.15">
      <c r="A91" s="53" t="s">
        <v>41</v>
      </c>
      <c r="B91" s="53" t="s">
        <v>157</v>
      </c>
      <c r="C91" s="71">
        <v>2019</v>
      </c>
      <c r="D91" s="72" t="s">
        <v>165</v>
      </c>
      <c r="E91" s="53" t="s">
        <v>198</v>
      </c>
      <c r="F91" s="53" t="s">
        <v>195</v>
      </c>
      <c r="G91" s="53" t="s">
        <v>42</v>
      </c>
      <c r="H91" s="53" t="s">
        <v>160</v>
      </c>
      <c r="I91" s="53" t="s">
        <v>159</v>
      </c>
      <c r="J91" s="53" t="s">
        <v>38</v>
      </c>
      <c r="K91" s="53" t="s">
        <v>161</v>
      </c>
      <c r="L91" s="53">
        <v>3</v>
      </c>
      <c r="N91" s="53">
        <v>6</v>
      </c>
      <c r="O91" s="53">
        <v>0.25</v>
      </c>
      <c r="P91" s="53">
        <v>0.25</v>
      </c>
      <c r="Q91" s="16">
        <f t="shared" si="3"/>
        <v>0.25</v>
      </c>
      <c r="R91" s="53">
        <v>15.2</v>
      </c>
      <c r="S91" s="53">
        <v>115</v>
      </c>
      <c r="T91" s="38">
        <f t="shared" si="4"/>
        <v>30</v>
      </c>
      <c r="U91" s="53">
        <v>537</v>
      </c>
      <c r="V91" s="38">
        <f t="shared" si="5"/>
        <v>2685</v>
      </c>
      <c r="W91" s="53">
        <v>1</v>
      </c>
      <c r="X91" s="53" t="s">
        <v>46</v>
      </c>
      <c r="Y91" s="53" t="s">
        <v>86</v>
      </c>
      <c r="Z91" s="53" t="s">
        <v>69</v>
      </c>
      <c r="AA91" s="53" t="s">
        <v>88</v>
      </c>
      <c r="AB91" s="53" t="s">
        <v>158</v>
      </c>
      <c r="AC91" s="85"/>
      <c r="AD91" s="85"/>
      <c r="AE91" s="85"/>
      <c r="AF91" s="85"/>
      <c r="AG91" s="85"/>
      <c r="AH91" s="85"/>
    </row>
    <row r="92" spans="1:34" s="53" customFormat="1" x14ac:dyDescent="0.15">
      <c r="A92" s="53" t="s">
        <v>41</v>
      </c>
      <c r="B92" s="53" t="s">
        <v>157</v>
      </c>
      <c r="C92" s="71">
        <v>2019</v>
      </c>
      <c r="D92" s="72" t="s">
        <v>165</v>
      </c>
      <c r="E92" s="53" t="s">
        <v>201</v>
      </c>
      <c r="F92" s="53" t="s">
        <v>202</v>
      </c>
      <c r="G92" s="53" t="s">
        <v>42</v>
      </c>
      <c r="H92" s="53" t="s">
        <v>160</v>
      </c>
      <c r="I92" s="53" t="s">
        <v>159</v>
      </c>
      <c r="J92" s="53" t="s">
        <v>38</v>
      </c>
      <c r="K92" s="53" t="s">
        <v>161</v>
      </c>
      <c r="L92" s="53">
        <v>1</v>
      </c>
      <c r="N92" s="53">
        <v>1</v>
      </c>
      <c r="O92" s="53">
        <v>0.45</v>
      </c>
      <c r="P92" s="53">
        <v>0.5</v>
      </c>
      <c r="Q92" s="84">
        <f t="shared" si="3"/>
        <v>0.47499999999999998</v>
      </c>
      <c r="R92" s="53">
        <v>13.5</v>
      </c>
      <c r="S92" s="53">
        <v>124</v>
      </c>
      <c r="T92" s="16">
        <f t="shared" si="4"/>
        <v>27</v>
      </c>
      <c r="U92" s="53">
        <v>138</v>
      </c>
      <c r="V92" s="16">
        <f t="shared" si="5"/>
        <v>3726</v>
      </c>
      <c r="W92" s="53">
        <v>2</v>
      </c>
      <c r="X92" s="53" t="s">
        <v>46</v>
      </c>
      <c r="Y92" s="53" t="s">
        <v>97</v>
      </c>
      <c r="Z92" s="53" t="s">
        <v>88</v>
      </c>
      <c r="AA92" s="53" t="s">
        <v>69</v>
      </c>
      <c r="AB92" s="53" t="s">
        <v>158</v>
      </c>
      <c r="AC92" s="85"/>
      <c r="AD92" s="85"/>
      <c r="AE92" s="85"/>
      <c r="AF92" s="85"/>
      <c r="AG92" s="85"/>
      <c r="AH92" s="85"/>
    </row>
    <row r="93" spans="1:34" s="53" customFormat="1" x14ac:dyDescent="0.15">
      <c r="A93" s="53" t="s">
        <v>41</v>
      </c>
      <c r="B93" s="53" t="s">
        <v>157</v>
      </c>
      <c r="C93" s="71">
        <v>2019</v>
      </c>
      <c r="D93" s="72" t="s">
        <v>165</v>
      </c>
      <c r="E93" s="53" t="s">
        <v>201</v>
      </c>
      <c r="F93" s="53" t="s">
        <v>202</v>
      </c>
      <c r="G93" s="53" t="s">
        <v>42</v>
      </c>
      <c r="H93" s="53" t="s">
        <v>160</v>
      </c>
      <c r="I93" s="53" t="s">
        <v>159</v>
      </c>
      <c r="J93" s="53" t="s">
        <v>38</v>
      </c>
      <c r="K93" s="53" t="s">
        <v>161</v>
      </c>
      <c r="L93" s="53">
        <v>2</v>
      </c>
      <c r="N93" s="53">
        <v>1</v>
      </c>
      <c r="O93" s="53">
        <v>0.5</v>
      </c>
      <c r="P93" s="53">
        <v>0.45</v>
      </c>
      <c r="Q93" s="84">
        <f t="shared" si="3"/>
        <v>0.47499999999999998</v>
      </c>
      <c r="R93" s="53">
        <v>16.100000000000001</v>
      </c>
      <c r="S93" s="53">
        <v>128</v>
      </c>
      <c r="T93" s="16">
        <f t="shared" si="4"/>
        <v>27</v>
      </c>
      <c r="U93" s="53">
        <v>138</v>
      </c>
      <c r="V93" s="16">
        <f t="shared" si="5"/>
        <v>3726</v>
      </c>
      <c r="W93" s="53">
        <v>2</v>
      </c>
      <c r="X93" s="53" t="s">
        <v>46</v>
      </c>
      <c r="Y93" s="53" t="s">
        <v>97</v>
      </c>
      <c r="Z93" s="53" t="s">
        <v>88</v>
      </c>
      <c r="AA93" s="53" t="s">
        <v>69</v>
      </c>
      <c r="AB93" s="53" t="s">
        <v>158</v>
      </c>
      <c r="AC93" s="85"/>
      <c r="AD93" s="85"/>
      <c r="AE93" s="85"/>
      <c r="AF93" s="85"/>
      <c r="AG93" s="85"/>
      <c r="AH93" s="85"/>
    </row>
    <row r="94" spans="1:34" s="53" customFormat="1" x14ac:dyDescent="0.15">
      <c r="A94" s="53" t="s">
        <v>41</v>
      </c>
      <c r="B94" s="53" t="s">
        <v>157</v>
      </c>
      <c r="C94" s="71">
        <v>2019</v>
      </c>
      <c r="D94" s="72" t="s">
        <v>165</v>
      </c>
      <c r="E94" s="53" t="s">
        <v>201</v>
      </c>
      <c r="F94" s="53" t="s">
        <v>202</v>
      </c>
      <c r="G94" s="53" t="s">
        <v>42</v>
      </c>
      <c r="H94" s="53" t="s">
        <v>160</v>
      </c>
      <c r="I94" s="53" t="s">
        <v>159</v>
      </c>
      <c r="J94" s="53" t="s">
        <v>38</v>
      </c>
      <c r="K94" s="53" t="s">
        <v>161</v>
      </c>
      <c r="L94" s="53">
        <v>3</v>
      </c>
      <c r="N94" s="53">
        <v>1</v>
      </c>
      <c r="O94" s="53">
        <v>0.4</v>
      </c>
      <c r="P94" s="53">
        <v>0.3</v>
      </c>
      <c r="Q94" s="84">
        <f t="shared" si="3"/>
        <v>0.35</v>
      </c>
      <c r="R94" s="53">
        <v>16.8</v>
      </c>
      <c r="S94" s="53">
        <v>127</v>
      </c>
      <c r="T94" s="16">
        <f t="shared" si="4"/>
        <v>27</v>
      </c>
      <c r="U94" s="53">
        <v>138</v>
      </c>
      <c r="V94" s="16">
        <f t="shared" si="5"/>
        <v>3726</v>
      </c>
      <c r="W94" s="53">
        <v>2</v>
      </c>
      <c r="X94" s="53" t="s">
        <v>46</v>
      </c>
      <c r="Y94" s="53" t="s">
        <v>97</v>
      </c>
      <c r="Z94" s="53" t="s">
        <v>88</v>
      </c>
      <c r="AA94" s="53" t="s">
        <v>69</v>
      </c>
      <c r="AB94" s="53" t="s">
        <v>158</v>
      </c>
      <c r="AC94" s="85"/>
      <c r="AD94" s="85"/>
      <c r="AE94" s="85"/>
      <c r="AF94" s="85"/>
      <c r="AG94" s="85"/>
      <c r="AH94" s="85"/>
    </row>
    <row r="95" spans="1:34" s="53" customFormat="1" x14ac:dyDescent="0.15">
      <c r="A95" s="53" t="s">
        <v>41</v>
      </c>
      <c r="B95" s="53" t="s">
        <v>157</v>
      </c>
      <c r="C95" s="71">
        <v>2019</v>
      </c>
      <c r="D95" s="72" t="s">
        <v>165</v>
      </c>
      <c r="E95" s="53" t="s">
        <v>201</v>
      </c>
      <c r="F95" s="53" t="s">
        <v>202</v>
      </c>
      <c r="G95" s="53" t="s">
        <v>42</v>
      </c>
      <c r="H95" s="53" t="s">
        <v>160</v>
      </c>
      <c r="I95" s="53" t="s">
        <v>159</v>
      </c>
      <c r="J95" s="53" t="s">
        <v>38</v>
      </c>
      <c r="K95" s="53" t="s">
        <v>161</v>
      </c>
      <c r="L95" s="53">
        <v>1</v>
      </c>
      <c r="N95" s="53">
        <v>4</v>
      </c>
      <c r="O95" s="53">
        <v>0.25</v>
      </c>
      <c r="P95" s="53">
        <v>0.3</v>
      </c>
      <c r="Q95" s="84">
        <f t="shared" si="3"/>
        <v>0.27500000000000002</v>
      </c>
      <c r="R95" s="53">
        <v>15.1</v>
      </c>
      <c r="S95" s="53">
        <v>122</v>
      </c>
      <c r="T95" s="16">
        <f t="shared" si="4"/>
        <v>27</v>
      </c>
      <c r="U95" s="53">
        <v>518</v>
      </c>
      <c r="V95" s="16">
        <f t="shared" si="5"/>
        <v>3496.5</v>
      </c>
      <c r="W95" s="53">
        <v>2</v>
      </c>
      <c r="X95" s="53" t="s">
        <v>46</v>
      </c>
      <c r="Y95" s="53" t="s">
        <v>97</v>
      </c>
      <c r="Z95" s="53" t="s">
        <v>88</v>
      </c>
      <c r="AA95" s="53" t="s">
        <v>69</v>
      </c>
      <c r="AB95" s="53" t="s">
        <v>158</v>
      </c>
      <c r="AC95" s="85"/>
      <c r="AD95" s="85"/>
      <c r="AE95" s="85"/>
      <c r="AF95" s="85"/>
      <c r="AG95" s="85"/>
      <c r="AH95" s="85"/>
    </row>
    <row r="96" spans="1:34" s="53" customFormat="1" x14ac:dyDescent="0.15">
      <c r="A96" s="53" t="s">
        <v>41</v>
      </c>
      <c r="B96" s="53" t="s">
        <v>157</v>
      </c>
      <c r="C96" s="71">
        <v>2019</v>
      </c>
      <c r="D96" s="72" t="s">
        <v>165</v>
      </c>
      <c r="E96" s="53" t="s">
        <v>201</v>
      </c>
      <c r="F96" s="53" t="s">
        <v>202</v>
      </c>
      <c r="G96" s="53" t="s">
        <v>42</v>
      </c>
      <c r="H96" s="53" t="s">
        <v>160</v>
      </c>
      <c r="I96" s="53" t="s">
        <v>159</v>
      </c>
      <c r="J96" s="53" t="s">
        <v>38</v>
      </c>
      <c r="K96" s="53" t="s">
        <v>161</v>
      </c>
      <c r="L96" s="53">
        <v>2</v>
      </c>
      <c r="N96" s="53">
        <v>4</v>
      </c>
      <c r="O96" s="53">
        <v>0.25</v>
      </c>
      <c r="P96" s="53">
        <v>0.25</v>
      </c>
      <c r="Q96" s="84">
        <f t="shared" si="3"/>
        <v>0.25</v>
      </c>
      <c r="R96" s="53">
        <v>14.9</v>
      </c>
      <c r="S96" s="53">
        <v>122</v>
      </c>
      <c r="T96" s="16">
        <f t="shared" si="4"/>
        <v>27</v>
      </c>
      <c r="U96" s="53">
        <v>518</v>
      </c>
      <c r="V96" s="16">
        <f t="shared" si="5"/>
        <v>3496.5</v>
      </c>
      <c r="W96" s="53">
        <v>2</v>
      </c>
      <c r="X96" s="53" t="s">
        <v>46</v>
      </c>
      <c r="Y96" s="53" t="s">
        <v>97</v>
      </c>
      <c r="Z96" s="53" t="s">
        <v>88</v>
      </c>
      <c r="AA96" s="53" t="s">
        <v>69</v>
      </c>
      <c r="AB96" s="53" t="s">
        <v>158</v>
      </c>
      <c r="AC96" s="85"/>
      <c r="AD96" s="85"/>
      <c r="AE96" s="85"/>
      <c r="AF96" s="85"/>
      <c r="AG96" s="85"/>
      <c r="AH96" s="85"/>
    </row>
    <row r="97" spans="1:34" s="53" customFormat="1" x14ac:dyDescent="0.15">
      <c r="A97" s="53" t="s">
        <v>41</v>
      </c>
      <c r="B97" s="53" t="s">
        <v>157</v>
      </c>
      <c r="C97" s="71">
        <v>2019</v>
      </c>
      <c r="D97" s="72" t="s">
        <v>165</v>
      </c>
      <c r="E97" s="53" t="s">
        <v>201</v>
      </c>
      <c r="F97" s="53" t="s">
        <v>202</v>
      </c>
      <c r="G97" s="53" t="s">
        <v>42</v>
      </c>
      <c r="H97" s="53" t="s">
        <v>160</v>
      </c>
      <c r="I97" s="53" t="s">
        <v>159</v>
      </c>
      <c r="J97" s="53" t="s">
        <v>38</v>
      </c>
      <c r="K97" s="53" t="s">
        <v>161</v>
      </c>
      <c r="L97" s="53">
        <v>3</v>
      </c>
      <c r="N97" s="53">
        <v>4</v>
      </c>
      <c r="O97" s="53">
        <v>0.25</v>
      </c>
      <c r="P97" s="53">
        <v>0.25</v>
      </c>
      <c r="Q97" s="81">
        <f t="shared" si="3"/>
        <v>0.25</v>
      </c>
      <c r="R97" s="53">
        <v>14.7</v>
      </c>
      <c r="S97" s="53">
        <v>122</v>
      </c>
      <c r="T97" s="38">
        <f t="shared" si="4"/>
        <v>27</v>
      </c>
      <c r="U97" s="53">
        <v>518</v>
      </c>
      <c r="V97" s="16">
        <f t="shared" si="5"/>
        <v>3496.5</v>
      </c>
      <c r="W97" s="53">
        <v>2</v>
      </c>
      <c r="X97" s="53" t="s">
        <v>46</v>
      </c>
      <c r="Y97" s="53" t="s">
        <v>97</v>
      </c>
      <c r="Z97" s="53" t="s">
        <v>88</v>
      </c>
      <c r="AA97" s="53" t="s">
        <v>69</v>
      </c>
      <c r="AB97" s="53" t="s">
        <v>158</v>
      </c>
      <c r="AC97" s="85"/>
      <c r="AD97" s="85"/>
      <c r="AE97" s="85"/>
      <c r="AF97" s="85"/>
      <c r="AG97" s="85"/>
      <c r="AH97" s="85"/>
    </row>
    <row r="98" spans="1:34" s="53" customFormat="1" x14ac:dyDescent="0.15">
      <c r="A98" s="53" t="s">
        <v>41</v>
      </c>
      <c r="B98" s="53" t="s">
        <v>157</v>
      </c>
      <c r="C98" s="71">
        <v>2019</v>
      </c>
      <c r="D98" s="72" t="s">
        <v>165</v>
      </c>
      <c r="E98" s="53" t="s">
        <v>201</v>
      </c>
      <c r="F98" s="53" t="s">
        <v>202</v>
      </c>
      <c r="G98" s="53" t="s">
        <v>42</v>
      </c>
      <c r="H98" s="53" t="s">
        <v>160</v>
      </c>
      <c r="I98" s="53" t="s">
        <v>159</v>
      </c>
      <c r="J98" s="53" t="s">
        <v>38</v>
      </c>
      <c r="K98" s="53" t="s">
        <v>161</v>
      </c>
      <c r="L98" s="53">
        <v>1</v>
      </c>
      <c r="N98" s="53">
        <v>7</v>
      </c>
      <c r="O98" s="53">
        <v>0.8</v>
      </c>
      <c r="P98" s="53">
        <v>0.7</v>
      </c>
      <c r="Q98" s="84">
        <f t="shared" si="3"/>
        <v>0.75</v>
      </c>
      <c r="R98" s="53">
        <v>16.600000000000001</v>
      </c>
      <c r="S98" s="53">
        <v>118</v>
      </c>
      <c r="T98" s="16">
        <f t="shared" si="4"/>
        <v>30</v>
      </c>
      <c r="U98" s="53">
        <v>734</v>
      </c>
      <c r="V98" s="16">
        <f t="shared" si="5"/>
        <v>3145.7142857142858</v>
      </c>
      <c r="W98" s="53">
        <v>2</v>
      </c>
      <c r="X98" s="53" t="s">
        <v>46</v>
      </c>
      <c r="Y98" s="53" t="s">
        <v>97</v>
      </c>
      <c r="Z98" s="53" t="s">
        <v>88</v>
      </c>
      <c r="AA98" s="53" t="s">
        <v>69</v>
      </c>
      <c r="AB98" s="53" t="s">
        <v>158</v>
      </c>
      <c r="AC98" s="85"/>
      <c r="AD98" s="85"/>
      <c r="AE98" s="85"/>
      <c r="AF98" s="85"/>
      <c r="AG98" s="85"/>
      <c r="AH98" s="85"/>
    </row>
    <row r="99" spans="1:34" s="53" customFormat="1" x14ac:dyDescent="0.15">
      <c r="A99" s="53" t="s">
        <v>41</v>
      </c>
      <c r="B99" s="53" t="s">
        <v>157</v>
      </c>
      <c r="C99" s="71">
        <v>2019</v>
      </c>
      <c r="D99" s="72" t="s">
        <v>165</v>
      </c>
      <c r="E99" s="53" t="s">
        <v>201</v>
      </c>
      <c r="F99" s="53" t="s">
        <v>202</v>
      </c>
      <c r="G99" s="53" t="s">
        <v>42</v>
      </c>
      <c r="H99" s="53" t="s">
        <v>160</v>
      </c>
      <c r="I99" s="53" t="s">
        <v>159</v>
      </c>
      <c r="J99" s="53" t="s">
        <v>38</v>
      </c>
      <c r="K99" s="53" t="s">
        <v>161</v>
      </c>
      <c r="L99" s="53">
        <v>2</v>
      </c>
      <c r="N99" s="53">
        <v>7</v>
      </c>
      <c r="O99" s="53">
        <v>0.85</v>
      </c>
      <c r="P99" s="53">
        <v>0.75</v>
      </c>
      <c r="Q99" s="84">
        <f t="shared" si="3"/>
        <v>0.8</v>
      </c>
      <c r="R99" s="53">
        <v>13.7</v>
      </c>
      <c r="S99" s="53">
        <v>120</v>
      </c>
      <c r="T99" s="16">
        <f t="shared" si="4"/>
        <v>30</v>
      </c>
      <c r="U99" s="53">
        <v>734</v>
      </c>
      <c r="V99" s="16">
        <f t="shared" si="5"/>
        <v>3145.7142857142858</v>
      </c>
      <c r="W99" s="53">
        <v>2</v>
      </c>
      <c r="X99" s="53" t="s">
        <v>46</v>
      </c>
      <c r="Y99" s="53" t="s">
        <v>97</v>
      </c>
      <c r="Z99" s="53" t="s">
        <v>88</v>
      </c>
      <c r="AA99" s="53" t="s">
        <v>69</v>
      </c>
      <c r="AB99" s="53" t="s">
        <v>158</v>
      </c>
      <c r="AC99" s="85"/>
      <c r="AD99" s="85"/>
      <c r="AE99" s="85"/>
      <c r="AF99" s="85"/>
      <c r="AG99" s="85"/>
      <c r="AH99" s="85"/>
    </row>
    <row r="100" spans="1:34" s="53" customFormat="1" x14ac:dyDescent="0.15">
      <c r="A100" s="53" t="s">
        <v>41</v>
      </c>
      <c r="B100" s="53" t="s">
        <v>157</v>
      </c>
      <c r="C100" s="71">
        <v>2019</v>
      </c>
      <c r="D100" s="72" t="s">
        <v>165</v>
      </c>
      <c r="E100" s="53" t="s">
        <v>201</v>
      </c>
      <c r="F100" s="53" t="s">
        <v>202</v>
      </c>
      <c r="G100" s="53" t="s">
        <v>42</v>
      </c>
      <c r="H100" s="53" t="s">
        <v>160</v>
      </c>
      <c r="I100" s="53" t="s">
        <v>159</v>
      </c>
      <c r="J100" s="53" t="s">
        <v>38</v>
      </c>
      <c r="K100" s="53" t="s">
        <v>161</v>
      </c>
      <c r="L100" s="53">
        <v>3</v>
      </c>
      <c r="N100" s="53">
        <v>7</v>
      </c>
      <c r="O100" s="53">
        <v>0.65</v>
      </c>
      <c r="P100" s="53">
        <v>0.7</v>
      </c>
      <c r="Q100" s="81">
        <f t="shared" si="3"/>
        <v>0.67500000000000004</v>
      </c>
      <c r="R100" s="53">
        <v>14.4</v>
      </c>
      <c r="S100" s="53">
        <v>115</v>
      </c>
      <c r="T100" s="38">
        <f t="shared" si="4"/>
        <v>30</v>
      </c>
      <c r="U100" s="53">
        <v>734</v>
      </c>
      <c r="V100" s="16">
        <f t="shared" si="5"/>
        <v>3145.7142857142858</v>
      </c>
      <c r="W100" s="53">
        <v>2</v>
      </c>
      <c r="X100" s="53" t="s">
        <v>46</v>
      </c>
      <c r="Y100" s="53" t="s">
        <v>97</v>
      </c>
      <c r="Z100" s="53" t="s">
        <v>88</v>
      </c>
      <c r="AA100" s="53" t="s">
        <v>69</v>
      </c>
      <c r="AB100" s="53" t="s">
        <v>158</v>
      </c>
      <c r="AC100" s="85"/>
      <c r="AD100" s="85"/>
      <c r="AE100" s="85"/>
      <c r="AF100" s="85"/>
      <c r="AG100" s="85"/>
      <c r="AH100" s="85"/>
    </row>
    <row r="101" spans="1:34" s="53" customFormat="1" x14ac:dyDescent="0.15">
      <c r="A101" s="53" t="s">
        <v>41</v>
      </c>
      <c r="B101" s="53" t="s">
        <v>157</v>
      </c>
      <c r="C101" s="71">
        <v>2019</v>
      </c>
      <c r="D101" s="72" t="s">
        <v>165</v>
      </c>
      <c r="E101" s="53" t="s">
        <v>201</v>
      </c>
      <c r="F101" s="53" t="s">
        <v>202</v>
      </c>
      <c r="G101" s="53" t="s">
        <v>42</v>
      </c>
      <c r="H101" s="53" t="s">
        <v>164</v>
      </c>
      <c r="I101" s="53" t="s">
        <v>159</v>
      </c>
      <c r="J101" s="53" t="s">
        <v>38</v>
      </c>
      <c r="K101" s="53" t="s">
        <v>161</v>
      </c>
      <c r="L101" s="53">
        <v>1</v>
      </c>
      <c r="N101" s="53">
        <v>1</v>
      </c>
      <c r="O101" s="53">
        <v>0.5</v>
      </c>
      <c r="P101" s="53">
        <v>0.45</v>
      </c>
      <c r="Q101" s="81">
        <f t="shared" si="3"/>
        <v>0.47499999999999998</v>
      </c>
      <c r="R101" s="53">
        <v>12.4</v>
      </c>
      <c r="S101" s="53">
        <v>130</v>
      </c>
      <c r="T101" s="38">
        <f t="shared" si="4"/>
        <v>25</v>
      </c>
      <c r="U101" s="53">
        <v>138</v>
      </c>
      <c r="V101" s="38">
        <f t="shared" si="5"/>
        <v>3450</v>
      </c>
      <c r="W101" s="53">
        <v>4</v>
      </c>
      <c r="X101" s="53" t="s">
        <v>46</v>
      </c>
      <c r="Y101" s="53" t="s">
        <v>97</v>
      </c>
      <c r="Z101" s="53" t="s">
        <v>88</v>
      </c>
      <c r="AA101" s="53" t="s">
        <v>69</v>
      </c>
      <c r="AB101" s="53" t="s">
        <v>158</v>
      </c>
      <c r="AC101" s="85"/>
      <c r="AD101" s="85"/>
      <c r="AE101" s="85"/>
      <c r="AF101" s="85"/>
      <c r="AG101" s="85"/>
      <c r="AH101" s="85"/>
    </row>
    <row r="102" spans="1:34" s="53" customFormat="1" x14ac:dyDescent="0.15">
      <c r="A102" s="53" t="s">
        <v>41</v>
      </c>
      <c r="B102" s="53" t="s">
        <v>157</v>
      </c>
      <c r="C102" s="71">
        <v>2019</v>
      </c>
      <c r="D102" s="72" t="s">
        <v>165</v>
      </c>
      <c r="E102" s="53" t="s">
        <v>201</v>
      </c>
      <c r="F102" s="53" t="s">
        <v>202</v>
      </c>
      <c r="G102" s="53" t="s">
        <v>42</v>
      </c>
      <c r="H102" s="53" t="s">
        <v>164</v>
      </c>
      <c r="I102" s="53" t="s">
        <v>159</v>
      </c>
      <c r="J102" s="53" t="s">
        <v>38</v>
      </c>
      <c r="K102" s="53" t="s">
        <v>161</v>
      </c>
      <c r="L102" s="53">
        <v>2</v>
      </c>
      <c r="N102" s="53">
        <v>1</v>
      </c>
      <c r="O102" s="53">
        <v>0.55000000000000004</v>
      </c>
      <c r="P102" s="53">
        <v>0.4</v>
      </c>
      <c r="Q102" s="81">
        <f t="shared" si="3"/>
        <v>0.47500000000000003</v>
      </c>
      <c r="R102" s="53">
        <v>15.8</v>
      </c>
      <c r="S102" s="53">
        <v>132</v>
      </c>
      <c r="T102" s="38">
        <f t="shared" si="4"/>
        <v>25</v>
      </c>
      <c r="U102" s="53">
        <v>138</v>
      </c>
      <c r="V102" s="38">
        <f t="shared" si="5"/>
        <v>3450</v>
      </c>
      <c r="W102" s="53">
        <v>4</v>
      </c>
      <c r="X102" s="53" t="s">
        <v>46</v>
      </c>
      <c r="Y102" s="53" t="s">
        <v>97</v>
      </c>
      <c r="Z102" s="53" t="s">
        <v>88</v>
      </c>
      <c r="AA102" s="53" t="s">
        <v>69</v>
      </c>
      <c r="AB102" s="53" t="s">
        <v>158</v>
      </c>
      <c r="AC102" s="85"/>
      <c r="AD102" s="85"/>
      <c r="AE102" s="85"/>
      <c r="AF102" s="85"/>
      <c r="AG102" s="85"/>
      <c r="AH102" s="85"/>
    </row>
    <row r="103" spans="1:34" s="53" customFormat="1" x14ac:dyDescent="0.15">
      <c r="A103" s="53" t="s">
        <v>41</v>
      </c>
      <c r="B103" s="53" t="s">
        <v>157</v>
      </c>
      <c r="C103" s="71">
        <v>2019</v>
      </c>
      <c r="D103" s="72" t="s">
        <v>165</v>
      </c>
      <c r="E103" s="53" t="s">
        <v>201</v>
      </c>
      <c r="F103" s="53" t="s">
        <v>202</v>
      </c>
      <c r="G103" s="53" t="s">
        <v>42</v>
      </c>
      <c r="H103" s="53" t="s">
        <v>164</v>
      </c>
      <c r="I103" s="53" t="s">
        <v>159</v>
      </c>
      <c r="J103" s="53" t="s">
        <v>38</v>
      </c>
      <c r="K103" s="53" t="s">
        <v>161</v>
      </c>
      <c r="L103" s="53">
        <v>3</v>
      </c>
      <c r="N103" s="53">
        <v>1</v>
      </c>
      <c r="O103" s="53">
        <v>0.6</v>
      </c>
      <c r="P103" s="53">
        <v>0.45</v>
      </c>
      <c r="Q103" s="81">
        <f t="shared" si="3"/>
        <v>0.52500000000000002</v>
      </c>
      <c r="R103" s="53">
        <v>13.5</v>
      </c>
      <c r="S103" s="53">
        <v>129</v>
      </c>
      <c r="T103" s="38">
        <f t="shared" si="4"/>
        <v>25</v>
      </c>
      <c r="U103" s="53">
        <v>138</v>
      </c>
      <c r="V103" s="38">
        <f t="shared" si="5"/>
        <v>3450</v>
      </c>
      <c r="W103" s="53">
        <v>4</v>
      </c>
      <c r="X103" s="53" t="s">
        <v>46</v>
      </c>
      <c r="Y103" s="53" t="s">
        <v>97</v>
      </c>
      <c r="Z103" s="53" t="s">
        <v>88</v>
      </c>
      <c r="AA103" s="53" t="s">
        <v>69</v>
      </c>
      <c r="AB103" s="53" t="s">
        <v>158</v>
      </c>
      <c r="AC103" s="85"/>
      <c r="AD103" s="85"/>
      <c r="AE103" s="85"/>
      <c r="AF103" s="85"/>
      <c r="AG103" s="85"/>
      <c r="AH103" s="85"/>
    </row>
    <row r="104" spans="1:34" s="53" customFormat="1" x14ac:dyDescent="0.15">
      <c r="A104" s="53" t="s">
        <v>41</v>
      </c>
      <c r="B104" s="53" t="s">
        <v>157</v>
      </c>
      <c r="C104" s="71">
        <v>2019</v>
      </c>
      <c r="D104" s="72" t="s">
        <v>165</v>
      </c>
      <c r="E104" s="53" t="s">
        <v>201</v>
      </c>
      <c r="F104" s="53" t="s">
        <v>202</v>
      </c>
      <c r="G104" s="53" t="s">
        <v>42</v>
      </c>
      <c r="H104" s="53" t="s">
        <v>164</v>
      </c>
      <c r="I104" s="53" t="s">
        <v>159</v>
      </c>
      <c r="J104" s="53" t="s">
        <v>38</v>
      </c>
      <c r="K104" s="53" t="s">
        <v>161</v>
      </c>
      <c r="L104" s="53">
        <v>1</v>
      </c>
      <c r="N104" s="53">
        <v>5</v>
      </c>
      <c r="O104" s="53">
        <v>0.25</v>
      </c>
      <c r="P104" s="53">
        <v>0.25</v>
      </c>
      <c r="Q104" s="84">
        <f t="shared" si="3"/>
        <v>0.25</v>
      </c>
      <c r="R104" s="53">
        <v>13</v>
      </c>
      <c r="S104" s="53">
        <v>115</v>
      </c>
      <c r="T104" s="16">
        <f t="shared" si="4"/>
        <v>30</v>
      </c>
      <c r="U104" s="53">
        <v>410</v>
      </c>
      <c r="V104" s="16">
        <f t="shared" si="5"/>
        <v>2460</v>
      </c>
      <c r="W104" s="53">
        <v>2</v>
      </c>
      <c r="X104" s="53" t="s">
        <v>46</v>
      </c>
      <c r="Y104" s="53" t="s">
        <v>97</v>
      </c>
      <c r="Z104" s="53" t="s">
        <v>88</v>
      </c>
      <c r="AA104" s="53" t="s">
        <v>69</v>
      </c>
      <c r="AB104" s="53" t="s">
        <v>158</v>
      </c>
      <c r="AC104" s="85"/>
      <c r="AD104" s="85"/>
      <c r="AE104" s="85"/>
      <c r="AF104" s="85"/>
      <c r="AG104" s="85"/>
      <c r="AH104" s="85"/>
    </row>
    <row r="105" spans="1:34" s="53" customFormat="1" x14ac:dyDescent="0.15">
      <c r="A105" s="53" t="s">
        <v>41</v>
      </c>
      <c r="B105" s="53" t="s">
        <v>157</v>
      </c>
      <c r="C105" s="71">
        <v>2019</v>
      </c>
      <c r="D105" s="72" t="s">
        <v>165</v>
      </c>
      <c r="E105" s="53" t="s">
        <v>201</v>
      </c>
      <c r="F105" s="53" t="s">
        <v>202</v>
      </c>
      <c r="G105" s="53" t="s">
        <v>42</v>
      </c>
      <c r="H105" s="53" t="s">
        <v>164</v>
      </c>
      <c r="I105" s="53" t="s">
        <v>159</v>
      </c>
      <c r="J105" s="53" t="s">
        <v>38</v>
      </c>
      <c r="K105" s="53" t="s">
        <v>161</v>
      </c>
      <c r="L105" s="53">
        <v>2</v>
      </c>
      <c r="N105" s="53">
        <v>5</v>
      </c>
      <c r="O105" s="53">
        <v>0.25</v>
      </c>
      <c r="P105" s="53">
        <v>0.25</v>
      </c>
      <c r="Q105" s="84">
        <f t="shared" si="3"/>
        <v>0.25</v>
      </c>
      <c r="R105" s="53">
        <v>13.3</v>
      </c>
      <c r="S105" s="53">
        <v>118</v>
      </c>
      <c r="T105" s="16">
        <f t="shared" si="4"/>
        <v>30</v>
      </c>
      <c r="U105" s="53">
        <v>410</v>
      </c>
      <c r="V105" s="16">
        <f t="shared" si="5"/>
        <v>2460</v>
      </c>
      <c r="W105" s="53">
        <v>2</v>
      </c>
      <c r="X105" s="53" t="s">
        <v>46</v>
      </c>
      <c r="Y105" s="53" t="s">
        <v>97</v>
      </c>
      <c r="Z105" s="53" t="s">
        <v>88</v>
      </c>
      <c r="AA105" s="53" t="s">
        <v>69</v>
      </c>
      <c r="AB105" s="53" t="s">
        <v>158</v>
      </c>
      <c r="AC105" s="85"/>
      <c r="AD105" s="85"/>
      <c r="AE105" s="85"/>
      <c r="AF105" s="85"/>
      <c r="AG105" s="85"/>
      <c r="AH105" s="85"/>
    </row>
    <row r="106" spans="1:34" s="53" customFormat="1" x14ac:dyDescent="0.15">
      <c r="A106" s="53" t="s">
        <v>41</v>
      </c>
      <c r="B106" s="53" t="s">
        <v>157</v>
      </c>
      <c r="C106" s="71">
        <v>2019</v>
      </c>
      <c r="D106" s="72" t="s">
        <v>165</v>
      </c>
      <c r="E106" s="53" t="s">
        <v>201</v>
      </c>
      <c r="F106" s="53" t="s">
        <v>202</v>
      </c>
      <c r="G106" s="53" t="s">
        <v>42</v>
      </c>
      <c r="H106" s="53" t="s">
        <v>164</v>
      </c>
      <c r="I106" s="53" t="s">
        <v>159</v>
      </c>
      <c r="J106" s="53" t="s">
        <v>38</v>
      </c>
      <c r="K106" s="53" t="s">
        <v>161</v>
      </c>
      <c r="L106" s="53">
        <v>3</v>
      </c>
      <c r="N106" s="53">
        <v>5</v>
      </c>
      <c r="O106" s="53">
        <v>0.25</v>
      </c>
      <c r="P106" s="53">
        <v>0.25</v>
      </c>
      <c r="Q106" s="84">
        <f t="shared" si="3"/>
        <v>0.25</v>
      </c>
      <c r="R106" s="53">
        <v>12.6</v>
      </c>
      <c r="S106" s="53">
        <v>117</v>
      </c>
      <c r="T106" s="16">
        <f t="shared" si="4"/>
        <v>30</v>
      </c>
      <c r="U106" s="53">
        <v>410</v>
      </c>
      <c r="V106" s="16">
        <f t="shared" si="5"/>
        <v>2460</v>
      </c>
      <c r="W106" s="53">
        <v>2</v>
      </c>
      <c r="X106" s="53" t="s">
        <v>46</v>
      </c>
      <c r="Y106" s="53" t="s">
        <v>97</v>
      </c>
      <c r="Z106" s="53" t="s">
        <v>88</v>
      </c>
      <c r="AA106" s="53" t="s">
        <v>69</v>
      </c>
      <c r="AB106" s="53" t="s">
        <v>158</v>
      </c>
      <c r="AC106" s="85"/>
      <c r="AD106" s="85"/>
      <c r="AE106" s="85"/>
      <c r="AF106" s="85"/>
      <c r="AG106" s="85"/>
      <c r="AH106" s="85"/>
    </row>
    <row r="107" spans="1:34" s="53" customFormat="1" x14ac:dyDescent="0.15">
      <c r="A107" s="53" t="s">
        <v>41</v>
      </c>
      <c r="B107" s="53" t="s">
        <v>157</v>
      </c>
      <c r="C107" s="71">
        <v>2019</v>
      </c>
      <c r="D107" s="72" t="s">
        <v>165</v>
      </c>
      <c r="E107" s="53" t="s">
        <v>201</v>
      </c>
      <c r="F107" s="53" t="s">
        <v>202</v>
      </c>
      <c r="G107" s="53" t="s">
        <v>42</v>
      </c>
      <c r="H107" s="53" t="s">
        <v>164</v>
      </c>
      <c r="I107" s="53" t="s">
        <v>159</v>
      </c>
      <c r="J107" s="53" t="s">
        <v>38</v>
      </c>
      <c r="K107" s="53" t="s">
        <v>161</v>
      </c>
      <c r="L107" s="53">
        <v>1</v>
      </c>
      <c r="N107" s="53">
        <v>8</v>
      </c>
      <c r="O107" s="53">
        <v>0.55000000000000004</v>
      </c>
      <c r="P107" s="53">
        <v>0.6</v>
      </c>
      <c r="Q107" s="84">
        <f t="shared" si="3"/>
        <v>0.57499999999999996</v>
      </c>
      <c r="R107" s="53">
        <v>14</v>
      </c>
      <c r="S107" s="53">
        <v>115</v>
      </c>
      <c r="T107" s="16">
        <f t="shared" si="4"/>
        <v>30</v>
      </c>
      <c r="U107" s="53">
        <v>626</v>
      </c>
      <c r="V107" s="16">
        <f t="shared" si="5"/>
        <v>2347.5</v>
      </c>
      <c r="W107" s="53">
        <v>2</v>
      </c>
      <c r="X107" s="53" t="s">
        <v>46</v>
      </c>
      <c r="Y107" s="53" t="s">
        <v>97</v>
      </c>
      <c r="Z107" s="53" t="s">
        <v>88</v>
      </c>
      <c r="AA107" s="53" t="s">
        <v>69</v>
      </c>
      <c r="AB107" s="53" t="s">
        <v>158</v>
      </c>
      <c r="AC107" s="85"/>
      <c r="AD107" s="85"/>
      <c r="AE107" s="85"/>
      <c r="AF107" s="85"/>
      <c r="AG107" s="85"/>
      <c r="AH107" s="85"/>
    </row>
    <row r="108" spans="1:34" s="53" customFormat="1" x14ac:dyDescent="0.15">
      <c r="A108" s="53" t="s">
        <v>41</v>
      </c>
      <c r="B108" s="53" t="s">
        <v>157</v>
      </c>
      <c r="C108" s="71">
        <v>2019</v>
      </c>
      <c r="D108" s="72" t="s">
        <v>165</v>
      </c>
      <c r="E108" s="53" t="s">
        <v>201</v>
      </c>
      <c r="F108" s="53" t="s">
        <v>202</v>
      </c>
      <c r="G108" s="53" t="s">
        <v>42</v>
      </c>
      <c r="H108" s="53" t="s">
        <v>164</v>
      </c>
      <c r="I108" s="53" t="s">
        <v>159</v>
      </c>
      <c r="J108" s="53" t="s">
        <v>38</v>
      </c>
      <c r="K108" s="53" t="s">
        <v>161</v>
      </c>
      <c r="L108" s="53">
        <v>2</v>
      </c>
      <c r="N108" s="53">
        <v>8</v>
      </c>
      <c r="O108" s="53">
        <v>0.5</v>
      </c>
      <c r="P108" s="53">
        <v>0.45</v>
      </c>
      <c r="Q108" s="84">
        <f t="shared" si="3"/>
        <v>0.47499999999999998</v>
      </c>
      <c r="R108" s="53">
        <v>12.9</v>
      </c>
      <c r="S108" s="53">
        <v>120</v>
      </c>
      <c r="T108" s="16">
        <f t="shared" si="4"/>
        <v>30</v>
      </c>
      <c r="U108" s="53">
        <v>626</v>
      </c>
      <c r="V108" s="16">
        <f t="shared" si="5"/>
        <v>2347.5</v>
      </c>
      <c r="W108" s="53">
        <v>2</v>
      </c>
      <c r="X108" s="53" t="s">
        <v>46</v>
      </c>
      <c r="Y108" s="53" t="s">
        <v>97</v>
      </c>
      <c r="Z108" s="53" t="s">
        <v>88</v>
      </c>
      <c r="AA108" s="53" t="s">
        <v>69</v>
      </c>
      <c r="AB108" s="53" t="s">
        <v>158</v>
      </c>
      <c r="AC108" s="85"/>
      <c r="AD108" s="85"/>
      <c r="AE108" s="85"/>
      <c r="AF108" s="85"/>
      <c r="AG108" s="85"/>
      <c r="AH108" s="85"/>
    </row>
    <row r="109" spans="1:34" s="53" customFormat="1" x14ac:dyDescent="0.15">
      <c r="A109" s="53" t="s">
        <v>41</v>
      </c>
      <c r="B109" s="53" t="s">
        <v>157</v>
      </c>
      <c r="C109" s="71">
        <v>2019</v>
      </c>
      <c r="D109" s="72" t="s">
        <v>165</v>
      </c>
      <c r="E109" s="53" t="s">
        <v>201</v>
      </c>
      <c r="F109" s="53" t="s">
        <v>202</v>
      </c>
      <c r="G109" s="53" t="s">
        <v>42</v>
      </c>
      <c r="H109" s="53" t="s">
        <v>164</v>
      </c>
      <c r="I109" s="53" t="s">
        <v>159</v>
      </c>
      <c r="J109" s="53" t="s">
        <v>38</v>
      </c>
      <c r="K109" s="53" t="s">
        <v>161</v>
      </c>
      <c r="L109" s="53">
        <v>3</v>
      </c>
      <c r="N109" s="53">
        <v>8</v>
      </c>
      <c r="O109" s="53">
        <v>0.5</v>
      </c>
      <c r="P109" s="53">
        <v>0.45</v>
      </c>
      <c r="Q109" s="84">
        <f t="shared" si="3"/>
        <v>0.47499999999999998</v>
      </c>
      <c r="R109" s="53">
        <v>16</v>
      </c>
      <c r="S109" s="53">
        <v>116</v>
      </c>
      <c r="T109" s="16">
        <f t="shared" si="4"/>
        <v>30</v>
      </c>
      <c r="U109" s="53">
        <v>626</v>
      </c>
      <c r="V109" s="16">
        <f t="shared" si="5"/>
        <v>2347.5</v>
      </c>
      <c r="W109" s="53">
        <v>2</v>
      </c>
      <c r="X109" s="53" t="s">
        <v>46</v>
      </c>
      <c r="Y109" s="53" t="s">
        <v>97</v>
      </c>
      <c r="Z109" s="53" t="s">
        <v>88</v>
      </c>
      <c r="AA109" s="53" t="s">
        <v>69</v>
      </c>
      <c r="AB109" s="53" t="s">
        <v>158</v>
      </c>
      <c r="AC109" s="85"/>
      <c r="AD109" s="85"/>
      <c r="AE109" s="85"/>
      <c r="AF109" s="85"/>
      <c r="AG109" s="85"/>
      <c r="AH109" s="85"/>
    </row>
    <row r="110" spans="1:34" s="53" customFormat="1" x14ac:dyDescent="0.15">
      <c r="A110" s="53" t="s">
        <v>41</v>
      </c>
      <c r="B110" s="53" t="s">
        <v>157</v>
      </c>
      <c r="C110" s="71">
        <v>2019</v>
      </c>
      <c r="D110" s="72" t="s">
        <v>165</v>
      </c>
      <c r="E110" s="53" t="s">
        <v>201</v>
      </c>
      <c r="F110" s="53" t="s">
        <v>208</v>
      </c>
      <c r="G110" s="53" t="s">
        <v>42</v>
      </c>
      <c r="H110" s="53" t="s">
        <v>160</v>
      </c>
      <c r="I110" s="53" t="s">
        <v>159</v>
      </c>
      <c r="J110" s="53" t="s">
        <v>38</v>
      </c>
      <c r="K110" s="53" t="s">
        <v>161</v>
      </c>
      <c r="L110" s="53">
        <v>1</v>
      </c>
      <c r="N110" s="53">
        <v>1</v>
      </c>
      <c r="O110" s="53">
        <v>0.4</v>
      </c>
      <c r="P110" s="53">
        <v>0.5</v>
      </c>
      <c r="Q110" s="84">
        <v>0.47499999999999998</v>
      </c>
      <c r="R110" s="53">
        <v>15.1</v>
      </c>
      <c r="S110" s="53">
        <v>126</v>
      </c>
      <c r="T110" s="16">
        <f t="shared" si="4"/>
        <v>27</v>
      </c>
      <c r="U110" s="53">
        <v>138</v>
      </c>
      <c r="V110" s="16">
        <v>3726</v>
      </c>
      <c r="W110" s="53">
        <v>2</v>
      </c>
      <c r="X110" s="53" t="s">
        <v>46</v>
      </c>
      <c r="Y110" s="53" t="s">
        <v>97</v>
      </c>
      <c r="Z110" s="53" t="s">
        <v>55</v>
      </c>
      <c r="AA110" s="53" t="s">
        <v>69</v>
      </c>
      <c r="AB110" s="53" t="s">
        <v>158</v>
      </c>
      <c r="AC110" s="85"/>
      <c r="AD110" s="85"/>
      <c r="AE110" s="85"/>
      <c r="AF110" s="85"/>
      <c r="AG110" s="85"/>
      <c r="AH110" s="85"/>
    </row>
    <row r="111" spans="1:34" s="53" customFormat="1" x14ac:dyDescent="0.15">
      <c r="A111" s="53" t="s">
        <v>41</v>
      </c>
      <c r="B111" s="53" t="s">
        <v>157</v>
      </c>
      <c r="C111" s="71">
        <v>2019</v>
      </c>
      <c r="D111" s="72" t="s">
        <v>165</v>
      </c>
      <c r="E111" s="53" t="s">
        <v>201</v>
      </c>
      <c r="F111" s="53" t="s">
        <v>208</v>
      </c>
      <c r="G111" s="53" t="s">
        <v>42</v>
      </c>
      <c r="H111" s="53" t="s">
        <v>160</v>
      </c>
      <c r="I111" s="53" t="s">
        <v>159</v>
      </c>
      <c r="J111" s="53" t="s">
        <v>38</v>
      </c>
      <c r="K111" s="53" t="s">
        <v>161</v>
      </c>
      <c r="L111" s="53">
        <v>2</v>
      </c>
      <c r="N111" s="53">
        <v>1</v>
      </c>
      <c r="O111" s="53">
        <v>0.35</v>
      </c>
      <c r="P111" s="53">
        <v>0.4</v>
      </c>
      <c r="Q111" s="84">
        <v>0.82499999999999996</v>
      </c>
      <c r="R111" s="53">
        <v>15.1</v>
      </c>
      <c r="S111" s="53">
        <v>127</v>
      </c>
      <c r="T111" s="16">
        <f t="shared" si="4"/>
        <v>27</v>
      </c>
      <c r="U111" s="53">
        <v>138</v>
      </c>
      <c r="V111" s="16">
        <v>3726</v>
      </c>
      <c r="W111" s="53">
        <v>2</v>
      </c>
      <c r="X111" s="53" t="s">
        <v>46</v>
      </c>
      <c r="Y111" s="53" t="s">
        <v>97</v>
      </c>
      <c r="Z111" s="53" t="s">
        <v>55</v>
      </c>
      <c r="AA111" s="53" t="s">
        <v>69</v>
      </c>
      <c r="AB111" s="53" t="s">
        <v>158</v>
      </c>
      <c r="AC111" s="85"/>
      <c r="AD111" s="85"/>
      <c r="AE111" s="85"/>
      <c r="AF111" s="85"/>
      <c r="AG111" s="85"/>
      <c r="AH111" s="85"/>
    </row>
    <row r="112" spans="1:34" s="53" customFormat="1" x14ac:dyDescent="0.15">
      <c r="A112" s="53" t="s">
        <v>41</v>
      </c>
      <c r="B112" s="53" t="s">
        <v>157</v>
      </c>
      <c r="C112" s="71">
        <v>2019</v>
      </c>
      <c r="D112" s="72" t="s">
        <v>165</v>
      </c>
      <c r="E112" s="53" t="s">
        <v>201</v>
      </c>
      <c r="F112" s="53" t="s">
        <v>208</v>
      </c>
      <c r="G112" s="53" t="s">
        <v>42</v>
      </c>
      <c r="H112" s="53" t="s">
        <v>160</v>
      </c>
      <c r="I112" s="53" t="s">
        <v>159</v>
      </c>
      <c r="J112" s="53" t="s">
        <v>38</v>
      </c>
      <c r="K112" s="53" t="s">
        <v>161</v>
      </c>
      <c r="L112" s="53">
        <v>3</v>
      </c>
      <c r="N112" s="53">
        <v>1</v>
      </c>
      <c r="O112" s="53">
        <v>0.6</v>
      </c>
      <c r="P112" s="53">
        <v>0.5</v>
      </c>
      <c r="Q112" s="84">
        <v>0.52500000000000002</v>
      </c>
      <c r="R112" s="53">
        <v>13.7</v>
      </c>
      <c r="S112" s="53">
        <v>125</v>
      </c>
      <c r="T112" s="16">
        <f t="shared" si="4"/>
        <v>27</v>
      </c>
      <c r="U112" s="53">
        <v>138</v>
      </c>
      <c r="V112" s="16">
        <v>3726</v>
      </c>
      <c r="W112" s="53">
        <v>2</v>
      </c>
      <c r="X112" s="53" t="s">
        <v>46</v>
      </c>
      <c r="Y112" s="53" t="s">
        <v>97</v>
      </c>
      <c r="Z112" s="53" t="s">
        <v>55</v>
      </c>
      <c r="AA112" s="53" t="s">
        <v>69</v>
      </c>
      <c r="AB112" s="53" t="s">
        <v>158</v>
      </c>
      <c r="AC112" s="85"/>
      <c r="AD112" s="85"/>
      <c r="AE112" s="85"/>
      <c r="AF112" s="85"/>
      <c r="AG112" s="85"/>
      <c r="AH112" s="85"/>
    </row>
    <row r="113" spans="1:34" s="53" customFormat="1" x14ac:dyDescent="0.15">
      <c r="A113" s="53" t="s">
        <v>41</v>
      </c>
      <c r="B113" s="53" t="s">
        <v>157</v>
      </c>
      <c r="C113" s="71">
        <v>2019</v>
      </c>
      <c r="D113" s="72" t="s">
        <v>165</v>
      </c>
      <c r="E113" s="53" t="s">
        <v>201</v>
      </c>
      <c r="F113" s="53" t="s">
        <v>208</v>
      </c>
      <c r="G113" s="53" t="s">
        <v>42</v>
      </c>
      <c r="H113" s="53" t="s">
        <v>160</v>
      </c>
      <c r="I113" s="53" t="s">
        <v>159</v>
      </c>
      <c r="J113" s="53" t="s">
        <v>38</v>
      </c>
      <c r="K113" s="53" t="s">
        <v>161</v>
      </c>
      <c r="L113" s="53">
        <v>1</v>
      </c>
      <c r="N113" s="53">
        <v>4</v>
      </c>
      <c r="O113" s="53">
        <v>0.6</v>
      </c>
      <c r="P113" s="53">
        <v>0.65</v>
      </c>
      <c r="Q113" s="84">
        <v>1.075</v>
      </c>
      <c r="R113" s="53">
        <v>16.600000000000001</v>
      </c>
      <c r="S113" s="53">
        <v>122</v>
      </c>
      <c r="T113" s="16">
        <f t="shared" si="4"/>
        <v>27</v>
      </c>
      <c r="U113" s="53">
        <v>519</v>
      </c>
      <c r="V113" s="16">
        <v>2460</v>
      </c>
      <c r="W113" s="53">
        <v>2</v>
      </c>
      <c r="X113" s="53" t="s">
        <v>46</v>
      </c>
      <c r="Y113" s="53" t="s">
        <v>97</v>
      </c>
      <c r="Z113" s="53" t="s">
        <v>55</v>
      </c>
      <c r="AA113" s="53" t="s">
        <v>69</v>
      </c>
      <c r="AB113" s="53" t="s">
        <v>158</v>
      </c>
      <c r="AC113" s="85"/>
      <c r="AD113" s="85"/>
      <c r="AE113" s="85"/>
      <c r="AF113" s="85"/>
      <c r="AG113" s="85"/>
      <c r="AH113" s="85"/>
    </row>
    <row r="114" spans="1:34" s="53" customFormat="1" x14ac:dyDescent="0.15">
      <c r="A114" s="53" t="s">
        <v>41</v>
      </c>
      <c r="B114" s="53" t="s">
        <v>157</v>
      </c>
      <c r="C114" s="71">
        <v>2019</v>
      </c>
      <c r="D114" s="72" t="s">
        <v>165</v>
      </c>
      <c r="E114" s="53" t="s">
        <v>201</v>
      </c>
      <c r="F114" s="53" t="s">
        <v>208</v>
      </c>
      <c r="G114" s="53" t="s">
        <v>42</v>
      </c>
      <c r="H114" s="53" t="s">
        <v>160</v>
      </c>
      <c r="I114" s="53" t="s">
        <v>159</v>
      </c>
      <c r="J114" s="53" t="s">
        <v>38</v>
      </c>
      <c r="K114" s="53" t="s">
        <v>161</v>
      </c>
      <c r="L114" s="53">
        <v>2</v>
      </c>
      <c r="N114" s="53">
        <v>4</v>
      </c>
      <c r="O114" s="53">
        <v>0.4</v>
      </c>
      <c r="P114" s="53">
        <v>0.55000000000000004</v>
      </c>
      <c r="Q114" s="84">
        <v>0.95</v>
      </c>
      <c r="R114" s="53">
        <v>16.2</v>
      </c>
      <c r="S114" s="53">
        <v>122</v>
      </c>
      <c r="T114" s="16">
        <f t="shared" si="4"/>
        <v>27</v>
      </c>
      <c r="U114" s="53">
        <v>519</v>
      </c>
      <c r="V114" s="16">
        <v>2460</v>
      </c>
      <c r="W114" s="53">
        <v>2</v>
      </c>
      <c r="X114" s="53" t="s">
        <v>46</v>
      </c>
      <c r="Y114" s="53" t="s">
        <v>97</v>
      </c>
      <c r="Z114" s="53" t="s">
        <v>55</v>
      </c>
      <c r="AA114" s="53" t="s">
        <v>69</v>
      </c>
      <c r="AB114" s="53" t="s">
        <v>158</v>
      </c>
      <c r="AC114" s="85"/>
      <c r="AD114" s="85"/>
      <c r="AE114" s="85"/>
      <c r="AF114" s="85"/>
      <c r="AG114" s="85"/>
      <c r="AH114" s="85"/>
    </row>
    <row r="115" spans="1:34" s="53" customFormat="1" x14ac:dyDescent="0.15">
      <c r="A115" s="53" t="s">
        <v>41</v>
      </c>
      <c r="B115" s="53" t="s">
        <v>157</v>
      </c>
      <c r="C115" s="71">
        <v>2019</v>
      </c>
      <c r="D115" s="72" t="s">
        <v>165</v>
      </c>
      <c r="E115" s="53" t="s">
        <v>201</v>
      </c>
      <c r="F115" s="53" t="s">
        <v>208</v>
      </c>
      <c r="G115" s="53" t="s">
        <v>42</v>
      </c>
      <c r="H115" s="53" t="s">
        <v>160</v>
      </c>
      <c r="I115" s="53" t="s">
        <v>159</v>
      </c>
      <c r="J115" s="53" t="s">
        <v>38</v>
      </c>
      <c r="K115" s="53" t="s">
        <v>161</v>
      </c>
      <c r="L115" s="53">
        <v>3</v>
      </c>
      <c r="N115" s="53">
        <v>4</v>
      </c>
      <c r="O115" s="53">
        <v>0.45</v>
      </c>
      <c r="P115" s="53">
        <v>0.3</v>
      </c>
      <c r="Q115" s="84">
        <v>1.175</v>
      </c>
      <c r="R115" s="53">
        <v>14.5</v>
      </c>
      <c r="S115" s="53">
        <v>124</v>
      </c>
      <c r="T115" s="16">
        <f t="shared" si="4"/>
        <v>27</v>
      </c>
      <c r="U115" s="53">
        <v>519</v>
      </c>
      <c r="V115" s="16">
        <v>2214</v>
      </c>
      <c r="W115" s="53">
        <v>2</v>
      </c>
      <c r="X115" s="53" t="s">
        <v>46</v>
      </c>
      <c r="Y115" s="53" t="s">
        <v>97</v>
      </c>
      <c r="Z115" s="53" t="s">
        <v>55</v>
      </c>
      <c r="AA115" s="53" t="s">
        <v>69</v>
      </c>
      <c r="AB115" s="53" t="s">
        <v>158</v>
      </c>
      <c r="AC115" s="85"/>
      <c r="AD115" s="85"/>
      <c r="AE115" s="85"/>
      <c r="AF115" s="85"/>
      <c r="AG115" s="85"/>
      <c r="AH115" s="85"/>
    </row>
    <row r="116" spans="1:34" s="53" customFormat="1" x14ac:dyDescent="0.15">
      <c r="A116" s="53" t="s">
        <v>41</v>
      </c>
      <c r="B116" s="53" t="s">
        <v>157</v>
      </c>
      <c r="C116" s="71">
        <v>2019</v>
      </c>
      <c r="D116" s="72" t="s">
        <v>165</v>
      </c>
      <c r="E116" s="53" t="s">
        <v>201</v>
      </c>
      <c r="F116" s="53" t="s">
        <v>208</v>
      </c>
      <c r="G116" s="53" t="s">
        <v>42</v>
      </c>
      <c r="H116" s="53" t="s">
        <v>160</v>
      </c>
      <c r="I116" s="53" t="s">
        <v>159</v>
      </c>
      <c r="J116" s="53" t="s">
        <v>38</v>
      </c>
      <c r="K116" s="53" t="s">
        <v>161</v>
      </c>
      <c r="L116" s="53">
        <v>1</v>
      </c>
      <c r="N116" s="53">
        <v>7</v>
      </c>
      <c r="O116" s="53">
        <v>0.85</v>
      </c>
      <c r="P116" s="53">
        <v>0.7</v>
      </c>
      <c r="Q116" s="84">
        <v>0.67500000000000004</v>
      </c>
      <c r="R116" s="53">
        <v>14.7</v>
      </c>
      <c r="S116" s="53">
        <v>118</v>
      </c>
      <c r="T116" s="16">
        <f t="shared" si="4"/>
        <v>30</v>
      </c>
      <c r="U116" s="53">
        <v>735</v>
      </c>
      <c r="V116" s="16">
        <v>3726</v>
      </c>
      <c r="W116" s="53">
        <v>2</v>
      </c>
      <c r="X116" s="53" t="s">
        <v>46</v>
      </c>
      <c r="Y116" s="53" t="s">
        <v>97</v>
      </c>
      <c r="Z116" s="53" t="s">
        <v>55</v>
      </c>
      <c r="AA116" s="53" t="s">
        <v>69</v>
      </c>
      <c r="AB116" s="53" t="s">
        <v>158</v>
      </c>
      <c r="AC116" s="85"/>
      <c r="AD116" s="85"/>
      <c r="AE116" s="85"/>
      <c r="AF116" s="85"/>
      <c r="AG116" s="85"/>
      <c r="AH116" s="85"/>
    </row>
    <row r="117" spans="1:34" s="53" customFormat="1" x14ac:dyDescent="0.15">
      <c r="A117" s="53" t="s">
        <v>41</v>
      </c>
      <c r="B117" s="53" t="s">
        <v>157</v>
      </c>
      <c r="C117" s="71">
        <v>2019</v>
      </c>
      <c r="D117" s="72" t="s">
        <v>165</v>
      </c>
      <c r="E117" s="53" t="s">
        <v>201</v>
      </c>
      <c r="F117" s="53" t="s">
        <v>208</v>
      </c>
      <c r="G117" s="53" t="s">
        <v>42</v>
      </c>
      <c r="H117" s="53" t="s">
        <v>160</v>
      </c>
      <c r="I117" s="53" t="s">
        <v>159</v>
      </c>
      <c r="J117" s="53" t="s">
        <v>38</v>
      </c>
      <c r="K117" s="53" t="s">
        <v>161</v>
      </c>
      <c r="L117" s="53">
        <v>2</v>
      </c>
      <c r="N117" s="53">
        <v>7</v>
      </c>
      <c r="O117" s="53">
        <v>0.65</v>
      </c>
      <c r="P117" s="53">
        <v>0.7</v>
      </c>
      <c r="Q117" s="84">
        <v>0.57499999999999996</v>
      </c>
      <c r="R117" s="53">
        <v>15</v>
      </c>
      <c r="S117" s="53">
        <v>120</v>
      </c>
      <c r="T117" s="16">
        <f t="shared" si="4"/>
        <v>30</v>
      </c>
      <c r="U117" s="53">
        <v>735</v>
      </c>
      <c r="V117" s="16">
        <v>3726</v>
      </c>
      <c r="W117" s="53">
        <v>2</v>
      </c>
      <c r="X117" s="53" t="s">
        <v>46</v>
      </c>
      <c r="Y117" s="53" t="s">
        <v>97</v>
      </c>
      <c r="Z117" s="53" t="s">
        <v>55</v>
      </c>
      <c r="AA117" s="53" t="s">
        <v>69</v>
      </c>
      <c r="AB117" s="53" t="s">
        <v>158</v>
      </c>
      <c r="AC117" s="85"/>
      <c r="AD117" s="85"/>
      <c r="AE117" s="85"/>
      <c r="AF117" s="85"/>
      <c r="AG117" s="85"/>
      <c r="AH117" s="85"/>
    </row>
    <row r="118" spans="1:34" s="53" customFormat="1" x14ac:dyDescent="0.15">
      <c r="A118" s="53" t="s">
        <v>41</v>
      </c>
      <c r="B118" s="53" t="s">
        <v>157</v>
      </c>
      <c r="C118" s="71">
        <v>2019</v>
      </c>
      <c r="D118" s="72" t="s">
        <v>165</v>
      </c>
      <c r="E118" s="53" t="s">
        <v>201</v>
      </c>
      <c r="F118" s="53" t="s">
        <v>208</v>
      </c>
      <c r="G118" s="53" t="s">
        <v>42</v>
      </c>
      <c r="H118" s="53" t="s">
        <v>160</v>
      </c>
      <c r="I118" s="53" t="s">
        <v>159</v>
      </c>
      <c r="J118" s="53" t="s">
        <v>38</v>
      </c>
      <c r="K118" s="53" t="s">
        <v>161</v>
      </c>
      <c r="L118" s="53">
        <v>3</v>
      </c>
      <c r="N118" s="53">
        <v>7</v>
      </c>
      <c r="O118" s="53">
        <v>0.4</v>
      </c>
      <c r="P118" s="53">
        <v>0.45</v>
      </c>
      <c r="Q118" s="81">
        <v>0.55000000000000004</v>
      </c>
      <c r="R118" s="53">
        <v>15.2</v>
      </c>
      <c r="S118" s="53">
        <v>118</v>
      </c>
      <c r="T118" s="16">
        <f t="shared" si="4"/>
        <v>30</v>
      </c>
      <c r="U118" s="53">
        <v>735</v>
      </c>
      <c r="V118" s="16">
        <v>3726</v>
      </c>
      <c r="W118" s="53">
        <v>2</v>
      </c>
      <c r="X118" s="53" t="s">
        <v>46</v>
      </c>
      <c r="Y118" s="53" t="s">
        <v>97</v>
      </c>
      <c r="Z118" s="53" t="s">
        <v>55</v>
      </c>
      <c r="AA118" s="53" t="s">
        <v>69</v>
      </c>
      <c r="AB118" s="53" t="s">
        <v>158</v>
      </c>
      <c r="AC118" s="85"/>
      <c r="AD118" s="85"/>
      <c r="AE118" s="85"/>
      <c r="AF118" s="85"/>
      <c r="AG118" s="85"/>
      <c r="AH118" s="85"/>
    </row>
    <row r="119" spans="1:34" s="53" customFormat="1" x14ac:dyDescent="0.15">
      <c r="A119" s="53" t="s">
        <v>41</v>
      </c>
      <c r="B119" s="53" t="s">
        <v>157</v>
      </c>
      <c r="C119" s="71">
        <v>2019</v>
      </c>
      <c r="D119" s="72" t="s">
        <v>165</v>
      </c>
      <c r="E119" s="53" t="s">
        <v>201</v>
      </c>
      <c r="F119" s="53" t="s">
        <v>208</v>
      </c>
      <c r="G119" s="53" t="s">
        <v>42</v>
      </c>
      <c r="H119" s="53" t="s">
        <v>164</v>
      </c>
      <c r="I119" s="53" t="s">
        <v>159</v>
      </c>
      <c r="J119" s="53" t="s">
        <v>38</v>
      </c>
      <c r="K119" s="53" t="s">
        <v>161</v>
      </c>
      <c r="L119" s="53">
        <v>1</v>
      </c>
      <c r="N119" s="53">
        <v>1</v>
      </c>
      <c r="O119" s="53">
        <v>1</v>
      </c>
      <c r="P119" s="53">
        <v>1.1000000000000001</v>
      </c>
      <c r="Q119" s="81">
        <v>0.5</v>
      </c>
      <c r="R119" s="53">
        <v>12</v>
      </c>
      <c r="S119" s="53">
        <v>133</v>
      </c>
      <c r="T119" s="16">
        <f t="shared" si="4"/>
        <v>25</v>
      </c>
      <c r="U119" s="53">
        <v>138</v>
      </c>
      <c r="V119" s="16">
        <v>3885</v>
      </c>
      <c r="W119" s="53">
        <v>2</v>
      </c>
      <c r="X119" s="53" t="s">
        <v>46</v>
      </c>
      <c r="Y119" s="53" t="s">
        <v>97</v>
      </c>
      <c r="Z119" s="53" t="s">
        <v>55</v>
      </c>
      <c r="AA119" s="53" t="s">
        <v>69</v>
      </c>
      <c r="AB119" s="53" t="s">
        <v>158</v>
      </c>
      <c r="AC119" s="85"/>
      <c r="AD119" s="85"/>
      <c r="AE119" s="85"/>
      <c r="AF119" s="85"/>
      <c r="AG119" s="85"/>
      <c r="AH119" s="85"/>
    </row>
    <row r="120" spans="1:34" s="53" customFormat="1" x14ac:dyDescent="0.15">
      <c r="A120" s="53" t="s">
        <v>41</v>
      </c>
      <c r="B120" s="53" t="s">
        <v>157</v>
      </c>
      <c r="C120" s="71">
        <v>2019</v>
      </c>
      <c r="D120" s="72" t="s">
        <v>165</v>
      </c>
      <c r="E120" s="53" t="s">
        <v>201</v>
      </c>
      <c r="F120" s="53" t="s">
        <v>208</v>
      </c>
      <c r="G120" s="53" t="s">
        <v>42</v>
      </c>
      <c r="H120" s="53" t="s">
        <v>164</v>
      </c>
      <c r="I120" s="53" t="s">
        <v>159</v>
      </c>
      <c r="J120" s="53" t="s">
        <v>38</v>
      </c>
      <c r="K120" s="53" t="s">
        <v>161</v>
      </c>
      <c r="L120" s="53">
        <v>2</v>
      </c>
      <c r="N120" s="53">
        <v>1</v>
      </c>
      <c r="O120" s="53">
        <v>0.9</v>
      </c>
      <c r="P120" s="53">
        <v>1</v>
      </c>
      <c r="Q120" s="81">
        <v>0.5</v>
      </c>
      <c r="R120" s="53">
        <v>11.8</v>
      </c>
      <c r="S120" s="53">
        <v>130</v>
      </c>
      <c r="T120" s="16">
        <f t="shared" si="4"/>
        <v>25</v>
      </c>
      <c r="U120" s="53">
        <v>138</v>
      </c>
      <c r="V120" s="16">
        <v>3885</v>
      </c>
      <c r="W120" s="53">
        <v>2</v>
      </c>
      <c r="X120" s="53" t="s">
        <v>46</v>
      </c>
      <c r="Y120" s="53" t="s">
        <v>97</v>
      </c>
      <c r="Z120" s="53" t="s">
        <v>55</v>
      </c>
      <c r="AA120" s="53" t="s">
        <v>69</v>
      </c>
      <c r="AB120" s="53" t="s">
        <v>158</v>
      </c>
      <c r="AC120" s="85"/>
      <c r="AD120" s="85"/>
      <c r="AE120" s="85"/>
      <c r="AF120" s="85"/>
      <c r="AG120" s="85"/>
      <c r="AH120" s="85"/>
    </row>
    <row r="121" spans="1:34" s="53" customFormat="1" x14ac:dyDescent="0.15">
      <c r="A121" s="53" t="s">
        <v>41</v>
      </c>
      <c r="B121" s="53" t="s">
        <v>157</v>
      </c>
      <c r="C121" s="71">
        <v>2019</v>
      </c>
      <c r="D121" s="72" t="s">
        <v>165</v>
      </c>
      <c r="E121" s="53" t="s">
        <v>201</v>
      </c>
      <c r="F121" s="53" t="s">
        <v>208</v>
      </c>
      <c r="G121" s="53" t="s">
        <v>42</v>
      </c>
      <c r="H121" s="53" t="s">
        <v>164</v>
      </c>
      <c r="I121" s="53" t="s">
        <v>159</v>
      </c>
      <c r="J121" s="53" t="s">
        <v>38</v>
      </c>
      <c r="K121" s="53" t="s">
        <v>161</v>
      </c>
      <c r="L121" s="53">
        <v>3</v>
      </c>
      <c r="N121" s="53">
        <v>1</v>
      </c>
      <c r="O121" s="53">
        <v>0.85</v>
      </c>
      <c r="P121" s="53">
        <v>0.9</v>
      </c>
      <c r="Q121" s="81">
        <v>0.42499999999999999</v>
      </c>
      <c r="R121" s="53">
        <v>13.5</v>
      </c>
      <c r="S121" s="53">
        <v>129</v>
      </c>
      <c r="T121" s="16">
        <f t="shared" si="4"/>
        <v>25</v>
      </c>
      <c r="U121" s="53">
        <v>138</v>
      </c>
      <c r="V121" s="38">
        <v>3885</v>
      </c>
      <c r="W121" s="53">
        <v>2</v>
      </c>
      <c r="X121" s="53" t="s">
        <v>46</v>
      </c>
      <c r="Y121" s="53" t="s">
        <v>97</v>
      </c>
      <c r="Z121" s="53" t="s">
        <v>55</v>
      </c>
      <c r="AA121" s="53" t="s">
        <v>69</v>
      </c>
      <c r="AB121" s="53" t="s">
        <v>158</v>
      </c>
      <c r="AC121" s="85"/>
      <c r="AD121" s="85"/>
      <c r="AE121" s="85"/>
      <c r="AF121" s="85"/>
      <c r="AG121" s="85"/>
      <c r="AH121" s="85"/>
    </row>
    <row r="122" spans="1:34" s="53" customFormat="1" x14ac:dyDescent="0.15">
      <c r="A122" s="53" t="s">
        <v>41</v>
      </c>
      <c r="B122" s="53" t="s">
        <v>157</v>
      </c>
      <c r="C122" s="71">
        <v>2019</v>
      </c>
      <c r="D122" s="72" t="s">
        <v>165</v>
      </c>
      <c r="E122" s="53" t="s">
        <v>201</v>
      </c>
      <c r="F122" s="53" t="s">
        <v>208</v>
      </c>
      <c r="G122" s="53" t="s">
        <v>42</v>
      </c>
      <c r="H122" s="53" t="s">
        <v>164</v>
      </c>
      <c r="I122" s="53" t="s">
        <v>159</v>
      </c>
      <c r="J122" s="53" t="s">
        <v>38</v>
      </c>
      <c r="K122" s="53" t="s">
        <v>161</v>
      </c>
      <c r="L122" s="53">
        <v>1</v>
      </c>
      <c r="N122" s="53">
        <v>5</v>
      </c>
      <c r="O122" s="53">
        <v>0.95</v>
      </c>
      <c r="P122" s="53">
        <v>1</v>
      </c>
      <c r="Q122" s="81">
        <v>0.27500000000000002</v>
      </c>
      <c r="R122" s="53">
        <v>16.2</v>
      </c>
      <c r="S122" s="53">
        <v>122</v>
      </c>
      <c r="T122" s="16">
        <f t="shared" si="4"/>
        <v>27</v>
      </c>
      <c r="U122" s="53">
        <v>410</v>
      </c>
      <c r="V122" s="38">
        <v>3146</v>
      </c>
      <c r="W122" s="53">
        <v>2</v>
      </c>
      <c r="X122" s="53" t="s">
        <v>46</v>
      </c>
      <c r="Y122" s="53" t="s">
        <v>97</v>
      </c>
      <c r="Z122" s="53" t="s">
        <v>55</v>
      </c>
      <c r="AA122" s="53" t="s">
        <v>69</v>
      </c>
      <c r="AB122" s="53" t="s">
        <v>158</v>
      </c>
      <c r="AC122" s="85"/>
      <c r="AD122" s="85"/>
      <c r="AE122" s="85"/>
      <c r="AF122" s="85"/>
      <c r="AG122" s="85"/>
      <c r="AH122" s="85"/>
    </row>
    <row r="123" spans="1:34" s="53" customFormat="1" x14ac:dyDescent="0.15">
      <c r="A123" s="53" t="s">
        <v>41</v>
      </c>
      <c r="B123" s="53" t="s">
        <v>157</v>
      </c>
      <c r="C123" s="71">
        <v>2019</v>
      </c>
      <c r="D123" s="72" t="s">
        <v>165</v>
      </c>
      <c r="E123" s="53" t="s">
        <v>201</v>
      </c>
      <c r="F123" s="53" t="s">
        <v>208</v>
      </c>
      <c r="G123" s="53" t="s">
        <v>42</v>
      </c>
      <c r="H123" s="53" t="s">
        <v>164</v>
      </c>
      <c r="I123" s="53" t="s">
        <v>159</v>
      </c>
      <c r="J123" s="53" t="s">
        <v>38</v>
      </c>
      <c r="K123" s="53" t="s">
        <v>161</v>
      </c>
      <c r="L123" s="53">
        <v>2</v>
      </c>
      <c r="N123" s="53">
        <v>5</v>
      </c>
      <c r="O123" s="53">
        <v>1</v>
      </c>
      <c r="P123" s="53">
        <v>1.2</v>
      </c>
      <c r="Q123" s="81">
        <v>0.35</v>
      </c>
      <c r="R123" s="53">
        <v>15.1</v>
      </c>
      <c r="S123" s="53">
        <v>120</v>
      </c>
      <c r="T123" s="16">
        <f t="shared" si="4"/>
        <v>30</v>
      </c>
      <c r="U123" s="53">
        <v>410</v>
      </c>
      <c r="V123" s="38">
        <v>3146</v>
      </c>
      <c r="W123" s="53">
        <v>2</v>
      </c>
      <c r="X123" s="53" t="s">
        <v>46</v>
      </c>
      <c r="Y123" s="53" t="s">
        <v>97</v>
      </c>
      <c r="Z123" s="53" t="s">
        <v>55</v>
      </c>
      <c r="AA123" s="53" t="s">
        <v>69</v>
      </c>
      <c r="AB123" s="53" t="s">
        <v>158</v>
      </c>
      <c r="AC123" s="85"/>
      <c r="AD123" s="85"/>
      <c r="AE123" s="85"/>
      <c r="AF123" s="85"/>
      <c r="AG123" s="85"/>
      <c r="AH123" s="85"/>
    </row>
    <row r="124" spans="1:34" s="53" customFormat="1" x14ac:dyDescent="0.15">
      <c r="A124" s="53" t="s">
        <v>41</v>
      </c>
      <c r="B124" s="53" t="s">
        <v>157</v>
      </c>
      <c r="C124" s="71">
        <v>2019</v>
      </c>
      <c r="D124" s="72" t="s">
        <v>165</v>
      </c>
      <c r="E124" s="53" t="s">
        <v>201</v>
      </c>
      <c r="F124" s="53" t="s">
        <v>208</v>
      </c>
      <c r="G124" s="53" t="s">
        <v>42</v>
      </c>
      <c r="H124" s="53" t="s">
        <v>164</v>
      </c>
      <c r="I124" s="53" t="s">
        <v>159</v>
      </c>
      <c r="J124" s="53" t="s">
        <v>38</v>
      </c>
      <c r="K124" s="53" t="s">
        <v>161</v>
      </c>
      <c r="L124" s="53">
        <v>3</v>
      </c>
      <c r="N124" s="53">
        <v>5</v>
      </c>
      <c r="O124" s="53">
        <v>0.8</v>
      </c>
      <c r="P124" s="53">
        <v>0.85</v>
      </c>
      <c r="Q124" s="81">
        <v>0.4</v>
      </c>
      <c r="R124" s="53">
        <v>12.1</v>
      </c>
      <c r="S124" s="53">
        <v>121</v>
      </c>
      <c r="T124" s="16">
        <f t="shared" si="4"/>
        <v>27</v>
      </c>
      <c r="U124" s="53">
        <v>410</v>
      </c>
      <c r="V124" s="38">
        <v>3146</v>
      </c>
      <c r="W124" s="53">
        <v>2</v>
      </c>
      <c r="X124" s="53" t="s">
        <v>46</v>
      </c>
      <c r="Y124" s="53" t="s">
        <v>97</v>
      </c>
      <c r="Z124" s="53" t="s">
        <v>55</v>
      </c>
      <c r="AA124" s="53" t="s">
        <v>69</v>
      </c>
      <c r="AB124" s="53" t="s">
        <v>158</v>
      </c>
      <c r="AC124" s="85"/>
      <c r="AD124" s="85"/>
      <c r="AE124" s="85"/>
      <c r="AF124" s="85"/>
      <c r="AG124" s="85"/>
      <c r="AH124" s="85"/>
    </row>
    <row r="125" spans="1:34" s="53" customFormat="1" x14ac:dyDescent="0.15">
      <c r="A125" s="53" t="s">
        <v>41</v>
      </c>
      <c r="B125" s="53" t="s">
        <v>157</v>
      </c>
      <c r="C125" s="71">
        <v>2019</v>
      </c>
      <c r="D125" s="72" t="s">
        <v>165</v>
      </c>
      <c r="E125" s="53" t="s">
        <v>201</v>
      </c>
      <c r="F125" s="53" t="s">
        <v>208</v>
      </c>
      <c r="G125" s="53" t="s">
        <v>42</v>
      </c>
      <c r="H125" s="53" t="s">
        <v>164</v>
      </c>
      <c r="I125" s="53" t="s">
        <v>159</v>
      </c>
      <c r="J125" s="53" t="s">
        <v>38</v>
      </c>
      <c r="K125" s="53" t="s">
        <v>161</v>
      </c>
      <c r="L125" s="53">
        <v>1</v>
      </c>
      <c r="N125" s="53">
        <v>8</v>
      </c>
      <c r="O125" s="53">
        <v>0.35</v>
      </c>
      <c r="P125" s="53">
        <v>0.25</v>
      </c>
      <c r="Q125" s="81">
        <v>0.27500000000000002</v>
      </c>
      <c r="R125" s="53">
        <v>13</v>
      </c>
      <c r="S125" s="53">
        <v>120</v>
      </c>
      <c r="T125" s="16">
        <f t="shared" si="4"/>
        <v>30</v>
      </c>
      <c r="U125" s="53">
        <v>626</v>
      </c>
      <c r="V125" s="38">
        <v>3670</v>
      </c>
      <c r="W125" s="53">
        <v>2</v>
      </c>
      <c r="X125" s="53" t="s">
        <v>46</v>
      </c>
      <c r="Y125" s="53" t="s">
        <v>97</v>
      </c>
      <c r="Z125" s="53" t="s">
        <v>55</v>
      </c>
      <c r="AA125" s="53" t="s">
        <v>69</v>
      </c>
      <c r="AB125" s="53" t="s">
        <v>158</v>
      </c>
    </row>
    <row r="126" spans="1:34" s="53" customFormat="1" x14ac:dyDescent="0.15">
      <c r="A126" s="53" t="s">
        <v>41</v>
      </c>
      <c r="B126" s="53" t="s">
        <v>157</v>
      </c>
      <c r="C126" s="71">
        <v>2019</v>
      </c>
      <c r="D126" s="72" t="s">
        <v>165</v>
      </c>
      <c r="E126" s="53" t="s">
        <v>201</v>
      </c>
      <c r="F126" s="53" t="s">
        <v>208</v>
      </c>
      <c r="G126" s="53" t="s">
        <v>42</v>
      </c>
      <c r="H126" s="53" t="s">
        <v>164</v>
      </c>
      <c r="I126" s="53" t="s">
        <v>159</v>
      </c>
      <c r="J126" s="53" t="s">
        <v>38</v>
      </c>
      <c r="K126" s="53" t="s">
        <v>161</v>
      </c>
      <c r="L126" s="53">
        <v>2</v>
      </c>
      <c r="N126" s="53">
        <v>8</v>
      </c>
      <c r="O126" s="53">
        <v>0.35</v>
      </c>
      <c r="P126" s="53">
        <v>0.3</v>
      </c>
      <c r="Q126" s="81">
        <v>0.52500000000000002</v>
      </c>
      <c r="R126" s="53">
        <v>12.7</v>
      </c>
      <c r="S126" s="53">
        <v>118</v>
      </c>
      <c r="T126" s="16">
        <f t="shared" si="4"/>
        <v>30</v>
      </c>
      <c r="U126" s="53">
        <v>626</v>
      </c>
      <c r="V126" s="38">
        <v>3303</v>
      </c>
      <c r="W126" s="53">
        <v>2</v>
      </c>
      <c r="X126" s="53" t="s">
        <v>46</v>
      </c>
      <c r="Y126" s="53" t="s">
        <v>97</v>
      </c>
      <c r="Z126" s="53" t="s">
        <v>55</v>
      </c>
      <c r="AA126" s="53" t="s">
        <v>69</v>
      </c>
      <c r="AB126" s="53" t="s">
        <v>158</v>
      </c>
    </row>
    <row r="127" spans="1:34" s="53" customFormat="1" x14ac:dyDescent="0.15">
      <c r="A127" s="53" t="s">
        <v>41</v>
      </c>
      <c r="B127" s="53" t="s">
        <v>157</v>
      </c>
      <c r="C127" s="71">
        <v>2019</v>
      </c>
      <c r="D127" s="72" t="s">
        <v>165</v>
      </c>
      <c r="E127" s="53" t="s">
        <v>201</v>
      </c>
      <c r="F127" s="53" t="s">
        <v>208</v>
      </c>
      <c r="G127" s="53" t="s">
        <v>42</v>
      </c>
      <c r="H127" s="53" t="s">
        <v>164</v>
      </c>
      <c r="I127" s="53" t="s">
        <v>159</v>
      </c>
      <c r="J127" s="53" t="s">
        <v>38</v>
      </c>
      <c r="K127" s="53" t="s">
        <v>161</v>
      </c>
      <c r="L127" s="53">
        <v>3</v>
      </c>
      <c r="N127" s="53">
        <v>8</v>
      </c>
      <c r="O127" s="53">
        <v>0.3</v>
      </c>
      <c r="P127" s="53">
        <v>0.3</v>
      </c>
      <c r="Q127" s="81">
        <v>0.72499999999999998</v>
      </c>
      <c r="R127" s="53">
        <v>11.4</v>
      </c>
      <c r="S127" s="53">
        <v>119</v>
      </c>
      <c r="T127" s="16">
        <f t="shared" si="4"/>
        <v>30</v>
      </c>
      <c r="U127" s="53">
        <v>626</v>
      </c>
      <c r="V127" s="38">
        <v>3670</v>
      </c>
      <c r="W127" s="53">
        <v>2</v>
      </c>
      <c r="X127" s="53" t="s">
        <v>46</v>
      </c>
      <c r="Y127" s="53" t="s">
        <v>97</v>
      </c>
      <c r="Z127" s="53" t="s">
        <v>55</v>
      </c>
      <c r="AA127" s="53" t="s">
        <v>69</v>
      </c>
      <c r="AB127" s="53" t="s">
        <v>158</v>
      </c>
    </row>
    <row r="128" spans="1:34" s="53" customFormat="1" x14ac:dyDescent="0.15">
      <c r="A128" s="53" t="s">
        <v>41</v>
      </c>
      <c r="B128" s="53" t="s">
        <v>157</v>
      </c>
      <c r="C128" s="71">
        <v>2019</v>
      </c>
      <c r="D128" s="72" t="s">
        <v>165</v>
      </c>
      <c r="E128" s="53" t="s">
        <v>204</v>
      </c>
      <c r="F128" s="53" t="s">
        <v>205</v>
      </c>
      <c r="G128" s="53" t="s">
        <v>42</v>
      </c>
      <c r="H128" s="53" t="s">
        <v>164</v>
      </c>
      <c r="I128" s="53" t="s">
        <v>159</v>
      </c>
      <c r="J128" s="53" t="s">
        <v>38</v>
      </c>
      <c r="K128" s="53" t="s">
        <v>161</v>
      </c>
      <c r="L128" s="53">
        <v>1</v>
      </c>
      <c r="N128" s="53">
        <v>1</v>
      </c>
      <c r="O128" s="53">
        <v>1.05</v>
      </c>
      <c r="P128" s="53">
        <v>0.95</v>
      </c>
      <c r="Q128" s="81">
        <f t="shared" ref="Q128:Q191" si="6">IF(OR(O128="",P128=""),"",AVERAGE(O128,P128))</f>
        <v>1</v>
      </c>
      <c r="R128" s="53">
        <v>12.8</v>
      </c>
      <c r="S128" s="53">
        <v>122</v>
      </c>
      <c r="T128" s="38">
        <f t="shared" si="4"/>
        <v>27</v>
      </c>
      <c r="U128" s="53">
        <v>138</v>
      </c>
      <c r="V128" s="16">
        <f t="shared" ref="V128:V191" si="7">IF(OR(N128="",U128="",T128=""),"",U128/N128*T128)</f>
        <v>3726</v>
      </c>
      <c r="W128" s="53">
        <v>4</v>
      </c>
      <c r="X128" s="53" t="s">
        <v>46</v>
      </c>
      <c r="Y128" s="53" t="s">
        <v>97</v>
      </c>
      <c r="Z128" s="53" t="s">
        <v>88</v>
      </c>
      <c r="AA128" s="53" t="s">
        <v>69</v>
      </c>
      <c r="AB128" s="53" t="s">
        <v>158</v>
      </c>
    </row>
    <row r="129" spans="1:34" s="53" customFormat="1" x14ac:dyDescent="0.15">
      <c r="A129" s="53" t="s">
        <v>41</v>
      </c>
      <c r="B129" s="53" t="s">
        <v>157</v>
      </c>
      <c r="C129" s="71">
        <v>2019</v>
      </c>
      <c r="D129" s="72" t="s">
        <v>165</v>
      </c>
      <c r="E129" s="53" t="s">
        <v>204</v>
      </c>
      <c r="F129" s="53" t="s">
        <v>205</v>
      </c>
      <c r="G129" s="53" t="s">
        <v>42</v>
      </c>
      <c r="H129" s="53" t="s">
        <v>164</v>
      </c>
      <c r="I129" s="53" t="s">
        <v>159</v>
      </c>
      <c r="J129" s="53" t="s">
        <v>38</v>
      </c>
      <c r="K129" s="53" t="s">
        <v>161</v>
      </c>
      <c r="L129" s="53">
        <v>2</v>
      </c>
      <c r="N129" s="53">
        <v>1</v>
      </c>
      <c r="O129" s="53">
        <v>0.9</v>
      </c>
      <c r="P129" s="53">
        <v>0.3</v>
      </c>
      <c r="Q129" s="81">
        <f t="shared" si="6"/>
        <v>0.6</v>
      </c>
      <c r="R129" s="53">
        <v>14.5</v>
      </c>
      <c r="S129" s="53">
        <v>122</v>
      </c>
      <c r="T129" s="38">
        <f t="shared" si="4"/>
        <v>27</v>
      </c>
      <c r="U129" s="53">
        <v>138</v>
      </c>
      <c r="V129" s="16">
        <f t="shared" si="7"/>
        <v>3726</v>
      </c>
      <c r="W129" s="53">
        <v>4</v>
      </c>
      <c r="X129" s="53" t="s">
        <v>46</v>
      </c>
      <c r="Y129" s="53" t="s">
        <v>97</v>
      </c>
      <c r="Z129" s="53" t="s">
        <v>88</v>
      </c>
      <c r="AA129" s="53" t="s">
        <v>69</v>
      </c>
      <c r="AB129" s="53" t="s">
        <v>158</v>
      </c>
    </row>
    <row r="130" spans="1:34" s="53" customFormat="1" x14ac:dyDescent="0.15">
      <c r="A130" s="53" t="s">
        <v>41</v>
      </c>
      <c r="B130" s="53" t="s">
        <v>157</v>
      </c>
      <c r="C130" s="71">
        <v>2019</v>
      </c>
      <c r="D130" s="72" t="s">
        <v>165</v>
      </c>
      <c r="E130" s="53" t="s">
        <v>204</v>
      </c>
      <c r="F130" s="53" t="s">
        <v>205</v>
      </c>
      <c r="G130" s="53" t="s">
        <v>42</v>
      </c>
      <c r="H130" s="53" t="s">
        <v>164</v>
      </c>
      <c r="I130" s="53" t="s">
        <v>159</v>
      </c>
      <c r="J130" s="53" t="s">
        <v>38</v>
      </c>
      <c r="K130" s="53" t="s">
        <v>161</v>
      </c>
      <c r="L130" s="53">
        <v>3</v>
      </c>
      <c r="N130" s="53">
        <v>1</v>
      </c>
      <c r="O130" s="53">
        <v>0.85</v>
      </c>
      <c r="P130" s="53">
        <v>0.3</v>
      </c>
      <c r="Q130" s="81">
        <f t="shared" si="6"/>
        <v>0.57499999999999996</v>
      </c>
      <c r="R130" s="53">
        <v>18.5</v>
      </c>
      <c r="S130" s="53">
        <v>123</v>
      </c>
      <c r="T130" s="38">
        <f t="shared" ref="T130:T196" si="8">IF(H130="","",IF(OR(H130="GREEN",H130="GK"),IF(S130&gt;=$AX$2,VLOOKUP(S130,$AX$2:$AY$10,2,1),""),IF(S130&gt;=$AZ$2,VLOOKUP(S130,$AZ$2:$BA$10,2,1),"")))</f>
        <v>27</v>
      </c>
      <c r="U130" s="53">
        <v>138</v>
      </c>
      <c r="V130" s="38">
        <f t="shared" si="7"/>
        <v>3726</v>
      </c>
      <c r="W130" s="53">
        <v>4</v>
      </c>
      <c r="X130" s="53" t="s">
        <v>46</v>
      </c>
      <c r="Y130" s="53" t="s">
        <v>97</v>
      </c>
      <c r="Z130" s="53" t="s">
        <v>88</v>
      </c>
      <c r="AA130" s="53" t="s">
        <v>69</v>
      </c>
      <c r="AB130" s="53" t="s">
        <v>158</v>
      </c>
    </row>
    <row r="131" spans="1:34" s="53" customFormat="1" x14ac:dyDescent="0.15">
      <c r="A131" s="53" t="s">
        <v>41</v>
      </c>
      <c r="B131" s="53" t="s">
        <v>157</v>
      </c>
      <c r="C131" s="71">
        <v>2018</v>
      </c>
      <c r="D131" s="72" t="s">
        <v>165</v>
      </c>
      <c r="E131" s="53" t="s">
        <v>204</v>
      </c>
      <c r="F131" s="53" t="s">
        <v>205</v>
      </c>
      <c r="G131" s="53" t="s">
        <v>42</v>
      </c>
      <c r="H131" s="53" t="s">
        <v>164</v>
      </c>
      <c r="I131" s="53" t="s">
        <v>159</v>
      </c>
      <c r="J131" s="53" t="s">
        <v>38</v>
      </c>
      <c r="K131" s="53" t="s">
        <v>161</v>
      </c>
      <c r="L131" s="53">
        <v>1</v>
      </c>
      <c r="N131" s="53">
        <v>5</v>
      </c>
      <c r="O131" s="53">
        <v>0.25</v>
      </c>
      <c r="P131" s="53">
        <v>0.25</v>
      </c>
      <c r="Q131" s="16">
        <f t="shared" si="6"/>
        <v>0.25</v>
      </c>
      <c r="R131" s="53">
        <v>14.9</v>
      </c>
      <c r="S131" s="53">
        <v>121</v>
      </c>
      <c r="T131" s="16">
        <f t="shared" si="8"/>
        <v>27</v>
      </c>
      <c r="U131" s="53">
        <v>410</v>
      </c>
      <c r="V131" s="16">
        <f t="shared" si="7"/>
        <v>2214</v>
      </c>
      <c r="W131" s="53">
        <v>1</v>
      </c>
      <c r="X131" s="53" t="s">
        <v>46</v>
      </c>
      <c r="Y131" s="53" t="s">
        <v>97</v>
      </c>
      <c r="Z131" s="53" t="s">
        <v>88</v>
      </c>
      <c r="AA131" s="53" t="s">
        <v>69</v>
      </c>
      <c r="AB131" s="53" t="s">
        <v>158</v>
      </c>
      <c r="AC131" s="85"/>
      <c r="AD131" s="85"/>
      <c r="AE131" s="85"/>
      <c r="AF131" s="85"/>
      <c r="AG131" s="85"/>
      <c r="AH131" s="85"/>
    </row>
    <row r="132" spans="1:34" s="53" customFormat="1" x14ac:dyDescent="0.15">
      <c r="A132" s="53" t="s">
        <v>41</v>
      </c>
      <c r="B132" s="53" t="s">
        <v>157</v>
      </c>
      <c r="C132" s="71">
        <v>2018</v>
      </c>
      <c r="D132" s="72" t="s">
        <v>165</v>
      </c>
      <c r="E132" s="53" t="s">
        <v>204</v>
      </c>
      <c r="F132" s="53" t="s">
        <v>205</v>
      </c>
      <c r="G132" s="53" t="s">
        <v>42</v>
      </c>
      <c r="H132" s="53" t="s">
        <v>164</v>
      </c>
      <c r="I132" s="53" t="s">
        <v>159</v>
      </c>
      <c r="J132" s="53" t="s">
        <v>38</v>
      </c>
      <c r="K132" s="53" t="s">
        <v>161</v>
      </c>
      <c r="L132" s="53">
        <v>2</v>
      </c>
      <c r="N132" s="53">
        <v>5</v>
      </c>
      <c r="O132" s="53">
        <v>0.25</v>
      </c>
      <c r="P132" s="53">
        <v>0.25</v>
      </c>
      <c r="Q132" s="16">
        <f t="shared" si="6"/>
        <v>0.25</v>
      </c>
      <c r="R132" s="53">
        <v>13.5</v>
      </c>
      <c r="S132" s="53">
        <v>124</v>
      </c>
      <c r="T132" s="16">
        <f t="shared" si="8"/>
        <v>27</v>
      </c>
      <c r="U132" s="53">
        <v>410</v>
      </c>
      <c r="V132" s="16">
        <f t="shared" si="7"/>
        <v>2214</v>
      </c>
      <c r="W132" s="53">
        <v>1</v>
      </c>
      <c r="X132" s="53" t="s">
        <v>46</v>
      </c>
      <c r="Y132" s="53" t="s">
        <v>97</v>
      </c>
      <c r="Z132" s="53" t="s">
        <v>88</v>
      </c>
      <c r="AA132" s="53" t="s">
        <v>69</v>
      </c>
      <c r="AB132" s="53" t="s">
        <v>158</v>
      </c>
      <c r="AC132" s="85"/>
      <c r="AD132" s="85"/>
      <c r="AE132" s="85"/>
      <c r="AF132" s="85"/>
      <c r="AG132" s="85"/>
      <c r="AH132" s="85"/>
    </row>
    <row r="133" spans="1:34" s="53" customFormat="1" x14ac:dyDescent="0.15">
      <c r="A133" s="53" t="s">
        <v>41</v>
      </c>
      <c r="B133" s="53" t="s">
        <v>157</v>
      </c>
      <c r="C133" s="71">
        <v>2018</v>
      </c>
      <c r="D133" s="72" t="s">
        <v>165</v>
      </c>
      <c r="E133" s="53" t="s">
        <v>204</v>
      </c>
      <c r="F133" s="53" t="s">
        <v>205</v>
      </c>
      <c r="G133" s="53" t="s">
        <v>42</v>
      </c>
      <c r="H133" s="53" t="s">
        <v>164</v>
      </c>
      <c r="I133" s="53" t="s">
        <v>159</v>
      </c>
      <c r="J133" s="53" t="s">
        <v>38</v>
      </c>
      <c r="K133" s="53" t="s">
        <v>161</v>
      </c>
      <c r="L133" s="53">
        <v>3</v>
      </c>
      <c r="N133" s="53">
        <v>5</v>
      </c>
      <c r="O133" s="53">
        <v>0.25</v>
      </c>
      <c r="P133" s="53">
        <v>0.25</v>
      </c>
      <c r="Q133" s="16">
        <f t="shared" si="6"/>
        <v>0.25</v>
      </c>
      <c r="R133" s="53">
        <v>12.8</v>
      </c>
      <c r="S133" s="53">
        <v>126</v>
      </c>
      <c r="T133" s="16">
        <f t="shared" si="8"/>
        <v>27</v>
      </c>
      <c r="U133" s="53">
        <v>410</v>
      </c>
      <c r="V133" s="16">
        <f t="shared" si="7"/>
        <v>2214</v>
      </c>
      <c r="W133" s="53">
        <v>1</v>
      </c>
      <c r="X133" s="53" t="s">
        <v>46</v>
      </c>
      <c r="Y133" s="53" t="s">
        <v>97</v>
      </c>
      <c r="Z133" s="53" t="s">
        <v>88</v>
      </c>
      <c r="AA133" s="53" t="s">
        <v>69</v>
      </c>
      <c r="AB133" s="53" t="s">
        <v>158</v>
      </c>
      <c r="AC133" s="85"/>
      <c r="AD133" s="85"/>
      <c r="AE133" s="85"/>
      <c r="AF133" s="85"/>
      <c r="AG133" s="85"/>
      <c r="AH133" s="85"/>
    </row>
    <row r="134" spans="1:34" s="53" customFormat="1" x14ac:dyDescent="0.15">
      <c r="A134" s="53" t="s">
        <v>41</v>
      </c>
      <c r="B134" s="53" t="s">
        <v>157</v>
      </c>
      <c r="C134" s="71">
        <v>2018</v>
      </c>
      <c r="D134" s="72" t="s">
        <v>165</v>
      </c>
      <c r="E134" s="53" t="s">
        <v>204</v>
      </c>
      <c r="F134" s="53" t="s">
        <v>205</v>
      </c>
      <c r="G134" s="53" t="s">
        <v>42</v>
      </c>
      <c r="H134" s="53" t="s">
        <v>164</v>
      </c>
      <c r="I134" s="53" t="s">
        <v>159</v>
      </c>
      <c r="J134" s="53" t="s">
        <v>38</v>
      </c>
      <c r="K134" s="53" t="s">
        <v>161</v>
      </c>
      <c r="L134" s="53">
        <v>1</v>
      </c>
      <c r="N134" s="53">
        <v>8</v>
      </c>
      <c r="O134" s="53">
        <v>0.45</v>
      </c>
      <c r="P134" s="53">
        <v>0.3</v>
      </c>
      <c r="Q134" s="16">
        <f t="shared" si="6"/>
        <v>0.375</v>
      </c>
      <c r="R134" s="53">
        <v>15.2</v>
      </c>
      <c r="S134" s="53">
        <v>118</v>
      </c>
      <c r="T134" s="16">
        <f t="shared" si="8"/>
        <v>30</v>
      </c>
      <c r="U134" s="53">
        <v>1058</v>
      </c>
      <c r="V134" s="16">
        <f t="shared" si="7"/>
        <v>3967.5</v>
      </c>
      <c r="W134" s="53">
        <v>1</v>
      </c>
      <c r="X134" s="53" t="s">
        <v>46</v>
      </c>
      <c r="Y134" s="53" t="s">
        <v>97</v>
      </c>
      <c r="Z134" s="53" t="s">
        <v>88</v>
      </c>
      <c r="AA134" s="53" t="s">
        <v>69</v>
      </c>
      <c r="AB134" s="53" t="s">
        <v>158</v>
      </c>
    </row>
    <row r="135" spans="1:34" s="53" customFormat="1" x14ac:dyDescent="0.15">
      <c r="A135" s="53" t="s">
        <v>41</v>
      </c>
      <c r="B135" s="53" t="s">
        <v>157</v>
      </c>
      <c r="C135" s="71">
        <v>2018</v>
      </c>
      <c r="D135" s="72" t="s">
        <v>165</v>
      </c>
      <c r="E135" s="53" t="s">
        <v>204</v>
      </c>
      <c r="F135" s="53" t="s">
        <v>205</v>
      </c>
      <c r="G135" s="53" t="s">
        <v>42</v>
      </c>
      <c r="H135" s="53" t="s">
        <v>164</v>
      </c>
      <c r="I135" s="53" t="s">
        <v>159</v>
      </c>
      <c r="J135" s="53" t="s">
        <v>38</v>
      </c>
      <c r="K135" s="53" t="s">
        <v>161</v>
      </c>
      <c r="L135" s="53">
        <v>2</v>
      </c>
      <c r="N135" s="53">
        <v>8</v>
      </c>
      <c r="O135" s="53">
        <v>0.5</v>
      </c>
      <c r="P135" s="53">
        <v>0.65</v>
      </c>
      <c r="Q135" s="16">
        <f t="shared" si="6"/>
        <v>0.57499999999999996</v>
      </c>
      <c r="R135" s="53">
        <v>13.3</v>
      </c>
      <c r="S135" s="53">
        <v>120</v>
      </c>
      <c r="T135" s="16">
        <f t="shared" si="8"/>
        <v>30</v>
      </c>
      <c r="U135" s="53">
        <v>1058</v>
      </c>
      <c r="V135" s="16">
        <f t="shared" si="7"/>
        <v>3967.5</v>
      </c>
      <c r="W135" s="53">
        <v>1</v>
      </c>
      <c r="X135" s="53" t="s">
        <v>46</v>
      </c>
      <c r="Y135" s="53" t="s">
        <v>97</v>
      </c>
      <c r="Z135" s="53" t="s">
        <v>88</v>
      </c>
      <c r="AA135" s="53" t="s">
        <v>69</v>
      </c>
      <c r="AB135" s="53" t="s">
        <v>158</v>
      </c>
    </row>
    <row r="136" spans="1:34" s="53" customFormat="1" x14ac:dyDescent="0.15">
      <c r="A136" s="53" t="s">
        <v>41</v>
      </c>
      <c r="B136" s="53" t="s">
        <v>157</v>
      </c>
      <c r="C136" s="71">
        <v>2018</v>
      </c>
      <c r="D136" s="72" t="s">
        <v>165</v>
      </c>
      <c r="E136" s="53" t="s">
        <v>204</v>
      </c>
      <c r="F136" s="53" t="s">
        <v>205</v>
      </c>
      <c r="G136" s="53" t="s">
        <v>42</v>
      </c>
      <c r="H136" s="53" t="s">
        <v>164</v>
      </c>
      <c r="I136" s="53" t="s">
        <v>159</v>
      </c>
      <c r="J136" s="53" t="s">
        <v>38</v>
      </c>
      <c r="K136" s="53" t="s">
        <v>161</v>
      </c>
      <c r="L136" s="53">
        <v>3</v>
      </c>
      <c r="N136" s="53">
        <v>8</v>
      </c>
      <c r="O136" s="53">
        <v>0.35</v>
      </c>
      <c r="P136" s="53">
        <v>0.4</v>
      </c>
      <c r="Q136" s="16">
        <f t="shared" si="6"/>
        <v>0.375</v>
      </c>
      <c r="R136" s="53">
        <v>11.2</v>
      </c>
      <c r="S136" s="53">
        <v>115</v>
      </c>
      <c r="T136" s="16">
        <f t="shared" si="8"/>
        <v>30</v>
      </c>
      <c r="U136" s="53">
        <v>1058</v>
      </c>
      <c r="V136" s="16">
        <f t="shared" si="7"/>
        <v>3967.5</v>
      </c>
      <c r="W136" s="53">
        <v>1</v>
      </c>
      <c r="X136" s="53" t="s">
        <v>46</v>
      </c>
      <c r="Y136" s="53" t="s">
        <v>97</v>
      </c>
      <c r="Z136" s="53" t="s">
        <v>88</v>
      </c>
      <c r="AA136" s="53" t="s">
        <v>69</v>
      </c>
      <c r="AB136" s="53" t="s">
        <v>158</v>
      </c>
    </row>
    <row r="137" spans="1:34" s="53" customFormat="1" x14ac:dyDescent="0.15">
      <c r="A137" s="53" t="s">
        <v>41</v>
      </c>
      <c r="B137" s="53" t="s">
        <v>157</v>
      </c>
      <c r="C137" s="71">
        <v>2019</v>
      </c>
      <c r="D137" s="72" t="s">
        <v>165</v>
      </c>
      <c r="E137" s="53" t="s">
        <v>204</v>
      </c>
      <c r="F137" s="53" t="s">
        <v>205</v>
      </c>
      <c r="G137" s="53" t="s">
        <v>42</v>
      </c>
      <c r="H137" s="53" t="s">
        <v>160</v>
      </c>
      <c r="I137" s="53" t="s">
        <v>159</v>
      </c>
      <c r="J137" s="53" t="s">
        <v>38</v>
      </c>
      <c r="K137" s="53" t="s">
        <v>161</v>
      </c>
      <c r="L137" s="53">
        <v>1</v>
      </c>
      <c r="N137" s="53">
        <v>1</v>
      </c>
      <c r="O137" s="53">
        <v>0.25</v>
      </c>
      <c r="P137" s="53">
        <v>0.35</v>
      </c>
      <c r="Q137" s="81">
        <f t="shared" si="6"/>
        <v>0.3</v>
      </c>
      <c r="R137" s="53">
        <v>15.9</v>
      </c>
      <c r="S137" s="53">
        <v>123</v>
      </c>
      <c r="T137" s="38">
        <f t="shared" si="8"/>
        <v>27</v>
      </c>
      <c r="U137" s="53">
        <v>138</v>
      </c>
      <c r="V137" s="16">
        <f t="shared" si="7"/>
        <v>3726</v>
      </c>
      <c r="W137" s="53">
        <v>2</v>
      </c>
      <c r="X137" s="53" t="s">
        <v>46</v>
      </c>
      <c r="Y137" s="53" t="s">
        <v>97</v>
      </c>
      <c r="Z137" s="53" t="s">
        <v>88</v>
      </c>
      <c r="AA137" s="53" t="s">
        <v>69</v>
      </c>
      <c r="AB137" s="53" t="s">
        <v>158</v>
      </c>
      <c r="AC137" s="85"/>
      <c r="AD137" s="85"/>
      <c r="AE137" s="85"/>
      <c r="AF137" s="85"/>
      <c r="AG137" s="85"/>
      <c r="AH137" s="85"/>
    </row>
    <row r="138" spans="1:34" s="53" customFormat="1" x14ac:dyDescent="0.15">
      <c r="A138" s="53" t="s">
        <v>41</v>
      </c>
      <c r="B138" s="53" t="s">
        <v>157</v>
      </c>
      <c r="C138" s="71">
        <v>2019</v>
      </c>
      <c r="D138" s="72" t="s">
        <v>165</v>
      </c>
      <c r="E138" s="53" t="s">
        <v>204</v>
      </c>
      <c r="F138" s="53" t="s">
        <v>205</v>
      </c>
      <c r="G138" s="53" t="s">
        <v>42</v>
      </c>
      <c r="H138" s="53" t="s">
        <v>160</v>
      </c>
      <c r="I138" s="53" t="s">
        <v>159</v>
      </c>
      <c r="J138" s="53" t="s">
        <v>38</v>
      </c>
      <c r="K138" s="53" t="s">
        <v>161</v>
      </c>
      <c r="L138" s="53">
        <v>2</v>
      </c>
      <c r="N138" s="53">
        <v>1</v>
      </c>
      <c r="O138" s="53">
        <v>0.45</v>
      </c>
      <c r="P138" s="53">
        <v>0.65</v>
      </c>
      <c r="Q138" s="81">
        <f t="shared" si="6"/>
        <v>0.55000000000000004</v>
      </c>
      <c r="R138" s="53">
        <v>16.100000000000001</v>
      </c>
      <c r="S138" s="53">
        <v>122</v>
      </c>
      <c r="T138" s="38">
        <f t="shared" si="8"/>
        <v>27</v>
      </c>
      <c r="U138" s="53">
        <v>138</v>
      </c>
      <c r="V138" s="16">
        <f t="shared" si="7"/>
        <v>3726</v>
      </c>
      <c r="W138" s="53">
        <v>2</v>
      </c>
      <c r="X138" s="53" t="s">
        <v>46</v>
      </c>
      <c r="Y138" s="53" t="s">
        <v>97</v>
      </c>
      <c r="Z138" s="53" t="s">
        <v>88</v>
      </c>
      <c r="AA138" s="53" t="s">
        <v>69</v>
      </c>
      <c r="AB138" s="53" t="s">
        <v>158</v>
      </c>
      <c r="AC138" s="85"/>
      <c r="AD138" s="85"/>
      <c r="AE138" s="85"/>
      <c r="AF138" s="85"/>
      <c r="AG138" s="85"/>
      <c r="AH138" s="85"/>
    </row>
    <row r="139" spans="1:34" s="53" customFormat="1" x14ac:dyDescent="0.15">
      <c r="A139" s="53" t="s">
        <v>41</v>
      </c>
      <c r="B139" s="53" t="s">
        <v>157</v>
      </c>
      <c r="C139" s="71">
        <v>2019</v>
      </c>
      <c r="D139" s="72" t="s">
        <v>165</v>
      </c>
      <c r="E139" s="53" t="s">
        <v>204</v>
      </c>
      <c r="F139" s="53" t="s">
        <v>205</v>
      </c>
      <c r="G139" s="53" t="s">
        <v>42</v>
      </c>
      <c r="H139" s="53" t="s">
        <v>160</v>
      </c>
      <c r="I139" s="53" t="s">
        <v>159</v>
      </c>
      <c r="J139" s="53" t="s">
        <v>38</v>
      </c>
      <c r="K139" s="53" t="s">
        <v>161</v>
      </c>
      <c r="L139" s="53">
        <v>3</v>
      </c>
      <c r="N139" s="53">
        <v>1</v>
      </c>
      <c r="O139" s="53">
        <v>0.5</v>
      </c>
      <c r="P139" s="53">
        <v>0.45</v>
      </c>
      <c r="Q139" s="81">
        <f t="shared" si="6"/>
        <v>0.47499999999999998</v>
      </c>
      <c r="R139" s="53">
        <v>15.7</v>
      </c>
      <c r="S139" s="53">
        <v>121</v>
      </c>
      <c r="T139" s="38">
        <f t="shared" si="8"/>
        <v>27</v>
      </c>
      <c r="U139" s="53">
        <v>138</v>
      </c>
      <c r="V139" s="38">
        <f t="shared" si="7"/>
        <v>3726</v>
      </c>
      <c r="W139" s="53">
        <v>2</v>
      </c>
      <c r="X139" s="53" t="s">
        <v>46</v>
      </c>
      <c r="Y139" s="53" t="s">
        <v>97</v>
      </c>
      <c r="Z139" s="53" t="s">
        <v>88</v>
      </c>
      <c r="AA139" s="53" t="s">
        <v>69</v>
      </c>
      <c r="AB139" s="53" t="s">
        <v>158</v>
      </c>
      <c r="AC139" s="85"/>
      <c r="AD139" s="85"/>
      <c r="AE139" s="85"/>
      <c r="AF139" s="85"/>
      <c r="AG139" s="85"/>
      <c r="AH139" s="85"/>
    </row>
    <row r="140" spans="1:34" s="53" customFormat="1" x14ac:dyDescent="0.15">
      <c r="A140" s="53" t="s">
        <v>41</v>
      </c>
      <c r="B140" s="53" t="s">
        <v>157</v>
      </c>
      <c r="C140" s="71">
        <v>2019</v>
      </c>
      <c r="D140" s="72" t="s">
        <v>165</v>
      </c>
      <c r="E140" s="53" t="s">
        <v>204</v>
      </c>
      <c r="F140" s="53" t="s">
        <v>205</v>
      </c>
      <c r="G140" s="53" t="s">
        <v>42</v>
      </c>
      <c r="H140" s="53" t="s">
        <v>160</v>
      </c>
      <c r="I140" s="53" t="s">
        <v>159</v>
      </c>
      <c r="J140" s="53" t="s">
        <v>38</v>
      </c>
      <c r="K140" s="53" t="s">
        <v>161</v>
      </c>
      <c r="L140" s="53">
        <v>1</v>
      </c>
      <c r="N140" s="53">
        <v>4</v>
      </c>
      <c r="O140" s="53">
        <v>0.6</v>
      </c>
      <c r="P140" s="53">
        <v>0.65</v>
      </c>
      <c r="Q140" s="81">
        <f t="shared" si="6"/>
        <v>0.625</v>
      </c>
      <c r="R140" s="53">
        <v>14.1</v>
      </c>
      <c r="S140" s="53">
        <v>121</v>
      </c>
      <c r="T140" s="38">
        <f t="shared" si="8"/>
        <v>27</v>
      </c>
      <c r="U140" s="53">
        <v>410</v>
      </c>
      <c r="V140" s="16">
        <f t="shared" si="7"/>
        <v>2767.5</v>
      </c>
      <c r="W140" s="53">
        <v>1</v>
      </c>
      <c r="X140" s="53" t="s">
        <v>46</v>
      </c>
      <c r="Y140" s="53" t="s">
        <v>97</v>
      </c>
      <c r="Z140" s="53" t="s">
        <v>88</v>
      </c>
      <c r="AA140" s="53" t="s">
        <v>69</v>
      </c>
      <c r="AB140" s="53" t="s">
        <v>158</v>
      </c>
      <c r="AC140" s="85"/>
      <c r="AD140" s="85"/>
      <c r="AE140" s="85"/>
      <c r="AF140" s="85"/>
      <c r="AG140" s="85"/>
      <c r="AH140" s="85"/>
    </row>
    <row r="141" spans="1:34" s="53" customFormat="1" x14ac:dyDescent="0.15">
      <c r="A141" s="53" t="s">
        <v>41</v>
      </c>
      <c r="B141" s="53" t="s">
        <v>157</v>
      </c>
      <c r="C141" s="71">
        <v>2019</v>
      </c>
      <c r="D141" s="72" t="s">
        <v>165</v>
      </c>
      <c r="E141" s="53" t="s">
        <v>204</v>
      </c>
      <c r="F141" s="53" t="s">
        <v>205</v>
      </c>
      <c r="G141" s="53" t="s">
        <v>42</v>
      </c>
      <c r="H141" s="53" t="s">
        <v>160</v>
      </c>
      <c r="I141" s="53" t="s">
        <v>159</v>
      </c>
      <c r="J141" s="53" t="s">
        <v>38</v>
      </c>
      <c r="K141" s="53" t="s">
        <v>161</v>
      </c>
      <c r="L141" s="53">
        <v>2</v>
      </c>
      <c r="N141" s="53">
        <v>4</v>
      </c>
      <c r="O141" s="53">
        <v>0.7</v>
      </c>
      <c r="P141" s="53">
        <v>0.65</v>
      </c>
      <c r="Q141" s="81">
        <f t="shared" si="6"/>
        <v>0.67500000000000004</v>
      </c>
      <c r="R141" s="53">
        <v>14.2</v>
      </c>
      <c r="S141" s="53">
        <v>122</v>
      </c>
      <c r="T141" s="38">
        <f t="shared" si="8"/>
        <v>27</v>
      </c>
      <c r="U141" s="53">
        <v>410</v>
      </c>
      <c r="V141" s="16">
        <f t="shared" si="7"/>
        <v>2767.5</v>
      </c>
      <c r="W141" s="53">
        <v>1</v>
      </c>
      <c r="X141" s="53" t="s">
        <v>46</v>
      </c>
      <c r="Y141" s="53" t="s">
        <v>97</v>
      </c>
      <c r="Z141" s="53" t="s">
        <v>88</v>
      </c>
      <c r="AA141" s="53" t="s">
        <v>69</v>
      </c>
      <c r="AB141" s="53" t="s">
        <v>158</v>
      </c>
      <c r="AC141" s="85"/>
      <c r="AD141" s="85"/>
      <c r="AE141" s="85"/>
      <c r="AF141" s="85"/>
      <c r="AG141" s="85"/>
      <c r="AH141" s="85"/>
    </row>
    <row r="142" spans="1:34" s="53" customFormat="1" x14ac:dyDescent="0.15">
      <c r="A142" s="53" t="s">
        <v>41</v>
      </c>
      <c r="B142" s="53" t="s">
        <v>157</v>
      </c>
      <c r="C142" s="71">
        <v>2019</v>
      </c>
      <c r="D142" s="72" t="s">
        <v>165</v>
      </c>
      <c r="E142" s="53" t="s">
        <v>204</v>
      </c>
      <c r="F142" s="53" t="s">
        <v>205</v>
      </c>
      <c r="G142" s="53" t="s">
        <v>42</v>
      </c>
      <c r="H142" s="53" t="s">
        <v>160</v>
      </c>
      <c r="I142" s="53" t="s">
        <v>159</v>
      </c>
      <c r="J142" s="53" t="s">
        <v>38</v>
      </c>
      <c r="K142" s="53" t="s">
        <v>161</v>
      </c>
      <c r="L142" s="53">
        <v>3</v>
      </c>
      <c r="N142" s="53">
        <v>4</v>
      </c>
      <c r="O142" s="53">
        <v>0.4</v>
      </c>
      <c r="P142" s="53">
        <v>0.45</v>
      </c>
      <c r="Q142" s="81">
        <f t="shared" si="6"/>
        <v>0.42500000000000004</v>
      </c>
      <c r="R142" s="53">
        <v>15.8</v>
      </c>
      <c r="S142" s="53">
        <v>122</v>
      </c>
      <c r="T142" s="38">
        <f t="shared" si="8"/>
        <v>27</v>
      </c>
      <c r="U142" s="53">
        <v>410</v>
      </c>
      <c r="V142" s="38">
        <f t="shared" si="7"/>
        <v>2767.5</v>
      </c>
      <c r="W142" s="53">
        <v>1</v>
      </c>
      <c r="X142" s="53" t="s">
        <v>46</v>
      </c>
      <c r="Y142" s="53" t="s">
        <v>97</v>
      </c>
      <c r="Z142" s="53" t="s">
        <v>88</v>
      </c>
      <c r="AA142" s="53" t="s">
        <v>69</v>
      </c>
      <c r="AB142" s="53" t="s">
        <v>158</v>
      </c>
      <c r="AC142" s="85"/>
      <c r="AD142" s="85"/>
      <c r="AE142" s="85"/>
      <c r="AF142" s="85"/>
      <c r="AG142" s="85"/>
      <c r="AH142" s="85"/>
    </row>
    <row r="143" spans="1:34" s="53" customFormat="1" x14ac:dyDescent="0.15">
      <c r="A143" s="53" t="s">
        <v>41</v>
      </c>
      <c r="B143" s="53" t="s">
        <v>157</v>
      </c>
      <c r="C143" s="71">
        <v>2019</v>
      </c>
      <c r="D143" s="72" t="s">
        <v>165</v>
      </c>
      <c r="E143" s="53" t="s">
        <v>210</v>
      </c>
      <c r="F143" s="53" t="s">
        <v>211</v>
      </c>
      <c r="G143" s="53" t="s">
        <v>42</v>
      </c>
      <c r="H143" s="53" t="s">
        <v>160</v>
      </c>
      <c r="I143" s="53" t="s">
        <v>159</v>
      </c>
      <c r="J143" s="53" t="s">
        <v>38</v>
      </c>
      <c r="K143" s="53" t="s">
        <v>161</v>
      </c>
      <c r="L143" s="53">
        <v>1</v>
      </c>
      <c r="N143" s="53">
        <v>1</v>
      </c>
      <c r="O143" s="53">
        <v>0.4</v>
      </c>
      <c r="P143" s="53">
        <v>0.35</v>
      </c>
      <c r="Q143" s="16">
        <f t="shared" si="6"/>
        <v>0.375</v>
      </c>
      <c r="R143" s="53">
        <v>13.1</v>
      </c>
      <c r="S143" s="53">
        <v>127</v>
      </c>
      <c r="T143" s="38">
        <f t="shared" si="8"/>
        <v>27</v>
      </c>
      <c r="U143" s="53">
        <v>96</v>
      </c>
      <c r="V143" s="38">
        <f t="shared" si="7"/>
        <v>2592</v>
      </c>
      <c r="W143" s="53">
        <v>4</v>
      </c>
      <c r="X143" s="53" t="s">
        <v>46</v>
      </c>
      <c r="Y143" s="53" t="s">
        <v>97</v>
      </c>
      <c r="Z143" s="53" t="s">
        <v>69</v>
      </c>
      <c r="AA143" s="53" t="s">
        <v>88</v>
      </c>
      <c r="AB143" s="53" t="s">
        <v>158</v>
      </c>
      <c r="AC143" s="85"/>
      <c r="AD143" s="85"/>
      <c r="AE143" s="85"/>
      <c r="AF143" s="85"/>
      <c r="AG143" s="85"/>
      <c r="AH143" s="85"/>
    </row>
    <row r="144" spans="1:34" s="53" customFormat="1" x14ac:dyDescent="0.15">
      <c r="A144" s="53" t="s">
        <v>41</v>
      </c>
      <c r="B144" s="53" t="s">
        <v>157</v>
      </c>
      <c r="C144" s="71">
        <v>2019</v>
      </c>
      <c r="D144" s="72" t="s">
        <v>165</v>
      </c>
      <c r="E144" s="53" t="s">
        <v>210</v>
      </c>
      <c r="F144" s="53" t="s">
        <v>211</v>
      </c>
      <c r="G144" s="53" t="s">
        <v>42</v>
      </c>
      <c r="H144" s="53" t="s">
        <v>160</v>
      </c>
      <c r="I144" s="53" t="s">
        <v>159</v>
      </c>
      <c r="J144" s="53" t="s">
        <v>38</v>
      </c>
      <c r="K144" s="53" t="s">
        <v>161</v>
      </c>
      <c r="L144" s="53">
        <v>2</v>
      </c>
      <c r="N144" s="53">
        <v>1</v>
      </c>
      <c r="O144" s="53">
        <v>0.45</v>
      </c>
      <c r="P144" s="53">
        <v>0.3</v>
      </c>
      <c r="Q144" s="16">
        <f t="shared" si="6"/>
        <v>0.375</v>
      </c>
      <c r="R144" s="53">
        <v>15.2</v>
      </c>
      <c r="S144" s="53">
        <v>125</v>
      </c>
      <c r="T144" s="38">
        <f t="shared" si="8"/>
        <v>27</v>
      </c>
      <c r="U144" s="53">
        <v>96</v>
      </c>
      <c r="V144" s="38">
        <f t="shared" si="7"/>
        <v>2592</v>
      </c>
      <c r="W144" s="53">
        <v>4</v>
      </c>
      <c r="X144" s="53" t="s">
        <v>46</v>
      </c>
      <c r="Y144" s="53" t="s">
        <v>97</v>
      </c>
      <c r="Z144" s="53" t="s">
        <v>69</v>
      </c>
      <c r="AA144" s="53" t="s">
        <v>88</v>
      </c>
      <c r="AB144" s="53" t="s">
        <v>158</v>
      </c>
      <c r="AC144" s="85"/>
      <c r="AD144" s="85"/>
      <c r="AE144" s="85"/>
      <c r="AF144" s="85"/>
      <c r="AG144" s="85"/>
      <c r="AH144" s="85"/>
    </row>
    <row r="145" spans="1:34" s="53" customFormat="1" x14ac:dyDescent="0.15">
      <c r="A145" s="53" t="s">
        <v>41</v>
      </c>
      <c r="B145" s="53" t="s">
        <v>157</v>
      </c>
      <c r="C145" s="71">
        <v>2019</v>
      </c>
      <c r="D145" s="72" t="s">
        <v>165</v>
      </c>
      <c r="E145" s="53" t="s">
        <v>210</v>
      </c>
      <c r="F145" s="53" t="s">
        <v>211</v>
      </c>
      <c r="G145" s="53" t="s">
        <v>42</v>
      </c>
      <c r="H145" s="53" t="s">
        <v>160</v>
      </c>
      <c r="I145" s="53" t="s">
        <v>159</v>
      </c>
      <c r="J145" s="53" t="s">
        <v>38</v>
      </c>
      <c r="K145" s="53" t="s">
        <v>161</v>
      </c>
      <c r="L145" s="53">
        <v>3</v>
      </c>
      <c r="N145" s="53">
        <v>1</v>
      </c>
      <c r="O145" s="53">
        <v>0.25</v>
      </c>
      <c r="P145" s="53">
        <v>0.25</v>
      </c>
      <c r="Q145" s="16">
        <f t="shared" si="6"/>
        <v>0.25</v>
      </c>
      <c r="R145" s="53">
        <v>13.8</v>
      </c>
      <c r="S145" s="53">
        <v>126</v>
      </c>
      <c r="T145" s="38">
        <f t="shared" si="8"/>
        <v>27</v>
      </c>
      <c r="U145" s="53">
        <v>96</v>
      </c>
      <c r="V145" s="38">
        <f t="shared" si="7"/>
        <v>2592</v>
      </c>
      <c r="W145" s="53">
        <v>4</v>
      </c>
      <c r="X145" s="53" t="s">
        <v>46</v>
      </c>
      <c r="Y145" s="53" t="s">
        <v>97</v>
      </c>
      <c r="Z145" s="53" t="s">
        <v>69</v>
      </c>
      <c r="AA145" s="53" t="s">
        <v>88</v>
      </c>
      <c r="AB145" s="53" t="s">
        <v>158</v>
      </c>
      <c r="AC145" s="85"/>
      <c r="AD145" s="85"/>
      <c r="AE145" s="85"/>
      <c r="AF145" s="85"/>
      <c r="AG145" s="85"/>
      <c r="AH145" s="85"/>
    </row>
    <row r="146" spans="1:34" s="53" customFormat="1" x14ac:dyDescent="0.15">
      <c r="A146" s="53" t="s">
        <v>41</v>
      </c>
      <c r="B146" s="53" t="s">
        <v>157</v>
      </c>
      <c r="C146" s="71">
        <v>2019</v>
      </c>
      <c r="D146" s="72" t="s">
        <v>165</v>
      </c>
      <c r="E146" s="53" t="s">
        <v>210</v>
      </c>
      <c r="F146" s="53" t="s">
        <v>211</v>
      </c>
      <c r="G146" s="53" t="s">
        <v>42</v>
      </c>
      <c r="H146" s="53" t="s">
        <v>160</v>
      </c>
      <c r="I146" s="53" t="s">
        <v>159</v>
      </c>
      <c r="J146" s="53" t="s">
        <v>38</v>
      </c>
      <c r="K146" s="53" t="s">
        <v>161</v>
      </c>
      <c r="L146" s="53">
        <v>1</v>
      </c>
      <c r="N146" s="53">
        <v>4</v>
      </c>
      <c r="O146" s="53">
        <v>0.25</v>
      </c>
      <c r="P146" s="53">
        <v>0.25</v>
      </c>
      <c r="Q146" s="16">
        <f t="shared" si="6"/>
        <v>0.25</v>
      </c>
      <c r="R146" s="53">
        <v>13.4</v>
      </c>
      <c r="S146" s="53">
        <v>124</v>
      </c>
      <c r="T146" s="38">
        <f t="shared" si="8"/>
        <v>27</v>
      </c>
      <c r="U146" s="53">
        <v>320</v>
      </c>
      <c r="V146" s="38">
        <f t="shared" si="7"/>
        <v>2160</v>
      </c>
      <c r="W146" s="53">
        <v>3</v>
      </c>
      <c r="X146" s="53" t="s">
        <v>46</v>
      </c>
      <c r="Y146" s="53" t="s">
        <v>97</v>
      </c>
      <c r="Z146" s="53" t="s">
        <v>69</v>
      </c>
      <c r="AA146" s="53" t="s">
        <v>88</v>
      </c>
      <c r="AB146" s="53" t="s">
        <v>158</v>
      </c>
      <c r="AC146" s="85"/>
      <c r="AD146" s="85"/>
      <c r="AE146" s="85"/>
      <c r="AF146" s="85"/>
      <c r="AG146" s="85"/>
      <c r="AH146" s="85"/>
    </row>
    <row r="147" spans="1:34" s="53" customFormat="1" x14ac:dyDescent="0.15">
      <c r="A147" s="53" t="s">
        <v>41</v>
      </c>
      <c r="B147" s="53" t="s">
        <v>157</v>
      </c>
      <c r="C147" s="71">
        <v>2019</v>
      </c>
      <c r="D147" s="72" t="s">
        <v>165</v>
      </c>
      <c r="E147" s="53" t="s">
        <v>210</v>
      </c>
      <c r="F147" s="53" t="s">
        <v>211</v>
      </c>
      <c r="G147" s="53" t="s">
        <v>42</v>
      </c>
      <c r="H147" s="53" t="s">
        <v>160</v>
      </c>
      <c r="I147" s="53" t="s">
        <v>159</v>
      </c>
      <c r="J147" s="53" t="s">
        <v>38</v>
      </c>
      <c r="K147" s="53" t="s">
        <v>161</v>
      </c>
      <c r="L147" s="53">
        <v>2</v>
      </c>
      <c r="N147" s="53">
        <v>4</v>
      </c>
      <c r="O147" s="53">
        <v>0.25</v>
      </c>
      <c r="P147" s="53">
        <v>0.25</v>
      </c>
      <c r="Q147" s="16">
        <f t="shared" si="6"/>
        <v>0.25</v>
      </c>
      <c r="R147" s="53">
        <v>16.2</v>
      </c>
      <c r="S147" s="53">
        <v>122</v>
      </c>
      <c r="T147" s="38">
        <f t="shared" si="8"/>
        <v>27</v>
      </c>
      <c r="U147" s="53">
        <v>320</v>
      </c>
      <c r="V147" s="38">
        <f t="shared" si="7"/>
        <v>2160</v>
      </c>
      <c r="W147" s="53">
        <v>3</v>
      </c>
      <c r="X147" s="53" t="s">
        <v>46</v>
      </c>
      <c r="Y147" s="53" t="s">
        <v>97</v>
      </c>
      <c r="Z147" s="53" t="s">
        <v>69</v>
      </c>
      <c r="AA147" s="53" t="s">
        <v>88</v>
      </c>
      <c r="AB147" s="53" t="s">
        <v>158</v>
      </c>
      <c r="AC147" s="85"/>
      <c r="AD147" s="85"/>
      <c r="AE147" s="85"/>
      <c r="AF147" s="85"/>
      <c r="AG147" s="85"/>
      <c r="AH147" s="85"/>
    </row>
    <row r="148" spans="1:34" s="53" customFormat="1" x14ac:dyDescent="0.15">
      <c r="A148" s="53" t="s">
        <v>41</v>
      </c>
      <c r="B148" s="53" t="s">
        <v>157</v>
      </c>
      <c r="C148" s="71">
        <v>2019</v>
      </c>
      <c r="D148" s="72" t="s">
        <v>165</v>
      </c>
      <c r="E148" s="53" t="s">
        <v>210</v>
      </c>
      <c r="F148" s="53" t="s">
        <v>211</v>
      </c>
      <c r="G148" s="53" t="s">
        <v>42</v>
      </c>
      <c r="H148" s="53" t="s">
        <v>160</v>
      </c>
      <c r="I148" s="53" t="s">
        <v>159</v>
      </c>
      <c r="J148" s="53" t="s">
        <v>38</v>
      </c>
      <c r="K148" s="53" t="s">
        <v>161</v>
      </c>
      <c r="L148" s="53">
        <v>3</v>
      </c>
      <c r="N148" s="53">
        <v>4</v>
      </c>
      <c r="O148" s="53">
        <v>0.3</v>
      </c>
      <c r="P148" s="53">
        <v>0.3</v>
      </c>
      <c r="Q148" s="16">
        <f t="shared" si="6"/>
        <v>0.3</v>
      </c>
      <c r="R148" s="53">
        <v>14.7</v>
      </c>
      <c r="S148" s="53">
        <v>122</v>
      </c>
      <c r="T148" s="38">
        <f t="shared" si="8"/>
        <v>27</v>
      </c>
      <c r="U148" s="53">
        <v>320</v>
      </c>
      <c r="V148" s="38">
        <f t="shared" si="7"/>
        <v>2160</v>
      </c>
      <c r="W148" s="53">
        <v>3</v>
      </c>
      <c r="X148" s="53" t="s">
        <v>46</v>
      </c>
      <c r="Y148" s="53" t="s">
        <v>97</v>
      </c>
      <c r="Z148" s="53" t="s">
        <v>69</v>
      </c>
      <c r="AA148" s="53" t="s">
        <v>88</v>
      </c>
      <c r="AB148" s="53" t="s">
        <v>158</v>
      </c>
      <c r="AC148" s="85"/>
      <c r="AD148" s="85"/>
      <c r="AE148" s="85"/>
      <c r="AF148" s="85"/>
      <c r="AG148" s="85"/>
      <c r="AH148" s="85"/>
    </row>
    <row r="149" spans="1:34" s="53" customFormat="1" x14ac:dyDescent="0.15">
      <c r="A149" s="53" t="s">
        <v>41</v>
      </c>
      <c r="B149" s="53" t="s">
        <v>157</v>
      </c>
      <c r="C149" s="71">
        <v>2019</v>
      </c>
      <c r="D149" s="72" t="s">
        <v>165</v>
      </c>
      <c r="E149" s="53" t="s">
        <v>210</v>
      </c>
      <c r="F149" s="53" t="s">
        <v>211</v>
      </c>
      <c r="G149" s="53" t="s">
        <v>42</v>
      </c>
      <c r="H149" s="53" t="s">
        <v>164</v>
      </c>
      <c r="I149" s="53" t="s">
        <v>159</v>
      </c>
      <c r="J149" s="53" t="s">
        <v>38</v>
      </c>
      <c r="K149" s="53" t="s">
        <v>161</v>
      </c>
      <c r="L149" s="53">
        <v>1</v>
      </c>
      <c r="N149" s="53">
        <v>1</v>
      </c>
      <c r="O149" s="53">
        <v>0.3</v>
      </c>
      <c r="P149" s="53">
        <v>0.35</v>
      </c>
      <c r="Q149" s="16">
        <f t="shared" si="6"/>
        <v>0.32499999999999996</v>
      </c>
      <c r="R149" s="53">
        <v>14.1</v>
      </c>
      <c r="S149" s="53">
        <v>124</v>
      </c>
      <c r="T149" s="38">
        <f t="shared" si="8"/>
        <v>27</v>
      </c>
      <c r="U149" s="53">
        <v>96</v>
      </c>
      <c r="V149" s="38">
        <f t="shared" si="7"/>
        <v>2592</v>
      </c>
      <c r="W149" s="53">
        <v>2</v>
      </c>
      <c r="X149" s="53" t="s">
        <v>46</v>
      </c>
      <c r="Y149" s="53" t="s">
        <v>97</v>
      </c>
      <c r="Z149" s="53" t="s">
        <v>69</v>
      </c>
      <c r="AA149" s="53" t="s">
        <v>88</v>
      </c>
      <c r="AB149" s="53" t="s">
        <v>158</v>
      </c>
    </row>
    <row r="150" spans="1:34" s="53" customFormat="1" x14ac:dyDescent="0.15">
      <c r="A150" s="53" t="s">
        <v>41</v>
      </c>
      <c r="B150" s="53" t="s">
        <v>157</v>
      </c>
      <c r="C150" s="71">
        <v>2019</v>
      </c>
      <c r="D150" s="72" t="s">
        <v>165</v>
      </c>
      <c r="E150" s="53" t="s">
        <v>210</v>
      </c>
      <c r="F150" s="53" t="s">
        <v>211</v>
      </c>
      <c r="G150" s="53" t="s">
        <v>42</v>
      </c>
      <c r="H150" s="53" t="s">
        <v>164</v>
      </c>
      <c r="I150" s="53" t="s">
        <v>159</v>
      </c>
      <c r="J150" s="53" t="s">
        <v>38</v>
      </c>
      <c r="K150" s="53" t="s">
        <v>161</v>
      </c>
      <c r="L150" s="53">
        <v>2</v>
      </c>
      <c r="N150" s="53">
        <v>1</v>
      </c>
      <c r="O150" s="53">
        <v>0.45</v>
      </c>
      <c r="P150" s="53">
        <v>0.4</v>
      </c>
      <c r="Q150" s="16">
        <f t="shared" si="6"/>
        <v>0.42500000000000004</v>
      </c>
      <c r="R150" s="53">
        <v>15.1</v>
      </c>
      <c r="S150" s="53">
        <v>127</v>
      </c>
      <c r="T150" s="38">
        <f t="shared" si="8"/>
        <v>27</v>
      </c>
      <c r="U150" s="53">
        <v>96</v>
      </c>
      <c r="V150" s="38">
        <f t="shared" si="7"/>
        <v>2592</v>
      </c>
      <c r="W150" s="53">
        <v>2</v>
      </c>
      <c r="X150" s="53" t="s">
        <v>46</v>
      </c>
      <c r="Y150" s="53" t="s">
        <v>97</v>
      </c>
      <c r="Z150" s="53" t="s">
        <v>69</v>
      </c>
      <c r="AA150" s="53" t="s">
        <v>88</v>
      </c>
      <c r="AB150" s="53" t="s">
        <v>158</v>
      </c>
    </row>
    <row r="151" spans="1:34" s="53" customFormat="1" x14ac:dyDescent="0.15">
      <c r="A151" s="53" t="s">
        <v>41</v>
      </c>
      <c r="B151" s="53" t="s">
        <v>157</v>
      </c>
      <c r="C151" s="71">
        <v>2019</v>
      </c>
      <c r="D151" s="72" t="s">
        <v>165</v>
      </c>
      <c r="E151" s="53" t="s">
        <v>210</v>
      </c>
      <c r="F151" s="53" t="s">
        <v>211</v>
      </c>
      <c r="G151" s="53" t="s">
        <v>42</v>
      </c>
      <c r="H151" s="53" t="s">
        <v>164</v>
      </c>
      <c r="I151" s="53" t="s">
        <v>159</v>
      </c>
      <c r="J151" s="53" t="s">
        <v>38</v>
      </c>
      <c r="K151" s="53" t="s">
        <v>161</v>
      </c>
      <c r="L151" s="53">
        <v>3</v>
      </c>
      <c r="N151" s="53">
        <v>1</v>
      </c>
      <c r="O151" s="53">
        <v>0.3</v>
      </c>
      <c r="P151" s="53">
        <v>0.4</v>
      </c>
      <c r="Q151" s="16">
        <f t="shared" si="6"/>
        <v>0.35</v>
      </c>
      <c r="R151" s="53">
        <v>13.8</v>
      </c>
      <c r="S151" s="53">
        <v>123</v>
      </c>
      <c r="T151" s="38">
        <f t="shared" si="8"/>
        <v>27</v>
      </c>
      <c r="U151" s="53">
        <v>96</v>
      </c>
      <c r="V151" s="38">
        <f t="shared" si="7"/>
        <v>2592</v>
      </c>
      <c r="W151" s="53">
        <v>2</v>
      </c>
      <c r="X151" s="53" t="s">
        <v>46</v>
      </c>
      <c r="Y151" s="53" t="s">
        <v>97</v>
      </c>
      <c r="Z151" s="53" t="s">
        <v>69</v>
      </c>
      <c r="AA151" s="53" t="s">
        <v>88</v>
      </c>
      <c r="AB151" s="53" t="s">
        <v>158</v>
      </c>
    </row>
    <row r="152" spans="1:34" x14ac:dyDescent="0.15">
      <c r="Q152" s="86" t="str">
        <f t="shared" si="6"/>
        <v/>
      </c>
      <c r="T152" s="87" t="str">
        <f t="shared" si="8"/>
        <v/>
      </c>
      <c r="V152" s="87" t="str">
        <f t="shared" si="7"/>
        <v/>
      </c>
    </row>
    <row r="153" spans="1:34" x14ac:dyDescent="0.15">
      <c r="Q153" s="86" t="str">
        <f t="shared" si="6"/>
        <v/>
      </c>
      <c r="T153" s="87" t="str">
        <f t="shared" si="8"/>
        <v/>
      </c>
      <c r="V153" s="87" t="str">
        <f t="shared" si="7"/>
        <v/>
      </c>
    </row>
    <row r="154" spans="1:34" x14ac:dyDescent="0.15">
      <c r="Q154" s="86" t="str">
        <f t="shared" si="6"/>
        <v/>
      </c>
      <c r="T154" s="87" t="str">
        <f t="shared" si="8"/>
        <v/>
      </c>
      <c r="V154" s="87" t="str">
        <f t="shared" si="7"/>
        <v/>
      </c>
    </row>
    <row r="155" spans="1:34" x14ac:dyDescent="0.15">
      <c r="Q155" s="86" t="str">
        <f t="shared" si="6"/>
        <v/>
      </c>
      <c r="T155" s="87" t="str">
        <f t="shared" si="8"/>
        <v/>
      </c>
      <c r="V155" s="87" t="str">
        <f t="shared" si="7"/>
        <v/>
      </c>
    </row>
    <row r="156" spans="1:34" x14ac:dyDescent="0.15">
      <c r="Q156" s="86" t="str">
        <f t="shared" si="6"/>
        <v/>
      </c>
      <c r="T156" s="87" t="str">
        <f t="shared" si="8"/>
        <v/>
      </c>
      <c r="V156" s="87" t="str">
        <f t="shared" si="7"/>
        <v/>
      </c>
    </row>
    <row r="157" spans="1:34" x14ac:dyDescent="0.15">
      <c r="Q157" s="86" t="str">
        <f t="shared" si="6"/>
        <v/>
      </c>
      <c r="T157" s="87" t="str">
        <f t="shared" si="8"/>
        <v/>
      </c>
      <c r="V157" s="87" t="str">
        <f t="shared" si="7"/>
        <v/>
      </c>
    </row>
    <row r="158" spans="1:34" x14ac:dyDescent="0.15">
      <c r="Q158" s="86" t="str">
        <f t="shared" si="6"/>
        <v/>
      </c>
      <c r="T158" s="87" t="str">
        <f t="shared" si="8"/>
        <v/>
      </c>
      <c r="V158" s="87" t="str">
        <f t="shared" si="7"/>
        <v/>
      </c>
    </row>
    <row r="159" spans="1:34" x14ac:dyDescent="0.15">
      <c r="Q159" s="86" t="str">
        <f t="shared" si="6"/>
        <v/>
      </c>
      <c r="T159" s="87" t="str">
        <f t="shared" si="8"/>
        <v/>
      </c>
      <c r="V159" s="87" t="str">
        <f t="shared" si="7"/>
        <v/>
      </c>
    </row>
    <row r="160" spans="1:34" x14ac:dyDescent="0.15">
      <c r="Q160" s="86" t="str">
        <f t="shared" si="6"/>
        <v/>
      </c>
      <c r="T160" s="87" t="str">
        <f t="shared" si="8"/>
        <v/>
      </c>
      <c r="V160" s="87" t="str">
        <f t="shared" si="7"/>
        <v/>
      </c>
    </row>
    <row r="161" spans="17:22" x14ac:dyDescent="0.15">
      <c r="Q161" s="86" t="str">
        <f t="shared" si="6"/>
        <v/>
      </c>
      <c r="T161" s="87" t="str">
        <f t="shared" si="8"/>
        <v/>
      </c>
      <c r="V161" s="87" t="str">
        <f t="shared" si="7"/>
        <v/>
      </c>
    </row>
    <row r="162" spans="17:22" x14ac:dyDescent="0.15">
      <c r="Q162" s="86" t="str">
        <f t="shared" si="6"/>
        <v/>
      </c>
      <c r="T162" s="87" t="str">
        <f t="shared" si="8"/>
        <v/>
      </c>
      <c r="V162" s="87" t="str">
        <f t="shared" si="7"/>
        <v/>
      </c>
    </row>
    <row r="163" spans="17:22" x14ac:dyDescent="0.15">
      <c r="Q163" s="86" t="str">
        <f t="shared" si="6"/>
        <v/>
      </c>
      <c r="T163" s="87" t="str">
        <f t="shared" si="8"/>
        <v/>
      </c>
      <c r="V163" s="87" t="str">
        <f t="shared" si="7"/>
        <v/>
      </c>
    </row>
    <row r="164" spans="17:22" x14ac:dyDescent="0.15">
      <c r="Q164" s="86" t="str">
        <f t="shared" si="6"/>
        <v/>
      </c>
      <c r="T164" s="87" t="str">
        <f t="shared" si="8"/>
        <v/>
      </c>
      <c r="V164" s="87" t="str">
        <f t="shared" si="7"/>
        <v/>
      </c>
    </row>
    <row r="165" spans="17:22" x14ac:dyDescent="0.15">
      <c r="Q165" s="86" t="str">
        <f t="shared" si="6"/>
        <v/>
      </c>
      <c r="T165" s="87" t="str">
        <f t="shared" si="8"/>
        <v/>
      </c>
      <c r="V165" s="87" t="str">
        <f t="shared" si="7"/>
        <v/>
      </c>
    </row>
    <row r="166" spans="17:22" x14ac:dyDescent="0.15">
      <c r="Q166" s="86" t="str">
        <f t="shared" si="6"/>
        <v/>
      </c>
      <c r="T166" s="87" t="str">
        <f t="shared" si="8"/>
        <v/>
      </c>
      <c r="V166" s="87" t="str">
        <f t="shared" si="7"/>
        <v/>
      </c>
    </row>
    <row r="167" spans="17:22" x14ac:dyDescent="0.15">
      <c r="Q167" s="86" t="str">
        <f t="shared" si="6"/>
        <v/>
      </c>
      <c r="T167" s="87" t="str">
        <f t="shared" si="8"/>
        <v/>
      </c>
      <c r="V167" s="87" t="str">
        <f t="shared" si="7"/>
        <v/>
      </c>
    </row>
    <row r="168" spans="17:22" x14ac:dyDescent="0.15">
      <c r="Q168" s="86" t="str">
        <f t="shared" si="6"/>
        <v/>
      </c>
      <c r="T168" s="87" t="str">
        <f t="shared" si="8"/>
        <v/>
      </c>
      <c r="V168" s="87" t="str">
        <f t="shared" si="7"/>
        <v/>
      </c>
    </row>
    <row r="169" spans="17:22" x14ac:dyDescent="0.15">
      <c r="Q169" s="86" t="str">
        <f t="shared" si="6"/>
        <v/>
      </c>
      <c r="T169" s="87" t="str">
        <f t="shared" si="8"/>
        <v/>
      </c>
      <c r="V169" s="87" t="str">
        <f t="shared" si="7"/>
        <v/>
      </c>
    </row>
    <row r="170" spans="17:22" x14ac:dyDescent="0.15">
      <c r="Q170" s="86" t="str">
        <f t="shared" si="6"/>
        <v/>
      </c>
      <c r="T170" s="87" t="str">
        <f t="shared" si="8"/>
        <v/>
      </c>
      <c r="V170" s="87" t="str">
        <f t="shared" si="7"/>
        <v/>
      </c>
    </row>
    <row r="171" spans="17:22" x14ac:dyDescent="0.15">
      <c r="Q171" s="86" t="str">
        <f t="shared" si="6"/>
        <v/>
      </c>
      <c r="T171" s="87" t="str">
        <f t="shared" si="8"/>
        <v/>
      </c>
      <c r="V171" s="87" t="str">
        <f t="shared" si="7"/>
        <v/>
      </c>
    </row>
    <row r="172" spans="17:22" x14ac:dyDescent="0.15">
      <c r="Q172" s="86" t="str">
        <f t="shared" si="6"/>
        <v/>
      </c>
      <c r="T172" s="87" t="str">
        <f t="shared" si="8"/>
        <v/>
      </c>
      <c r="V172" s="87" t="str">
        <f t="shared" si="7"/>
        <v/>
      </c>
    </row>
    <row r="173" spans="17:22" x14ac:dyDescent="0.15">
      <c r="Q173" s="86" t="str">
        <f t="shared" si="6"/>
        <v/>
      </c>
      <c r="T173" s="87" t="str">
        <f t="shared" si="8"/>
        <v/>
      </c>
      <c r="V173" s="87" t="str">
        <f t="shared" si="7"/>
        <v/>
      </c>
    </row>
    <row r="174" spans="17:22" x14ac:dyDescent="0.15">
      <c r="Q174" s="86" t="str">
        <f t="shared" si="6"/>
        <v/>
      </c>
      <c r="T174" s="87" t="str">
        <f t="shared" si="8"/>
        <v/>
      </c>
      <c r="V174" s="87" t="str">
        <f t="shared" si="7"/>
        <v/>
      </c>
    </row>
    <row r="175" spans="17:22" x14ac:dyDescent="0.15">
      <c r="Q175" s="86" t="str">
        <f t="shared" si="6"/>
        <v/>
      </c>
      <c r="T175" s="87" t="str">
        <f t="shared" si="8"/>
        <v/>
      </c>
      <c r="V175" s="87" t="str">
        <f t="shared" si="7"/>
        <v/>
      </c>
    </row>
    <row r="176" spans="17:22" x14ac:dyDescent="0.15">
      <c r="Q176" s="86" t="str">
        <f t="shared" si="6"/>
        <v/>
      </c>
      <c r="T176" s="87" t="str">
        <f t="shared" si="8"/>
        <v/>
      </c>
      <c r="V176" s="87" t="str">
        <f t="shared" si="7"/>
        <v/>
      </c>
    </row>
    <row r="177" spans="17:22" x14ac:dyDescent="0.15">
      <c r="Q177" s="86" t="str">
        <f t="shared" si="6"/>
        <v/>
      </c>
      <c r="T177" s="87" t="str">
        <f t="shared" si="8"/>
        <v/>
      </c>
      <c r="V177" s="87" t="str">
        <f t="shared" si="7"/>
        <v/>
      </c>
    </row>
    <row r="178" spans="17:22" x14ac:dyDescent="0.15">
      <c r="Q178" s="86" t="str">
        <f t="shared" si="6"/>
        <v/>
      </c>
      <c r="T178" s="87" t="str">
        <f t="shared" si="8"/>
        <v/>
      </c>
      <c r="V178" s="87" t="str">
        <f t="shared" si="7"/>
        <v/>
      </c>
    </row>
    <row r="179" spans="17:22" x14ac:dyDescent="0.15">
      <c r="Q179" s="86" t="str">
        <f t="shared" si="6"/>
        <v/>
      </c>
      <c r="T179" s="87" t="str">
        <f t="shared" si="8"/>
        <v/>
      </c>
      <c r="V179" s="87" t="str">
        <f t="shared" si="7"/>
        <v/>
      </c>
    </row>
    <row r="180" spans="17:22" x14ac:dyDescent="0.15">
      <c r="Q180" s="86" t="str">
        <f t="shared" si="6"/>
        <v/>
      </c>
      <c r="T180" s="87" t="str">
        <f t="shared" si="8"/>
        <v/>
      </c>
      <c r="V180" s="87" t="str">
        <f t="shared" si="7"/>
        <v/>
      </c>
    </row>
    <row r="181" spans="17:22" x14ac:dyDescent="0.15">
      <c r="Q181" s="86" t="str">
        <f t="shared" si="6"/>
        <v/>
      </c>
      <c r="T181" s="87" t="str">
        <f t="shared" si="8"/>
        <v/>
      </c>
      <c r="V181" s="87" t="str">
        <f t="shared" si="7"/>
        <v/>
      </c>
    </row>
    <row r="182" spans="17:22" x14ac:dyDescent="0.15">
      <c r="Q182" s="86" t="str">
        <f t="shared" si="6"/>
        <v/>
      </c>
      <c r="T182" s="87" t="str">
        <f t="shared" si="8"/>
        <v/>
      </c>
      <c r="V182" s="87" t="str">
        <f t="shared" si="7"/>
        <v/>
      </c>
    </row>
    <row r="183" spans="17:22" x14ac:dyDescent="0.15">
      <c r="Q183" s="86" t="str">
        <f t="shared" si="6"/>
        <v/>
      </c>
      <c r="T183" s="87" t="str">
        <f t="shared" si="8"/>
        <v/>
      </c>
      <c r="V183" s="87" t="str">
        <f t="shared" si="7"/>
        <v/>
      </c>
    </row>
    <row r="184" spans="17:22" x14ac:dyDescent="0.15">
      <c r="Q184" s="86" t="str">
        <f t="shared" si="6"/>
        <v/>
      </c>
      <c r="T184" s="87" t="str">
        <f t="shared" si="8"/>
        <v/>
      </c>
      <c r="V184" s="87" t="str">
        <f t="shared" si="7"/>
        <v/>
      </c>
    </row>
    <row r="185" spans="17:22" x14ac:dyDescent="0.15">
      <c r="Q185" s="86" t="str">
        <f t="shared" si="6"/>
        <v/>
      </c>
      <c r="T185" s="87" t="str">
        <f t="shared" si="8"/>
        <v/>
      </c>
      <c r="V185" s="87" t="str">
        <f t="shared" si="7"/>
        <v/>
      </c>
    </row>
    <row r="186" spans="17:22" x14ac:dyDescent="0.15">
      <c r="Q186" s="86" t="str">
        <f t="shared" si="6"/>
        <v/>
      </c>
      <c r="T186" s="87" t="str">
        <f t="shared" si="8"/>
        <v/>
      </c>
      <c r="V186" s="87" t="str">
        <f t="shared" si="7"/>
        <v/>
      </c>
    </row>
    <row r="187" spans="17:22" x14ac:dyDescent="0.15">
      <c r="Q187" s="86" t="str">
        <f t="shared" si="6"/>
        <v/>
      </c>
      <c r="T187" s="87" t="str">
        <f t="shared" si="8"/>
        <v/>
      </c>
      <c r="V187" s="87" t="str">
        <f t="shared" si="7"/>
        <v/>
      </c>
    </row>
    <row r="188" spans="17:22" x14ac:dyDescent="0.15">
      <c r="Q188" s="86" t="str">
        <f t="shared" si="6"/>
        <v/>
      </c>
      <c r="T188" s="87" t="str">
        <f t="shared" si="8"/>
        <v/>
      </c>
      <c r="V188" s="87" t="str">
        <f t="shared" si="7"/>
        <v/>
      </c>
    </row>
    <row r="189" spans="17:22" x14ac:dyDescent="0.15">
      <c r="Q189" s="86" t="str">
        <f t="shared" si="6"/>
        <v/>
      </c>
      <c r="T189" s="87" t="str">
        <f t="shared" si="8"/>
        <v/>
      </c>
      <c r="V189" s="87" t="str">
        <f t="shared" si="7"/>
        <v/>
      </c>
    </row>
    <row r="190" spans="17:22" x14ac:dyDescent="0.15">
      <c r="Q190" s="86" t="str">
        <f t="shared" si="6"/>
        <v/>
      </c>
      <c r="T190" s="87" t="str">
        <f t="shared" si="8"/>
        <v/>
      </c>
      <c r="V190" s="87" t="str">
        <f t="shared" si="7"/>
        <v/>
      </c>
    </row>
    <row r="191" spans="17:22" x14ac:dyDescent="0.15">
      <c r="Q191" s="86" t="str">
        <f t="shared" si="6"/>
        <v/>
      </c>
      <c r="T191" s="87" t="str">
        <f t="shared" si="8"/>
        <v/>
      </c>
      <c r="V191" s="87" t="str">
        <f t="shared" si="7"/>
        <v/>
      </c>
    </row>
    <row r="192" spans="17:22" x14ac:dyDescent="0.15">
      <c r="Q192" s="86" t="str">
        <f t="shared" ref="Q192:Q255" si="9">IF(OR(O192="",P192=""),"",AVERAGE(O192,P192))</f>
        <v/>
      </c>
      <c r="T192" s="87" t="str">
        <f t="shared" si="8"/>
        <v/>
      </c>
      <c r="V192" s="87" t="str">
        <f t="shared" ref="V192:V255" si="10">IF(OR(N192="",U192="",T192=""),"",U192/N192*T192)</f>
        <v/>
      </c>
    </row>
    <row r="193" spans="17:22" x14ac:dyDescent="0.15">
      <c r="Q193" s="86" t="str">
        <f t="shared" si="9"/>
        <v/>
      </c>
      <c r="T193" s="87" t="str">
        <f t="shared" si="8"/>
        <v/>
      </c>
      <c r="V193" s="87" t="str">
        <f t="shared" si="10"/>
        <v/>
      </c>
    </row>
    <row r="194" spans="17:22" x14ac:dyDescent="0.15">
      <c r="Q194" s="86" t="str">
        <f t="shared" si="9"/>
        <v/>
      </c>
      <c r="T194" s="87" t="str">
        <f t="shared" si="8"/>
        <v/>
      </c>
      <c r="V194" s="87" t="str">
        <f t="shared" si="10"/>
        <v/>
      </c>
    </row>
    <row r="195" spans="17:22" x14ac:dyDescent="0.15">
      <c r="Q195" s="86" t="str">
        <f t="shared" si="9"/>
        <v/>
      </c>
      <c r="T195" s="87" t="str">
        <f t="shared" si="8"/>
        <v/>
      </c>
      <c r="V195" s="87" t="str">
        <f t="shared" si="10"/>
        <v/>
      </c>
    </row>
    <row r="196" spans="17:22" x14ac:dyDescent="0.15">
      <c r="Q196" s="86" t="str">
        <f t="shared" si="9"/>
        <v/>
      </c>
      <c r="T196" s="87" t="str">
        <f t="shared" si="8"/>
        <v/>
      </c>
      <c r="V196" s="87" t="str">
        <f t="shared" si="10"/>
        <v/>
      </c>
    </row>
    <row r="197" spans="17:22" x14ac:dyDescent="0.15">
      <c r="Q197" s="86" t="str">
        <f t="shared" si="9"/>
        <v/>
      </c>
      <c r="T197" s="87" t="str">
        <f t="shared" ref="T197:T260" si="11">IF(H197="","",IF(OR(H197="GREEN",H197="GK"),IF(S197&gt;=$AX$2,VLOOKUP(S197,$AX$2:$AY$10,2,1),""),IF(S197&gt;=$AZ$2,VLOOKUP(S197,$AZ$2:$BA$10,2,1),"")))</f>
        <v/>
      </c>
      <c r="V197" s="87" t="str">
        <f t="shared" si="10"/>
        <v/>
      </c>
    </row>
    <row r="198" spans="17:22" x14ac:dyDescent="0.15">
      <c r="Q198" s="86" t="str">
        <f t="shared" si="9"/>
        <v/>
      </c>
      <c r="T198" s="87" t="str">
        <f t="shared" si="11"/>
        <v/>
      </c>
      <c r="V198" s="87" t="str">
        <f t="shared" si="10"/>
        <v/>
      </c>
    </row>
    <row r="199" spans="17:22" x14ac:dyDescent="0.15">
      <c r="Q199" s="86" t="str">
        <f t="shared" si="9"/>
        <v/>
      </c>
      <c r="T199" s="87" t="str">
        <f t="shared" si="11"/>
        <v/>
      </c>
      <c r="V199" s="87" t="str">
        <f t="shared" si="10"/>
        <v/>
      </c>
    </row>
    <row r="200" spans="17:22" x14ac:dyDescent="0.15">
      <c r="Q200" s="86" t="str">
        <f t="shared" si="9"/>
        <v/>
      </c>
      <c r="T200" s="87" t="str">
        <f t="shared" si="11"/>
        <v/>
      </c>
      <c r="V200" s="87" t="str">
        <f t="shared" si="10"/>
        <v/>
      </c>
    </row>
    <row r="201" spans="17:22" x14ac:dyDescent="0.15">
      <c r="Q201" s="86" t="str">
        <f t="shared" si="9"/>
        <v/>
      </c>
      <c r="T201" s="87" t="str">
        <f t="shared" si="11"/>
        <v/>
      </c>
      <c r="V201" s="87" t="str">
        <f t="shared" si="10"/>
        <v/>
      </c>
    </row>
    <row r="202" spans="17:22" x14ac:dyDescent="0.15">
      <c r="Q202" s="86" t="str">
        <f t="shared" si="9"/>
        <v/>
      </c>
      <c r="T202" s="87" t="str">
        <f t="shared" si="11"/>
        <v/>
      </c>
      <c r="V202" s="87" t="str">
        <f t="shared" si="10"/>
        <v/>
      </c>
    </row>
    <row r="203" spans="17:22" x14ac:dyDescent="0.15">
      <c r="Q203" s="86" t="str">
        <f t="shared" si="9"/>
        <v/>
      </c>
      <c r="T203" s="87" t="str">
        <f t="shared" si="11"/>
        <v/>
      </c>
      <c r="V203" s="87" t="str">
        <f t="shared" si="10"/>
        <v/>
      </c>
    </row>
    <row r="204" spans="17:22" x14ac:dyDescent="0.15">
      <c r="Q204" s="86" t="str">
        <f t="shared" si="9"/>
        <v/>
      </c>
      <c r="T204" s="87" t="str">
        <f t="shared" si="11"/>
        <v/>
      </c>
      <c r="V204" s="87" t="str">
        <f t="shared" si="10"/>
        <v/>
      </c>
    </row>
    <row r="205" spans="17:22" x14ac:dyDescent="0.15">
      <c r="Q205" s="86" t="str">
        <f t="shared" si="9"/>
        <v/>
      </c>
      <c r="T205" s="87" t="str">
        <f t="shared" si="11"/>
        <v/>
      </c>
      <c r="V205" s="87" t="str">
        <f t="shared" si="10"/>
        <v/>
      </c>
    </row>
    <row r="206" spans="17:22" x14ac:dyDescent="0.15">
      <c r="Q206" s="86" t="str">
        <f t="shared" si="9"/>
        <v/>
      </c>
      <c r="T206" s="87" t="str">
        <f t="shared" si="11"/>
        <v/>
      </c>
      <c r="V206" s="87" t="str">
        <f t="shared" si="10"/>
        <v/>
      </c>
    </row>
    <row r="207" spans="17:22" x14ac:dyDescent="0.15">
      <c r="Q207" s="86" t="str">
        <f t="shared" si="9"/>
        <v/>
      </c>
      <c r="T207" s="87" t="str">
        <f t="shared" si="11"/>
        <v/>
      </c>
      <c r="V207" s="87" t="str">
        <f t="shared" si="10"/>
        <v/>
      </c>
    </row>
    <row r="208" spans="17:22" x14ac:dyDescent="0.15">
      <c r="Q208" s="86" t="str">
        <f t="shared" si="9"/>
        <v/>
      </c>
      <c r="T208" s="87" t="str">
        <f t="shared" si="11"/>
        <v/>
      </c>
      <c r="V208" s="87" t="str">
        <f t="shared" si="10"/>
        <v/>
      </c>
    </row>
    <row r="209" spans="17:22" x14ac:dyDescent="0.15">
      <c r="Q209" s="86" t="str">
        <f t="shared" si="9"/>
        <v/>
      </c>
      <c r="T209" s="87" t="str">
        <f t="shared" si="11"/>
        <v/>
      </c>
      <c r="V209" s="87" t="str">
        <f t="shared" si="10"/>
        <v/>
      </c>
    </row>
    <row r="210" spans="17:22" x14ac:dyDescent="0.15">
      <c r="Q210" s="86" t="str">
        <f t="shared" si="9"/>
        <v/>
      </c>
      <c r="T210" s="87" t="str">
        <f t="shared" si="11"/>
        <v/>
      </c>
      <c r="V210" s="87" t="str">
        <f t="shared" si="10"/>
        <v/>
      </c>
    </row>
    <row r="211" spans="17:22" x14ac:dyDescent="0.15">
      <c r="Q211" s="86" t="str">
        <f t="shared" si="9"/>
        <v/>
      </c>
      <c r="T211" s="87" t="str">
        <f t="shared" si="11"/>
        <v/>
      </c>
      <c r="V211" s="87" t="str">
        <f t="shared" si="10"/>
        <v/>
      </c>
    </row>
    <row r="212" spans="17:22" x14ac:dyDescent="0.15">
      <c r="Q212" s="86" t="str">
        <f t="shared" si="9"/>
        <v/>
      </c>
      <c r="T212" s="87" t="str">
        <f t="shared" si="11"/>
        <v/>
      </c>
      <c r="V212" s="87" t="str">
        <f t="shared" si="10"/>
        <v/>
      </c>
    </row>
    <row r="213" spans="17:22" x14ac:dyDescent="0.15">
      <c r="Q213" s="86" t="str">
        <f t="shared" si="9"/>
        <v/>
      </c>
      <c r="T213" s="87" t="str">
        <f t="shared" si="11"/>
        <v/>
      </c>
      <c r="V213" s="87" t="str">
        <f t="shared" si="10"/>
        <v/>
      </c>
    </row>
    <row r="214" spans="17:22" x14ac:dyDescent="0.15">
      <c r="Q214" s="86" t="str">
        <f t="shared" si="9"/>
        <v/>
      </c>
      <c r="T214" s="87" t="str">
        <f t="shared" si="11"/>
        <v/>
      </c>
      <c r="V214" s="87" t="str">
        <f t="shared" si="10"/>
        <v/>
      </c>
    </row>
    <row r="215" spans="17:22" x14ac:dyDescent="0.15">
      <c r="Q215" s="86" t="str">
        <f t="shared" si="9"/>
        <v/>
      </c>
      <c r="T215" s="87" t="str">
        <f t="shared" si="11"/>
        <v/>
      </c>
      <c r="V215" s="87" t="str">
        <f t="shared" si="10"/>
        <v/>
      </c>
    </row>
    <row r="216" spans="17:22" x14ac:dyDescent="0.15">
      <c r="Q216" s="86" t="str">
        <f t="shared" si="9"/>
        <v/>
      </c>
      <c r="T216" s="87" t="str">
        <f t="shared" si="11"/>
        <v/>
      </c>
      <c r="V216" s="87" t="str">
        <f t="shared" si="10"/>
        <v/>
      </c>
    </row>
    <row r="217" spans="17:22" x14ac:dyDescent="0.15">
      <c r="Q217" s="86" t="str">
        <f t="shared" si="9"/>
        <v/>
      </c>
      <c r="T217" s="87" t="str">
        <f t="shared" si="11"/>
        <v/>
      </c>
      <c r="V217" s="87" t="str">
        <f t="shared" si="10"/>
        <v/>
      </c>
    </row>
    <row r="218" spans="17:22" x14ac:dyDescent="0.15">
      <c r="Q218" s="86" t="str">
        <f t="shared" si="9"/>
        <v/>
      </c>
      <c r="T218" s="87" t="str">
        <f t="shared" si="11"/>
        <v/>
      </c>
      <c r="V218" s="87" t="str">
        <f t="shared" si="10"/>
        <v/>
      </c>
    </row>
    <row r="219" spans="17:22" x14ac:dyDescent="0.15">
      <c r="Q219" s="86" t="str">
        <f t="shared" si="9"/>
        <v/>
      </c>
      <c r="T219" s="87" t="str">
        <f t="shared" si="11"/>
        <v/>
      </c>
      <c r="V219" s="87" t="str">
        <f t="shared" si="10"/>
        <v/>
      </c>
    </row>
    <row r="220" spans="17:22" x14ac:dyDescent="0.15">
      <c r="Q220" s="86" t="str">
        <f t="shared" si="9"/>
        <v/>
      </c>
      <c r="T220" s="87" t="str">
        <f t="shared" si="11"/>
        <v/>
      </c>
      <c r="V220" s="87" t="str">
        <f t="shared" si="10"/>
        <v/>
      </c>
    </row>
    <row r="221" spans="17:22" x14ac:dyDescent="0.15">
      <c r="Q221" s="86" t="str">
        <f t="shared" si="9"/>
        <v/>
      </c>
      <c r="T221" s="87" t="str">
        <f t="shared" si="11"/>
        <v/>
      </c>
      <c r="V221" s="87" t="str">
        <f t="shared" si="10"/>
        <v/>
      </c>
    </row>
    <row r="222" spans="17:22" x14ac:dyDescent="0.15">
      <c r="Q222" s="86" t="str">
        <f t="shared" si="9"/>
        <v/>
      </c>
      <c r="T222" s="87" t="str">
        <f t="shared" si="11"/>
        <v/>
      </c>
      <c r="V222" s="87" t="str">
        <f t="shared" si="10"/>
        <v/>
      </c>
    </row>
    <row r="223" spans="17:22" x14ac:dyDescent="0.15">
      <c r="Q223" s="86" t="str">
        <f t="shared" si="9"/>
        <v/>
      </c>
      <c r="T223" s="87" t="str">
        <f t="shared" si="11"/>
        <v/>
      </c>
      <c r="V223" s="87" t="str">
        <f t="shared" si="10"/>
        <v/>
      </c>
    </row>
    <row r="224" spans="17:22" x14ac:dyDescent="0.15">
      <c r="Q224" s="86" t="str">
        <f t="shared" si="9"/>
        <v/>
      </c>
      <c r="T224" s="87" t="str">
        <f t="shared" si="11"/>
        <v/>
      </c>
      <c r="V224" s="87" t="str">
        <f t="shared" si="10"/>
        <v/>
      </c>
    </row>
    <row r="225" spans="17:22" x14ac:dyDescent="0.15">
      <c r="Q225" s="86" t="str">
        <f t="shared" si="9"/>
        <v/>
      </c>
      <c r="T225" s="87" t="str">
        <f t="shared" si="11"/>
        <v/>
      </c>
      <c r="V225" s="87" t="str">
        <f t="shared" si="10"/>
        <v/>
      </c>
    </row>
    <row r="226" spans="17:22" x14ac:dyDescent="0.15">
      <c r="Q226" s="86" t="str">
        <f t="shared" si="9"/>
        <v/>
      </c>
      <c r="T226" s="87" t="str">
        <f t="shared" si="11"/>
        <v/>
      </c>
      <c r="V226" s="87" t="str">
        <f t="shared" si="10"/>
        <v/>
      </c>
    </row>
    <row r="227" spans="17:22" x14ac:dyDescent="0.15">
      <c r="Q227" s="86" t="str">
        <f t="shared" si="9"/>
        <v/>
      </c>
      <c r="T227" s="87" t="str">
        <f t="shared" si="11"/>
        <v/>
      </c>
      <c r="V227" s="87" t="str">
        <f t="shared" si="10"/>
        <v/>
      </c>
    </row>
    <row r="228" spans="17:22" x14ac:dyDescent="0.15">
      <c r="Q228" s="86" t="str">
        <f t="shared" si="9"/>
        <v/>
      </c>
      <c r="T228" s="87" t="str">
        <f t="shared" si="11"/>
        <v/>
      </c>
      <c r="V228" s="87" t="str">
        <f t="shared" si="10"/>
        <v/>
      </c>
    </row>
    <row r="229" spans="17:22" x14ac:dyDescent="0.15">
      <c r="Q229" s="86" t="str">
        <f t="shared" si="9"/>
        <v/>
      </c>
      <c r="T229" s="87" t="str">
        <f t="shared" si="11"/>
        <v/>
      </c>
      <c r="V229" s="87" t="str">
        <f t="shared" si="10"/>
        <v/>
      </c>
    </row>
    <row r="230" spans="17:22" x14ac:dyDescent="0.15">
      <c r="Q230" s="86" t="str">
        <f t="shared" si="9"/>
        <v/>
      </c>
      <c r="T230" s="87" t="str">
        <f t="shared" si="11"/>
        <v/>
      </c>
      <c r="V230" s="87" t="str">
        <f t="shared" si="10"/>
        <v/>
      </c>
    </row>
    <row r="231" spans="17:22" x14ac:dyDescent="0.15">
      <c r="Q231" s="86" t="str">
        <f t="shared" si="9"/>
        <v/>
      </c>
      <c r="T231" s="87" t="str">
        <f t="shared" si="11"/>
        <v/>
      </c>
      <c r="V231" s="87" t="str">
        <f t="shared" si="10"/>
        <v/>
      </c>
    </row>
    <row r="232" spans="17:22" x14ac:dyDescent="0.15">
      <c r="Q232" s="86" t="str">
        <f t="shared" si="9"/>
        <v/>
      </c>
      <c r="T232" s="87" t="str">
        <f t="shared" si="11"/>
        <v/>
      </c>
      <c r="V232" s="87" t="str">
        <f t="shared" si="10"/>
        <v/>
      </c>
    </row>
    <row r="233" spans="17:22" x14ac:dyDescent="0.15">
      <c r="Q233" s="86" t="str">
        <f t="shared" si="9"/>
        <v/>
      </c>
      <c r="T233" s="87" t="str">
        <f t="shared" si="11"/>
        <v/>
      </c>
      <c r="V233" s="87" t="str">
        <f t="shared" si="10"/>
        <v/>
      </c>
    </row>
    <row r="234" spans="17:22" x14ac:dyDescent="0.15">
      <c r="Q234" s="86" t="str">
        <f t="shared" si="9"/>
        <v/>
      </c>
      <c r="T234" s="87" t="str">
        <f t="shared" si="11"/>
        <v/>
      </c>
      <c r="V234" s="87" t="str">
        <f t="shared" si="10"/>
        <v/>
      </c>
    </row>
    <row r="235" spans="17:22" x14ac:dyDescent="0.15">
      <c r="Q235" s="86" t="str">
        <f t="shared" si="9"/>
        <v/>
      </c>
      <c r="T235" s="87" t="str">
        <f t="shared" si="11"/>
        <v/>
      </c>
      <c r="V235" s="87" t="str">
        <f t="shared" si="10"/>
        <v/>
      </c>
    </row>
    <row r="236" spans="17:22" x14ac:dyDescent="0.15">
      <c r="Q236" s="86" t="str">
        <f t="shared" si="9"/>
        <v/>
      </c>
      <c r="T236" s="87" t="str">
        <f t="shared" si="11"/>
        <v/>
      </c>
      <c r="V236" s="87" t="str">
        <f t="shared" si="10"/>
        <v/>
      </c>
    </row>
    <row r="237" spans="17:22" x14ac:dyDescent="0.15">
      <c r="Q237" s="86" t="str">
        <f t="shared" si="9"/>
        <v/>
      </c>
      <c r="T237" s="87" t="str">
        <f t="shared" si="11"/>
        <v/>
      </c>
      <c r="V237" s="87" t="str">
        <f t="shared" si="10"/>
        <v/>
      </c>
    </row>
    <row r="238" spans="17:22" x14ac:dyDescent="0.15">
      <c r="Q238" s="86" t="str">
        <f t="shared" si="9"/>
        <v/>
      </c>
      <c r="T238" s="87" t="str">
        <f t="shared" si="11"/>
        <v/>
      </c>
      <c r="V238" s="87" t="str">
        <f t="shared" si="10"/>
        <v/>
      </c>
    </row>
    <row r="239" spans="17:22" x14ac:dyDescent="0.15">
      <c r="Q239" s="86" t="str">
        <f t="shared" si="9"/>
        <v/>
      </c>
      <c r="T239" s="87" t="str">
        <f t="shared" si="11"/>
        <v/>
      </c>
      <c r="V239" s="87" t="str">
        <f t="shared" si="10"/>
        <v/>
      </c>
    </row>
    <row r="240" spans="17:22" x14ac:dyDescent="0.15">
      <c r="Q240" s="86" t="str">
        <f t="shared" si="9"/>
        <v/>
      </c>
      <c r="T240" s="87" t="str">
        <f t="shared" si="11"/>
        <v/>
      </c>
      <c r="V240" s="87" t="str">
        <f t="shared" si="10"/>
        <v/>
      </c>
    </row>
    <row r="241" spans="17:22" x14ac:dyDescent="0.15">
      <c r="Q241" s="86" t="str">
        <f t="shared" si="9"/>
        <v/>
      </c>
      <c r="T241" s="87" t="str">
        <f t="shared" si="11"/>
        <v/>
      </c>
      <c r="V241" s="87" t="str">
        <f t="shared" si="10"/>
        <v/>
      </c>
    </row>
    <row r="242" spans="17:22" x14ac:dyDescent="0.15">
      <c r="Q242" s="86" t="str">
        <f t="shared" si="9"/>
        <v/>
      </c>
      <c r="T242" s="87" t="str">
        <f t="shared" si="11"/>
        <v/>
      </c>
      <c r="V242" s="87" t="str">
        <f t="shared" si="10"/>
        <v/>
      </c>
    </row>
    <row r="243" spans="17:22" x14ac:dyDescent="0.15">
      <c r="Q243" s="86" t="str">
        <f t="shared" si="9"/>
        <v/>
      </c>
      <c r="T243" s="87" t="str">
        <f t="shared" si="11"/>
        <v/>
      </c>
      <c r="V243" s="87" t="str">
        <f t="shared" si="10"/>
        <v/>
      </c>
    </row>
    <row r="244" spans="17:22" x14ac:dyDescent="0.15">
      <c r="Q244" s="86" t="str">
        <f t="shared" si="9"/>
        <v/>
      </c>
      <c r="T244" s="87" t="str">
        <f t="shared" si="11"/>
        <v/>
      </c>
      <c r="V244" s="87" t="str">
        <f t="shared" si="10"/>
        <v/>
      </c>
    </row>
    <row r="245" spans="17:22" x14ac:dyDescent="0.15">
      <c r="Q245" s="86" t="str">
        <f t="shared" si="9"/>
        <v/>
      </c>
      <c r="T245" s="87" t="str">
        <f t="shared" si="11"/>
        <v/>
      </c>
      <c r="V245" s="87" t="str">
        <f t="shared" si="10"/>
        <v/>
      </c>
    </row>
    <row r="246" spans="17:22" x14ac:dyDescent="0.15">
      <c r="Q246" s="86" t="str">
        <f t="shared" si="9"/>
        <v/>
      </c>
      <c r="T246" s="87" t="str">
        <f t="shared" si="11"/>
        <v/>
      </c>
      <c r="V246" s="87" t="str">
        <f t="shared" si="10"/>
        <v/>
      </c>
    </row>
    <row r="247" spans="17:22" x14ac:dyDescent="0.15">
      <c r="Q247" s="86" t="str">
        <f t="shared" si="9"/>
        <v/>
      </c>
      <c r="T247" s="87" t="str">
        <f t="shared" si="11"/>
        <v/>
      </c>
      <c r="V247" s="87" t="str">
        <f t="shared" si="10"/>
        <v/>
      </c>
    </row>
    <row r="248" spans="17:22" x14ac:dyDescent="0.15">
      <c r="Q248" s="86" t="str">
        <f t="shared" si="9"/>
        <v/>
      </c>
      <c r="T248" s="87" t="str">
        <f t="shared" si="11"/>
        <v/>
      </c>
      <c r="V248" s="87" t="str">
        <f t="shared" si="10"/>
        <v/>
      </c>
    </row>
    <row r="249" spans="17:22" x14ac:dyDescent="0.15">
      <c r="Q249" s="86" t="str">
        <f t="shared" si="9"/>
        <v/>
      </c>
      <c r="T249" s="87" t="str">
        <f t="shared" si="11"/>
        <v/>
      </c>
      <c r="V249" s="87" t="str">
        <f t="shared" si="10"/>
        <v/>
      </c>
    </row>
    <row r="250" spans="17:22" x14ac:dyDescent="0.15">
      <c r="Q250" s="86" t="str">
        <f t="shared" si="9"/>
        <v/>
      </c>
      <c r="T250" s="87" t="str">
        <f t="shared" si="11"/>
        <v/>
      </c>
      <c r="V250" s="87" t="str">
        <f t="shared" si="10"/>
        <v/>
      </c>
    </row>
    <row r="251" spans="17:22" x14ac:dyDescent="0.15">
      <c r="Q251" s="86" t="str">
        <f t="shared" si="9"/>
        <v/>
      </c>
      <c r="T251" s="87" t="str">
        <f t="shared" si="11"/>
        <v/>
      </c>
      <c r="V251" s="87" t="str">
        <f t="shared" si="10"/>
        <v/>
      </c>
    </row>
    <row r="252" spans="17:22" x14ac:dyDescent="0.15">
      <c r="Q252" s="86" t="str">
        <f t="shared" si="9"/>
        <v/>
      </c>
      <c r="T252" s="87" t="str">
        <f t="shared" si="11"/>
        <v/>
      </c>
      <c r="V252" s="87" t="str">
        <f t="shared" si="10"/>
        <v/>
      </c>
    </row>
    <row r="253" spans="17:22" x14ac:dyDescent="0.15">
      <c r="Q253" s="86" t="str">
        <f t="shared" si="9"/>
        <v/>
      </c>
      <c r="T253" s="87" t="str">
        <f t="shared" si="11"/>
        <v/>
      </c>
      <c r="V253" s="87" t="str">
        <f t="shared" si="10"/>
        <v/>
      </c>
    </row>
    <row r="254" spans="17:22" x14ac:dyDescent="0.15">
      <c r="Q254" s="86" t="str">
        <f t="shared" si="9"/>
        <v/>
      </c>
      <c r="T254" s="87" t="str">
        <f t="shared" si="11"/>
        <v/>
      </c>
      <c r="V254" s="87" t="str">
        <f t="shared" si="10"/>
        <v/>
      </c>
    </row>
    <row r="255" spans="17:22" x14ac:dyDescent="0.15">
      <c r="Q255" s="86" t="str">
        <f t="shared" si="9"/>
        <v/>
      </c>
      <c r="T255" s="87" t="str">
        <f t="shared" si="11"/>
        <v/>
      </c>
      <c r="V255" s="87" t="str">
        <f t="shared" si="10"/>
        <v/>
      </c>
    </row>
    <row r="256" spans="17:22" x14ac:dyDescent="0.15">
      <c r="Q256" s="86" t="str">
        <f t="shared" ref="Q256:Q319" si="12">IF(OR(O256="",P256=""),"",AVERAGE(O256,P256))</f>
        <v/>
      </c>
      <c r="T256" s="87" t="str">
        <f t="shared" si="11"/>
        <v/>
      </c>
      <c r="V256" s="87" t="str">
        <f t="shared" ref="V256:V319" si="13">IF(OR(N256="",U256="",T256=""),"",U256/N256*T256)</f>
        <v/>
      </c>
    </row>
    <row r="257" spans="17:22" x14ac:dyDescent="0.15">
      <c r="Q257" s="86" t="str">
        <f t="shared" si="12"/>
        <v/>
      </c>
      <c r="T257" s="87" t="str">
        <f t="shared" si="11"/>
        <v/>
      </c>
      <c r="V257" s="87" t="str">
        <f t="shared" si="13"/>
        <v/>
      </c>
    </row>
    <row r="258" spans="17:22" x14ac:dyDescent="0.15">
      <c r="Q258" s="86" t="str">
        <f t="shared" si="12"/>
        <v/>
      </c>
      <c r="T258" s="87" t="str">
        <f t="shared" si="11"/>
        <v/>
      </c>
      <c r="V258" s="87" t="str">
        <f t="shared" si="13"/>
        <v/>
      </c>
    </row>
    <row r="259" spans="17:22" x14ac:dyDescent="0.15">
      <c r="Q259" s="86" t="str">
        <f t="shared" si="12"/>
        <v/>
      </c>
      <c r="T259" s="87" t="str">
        <f t="shared" si="11"/>
        <v/>
      </c>
      <c r="V259" s="87" t="str">
        <f t="shared" si="13"/>
        <v/>
      </c>
    </row>
    <row r="260" spans="17:22" x14ac:dyDescent="0.15">
      <c r="Q260" s="86" t="str">
        <f t="shared" si="12"/>
        <v/>
      </c>
      <c r="T260" s="87" t="str">
        <f t="shared" si="11"/>
        <v/>
      </c>
      <c r="V260" s="87" t="str">
        <f t="shared" si="13"/>
        <v/>
      </c>
    </row>
    <row r="261" spans="17:22" x14ac:dyDescent="0.15">
      <c r="Q261" s="86" t="str">
        <f t="shared" si="12"/>
        <v/>
      </c>
      <c r="T261" s="87" t="str">
        <f t="shared" ref="T261:T324" si="14">IF(H261="","",IF(OR(H261="GREEN",H261="GK"),IF(S261&gt;=$AX$2,VLOOKUP(S261,$AX$2:$AY$10,2,1),""),IF(S261&gt;=$AZ$2,VLOOKUP(S261,$AZ$2:$BA$10,2,1),"")))</f>
        <v/>
      </c>
      <c r="V261" s="87" t="str">
        <f t="shared" si="13"/>
        <v/>
      </c>
    </row>
    <row r="262" spans="17:22" x14ac:dyDescent="0.15">
      <c r="Q262" s="86" t="str">
        <f t="shared" si="12"/>
        <v/>
      </c>
      <c r="T262" s="87" t="str">
        <f t="shared" si="14"/>
        <v/>
      </c>
      <c r="V262" s="87" t="str">
        <f t="shared" si="13"/>
        <v/>
      </c>
    </row>
    <row r="263" spans="17:22" x14ac:dyDescent="0.15">
      <c r="Q263" s="86" t="str">
        <f t="shared" si="12"/>
        <v/>
      </c>
      <c r="T263" s="87" t="str">
        <f t="shared" si="14"/>
        <v/>
      </c>
      <c r="V263" s="87" t="str">
        <f t="shared" si="13"/>
        <v/>
      </c>
    </row>
    <row r="264" spans="17:22" x14ac:dyDescent="0.15">
      <c r="Q264" s="86" t="str">
        <f t="shared" si="12"/>
        <v/>
      </c>
      <c r="T264" s="87" t="str">
        <f t="shared" si="14"/>
        <v/>
      </c>
      <c r="V264" s="87" t="str">
        <f t="shared" si="13"/>
        <v/>
      </c>
    </row>
    <row r="265" spans="17:22" x14ac:dyDescent="0.15">
      <c r="Q265" s="86" t="str">
        <f t="shared" si="12"/>
        <v/>
      </c>
      <c r="T265" s="87" t="str">
        <f t="shared" si="14"/>
        <v/>
      </c>
      <c r="V265" s="87" t="str">
        <f t="shared" si="13"/>
        <v/>
      </c>
    </row>
    <row r="266" spans="17:22" x14ac:dyDescent="0.15">
      <c r="Q266" s="86" t="str">
        <f t="shared" si="12"/>
        <v/>
      </c>
      <c r="T266" s="87" t="str">
        <f t="shared" si="14"/>
        <v/>
      </c>
      <c r="V266" s="87" t="str">
        <f t="shared" si="13"/>
        <v/>
      </c>
    </row>
    <row r="267" spans="17:22" x14ac:dyDescent="0.15">
      <c r="Q267" s="86" t="str">
        <f t="shared" si="12"/>
        <v/>
      </c>
      <c r="T267" s="87" t="str">
        <f t="shared" si="14"/>
        <v/>
      </c>
      <c r="V267" s="87" t="str">
        <f t="shared" si="13"/>
        <v/>
      </c>
    </row>
    <row r="268" spans="17:22" x14ac:dyDescent="0.15">
      <c r="Q268" s="86" t="str">
        <f t="shared" si="12"/>
        <v/>
      </c>
      <c r="T268" s="87" t="str">
        <f t="shared" si="14"/>
        <v/>
      </c>
      <c r="V268" s="87" t="str">
        <f t="shared" si="13"/>
        <v/>
      </c>
    </row>
    <row r="269" spans="17:22" x14ac:dyDescent="0.15">
      <c r="Q269" s="86" t="str">
        <f t="shared" si="12"/>
        <v/>
      </c>
      <c r="T269" s="87" t="str">
        <f t="shared" si="14"/>
        <v/>
      </c>
      <c r="V269" s="87" t="str">
        <f t="shared" si="13"/>
        <v/>
      </c>
    </row>
    <row r="270" spans="17:22" x14ac:dyDescent="0.15">
      <c r="Q270" s="86" t="str">
        <f t="shared" si="12"/>
        <v/>
      </c>
      <c r="T270" s="87" t="str">
        <f t="shared" si="14"/>
        <v/>
      </c>
      <c r="V270" s="87" t="str">
        <f t="shared" si="13"/>
        <v/>
      </c>
    </row>
    <row r="271" spans="17:22" x14ac:dyDescent="0.15">
      <c r="Q271" s="86" t="str">
        <f t="shared" si="12"/>
        <v/>
      </c>
      <c r="T271" s="87" t="str">
        <f t="shared" si="14"/>
        <v/>
      </c>
      <c r="V271" s="87" t="str">
        <f t="shared" si="13"/>
        <v/>
      </c>
    </row>
    <row r="272" spans="17:22" x14ac:dyDescent="0.15">
      <c r="Q272" s="86" t="str">
        <f t="shared" si="12"/>
        <v/>
      </c>
      <c r="T272" s="87" t="str">
        <f t="shared" si="14"/>
        <v/>
      </c>
      <c r="V272" s="87" t="str">
        <f t="shared" si="13"/>
        <v/>
      </c>
    </row>
    <row r="273" spans="17:22" x14ac:dyDescent="0.15">
      <c r="Q273" s="86" t="str">
        <f t="shared" si="12"/>
        <v/>
      </c>
      <c r="T273" s="87" t="str">
        <f t="shared" si="14"/>
        <v/>
      </c>
      <c r="V273" s="87" t="str">
        <f t="shared" si="13"/>
        <v/>
      </c>
    </row>
    <row r="274" spans="17:22" x14ac:dyDescent="0.15">
      <c r="Q274" s="86" t="str">
        <f t="shared" si="12"/>
        <v/>
      </c>
      <c r="T274" s="87" t="str">
        <f t="shared" si="14"/>
        <v/>
      </c>
      <c r="V274" s="87" t="str">
        <f t="shared" si="13"/>
        <v/>
      </c>
    </row>
    <row r="275" spans="17:22" x14ac:dyDescent="0.15">
      <c r="Q275" s="86" t="str">
        <f t="shared" si="12"/>
        <v/>
      </c>
      <c r="T275" s="87" t="str">
        <f t="shared" si="14"/>
        <v/>
      </c>
      <c r="V275" s="87" t="str">
        <f t="shared" si="13"/>
        <v/>
      </c>
    </row>
    <row r="276" spans="17:22" x14ac:dyDescent="0.15">
      <c r="Q276" s="86" t="str">
        <f t="shared" si="12"/>
        <v/>
      </c>
      <c r="T276" s="87" t="str">
        <f t="shared" si="14"/>
        <v/>
      </c>
      <c r="V276" s="87" t="str">
        <f t="shared" si="13"/>
        <v/>
      </c>
    </row>
    <row r="277" spans="17:22" x14ac:dyDescent="0.15">
      <c r="Q277" s="86" t="str">
        <f t="shared" si="12"/>
        <v/>
      </c>
      <c r="T277" s="87" t="str">
        <f t="shared" si="14"/>
        <v/>
      </c>
      <c r="V277" s="87" t="str">
        <f t="shared" si="13"/>
        <v/>
      </c>
    </row>
    <row r="278" spans="17:22" x14ac:dyDescent="0.15">
      <c r="Q278" s="86" t="str">
        <f t="shared" si="12"/>
        <v/>
      </c>
      <c r="T278" s="87" t="str">
        <f t="shared" si="14"/>
        <v/>
      </c>
      <c r="V278" s="87" t="str">
        <f t="shared" si="13"/>
        <v/>
      </c>
    </row>
    <row r="279" spans="17:22" x14ac:dyDescent="0.15">
      <c r="Q279" s="86" t="str">
        <f t="shared" si="12"/>
        <v/>
      </c>
      <c r="T279" s="87" t="str">
        <f t="shared" si="14"/>
        <v/>
      </c>
      <c r="V279" s="87" t="str">
        <f t="shared" si="13"/>
        <v/>
      </c>
    </row>
    <row r="280" spans="17:22" x14ac:dyDescent="0.15">
      <c r="Q280" s="86" t="str">
        <f t="shared" si="12"/>
        <v/>
      </c>
      <c r="T280" s="87" t="str">
        <f t="shared" si="14"/>
        <v/>
      </c>
      <c r="V280" s="87" t="str">
        <f t="shared" si="13"/>
        <v/>
      </c>
    </row>
    <row r="281" spans="17:22" x14ac:dyDescent="0.15">
      <c r="Q281" s="86" t="str">
        <f t="shared" si="12"/>
        <v/>
      </c>
      <c r="T281" s="87" t="str">
        <f t="shared" si="14"/>
        <v/>
      </c>
      <c r="V281" s="87" t="str">
        <f t="shared" si="13"/>
        <v/>
      </c>
    </row>
    <row r="282" spans="17:22" x14ac:dyDescent="0.15">
      <c r="Q282" s="86" t="str">
        <f t="shared" si="12"/>
        <v/>
      </c>
      <c r="T282" s="87" t="str">
        <f t="shared" si="14"/>
        <v/>
      </c>
      <c r="V282" s="87" t="str">
        <f t="shared" si="13"/>
        <v/>
      </c>
    </row>
    <row r="283" spans="17:22" x14ac:dyDescent="0.15">
      <c r="Q283" s="86" t="str">
        <f t="shared" si="12"/>
        <v/>
      </c>
      <c r="T283" s="87" t="str">
        <f t="shared" si="14"/>
        <v/>
      </c>
      <c r="V283" s="87" t="str">
        <f t="shared" si="13"/>
        <v/>
      </c>
    </row>
    <row r="284" spans="17:22" x14ac:dyDescent="0.15">
      <c r="Q284" s="86" t="str">
        <f t="shared" si="12"/>
        <v/>
      </c>
      <c r="T284" s="87" t="str">
        <f t="shared" si="14"/>
        <v/>
      </c>
      <c r="V284" s="87" t="str">
        <f t="shared" si="13"/>
        <v/>
      </c>
    </row>
    <row r="285" spans="17:22" x14ac:dyDescent="0.15">
      <c r="Q285" s="86" t="str">
        <f t="shared" si="12"/>
        <v/>
      </c>
      <c r="T285" s="87" t="str">
        <f t="shared" si="14"/>
        <v/>
      </c>
      <c r="V285" s="87" t="str">
        <f t="shared" si="13"/>
        <v/>
      </c>
    </row>
    <row r="286" spans="17:22" x14ac:dyDescent="0.15">
      <c r="Q286" s="86" t="str">
        <f t="shared" si="12"/>
        <v/>
      </c>
      <c r="T286" s="87" t="str">
        <f t="shared" si="14"/>
        <v/>
      </c>
      <c r="V286" s="87" t="str">
        <f t="shared" si="13"/>
        <v/>
      </c>
    </row>
    <row r="287" spans="17:22" x14ac:dyDescent="0.15">
      <c r="Q287" s="86" t="str">
        <f t="shared" si="12"/>
        <v/>
      </c>
      <c r="T287" s="87" t="str">
        <f t="shared" si="14"/>
        <v/>
      </c>
      <c r="V287" s="87" t="str">
        <f t="shared" si="13"/>
        <v/>
      </c>
    </row>
    <row r="288" spans="17:22" x14ac:dyDescent="0.15">
      <c r="Q288" s="86" t="str">
        <f t="shared" si="12"/>
        <v/>
      </c>
      <c r="T288" s="87" t="str">
        <f t="shared" si="14"/>
        <v/>
      </c>
      <c r="V288" s="87" t="str">
        <f t="shared" si="13"/>
        <v/>
      </c>
    </row>
    <row r="289" spans="17:22" x14ac:dyDescent="0.15">
      <c r="Q289" s="86" t="str">
        <f t="shared" si="12"/>
        <v/>
      </c>
      <c r="T289" s="87" t="str">
        <f t="shared" si="14"/>
        <v/>
      </c>
      <c r="V289" s="87" t="str">
        <f t="shared" si="13"/>
        <v/>
      </c>
    </row>
    <row r="290" spans="17:22" x14ac:dyDescent="0.15">
      <c r="Q290" s="86" t="str">
        <f t="shared" si="12"/>
        <v/>
      </c>
      <c r="T290" s="87" t="str">
        <f t="shared" si="14"/>
        <v/>
      </c>
      <c r="V290" s="87" t="str">
        <f t="shared" si="13"/>
        <v/>
      </c>
    </row>
    <row r="291" spans="17:22" x14ac:dyDescent="0.15">
      <c r="Q291" s="86" t="str">
        <f t="shared" si="12"/>
        <v/>
      </c>
      <c r="T291" s="87" t="str">
        <f t="shared" si="14"/>
        <v/>
      </c>
      <c r="V291" s="87" t="str">
        <f t="shared" si="13"/>
        <v/>
      </c>
    </row>
    <row r="292" spans="17:22" x14ac:dyDescent="0.15">
      <c r="Q292" s="86" t="str">
        <f t="shared" si="12"/>
        <v/>
      </c>
      <c r="T292" s="87" t="str">
        <f t="shared" si="14"/>
        <v/>
      </c>
      <c r="V292" s="87" t="str">
        <f t="shared" si="13"/>
        <v/>
      </c>
    </row>
    <row r="293" spans="17:22" x14ac:dyDescent="0.15">
      <c r="Q293" s="86" t="str">
        <f t="shared" si="12"/>
        <v/>
      </c>
      <c r="T293" s="87" t="str">
        <f t="shared" si="14"/>
        <v/>
      </c>
      <c r="V293" s="87" t="str">
        <f t="shared" si="13"/>
        <v/>
      </c>
    </row>
    <row r="294" spans="17:22" x14ac:dyDescent="0.15">
      <c r="Q294" s="86" t="str">
        <f t="shared" si="12"/>
        <v/>
      </c>
      <c r="T294" s="87" t="str">
        <f t="shared" si="14"/>
        <v/>
      </c>
      <c r="V294" s="87" t="str">
        <f t="shared" si="13"/>
        <v/>
      </c>
    </row>
    <row r="295" spans="17:22" x14ac:dyDescent="0.15">
      <c r="Q295" s="86" t="str">
        <f t="shared" si="12"/>
        <v/>
      </c>
      <c r="T295" s="87" t="str">
        <f t="shared" si="14"/>
        <v/>
      </c>
      <c r="V295" s="87" t="str">
        <f t="shared" si="13"/>
        <v/>
      </c>
    </row>
    <row r="296" spans="17:22" x14ac:dyDescent="0.15">
      <c r="Q296" s="86" t="str">
        <f t="shared" si="12"/>
        <v/>
      </c>
      <c r="T296" s="87" t="str">
        <f t="shared" si="14"/>
        <v/>
      </c>
      <c r="V296" s="87" t="str">
        <f t="shared" si="13"/>
        <v/>
      </c>
    </row>
    <row r="297" spans="17:22" x14ac:dyDescent="0.15">
      <c r="Q297" s="86" t="str">
        <f t="shared" si="12"/>
        <v/>
      </c>
      <c r="T297" s="87" t="str">
        <f t="shared" si="14"/>
        <v/>
      </c>
      <c r="V297" s="87" t="str">
        <f t="shared" si="13"/>
        <v/>
      </c>
    </row>
    <row r="298" spans="17:22" x14ac:dyDescent="0.15">
      <c r="Q298" s="86" t="str">
        <f t="shared" si="12"/>
        <v/>
      </c>
      <c r="T298" s="87" t="str">
        <f t="shared" si="14"/>
        <v/>
      </c>
      <c r="V298" s="87" t="str">
        <f t="shared" si="13"/>
        <v/>
      </c>
    </row>
    <row r="299" spans="17:22" x14ac:dyDescent="0.15">
      <c r="Q299" s="86" t="str">
        <f t="shared" si="12"/>
        <v/>
      </c>
      <c r="T299" s="87" t="str">
        <f t="shared" si="14"/>
        <v/>
      </c>
      <c r="V299" s="87" t="str">
        <f t="shared" si="13"/>
        <v/>
      </c>
    </row>
    <row r="300" spans="17:22" x14ac:dyDescent="0.15">
      <c r="Q300" s="86" t="str">
        <f t="shared" si="12"/>
        <v/>
      </c>
      <c r="T300" s="87" t="str">
        <f t="shared" si="14"/>
        <v/>
      </c>
      <c r="V300" s="87" t="str">
        <f t="shared" si="13"/>
        <v/>
      </c>
    </row>
    <row r="301" spans="17:22" x14ac:dyDescent="0.15">
      <c r="Q301" s="86" t="str">
        <f t="shared" si="12"/>
        <v/>
      </c>
      <c r="T301" s="87" t="str">
        <f t="shared" si="14"/>
        <v/>
      </c>
      <c r="V301" s="87" t="str">
        <f t="shared" si="13"/>
        <v/>
      </c>
    </row>
    <row r="302" spans="17:22" x14ac:dyDescent="0.15">
      <c r="Q302" s="86" t="str">
        <f t="shared" si="12"/>
        <v/>
      </c>
      <c r="T302" s="87" t="str">
        <f t="shared" si="14"/>
        <v/>
      </c>
      <c r="V302" s="87" t="str">
        <f t="shared" si="13"/>
        <v/>
      </c>
    </row>
    <row r="303" spans="17:22" x14ac:dyDescent="0.15">
      <c r="Q303" s="86" t="str">
        <f t="shared" si="12"/>
        <v/>
      </c>
      <c r="T303" s="87" t="str">
        <f t="shared" si="14"/>
        <v/>
      </c>
      <c r="V303" s="87" t="str">
        <f t="shared" si="13"/>
        <v/>
      </c>
    </row>
    <row r="304" spans="17:22" x14ac:dyDescent="0.15">
      <c r="Q304" s="86" t="str">
        <f t="shared" si="12"/>
        <v/>
      </c>
      <c r="T304" s="87" t="str">
        <f t="shared" si="14"/>
        <v/>
      </c>
      <c r="V304" s="87" t="str">
        <f t="shared" si="13"/>
        <v/>
      </c>
    </row>
    <row r="305" spans="17:22" x14ac:dyDescent="0.15">
      <c r="Q305" s="86" t="str">
        <f t="shared" si="12"/>
        <v/>
      </c>
      <c r="T305" s="87" t="str">
        <f t="shared" si="14"/>
        <v/>
      </c>
      <c r="V305" s="87" t="str">
        <f t="shared" si="13"/>
        <v/>
      </c>
    </row>
    <row r="306" spans="17:22" x14ac:dyDescent="0.15">
      <c r="Q306" s="86" t="str">
        <f t="shared" si="12"/>
        <v/>
      </c>
      <c r="T306" s="87" t="str">
        <f t="shared" si="14"/>
        <v/>
      </c>
      <c r="V306" s="87" t="str">
        <f t="shared" si="13"/>
        <v/>
      </c>
    </row>
    <row r="307" spans="17:22" x14ac:dyDescent="0.15">
      <c r="Q307" s="86" t="str">
        <f t="shared" si="12"/>
        <v/>
      </c>
      <c r="T307" s="87" t="str">
        <f t="shared" si="14"/>
        <v/>
      </c>
      <c r="V307" s="87" t="str">
        <f t="shared" si="13"/>
        <v/>
      </c>
    </row>
    <row r="308" spans="17:22" x14ac:dyDescent="0.15">
      <c r="Q308" s="86" t="str">
        <f t="shared" si="12"/>
        <v/>
      </c>
      <c r="T308" s="87" t="str">
        <f t="shared" si="14"/>
        <v/>
      </c>
      <c r="V308" s="87" t="str">
        <f t="shared" si="13"/>
        <v/>
      </c>
    </row>
    <row r="309" spans="17:22" x14ac:dyDescent="0.15">
      <c r="Q309" s="86" t="str">
        <f t="shared" si="12"/>
        <v/>
      </c>
      <c r="T309" s="87" t="str">
        <f t="shared" si="14"/>
        <v/>
      </c>
      <c r="V309" s="87" t="str">
        <f t="shared" si="13"/>
        <v/>
      </c>
    </row>
    <row r="310" spans="17:22" x14ac:dyDescent="0.15">
      <c r="Q310" s="86" t="str">
        <f t="shared" si="12"/>
        <v/>
      </c>
      <c r="T310" s="87" t="str">
        <f t="shared" si="14"/>
        <v/>
      </c>
      <c r="V310" s="87" t="str">
        <f t="shared" si="13"/>
        <v/>
      </c>
    </row>
    <row r="311" spans="17:22" x14ac:dyDescent="0.15">
      <c r="Q311" s="86" t="str">
        <f t="shared" si="12"/>
        <v/>
      </c>
      <c r="T311" s="87" t="str">
        <f t="shared" si="14"/>
        <v/>
      </c>
      <c r="V311" s="87" t="str">
        <f t="shared" si="13"/>
        <v/>
      </c>
    </row>
    <row r="312" spans="17:22" x14ac:dyDescent="0.15">
      <c r="Q312" s="86" t="str">
        <f t="shared" si="12"/>
        <v/>
      </c>
      <c r="T312" s="87" t="str">
        <f t="shared" si="14"/>
        <v/>
      </c>
      <c r="V312" s="87" t="str">
        <f t="shared" si="13"/>
        <v/>
      </c>
    </row>
    <row r="313" spans="17:22" x14ac:dyDescent="0.15">
      <c r="Q313" s="86" t="str">
        <f t="shared" si="12"/>
        <v/>
      </c>
      <c r="T313" s="87" t="str">
        <f t="shared" si="14"/>
        <v/>
      </c>
      <c r="V313" s="87" t="str">
        <f t="shared" si="13"/>
        <v/>
      </c>
    </row>
    <row r="314" spans="17:22" x14ac:dyDescent="0.15">
      <c r="Q314" s="86" t="str">
        <f t="shared" si="12"/>
        <v/>
      </c>
      <c r="T314" s="87" t="str">
        <f t="shared" si="14"/>
        <v/>
      </c>
      <c r="V314" s="87" t="str">
        <f t="shared" si="13"/>
        <v/>
      </c>
    </row>
    <row r="315" spans="17:22" x14ac:dyDescent="0.15">
      <c r="Q315" s="86" t="str">
        <f t="shared" si="12"/>
        <v/>
      </c>
      <c r="T315" s="87" t="str">
        <f t="shared" si="14"/>
        <v/>
      </c>
      <c r="V315" s="87" t="str">
        <f t="shared" si="13"/>
        <v/>
      </c>
    </row>
    <row r="316" spans="17:22" x14ac:dyDescent="0.15">
      <c r="Q316" s="86" t="str">
        <f t="shared" si="12"/>
        <v/>
      </c>
      <c r="T316" s="87" t="str">
        <f t="shared" si="14"/>
        <v/>
      </c>
      <c r="V316" s="87" t="str">
        <f t="shared" si="13"/>
        <v/>
      </c>
    </row>
    <row r="317" spans="17:22" x14ac:dyDescent="0.15">
      <c r="Q317" s="86" t="str">
        <f t="shared" si="12"/>
        <v/>
      </c>
      <c r="T317" s="87" t="str">
        <f t="shared" si="14"/>
        <v/>
      </c>
      <c r="V317" s="87" t="str">
        <f t="shared" si="13"/>
        <v/>
      </c>
    </row>
    <row r="318" spans="17:22" x14ac:dyDescent="0.15">
      <c r="Q318" s="86" t="str">
        <f t="shared" si="12"/>
        <v/>
      </c>
      <c r="T318" s="87" t="str">
        <f t="shared" si="14"/>
        <v/>
      </c>
      <c r="V318" s="87" t="str">
        <f t="shared" si="13"/>
        <v/>
      </c>
    </row>
    <row r="319" spans="17:22" x14ac:dyDescent="0.15">
      <c r="Q319" s="86" t="str">
        <f t="shared" si="12"/>
        <v/>
      </c>
      <c r="T319" s="87" t="str">
        <f t="shared" si="14"/>
        <v/>
      </c>
      <c r="V319" s="87" t="str">
        <f t="shared" si="13"/>
        <v/>
      </c>
    </row>
    <row r="320" spans="17:22" x14ac:dyDescent="0.15">
      <c r="Q320" s="86" t="str">
        <f t="shared" ref="Q320:Q359" si="15">IF(OR(O320="",P320=""),"",AVERAGE(O320,P320))</f>
        <v/>
      </c>
      <c r="T320" s="87" t="str">
        <f t="shared" si="14"/>
        <v/>
      </c>
      <c r="V320" s="87" t="str">
        <f t="shared" ref="V320:V367" si="16">IF(OR(N320="",U320="",T320=""),"",U320/N320*T320)</f>
        <v/>
      </c>
    </row>
    <row r="321" spans="17:22" x14ac:dyDescent="0.15">
      <c r="Q321" s="86" t="str">
        <f t="shared" si="15"/>
        <v/>
      </c>
      <c r="T321" s="87" t="str">
        <f t="shared" si="14"/>
        <v/>
      </c>
      <c r="V321" s="87" t="str">
        <f t="shared" si="16"/>
        <v/>
      </c>
    </row>
    <row r="322" spans="17:22" x14ac:dyDescent="0.15">
      <c r="Q322" s="86" t="str">
        <f t="shared" si="15"/>
        <v/>
      </c>
      <c r="T322" s="87" t="str">
        <f t="shared" si="14"/>
        <v/>
      </c>
      <c r="V322" s="87" t="str">
        <f t="shared" si="16"/>
        <v/>
      </c>
    </row>
    <row r="323" spans="17:22" x14ac:dyDescent="0.15">
      <c r="Q323" s="86" t="str">
        <f t="shared" si="15"/>
        <v/>
      </c>
      <c r="T323" s="87" t="str">
        <f t="shared" si="14"/>
        <v/>
      </c>
      <c r="V323" s="87" t="str">
        <f t="shared" si="16"/>
        <v/>
      </c>
    </row>
    <row r="324" spans="17:22" x14ac:dyDescent="0.15">
      <c r="Q324" s="86" t="str">
        <f t="shared" si="15"/>
        <v/>
      </c>
      <c r="T324" s="87" t="str">
        <f t="shared" si="14"/>
        <v/>
      </c>
      <c r="V324" s="87" t="str">
        <f t="shared" si="16"/>
        <v/>
      </c>
    </row>
    <row r="325" spans="17:22" x14ac:dyDescent="0.15">
      <c r="Q325" s="86" t="str">
        <f t="shared" si="15"/>
        <v/>
      </c>
      <c r="T325" s="87" t="str">
        <f t="shared" ref="T325:T387" si="17">IF(H325="","",IF(OR(H325="GREEN",H325="GK"),IF(S325&gt;=$AX$2,VLOOKUP(S325,$AX$2:$AY$10,2,1),""),IF(S325&gt;=$AZ$2,VLOOKUP(S325,$AZ$2:$BA$10,2,1),"")))</f>
        <v/>
      </c>
      <c r="V325" s="87" t="str">
        <f t="shared" si="16"/>
        <v/>
      </c>
    </row>
    <row r="326" spans="17:22" x14ac:dyDescent="0.15">
      <c r="Q326" s="86" t="str">
        <f t="shared" si="15"/>
        <v/>
      </c>
      <c r="T326" s="87" t="str">
        <f t="shared" si="17"/>
        <v/>
      </c>
      <c r="V326" s="87" t="str">
        <f t="shared" si="16"/>
        <v/>
      </c>
    </row>
    <row r="327" spans="17:22" x14ac:dyDescent="0.15">
      <c r="Q327" s="86" t="str">
        <f t="shared" si="15"/>
        <v/>
      </c>
      <c r="T327" s="87" t="str">
        <f t="shared" si="17"/>
        <v/>
      </c>
      <c r="V327" s="87" t="str">
        <f t="shared" si="16"/>
        <v/>
      </c>
    </row>
    <row r="328" spans="17:22" x14ac:dyDescent="0.15">
      <c r="Q328" s="86" t="str">
        <f t="shared" si="15"/>
        <v/>
      </c>
      <c r="T328" s="87" t="str">
        <f t="shared" si="17"/>
        <v/>
      </c>
      <c r="V328" s="87" t="str">
        <f t="shared" si="16"/>
        <v/>
      </c>
    </row>
    <row r="329" spans="17:22" x14ac:dyDescent="0.15">
      <c r="Q329" s="86" t="str">
        <f t="shared" si="15"/>
        <v/>
      </c>
      <c r="T329" s="87" t="str">
        <f t="shared" si="17"/>
        <v/>
      </c>
      <c r="V329" s="87" t="str">
        <f t="shared" si="16"/>
        <v/>
      </c>
    </row>
    <row r="330" spans="17:22" x14ac:dyDescent="0.15">
      <c r="Q330" s="86" t="str">
        <f t="shared" si="15"/>
        <v/>
      </c>
      <c r="T330" s="87" t="str">
        <f t="shared" si="17"/>
        <v/>
      </c>
      <c r="V330" s="87" t="str">
        <f t="shared" si="16"/>
        <v/>
      </c>
    </row>
    <row r="331" spans="17:22" x14ac:dyDescent="0.15">
      <c r="Q331" s="86" t="str">
        <f t="shared" si="15"/>
        <v/>
      </c>
      <c r="T331" s="87" t="str">
        <f t="shared" si="17"/>
        <v/>
      </c>
      <c r="V331" s="87" t="str">
        <f t="shared" si="16"/>
        <v/>
      </c>
    </row>
    <row r="332" spans="17:22" x14ac:dyDescent="0.15">
      <c r="Q332" s="86" t="str">
        <f t="shared" si="15"/>
        <v/>
      </c>
      <c r="T332" s="87" t="str">
        <f t="shared" si="17"/>
        <v/>
      </c>
      <c r="V332" s="87" t="str">
        <f t="shared" si="16"/>
        <v/>
      </c>
    </row>
    <row r="333" spans="17:22" x14ac:dyDescent="0.15">
      <c r="Q333" s="86" t="str">
        <f t="shared" si="15"/>
        <v/>
      </c>
      <c r="T333" s="87" t="str">
        <f t="shared" si="17"/>
        <v/>
      </c>
      <c r="V333" s="87" t="str">
        <f t="shared" si="16"/>
        <v/>
      </c>
    </row>
    <row r="334" spans="17:22" x14ac:dyDescent="0.15">
      <c r="Q334" s="86" t="str">
        <f t="shared" si="15"/>
        <v/>
      </c>
      <c r="T334" s="87" t="str">
        <f t="shared" si="17"/>
        <v/>
      </c>
      <c r="V334" s="87" t="str">
        <f t="shared" si="16"/>
        <v/>
      </c>
    </row>
    <row r="335" spans="17:22" x14ac:dyDescent="0.15">
      <c r="Q335" s="86" t="str">
        <f t="shared" si="15"/>
        <v/>
      </c>
      <c r="T335" s="87" t="str">
        <f t="shared" si="17"/>
        <v/>
      </c>
      <c r="V335" s="87" t="str">
        <f t="shared" si="16"/>
        <v/>
      </c>
    </row>
    <row r="336" spans="17:22" x14ac:dyDescent="0.15">
      <c r="Q336" s="86" t="str">
        <f t="shared" si="15"/>
        <v/>
      </c>
      <c r="T336" s="87" t="str">
        <f t="shared" si="17"/>
        <v/>
      </c>
      <c r="V336" s="87" t="str">
        <f t="shared" si="16"/>
        <v/>
      </c>
    </row>
    <row r="337" spans="17:22" x14ac:dyDescent="0.15">
      <c r="Q337" s="86" t="str">
        <f t="shared" si="15"/>
        <v/>
      </c>
      <c r="T337" s="87" t="str">
        <f t="shared" si="17"/>
        <v/>
      </c>
      <c r="V337" s="87" t="str">
        <f t="shared" si="16"/>
        <v/>
      </c>
    </row>
    <row r="338" spans="17:22" x14ac:dyDescent="0.15">
      <c r="Q338" s="86" t="str">
        <f t="shared" si="15"/>
        <v/>
      </c>
      <c r="T338" s="87" t="str">
        <f t="shared" si="17"/>
        <v/>
      </c>
      <c r="V338" s="87" t="str">
        <f t="shared" si="16"/>
        <v/>
      </c>
    </row>
    <row r="339" spans="17:22" x14ac:dyDescent="0.15">
      <c r="Q339" s="86" t="str">
        <f t="shared" si="15"/>
        <v/>
      </c>
      <c r="T339" s="87" t="str">
        <f t="shared" si="17"/>
        <v/>
      </c>
      <c r="V339" s="87" t="str">
        <f t="shared" si="16"/>
        <v/>
      </c>
    </row>
    <row r="340" spans="17:22" x14ac:dyDescent="0.15">
      <c r="Q340" s="86" t="str">
        <f t="shared" si="15"/>
        <v/>
      </c>
      <c r="T340" s="87" t="str">
        <f t="shared" si="17"/>
        <v/>
      </c>
      <c r="V340" s="87" t="str">
        <f t="shared" si="16"/>
        <v/>
      </c>
    </row>
    <row r="341" spans="17:22" x14ac:dyDescent="0.15">
      <c r="Q341" s="86" t="str">
        <f t="shared" si="15"/>
        <v/>
      </c>
      <c r="T341" s="87" t="str">
        <f t="shared" si="17"/>
        <v/>
      </c>
      <c r="V341" s="87" t="str">
        <f t="shared" si="16"/>
        <v/>
      </c>
    </row>
    <row r="342" spans="17:22" x14ac:dyDescent="0.15">
      <c r="Q342" s="86" t="str">
        <f t="shared" si="15"/>
        <v/>
      </c>
      <c r="T342" s="87" t="str">
        <f t="shared" si="17"/>
        <v/>
      </c>
      <c r="V342" s="87" t="str">
        <f t="shared" si="16"/>
        <v/>
      </c>
    </row>
    <row r="343" spans="17:22" x14ac:dyDescent="0.15">
      <c r="Q343" s="86" t="str">
        <f t="shared" si="15"/>
        <v/>
      </c>
      <c r="T343" s="87" t="str">
        <f t="shared" si="17"/>
        <v/>
      </c>
      <c r="V343" s="87" t="str">
        <f t="shared" si="16"/>
        <v/>
      </c>
    </row>
    <row r="344" spans="17:22" x14ac:dyDescent="0.15">
      <c r="Q344" s="86" t="str">
        <f t="shared" si="15"/>
        <v/>
      </c>
      <c r="T344" s="87" t="str">
        <f t="shared" si="17"/>
        <v/>
      </c>
      <c r="V344" s="87" t="str">
        <f t="shared" si="16"/>
        <v/>
      </c>
    </row>
    <row r="345" spans="17:22" x14ac:dyDescent="0.15">
      <c r="Q345" s="86" t="str">
        <f t="shared" si="15"/>
        <v/>
      </c>
      <c r="T345" s="87" t="str">
        <f t="shared" si="17"/>
        <v/>
      </c>
      <c r="V345" s="87" t="str">
        <f t="shared" si="16"/>
        <v/>
      </c>
    </row>
    <row r="346" spans="17:22" x14ac:dyDescent="0.15">
      <c r="Q346" s="86" t="str">
        <f t="shared" si="15"/>
        <v/>
      </c>
      <c r="T346" s="87" t="str">
        <f t="shared" si="17"/>
        <v/>
      </c>
      <c r="V346" s="87" t="str">
        <f t="shared" si="16"/>
        <v/>
      </c>
    </row>
    <row r="347" spans="17:22" x14ac:dyDescent="0.15">
      <c r="Q347" s="86" t="str">
        <f t="shared" si="15"/>
        <v/>
      </c>
      <c r="T347" s="87" t="str">
        <f t="shared" si="17"/>
        <v/>
      </c>
      <c r="V347" s="87" t="str">
        <f t="shared" si="16"/>
        <v/>
      </c>
    </row>
    <row r="348" spans="17:22" x14ac:dyDescent="0.15">
      <c r="Q348" s="86" t="str">
        <f t="shared" si="15"/>
        <v/>
      </c>
      <c r="T348" s="87" t="str">
        <f t="shared" si="17"/>
        <v/>
      </c>
      <c r="V348" s="87" t="str">
        <f t="shared" si="16"/>
        <v/>
      </c>
    </row>
    <row r="349" spans="17:22" x14ac:dyDescent="0.15">
      <c r="Q349" s="86" t="str">
        <f t="shared" si="15"/>
        <v/>
      </c>
      <c r="T349" s="87" t="str">
        <f t="shared" si="17"/>
        <v/>
      </c>
      <c r="V349" s="87" t="str">
        <f t="shared" si="16"/>
        <v/>
      </c>
    </row>
    <row r="350" spans="17:22" x14ac:dyDescent="0.15">
      <c r="Q350" s="86" t="str">
        <f t="shared" si="15"/>
        <v/>
      </c>
      <c r="T350" s="87" t="str">
        <f t="shared" si="17"/>
        <v/>
      </c>
      <c r="V350" s="87" t="str">
        <f t="shared" si="16"/>
        <v/>
      </c>
    </row>
    <row r="351" spans="17:22" x14ac:dyDescent="0.15">
      <c r="Q351" s="86" t="str">
        <f t="shared" si="15"/>
        <v/>
      </c>
      <c r="T351" s="87" t="str">
        <f t="shared" si="17"/>
        <v/>
      </c>
      <c r="V351" s="87" t="str">
        <f t="shared" si="16"/>
        <v/>
      </c>
    </row>
    <row r="352" spans="17:22" x14ac:dyDescent="0.15">
      <c r="Q352" s="86" t="str">
        <f t="shared" si="15"/>
        <v/>
      </c>
      <c r="T352" s="87" t="str">
        <f t="shared" si="17"/>
        <v/>
      </c>
      <c r="V352" s="87" t="str">
        <f t="shared" si="16"/>
        <v/>
      </c>
    </row>
    <row r="353" spans="17:22" x14ac:dyDescent="0.15">
      <c r="Q353" s="86" t="str">
        <f t="shared" si="15"/>
        <v/>
      </c>
      <c r="T353" s="87" t="str">
        <f t="shared" si="17"/>
        <v/>
      </c>
      <c r="V353" s="87" t="str">
        <f t="shared" si="16"/>
        <v/>
      </c>
    </row>
    <row r="354" spans="17:22" x14ac:dyDescent="0.15">
      <c r="Q354" s="86" t="str">
        <f t="shared" si="15"/>
        <v/>
      </c>
      <c r="T354" s="87" t="str">
        <f t="shared" si="17"/>
        <v/>
      </c>
      <c r="V354" s="87" t="str">
        <f t="shared" si="16"/>
        <v/>
      </c>
    </row>
    <row r="355" spans="17:22" x14ac:dyDescent="0.15">
      <c r="Q355" s="86" t="str">
        <f t="shared" si="15"/>
        <v/>
      </c>
      <c r="T355" s="87" t="str">
        <f t="shared" si="17"/>
        <v/>
      </c>
      <c r="V355" s="87" t="str">
        <f t="shared" si="16"/>
        <v/>
      </c>
    </row>
    <row r="356" spans="17:22" x14ac:dyDescent="0.15">
      <c r="Q356" s="86" t="str">
        <f t="shared" si="15"/>
        <v/>
      </c>
      <c r="T356" s="87" t="str">
        <f t="shared" si="17"/>
        <v/>
      </c>
      <c r="V356" s="87" t="str">
        <f t="shared" si="16"/>
        <v/>
      </c>
    </row>
    <row r="357" spans="17:22" x14ac:dyDescent="0.15">
      <c r="Q357" s="86" t="str">
        <f t="shared" si="15"/>
        <v/>
      </c>
      <c r="T357" s="87" t="str">
        <f t="shared" si="17"/>
        <v/>
      </c>
      <c r="V357" s="87" t="str">
        <f t="shared" si="16"/>
        <v/>
      </c>
    </row>
    <row r="358" spans="17:22" x14ac:dyDescent="0.15">
      <c r="Q358" s="86" t="str">
        <f t="shared" si="15"/>
        <v/>
      </c>
      <c r="T358" s="87" t="str">
        <f t="shared" si="17"/>
        <v/>
      </c>
      <c r="V358" s="87" t="str">
        <f t="shared" si="16"/>
        <v/>
      </c>
    </row>
    <row r="359" spans="17:22" x14ac:dyDescent="0.15">
      <c r="Q359" s="86" t="str">
        <f t="shared" si="15"/>
        <v/>
      </c>
      <c r="T359" s="87" t="str">
        <f t="shared" si="17"/>
        <v/>
      </c>
      <c r="V359" s="87" t="str">
        <f t="shared" si="16"/>
        <v/>
      </c>
    </row>
    <row r="360" spans="17:22" x14ac:dyDescent="0.15">
      <c r="T360" s="87" t="str">
        <f t="shared" si="17"/>
        <v/>
      </c>
      <c r="V360" s="87" t="str">
        <f t="shared" si="16"/>
        <v/>
      </c>
    </row>
    <row r="361" spans="17:22" x14ac:dyDescent="0.15">
      <c r="T361" s="87" t="str">
        <f t="shared" si="17"/>
        <v/>
      </c>
      <c r="V361" s="87" t="str">
        <f t="shared" si="16"/>
        <v/>
      </c>
    </row>
    <row r="362" spans="17:22" x14ac:dyDescent="0.15">
      <c r="T362" s="87" t="str">
        <f t="shared" si="17"/>
        <v/>
      </c>
      <c r="V362" s="87" t="str">
        <f t="shared" si="16"/>
        <v/>
      </c>
    </row>
    <row r="363" spans="17:22" x14ac:dyDescent="0.15">
      <c r="T363" s="87" t="str">
        <f t="shared" si="17"/>
        <v/>
      </c>
      <c r="V363" s="87" t="str">
        <f t="shared" si="16"/>
        <v/>
      </c>
    </row>
    <row r="364" spans="17:22" x14ac:dyDescent="0.15">
      <c r="T364" s="87" t="str">
        <f t="shared" si="17"/>
        <v/>
      </c>
      <c r="V364" s="87" t="str">
        <f t="shared" si="16"/>
        <v/>
      </c>
    </row>
    <row r="365" spans="17:22" x14ac:dyDescent="0.15">
      <c r="T365" s="87" t="str">
        <f t="shared" si="17"/>
        <v/>
      </c>
      <c r="V365" s="87" t="str">
        <f t="shared" si="16"/>
        <v/>
      </c>
    </row>
    <row r="366" spans="17:22" x14ac:dyDescent="0.15">
      <c r="T366" s="87" t="str">
        <f t="shared" si="17"/>
        <v/>
      </c>
      <c r="V366" s="87" t="str">
        <f t="shared" si="16"/>
        <v/>
      </c>
    </row>
    <row r="367" spans="17:22" x14ac:dyDescent="0.15">
      <c r="T367" s="87" t="str">
        <f t="shared" si="17"/>
        <v/>
      </c>
      <c r="V367" s="87" t="str">
        <f t="shared" si="16"/>
        <v/>
      </c>
    </row>
    <row r="368" spans="17:22" x14ac:dyDescent="0.15">
      <c r="T368" s="87" t="str">
        <f t="shared" si="17"/>
        <v/>
      </c>
    </row>
    <row r="369" spans="20:20" x14ac:dyDescent="0.15">
      <c r="T369" s="87" t="str">
        <f t="shared" si="17"/>
        <v/>
      </c>
    </row>
    <row r="370" spans="20:20" x14ac:dyDescent="0.15">
      <c r="T370" s="87" t="str">
        <f t="shared" si="17"/>
        <v/>
      </c>
    </row>
    <row r="371" spans="20:20" x14ac:dyDescent="0.15">
      <c r="T371" s="87" t="str">
        <f t="shared" si="17"/>
        <v/>
      </c>
    </row>
    <row r="372" spans="20:20" x14ac:dyDescent="0.15">
      <c r="T372" s="87" t="str">
        <f t="shared" si="17"/>
        <v/>
      </c>
    </row>
    <row r="373" spans="20:20" x14ac:dyDescent="0.15">
      <c r="T373" s="87" t="str">
        <f t="shared" si="17"/>
        <v/>
      </c>
    </row>
    <row r="374" spans="20:20" x14ac:dyDescent="0.15">
      <c r="T374" s="87" t="str">
        <f t="shared" si="17"/>
        <v/>
      </c>
    </row>
    <row r="375" spans="20:20" x14ac:dyDescent="0.15">
      <c r="T375" s="87" t="str">
        <f t="shared" si="17"/>
        <v/>
      </c>
    </row>
    <row r="376" spans="20:20" x14ac:dyDescent="0.15">
      <c r="T376" s="87" t="str">
        <f t="shared" si="17"/>
        <v/>
      </c>
    </row>
    <row r="377" spans="20:20" x14ac:dyDescent="0.15">
      <c r="T377" s="87" t="str">
        <f t="shared" si="17"/>
        <v/>
      </c>
    </row>
    <row r="378" spans="20:20" x14ac:dyDescent="0.15">
      <c r="T378" s="87" t="str">
        <f t="shared" si="17"/>
        <v/>
      </c>
    </row>
    <row r="379" spans="20:20" x14ac:dyDescent="0.15">
      <c r="T379" s="87" t="str">
        <f t="shared" si="17"/>
        <v/>
      </c>
    </row>
    <row r="380" spans="20:20" x14ac:dyDescent="0.15">
      <c r="T380" s="87" t="str">
        <f t="shared" si="17"/>
        <v/>
      </c>
    </row>
    <row r="381" spans="20:20" x14ac:dyDescent="0.15">
      <c r="T381" s="87" t="str">
        <f t="shared" si="17"/>
        <v/>
      </c>
    </row>
    <row r="382" spans="20:20" x14ac:dyDescent="0.15">
      <c r="T382" s="87" t="str">
        <f t="shared" si="17"/>
        <v/>
      </c>
    </row>
    <row r="383" spans="20:20" x14ac:dyDescent="0.15">
      <c r="T383" s="87" t="str">
        <f t="shared" si="17"/>
        <v/>
      </c>
    </row>
    <row r="384" spans="20:20" x14ac:dyDescent="0.15">
      <c r="T384" s="87" t="str">
        <f t="shared" si="17"/>
        <v/>
      </c>
    </row>
    <row r="385" spans="20:20" x14ac:dyDescent="0.15">
      <c r="T385" s="87" t="str">
        <f t="shared" si="17"/>
        <v/>
      </c>
    </row>
    <row r="386" spans="20:20" x14ac:dyDescent="0.15">
      <c r="T386" s="87" t="str">
        <f t="shared" si="17"/>
        <v/>
      </c>
    </row>
    <row r="387" spans="20:20" x14ac:dyDescent="0.15">
      <c r="T387" s="87" t="str">
        <f t="shared" si="17"/>
        <v/>
      </c>
    </row>
  </sheetData>
  <autoFilter ref="A1:BA387" xr:uid="{00000000-0009-0000-0000-000001000000}"/>
  <phoneticPr fontId="3"/>
  <dataValidations count="14">
    <dataValidation type="list" allowBlank="1" showInputMessage="1" showErrorMessage="1" sqref="X2:X343" xr:uid="{9541A5B7-1302-4088-A903-4E92F1E92128}">
      <formula1>$AT$2:$AT$3</formula1>
    </dataValidation>
    <dataValidation type="list" allowBlank="1" showInputMessage="1" showErrorMessage="1" sqref="A2:A343" xr:uid="{29C431D8-F21F-40D3-818B-6EC35878A260}">
      <formula1>$AE$2:$AE$16</formula1>
    </dataValidation>
    <dataValidation type="decimal" allowBlank="1" showInputMessage="1" showErrorMessage="1" error="硬度を正しく入力して下さい。" sqref="O2:P343" xr:uid="{3B63BFF4-F844-4A6A-ADDB-986994B00E85}">
      <formula1>0</formula1>
      <formula2>7</formula2>
    </dataValidation>
    <dataValidation type="list" allowBlank="1" showInputMessage="1" showErrorMessage="1" sqref="I2:I343" xr:uid="{5544F6C6-FD84-4207-A5C7-F0EEA64314EE}">
      <formula1>$AN$5:$AN$6</formula1>
    </dataValidation>
    <dataValidation type="list" allowBlank="1" showInputMessage="1" showErrorMessage="1" sqref="G2:G343" xr:uid="{90D30DE4-5E9A-4D3D-9328-600A742F2C16}">
      <formula1>$AJ$2:$AJ$4</formula1>
    </dataValidation>
    <dataValidation type="list" allowBlank="1" showInputMessage="1" showErrorMessage="1" sqref="F1:F65497" xr:uid="{7F7AD78A-FC62-43A9-A5A2-7E0FB39C00A5}">
      <formula1>$AH$2:$AH$11</formula1>
    </dataValidation>
    <dataValidation type="list" allowBlank="1" showInputMessage="1" showErrorMessage="1" sqref="E1:E65497" xr:uid="{09A35EC2-D87F-4AB2-A6BA-6746C4B63B5B}">
      <formula1>$AG$2:$AG$11</formula1>
    </dataValidation>
    <dataValidation type="list" allowBlank="1" showInputMessage="1" showErrorMessage="1" sqref="J2:J343" xr:uid="{02D93B1E-4D43-4387-A605-F815C3AAC775}">
      <formula1>$AP$2:$AP$19</formula1>
    </dataValidation>
    <dataValidation type="list" allowBlank="1" showInputMessage="1" showErrorMessage="1" sqref="K2:K159" xr:uid="{FD0AF800-9039-4B5E-8EF5-B0F1D0E1CBC4}">
      <formula1>$AR$2:$AR$23</formula1>
    </dataValidation>
    <dataValidation type="list" allowBlank="1" showInputMessage="1" showErrorMessage="1" sqref="H2:H343" xr:uid="{B35E99B6-2EC8-48CD-A900-2175CBA002CB}">
      <formula1>$AL$2:$AL$8</formula1>
    </dataValidation>
    <dataValidation allowBlank="1" showInputMessage="1" showErrorMessage="1" sqref="B2:B151" xr:uid="{9D3BCD78-5451-4DFC-A55A-CA1683160A22}"/>
    <dataValidation type="list" allowBlank="1" showInputMessage="1" showErrorMessage="1" sqref="Y2:AA151" xr:uid="{29075A24-1EBD-4EF5-A6E9-58B3B1539570}">
      <formula1>$AV$2:$AV$23</formula1>
    </dataValidation>
    <dataValidation type="list" allowBlank="1" showInputMessage="1" showErrorMessage="1" sqref="Y152:AA343" xr:uid="{C5F6CA9A-12AB-4CC8-809F-ADA1898D158E}">
      <formula1>$AV$2:$AV$16</formula1>
    </dataValidation>
    <dataValidation type="list" allowBlank="1" showInputMessage="1" showErrorMessage="1" sqref="K160:K343" xr:uid="{F5D39B0C-F1E7-4EAB-B811-6430719EAA22}">
      <formula1>$AR$2:$AR$19</formula1>
    </dataValidation>
  </dataValidations>
  <pageMargins left="0.69930555555555596" right="0.69930555555555596"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B382C-F116-4376-A1C9-85C9F394B98F}">
  <dimension ref="A1:BA82"/>
  <sheetViews>
    <sheetView zoomScale="70" zoomScaleNormal="70" workbookViewId="0">
      <selection activeCell="AD24" sqref="AD24"/>
    </sheetView>
  </sheetViews>
  <sheetFormatPr defaultRowHeight="13.5" x14ac:dyDescent="0.15"/>
  <cols>
    <col min="1" max="3" width="9" style="53"/>
    <col min="4" max="4" width="10.5" style="53" bestFit="1" customWidth="1"/>
    <col min="5" max="13" width="9" style="53"/>
    <col min="14" max="14" width="9.5" style="53" bestFit="1" customWidth="1"/>
    <col min="15" max="16" width="9" style="53"/>
    <col min="17" max="17" width="9" style="16"/>
    <col min="18" max="19" width="9" style="53"/>
    <col min="20" max="20" width="9" style="16"/>
    <col min="21" max="21" width="9" style="53"/>
    <col min="22" max="22" width="9" style="16"/>
    <col min="23" max="32" width="9" style="53"/>
    <col min="33" max="33" width="15.875" style="53" bestFit="1" customWidth="1"/>
    <col min="34" max="34" width="11.375" style="53" bestFit="1" customWidth="1"/>
    <col min="35" max="259" width="9" style="53"/>
    <col min="260" max="260" width="10.5" style="53" bestFit="1" customWidth="1"/>
    <col min="261" max="269" width="9" style="53"/>
    <col min="270" max="270" width="9.5" style="53" bestFit="1" customWidth="1"/>
    <col min="271" max="288" width="9" style="53"/>
    <col min="289" max="289" width="15.875" style="53" bestFit="1" customWidth="1"/>
    <col min="290" max="290" width="11.375" style="53" bestFit="1" customWidth="1"/>
    <col min="291" max="515" width="9" style="53"/>
    <col min="516" max="516" width="10.5" style="53" bestFit="1" customWidth="1"/>
    <col min="517" max="525" width="9" style="53"/>
    <col min="526" max="526" width="9.5" style="53" bestFit="1" customWidth="1"/>
    <col min="527" max="544" width="9" style="53"/>
    <col min="545" max="545" width="15.875" style="53" bestFit="1" customWidth="1"/>
    <col min="546" max="546" width="11.375" style="53" bestFit="1" customWidth="1"/>
    <col min="547" max="771" width="9" style="53"/>
    <col min="772" max="772" width="10.5" style="53" bestFit="1" customWidth="1"/>
    <col min="773" max="781" width="9" style="53"/>
    <col min="782" max="782" width="9.5" style="53" bestFit="1" customWidth="1"/>
    <col min="783" max="800" width="9" style="53"/>
    <col min="801" max="801" width="15.875" style="53" bestFit="1" customWidth="1"/>
    <col min="802" max="802" width="11.375" style="53" bestFit="1" customWidth="1"/>
    <col min="803" max="1027" width="9" style="53"/>
    <col min="1028" max="1028" width="10.5" style="53" bestFit="1" customWidth="1"/>
    <col min="1029" max="1037" width="9" style="53"/>
    <col min="1038" max="1038" width="9.5" style="53" bestFit="1" customWidth="1"/>
    <col min="1039" max="1056" width="9" style="53"/>
    <col min="1057" max="1057" width="15.875" style="53" bestFit="1" customWidth="1"/>
    <col min="1058" max="1058" width="11.375" style="53" bestFit="1" customWidth="1"/>
    <col min="1059" max="1283" width="9" style="53"/>
    <col min="1284" max="1284" width="10.5" style="53" bestFit="1" customWidth="1"/>
    <col min="1285" max="1293" width="9" style="53"/>
    <col min="1294" max="1294" width="9.5" style="53" bestFit="1" customWidth="1"/>
    <col min="1295" max="1312" width="9" style="53"/>
    <col min="1313" max="1313" width="15.875" style="53" bestFit="1" customWidth="1"/>
    <col min="1314" max="1314" width="11.375" style="53" bestFit="1" customWidth="1"/>
    <col min="1315" max="1539" width="9" style="53"/>
    <col min="1540" max="1540" width="10.5" style="53" bestFit="1" customWidth="1"/>
    <col min="1541" max="1549" width="9" style="53"/>
    <col min="1550" max="1550" width="9.5" style="53" bestFit="1" customWidth="1"/>
    <col min="1551" max="1568" width="9" style="53"/>
    <col min="1569" max="1569" width="15.875" style="53" bestFit="1" customWidth="1"/>
    <col min="1570" max="1570" width="11.375" style="53" bestFit="1" customWidth="1"/>
    <col min="1571" max="1795" width="9" style="53"/>
    <col min="1796" max="1796" width="10.5" style="53" bestFit="1" customWidth="1"/>
    <col min="1797" max="1805" width="9" style="53"/>
    <col min="1806" max="1806" width="9.5" style="53" bestFit="1" customWidth="1"/>
    <col min="1807" max="1824" width="9" style="53"/>
    <col min="1825" max="1825" width="15.875" style="53" bestFit="1" customWidth="1"/>
    <col min="1826" max="1826" width="11.375" style="53" bestFit="1" customWidth="1"/>
    <col min="1827" max="2051" width="9" style="53"/>
    <col min="2052" max="2052" width="10.5" style="53" bestFit="1" customWidth="1"/>
    <col min="2053" max="2061" width="9" style="53"/>
    <col min="2062" max="2062" width="9.5" style="53" bestFit="1" customWidth="1"/>
    <col min="2063" max="2080" width="9" style="53"/>
    <col min="2081" max="2081" width="15.875" style="53" bestFit="1" customWidth="1"/>
    <col min="2082" max="2082" width="11.375" style="53" bestFit="1" customWidth="1"/>
    <col min="2083" max="2307" width="9" style="53"/>
    <col min="2308" max="2308" width="10.5" style="53" bestFit="1" customWidth="1"/>
    <col min="2309" max="2317" width="9" style="53"/>
    <col min="2318" max="2318" width="9.5" style="53" bestFit="1" customWidth="1"/>
    <col min="2319" max="2336" width="9" style="53"/>
    <col min="2337" max="2337" width="15.875" style="53" bestFit="1" customWidth="1"/>
    <col min="2338" max="2338" width="11.375" style="53" bestFit="1" customWidth="1"/>
    <col min="2339" max="2563" width="9" style="53"/>
    <col min="2564" max="2564" width="10.5" style="53" bestFit="1" customWidth="1"/>
    <col min="2565" max="2573" width="9" style="53"/>
    <col min="2574" max="2574" width="9.5" style="53" bestFit="1" customWidth="1"/>
    <col min="2575" max="2592" width="9" style="53"/>
    <col min="2593" max="2593" width="15.875" style="53" bestFit="1" customWidth="1"/>
    <col min="2594" max="2594" width="11.375" style="53" bestFit="1" customWidth="1"/>
    <col min="2595" max="2819" width="9" style="53"/>
    <col min="2820" max="2820" width="10.5" style="53" bestFit="1" customWidth="1"/>
    <col min="2821" max="2829" width="9" style="53"/>
    <col min="2830" max="2830" width="9.5" style="53" bestFit="1" customWidth="1"/>
    <col min="2831" max="2848" width="9" style="53"/>
    <col min="2849" max="2849" width="15.875" style="53" bestFit="1" customWidth="1"/>
    <col min="2850" max="2850" width="11.375" style="53" bestFit="1" customWidth="1"/>
    <col min="2851" max="3075" width="9" style="53"/>
    <col min="3076" max="3076" width="10.5" style="53" bestFit="1" customWidth="1"/>
    <col min="3077" max="3085" width="9" style="53"/>
    <col min="3086" max="3086" width="9.5" style="53" bestFit="1" customWidth="1"/>
    <col min="3087" max="3104" width="9" style="53"/>
    <col min="3105" max="3105" width="15.875" style="53" bestFit="1" customWidth="1"/>
    <col min="3106" max="3106" width="11.375" style="53" bestFit="1" customWidth="1"/>
    <col min="3107" max="3331" width="9" style="53"/>
    <col min="3332" max="3332" width="10.5" style="53" bestFit="1" customWidth="1"/>
    <col min="3333" max="3341" width="9" style="53"/>
    <col min="3342" max="3342" width="9.5" style="53" bestFit="1" customWidth="1"/>
    <col min="3343" max="3360" width="9" style="53"/>
    <col min="3361" max="3361" width="15.875" style="53" bestFit="1" customWidth="1"/>
    <col min="3362" max="3362" width="11.375" style="53" bestFit="1" customWidth="1"/>
    <col min="3363" max="3587" width="9" style="53"/>
    <col min="3588" max="3588" width="10.5" style="53" bestFit="1" customWidth="1"/>
    <col min="3589" max="3597" width="9" style="53"/>
    <col min="3598" max="3598" width="9.5" style="53" bestFit="1" customWidth="1"/>
    <col min="3599" max="3616" width="9" style="53"/>
    <col min="3617" max="3617" width="15.875" style="53" bestFit="1" customWidth="1"/>
    <col min="3618" max="3618" width="11.375" style="53" bestFit="1" customWidth="1"/>
    <col min="3619" max="3843" width="9" style="53"/>
    <col min="3844" max="3844" width="10.5" style="53" bestFit="1" customWidth="1"/>
    <col min="3845" max="3853" width="9" style="53"/>
    <col min="3854" max="3854" width="9.5" style="53" bestFit="1" customWidth="1"/>
    <col min="3855" max="3872" width="9" style="53"/>
    <col min="3873" max="3873" width="15.875" style="53" bestFit="1" customWidth="1"/>
    <col min="3874" max="3874" width="11.375" style="53" bestFit="1" customWidth="1"/>
    <col min="3875" max="4099" width="9" style="53"/>
    <col min="4100" max="4100" width="10.5" style="53" bestFit="1" customWidth="1"/>
    <col min="4101" max="4109" width="9" style="53"/>
    <col min="4110" max="4110" width="9.5" style="53" bestFit="1" customWidth="1"/>
    <col min="4111" max="4128" width="9" style="53"/>
    <col min="4129" max="4129" width="15.875" style="53" bestFit="1" customWidth="1"/>
    <col min="4130" max="4130" width="11.375" style="53" bestFit="1" customWidth="1"/>
    <col min="4131" max="4355" width="9" style="53"/>
    <col min="4356" max="4356" width="10.5" style="53" bestFit="1" customWidth="1"/>
    <col min="4357" max="4365" width="9" style="53"/>
    <col min="4366" max="4366" width="9.5" style="53" bestFit="1" customWidth="1"/>
    <col min="4367" max="4384" width="9" style="53"/>
    <col min="4385" max="4385" width="15.875" style="53" bestFit="1" customWidth="1"/>
    <col min="4386" max="4386" width="11.375" style="53" bestFit="1" customWidth="1"/>
    <col min="4387" max="4611" width="9" style="53"/>
    <col min="4612" max="4612" width="10.5" style="53" bestFit="1" customWidth="1"/>
    <col min="4613" max="4621" width="9" style="53"/>
    <col min="4622" max="4622" width="9.5" style="53" bestFit="1" customWidth="1"/>
    <col min="4623" max="4640" width="9" style="53"/>
    <col min="4641" max="4641" width="15.875" style="53" bestFit="1" customWidth="1"/>
    <col min="4642" max="4642" width="11.375" style="53" bestFit="1" customWidth="1"/>
    <col min="4643" max="4867" width="9" style="53"/>
    <col min="4868" max="4868" width="10.5" style="53" bestFit="1" customWidth="1"/>
    <col min="4869" max="4877" width="9" style="53"/>
    <col min="4878" max="4878" width="9.5" style="53" bestFit="1" customWidth="1"/>
    <col min="4879" max="4896" width="9" style="53"/>
    <col min="4897" max="4897" width="15.875" style="53" bestFit="1" customWidth="1"/>
    <col min="4898" max="4898" width="11.375" style="53" bestFit="1" customWidth="1"/>
    <col min="4899" max="5123" width="9" style="53"/>
    <col min="5124" max="5124" width="10.5" style="53" bestFit="1" customWidth="1"/>
    <col min="5125" max="5133" width="9" style="53"/>
    <col min="5134" max="5134" width="9.5" style="53" bestFit="1" customWidth="1"/>
    <col min="5135" max="5152" width="9" style="53"/>
    <col min="5153" max="5153" width="15.875" style="53" bestFit="1" customWidth="1"/>
    <col min="5154" max="5154" width="11.375" style="53" bestFit="1" customWidth="1"/>
    <col min="5155" max="5379" width="9" style="53"/>
    <col min="5380" max="5380" width="10.5" style="53" bestFit="1" customWidth="1"/>
    <col min="5381" max="5389" width="9" style="53"/>
    <col min="5390" max="5390" width="9.5" style="53" bestFit="1" customWidth="1"/>
    <col min="5391" max="5408" width="9" style="53"/>
    <col min="5409" max="5409" width="15.875" style="53" bestFit="1" customWidth="1"/>
    <col min="5410" max="5410" width="11.375" style="53" bestFit="1" customWidth="1"/>
    <col min="5411" max="5635" width="9" style="53"/>
    <col min="5636" max="5636" width="10.5" style="53" bestFit="1" customWidth="1"/>
    <col min="5637" max="5645" width="9" style="53"/>
    <col min="5646" max="5646" width="9.5" style="53" bestFit="1" customWidth="1"/>
    <col min="5647" max="5664" width="9" style="53"/>
    <col min="5665" max="5665" width="15.875" style="53" bestFit="1" customWidth="1"/>
    <col min="5666" max="5666" width="11.375" style="53" bestFit="1" customWidth="1"/>
    <col min="5667" max="5891" width="9" style="53"/>
    <col min="5892" max="5892" width="10.5" style="53" bestFit="1" customWidth="1"/>
    <col min="5893" max="5901" width="9" style="53"/>
    <col min="5902" max="5902" width="9.5" style="53" bestFit="1" customWidth="1"/>
    <col min="5903" max="5920" width="9" style="53"/>
    <col min="5921" max="5921" width="15.875" style="53" bestFit="1" customWidth="1"/>
    <col min="5922" max="5922" width="11.375" style="53" bestFit="1" customWidth="1"/>
    <col min="5923" max="6147" width="9" style="53"/>
    <col min="6148" max="6148" width="10.5" style="53" bestFit="1" customWidth="1"/>
    <col min="6149" max="6157" width="9" style="53"/>
    <col min="6158" max="6158" width="9.5" style="53" bestFit="1" customWidth="1"/>
    <col min="6159" max="6176" width="9" style="53"/>
    <col min="6177" max="6177" width="15.875" style="53" bestFit="1" customWidth="1"/>
    <col min="6178" max="6178" width="11.375" style="53" bestFit="1" customWidth="1"/>
    <col min="6179" max="6403" width="9" style="53"/>
    <col min="6404" max="6404" width="10.5" style="53" bestFit="1" customWidth="1"/>
    <col min="6405" max="6413" width="9" style="53"/>
    <col min="6414" max="6414" width="9.5" style="53" bestFit="1" customWidth="1"/>
    <col min="6415" max="6432" width="9" style="53"/>
    <col min="6433" max="6433" width="15.875" style="53" bestFit="1" customWidth="1"/>
    <col min="6434" max="6434" width="11.375" style="53" bestFit="1" customWidth="1"/>
    <col min="6435" max="6659" width="9" style="53"/>
    <col min="6660" max="6660" width="10.5" style="53" bestFit="1" customWidth="1"/>
    <col min="6661" max="6669" width="9" style="53"/>
    <col min="6670" max="6670" width="9.5" style="53" bestFit="1" customWidth="1"/>
    <col min="6671" max="6688" width="9" style="53"/>
    <col min="6689" max="6689" width="15.875" style="53" bestFit="1" customWidth="1"/>
    <col min="6690" max="6690" width="11.375" style="53" bestFit="1" customWidth="1"/>
    <col min="6691" max="6915" width="9" style="53"/>
    <col min="6916" max="6916" width="10.5" style="53" bestFit="1" customWidth="1"/>
    <col min="6917" max="6925" width="9" style="53"/>
    <col min="6926" max="6926" width="9.5" style="53" bestFit="1" customWidth="1"/>
    <col min="6927" max="6944" width="9" style="53"/>
    <col min="6945" max="6945" width="15.875" style="53" bestFit="1" customWidth="1"/>
    <col min="6946" max="6946" width="11.375" style="53" bestFit="1" customWidth="1"/>
    <col min="6947" max="7171" width="9" style="53"/>
    <col min="7172" max="7172" width="10.5" style="53" bestFit="1" customWidth="1"/>
    <col min="7173" max="7181" width="9" style="53"/>
    <col min="7182" max="7182" width="9.5" style="53" bestFit="1" customWidth="1"/>
    <col min="7183" max="7200" width="9" style="53"/>
    <col min="7201" max="7201" width="15.875" style="53" bestFit="1" customWidth="1"/>
    <col min="7202" max="7202" width="11.375" style="53" bestFit="1" customWidth="1"/>
    <col min="7203" max="7427" width="9" style="53"/>
    <col min="7428" max="7428" width="10.5" style="53" bestFit="1" customWidth="1"/>
    <col min="7429" max="7437" width="9" style="53"/>
    <col min="7438" max="7438" width="9.5" style="53" bestFit="1" customWidth="1"/>
    <col min="7439" max="7456" width="9" style="53"/>
    <col min="7457" max="7457" width="15.875" style="53" bestFit="1" customWidth="1"/>
    <col min="7458" max="7458" width="11.375" style="53" bestFit="1" customWidth="1"/>
    <col min="7459" max="7683" width="9" style="53"/>
    <col min="7684" max="7684" width="10.5" style="53" bestFit="1" customWidth="1"/>
    <col min="7685" max="7693" width="9" style="53"/>
    <col min="7694" max="7694" width="9.5" style="53" bestFit="1" customWidth="1"/>
    <col min="7695" max="7712" width="9" style="53"/>
    <col min="7713" max="7713" width="15.875" style="53" bestFit="1" customWidth="1"/>
    <col min="7714" max="7714" width="11.375" style="53" bestFit="1" customWidth="1"/>
    <col min="7715" max="7939" width="9" style="53"/>
    <col min="7940" max="7940" width="10.5" style="53" bestFit="1" customWidth="1"/>
    <col min="7941" max="7949" width="9" style="53"/>
    <col min="7950" max="7950" width="9.5" style="53" bestFit="1" customWidth="1"/>
    <col min="7951" max="7968" width="9" style="53"/>
    <col min="7969" max="7969" width="15.875" style="53" bestFit="1" customWidth="1"/>
    <col min="7970" max="7970" width="11.375" style="53" bestFit="1" customWidth="1"/>
    <col min="7971" max="8195" width="9" style="53"/>
    <col min="8196" max="8196" width="10.5" style="53" bestFit="1" customWidth="1"/>
    <col min="8197" max="8205" width="9" style="53"/>
    <col min="8206" max="8206" width="9.5" style="53" bestFit="1" customWidth="1"/>
    <col min="8207" max="8224" width="9" style="53"/>
    <col min="8225" max="8225" width="15.875" style="53" bestFit="1" customWidth="1"/>
    <col min="8226" max="8226" width="11.375" style="53" bestFit="1" customWidth="1"/>
    <col min="8227" max="8451" width="9" style="53"/>
    <col min="8452" max="8452" width="10.5" style="53" bestFit="1" customWidth="1"/>
    <col min="8453" max="8461" width="9" style="53"/>
    <col min="8462" max="8462" width="9.5" style="53" bestFit="1" customWidth="1"/>
    <col min="8463" max="8480" width="9" style="53"/>
    <col min="8481" max="8481" width="15.875" style="53" bestFit="1" customWidth="1"/>
    <col min="8482" max="8482" width="11.375" style="53" bestFit="1" customWidth="1"/>
    <col min="8483" max="8707" width="9" style="53"/>
    <col min="8708" max="8708" width="10.5" style="53" bestFit="1" customWidth="1"/>
    <col min="8709" max="8717" width="9" style="53"/>
    <col min="8718" max="8718" width="9.5" style="53" bestFit="1" customWidth="1"/>
    <col min="8719" max="8736" width="9" style="53"/>
    <col min="8737" max="8737" width="15.875" style="53" bestFit="1" customWidth="1"/>
    <col min="8738" max="8738" width="11.375" style="53" bestFit="1" customWidth="1"/>
    <col min="8739" max="8963" width="9" style="53"/>
    <col min="8964" max="8964" width="10.5" style="53" bestFit="1" customWidth="1"/>
    <col min="8965" max="8973" width="9" style="53"/>
    <col min="8974" max="8974" width="9.5" style="53" bestFit="1" customWidth="1"/>
    <col min="8975" max="8992" width="9" style="53"/>
    <col min="8993" max="8993" width="15.875" style="53" bestFit="1" customWidth="1"/>
    <col min="8994" max="8994" width="11.375" style="53" bestFit="1" customWidth="1"/>
    <col min="8995" max="9219" width="9" style="53"/>
    <col min="9220" max="9220" width="10.5" style="53" bestFit="1" customWidth="1"/>
    <col min="9221" max="9229" width="9" style="53"/>
    <col min="9230" max="9230" width="9.5" style="53" bestFit="1" customWidth="1"/>
    <col min="9231" max="9248" width="9" style="53"/>
    <col min="9249" max="9249" width="15.875" style="53" bestFit="1" customWidth="1"/>
    <col min="9250" max="9250" width="11.375" style="53" bestFit="1" customWidth="1"/>
    <col min="9251" max="9475" width="9" style="53"/>
    <col min="9476" max="9476" width="10.5" style="53" bestFit="1" customWidth="1"/>
    <col min="9477" max="9485" width="9" style="53"/>
    <col min="9486" max="9486" width="9.5" style="53" bestFit="1" customWidth="1"/>
    <col min="9487" max="9504" width="9" style="53"/>
    <col min="9505" max="9505" width="15.875" style="53" bestFit="1" customWidth="1"/>
    <col min="9506" max="9506" width="11.375" style="53" bestFit="1" customWidth="1"/>
    <col min="9507" max="9731" width="9" style="53"/>
    <col min="9732" max="9732" width="10.5" style="53" bestFit="1" customWidth="1"/>
    <col min="9733" max="9741" width="9" style="53"/>
    <col min="9742" max="9742" width="9.5" style="53" bestFit="1" customWidth="1"/>
    <col min="9743" max="9760" width="9" style="53"/>
    <col min="9761" max="9761" width="15.875" style="53" bestFit="1" customWidth="1"/>
    <col min="9762" max="9762" width="11.375" style="53" bestFit="1" customWidth="1"/>
    <col min="9763" max="9987" width="9" style="53"/>
    <col min="9988" max="9988" width="10.5" style="53" bestFit="1" customWidth="1"/>
    <col min="9989" max="9997" width="9" style="53"/>
    <col min="9998" max="9998" width="9.5" style="53" bestFit="1" customWidth="1"/>
    <col min="9999" max="10016" width="9" style="53"/>
    <col min="10017" max="10017" width="15.875" style="53" bestFit="1" customWidth="1"/>
    <col min="10018" max="10018" width="11.375" style="53" bestFit="1" customWidth="1"/>
    <col min="10019" max="10243" width="9" style="53"/>
    <col min="10244" max="10244" width="10.5" style="53" bestFit="1" customWidth="1"/>
    <col min="10245" max="10253" width="9" style="53"/>
    <col min="10254" max="10254" width="9.5" style="53" bestFit="1" customWidth="1"/>
    <col min="10255" max="10272" width="9" style="53"/>
    <col min="10273" max="10273" width="15.875" style="53" bestFit="1" customWidth="1"/>
    <col min="10274" max="10274" width="11.375" style="53" bestFit="1" customWidth="1"/>
    <col min="10275" max="10499" width="9" style="53"/>
    <col min="10500" max="10500" width="10.5" style="53" bestFit="1" customWidth="1"/>
    <col min="10501" max="10509" width="9" style="53"/>
    <col min="10510" max="10510" width="9.5" style="53" bestFit="1" customWidth="1"/>
    <col min="10511" max="10528" width="9" style="53"/>
    <col min="10529" max="10529" width="15.875" style="53" bestFit="1" customWidth="1"/>
    <col min="10530" max="10530" width="11.375" style="53" bestFit="1" customWidth="1"/>
    <col min="10531" max="10755" width="9" style="53"/>
    <col min="10756" max="10756" width="10.5" style="53" bestFit="1" customWidth="1"/>
    <col min="10757" max="10765" width="9" style="53"/>
    <col min="10766" max="10766" width="9.5" style="53" bestFit="1" customWidth="1"/>
    <col min="10767" max="10784" width="9" style="53"/>
    <col min="10785" max="10785" width="15.875" style="53" bestFit="1" customWidth="1"/>
    <col min="10786" max="10786" width="11.375" style="53" bestFit="1" customWidth="1"/>
    <col min="10787" max="11011" width="9" style="53"/>
    <col min="11012" max="11012" width="10.5" style="53" bestFit="1" customWidth="1"/>
    <col min="11013" max="11021" width="9" style="53"/>
    <col min="11022" max="11022" width="9.5" style="53" bestFit="1" customWidth="1"/>
    <col min="11023" max="11040" width="9" style="53"/>
    <col min="11041" max="11041" width="15.875" style="53" bestFit="1" customWidth="1"/>
    <col min="11042" max="11042" width="11.375" style="53" bestFit="1" customWidth="1"/>
    <col min="11043" max="11267" width="9" style="53"/>
    <col min="11268" max="11268" width="10.5" style="53" bestFit="1" customWidth="1"/>
    <col min="11269" max="11277" width="9" style="53"/>
    <col min="11278" max="11278" width="9.5" style="53" bestFit="1" customWidth="1"/>
    <col min="11279" max="11296" width="9" style="53"/>
    <col min="11297" max="11297" width="15.875" style="53" bestFit="1" customWidth="1"/>
    <col min="11298" max="11298" width="11.375" style="53" bestFit="1" customWidth="1"/>
    <col min="11299" max="11523" width="9" style="53"/>
    <col min="11524" max="11524" width="10.5" style="53" bestFit="1" customWidth="1"/>
    <col min="11525" max="11533" width="9" style="53"/>
    <col min="11534" max="11534" width="9.5" style="53" bestFit="1" customWidth="1"/>
    <col min="11535" max="11552" width="9" style="53"/>
    <col min="11553" max="11553" width="15.875" style="53" bestFit="1" customWidth="1"/>
    <col min="11554" max="11554" width="11.375" style="53" bestFit="1" customWidth="1"/>
    <col min="11555" max="11779" width="9" style="53"/>
    <col min="11780" max="11780" width="10.5" style="53" bestFit="1" customWidth="1"/>
    <col min="11781" max="11789" width="9" style="53"/>
    <col min="11790" max="11790" width="9.5" style="53" bestFit="1" customWidth="1"/>
    <col min="11791" max="11808" width="9" style="53"/>
    <col min="11809" max="11809" width="15.875" style="53" bestFit="1" customWidth="1"/>
    <col min="11810" max="11810" width="11.375" style="53" bestFit="1" customWidth="1"/>
    <col min="11811" max="12035" width="9" style="53"/>
    <col min="12036" max="12036" width="10.5" style="53" bestFit="1" customWidth="1"/>
    <col min="12037" max="12045" width="9" style="53"/>
    <col min="12046" max="12046" width="9.5" style="53" bestFit="1" customWidth="1"/>
    <col min="12047" max="12064" width="9" style="53"/>
    <col min="12065" max="12065" width="15.875" style="53" bestFit="1" customWidth="1"/>
    <col min="12066" max="12066" width="11.375" style="53" bestFit="1" customWidth="1"/>
    <col min="12067" max="12291" width="9" style="53"/>
    <col min="12292" max="12292" width="10.5" style="53" bestFit="1" customWidth="1"/>
    <col min="12293" max="12301" width="9" style="53"/>
    <col min="12302" max="12302" width="9.5" style="53" bestFit="1" customWidth="1"/>
    <col min="12303" max="12320" width="9" style="53"/>
    <col min="12321" max="12321" width="15.875" style="53" bestFit="1" customWidth="1"/>
    <col min="12322" max="12322" width="11.375" style="53" bestFit="1" customWidth="1"/>
    <col min="12323" max="12547" width="9" style="53"/>
    <col min="12548" max="12548" width="10.5" style="53" bestFit="1" customWidth="1"/>
    <col min="12549" max="12557" width="9" style="53"/>
    <col min="12558" max="12558" width="9.5" style="53" bestFit="1" customWidth="1"/>
    <col min="12559" max="12576" width="9" style="53"/>
    <col min="12577" max="12577" width="15.875" style="53" bestFit="1" customWidth="1"/>
    <col min="12578" max="12578" width="11.375" style="53" bestFit="1" customWidth="1"/>
    <col min="12579" max="12803" width="9" style="53"/>
    <col min="12804" max="12804" width="10.5" style="53" bestFit="1" customWidth="1"/>
    <col min="12805" max="12813" width="9" style="53"/>
    <col min="12814" max="12814" width="9.5" style="53" bestFit="1" customWidth="1"/>
    <col min="12815" max="12832" width="9" style="53"/>
    <col min="12833" max="12833" width="15.875" style="53" bestFit="1" customWidth="1"/>
    <col min="12834" max="12834" width="11.375" style="53" bestFit="1" customWidth="1"/>
    <col min="12835" max="13059" width="9" style="53"/>
    <col min="13060" max="13060" width="10.5" style="53" bestFit="1" customWidth="1"/>
    <col min="13061" max="13069" width="9" style="53"/>
    <col min="13070" max="13070" width="9.5" style="53" bestFit="1" customWidth="1"/>
    <col min="13071" max="13088" width="9" style="53"/>
    <col min="13089" max="13089" width="15.875" style="53" bestFit="1" customWidth="1"/>
    <col min="13090" max="13090" width="11.375" style="53" bestFit="1" customWidth="1"/>
    <col min="13091" max="13315" width="9" style="53"/>
    <col min="13316" max="13316" width="10.5" style="53" bestFit="1" customWidth="1"/>
    <col min="13317" max="13325" width="9" style="53"/>
    <col min="13326" max="13326" width="9.5" style="53" bestFit="1" customWidth="1"/>
    <col min="13327" max="13344" width="9" style="53"/>
    <col min="13345" max="13345" width="15.875" style="53" bestFit="1" customWidth="1"/>
    <col min="13346" max="13346" width="11.375" style="53" bestFit="1" customWidth="1"/>
    <col min="13347" max="13571" width="9" style="53"/>
    <col min="13572" max="13572" width="10.5" style="53" bestFit="1" customWidth="1"/>
    <col min="13573" max="13581" width="9" style="53"/>
    <col min="13582" max="13582" width="9.5" style="53" bestFit="1" customWidth="1"/>
    <col min="13583" max="13600" width="9" style="53"/>
    <col min="13601" max="13601" width="15.875" style="53" bestFit="1" customWidth="1"/>
    <col min="13602" max="13602" width="11.375" style="53" bestFit="1" customWidth="1"/>
    <col min="13603" max="13827" width="9" style="53"/>
    <col min="13828" max="13828" width="10.5" style="53" bestFit="1" customWidth="1"/>
    <col min="13829" max="13837" width="9" style="53"/>
    <col min="13838" max="13838" width="9.5" style="53" bestFit="1" customWidth="1"/>
    <col min="13839" max="13856" width="9" style="53"/>
    <col min="13857" max="13857" width="15.875" style="53" bestFit="1" customWidth="1"/>
    <col min="13858" max="13858" width="11.375" style="53" bestFit="1" customWidth="1"/>
    <col min="13859" max="14083" width="9" style="53"/>
    <col min="14084" max="14084" width="10.5" style="53" bestFit="1" customWidth="1"/>
    <col min="14085" max="14093" width="9" style="53"/>
    <col min="14094" max="14094" width="9.5" style="53" bestFit="1" customWidth="1"/>
    <col min="14095" max="14112" width="9" style="53"/>
    <col min="14113" max="14113" width="15.875" style="53" bestFit="1" customWidth="1"/>
    <col min="14114" max="14114" width="11.375" style="53" bestFit="1" customWidth="1"/>
    <col min="14115" max="14339" width="9" style="53"/>
    <col min="14340" max="14340" width="10.5" style="53" bestFit="1" customWidth="1"/>
    <col min="14341" max="14349" width="9" style="53"/>
    <col min="14350" max="14350" width="9.5" style="53" bestFit="1" customWidth="1"/>
    <col min="14351" max="14368" width="9" style="53"/>
    <col min="14369" max="14369" width="15.875" style="53" bestFit="1" customWidth="1"/>
    <col min="14370" max="14370" width="11.375" style="53" bestFit="1" customWidth="1"/>
    <col min="14371" max="14595" width="9" style="53"/>
    <col min="14596" max="14596" width="10.5" style="53" bestFit="1" customWidth="1"/>
    <col min="14597" max="14605" width="9" style="53"/>
    <col min="14606" max="14606" width="9.5" style="53" bestFit="1" customWidth="1"/>
    <col min="14607" max="14624" width="9" style="53"/>
    <col min="14625" max="14625" width="15.875" style="53" bestFit="1" customWidth="1"/>
    <col min="14626" max="14626" width="11.375" style="53" bestFit="1" customWidth="1"/>
    <col min="14627" max="14851" width="9" style="53"/>
    <col min="14852" max="14852" width="10.5" style="53" bestFit="1" customWidth="1"/>
    <col min="14853" max="14861" width="9" style="53"/>
    <col min="14862" max="14862" width="9.5" style="53" bestFit="1" customWidth="1"/>
    <col min="14863" max="14880" width="9" style="53"/>
    <col min="14881" max="14881" width="15.875" style="53" bestFit="1" customWidth="1"/>
    <col min="14882" max="14882" width="11.375" style="53" bestFit="1" customWidth="1"/>
    <col min="14883" max="15107" width="9" style="53"/>
    <col min="15108" max="15108" width="10.5" style="53" bestFit="1" customWidth="1"/>
    <col min="15109" max="15117" width="9" style="53"/>
    <col min="15118" max="15118" width="9.5" style="53" bestFit="1" customWidth="1"/>
    <col min="15119" max="15136" width="9" style="53"/>
    <col min="15137" max="15137" width="15.875" style="53" bestFit="1" customWidth="1"/>
    <col min="15138" max="15138" width="11.375" style="53" bestFit="1" customWidth="1"/>
    <col min="15139" max="15363" width="9" style="53"/>
    <col min="15364" max="15364" width="10.5" style="53" bestFit="1" customWidth="1"/>
    <col min="15365" max="15373" width="9" style="53"/>
    <col min="15374" max="15374" width="9.5" style="53" bestFit="1" customWidth="1"/>
    <col min="15375" max="15392" width="9" style="53"/>
    <col min="15393" max="15393" width="15.875" style="53" bestFit="1" customWidth="1"/>
    <col min="15394" max="15394" width="11.375" style="53" bestFit="1" customWidth="1"/>
    <col min="15395" max="15619" width="9" style="53"/>
    <col min="15620" max="15620" width="10.5" style="53" bestFit="1" customWidth="1"/>
    <col min="15621" max="15629" width="9" style="53"/>
    <col min="15630" max="15630" width="9.5" style="53" bestFit="1" customWidth="1"/>
    <col min="15631" max="15648" width="9" style="53"/>
    <col min="15649" max="15649" width="15.875" style="53" bestFit="1" customWidth="1"/>
    <col min="15650" max="15650" width="11.375" style="53" bestFit="1" customWidth="1"/>
    <col min="15651" max="15875" width="9" style="53"/>
    <col min="15876" max="15876" width="10.5" style="53" bestFit="1" customWidth="1"/>
    <col min="15877" max="15885" width="9" style="53"/>
    <col min="15886" max="15886" width="9.5" style="53" bestFit="1" customWidth="1"/>
    <col min="15887" max="15904" width="9" style="53"/>
    <col min="15905" max="15905" width="15.875" style="53" bestFit="1" customWidth="1"/>
    <col min="15906" max="15906" width="11.375" style="53" bestFit="1" customWidth="1"/>
    <col min="15907" max="16131" width="9" style="53"/>
    <col min="16132" max="16132" width="10.5" style="53" bestFit="1" customWidth="1"/>
    <col min="16133" max="16141" width="9" style="53"/>
    <col min="16142" max="16142" width="9.5" style="53" bestFit="1" customWidth="1"/>
    <col min="16143" max="16160" width="9" style="53"/>
    <col min="16161" max="16161" width="15.875" style="53" bestFit="1" customWidth="1"/>
    <col min="16162" max="16162" width="11.375" style="53" bestFit="1" customWidth="1"/>
    <col min="16163" max="16384" width="9" style="53"/>
  </cols>
  <sheetData>
    <row r="1" spans="1:53" ht="45" x14ac:dyDescent="0.15">
      <c r="A1" s="88" t="s">
        <v>0</v>
      </c>
      <c r="B1" s="89" t="s">
        <v>1</v>
      </c>
      <c r="C1" s="89" t="s">
        <v>2</v>
      </c>
      <c r="D1" s="90" t="s">
        <v>3</v>
      </c>
      <c r="E1" s="91" t="s">
        <v>4</v>
      </c>
      <c r="F1" s="91" t="s">
        <v>5</v>
      </c>
      <c r="G1" s="91" t="s">
        <v>6</v>
      </c>
      <c r="H1" s="91" t="s">
        <v>7</v>
      </c>
      <c r="I1" s="91" t="s">
        <v>8</v>
      </c>
      <c r="J1" s="91" t="s">
        <v>9</v>
      </c>
      <c r="K1" s="91" t="s">
        <v>10</v>
      </c>
      <c r="L1" s="90" t="s">
        <v>11</v>
      </c>
      <c r="M1" s="90" t="s">
        <v>12</v>
      </c>
      <c r="N1" s="90" t="s">
        <v>13</v>
      </c>
      <c r="O1" s="90" t="s">
        <v>14</v>
      </c>
      <c r="P1" s="90" t="s">
        <v>15</v>
      </c>
      <c r="Q1" s="3" t="s">
        <v>16</v>
      </c>
      <c r="R1" s="90" t="s">
        <v>17</v>
      </c>
      <c r="S1" s="90" t="s">
        <v>18</v>
      </c>
      <c r="T1" s="3" t="s">
        <v>19</v>
      </c>
      <c r="U1" s="92" t="s">
        <v>108</v>
      </c>
      <c r="V1" s="5" t="s">
        <v>20</v>
      </c>
      <c r="W1" s="90" t="s">
        <v>21</v>
      </c>
      <c r="X1" s="91" t="s">
        <v>22</v>
      </c>
      <c r="Y1" s="91" t="s">
        <v>23</v>
      </c>
      <c r="Z1" s="91" t="s">
        <v>24</v>
      </c>
      <c r="AA1" s="93" t="s">
        <v>25</v>
      </c>
      <c r="AB1" s="94" t="s">
        <v>26</v>
      </c>
      <c r="AE1" s="95" t="s">
        <v>0</v>
      </c>
      <c r="AF1" s="96"/>
      <c r="AG1" s="95" t="s">
        <v>4</v>
      </c>
      <c r="AH1" s="95" t="s">
        <v>5</v>
      </c>
      <c r="AI1" s="96"/>
      <c r="AJ1" s="95" t="s">
        <v>6</v>
      </c>
      <c r="AK1" s="96"/>
      <c r="AL1" s="10" t="s">
        <v>7</v>
      </c>
      <c r="AM1" s="96"/>
      <c r="AN1" s="10" t="s">
        <v>8</v>
      </c>
      <c r="AO1" s="96"/>
      <c r="AP1" s="10" t="s">
        <v>27</v>
      </c>
      <c r="AQ1" s="96"/>
      <c r="AR1" s="10" t="s">
        <v>10</v>
      </c>
      <c r="AS1" s="96"/>
      <c r="AT1" s="11" t="s">
        <v>28</v>
      </c>
      <c r="AU1" s="96"/>
      <c r="AV1" s="10" t="s">
        <v>29</v>
      </c>
      <c r="AX1" s="12" t="s">
        <v>30</v>
      </c>
      <c r="AY1" s="13" t="s">
        <v>31</v>
      </c>
      <c r="AZ1" s="13" t="s">
        <v>32</v>
      </c>
      <c r="BA1" s="14" t="s">
        <v>33</v>
      </c>
    </row>
    <row r="2" spans="1:53" x14ac:dyDescent="0.15">
      <c r="A2" s="53" t="s">
        <v>56</v>
      </c>
      <c r="B2" s="53" t="s">
        <v>232</v>
      </c>
      <c r="C2" s="53">
        <v>2019</v>
      </c>
      <c r="D2" s="97" t="s">
        <v>233</v>
      </c>
      <c r="E2" s="53" t="s">
        <v>234</v>
      </c>
      <c r="F2" s="53" t="s">
        <v>235</v>
      </c>
      <c r="G2" s="53" t="s">
        <v>42</v>
      </c>
      <c r="H2" s="53" t="s">
        <v>164</v>
      </c>
      <c r="I2" s="53" t="s">
        <v>197</v>
      </c>
      <c r="J2" s="53" t="s">
        <v>38</v>
      </c>
      <c r="K2" s="53" t="s">
        <v>161</v>
      </c>
      <c r="L2" s="53">
        <v>1</v>
      </c>
      <c r="N2" s="53">
        <v>5</v>
      </c>
      <c r="O2" s="53">
        <v>0.55000000000000004</v>
      </c>
      <c r="P2" s="53">
        <v>0.55000000000000004</v>
      </c>
      <c r="Q2" s="84">
        <f t="shared" ref="Q2:Q61" si="0">IF(OR(O2="",P2=""),"",AVERAGE(O2,P2))</f>
        <v>0.55000000000000004</v>
      </c>
      <c r="R2" s="53">
        <v>13</v>
      </c>
      <c r="S2" s="53">
        <v>101</v>
      </c>
      <c r="T2" s="16">
        <f t="shared" ref="T2:T61" si="1">IF(H2="","",IF(OR(H2="GREEN",H2="GK"),IF(S2&gt;=$AX$2,VLOOKUP(S2,$AX$2:$AY$10,2,1),""),IF(S2&gt;=$AZ$2,VLOOKUP(S2,$AZ$2:$BA$10,2,1),"")))</f>
        <v>33</v>
      </c>
      <c r="U2" s="53">
        <v>539</v>
      </c>
      <c r="V2" s="16">
        <f t="shared" ref="V2:V61" si="2">IF(OR(N2="",U2="",T2=""),"",U2/N2*T2)</f>
        <v>3557.4</v>
      </c>
      <c r="W2" s="53">
        <v>6</v>
      </c>
      <c r="X2" s="53" t="s">
        <v>46</v>
      </c>
      <c r="Y2" s="53" t="s">
        <v>88</v>
      </c>
      <c r="Z2" s="53" t="s">
        <v>55</v>
      </c>
      <c r="AA2" s="53" t="s">
        <v>106</v>
      </c>
      <c r="AB2" s="53" t="s">
        <v>236</v>
      </c>
      <c r="AE2" s="73" t="s">
        <v>35</v>
      </c>
      <c r="AG2" s="23" t="s">
        <v>237</v>
      </c>
      <c r="AH2" s="98" t="s">
        <v>238</v>
      </c>
      <c r="AJ2" s="76" t="s">
        <v>36</v>
      </c>
      <c r="AL2" s="76" t="s">
        <v>127</v>
      </c>
      <c r="AN2" s="76" t="s">
        <v>37</v>
      </c>
      <c r="AP2" s="76" t="s">
        <v>38</v>
      </c>
      <c r="AR2" s="76" t="s">
        <v>120</v>
      </c>
      <c r="AT2" s="76" t="s">
        <v>39</v>
      </c>
      <c r="AV2" s="76" t="s">
        <v>40</v>
      </c>
      <c r="AX2" s="77">
        <v>1</v>
      </c>
      <c r="AY2" s="78">
        <v>50</v>
      </c>
      <c r="AZ2" s="78">
        <v>1</v>
      </c>
      <c r="BA2" s="79">
        <v>50</v>
      </c>
    </row>
    <row r="3" spans="1:53" x14ac:dyDescent="0.15">
      <c r="A3" s="53" t="s">
        <v>56</v>
      </c>
      <c r="B3" s="53" t="s">
        <v>232</v>
      </c>
      <c r="C3" s="53">
        <v>2019</v>
      </c>
      <c r="D3" s="97" t="s">
        <v>233</v>
      </c>
      <c r="E3" s="53" t="s">
        <v>234</v>
      </c>
      <c r="F3" s="53" t="s">
        <v>235</v>
      </c>
      <c r="G3" s="53" t="s">
        <v>42</v>
      </c>
      <c r="H3" s="53" t="s">
        <v>164</v>
      </c>
      <c r="I3" s="53" t="s">
        <v>197</v>
      </c>
      <c r="J3" s="53" t="s">
        <v>38</v>
      </c>
      <c r="K3" s="53" t="s">
        <v>161</v>
      </c>
      <c r="L3" s="53">
        <v>2</v>
      </c>
      <c r="N3" s="53">
        <v>5</v>
      </c>
      <c r="O3" s="53">
        <v>0.55000000000000004</v>
      </c>
      <c r="P3" s="53">
        <v>0.55000000000000004</v>
      </c>
      <c r="Q3" s="84">
        <f t="shared" si="0"/>
        <v>0.55000000000000004</v>
      </c>
      <c r="R3" s="53">
        <v>11.8</v>
      </c>
      <c r="S3" s="53">
        <v>95</v>
      </c>
      <c r="T3" s="16">
        <f t="shared" si="1"/>
        <v>36</v>
      </c>
      <c r="U3" s="53">
        <v>539</v>
      </c>
      <c r="V3" s="16">
        <f t="shared" si="2"/>
        <v>3880.7999999999997</v>
      </c>
      <c r="W3" s="53">
        <v>6</v>
      </c>
      <c r="X3" s="53" t="s">
        <v>46</v>
      </c>
      <c r="Y3" s="53" t="s">
        <v>88</v>
      </c>
      <c r="Z3" s="53" t="s">
        <v>55</v>
      </c>
      <c r="AA3" s="53" t="s">
        <v>106</v>
      </c>
      <c r="AB3" s="53" t="s">
        <v>236</v>
      </c>
      <c r="AE3" s="22" t="s">
        <v>41</v>
      </c>
      <c r="AG3" s="23" t="s">
        <v>239</v>
      </c>
      <c r="AH3" s="98" t="s">
        <v>235</v>
      </c>
      <c r="AJ3" s="23" t="s">
        <v>42</v>
      </c>
      <c r="AL3" s="23" t="s">
        <v>128</v>
      </c>
      <c r="AN3" s="23" t="s">
        <v>43</v>
      </c>
      <c r="AP3" s="23" t="s">
        <v>44</v>
      </c>
      <c r="AR3" s="23" t="s">
        <v>45</v>
      </c>
      <c r="AT3" s="23" t="s">
        <v>46</v>
      </c>
      <c r="AV3" s="23" t="s">
        <v>47</v>
      </c>
      <c r="AX3" s="24">
        <v>72</v>
      </c>
      <c r="AY3" s="25">
        <v>46</v>
      </c>
      <c r="AZ3" s="25">
        <v>71</v>
      </c>
      <c r="BA3" s="26">
        <v>42</v>
      </c>
    </row>
    <row r="4" spans="1:53" x14ac:dyDescent="0.15">
      <c r="A4" s="53" t="s">
        <v>56</v>
      </c>
      <c r="B4" s="53" t="s">
        <v>232</v>
      </c>
      <c r="C4" s="53">
        <v>2019</v>
      </c>
      <c r="D4" s="97" t="s">
        <v>233</v>
      </c>
      <c r="E4" s="53" t="s">
        <v>234</v>
      </c>
      <c r="F4" s="53" t="s">
        <v>235</v>
      </c>
      <c r="G4" s="53" t="s">
        <v>42</v>
      </c>
      <c r="H4" s="53" t="s">
        <v>164</v>
      </c>
      <c r="I4" s="53" t="s">
        <v>197</v>
      </c>
      <c r="J4" s="53" t="s">
        <v>38</v>
      </c>
      <c r="K4" s="53" t="s">
        <v>161</v>
      </c>
      <c r="L4" s="53">
        <v>3</v>
      </c>
      <c r="N4" s="53">
        <v>5</v>
      </c>
      <c r="O4" s="53">
        <v>0.55000000000000004</v>
      </c>
      <c r="P4" s="53">
        <v>0.55000000000000004</v>
      </c>
      <c r="Q4" s="84">
        <f t="shared" si="0"/>
        <v>0.55000000000000004</v>
      </c>
      <c r="R4" s="53">
        <v>11.9</v>
      </c>
      <c r="S4" s="53">
        <v>92</v>
      </c>
      <c r="T4" s="16">
        <f t="shared" si="1"/>
        <v>36</v>
      </c>
      <c r="U4" s="53">
        <v>539</v>
      </c>
      <c r="V4" s="16">
        <f t="shared" si="2"/>
        <v>3880.7999999999997</v>
      </c>
      <c r="W4" s="53">
        <v>6</v>
      </c>
      <c r="X4" s="53" t="s">
        <v>46</v>
      </c>
      <c r="Y4" s="53" t="s">
        <v>88</v>
      </c>
      <c r="Z4" s="53" t="s">
        <v>55</v>
      </c>
      <c r="AA4" s="53" t="s">
        <v>106</v>
      </c>
      <c r="AB4" s="53" t="s">
        <v>236</v>
      </c>
      <c r="AE4" s="22" t="s">
        <v>34</v>
      </c>
      <c r="AG4" s="23" t="s">
        <v>240</v>
      </c>
      <c r="AH4" s="98" t="s">
        <v>241</v>
      </c>
      <c r="AJ4" s="27" t="s">
        <v>48</v>
      </c>
      <c r="AL4" s="27" t="s">
        <v>242</v>
      </c>
      <c r="AN4" s="28" t="s">
        <v>49</v>
      </c>
      <c r="AP4" s="23" t="s">
        <v>93</v>
      </c>
      <c r="AR4" s="23" t="s">
        <v>121</v>
      </c>
      <c r="AT4" s="28"/>
      <c r="AV4" s="23" t="s">
        <v>50</v>
      </c>
      <c r="AX4" s="24">
        <v>75</v>
      </c>
      <c r="AY4" s="25">
        <v>42</v>
      </c>
      <c r="AZ4" s="25">
        <v>76</v>
      </c>
      <c r="BA4" s="26">
        <v>39</v>
      </c>
    </row>
    <row r="5" spans="1:53" x14ac:dyDescent="0.15">
      <c r="A5" s="53" t="s">
        <v>56</v>
      </c>
      <c r="B5" s="53" t="s">
        <v>232</v>
      </c>
      <c r="C5" s="53">
        <v>2019</v>
      </c>
      <c r="D5" s="97" t="s">
        <v>233</v>
      </c>
      <c r="E5" s="53" t="s">
        <v>234</v>
      </c>
      <c r="F5" s="53" t="s">
        <v>235</v>
      </c>
      <c r="G5" s="53" t="s">
        <v>42</v>
      </c>
      <c r="H5" s="53" t="s">
        <v>160</v>
      </c>
      <c r="I5" s="53" t="s">
        <v>197</v>
      </c>
      <c r="J5" s="53" t="s">
        <v>38</v>
      </c>
      <c r="K5" s="53" t="s">
        <v>161</v>
      </c>
      <c r="L5" s="53">
        <v>1</v>
      </c>
      <c r="N5" s="53">
        <v>1</v>
      </c>
      <c r="O5" s="53">
        <v>0.5</v>
      </c>
      <c r="P5" s="53">
        <v>0.5</v>
      </c>
      <c r="Q5" s="84">
        <f t="shared" si="0"/>
        <v>0.5</v>
      </c>
      <c r="R5" s="53">
        <v>18.5</v>
      </c>
      <c r="S5" s="53">
        <v>136</v>
      </c>
      <c r="T5" s="16">
        <f t="shared" si="1"/>
        <v>25</v>
      </c>
      <c r="U5" s="53">
        <v>183</v>
      </c>
      <c r="V5" s="16">
        <f t="shared" si="2"/>
        <v>4575</v>
      </c>
      <c r="W5" s="53">
        <v>6</v>
      </c>
      <c r="X5" s="53" t="s">
        <v>46</v>
      </c>
      <c r="Y5" s="53" t="s">
        <v>88</v>
      </c>
      <c r="Z5" s="53" t="s">
        <v>55</v>
      </c>
      <c r="AA5" s="53" t="s">
        <v>106</v>
      </c>
      <c r="AB5" s="53" t="s">
        <v>236</v>
      </c>
      <c r="AE5" s="22" t="s">
        <v>51</v>
      </c>
      <c r="AG5" s="23" t="s">
        <v>243</v>
      </c>
      <c r="AH5" s="98" t="s">
        <v>244</v>
      </c>
      <c r="AJ5" s="28"/>
      <c r="AL5" s="82" t="s">
        <v>66</v>
      </c>
      <c r="AN5" s="82" t="s">
        <v>52</v>
      </c>
      <c r="AP5" s="23" t="s">
        <v>245</v>
      </c>
      <c r="AR5" s="23" t="s">
        <v>54</v>
      </c>
      <c r="AV5" s="23" t="s">
        <v>55</v>
      </c>
      <c r="AX5" s="24">
        <v>84</v>
      </c>
      <c r="AY5" s="25">
        <v>39</v>
      </c>
      <c r="AZ5" s="25">
        <v>84</v>
      </c>
      <c r="BA5" s="26">
        <v>36</v>
      </c>
    </row>
    <row r="6" spans="1:53" x14ac:dyDescent="0.15">
      <c r="A6" s="53" t="s">
        <v>56</v>
      </c>
      <c r="B6" s="53" t="s">
        <v>232</v>
      </c>
      <c r="C6" s="53">
        <v>2019</v>
      </c>
      <c r="D6" s="97" t="s">
        <v>233</v>
      </c>
      <c r="E6" s="53" t="s">
        <v>234</v>
      </c>
      <c r="F6" s="53" t="s">
        <v>235</v>
      </c>
      <c r="G6" s="53" t="s">
        <v>42</v>
      </c>
      <c r="H6" s="53" t="s">
        <v>160</v>
      </c>
      <c r="I6" s="53" t="s">
        <v>197</v>
      </c>
      <c r="J6" s="53" t="s">
        <v>38</v>
      </c>
      <c r="K6" s="53" t="s">
        <v>161</v>
      </c>
      <c r="L6" s="53">
        <v>2</v>
      </c>
      <c r="N6" s="53">
        <v>1</v>
      </c>
      <c r="O6" s="53">
        <v>0.55000000000000004</v>
      </c>
      <c r="P6" s="53">
        <v>0.5</v>
      </c>
      <c r="Q6" s="84">
        <f t="shared" si="0"/>
        <v>0.52500000000000002</v>
      </c>
      <c r="R6" s="53">
        <v>18</v>
      </c>
      <c r="S6" s="53">
        <v>136</v>
      </c>
      <c r="T6" s="16">
        <f t="shared" si="1"/>
        <v>25</v>
      </c>
      <c r="U6" s="53">
        <v>183</v>
      </c>
      <c r="V6" s="16">
        <f t="shared" si="2"/>
        <v>4575</v>
      </c>
      <c r="W6" s="53">
        <v>6</v>
      </c>
      <c r="X6" s="53" t="s">
        <v>46</v>
      </c>
      <c r="Y6" s="53" t="s">
        <v>88</v>
      </c>
      <c r="Z6" s="53" t="s">
        <v>55</v>
      </c>
      <c r="AA6" s="53" t="s">
        <v>106</v>
      </c>
      <c r="AB6" s="53" t="s">
        <v>236</v>
      </c>
      <c r="AE6" s="22" t="s">
        <v>56</v>
      </c>
      <c r="AG6" s="23" t="s">
        <v>246</v>
      </c>
      <c r="AH6" s="98" t="s">
        <v>244</v>
      </c>
      <c r="AL6" s="82" t="s">
        <v>99</v>
      </c>
      <c r="AN6" s="82" t="s">
        <v>57</v>
      </c>
      <c r="AP6" s="23" t="s">
        <v>53</v>
      </c>
      <c r="AR6" s="23" t="s">
        <v>59</v>
      </c>
      <c r="AV6" s="23" t="s">
        <v>60</v>
      </c>
      <c r="AX6" s="24">
        <v>97</v>
      </c>
      <c r="AY6" s="25">
        <v>36</v>
      </c>
      <c r="AZ6" s="25">
        <v>99</v>
      </c>
      <c r="BA6" s="26">
        <v>33</v>
      </c>
    </row>
    <row r="7" spans="1:53" x14ac:dyDescent="0.15">
      <c r="A7" s="53" t="s">
        <v>56</v>
      </c>
      <c r="B7" s="53" t="s">
        <v>232</v>
      </c>
      <c r="C7" s="53">
        <v>2019</v>
      </c>
      <c r="D7" s="97" t="s">
        <v>233</v>
      </c>
      <c r="E7" s="53" t="s">
        <v>234</v>
      </c>
      <c r="F7" s="53" t="s">
        <v>235</v>
      </c>
      <c r="G7" s="53" t="s">
        <v>42</v>
      </c>
      <c r="H7" s="53" t="s">
        <v>160</v>
      </c>
      <c r="I7" s="53" t="s">
        <v>197</v>
      </c>
      <c r="J7" s="53" t="s">
        <v>38</v>
      </c>
      <c r="K7" s="53" t="s">
        <v>161</v>
      </c>
      <c r="L7" s="53">
        <v>3</v>
      </c>
      <c r="N7" s="53">
        <v>1</v>
      </c>
      <c r="O7" s="53">
        <v>0.55000000000000004</v>
      </c>
      <c r="P7" s="53">
        <v>0.55000000000000004</v>
      </c>
      <c r="Q7" s="84">
        <f t="shared" si="0"/>
        <v>0.55000000000000004</v>
      </c>
      <c r="R7" s="53">
        <v>18.2</v>
      </c>
      <c r="S7" s="53">
        <v>136</v>
      </c>
      <c r="T7" s="16">
        <f t="shared" si="1"/>
        <v>25</v>
      </c>
      <c r="U7" s="53">
        <v>183</v>
      </c>
      <c r="V7" s="16">
        <f t="shared" si="2"/>
        <v>4575</v>
      </c>
      <c r="W7" s="53">
        <v>6</v>
      </c>
      <c r="X7" s="53" t="s">
        <v>46</v>
      </c>
      <c r="Y7" s="53" t="s">
        <v>88</v>
      </c>
      <c r="Z7" s="53" t="s">
        <v>55</v>
      </c>
      <c r="AA7" s="53" t="s">
        <v>106</v>
      </c>
      <c r="AB7" s="53" t="s">
        <v>236</v>
      </c>
      <c r="AE7" s="22" t="s">
        <v>61</v>
      </c>
      <c r="AG7" s="23" t="s">
        <v>247</v>
      </c>
      <c r="AH7" s="98" t="s">
        <v>248</v>
      </c>
      <c r="AL7" s="99" t="s">
        <v>109</v>
      </c>
      <c r="AP7" s="23" t="s">
        <v>58</v>
      </c>
      <c r="AR7" s="23" t="s">
        <v>122</v>
      </c>
      <c r="AV7" s="23" t="s">
        <v>64</v>
      </c>
      <c r="AX7" s="24">
        <v>109</v>
      </c>
      <c r="AY7" s="25">
        <v>33</v>
      </c>
      <c r="AZ7" s="25">
        <v>113</v>
      </c>
      <c r="BA7" s="26">
        <v>30</v>
      </c>
    </row>
    <row r="8" spans="1:53" x14ac:dyDescent="0.15">
      <c r="A8" s="53" t="s">
        <v>56</v>
      </c>
      <c r="B8" s="53" t="s">
        <v>232</v>
      </c>
      <c r="C8" s="53">
        <v>2019</v>
      </c>
      <c r="D8" s="97" t="s">
        <v>233</v>
      </c>
      <c r="E8" s="53" t="s">
        <v>249</v>
      </c>
      <c r="F8" s="53" t="s">
        <v>235</v>
      </c>
      <c r="G8" s="53" t="s">
        <v>42</v>
      </c>
      <c r="H8" s="53" t="s">
        <v>164</v>
      </c>
      <c r="I8" s="53" t="s">
        <v>159</v>
      </c>
      <c r="J8" s="53" t="s">
        <v>38</v>
      </c>
      <c r="K8" s="53" t="s">
        <v>161</v>
      </c>
      <c r="L8" s="53">
        <v>1</v>
      </c>
      <c r="N8" s="53">
        <v>1</v>
      </c>
      <c r="O8" s="53">
        <v>0.5</v>
      </c>
      <c r="P8" s="53">
        <v>0.6</v>
      </c>
      <c r="Q8" s="84">
        <f t="shared" si="0"/>
        <v>0.55000000000000004</v>
      </c>
      <c r="R8" s="53">
        <v>17.600000000000001</v>
      </c>
      <c r="S8" s="53">
        <v>146</v>
      </c>
      <c r="T8" s="16">
        <f t="shared" si="1"/>
        <v>22</v>
      </c>
      <c r="U8" s="53">
        <v>138</v>
      </c>
      <c r="V8" s="16">
        <f t="shared" si="2"/>
        <v>3036</v>
      </c>
      <c r="W8" s="53">
        <v>4</v>
      </c>
      <c r="X8" s="53" t="s">
        <v>46</v>
      </c>
      <c r="Y8" s="53" t="s">
        <v>55</v>
      </c>
      <c r="Z8" s="53" t="s">
        <v>97</v>
      </c>
      <c r="AA8" s="53" t="s">
        <v>78</v>
      </c>
      <c r="AB8" s="53" t="s">
        <v>236</v>
      </c>
      <c r="AE8" s="22" t="s">
        <v>59</v>
      </c>
      <c r="AG8" s="23" t="s">
        <v>250</v>
      </c>
      <c r="AH8" s="98" t="s">
        <v>248</v>
      </c>
      <c r="AL8" s="99" t="s">
        <v>134</v>
      </c>
      <c r="AP8" s="23" t="s">
        <v>62</v>
      </c>
      <c r="AR8" s="23" t="s">
        <v>81</v>
      </c>
      <c r="AV8" s="23" t="s">
        <v>97</v>
      </c>
      <c r="AX8" s="24">
        <v>119</v>
      </c>
      <c r="AY8" s="25">
        <v>30</v>
      </c>
      <c r="AZ8" s="25">
        <v>121</v>
      </c>
      <c r="BA8" s="26">
        <v>27</v>
      </c>
    </row>
    <row r="9" spans="1:53" x14ac:dyDescent="0.15">
      <c r="A9" s="53" t="s">
        <v>56</v>
      </c>
      <c r="B9" s="53" t="s">
        <v>232</v>
      </c>
      <c r="C9" s="53">
        <v>2019</v>
      </c>
      <c r="D9" s="97" t="s">
        <v>233</v>
      </c>
      <c r="E9" s="53" t="s">
        <v>249</v>
      </c>
      <c r="F9" s="53" t="s">
        <v>235</v>
      </c>
      <c r="G9" s="53" t="s">
        <v>42</v>
      </c>
      <c r="H9" s="53" t="s">
        <v>164</v>
      </c>
      <c r="I9" s="53" t="s">
        <v>159</v>
      </c>
      <c r="J9" s="53" t="s">
        <v>38</v>
      </c>
      <c r="K9" s="53" t="s">
        <v>161</v>
      </c>
      <c r="L9" s="53">
        <v>2</v>
      </c>
      <c r="N9" s="53">
        <v>1</v>
      </c>
      <c r="O9" s="53">
        <v>0.55000000000000004</v>
      </c>
      <c r="P9" s="53">
        <v>0.55000000000000004</v>
      </c>
      <c r="Q9" s="84">
        <f t="shared" si="0"/>
        <v>0.55000000000000004</v>
      </c>
      <c r="R9" s="53">
        <v>18</v>
      </c>
      <c r="S9" s="53">
        <v>144</v>
      </c>
      <c r="T9" s="16">
        <f t="shared" si="1"/>
        <v>22</v>
      </c>
      <c r="U9" s="53">
        <v>138</v>
      </c>
      <c r="V9" s="16">
        <f t="shared" si="2"/>
        <v>3036</v>
      </c>
      <c r="W9" s="53">
        <v>4</v>
      </c>
      <c r="X9" s="53" t="s">
        <v>46</v>
      </c>
      <c r="Y9" s="53" t="s">
        <v>55</v>
      </c>
      <c r="Z9" s="53" t="s">
        <v>97</v>
      </c>
      <c r="AA9" s="53" t="s">
        <v>78</v>
      </c>
      <c r="AB9" s="53" t="s">
        <v>236</v>
      </c>
      <c r="AE9" s="22" t="s">
        <v>98</v>
      </c>
      <c r="AG9" s="23" t="s">
        <v>234</v>
      </c>
      <c r="AH9" s="23" t="s">
        <v>235</v>
      </c>
      <c r="AL9" s="82"/>
      <c r="AP9" s="23" t="s">
        <v>95</v>
      </c>
      <c r="AR9" s="23" t="s">
        <v>89</v>
      </c>
      <c r="AV9" s="23" t="s">
        <v>102</v>
      </c>
      <c r="AX9" s="24">
        <v>128</v>
      </c>
      <c r="AY9" s="25">
        <v>27</v>
      </c>
      <c r="AZ9" s="25">
        <v>129</v>
      </c>
      <c r="BA9" s="26">
        <v>25</v>
      </c>
    </row>
    <row r="10" spans="1:53" x14ac:dyDescent="0.15">
      <c r="A10" s="53" t="s">
        <v>56</v>
      </c>
      <c r="B10" s="53" t="s">
        <v>232</v>
      </c>
      <c r="C10" s="53">
        <v>2019</v>
      </c>
      <c r="D10" s="97" t="s">
        <v>233</v>
      </c>
      <c r="E10" s="53" t="s">
        <v>249</v>
      </c>
      <c r="F10" s="53" t="s">
        <v>235</v>
      </c>
      <c r="G10" s="53" t="s">
        <v>42</v>
      </c>
      <c r="H10" s="53" t="s">
        <v>164</v>
      </c>
      <c r="I10" s="53" t="s">
        <v>159</v>
      </c>
      <c r="J10" s="53" t="s">
        <v>38</v>
      </c>
      <c r="K10" s="53" t="s">
        <v>161</v>
      </c>
      <c r="L10" s="53">
        <v>3</v>
      </c>
      <c r="N10" s="53">
        <v>1</v>
      </c>
      <c r="O10" s="53">
        <v>0.5</v>
      </c>
      <c r="P10" s="53">
        <v>0.55000000000000004</v>
      </c>
      <c r="Q10" s="84">
        <f t="shared" si="0"/>
        <v>0.52500000000000002</v>
      </c>
      <c r="R10" s="53">
        <v>12.4</v>
      </c>
      <c r="S10" s="53">
        <v>157</v>
      </c>
      <c r="T10" s="16">
        <f t="shared" si="1"/>
        <v>22</v>
      </c>
      <c r="U10" s="53">
        <v>138</v>
      </c>
      <c r="V10" s="16">
        <f t="shared" si="2"/>
        <v>3036</v>
      </c>
      <c r="W10" s="53">
        <v>4</v>
      </c>
      <c r="X10" s="53" t="s">
        <v>46</v>
      </c>
      <c r="Y10" s="53" t="s">
        <v>55</v>
      </c>
      <c r="Z10" s="53" t="s">
        <v>97</v>
      </c>
      <c r="AA10" s="53" t="s">
        <v>78</v>
      </c>
      <c r="AB10" s="53" t="s">
        <v>236</v>
      </c>
      <c r="AE10" s="22" t="s">
        <v>103</v>
      </c>
      <c r="AG10" s="23" t="s">
        <v>247</v>
      </c>
      <c r="AH10" s="98" t="s">
        <v>244</v>
      </c>
      <c r="AL10" s="99"/>
      <c r="AP10" s="23" t="s">
        <v>100</v>
      </c>
      <c r="AR10" s="23" t="s">
        <v>123</v>
      </c>
      <c r="AV10" s="23" t="s">
        <v>106</v>
      </c>
      <c r="AX10" s="24">
        <v>138</v>
      </c>
      <c r="AY10" s="25">
        <v>25</v>
      </c>
      <c r="AZ10" s="25">
        <v>138</v>
      </c>
      <c r="BA10" s="26">
        <v>22</v>
      </c>
    </row>
    <row r="11" spans="1:53" x14ac:dyDescent="0.15">
      <c r="A11" s="53" t="s">
        <v>56</v>
      </c>
      <c r="B11" s="53" t="s">
        <v>232</v>
      </c>
      <c r="C11" s="53">
        <v>2019</v>
      </c>
      <c r="D11" s="97" t="s">
        <v>233</v>
      </c>
      <c r="E11" s="53" t="s">
        <v>249</v>
      </c>
      <c r="F11" s="53" t="s">
        <v>235</v>
      </c>
      <c r="G11" s="53" t="s">
        <v>42</v>
      </c>
      <c r="H11" s="53" t="s">
        <v>160</v>
      </c>
      <c r="I11" s="53" t="s">
        <v>159</v>
      </c>
      <c r="J11" s="53" t="s">
        <v>38</v>
      </c>
      <c r="K11" s="53" t="s">
        <v>161</v>
      </c>
      <c r="L11" s="53">
        <v>1</v>
      </c>
      <c r="N11" s="53">
        <v>1</v>
      </c>
      <c r="O11" s="53">
        <v>0.55000000000000004</v>
      </c>
      <c r="P11" s="53">
        <v>0.55000000000000004</v>
      </c>
      <c r="Q11" s="84">
        <f t="shared" si="0"/>
        <v>0.55000000000000004</v>
      </c>
      <c r="R11" s="53">
        <v>14.9</v>
      </c>
      <c r="S11" s="53">
        <v>134</v>
      </c>
      <c r="T11" s="16">
        <f t="shared" si="1"/>
        <v>25</v>
      </c>
      <c r="U11" s="53">
        <v>138</v>
      </c>
      <c r="V11" s="16">
        <f t="shared" si="2"/>
        <v>3450</v>
      </c>
      <c r="W11" s="53">
        <v>8</v>
      </c>
      <c r="X11" s="53" t="s">
        <v>46</v>
      </c>
      <c r="Y11" s="53" t="s">
        <v>55</v>
      </c>
      <c r="Z11" s="53" t="s">
        <v>97</v>
      </c>
      <c r="AA11" s="53" t="s">
        <v>78</v>
      </c>
      <c r="AB11" s="53" t="s">
        <v>236</v>
      </c>
      <c r="AE11" s="22" t="s">
        <v>65</v>
      </c>
      <c r="AG11" s="23" t="s">
        <v>246</v>
      </c>
      <c r="AH11" s="98" t="s">
        <v>244</v>
      </c>
      <c r="AJ11" s="99"/>
      <c r="AP11" s="23" t="s">
        <v>104</v>
      </c>
      <c r="AR11" s="23" t="s">
        <v>87</v>
      </c>
      <c r="AV11" s="23" t="s">
        <v>69</v>
      </c>
    </row>
    <row r="12" spans="1:53" x14ac:dyDescent="0.15">
      <c r="A12" s="53" t="s">
        <v>56</v>
      </c>
      <c r="B12" s="53" t="s">
        <v>232</v>
      </c>
      <c r="C12" s="53">
        <v>2019</v>
      </c>
      <c r="D12" s="97" t="s">
        <v>233</v>
      </c>
      <c r="E12" s="53" t="s">
        <v>249</v>
      </c>
      <c r="F12" s="53" t="s">
        <v>235</v>
      </c>
      <c r="G12" s="53" t="s">
        <v>42</v>
      </c>
      <c r="H12" s="53" t="s">
        <v>160</v>
      </c>
      <c r="I12" s="53" t="s">
        <v>159</v>
      </c>
      <c r="J12" s="53" t="s">
        <v>38</v>
      </c>
      <c r="K12" s="53" t="s">
        <v>161</v>
      </c>
      <c r="L12" s="53">
        <v>2</v>
      </c>
      <c r="N12" s="53">
        <v>1</v>
      </c>
      <c r="O12" s="53">
        <v>0.6</v>
      </c>
      <c r="P12" s="53">
        <v>0.55000000000000004</v>
      </c>
      <c r="Q12" s="84">
        <f t="shared" si="0"/>
        <v>0.57499999999999996</v>
      </c>
      <c r="R12" s="53">
        <v>17.2</v>
      </c>
      <c r="S12" s="53">
        <v>126</v>
      </c>
      <c r="T12" s="16">
        <f t="shared" si="1"/>
        <v>27</v>
      </c>
      <c r="U12" s="53">
        <v>138</v>
      </c>
      <c r="V12" s="16">
        <f t="shared" si="2"/>
        <v>3726</v>
      </c>
      <c r="W12" s="53">
        <v>8</v>
      </c>
      <c r="X12" s="53" t="s">
        <v>46</v>
      </c>
      <c r="Y12" s="53" t="s">
        <v>55</v>
      </c>
      <c r="Z12" s="53" t="s">
        <v>97</v>
      </c>
      <c r="AA12" s="53" t="s">
        <v>78</v>
      </c>
      <c r="AB12" s="53" t="s">
        <v>236</v>
      </c>
      <c r="AE12" s="22" t="s">
        <v>70</v>
      </c>
      <c r="AG12" s="23" t="s">
        <v>239</v>
      </c>
      <c r="AH12" s="98" t="s">
        <v>244</v>
      </c>
      <c r="AJ12" s="99"/>
      <c r="AP12" s="23" t="s">
        <v>67</v>
      </c>
      <c r="AR12" s="23" t="s">
        <v>124</v>
      </c>
      <c r="AV12" s="23" t="s">
        <v>72</v>
      </c>
    </row>
    <row r="13" spans="1:53" x14ac:dyDescent="0.15">
      <c r="A13" s="53" t="s">
        <v>56</v>
      </c>
      <c r="B13" s="53" t="s">
        <v>232</v>
      </c>
      <c r="C13" s="53">
        <v>2019</v>
      </c>
      <c r="D13" s="97" t="s">
        <v>233</v>
      </c>
      <c r="E13" s="53" t="s">
        <v>249</v>
      </c>
      <c r="F13" s="53" t="s">
        <v>235</v>
      </c>
      <c r="G13" s="53" t="s">
        <v>42</v>
      </c>
      <c r="H13" s="53" t="s">
        <v>160</v>
      </c>
      <c r="I13" s="53" t="s">
        <v>159</v>
      </c>
      <c r="J13" s="53" t="s">
        <v>38</v>
      </c>
      <c r="K13" s="53" t="s">
        <v>161</v>
      </c>
      <c r="L13" s="53">
        <v>3</v>
      </c>
      <c r="N13" s="53">
        <v>1</v>
      </c>
      <c r="O13" s="53">
        <v>0.55000000000000004</v>
      </c>
      <c r="P13" s="53">
        <v>0.6</v>
      </c>
      <c r="Q13" s="84">
        <f t="shared" si="0"/>
        <v>0.57499999999999996</v>
      </c>
      <c r="R13" s="53">
        <v>17.2</v>
      </c>
      <c r="S13" s="53">
        <v>136</v>
      </c>
      <c r="T13" s="16">
        <f t="shared" si="1"/>
        <v>25</v>
      </c>
      <c r="U13" s="53">
        <v>138</v>
      </c>
      <c r="V13" s="16">
        <f t="shared" si="2"/>
        <v>3450</v>
      </c>
      <c r="W13" s="53">
        <v>8</v>
      </c>
      <c r="X13" s="53" t="s">
        <v>46</v>
      </c>
      <c r="Y13" s="53" t="s">
        <v>55</v>
      </c>
      <c r="Z13" s="53" t="s">
        <v>97</v>
      </c>
      <c r="AA13" s="53" t="s">
        <v>78</v>
      </c>
      <c r="AB13" s="53" t="s">
        <v>236</v>
      </c>
      <c r="AE13" s="22" t="s">
        <v>73</v>
      </c>
      <c r="AP13" s="23" t="s">
        <v>71</v>
      </c>
      <c r="AR13" s="23" t="s">
        <v>103</v>
      </c>
      <c r="AV13" s="23" t="s">
        <v>75</v>
      </c>
    </row>
    <row r="14" spans="1:53" x14ac:dyDescent="0.15">
      <c r="A14" s="53" t="s">
        <v>56</v>
      </c>
      <c r="B14" s="53" t="s">
        <v>232</v>
      </c>
      <c r="C14" s="53">
        <v>2019</v>
      </c>
      <c r="D14" s="97" t="s">
        <v>233</v>
      </c>
      <c r="E14" s="53" t="s">
        <v>162</v>
      </c>
      <c r="F14" s="53" t="s">
        <v>251</v>
      </c>
      <c r="G14" s="53" t="s">
        <v>42</v>
      </c>
      <c r="H14" s="53" t="s">
        <v>164</v>
      </c>
      <c r="I14" s="53" t="s">
        <v>159</v>
      </c>
      <c r="J14" s="53" t="s">
        <v>38</v>
      </c>
      <c r="K14" s="53" t="s">
        <v>161</v>
      </c>
      <c r="L14" s="53">
        <v>1</v>
      </c>
      <c r="N14" s="53">
        <v>1</v>
      </c>
      <c r="O14" s="53">
        <v>0.65</v>
      </c>
      <c r="P14" s="53">
        <v>0.75</v>
      </c>
      <c r="Q14" s="84">
        <f t="shared" si="0"/>
        <v>0.7</v>
      </c>
      <c r="R14" s="53">
        <v>13</v>
      </c>
      <c r="S14" s="53">
        <v>119</v>
      </c>
      <c r="T14" s="16">
        <f t="shared" si="1"/>
        <v>30</v>
      </c>
      <c r="U14" s="53">
        <v>84</v>
      </c>
      <c r="V14" s="16">
        <f t="shared" si="2"/>
        <v>2520</v>
      </c>
      <c r="W14" s="53">
        <v>4</v>
      </c>
      <c r="X14" s="53" t="s">
        <v>46</v>
      </c>
      <c r="Y14" s="53" t="s">
        <v>88</v>
      </c>
      <c r="Z14" s="53" t="s">
        <v>78</v>
      </c>
      <c r="AA14" s="53" t="s">
        <v>55</v>
      </c>
      <c r="AB14" s="53" t="s">
        <v>236</v>
      </c>
      <c r="AE14" s="22" t="s">
        <v>76</v>
      </c>
      <c r="AP14" s="23" t="s">
        <v>74</v>
      </c>
      <c r="AR14" s="23" t="s">
        <v>125</v>
      </c>
      <c r="AV14" s="23" t="s">
        <v>78</v>
      </c>
    </row>
    <row r="15" spans="1:53" x14ac:dyDescent="0.15">
      <c r="A15" s="53" t="s">
        <v>56</v>
      </c>
      <c r="B15" s="53" t="s">
        <v>232</v>
      </c>
      <c r="C15" s="53">
        <v>2019</v>
      </c>
      <c r="D15" s="97" t="s">
        <v>233</v>
      </c>
      <c r="E15" s="53" t="s">
        <v>162</v>
      </c>
      <c r="F15" s="53" t="s">
        <v>251</v>
      </c>
      <c r="G15" s="53" t="s">
        <v>42</v>
      </c>
      <c r="H15" s="53" t="s">
        <v>164</v>
      </c>
      <c r="I15" s="53" t="s">
        <v>159</v>
      </c>
      <c r="J15" s="53" t="s">
        <v>38</v>
      </c>
      <c r="K15" s="53" t="s">
        <v>161</v>
      </c>
      <c r="L15" s="53">
        <v>2</v>
      </c>
      <c r="N15" s="53">
        <v>1</v>
      </c>
      <c r="O15" s="53">
        <v>0.55000000000000004</v>
      </c>
      <c r="P15" s="53">
        <v>0.65</v>
      </c>
      <c r="Q15" s="84">
        <f t="shared" si="0"/>
        <v>0.60000000000000009</v>
      </c>
      <c r="R15" s="53">
        <v>13.7</v>
      </c>
      <c r="S15" s="53">
        <v>118</v>
      </c>
      <c r="T15" s="16">
        <f t="shared" si="1"/>
        <v>30</v>
      </c>
      <c r="U15" s="53">
        <v>84</v>
      </c>
      <c r="V15" s="16">
        <f t="shared" si="2"/>
        <v>2520</v>
      </c>
      <c r="W15" s="53">
        <v>4</v>
      </c>
      <c r="X15" s="53" t="s">
        <v>46</v>
      </c>
      <c r="Y15" s="53" t="s">
        <v>88</v>
      </c>
      <c r="Z15" s="53" t="s">
        <v>78</v>
      </c>
      <c r="AA15" s="53" t="s">
        <v>55</v>
      </c>
      <c r="AB15" s="53" t="s">
        <v>236</v>
      </c>
      <c r="AE15" s="22" t="s">
        <v>79</v>
      </c>
      <c r="AP15" s="23" t="s">
        <v>77</v>
      </c>
      <c r="AR15" s="23" t="s">
        <v>94</v>
      </c>
      <c r="AV15" s="23" t="s">
        <v>107</v>
      </c>
    </row>
    <row r="16" spans="1:53" x14ac:dyDescent="0.15">
      <c r="A16" s="53" t="s">
        <v>56</v>
      </c>
      <c r="B16" s="53" t="s">
        <v>232</v>
      </c>
      <c r="C16" s="53">
        <v>2019</v>
      </c>
      <c r="D16" s="97" t="s">
        <v>233</v>
      </c>
      <c r="E16" s="53" t="s">
        <v>162</v>
      </c>
      <c r="F16" s="53" t="s">
        <v>251</v>
      </c>
      <c r="G16" s="53" t="s">
        <v>42</v>
      </c>
      <c r="H16" s="53" t="s">
        <v>164</v>
      </c>
      <c r="I16" s="53" t="s">
        <v>159</v>
      </c>
      <c r="J16" s="53" t="s">
        <v>38</v>
      </c>
      <c r="K16" s="53" t="s">
        <v>161</v>
      </c>
      <c r="L16" s="53">
        <v>3</v>
      </c>
      <c r="N16" s="53">
        <v>1</v>
      </c>
      <c r="O16" s="53">
        <v>0.55000000000000004</v>
      </c>
      <c r="P16" s="53">
        <v>0.6</v>
      </c>
      <c r="Q16" s="84">
        <f t="shared" si="0"/>
        <v>0.57499999999999996</v>
      </c>
      <c r="R16" s="53">
        <v>13</v>
      </c>
      <c r="S16" s="53">
        <v>115</v>
      </c>
      <c r="T16" s="16">
        <f t="shared" si="1"/>
        <v>30</v>
      </c>
      <c r="U16" s="53">
        <v>84</v>
      </c>
      <c r="V16" s="16">
        <f t="shared" si="2"/>
        <v>2520</v>
      </c>
      <c r="W16" s="53">
        <v>4</v>
      </c>
      <c r="X16" s="53" t="s">
        <v>46</v>
      </c>
      <c r="Y16" s="53" t="s">
        <v>88</v>
      </c>
      <c r="Z16" s="53" t="s">
        <v>78</v>
      </c>
      <c r="AA16" s="53" t="s">
        <v>55</v>
      </c>
      <c r="AB16" s="53" t="s">
        <v>236</v>
      </c>
      <c r="AE16" s="22" t="s">
        <v>82</v>
      </c>
      <c r="AP16" s="23" t="s">
        <v>80</v>
      </c>
      <c r="AR16" s="23" t="s">
        <v>63</v>
      </c>
      <c r="AV16" s="23" t="s">
        <v>84</v>
      </c>
    </row>
    <row r="17" spans="1:48" x14ac:dyDescent="0.15">
      <c r="A17" s="53" t="s">
        <v>56</v>
      </c>
      <c r="B17" s="53" t="s">
        <v>232</v>
      </c>
      <c r="C17" s="53">
        <v>2019</v>
      </c>
      <c r="D17" s="97" t="s">
        <v>233</v>
      </c>
      <c r="E17" s="53" t="s">
        <v>162</v>
      </c>
      <c r="F17" s="53" t="s">
        <v>251</v>
      </c>
      <c r="G17" s="53" t="s">
        <v>42</v>
      </c>
      <c r="H17" s="53" t="s">
        <v>160</v>
      </c>
      <c r="I17" s="53" t="s">
        <v>159</v>
      </c>
      <c r="J17" s="53" t="s">
        <v>38</v>
      </c>
      <c r="K17" s="53" t="s">
        <v>161</v>
      </c>
      <c r="L17" s="53">
        <v>1</v>
      </c>
      <c r="N17" s="53">
        <v>1</v>
      </c>
      <c r="O17" s="53">
        <v>0.55000000000000004</v>
      </c>
      <c r="P17" s="53">
        <v>0.55000000000000004</v>
      </c>
      <c r="Q17" s="84">
        <f t="shared" si="0"/>
        <v>0.55000000000000004</v>
      </c>
      <c r="R17" s="53">
        <v>14.8</v>
      </c>
      <c r="S17" s="53">
        <v>114</v>
      </c>
      <c r="T17" s="16">
        <f t="shared" si="1"/>
        <v>30</v>
      </c>
      <c r="U17" s="53">
        <v>106</v>
      </c>
      <c r="V17" s="16">
        <f t="shared" si="2"/>
        <v>3180</v>
      </c>
      <c r="W17" s="53">
        <v>4</v>
      </c>
      <c r="X17" s="53" t="s">
        <v>46</v>
      </c>
      <c r="Y17" s="53" t="s">
        <v>88</v>
      </c>
      <c r="Z17" s="53" t="s">
        <v>78</v>
      </c>
      <c r="AA17" s="53" t="s">
        <v>55</v>
      </c>
      <c r="AB17" s="53" t="s">
        <v>236</v>
      </c>
      <c r="AE17" s="22" t="s">
        <v>85</v>
      </c>
      <c r="AP17" s="27" t="s">
        <v>110</v>
      </c>
      <c r="AR17" s="23" t="s">
        <v>96</v>
      </c>
      <c r="AV17" s="23" t="s">
        <v>86</v>
      </c>
    </row>
    <row r="18" spans="1:48" x14ac:dyDescent="0.15">
      <c r="A18" s="53" t="s">
        <v>56</v>
      </c>
      <c r="B18" s="53" t="s">
        <v>232</v>
      </c>
      <c r="C18" s="53">
        <v>2019</v>
      </c>
      <c r="D18" s="97" t="s">
        <v>233</v>
      </c>
      <c r="E18" s="53" t="s">
        <v>162</v>
      </c>
      <c r="F18" s="53" t="s">
        <v>251</v>
      </c>
      <c r="G18" s="53" t="s">
        <v>42</v>
      </c>
      <c r="H18" s="53" t="s">
        <v>160</v>
      </c>
      <c r="I18" s="53" t="s">
        <v>159</v>
      </c>
      <c r="J18" s="53" t="s">
        <v>38</v>
      </c>
      <c r="K18" s="53" t="s">
        <v>161</v>
      </c>
      <c r="L18" s="53">
        <v>2</v>
      </c>
      <c r="N18" s="53">
        <v>1</v>
      </c>
      <c r="O18" s="53">
        <v>0.55000000000000004</v>
      </c>
      <c r="P18" s="53">
        <v>0.55000000000000004</v>
      </c>
      <c r="Q18" s="84">
        <f t="shared" si="0"/>
        <v>0.55000000000000004</v>
      </c>
      <c r="R18" s="53">
        <v>12.3</v>
      </c>
      <c r="S18" s="53">
        <v>119</v>
      </c>
      <c r="T18" s="16">
        <f t="shared" si="1"/>
        <v>30</v>
      </c>
      <c r="U18" s="53">
        <v>106</v>
      </c>
      <c r="V18" s="16">
        <f t="shared" si="2"/>
        <v>3180</v>
      </c>
      <c r="W18" s="53">
        <v>4</v>
      </c>
      <c r="X18" s="53" t="s">
        <v>46</v>
      </c>
      <c r="Y18" s="53" t="s">
        <v>88</v>
      </c>
      <c r="Z18" s="53" t="s">
        <v>78</v>
      </c>
      <c r="AA18" s="53" t="s">
        <v>55</v>
      </c>
      <c r="AB18" s="53" t="s">
        <v>236</v>
      </c>
      <c r="AE18" s="22" t="s">
        <v>87</v>
      </c>
      <c r="AP18" s="27" t="s">
        <v>111</v>
      </c>
      <c r="AR18" s="23" t="s">
        <v>101</v>
      </c>
      <c r="AV18" s="23" t="s">
        <v>88</v>
      </c>
    </row>
    <row r="19" spans="1:48" x14ac:dyDescent="0.15">
      <c r="A19" s="53" t="s">
        <v>56</v>
      </c>
      <c r="B19" s="53" t="s">
        <v>232</v>
      </c>
      <c r="C19" s="53">
        <v>2019</v>
      </c>
      <c r="D19" s="97" t="s">
        <v>233</v>
      </c>
      <c r="E19" s="53" t="s">
        <v>162</v>
      </c>
      <c r="F19" s="53" t="s">
        <v>251</v>
      </c>
      <c r="G19" s="53" t="s">
        <v>42</v>
      </c>
      <c r="H19" s="53" t="s">
        <v>160</v>
      </c>
      <c r="I19" s="53" t="s">
        <v>159</v>
      </c>
      <c r="J19" s="53" t="s">
        <v>38</v>
      </c>
      <c r="K19" s="53" t="s">
        <v>161</v>
      </c>
      <c r="L19" s="53">
        <v>3</v>
      </c>
      <c r="N19" s="53">
        <v>1</v>
      </c>
      <c r="O19" s="53">
        <v>0.65</v>
      </c>
      <c r="P19" s="53">
        <v>0.55000000000000004</v>
      </c>
      <c r="Q19" s="84">
        <f t="shared" si="0"/>
        <v>0.60000000000000009</v>
      </c>
      <c r="R19" s="53">
        <v>11.5</v>
      </c>
      <c r="S19" s="53">
        <v>121</v>
      </c>
      <c r="T19" s="16">
        <f t="shared" si="1"/>
        <v>27</v>
      </c>
      <c r="U19" s="53">
        <v>106</v>
      </c>
      <c r="V19" s="16">
        <f t="shared" si="2"/>
        <v>2862</v>
      </c>
      <c r="W19" s="53">
        <v>4</v>
      </c>
      <c r="X19" s="53" t="s">
        <v>46</v>
      </c>
      <c r="Y19" s="53" t="s">
        <v>88</v>
      </c>
      <c r="Z19" s="53" t="s">
        <v>78</v>
      </c>
      <c r="AA19" s="53" t="s">
        <v>55</v>
      </c>
      <c r="AB19" s="53" t="s">
        <v>236</v>
      </c>
      <c r="AE19" s="35" t="s">
        <v>89</v>
      </c>
      <c r="AP19" s="27" t="s">
        <v>112</v>
      </c>
      <c r="AR19" s="23" t="s">
        <v>126</v>
      </c>
      <c r="AV19" s="23" t="s">
        <v>90</v>
      </c>
    </row>
    <row r="20" spans="1:48" x14ac:dyDescent="0.15">
      <c r="A20" s="53" t="s">
        <v>56</v>
      </c>
      <c r="B20" s="53" t="s">
        <v>232</v>
      </c>
      <c r="C20" s="53">
        <v>2019</v>
      </c>
      <c r="D20" s="97" t="s">
        <v>233</v>
      </c>
      <c r="E20" s="53" t="s">
        <v>252</v>
      </c>
      <c r="F20" s="53" t="s">
        <v>253</v>
      </c>
      <c r="G20" s="53" t="s">
        <v>42</v>
      </c>
      <c r="H20" s="53" t="s">
        <v>164</v>
      </c>
      <c r="I20" s="53" t="s">
        <v>159</v>
      </c>
      <c r="J20" s="53" t="s">
        <v>38</v>
      </c>
      <c r="K20" s="53" t="s">
        <v>161</v>
      </c>
      <c r="L20" s="53">
        <v>1</v>
      </c>
      <c r="N20" s="53">
        <v>8</v>
      </c>
      <c r="O20" s="53">
        <v>0.5</v>
      </c>
      <c r="P20" s="53">
        <v>0.5</v>
      </c>
      <c r="Q20" s="84">
        <f t="shared" si="0"/>
        <v>0.5</v>
      </c>
      <c r="R20" s="53">
        <v>15.6</v>
      </c>
      <c r="S20" s="53">
        <v>96</v>
      </c>
      <c r="T20" s="16">
        <f t="shared" si="1"/>
        <v>36</v>
      </c>
      <c r="U20" s="53">
        <v>538</v>
      </c>
      <c r="V20" s="16">
        <f t="shared" si="2"/>
        <v>2421</v>
      </c>
      <c r="W20" s="53">
        <v>4</v>
      </c>
      <c r="X20" s="53" t="s">
        <v>46</v>
      </c>
      <c r="Y20" s="53" t="s">
        <v>55</v>
      </c>
      <c r="Z20" s="53" t="s">
        <v>88</v>
      </c>
      <c r="AA20" s="53" t="s">
        <v>97</v>
      </c>
      <c r="AB20" s="53" t="s">
        <v>236</v>
      </c>
      <c r="AP20" s="27" t="s">
        <v>113</v>
      </c>
      <c r="AR20" s="23" t="s">
        <v>105</v>
      </c>
      <c r="AV20" s="27" t="s">
        <v>135</v>
      </c>
    </row>
    <row r="21" spans="1:48" x14ac:dyDescent="0.15">
      <c r="A21" s="53" t="s">
        <v>56</v>
      </c>
      <c r="B21" s="53" t="s">
        <v>232</v>
      </c>
      <c r="C21" s="53">
        <v>2019</v>
      </c>
      <c r="D21" s="97" t="s">
        <v>233</v>
      </c>
      <c r="E21" s="53" t="s">
        <v>252</v>
      </c>
      <c r="F21" s="53" t="s">
        <v>253</v>
      </c>
      <c r="G21" s="53" t="s">
        <v>42</v>
      </c>
      <c r="H21" s="53" t="s">
        <v>164</v>
      </c>
      <c r="I21" s="53" t="s">
        <v>159</v>
      </c>
      <c r="J21" s="53" t="s">
        <v>38</v>
      </c>
      <c r="K21" s="53" t="s">
        <v>161</v>
      </c>
      <c r="L21" s="53">
        <v>2</v>
      </c>
      <c r="N21" s="53">
        <v>8</v>
      </c>
      <c r="O21" s="53">
        <v>0.65</v>
      </c>
      <c r="P21" s="53">
        <v>0.65</v>
      </c>
      <c r="Q21" s="84">
        <f t="shared" si="0"/>
        <v>0.65</v>
      </c>
      <c r="R21" s="53">
        <v>14.2</v>
      </c>
      <c r="S21" s="53">
        <v>102</v>
      </c>
      <c r="T21" s="16">
        <f t="shared" si="1"/>
        <v>33</v>
      </c>
      <c r="U21" s="53">
        <v>538</v>
      </c>
      <c r="V21" s="16">
        <f t="shared" si="2"/>
        <v>2219.25</v>
      </c>
      <c r="W21" s="53">
        <v>4</v>
      </c>
      <c r="X21" s="53" t="s">
        <v>46</v>
      </c>
      <c r="Y21" s="53" t="s">
        <v>55</v>
      </c>
      <c r="Z21" s="53" t="s">
        <v>88</v>
      </c>
      <c r="AA21" s="53" t="s">
        <v>97</v>
      </c>
      <c r="AB21" s="53" t="s">
        <v>236</v>
      </c>
      <c r="AP21" s="27" t="s">
        <v>114</v>
      </c>
      <c r="AR21" s="23" t="s">
        <v>68</v>
      </c>
      <c r="AV21" s="28" t="s">
        <v>254</v>
      </c>
    </row>
    <row r="22" spans="1:48" x14ac:dyDescent="0.15">
      <c r="A22" s="53" t="s">
        <v>56</v>
      </c>
      <c r="B22" s="53" t="s">
        <v>232</v>
      </c>
      <c r="C22" s="53">
        <v>2019</v>
      </c>
      <c r="D22" s="97" t="s">
        <v>233</v>
      </c>
      <c r="E22" s="53" t="s">
        <v>252</v>
      </c>
      <c r="F22" s="53" t="s">
        <v>253</v>
      </c>
      <c r="G22" s="53" t="s">
        <v>42</v>
      </c>
      <c r="H22" s="53" t="s">
        <v>164</v>
      </c>
      <c r="I22" s="53" t="s">
        <v>159</v>
      </c>
      <c r="J22" s="53" t="s">
        <v>38</v>
      </c>
      <c r="K22" s="53" t="s">
        <v>161</v>
      </c>
      <c r="L22" s="53">
        <v>3</v>
      </c>
      <c r="N22" s="53">
        <v>8</v>
      </c>
      <c r="O22" s="53">
        <v>0.55000000000000004</v>
      </c>
      <c r="P22" s="53">
        <v>0.6</v>
      </c>
      <c r="Q22" s="84">
        <f t="shared" si="0"/>
        <v>0.57499999999999996</v>
      </c>
      <c r="R22" s="53">
        <v>14</v>
      </c>
      <c r="S22" s="53">
        <v>95</v>
      </c>
      <c r="T22" s="16">
        <f t="shared" si="1"/>
        <v>36</v>
      </c>
      <c r="U22" s="53">
        <v>538</v>
      </c>
      <c r="V22" s="16">
        <f t="shared" si="2"/>
        <v>2421</v>
      </c>
      <c r="W22" s="53">
        <v>4</v>
      </c>
      <c r="X22" s="53" t="s">
        <v>46</v>
      </c>
      <c r="Y22" s="53" t="s">
        <v>55</v>
      </c>
      <c r="Z22" s="53" t="s">
        <v>88</v>
      </c>
      <c r="AA22" s="53" t="s">
        <v>97</v>
      </c>
      <c r="AB22" s="53" t="s">
        <v>236</v>
      </c>
      <c r="AP22" s="27" t="s">
        <v>115</v>
      </c>
      <c r="AR22" s="23" t="s">
        <v>83</v>
      </c>
    </row>
    <row r="23" spans="1:48" x14ac:dyDescent="0.15">
      <c r="A23" s="53" t="s">
        <v>56</v>
      </c>
      <c r="B23" s="53" t="s">
        <v>232</v>
      </c>
      <c r="C23" s="53">
        <v>2019</v>
      </c>
      <c r="D23" s="97" t="s">
        <v>233</v>
      </c>
      <c r="E23" s="53" t="s">
        <v>252</v>
      </c>
      <c r="F23" s="53" t="s">
        <v>253</v>
      </c>
      <c r="G23" s="53" t="s">
        <v>42</v>
      </c>
      <c r="H23" s="53" t="s">
        <v>160</v>
      </c>
      <c r="I23" s="53" t="s">
        <v>159</v>
      </c>
      <c r="J23" s="53" t="s">
        <v>38</v>
      </c>
      <c r="K23" s="53" t="s">
        <v>161</v>
      </c>
      <c r="L23" s="53">
        <v>1</v>
      </c>
      <c r="N23" s="53">
        <v>1</v>
      </c>
      <c r="O23" s="53">
        <v>0.55000000000000004</v>
      </c>
      <c r="P23" s="53">
        <v>0.5</v>
      </c>
      <c r="Q23" s="84">
        <f t="shared" si="0"/>
        <v>0.52500000000000002</v>
      </c>
      <c r="R23" s="53">
        <v>14.3</v>
      </c>
      <c r="S23" s="53">
        <v>129</v>
      </c>
      <c r="T23" s="16">
        <f t="shared" si="1"/>
        <v>25</v>
      </c>
      <c r="U23" s="53">
        <v>138</v>
      </c>
      <c r="V23" s="16">
        <f t="shared" si="2"/>
        <v>3450</v>
      </c>
      <c r="W23" s="53">
        <v>6</v>
      </c>
      <c r="X23" s="53" t="s">
        <v>46</v>
      </c>
      <c r="Y23" s="53" t="s">
        <v>55</v>
      </c>
      <c r="Z23" s="53" t="s">
        <v>88</v>
      </c>
      <c r="AA23" s="53" t="s">
        <v>97</v>
      </c>
      <c r="AB23" s="53" t="s">
        <v>236</v>
      </c>
      <c r="AP23" s="27" t="s">
        <v>137</v>
      </c>
      <c r="AR23" s="23" t="s">
        <v>61</v>
      </c>
    </row>
    <row r="24" spans="1:48" x14ac:dyDescent="0.15">
      <c r="A24" s="53" t="s">
        <v>56</v>
      </c>
      <c r="B24" s="53" t="s">
        <v>232</v>
      </c>
      <c r="C24" s="53">
        <v>2019</v>
      </c>
      <c r="D24" s="97" t="s">
        <v>233</v>
      </c>
      <c r="E24" s="53" t="s">
        <v>252</v>
      </c>
      <c r="F24" s="53" t="s">
        <v>253</v>
      </c>
      <c r="G24" s="53" t="s">
        <v>42</v>
      </c>
      <c r="H24" s="53" t="s">
        <v>160</v>
      </c>
      <c r="I24" s="53" t="s">
        <v>159</v>
      </c>
      <c r="J24" s="53" t="s">
        <v>38</v>
      </c>
      <c r="K24" s="53" t="s">
        <v>161</v>
      </c>
      <c r="L24" s="53">
        <v>2</v>
      </c>
      <c r="N24" s="53">
        <v>1</v>
      </c>
      <c r="O24" s="53">
        <v>0.5</v>
      </c>
      <c r="P24" s="53">
        <v>0.5</v>
      </c>
      <c r="Q24" s="84">
        <f t="shared" si="0"/>
        <v>0.5</v>
      </c>
      <c r="R24" s="53">
        <v>13.3</v>
      </c>
      <c r="S24" s="53">
        <v>128</v>
      </c>
      <c r="T24" s="16">
        <f t="shared" si="1"/>
        <v>27</v>
      </c>
      <c r="U24" s="53">
        <v>138</v>
      </c>
      <c r="V24" s="16">
        <f t="shared" si="2"/>
        <v>3726</v>
      </c>
      <c r="W24" s="53">
        <v>6</v>
      </c>
      <c r="X24" s="53" t="s">
        <v>46</v>
      </c>
      <c r="Y24" s="53" t="s">
        <v>55</v>
      </c>
      <c r="Z24" s="53" t="s">
        <v>88</v>
      </c>
      <c r="AA24" s="53" t="s">
        <v>97</v>
      </c>
      <c r="AB24" s="53" t="s">
        <v>236</v>
      </c>
      <c r="AP24" s="27" t="s">
        <v>138</v>
      </c>
      <c r="AR24" s="23" t="s">
        <v>91</v>
      </c>
    </row>
    <row r="25" spans="1:48" x14ac:dyDescent="0.15">
      <c r="A25" s="53" t="s">
        <v>56</v>
      </c>
      <c r="B25" s="53" t="s">
        <v>232</v>
      </c>
      <c r="C25" s="53">
        <v>2019</v>
      </c>
      <c r="D25" s="97" t="s">
        <v>233</v>
      </c>
      <c r="E25" s="53" t="s">
        <v>252</v>
      </c>
      <c r="F25" s="53" t="s">
        <v>253</v>
      </c>
      <c r="G25" s="53" t="s">
        <v>42</v>
      </c>
      <c r="H25" s="53" t="s">
        <v>160</v>
      </c>
      <c r="I25" s="53" t="s">
        <v>159</v>
      </c>
      <c r="J25" s="53" t="s">
        <v>38</v>
      </c>
      <c r="K25" s="53" t="s">
        <v>161</v>
      </c>
      <c r="L25" s="53">
        <v>3</v>
      </c>
      <c r="N25" s="53">
        <v>1</v>
      </c>
      <c r="O25" s="53">
        <v>0.6</v>
      </c>
      <c r="P25" s="53">
        <v>0.6</v>
      </c>
      <c r="Q25" s="84">
        <f t="shared" si="0"/>
        <v>0.6</v>
      </c>
      <c r="R25" s="53">
        <v>14.9</v>
      </c>
      <c r="S25" s="53">
        <v>131</v>
      </c>
      <c r="T25" s="16">
        <f t="shared" si="1"/>
        <v>25</v>
      </c>
      <c r="U25" s="53">
        <v>138</v>
      </c>
      <c r="V25" s="16">
        <f t="shared" si="2"/>
        <v>3450</v>
      </c>
      <c r="W25" s="53">
        <v>6</v>
      </c>
      <c r="X25" s="53" t="s">
        <v>46</v>
      </c>
      <c r="Y25" s="53" t="s">
        <v>55</v>
      </c>
      <c r="Z25" s="53" t="s">
        <v>88</v>
      </c>
      <c r="AA25" s="53" t="s">
        <v>97</v>
      </c>
      <c r="AB25" s="53" t="s">
        <v>236</v>
      </c>
      <c r="AP25" s="27" t="s">
        <v>116</v>
      </c>
      <c r="AR25" s="27" t="s">
        <v>92</v>
      </c>
    </row>
    <row r="26" spans="1:48" x14ac:dyDescent="0.15">
      <c r="A26" s="53" t="s">
        <v>56</v>
      </c>
      <c r="B26" s="53" t="s">
        <v>232</v>
      </c>
      <c r="C26" s="53">
        <v>2019</v>
      </c>
      <c r="D26" s="97" t="s">
        <v>233</v>
      </c>
      <c r="E26" s="53" t="s">
        <v>255</v>
      </c>
      <c r="F26" s="53" t="s">
        <v>251</v>
      </c>
      <c r="G26" s="53" t="s">
        <v>42</v>
      </c>
      <c r="H26" s="53" t="s">
        <v>164</v>
      </c>
      <c r="I26" s="53" t="s">
        <v>159</v>
      </c>
      <c r="J26" s="53" t="s">
        <v>38</v>
      </c>
      <c r="K26" s="53" t="s">
        <v>161</v>
      </c>
      <c r="L26" s="53">
        <v>1</v>
      </c>
      <c r="N26" s="53">
        <v>5</v>
      </c>
      <c r="O26" s="53">
        <v>0.6</v>
      </c>
      <c r="P26" s="53">
        <v>0.55000000000000004</v>
      </c>
      <c r="Q26" s="16">
        <f t="shared" si="0"/>
        <v>0.57499999999999996</v>
      </c>
      <c r="R26" s="53">
        <v>14.6</v>
      </c>
      <c r="S26" s="53">
        <v>101</v>
      </c>
      <c r="T26" s="16">
        <f t="shared" si="1"/>
        <v>33</v>
      </c>
      <c r="U26" s="53">
        <v>418</v>
      </c>
      <c r="V26" s="16">
        <f t="shared" si="2"/>
        <v>2758.7999999999997</v>
      </c>
      <c r="W26" s="53">
        <v>3</v>
      </c>
      <c r="X26" s="53" t="s">
        <v>39</v>
      </c>
      <c r="Y26" s="53" t="s">
        <v>55</v>
      </c>
      <c r="Z26" s="53" t="s">
        <v>78</v>
      </c>
      <c r="AA26" s="53" t="s">
        <v>60</v>
      </c>
      <c r="AB26" s="53" t="s">
        <v>236</v>
      </c>
      <c r="AP26" s="27" t="s">
        <v>117</v>
      </c>
      <c r="AR26" s="53" t="s">
        <v>153</v>
      </c>
    </row>
    <row r="27" spans="1:48" x14ac:dyDescent="0.15">
      <c r="A27" s="53" t="s">
        <v>56</v>
      </c>
      <c r="B27" s="53" t="s">
        <v>232</v>
      </c>
      <c r="C27" s="53">
        <v>2019</v>
      </c>
      <c r="D27" s="97" t="s">
        <v>233</v>
      </c>
      <c r="E27" s="53" t="s">
        <v>255</v>
      </c>
      <c r="F27" s="53" t="s">
        <v>251</v>
      </c>
      <c r="G27" s="53" t="s">
        <v>42</v>
      </c>
      <c r="H27" s="53" t="s">
        <v>164</v>
      </c>
      <c r="I27" s="53" t="s">
        <v>159</v>
      </c>
      <c r="J27" s="53" t="s">
        <v>38</v>
      </c>
      <c r="K27" s="53" t="s">
        <v>161</v>
      </c>
      <c r="L27" s="53">
        <v>2</v>
      </c>
      <c r="N27" s="53">
        <v>5</v>
      </c>
      <c r="O27" s="53">
        <v>0.6</v>
      </c>
      <c r="P27" s="53">
        <v>0.6</v>
      </c>
      <c r="Q27" s="16">
        <f t="shared" si="0"/>
        <v>0.6</v>
      </c>
      <c r="R27" s="53">
        <v>12.2</v>
      </c>
      <c r="S27" s="53">
        <v>100</v>
      </c>
      <c r="T27" s="16">
        <f t="shared" si="1"/>
        <v>33</v>
      </c>
      <c r="U27" s="53">
        <v>418</v>
      </c>
      <c r="V27" s="16">
        <f t="shared" si="2"/>
        <v>2758.7999999999997</v>
      </c>
      <c r="W27" s="53">
        <v>3</v>
      </c>
      <c r="X27" s="53" t="s">
        <v>39</v>
      </c>
      <c r="Y27" s="53" t="s">
        <v>55</v>
      </c>
      <c r="Z27" s="53" t="s">
        <v>78</v>
      </c>
      <c r="AA27" s="53" t="s">
        <v>60</v>
      </c>
      <c r="AB27" s="53" t="s">
        <v>236</v>
      </c>
      <c r="AP27" s="27" t="s">
        <v>118</v>
      </c>
    </row>
    <row r="28" spans="1:48" x14ac:dyDescent="0.15">
      <c r="A28" s="53" t="s">
        <v>56</v>
      </c>
      <c r="B28" s="53" t="s">
        <v>232</v>
      </c>
      <c r="C28" s="53">
        <v>2019</v>
      </c>
      <c r="D28" s="97" t="s">
        <v>233</v>
      </c>
      <c r="E28" s="53" t="s">
        <v>255</v>
      </c>
      <c r="F28" s="53" t="s">
        <v>251</v>
      </c>
      <c r="G28" s="53" t="s">
        <v>42</v>
      </c>
      <c r="H28" s="53" t="s">
        <v>164</v>
      </c>
      <c r="I28" s="53" t="s">
        <v>159</v>
      </c>
      <c r="J28" s="53" t="s">
        <v>38</v>
      </c>
      <c r="K28" s="53" t="s">
        <v>161</v>
      </c>
      <c r="L28" s="53">
        <v>3</v>
      </c>
      <c r="N28" s="53">
        <v>5</v>
      </c>
      <c r="O28" s="53">
        <v>0.6</v>
      </c>
      <c r="P28" s="53">
        <v>0.6</v>
      </c>
      <c r="Q28" s="16">
        <f t="shared" si="0"/>
        <v>0.6</v>
      </c>
      <c r="R28" s="53">
        <v>15.7</v>
      </c>
      <c r="S28" s="53">
        <v>100</v>
      </c>
      <c r="T28" s="16">
        <f t="shared" si="1"/>
        <v>33</v>
      </c>
      <c r="U28" s="53">
        <v>418</v>
      </c>
      <c r="V28" s="16">
        <f t="shared" si="2"/>
        <v>2758.7999999999997</v>
      </c>
      <c r="W28" s="53">
        <v>3</v>
      </c>
      <c r="X28" s="53" t="s">
        <v>39</v>
      </c>
      <c r="Y28" s="53" t="s">
        <v>55</v>
      </c>
      <c r="Z28" s="53" t="s">
        <v>78</v>
      </c>
      <c r="AA28" s="53" t="s">
        <v>60</v>
      </c>
      <c r="AB28" s="53" t="s">
        <v>236</v>
      </c>
    </row>
    <row r="29" spans="1:48" x14ac:dyDescent="0.15">
      <c r="A29" s="53" t="s">
        <v>56</v>
      </c>
      <c r="B29" s="53" t="s">
        <v>232</v>
      </c>
      <c r="C29" s="53">
        <v>2019</v>
      </c>
      <c r="D29" s="97" t="s">
        <v>233</v>
      </c>
      <c r="E29" s="53" t="s">
        <v>255</v>
      </c>
      <c r="F29" s="53" t="s">
        <v>251</v>
      </c>
      <c r="G29" s="53" t="s">
        <v>42</v>
      </c>
      <c r="H29" s="53" t="s">
        <v>160</v>
      </c>
      <c r="I29" s="53" t="s">
        <v>159</v>
      </c>
      <c r="J29" s="53" t="s">
        <v>38</v>
      </c>
      <c r="K29" s="53" t="s">
        <v>161</v>
      </c>
      <c r="L29" s="53">
        <v>1</v>
      </c>
      <c r="N29" s="53">
        <v>4</v>
      </c>
      <c r="O29" s="53">
        <v>0.65</v>
      </c>
      <c r="P29" s="53">
        <v>0.75</v>
      </c>
      <c r="Q29" s="16">
        <f t="shared" si="0"/>
        <v>0.7</v>
      </c>
      <c r="R29" s="53">
        <v>11.9</v>
      </c>
      <c r="S29" s="53">
        <v>96</v>
      </c>
      <c r="T29" s="16">
        <f t="shared" si="1"/>
        <v>36</v>
      </c>
      <c r="U29" s="53">
        <v>418</v>
      </c>
      <c r="V29" s="16">
        <f t="shared" si="2"/>
        <v>3762</v>
      </c>
      <c r="W29" s="53">
        <v>3</v>
      </c>
      <c r="X29" s="53" t="s">
        <v>39</v>
      </c>
      <c r="Y29" s="53" t="s">
        <v>55</v>
      </c>
      <c r="Z29" s="53" t="s">
        <v>78</v>
      </c>
      <c r="AA29" s="53" t="s">
        <v>60</v>
      </c>
      <c r="AB29" s="53" t="s">
        <v>236</v>
      </c>
    </row>
    <row r="30" spans="1:48" x14ac:dyDescent="0.15">
      <c r="A30" s="53" t="s">
        <v>56</v>
      </c>
      <c r="B30" s="53" t="s">
        <v>232</v>
      </c>
      <c r="C30" s="53">
        <v>2019</v>
      </c>
      <c r="D30" s="97" t="s">
        <v>233</v>
      </c>
      <c r="E30" s="53" t="s">
        <v>255</v>
      </c>
      <c r="F30" s="53" t="s">
        <v>251</v>
      </c>
      <c r="G30" s="53" t="s">
        <v>42</v>
      </c>
      <c r="H30" s="53" t="s">
        <v>160</v>
      </c>
      <c r="I30" s="53" t="s">
        <v>159</v>
      </c>
      <c r="J30" s="53" t="s">
        <v>38</v>
      </c>
      <c r="K30" s="53" t="s">
        <v>161</v>
      </c>
      <c r="L30" s="53">
        <v>2</v>
      </c>
      <c r="N30" s="53">
        <v>4</v>
      </c>
      <c r="O30" s="53">
        <v>0.75</v>
      </c>
      <c r="P30" s="53">
        <v>0.8</v>
      </c>
      <c r="Q30" s="16">
        <f t="shared" si="0"/>
        <v>0.77500000000000002</v>
      </c>
      <c r="R30" s="53">
        <v>13.3</v>
      </c>
      <c r="S30" s="53">
        <v>92</v>
      </c>
      <c r="T30" s="16">
        <f t="shared" si="1"/>
        <v>36</v>
      </c>
      <c r="U30" s="53">
        <v>418</v>
      </c>
      <c r="V30" s="16">
        <f t="shared" si="2"/>
        <v>3762</v>
      </c>
      <c r="W30" s="53">
        <v>3</v>
      </c>
      <c r="X30" s="53" t="s">
        <v>39</v>
      </c>
      <c r="Y30" s="53" t="s">
        <v>55</v>
      </c>
      <c r="Z30" s="53" t="s">
        <v>78</v>
      </c>
      <c r="AA30" s="53" t="s">
        <v>60</v>
      </c>
      <c r="AB30" s="53" t="s">
        <v>236</v>
      </c>
    </row>
    <row r="31" spans="1:48" x14ac:dyDescent="0.15">
      <c r="A31" s="53" t="s">
        <v>56</v>
      </c>
      <c r="B31" s="53" t="s">
        <v>232</v>
      </c>
      <c r="C31" s="53">
        <v>2019</v>
      </c>
      <c r="D31" s="97" t="s">
        <v>233</v>
      </c>
      <c r="E31" s="53" t="s">
        <v>255</v>
      </c>
      <c r="F31" s="53" t="s">
        <v>251</v>
      </c>
      <c r="G31" s="53" t="s">
        <v>42</v>
      </c>
      <c r="H31" s="53" t="s">
        <v>160</v>
      </c>
      <c r="I31" s="53" t="s">
        <v>159</v>
      </c>
      <c r="J31" s="53" t="s">
        <v>38</v>
      </c>
      <c r="K31" s="53" t="s">
        <v>161</v>
      </c>
      <c r="L31" s="53">
        <v>3</v>
      </c>
      <c r="N31" s="53">
        <v>4</v>
      </c>
      <c r="O31" s="53">
        <v>0.7</v>
      </c>
      <c r="P31" s="53">
        <v>0.6</v>
      </c>
      <c r="Q31" s="16">
        <f t="shared" si="0"/>
        <v>0.64999999999999991</v>
      </c>
      <c r="R31" s="53">
        <v>12.8</v>
      </c>
      <c r="S31" s="53">
        <v>97</v>
      </c>
      <c r="T31" s="16">
        <f t="shared" si="1"/>
        <v>36</v>
      </c>
      <c r="U31" s="53">
        <v>418</v>
      </c>
      <c r="V31" s="16">
        <f t="shared" si="2"/>
        <v>3762</v>
      </c>
      <c r="W31" s="53">
        <v>3</v>
      </c>
      <c r="X31" s="53" t="s">
        <v>39</v>
      </c>
      <c r="Y31" s="53" t="s">
        <v>55</v>
      </c>
      <c r="Z31" s="53" t="s">
        <v>78</v>
      </c>
      <c r="AA31" s="53" t="s">
        <v>60</v>
      </c>
      <c r="AB31" s="53" t="s">
        <v>236</v>
      </c>
    </row>
    <row r="32" spans="1:48" x14ac:dyDescent="0.15">
      <c r="A32" s="53" t="s">
        <v>56</v>
      </c>
      <c r="B32" s="53" t="s">
        <v>232</v>
      </c>
      <c r="C32" s="53">
        <v>2019</v>
      </c>
      <c r="D32" s="97" t="s">
        <v>233</v>
      </c>
      <c r="E32" s="53" t="s">
        <v>162</v>
      </c>
      <c r="F32" s="53" t="s">
        <v>248</v>
      </c>
      <c r="G32" s="53" t="s">
        <v>42</v>
      </c>
      <c r="H32" s="53" t="s">
        <v>164</v>
      </c>
      <c r="I32" s="53" t="s">
        <v>159</v>
      </c>
      <c r="J32" s="53" t="s">
        <v>38</v>
      </c>
      <c r="K32" s="53" t="s">
        <v>161</v>
      </c>
      <c r="L32" s="53">
        <v>1</v>
      </c>
      <c r="N32" s="53">
        <v>1</v>
      </c>
      <c r="O32" s="53">
        <v>0.7</v>
      </c>
      <c r="P32" s="53">
        <v>0.7</v>
      </c>
      <c r="Q32" s="16">
        <f t="shared" si="0"/>
        <v>0.7</v>
      </c>
      <c r="R32" s="53">
        <v>12.6</v>
      </c>
      <c r="S32" s="53">
        <v>119</v>
      </c>
      <c r="T32" s="16">
        <f t="shared" si="1"/>
        <v>30</v>
      </c>
      <c r="U32" s="53">
        <v>84</v>
      </c>
      <c r="V32" s="16">
        <f t="shared" si="2"/>
        <v>2520</v>
      </c>
      <c r="W32" s="53">
        <v>2</v>
      </c>
      <c r="X32" s="53" t="s">
        <v>46</v>
      </c>
      <c r="Y32" s="53" t="s">
        <v>55</v>
      </c>
      <c r="Z32" s="53" t="s">
        <v>88</v>
      </c>
      <c r="AA32" s="53" t="s">
        <v>78</v>
      </c>
      <c r="AB32" s="53" t="s">
        <v>236</v>
      </c>
    </row>
    <row r="33" spans="1:28" x14ac:dyDescent="0.15">
      <c r="A33" s="53" t="s">
        <v>56</v>
      </c>
      <c r="B33" s="53" t="s">
        <v>232</v>
      </c>
      <c r="C33" s="53">
        <v>2019</v>
      </c>
      <c r="D33" s="97" t="s">
        <v>233</v>
      </c>
      <c r="E33" s="53" t="s">
        <v>162</v>
      </c>
      <c r="F33" s="53" t="s">
        <v>248</v>
      </c>
      <c r="G33" s="53" t="s">
        <v>42</v>
      </c>
      <c r="H33" s="53" t="s">
        <v>164</v>
      </c>
      <c r="I33" s="53" t="s">
        <v>159</v>
      </c>
      <c r="J33" s="53" t="s">
        <v>38</v>
      </c>
      <c r="K33" s="53" t="s">
        <v>161</v>
      </c>
      <c r="L33" s="53">
        <v>2</v>
      </c>
      <c r="N33" s="53">
        <v>1</v>
      </c>
      <c r="O33" s="53">
        <v>0.65</v>
      </c>
      <c r="P33" s="53">
        <v>0.8</v>
      </c>
      <c r="Q33" s="16">
        <f t="shared" si="0"/>
        <v>0.72500000000000009</v>
      </c>
      <c r="R33" s="53">
        <v>12.2</v>
      </c>
      <c r="S33" s="53">
        <v>120</v>
      </c>
      <c r="T33" s="16">
        <f t="shared" si="1"/>
        <v>30</v>
      </c>
      <c r="U33" s="53">
        <v>84</v>
      </c>
      <c r="V33" s="16">
        <f t="shared" si="2"/>
        <v>2520</v>
      </c>
      <c r="W33" s="53">
        <v>2</v>
      </c>
      <c r="X33" s="53" t="s">
        <v>46</v>
      </c>
      <c r="Y33" s="53" t="s">
        <v>55</v>
      </c>
      <c r="Z33" s="53" t="s">
        <v>88</v>
      </c>
      <c r="AA33" s="53" t="s">
        <v>78</v>
      </c>
      <c r="AB33" s="53" t="s">
        <v>236</v>
      </c>
    </row>
    <row r="34" spans="1:28" x14ac:dyDescent="0.15">
      <c r="A34" s="53" t="s">
        <v>56</v>
      </c>
      <c r="B34" s="53" t="s">
        <v>232</v>
      </c>
      <c r="C34" s="53">
        <v>2019</v>
      </c>
      <c r="D34" s="97" t="s">
        <v>233</v>
      </c>
      <c r="E34" s="53" t="s">
        <v>162</v>
      </c>
      <c r="F34" s="53" t="s">
        <v>248</v>
      </c>
      <c r="G34" s="53" t="s">
        <v>42</v>
      </c>
      <c r="H34" s="53" t="s">
        <v>164</v>
      </c>
      <c r="I34" s="53" t="s">
        <v>159</v>
      </c>
      <c r="J34" s="53" t="s">
        <v>38</v>
      </c>
      <c r="K34" s="53" t="s">
        <v>161</v>
      </c>
      <c r="L34" s="53">
        <v>3</v>
      </c>
      <c r="N34" s="53">
        <v>1</v>
      </c>
      <c r="O34" s="53">
        <v>0.75</v>
      </c>
      <c r="P34" s="53">
        <v>0.75</v>
      </c>
      <c r="Q34" s="16">
        <f t="shared" si="0"/>
        <v>0.75</v>
      </c>
      <c r="R34" s="53">
        <v>12.7</v>
      </c>
      <c r="S34" s="53">
        <v>117</v>
      </c>
      <c r="T34" s="16">
        <f t="shared" si="1"/>
        <v>30</v>
      </c>
      <c r="U34" s="53">
        <v>84</v>
      </c>
      <c r="V34" s="16">
        <f t="shared" si="2"/>
        <v>2520</v>
      </c>
      <c r="W34" s="53">
        <v>2</v>
      </c>
      <c r="X34" s="53" t="s">
        <v>46</v>
      </c>
      <c r="Y34" s="53" t="s">
        <v>55</v>
      </c>
      <c r="Z34" s="53" t="s">
        <v>88</v>
      </c>
      <c r="AA34" s="53" t="s">
        <v>78</v>
      </c>
      <c r="AB34" s="53" t="s">
        <v>236</v>
      </c>
    </row>
    <row r="35" spans="1:28" x14ac:dyDescent="0.15">
      <c r="A35" s="53" t="s">
        <v>56</v>
      </c>
      <c r="B35" s="53" t="s">
        <v>232</v>
      </c>
      <c r="C35" s="53">
        <v>2019</v>
      </c>
      <c r="D35" s="97" t="s">
        <v>233</v>
      </c>
      <c r="E35" s="53" t="s">
        <v>162</v>
      </c>
      <c r="F35" s="53" t="s">
        <v>248</v>
      </c>
      <c r="G35" s="53" t="s">
        <v>42</v>
      </c>
      <c r="H35" s="53" t="s">
        <v>160</v>
      </c>
      <c r="I35" s="53" t="s">
        <v>159</v>
      </c>
      <c r="J35" s="53" t="s">
        <v>38</v>
      </c>
      <c r="K35" s="53" t="s">
        <v>161</v>
      </c>
      <c r="L35" s="53">
        <v>1</v>
      </c>
      <c r="N35" s="53">
        <v>1</v>
      </c>
      <c r="O35" s="53">
        <v>0.6</v>
      </c>
      <c r="P35" s="53">
        <v>0.65</v>
      </c>
      <c r="Q35" s="16">
        <f t="shared" si="0"/>
        <v>0.625</v>
      </c>
      <c r="R35" s="53">
        <v>17.399999999999999</v>
      </c>
      <c r="S35" s="53">
        <v>117</v>
      </c>
      <c r="T35" s="16">
        <f t="shared" si="1"/>
        <v>30</v>
      </c>
      <c r="U35" s="53">
        <v>106</v>
      </c>
      <c r="V35" s="16">
        <f t="shared" si="2"/>
        <v>3180</v>
      </c>
      <c r="W35" s="53">
        <v>3</v>
      </c>
      <c r="X35" s="53" t="s">
        <v>46</v>
      </c>
      <c r="Y35" s="53" t="s">
        <v>55</v>
      </c>
      <c r="Z35" s="53" t="s">
        <v>88</v>
      </c>
      <c r="AA35" s="53" t="s">
        <v>78</v>
      </c>
      <c r="AB35" s="53" t="s">
        <v>236</v>
      </c>
    </row>
    <row r="36" spans="1:28" x14ac:dyDescent="0.15">
      <c r="A36" s="53" t="s">
        <v>56</v>
      </c>
      <c r="B36" s="53" t="s">
        <v>232</v>
      </c>
      <c r="C36" s="53">
        <v>2019</v>
      </c>
      <c r="D36" s="97" t="s">
        <v>233</v>
      </c>
      <c r="E36" s="53" t="s">
        <v>162</v>
      </c>
      <c r="F36" s="53" t="s">
        <v>248</v>
      </c>
      <c r="G36" s="53" t="s">
        <v>42</v>
      </c>
      <c r="H36" s="53" t="s">
        <v>160</v>
      </c>
      <c r="I36" s="53" t="s">
        <v>159</v>
      </c>
      <c r="J36" s="53" t="s">
        <v>38</v>
      </c>
      <c r="K36" s="53" t="s">
        <v>161</v>
      </c>
      <c r="L36" s="53">
        <v>2</v>
      </c>
      <c r="N36" s="53">
        <v>1</v>
      </c>
      <c r="O36" s="53">
        <v>0.6</v>
      </c>
      <c r="P36" s="53">
        <v>0.55000000000000004</v>
      </c>
      <c r="Q36" s="16">
        <f t="shared" si="0"/>
        <v>0.57499999999999996</v>
      </c>
      <c r="R36" s="53">
        <v>18.3</v>
      </c>
      <c r="S36" s="53">
        <v>124</v>
      </c>
      <c r="T36" s="16">
        <f t="shared" si="1"/>
        <v>27</v>
      </c>
      <c r="U36" s="53">
        <v>106</v>
      </c>
      <c r="V36" s="16">
        <f t="shared" si="2"/>
        <v>2862</v>
      </c>
      <c r="W36" s="53">
        <v>3</v>
      </c>
      <c r="X36" s="53" t="s">
        <v>46</v>
      </c>
      <c r="Y36" s="53" t="s">
        <v>55</v>
      </c>
      <c r="Z36" s="53" t="s">
        <v>88</v>
      </c>
      <c r="AA36" s="53" t="s">
        <v>78</v>
      </c>
      <c r="AB36" s="53" t="s">
        <v>236</v>
      </c>
    </row>
    <row r="37" spans="1:28" x14ac:dyDescent="0.15">
      <c r="A37" s="53" t="s">
        <v>56</v>
      </c>
      <c r="B37" s="53" t="s">
        <v>232</v>
      </c>
      <c r="C37" s="53">
        <v>2019</v>
      </c>
      <c r="D37" s="97" t="s">
        <v>233</v>
      </c>
      <c r="E37" s="53" t="s">
        <v>162</v>
      </c>
      <c r="F37" s="53" t="s">
        <v>248</v>
      </c>
      <c r="G37" s="53" t="s">
        <v>42</v>
      </c>
      <c r="H37" s="53" t="s">
        <v>160</v>
      </c>
      <c r="I37" s="53" t="s">
        <v>159</v>
      </c>
      <c r="J37" s="53" t="s">
        <v>38</v>
      </c>
      <c r="K37" s="53" t="s">
        <v>161</v>
      </c>
      <c r="L37" s="53">
        <v>3</v>
      </c>
      <c r="N37" s="53">
        <v>1</v>
      </c>
      <c r="O37" s="53">
        <v>0.6</v>
      </c>
      <c r="P37" s="53">
        <v>0.65</v>
      </c>
      <c r="Q37" s="16">
        <f t="shared" si="0"/>
        <v>0.625</v>
      </c>
      <c r="R37" s="53">
        <v>18.2</v>
      </c>
      <c r="S37" s="53">
        <v>121</v>
      </c>
      <c r="T37" s="16">
        <f t="shared" si="1"/>
        <v>27</v>
      </c>
      <c r="U37" s="53">
        <v>106</v>
      </c>
      <c r="V37" s="16">
        <f t="shared" si="2"/>
        <v>2862</v>
      </c>
      <c r="W37" s="53">
        <v>3</v>
      </c>
      <c r="X37" s="53" t="s">
        <v>46</v>
      </c>
      <c r="Y37" s="53" t="s">
        <v>55</v>
      </c>
      <c r="Z37" s="53" t="s">
        <v>88</v>
      </c>
      <c r="AA37" s="53" t="s">
        <v>78</v>
      </c>
      <c r="AB37" s="53" t="s">
        <v>236</v>
      </c>
    </row>
    <row r="38" spans="1:28" x14ac:dyDescent="0.15">
      <c r="A38" s="53" t="s">
        <v>56</v>
      </c>
      <c r="B38" s="53" t="s">
        <v>232</v>
      </c>
      <c r="C38" s="53">
        <v>2019</v>
      </c>
      <c r="D38" s="97" t="s">
        <v>233</v>
      </c>
      <c r="E38" s="53" t="s">
        <v>256</v>
      </c>
      <c r="F38" s="53" t="s">
        <v>248</v>
      </c>
      <c r="G38" s="53" t="s">
        <v>42</v>
      </c>
      <c r="H38" s="53" t="s">
        <v>164</v>
      </c>
      <c r="I38" s="53" t="s">
        <v>159</v>
      </c>
      <c r="J38" s="53" t="s">
        <v>38</v>
      </c>
      <c r="K38" s="53" t="s">
        <v>161</v>
      </c>
      <c r="L38" s="53">
        <v>1</v>
      </c>
      <c r="N38" s="53">
        <v>1</v>
      </c>
      <c r="O38" s="53">
        <v>0.65</v>
      </c>
      <c r="P38" s="53">
        <v>0.6</v>
      </c>
      <c r="Q38" s="16">
        <f t="shared" si="0"/>
        <v>0.625</v>
      </c>
      <c r="R38" s="53">
        <v>14.7</v>
      </c>
      <c r="S38" s="53">
        <v>130</v>
      </c>
      <c r="T38" s="16">
        <f t="shared" si="1"/>
        <v>25</v>
      </c>
      <c r="U38" s="53">
        <v>138</v>
      </c>
      <c r="V38" s="16">
        <f t="shared" si="2"/>
        <v>3450</v>
      </c>
      <c r="W38" s="53">
        <v>1</v>
      </c>
      <c r="X38" s="53" t="s">
        <v>39</v>
      </c>
      <c r="Y38" s="53" t="s">
        <v>88</v>
      </c>
      <c r="Z38" s="53" t="s">
        <v>78</v>
      </c>
      <c r="AA38" s="53" t="s">
        <v>90</v>
      </c>
      <c r="AB38" s="53" t="s">
        <v>236</v>
      </c>
    </row>
    <row r="39" spans="1:28" x14ac:dyDescent="0.15">
      <c r="A39" s="53" t="s">
        <v>56</v>
      </c>
      <c r="B39" s="53" t="s">
        <v>232</v>
      </c>
      <c r="C39" s="53">
        <v>2019</v>
      </c>
      <c r="D39" s="97" t="s">
        <v>233</v>
      </c>
      <c r="E39" s="53" t="s">
        <v>256</v>
      </c>
      <c r="F39" s="53" t="s">
        <v>248</v>
      </c>
      <c r="G39" s="53" t="s">
        <v>42</v>
      </c>
      <c r="H39" s="53" t="s">
        <v>164</v>
      </c>
      <c r="I39" s="53" t="s">
        <v>159</v>
      </c>
      <c r="J39" s="53" t="s">
        <v>38</v>
      </c>
      <c r="K39" s="53" t="s">
        <v>161</v>
      </c>
      <c r="L39" s="53">
        <v>2</v>
      </c>
      <c r="N39" s="53">
        <v>1</v>
      </c>
      <c r="O39" s="53">
        <v>0.65</v>
      </c>
      <c r="P39" s="53">
        <v>0.6</v>
      </c>
      <c r="Q39" s="16">
        <f t="shared" si="0"/>
        <v>0.625</v>
      </c>
      <c r="R39" s="53">
        <v>13.5</v>
      </c>
      <c r="S39" s="53">
        <v>129</v>
      </c>
      <c r="T39" s="16">
        <f t="shared" si="1"/>
        <v>25</v>
      </c>
      <c r="U39" s="53">
        <v>138</v>
      </c>
      <c r="V39" s="16">
        <f t="shared" si="2"/>
        <v>3450</v>
      </c>
      <c r="W39" s="53">
        <v>1</v>
      </c>
      <c r="X39" s="53" t="s">
        <v>39</v>
      </c>
      <c r="Y39" s="53" t="s">
        <v>88</v>
      </c>
      <c r="Z39" s="53" t="s">
        <v>78</v>
      </c>
      <c r="AA39" s="53" t="s">
        <v>90</v>
      </c>
      <c r="AB39" s="53" t="s">
        <v>236</v>
      </c>
    </row>
    <row r="40" spans="1:28" x14ac:dyDescent="0.15">
      <c r="A40" s="53" t="s">
        <v>56</v>
      </c>
      <c r="B40" s="53" t="s">
        <v>232</v>
      </c>
      <c r="C40" s="53">
        <v>2019</v>
      </c>
      <c r="D40" s="97" t="s">
        <v>233</v>
      </c>
      <c r="E40" s="53" t="s">
        <v>256</v>
      </c>
      <c r="F40" s="53" t="s">
        <v>248</v>
      </c>
      <c r="G40" s="53" t="s">
        <v>42</v>
      </c>
      <c r="H40" s="53" t="s">
        <v>164</v>
      </c>
      <c r="I40" s="53" t="s">
        <v>159</v>
      </c>
      <c r="J40" s="53" t="s">
        <v>38</v>
      </c>
      <c r="K40" s="53" t="s">
        <v>161</v>
      </c>
      <c r="L40" s="53">
        <v>3</v>
      </c>
      <c r="N40" s="53">
        <v>1</v>
      </c>
      <c r="O40" s="53">
        <v>0.55000000000000004</v>
      </c>
      <c r="P40" s="53">
        <v>0.6</v>
      </c>
      <c r="Q40" s="16">
        <f t="shared" si="0"/>
        <v>0.57499999999999996</v>
      </c>
      <c r="R40" s="53">
        <v>12.6</v>
      </c>
      <c r="S40" s="53">
        <v>127</v>
      </c>
      <c r="T40" s="16">
        <f t="shared" si="1"/>
        <v>27</v>
      </c>
      <c r="U40" s="53">
        <v>138</v>
      </c>
      <c r="V40" s="16">
        <f t="shared" si="2"/>
        <v>3726</v>
      </c>
      <c r="W40" s="53">
        <v>1</v>
      </c>
      <c r="X40" s="53" t="s">
        <v>39</v>
      </c>
      <c r="Y40" s="53" t="s">
        <v>88</v>
      </c>
      <c r="Z40" s="53" t="s">
        <v>78</v>
      </c>
      <c r="AA40" s="53" t="s">
        <v>90</v>
      </c>
      <c r="AB40" s="53" t="s">
        <v>236</v>
      </c>
    </row>
    <row r="41" spans="1:28" x14ac:dyDescent="0.15">
      <c r="A41" s="53" t="s">
        <v>56</v>
      </c>
      <c r="B41" s="53" t="s">
        <v>232</v>
      </c>
      <c r="C41" s="53">
        <v>2019</v>
      </c>
      <c r="D41" s="97" t="s">
        <v>233</v>
      </c>
      <c r="E41" s="53" t="s">
        <v>256</v>
      </c>
      <c r="F41" s="53" t="s">
        <v>248</v>
      </c>
      <c r="G41" s="53" t="s">
        <v>42</v>
      </c>
      <c r="H41" s="53" t="s">
        <v>160</v>
      </c>
      <c r="I41" s="53" t="s">
        <v>159</v>
      </c>
      <c r="J41" s="53" t="s">
        <v>38</v>
      </c>
      <c r="K41" s="53" t="s">
        <v>161</v>
      </c>
      <c r="L41" s="53">
        <v>1</v>
      </c>
      <c r="N41" s="53">
        <v>1</v>
      </c>
      <c r="O41" s="53">
        <v>0.75</v>
      </c>
      <c r="P41" s="53">
        <v>0.6</v>
      </c>
      <c r="Q41" s="16">
        <f t="shared" si="0"/>
        <v>0.67500000000000004</v>
      </c>
      <c r="R41" s="53">
        <v>16.8</v>
      </c>
      <c r="S41" s="53">
        <v>136</v>
      </c>
      <c r="T41" s="16">
        <f t="shared" si="1"/>
        <v>25</v>
      </c>
      <c r="U41" s="53">
        <v>150</v>
      </c>
      <c r="V41" s="16">
        <f t="shared" si="2"/>
        <v>3750</v>
      </c>
      <c r="W41" s="53">
        <v>1</v>
      </c>
      <c r="X41" s="53" t="s">
        <v>39</v>
      </c>
      <c r="Y41" s="53" t="s">
        <v>88</v>
      </c>
      <c r="Z41" s="53" t="s">
        <v>78</v>
      </c>
      <c r="AA41" s="53" t="s">
        <v>90</v>
      </c>
      <c r="AB41" s="53" t="s">
        <v>236</v>
      </c>
    </row>
    <row r="42" spans="1:28" x14ac:dyDescent="0.15">
      <c r="A42" s="53" t="s">
        <v>56</v>
      </c>
      <c r="B42" s="53" t="s">
        <v>232</v>
      </c>
      <c r="C42" s="53">
        <v>2019</v>
      </c>
      <c r="D42" s="97" t="s">
        <v>233</v>
      </c>
      <c r="E42" s="53" t="s">
        <v>256</v>
      </c>
      <c r="F42" s="53" t="s">
        <v>248</v>
      </c>
      <c r="G42" s="53" t="s">
        <v>42</v>
      </c>
      <c r="H42" s="53" t="s">
        <v>160</v>
      </c>
      <c r="I42" s="53" t="s">
        <v>159</v>
      </c>
      <c r="J42" s="53" t="s">
        <v>38</v>
      </c>
      <c r="K42" s="53" t="s">
        <v>161</v>
      </c>
      <c r="L42" s="53">
        <v>2</v>
      </c>
      <c r="N42" s="53">
        <v>1</v>
      </c>
      <c r="O42" s="53">
        <v>0.65</v>
      </c>
      <c r="P42" s="53">
        <v>0.55000000000000004</v>
      </c>
      <c r="Q42" s="16">
        <f t="shared" si="0"/>
        <v>0.60000000000000009</v>
      </c>
      <c r="R42" s="53">
        <v>14.5</v>
      </c>
      <c r="S42" s="53">
        <v>134</v>
      </c>
      <c r="T42" s="16">
        <f t="shared" si="1"/>
        <v>25</v>
      </c>
      <c r="U42" s="53">
        <v>150</v>
      </c>
      <c r="V42" s="16">
        <f t="shared" si="2"/>
        <v>3750</v>
      </c>
      <c r="W42" s="53">
        <v>1</v>
      </c>
      <c r="X42" s="53" t="s">
        <v>39</v>
      </c>
      <c r="Y42" s="53" t="s">
        <v>88</v>
      </c>
      <c r="Z42" s="53" t="s">
        <v>78</v>
      </c>
      <c r="AA42" s="53" t="s">
        <v>90</v>
      </c>
      <c r="AB42" s="53" t="s">
        <v>236</v>
      </c>
    </row>
    <row r="43" spans="1:28" x14ac:dyDescent="0.15">
      <c r="A43" s="53" t="s">
        <v>56</v>
      </c>
      <c r="B43" s="53" t="s">
        <v>232</v>
      </c>
      <c r="C43" s="53">
        <v>2019</v>
      </c>
      <c r="D43" s="97" t="s">
        <v>233</v>
      </c>
      <c r="E43" s="53" t="s">
        <v>256</v>
      </c>
      <c r="F43" s="53" t="s">
        <v>248</v>
      </c>
      <c r="G43" s="53" t="s">
        <v>42</v>
      </c>
      <c r="H43" s="53" t="s">
        <v>160</v>
      </c>
      <c r="I43" s="53" t="s">
        <v>159</v>
      </c>
      <c r="J43" s="53" t="s">
        <v>38</v>
      </c>
      <c r="K43" s="53" t="s">
        <v>161</v>
      </c>
      <c r="L43" s="53">
        <v>3</v>
      </c>
      <c r="N43" s="53">
        <v>1</v>
      </c>
      <c r="O43" s="53">
        <v>0.6</v>
      </c>
      <c r="P43" s="53">
        <v>0.6</v>
      </c>
      <c r="Q43" s="16">
        <f t="shared" si="0"/>
        <v>0.6</v>
      </c>
      <c r="R43" s="53">
        <v>14.2</v>
      </c>
      <c r="S43" s="53">
        <v>131</v>
      </c>
      <c r="T43" s="16">
        <f t="shared" si="1"/>
        <v>25</v>
      </c>
      <c r="U43" s="53">
        <v>150</v>
      </c>
      <c r="V43" s="16">
        <f t="shared" si="2"/>
        <v>3750</v>
      </c>
      <c r="W43" s="53">
        <v>1</v>
      </c>
      <c r="X43" s="53" t="s">
        <v>39</v>
      </c>
      <c r="Y43" s="53" t="s">
        <v>88</v>
      </c>
      <c r="Z43" s="53" t="s">
        <v>78</v>
      </c>
      <c r="AA43" s="53" t="s">
        <v>90</v>
      </c>
      <c r="AB43" s="53" t="s">
        <v>236</v>
      </c>
    </row>
    <row r="44" spans="1:28" x14ac:dyDescent="0.15">
      <c r="A44" s="53" t="s">
        <v>56</v>
      </c>
      <c r="B44" s="53" t="s">
        <v>232</v>
      </c>
      <c r="C44" s="53">
        <v>2019</v>
      </c>
      <c r="D44" s="97" t="s">
        <v>233</v>
      </c>
      <c r="E44" s="53" t="s">
        <v>257</v>
      </c>
      <c r="F44" s="53" t="s">
        <v>238</v>
      </c>
      <c r="G44" s="53" t="s">
        <v>42</v>
      </c>
      <c r="H44" s="53" t="s">
        <v>164</v>
      </c>
      <c r="I44" s="53" t="s">
        <v>159</v>
      </c>
      <c r="J44" s="53" t="s">
        <v>38</v>
      </c>
      <c r="K44" s="53" t="s">
        <v>161</v>
      </c>
      <c r="L44" s="53">
        <v>1</v>
      </c>
      <c r="N44" s="53">
        <v>5</v>
      </c>
      <c r="O44" s="53">
        <v>0.5</v>
      </c>
      <c r="P44" s="53">
        <v>0.55000000000000004</v>
      </c>
      <c r="Q44" s="16">
        <f t="shared" si="0"/>
        <v>0.52500000000000002</v>
      </c>
      <c r="R44" s="53">
        <v>12</v>
      </c>
      <c r="S44" s="53">
        <v>105</v>
      </c>
      <c r="T44" s="16">
        <f t="shared" si="1"/>
        <v>33</v>
      </c>
      <c r="U44" s="53">
        <v>429</v>
      </c>
      <c r="V44" s="16">
        <f t="shared" si="2"/>
        <v>2831.4</v>
      </c>
      <c r="W44" s="53">
        <v>1</v>
      </c>
      <c r="X44" s="53" t="s">
        <v>39</v>
      </c>
      <c r="Y44" s="53" t="s">
        <v>55</v>
      </c>
      <c r="Z44" s="53" t="s">
        <v>88</v>
      </c>
      <c r="AA44" s="53" t="s">
        <v>78</v>
      </c>
      <c r="AB44" s="53" t="s">
        <v>236</v>
      </c>
    </row>
    <row r="45" spans="1:28" x14ac:dyDescent="0.15">
      <c r="A45" s="53" t="s">
        <v>56</v>
      </c>
      <c r="B45" s="53" t="s">
        <v>232</v>
      </c>
      <c r="C45" s="53">
        <v>2019</v>
      </c>
      <c r="D45" s="97" t="s">
        <v>233</v>
      </c>
      <c r="E45" s="53" t="s">
        <v>257</v>
      </c>
      <c r="F45" s="53" t="s">
        <v>238</v>
      </c>
      <c r="G45" s="53" t="s">
        <v>42</v>
      </c>
      <c r="H45" s="53" t="s">
        <v>164</v>
      </c>
      <c r="I45" s="53" t="s">
        <v>159</v>
      </c>
      <c r="J45" s="53" t="s">
        <v>38</v>
      </c>
      <c r="K45" s="53" t="s">
        <v>161</v>
      </c>
      <c r="L45" s="53">
        <v>2</v>
      </c>
      <c r="N45" s="53">
        <v>5</v>
      </c>
      <c r="O45" s="53">
        <v>0.5</v>
      </c>
      <c r="P45" s="53">
        <v>0.5</v>
      </c>
      <c r="Q45" s="16">
        <f t="shared" si="0"/>
        <v>0.5</v>
      </c>
      <c r="R45" s="53">
        <v>11.5</v>
      </c>
      <c r="S45" s="53">
        <v>95</v>
      </c>
      <c r="T45" s="16">
        <f t="shared" si="1"/>
        <v>36</v>
      </c>
      <c r="U45" s="53">
        <v>429</v>
      </c>
      <c r="V45" s="16">
        <f t="shared" si="2"/>
        <v>3088.7999999999997</v>
      </c>
      <c r="W45" s="53">
        <v>1</v>
      </c>
      <c r="X45" s="53" t="s">
        <v>39</v>
      </c>
      <c r="Y45" s="53" t="s">
        <v>55</v>
      </c>
      <c r="Z45" s="53" t="s">
        <v>88</v>
      </c>
      <c r="AA45" s="53" t="s">
        <v>78</v>
      </c>
      <c r="AB45" s="53" t="s">
        <v>236</v>
      </c>
    </row>
    <row r="46" spans="1:28" x14ac:dyDescent="0.15">
      <c r="A46" s="53" t="s">
        <v>56</v>
      </c>
      <c r="B46" s="53" t="s">
        <v>232</v>
      </c>
      <c r="C46" s="53">
        <v>2019</v>
      </c>
      <c r="D46" s="97" t="s">
        <v>233</v>
      </c>
      <c r="E46" s="53" t="s">
        <v>257</v>
      </c>
      <c r="F46" s="53" t="s">
        <v>238</v>
      </c>
      <c r="G46" s="53" t="s">
        <v>42</v>
      </c>
      <c r="H46" s="53" t="s">
        <v>164</v>
      </c>
      <c r="I46" s="53" t="s">
        <v>159</v>
      </c>
      <c r="J46" s="53" t="s">
        <v>38</v>
      </c>
      <c r="K46" s="53" t="s">
        <v>161</v>
      </c>
      <c r="L46" s="53">
        <v>3</v>
      </c>
      <c r="N46" s="53">
        <v>5</v>
      </c>
      <c r="O46" s="53">
        <v>0.55000000000000004</v>
      </c>
      <c r="P46" s="53">
        <v>0.55000000000000004</v>
      </c>
      <c r="Q46" s="16">
        <f t="shared" si="0"/>
        <v>0.55000000000000004</v>
      </c>
      <c r="R46" s="53">
        <v>11.4</v>
      </c>
      <c r="S46" s="53">
        <v>91</v>
      </c>
      <c r="T46" s="16">
        <f t="shared" si="1"/>
        <v>36</v>
      </c>
      <c r="U46" s="53">
        <v>429</v>
      </c>
      <c r="V46" s="16">
        <f t="shared" si="2"/>
        <v>3088.7999999999997</v>
      </c>
      <c r="W46" s="53">
        <v>1</v>
      </c>
      <c r="X46" s="53" t="s">
        <v>39</v>
      </c>
      <c r="Y46" s="53" t="s">
        <v>55</v>
      </c>
      <c r="Z46" s="53" t="s">
        <v>88</v>
      </c>
      <c r="AA46" s="53" t="s">
        <v>78</v>
      </c>
      <c r="AB46" s="53" t="s">
        <v>236</v>
      </c>
    </row>
    <row r="47" spans="1:28" x14ac:dyDescent="0.15">
      <c r="A47" s="53" t="s">
        <v>56</v>
      </c>
      <c r="B47" s="53" t="s">
        <v>232</v>
      </c>
      <c r="C47" s="53">
        <v>2019</v>
      </c>
      <c r="D47" s="97" t="s">
        <v>233</v>
      </c>
      <c r="E47" s="53" t="s">
        <v>257</v>
      </c>
      <c r="F47" s="53" t="s">
        <v>238</v>
      </c>
      <c r="G47" s="53" t="s">
        <v>42</v>
      </c>
      <c r="H47" s="53" t="s">
        <v>160</v>
      </c>
      <c r="I47" s="53" t="s">
        <v>159</v>
      </c>
      <c r="J47" s="53" t="s">
        <v>38</v>
      </c>
      <c r="K47" s="53" t="s">
        <v>161</v>
      </c>
      <c r="L47" s="53">
        <v>1</v>
      </c>
      <c r="N47" s="53">
        <v>4</v>
      </c>
      <c r="O47" s="53">
        <v>0.55000000000000004</v>
      </c>
      <c r="P47" s="53">
        <v>0.6</v>
      </c>
      <c r="Q47" s="16">
        <f t="shared" si="0"/>
        <v>0.57499999999999996</v>
      </c>
      <c r="R47" s="53">
        <v>18</v>
      </c>
      <c r="S47" s="53">
        <v>102</v>
      </c>
      <c r="T47" s="16">
        <f t="shared" si="1"/>
        <v>33</v>
      </c>
      <c r="U47" s="53">
        <v>429</v>
      </c>
      <c r="V47" s="16">
        <f t="shared" si="2"/>
        <v>3539.25</v>
      </c>
      <c r="W47" s="53">
        <v>1</v>
      </c>
      <c r="X47" s="53" t="s">
        <v>39</v>
      </c>
      <c r="Y47" s="53" t="s">
        <v>55</v>
      </c>
      <c r="Z47" s="53" t="s">
        <v>88</v>
      </c>
      <c r="AA47" s="53" t="s">
        <v>78</v>
      </c>
      <c r="AB47" s="53" t="s">
        <v>236</v>
      </c>
    </row>
    <row r="48" spans="1:28" x14ac:dyDescent="0.15">
      <c r="A48" s="53" t="s">
        <v>56</v>
      </c>
      <c r="B48" s="53" t="s">
        <v>232</v>
      </c>
      <c r="C48" s="53">
        <v>2019</v>
      </c>
      <c r="D48" s="97" t="s">
        <v>233</v>
      </c>
      <c r="E48" s="53" t="s">
        <v>257</v>
      </c>
      <c r="F48" s="53" t="s">
        <v>238</v>
      </c>
      <c r="G48" s="53" t="s">
        <v>42</v>
      </c>
      <c r="H48" s="53" t="s">
        <v>160</v>
      </c>
      <c r="I48" s="53" t="s">
        <v>159</v>
      </c>
      <c r="J48" s="53" t="s">
        <v>38</v>
      </c>
      <c r="K48" s="53" t="s">
        <v>161</v>
      </c>
      <c r="L48" s="53">
        <v>2</v>
      </c>
      <c r="N48" s="53">
        <v>4</v>
      </c>
      <c r="O48" s="53">
        <v>0.65</v>
      </c>
      <c r="P48" s="53">
        <v>0.7</v>
      </c>
      <c r="Q48" s="16">
        <f t="shared" si="0"/>
        <v>0.67500000000000004</v>
      </c>
      <c r="R48" s="53">
        <v>15.2</v>
      </c>
      <c r="S48" s="53">
        <v>104</v>
      </c>
      <c r="T48" s="16">
        <f t="shared" si="1"/>
        <v>33</v>
      </c>
      <c r="U48" s="53">
        <v>429</v>
      </c>
      <c r="V48" s="16">
        <f t="shared" si="2"/>
        <v>3539.25</v>
      </c>
      <c r="W48" s="53">
        <v>1</v>
      </c>
      <c r="X48" s="53" t="s">
        <v>39</v>
      </c>
      <c r="Y48" s="53" t="s">
        <v>55</v>
      </c>
      <c r="Z48" s="53" t="s">
        <v>88</v>
      </c>
      <c r="AA48" s="53" t="s">
        <v>78</v>
      </c>
      <c r="AB48" s="53" t="s">
        <v>236</v>
      </c>
    </row>
    <row r="49" spans="1:28" x14ac:dyDescent="0.15">
      <c r="A49" s="53" t="s">
        <v>56</v>
      </c>
      <c r="B49" s="53" t="s">
        <v>232</v>
      </c>
      <c r="C49" s="53">
        <v>2019</v>
      </c>
      <c r="D49" s="97" t="s">
        <v>233</v>
      </c>
      <c r="E49" s="53" t="s">
        <v>257</v>
      </c>
      <c r="F49" s="53" t="s">
        <v>238</v>
      </c>
      <c r="G49" s="53" t="s">
        <v>42</v>
      </c>
      <c r="H49" s="53" t="s">
        <v>160</v>
      </c>
      <c r="I49" s="53" t="s">
        <v>159</v>
      </c>
      <c r="J49" s="53" t="s">
        <v>38</v>
      </c>
      <c r="K49" s="53" t="s">
        <v>161</v>
      </c>
      <c r="L49" s="53">
        <v>3</v>
      </c>
      <c r="N49" s="53">
        <v>4</v>
      </c>
      <c r="O49" s="53">
        <v>0.55000000000000004</v>
      </c>
      <c r="P49" s="53">
        <v>0.55000000000000004</v>
      </c>
      <c r="Q49" s="16">
        <f t="shared" si="0"/>
        <v>0.55000000000000004</v>
      </c>
      <c r="R49" s="53">
        <v>15.2</v>
      </c>
      <c r="S49" s="53">
        <v>110</v>
      </c>
      <c r="T49" s="16">
        <f t="shared" si="1"/>
        <v>33</v>
      </c>
      <c r="U49" s="53">
        <v>429</v>
      </c>
      <c r="V49" s="16">
        <f t="shared" si="2"/>
        <v>3539.25</v>
      </c>
      <c r="W49" s="53">
        <v>1</v>
      </c>
      <c r="X49" s="53" t="s">
        <v>39</v>
      </c>
      <c r="Y49" s="53" t="s">
        <v>55</v>
      </c>
      <c r="Z49" s="53" t="s">
        <v>88</v>
      </c>
      <c r="AA49" s="53" t="s">
        <v>78</v>
      </c>
      <c r="AB49" s="53" t="s">
        <v>236</v>
      </c>
    </row>
    <row r="50" spans="1:28" x14ac:dyDescent="0.15">
      <c r="A50" s="53" t="s">
        <v>56</v>
      </c>
      <c r="B50" s="53" t="s">
        <v>232</v>
      </c>
      <c r="C50" s="53">
        <v>2019</v>
      </c>
      <c r="D50" s="97" t="s">
        <v>233</v>
      </c>
      <c r="E50" s="53" t="s">
        <v>249</v>
      </c>
      <c r="F50" s="53" t="s">
        <v>251</v>
      </c>
      <c r="G50" s="53" t="s">
        <v>42</v>
      </c>
      <c r="H50" s="53" t="s">
        <v>164</v>
      </c>
      <c r="I50" s="53" t="s">
        <v>159</v>
      </c>
      <c r="J50" s="53" t="s">
        <v>38</v>
      </c>
      <c r="K50" s="53" t="s">
        <v>161</v>
      </c>
      <c r="L50" s="53">
        <v>1</v>
      </c>
      <c r="N50" s="53">
        <v>1</v>
      </c>
      <c r="O50" s="53">
        <v>0.6</v>
      </c>
      <c r="P50" s="53">
        <v>0.55000000000000004</v>
      </c>
      <c r="Q50" s="16">
        <f t="shared" si="0"/>
        <v>0.57499999999999996</v>
      </c>
      <c r="R50" s="53">
        <v>18.2</v>
      </c>
      <c r="S50" s="53">
        <v>140</v>
      </c>
      <c r="T50" s="16">
        <f t="shared" si="1"/>
        <v>22</v>
      </c>
      <c r="U50" s="53">
        <v>108</v>
      </c>
      <c r="V50" s="16">
        <f t="shared" si="2"/>
        <v>2376</v>
      </c>
      <c r="W50" s="53">
        <v>6</v>
      </c>
      <c r="X50" s="53" t="s">
        <v>46</v>
      </c>
      <c r="Y50" s="53" t="s">
        <v>88</v>
      </c>
      <c r="Z50" s="53" t="s">
        <v>55</v>
      </c>
      <c r="AA50" s="53" t="s">
        <v>97</v>
      </c>
      <c r="AB50" s="53" t="s">
        <v>236</v>
      </c>
    </row>
    <row r="51" spans="1:28" x14ac:dyDescent="0.15">
      <c r="A51" s="53" t="s">
        <v>56</v>
      </c>
      <c r="B51" s="53" t="s">
        <v>232</v>
      </c>
      <c r="C51" s="53">
        <v>2019</v>
      </c>
      <c r="D51" s="97" t="s">
        <v>233</v>
      </c>
      <c r="E51" s="53" t="s">
        <v>249</v>
      </c>
      <c r="F51" s="53" t="s">
        <v>251</v>
      </c>
      <c r="G51" s="53" t="s">
        <v>42</v>
      </c>
      <c r="H51" s="53" t="s">
        <v>164</v>
      </c>
      <c r="I51" s="53" t="s">
        <v>159</v>
      </c>
      <c r="J51" s="53" t="s">
        <v>38</v>
      </c>
      <c r="K51" s="53" t="s">
        <v>161</v>
      </c>
      <c r="L51" s="53">
        <v>2</v>
      </c>
      <c r="N51" s="53">
        <v>1</v>
      </c>
      <c r="O51" s="53">
        <v>0.5</v>
      </c>
      <c r="P51" s="53">
        <v>0.5</v>
      </c>
      <c r="Q51" s="16">
        <f t="shared" si="0"/>
        <v>0.5</v>
      </c>
      <c r="R51" s="53">
        <v>17.8</v>
      </c>
      <c r="S51" s="53">
        <v>149</v>
      </c>
      <c r="T51" s="16">
        <f t="shared" si="1"/>
        <v>22</v>
      </c>
      <c r="U51" s="53">
        <v>108</v>
      </c>
      <c r="V51" s="16">
        <f t="shared" si="2"/>
        <v>2376</v>
      </c>
      <c r="W51" s="53">
        <v>6</v>
      </c>
      <c r="X51" s="53" t="s">
        <v>46</v>
      </c>
      <c r="Y51" s="53" t="s">
        <v>88</v>
      </c>
      <c r="Z51" s="53" t="s">
        <v>55</v>
      </c>
      <c r="AA51" s="53" t="s">
        <v>97</v>
      </c>
      <c r="AB51" s="53" t="s">
        <v>236</v>
      </c>
    </row>
    <row r="52" spans="1:28" x14ac:dyDescent="0.15">
      <c r="A52" s="53" t="s">
        <v>56</v>
      </c>
      <c r="B52" s="53" t="s">
        <v>232</v>
      </c>
      <c r="C52" s="53">
        <v>2019</v>
      </c>
      <c r="D52" s="97" t="s">
        <v>233</v>
      </c>
      <c r="E52" s="53" t="s">
        <v>249</v>
      </c>
      <c r="F52" s="53" t="s">
        <v>251</v>
      </c>
      <c r="G52" s="53" t="s">
        <v>42</v>
      </c>
      <c r="H52" s="53" t="s">
        <v>164</v>
      </c>
      <c r="I52" s="53" t="s">
        <v>159</v>
      </c>
      <c r="J52" s="53" t="s">
        <v>38</v>
      </c>
      <c r="K52" s="53" t="s">
        <v>161</v>
      </c>
      <c r="L52" s="53">
        <v>3</v>
      </c>
      <c r="N52" s="53">
        <v>1</v>
      </c>
      <c r="O52" s="53">
        <v>0.6</v>
      </c>
      <c r="P52" s="53">
        <v>0.6</v>
      </c>
      <c r="Q52" s="16">
        <f t="shared" si="0"/>
        <v>0.6</v>
      </c>
      <c r="R52" s="53">
        <v>17.100000000000001</v>
      </c>
      <c r="S52" s="53">
        <v>140</v>
      </c>
      <c r="T52" s="16">
        <f t="shared" si="1"/>
        <v>22</v>
      </c>
      <c r="U52" s="53">
        <v>108</v>
      </c>
      <c r="V52" s="16">
        <f t="shared" si="2"/>
        <v>2376</v>
      </c>
      <c r="W52" s="53">
        <v>6</v>
      </c>
      <c r="X52" s="53" t="s">
        <v>46</v>
      </c>
      <c r="Y52" s="53" t="s">
        <v>88</v>
      </c>
      <c r="Z52" s="53" t="s">
        <v>55</v>
      </c>
      <c r="AA52" s="53" t="s">
        <v>97</v>
      </c>
      <c r="AB52" s="53" t="s">
        <v>236</v>
      </c>
    </row>
    <row r="53" spans="1:28" x14ac:dyDescent="0.15">
      <c r="A53" s="53" t="s">
        <v>56</v>
      </c>
      <c r="B53" s="53" t="s">
        <v>232</v>
      </c>
      <c r="C53" s="53">
        <v>2019</v>
      </c>
      <c r="D53" s="97" t="s">
        <v>233</v>
      </c>
      <c r="E53" s="53" t="s">
        <v>249</v>
      </c>
      <c r="F53" s="53" t="s">
        <v>251</v>
      </c>
      <c r="G53" s="53" t="s">
        <v>42</v>
      </c>
      <c r="H53" s="53" t="s">
        <v>160</v>
      </c>
      <c r="I53" s="53" t="s">
        <v>159</v>
      </c>
      <c r="J53" s="53" t="s">
        <v>38</v>
      </c>
      <c r="K53" s="53" t="s">
        <v>161</v>
      </c>
      <c r="L53" s="53">
        <v>1</v>
      </c>
      <c r="N53" s="53">
        <v>1</v>
      </c>
      <c r="O53" s="53">
        <v>0.6</v>
      </c>
      <c r="P53" s="53">
        <v>0.55000000000000004</v>
      </c>
      <c r="Q53" s="16">
        <f t="shared" si="0"/>
        <v>0.57499999999999996</v>
      </c>
      <c r="R53" s="53">
        <v>12.4</v>
      </c>
      <c r="S53" s="53">
        <v>134</v>
      </c>
      <c r="T53" s="16">
        <f t="shared" si="1"/>
        <v>25</v>
      </c>
      <c r="U53" s="53">
        <v>108</v>
      </c>
      <c r="V53" s="16">
        <f t="shared" si="2"/>
        <v>2700</v>
      </c>
      <c r="W53" s="53">
        <v>6</v>
      </c>
      <c r="X53" s="53" t="s">
        <v>46</v>
      </c>
      <c r="Y53" s="53" t="s">
        <v>88</v>
      </c>
      <c r="Z53" s="53" t="s">
        <v>55</v>
      </c>
      <c r="AA53" s="53" t="s">
        <v>97</v>
      </c>
      <c r="AB53" s="53" t="s">
        <v>236</v>
      </c>
    </row>
    <row r="54" spans="1:28" x14ac:dyDescent="0.15">
      <c r="A54" s="53" t="s">
        <v>56</v>
      </c>
      <c r="B54" s="53" t="s">
        <v>232</v>
      </c>
      <c r="C54" s="53">
        <v>2019</v>
      </c>
      <c r="D54" s="97" t="s">
        <v>233</v>
      </c>
      <c r="E54" s="53" t="s">
        <v>249</v>
      </c>
      <c r="F54" s="53" t="s">
        <v>251</v>
      </c>
      <c r="G54" s="53" t="s">
        <v>42</v>
      </c>
      <c r="H54" s="53" t="s">
        <v>160</v>
      </c>
      <c r="I54" s="53" t="s">
        <v>159</v>
      </c>
      <c r="J54" s="53" t="s">
        <v>38</v>
      </c>
      <c r="K54" s="53" t="s">
        <v>161</v>
      </c>
      <c r="L54" s="53">
        <v>2</v>
      </c>
      <c r="N54" s="53">
        <v>1</v>
      </c>
      <c r="O54" s="53">
        <v>0.55000000000000004</v>
      </c>
      <c r="P54" s="53">
        <v>0.55000000000000004</v>
      </c>
      <c r="Q54" s="16">
        <f t="shared" si="0"/>
        <v>0.55000000000000004</v>
      </c>
      <c r="R54" s="53">
        <v>13.1</v>
      </c>
      <c r="S54" s="53">
        <v>128</v>
      </c>
      <c r="T54" s="16">
        <f t="shared" si="1"/>
        <v>27</v>
      </c>
      <c r="U54" s="53">
        <v>108</v>
      </c>
      <c r="V54" s="16">
        <f t="shared" si="2"/>
        <v>2916</v>
      </c>
      <c r="W54" s="53">
        <v>6</v>
      </c>
      <c r="X54" s="53" t="s">
        <v>46</v>
      </c>
      <c r="Y54" s="53" t="s">
        <v>88</v>
      </c>
      <c r="Z54" s="53" t="s">
        <v>55</v>
      </c>
      <c r="AA54" s="53" t="s">
        <v>97</v>
      </c>
      <c r="AB54" s="53" t="s">
        <v>236</v>
      </c>
    </row>
    <row r="55" spans="1:28" x14ac:dyDescent="0.15">
      <c r="A55" s="53" t="s">
        <v>56</v>
      </c>
      <c r="B55" s="53" t="s">
        <v>232</v>
      </c>
      <c r="C55" s="53">
        <v>2019</v>
      </c>
      <c r="D55" s="97" t="s">
        <v>233</v>
      </c>
      <c r="E55" s="53" t="s">
        <v>249</v>
      </c>
      <c r="F55" s="53" t="s">
        <v>251</v>
      </c>
      <c r="G55" s="53" t="s">
        <v>42</v>
      </c>
      <c r="H55" s="53" t="s">
        <v>160</v>
      </c>
      <c r="I55" s="53" t="s">
        <v>159</v>
      </c>
      <c r="J55" s="53" t="s">
        <v>38</v>
      </c>
      <c r="K55" s="53" t="s">
        <v>161</v>
      </c>
      <c r="L55" s="53">
        <v>3</v>
      </c>
      <c r="N55" s="53">
        <v>1</v>
      </c>
      <c r="O55" s="53">
        <v>0.5</v>
      </c>
      <c r="P55" s="53">
        <v>0.6</v>
      </c>
      <c r="Q55" s="16">
        <f t="shared" si="0"/>
        <v>0.55000000000000004</v>
      </c>
      <c r="R55" s="53">
        <v>15.2</v>
      </c>
      <c r="S55" s="53">
        <v>128</v>
      </c>
      <c r="T55" s="16">
        <f t="shared" si="1"/>
        <v>27</v>
      </c>
      <c r="U55" s="53">
        <v>108</v>
      </c>
      <c r="V55" s="16">
        <f t="shared" si="2"/>
        <v>2916</v>
      </c>
      <c r="W55" s="53">
        <v>6</v>
      </c>
      <c r="X55" s="53" t="s">
        <v>46</v>
      </c>
      <c r="Y55" s="53" t="s">
        <v>88</v>
      </c>
      <c r="Z55" s="53" t="s">
        <v>55</v>
      </c>
      <c r="AA55" s="53" t="s">
        <v>97</v>
      </c>
      <c r="AB55" s="53" t="s">
        <v>236</v>
      </c>
    </row>
    <row r="56" spans="1:28" x14ac:dyDescent="0.15">
      <c r="A56" s="53" t="s">
        <v>56</v>
      </c>
      <c r="B56" s="53" t="s">
        <v>232</v>
      </c>
      <c r="C56" s="53">
        <v>2019</v>
      </c>
      <c r="D56" s="97" t="s">
        <v>233</v>
      </c>
      <c r="E56" s="53" t="s">
        <v>258</v>
      </c>
      <c r="F56" s="53" t="s">
        <v>251</v>
      </c>
      <c r="G56" s="53" t="s">
        <v>42</v>
      </c>
      <c r="H56" s="53" t="s">
        <v>164</v>
      </c>
      <c r="I56" s="53" t="s">
        <v>159</v>
      </c>
      <c r="J56" s="53" t="s">
        <v>38</v>
      </c>
      <c r="K56" s="53" t="s">
        <v>161</v>
      </c>
      <c r="L56" s="53">
        <v>1</v>
      </c>
      <c r="N56" s="53">
        <v>5</v>
      </c>
      <c r="O56" s="53">
        <v>1.05</v>
      </c>
      <c r="P56" s="53">
        <v>0.8</v>
      </c>
      <c r="Q56" s="16">
        <f t="shared" si="0"/>
        <v>0.92500000000000004</v>
      </c>
      <c r="R56" s="53">
        <v>12.3</v>
      </c>
      <c r="S56" s="53">
        <v>85</v>
      </c>
      <c r="T56" s="16">
        <f t="shared" si="1"/>
        <v>36</v>
      </c>
      <c r="U56" s="53">
        <v>430</v>
      </c>
      <c r="V56" s="16">
        <f t="shared" si="2"/>
        <v>3096</v>
      </c>
      <c r="W56" s="53">
        <v>4</v>
      </c>
      <c r="X56" s="53" t="s">
        <v>46</v>
      </c>
      <c r="Y56" s="53" t="s">
        <v>88</v>
      </c>
      <c r="Z56" s="53" t="s">
        <v>78</v>
      </c>
      <c r="AA56" s="53" t="s">
        <v>97</v>
      </c>
      <c r="AB56" s="53" t="s">
        <v>236</v>
      </c>
    </row>
    <row r="57" spans="1:28" x14ac:dyDescent="0.15">
      <c r="A57" s="53" t="s">
        <v>56</v>
      </c>
      <c r="B57" s="53" t="s">
        <v>232</v>
      </c>
      <c r="C57" s="53">
        <v>2019</v>
      </c>
      <c r="D57" s="97" t="s">
        <v>233</v>
      </c>
      <c r="E57" s="53" t="s">
        <v>258</v>
      </c>
      <c r="F57" s="53" t="s">
        <v>251</v>
      </c>
      <c r="G57" s="53" t="s">
        <v>42</v>
      </c>
      <c r="H57" s="53" t="s">
        <v>164</v>
      </c>
      <c r="I57" s="53" t="s">
        <v>159</v>
      </c>
      <c r="J57" s="53" t="s">
        <v>38</v>
      </c>
      <c r="K57" s="53" t="s">
        <v>161</v>
      </c>
      <c r="L57" s="53">
        <v>2</v>
      </c>
      <c r="N57" s="53">
        <v>5</v>
      </c>
      <c r="O57" s="53">
        <v>1.1499999999999999</v>
      </c>
      <c r="P57" s="53">
        <v>1.1000000000000001</v>
      </c>
      <c r="Q57" s="16">
        <f t="shared" si="0"/>
        <v>1.125</v>
      </c>
      <c r="R57" s="53">
        <v>14.1</v>
      </c>
      <c r="S57" s="53">
        <v>104</v>
      </c>
      <c r="T57" s="16">
        <f t="shared" si="1"/>
        <v>33</v>
      </c>
      <c r="U57" s="53">
        <v>430</v>
      </c>
      <c r="V57" s="16">
        <f t="shared" si="2"/>
        <v>2838</v>
      </c>
      <c r="W57" s="53">
        <v>4</v>
      </c>
      <c r="X57" s="53" t="s">
        <v>46</v>
      </c>
      <c r="Y57" s="53" t="s">
        <v>88</v>
      </c>
      <c r="Z57" s="53" t="s">
        <v>78</v>
      </c>
      <c r="AA57" s="53" t="s">
        <v>97</v>
      </c>
      <c r="AB57" s="53" t="s">
        <v>236</v>
      </c>
    </row>
    <row r="58" spans="1:28" x14ac:dyDescent="0.15">
      <c r="A58" s="53" t="s">
        <v>56</v>
      </c>
      <c r="B58" s="53" t="s">
        <v>232</v>
      </c>
      <c r="C58" s="53">
        <v>2019</v>
      </c>
      <c r="D58" s="97" t="s">
        <v>233</v>
      </c>
      <c r="E58" s="53" t="s">
        <v>258</v>
      </c>
      <c r="F58" s="53" t="s">
        <v>251</v>
      </c>
      <c r="G58" s="53" t="s">
        <v>42</v>
      </c>
      <c r="H58" s="53" t="s">
        <v>164</v>
      </c>
      <c r="I58" s="53" t="s">
        <v>159</v>
      </c>
      <c r="J58" s="53" t="s">
        <v>38</v>
      </c>
      <c r="K58" s="53" t="s">
        <v>161</v>
      </c>
      <c r="L58" s="53">
        <v>3</v>
      </c>
      <c r="N58" s="53">
        <v>5</v>
      </c>
      <c r="O58" s="53">
        <v>0.7</v>
      </c>
      <c r="P58" s="53">
        <v>0.75</v>
      </c>
      <c r="Q58" s="16">
        <f t="shared" si="0"/>
        <v>0.72499999999999998</v>
      </c>
      <c r="R58" s="53">
        <v>11.8</v>
      </c>
      <c r="S58" s="53">
        <v>88</v>
      </c>
      <c r="T58" s="16">
        <f t="shared" si="1"/>
        <v>36</v>
      </c>
      <c r="U58" s="53">
        <v>430</v>
      </c>
      <c r="V58" s="16">
        <f t="shared" si="2"/>
        <v>3096</v>
      </c>
      <c r="W58" s="53">
        <v>4</v>
      </c>
      <c r="X58" s="53" t="s">
        <v>46</v>
      </c>
      <c r="Y58" s="53" t="s">
        <v>88</v>
      </c>
      <c r="Z58" s="53" t="s">
        <v>78</v>
      </c>
      <c r="AA58" s="53" t="s">
        <v>97</v>
      </c>
      <c r="AB58" s="53" t="s">
        <v>236</v>
      </c>
    </row>
    <row r="59" spans="1:28" x14ac:dyDescent="0.15">
      <c r="A59" s="53" t="s">
        <v>56</v>
      </c>
      <c r="B59" s="53" t="s">
        <v>232</v>
      </c>
      <c r="C59" s="53">
        <v>2019</v>
      </c>
      <c r="D59" s="97" t="s">
        <v>233</v>
      </c>
      <c r="E59" s="53" t="s">
        <v>258</v>
      </c>
      <c r="F59" s="53" t="s">
        <v>251</v>
      </c>
      <c r="G59" s="53" t="s">
        <v>42</v>
      </c>
      <c r="H59" s="53" t="s">
        <v>160</v>
      </c>
      <c r="I59" s="53" t="s">
        <v>159</v>
      </c>
      <c r="J59" s="53" t="s">
        <v>38</v>
      </c>
      <c r="K59" s="53" t="s">
        <v>161</v>
      </c>
      <c r="L59" s="53">
        <v>1</v>
      </c>
      <c r="N59" s="53">
        <v>5</v>
      </c>
      <c r="O59" s="53">
        <v>0.7</v>
      </c>
      <c r="P59" s="53">
        <v>0.7</v>
      </c>
      <c r="Q59" s="16">
        <f t="shared" si="0"/>
        <v>0.7</v>
      </c>
      <c r="R59" s="53">
        <v>15</v>
      </c>
      <c r="S59" s="53">
        <v>108</v>
      </c>
      <c r="T59" s="16">
        <f t="shared" si="1"/>
        <v>33</v>
      </c>
      <c r="U59" s="53">
        <v>646</v>
      </c>
      <c r="V59" s="16">
        <f t="shared" si="2"/>
        <v>4263.5999999999995</v>
      </c>
      <c r="W59" s="53">
        <v>6</v>
      </c>
      <c r="X59" s="53" t="s">
        <v>46</v>
      </c>
      <c r="Y59" s="53" t="s">
        <v>88</v>
      </c>
      <c r="Z59" s="53" t="s">
        <v>78</v>
      </c>
      <c r="AA59" s="53" t="s">
        <v>97</v>
      </c>
      <c r="AB59" s="53" t="s">
        <v>236</v>
      </c>
    </row>
    <row r="60" spans="1:28" x14ac:dyDescent="0.15">
      <c r="A60" s="53" t="s">
        <v>56</v>
      </c>
      <c r="B60" s="53" t="s">
        <v>232</v>
      </c>
      <c r="C60" s="53">
        <v>2019</v>
      </c>
      <c r="D60" s="97" t="s">
        <v>233</v>
      </c>
      <c r="E60" s="53" t="s">
        <v>258</v>
      </c>
      <c r="F60" s="53" t="s">
        <v>251</v>
      </c>
      <c r="G60" s="53" t="s">
        <v>42</v>
      </c>
      <c r="H60" s="53" t="s">
        <v>160</v>
      </c>
      <c r="I60" s="53" t="s">
        <v>159</v>
      </c>
      <c r="J60" s="53" t="s">
        <v>38</v>
      </c>
      <c r="K60" s="53" t="s">
        <v>161</v>
      </c>
      <c r="L60" s="53">
        <v>2</v>
      </c>
      <c r="N60" s="53">
        <v>5</v>
      </c>
      <c r="O60" s="53">
        <v>0.6</v>
      </c>
      <c r="P60" s="53">
        <v>0.55000000000000004</v>
      </c>
      <c r="Q60" s="16">
        <f t="shared" si="0"/>
        <v>0.57499999999999996</v>
      </c>
      <c r="R60" s="53">
        <v>15</v>
      </c>
      <c r="S60" s="53">
        <v>123</v>
      </c>
      <c r="T60" s="16">
        <f t="shared" si="1"/>
        <v>27</v>
      </c>
      <c r="U60" s="53">
        <v>646</v>
      </c>
      <c r="V60" s="16">
        <f t="shared" si="2"/>
        <v>3488.3999999999996</v>
      </c>
      <c r="W60" s="53">
        <v>6</v>
      </c>
      <c r="X60" s="53" t="s">
        <v>46</v>
      </c>
      <c r="Y60" s="53" t="s">
        <v>88</v>
      </c>
      <c r="Z60" s="53" t="s">
        <v>78</v>
      </c>
      <c r="AA60" s="53" t="s">
        <v>97</v>
      </c>
      <c r="AB60" s="53" t="s">
        <v>236</v>
      </c>
    </row>
    <row r="61" spans="1:28" x14ac:dyDescent="0.15">
      <c r="A61" s="53" t="s">
        <v>56</v>
      </c>
      <c r="B61" s="53" t="s">
        <v>232</v>
      </c>
      <c r="C61" s="53">
        <v>2019</v>
      </c>
      <c r="D61" s="97" t="s">
        <v>233</v>
      </c>
      <c r="E61" s="53" t="s">
        <v>258</v>
      </c>
      <c r="F61" s="53" t="s">
        <v>251</v>
      </c>
      <c r="G61" s="53" t="s">
        <v>42</v>
      </c>
      <c r="H61" s="53" t="s">
        <v>160</v>
      </c>
      <c r="I61" s="53" t="s">
        <v>159</v>
      </c>
      <c r="J61" s="53" t="s">
        <v>38</v>
      </c>
      <c r="K61" s="53" t="s">
        <v>161</v>
      </c>
      <c r="L61" s="53">
        <v>3</v>
      </c>
      <c r="N61" s="53">
        <v>5</v>
      </c>
      <c r="O61" s="53">
        <v>0.6</v>
      </c>
      <c r="P61" s="53">
        <v>0.6</v>
      </c>
      <c r="Q61" s="16">
        <f t="shared" si="0"/>
        <v>0.6</v>
      </c>
      <c r="R61" s="53">
        <v>17.7</v>
      </c>
      <c r="S61" s="53">
        <v>111</v>
      </c>
      <c r="T61" s="16">
        <f t="shared" si="1"/>
        <v>33</v>
      </c>
      <c r="U61" s="53">
        <v>646</v>
      </c>
      <c r="V61" s="16">
        <f t="shared" si="2"/>
        <v>4263.5999999999995</v>
      </c>
      <c r="W61" s="53">
        <v>6</v>
      </c>
      <c r="X61" s="53" t="s">
        <v>46</v>
      </c>
      <c r="Y61" s="53" t="s">
        <v>88</v>
      </c>
      <c r="Z61" s="53" t="s">
        <v>78</v>
      </c>
      <c r="AA61" s="53" t="s">
        <v>97</v>
      </c>
      <c r="AB61" s="53" t="s">
        <v>236</v>
      </c>
    </row>
    <row r="62" spans="1:28" x14ac:dyDescent="0.15">
      <c r="D62" s="97"/>
    </row>
    <row r="63" spans="1:28" x14ac:dyDescent="0.15">
      <c r="D63" s="97"/>
    </row>
    <row r="64" spans="1:28" x14ac:dyDescent="0.15">
      <c r="D64" s="97"/>
    </row>
    <row r="65" spans="4:4" x14ac:dyDescent="0.15">
      <c r="D65" s="97"/>
    </row>
    <row r="66" spans="4:4" x14ac:dyDescent="0.15">
      <c r="D66" s="97"/>
    </row>
    <row r="67" spans="4:4" x14ac:dyDescent="0.15">
      <c r="D67" s="97"/>
    </row>
    <row r="68" spans="4:4" x14ac:dyDescent="0.15">
      <c r="D68" s="97"/>
    </row>
    <row r="69" spans="4:4" x14ac:dyDescent="0.15">
      <c r="D69" s="97"/>
    </row>
    <row r="70" spans="4:4" x14ac:dyDescent="0.15">
      <c r="D70" s="97"/>
    </row>
    <row r="71" spans="4:4" x14ac:dyDescent="0.15">
      <c r="D71" s="97"/>
    </row>
    <row r="72" spans="4:4" x14ac:dyDescent="0.15">
      <c r="D72" s="97"/>
    </row>
    <row r="73" spans="4:4" x14ac:dyDescent="0.15">
      <c r="D73" s="97"/>
    </row>
    <row r="74" spans="4:4" x14ac:dyDescent="0.15">
      <c r="D74" s="97"/>
    </row>
    <row r="75" spans="4:4" x14ac:dyDescent="0.15">
      <c r="D75" s="97"/>
    </row>
    <row r="76" spans="4:4" x14ac:dyDescent="0.15">
      <c r="D76" s="97"/>
    </row>
    <row r="77" spans="4:4" x14ac:dyDescent="0.15">
      <c r="D77" s="97"/>
    </row>
    <row r="78" spans="4:4" x14ac:dyDescent="0.15">
      <c r="D78" s="97"/>
    </row>
    <row r="79" spans="4:4" x14ac:dyDescent="0.15">
      <c r="D79" s="97"/>
    </row>
    <row r="80" spans="4:4" x14ac:dyDescent="0.15">
      <c r="D80" s="97"/>
    </row>
    <row r="81" spans="4:4" x14ac:dyDescent="0.15">
      <c r="D81" s="97"/>
    </row>
    <row r="82" spans="4:4" x14ac:dyDescent="0.15">
      <c r="D82" s="97"/>
    </row>
  </sheetData>
  <autoFilter ref="A1:BA52" xr:uid="{00000000-0009-0000-0000-000002000000}"/>
  <phoneticPr fontId="3"/>
  <dataValidations count="18">
    <dataValidation type="list" allowBlank="1" showInputMessage="1" showErrorMessage="1" sqref="K2:K450" xr:uid="{143C2ED7-0D55-471C-8510-A78A032E4590}">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xr:uid="{BC42CF1E-BB46-4721-9715-D538E2669B85}">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xr:uid="{CED739E3-4E03-425C-85F0-860048AC1B1C}">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xr:uid="{379AF2D3-94C8-44C1-82A8-9697DDD37B03}">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xr:uid="{146A486C-22F9-4E9A-9B37-B75E65A9116B}">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xr:uid="{E0C774AD-DC66-464A-A1A2-A5492574CCAE}"/>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xr:uid="{2E5CB448-6E5D-4CB2-BB40-B5322E23AFF2}">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xr:uid="{9AC69AE0-1087-4AC0-8A45-AED7B6F59D86}">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xr:uid="{5E15EE8D-011F-4246-BB14-DBD3F2AFF66F}">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xr:uid="{921EF9BC-4A7E-4F31-8F4B-001E78CCE848}">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xr:uid="{688DFEBC-2BB8-4077-93EC-26BD6D2328EA}">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xr:uid="{1674EEDE-A20F-427F-8DF9-5D64815314C8}">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xr:uid="{15879842-7BA8-4C36-B6B7-A11B5F7A7428}">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xr:uid="{15107BE9-66A7-4446-ADD0-2A2BC3B41C4F}">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xr:uid="{3C76DBE4-A848-406E-B432-DDD39E6B30BC}">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P2:P500 O62:O500" xr:uid="{CB9FBCCE-8A72-4322-A2BD-56A1485DFEAD}">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xr:uid="{DDE3E842-0791-41D2-BB1A-CE26EE073774}">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xr:uid="{5714E7FE-4532-4956-991D-6F1E2C2B7AE8}">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62C13-A068-4A95-BD3C-88994B5BC3F0}">
  <dimension ref="A1:BA91"/>
  <sheetViews>
    <sheetView topLeftCell="A34" zoomScale="70" zoomScaleNormal="70" workbookViewId="0">
      <selection activeCell="AC75" sqref="AC75"/>
    </sheetView>
  </sheetViews>
  <sheetFormatPr defaultColWidth="9" defaultRowHeight="13.5" x14ac:dyDescent="0.15"/>
  <cols>
    <col min="1" max="3" width="9" style="166"/>
    <col min="4" max="4" width="10.5" style="166" customWidth="1"/>
    <col min="5" max="16" width="9" style="166"/>
    <col min="17" max="17" width="9" style="176"/>
    <col min="18" max="18" width="9" style="166"/>
    <col min="19" max="19" width="9.5" style="166" customWidth="1"/>
    <col min="20" max="20" width="9" style="176"/>
    <col min="21" max="21" width="9" style="166"/>
    <col min="22" max="22" width="9" style="176"/>
    <col min="23" max="23" width="10.5" style="166" customWidth="1"/>
    <col min="24" max="32" width="9" style="166"/>
    <col min="33" max="33" width="19.625" style="166" customWidth="1"/>
    <col min="34" max="34" width="9.375" style="166" customWidth="1"/>
    <col min="35" max="259" width="9" style="166"/>
    <col min="260" max="260" width="10.5" style="166" customWidth="1"/>
    <col min="261" max="274" width="9" style="166"/>
    <col min="275" max="275" width="9.5" style="166" customWidth="1"/>
    <col min="276" max="278" width="9" style="166"/>
    <col min="279" max="279" width="10.5" style="166" customWidth="1"/>
    <col min="280" max="515" width="9" style="166"/>
    <col min="516" max="516" width="10.5" style="166" customWidth="1"/>
    <col min="517" max="530" width="9" style="166"/>
    <col min="531" max="531" width="9.5" style="166" customWidth="1"/>
    <col min="532" max="534" width="9" style="166"/>
    <col min="535" max="535" width="10.5" style="166" customWidth="1"/>
    <col min="536" max="771" width="9" style="166"/>
    <col min="772" max="772" width="10.5" style="166" customWidth="1"/>
    <col min="773" max="786" width="9" style="166"/>
    <col min="787" max="787" width="9.5" style="166" customWidth="1"/>
    <col min="788" max="790" width="9" style="166"/>
    <col min="791" max="791" width="10.5" style="166" customWidth="1"/>
    <col min="792" max="1027" width="9" style="166"/>
    <col min="1028" max="1028" width="10.5" style="166" customWidth="1"/>
    <col min="1029" max="1042" width="9" style="166"/>
    <col min="1043" max="1043" width="9.5" style="166" customWidth="1"/>
    <col min="1044" max="1046" width="9" style="166"/>
    <col min="1047" max="1047" width="10.5" style="166" customWidth="1"/>
    <col min="1048" max="1283" width="9" style="166"/>
    <col min="1284" max="1284" width="10.5" style="166" customWidth="1"/>
    <col min="1285" max="1298" width="9" style="166"/>
    <col min="1299" max="1299" width="9.5" style="166" customWidth="1"/>
    <col min="1300" max="1302" width="9" style="166"/>
    <col min="1303" max="1303" width="10.5" style="166" customWidth="1"/>
    <col min="1304" max="1539" width="9" style="166"/>
    <col min="1540" max="1540" width="10.5" style="166" customWidth="1"/>
    <col min="1541" max="1554" width="9" style="166"/>
    <col min="1555" max="1555" width="9.5" style="166" customWidth="1"/>
    <col min="1556" max="1558" width="9" style="166"/>
    <col min="1559" max="1559" width="10.5" style="166" customWidth="1"/>
    <col min="1560" max="1795" width="9" style="166"/>
    <col min="1796" max="1796" width="10.5" style="166" customWidth="1"/>
    <col min="1797" max="1810" width="9" style="166"/>
    <col min="1811" max="1811" width="9.5" style="166" customWidth="1"/>
    <col min="1812" max="1814" width="9" style="166"/>
    <col min="1815" max="1815" width="10.5" style="166" customWidth="1"/>
    <col min="1816" max="2051" width="9" style="166"/>
    <col min="2052" max="2052" width="10.5" style="166" customWidth="1"/>
    <col min="2053" max="2066" width="9" style="166"/>
    <col min="2067" max="2067" width="9.5" style="166" customWidth="1"/>
    <col min="2068" max="2070" width="9" style="166"/>
    <col min="2071" max="2071" width="10.5" style="166" customWidth="1"/>
    <col min="2072" max="2307" width="9" style="166"/>
    <col min="2308" max="2308" width="10.5" style="166" customWidth="1"/>
    <col min="2309" max="2322" width="9" style="166"/>
    <col min="2323" max="2323" width="9.5" style="166" customWidth="1"/>
    <col min="2324" max="2326" width="9" style="166"/>
    <col min="2327" max="2327" width="10.5" style="166" customWidth="1"/>
    <col min="2328" max="2563" width="9" style="166"/>
    <col min="2564" max="2564" width="10.5" style="166" customWidth="1"/>
    <col min="2565" max="2578" width="9" style="166"/>
    <col min="2579" max="2579" width="9.5" style="166" customWidth="1"/>
    <col min="2580" max="2582" width="9" style="166"/>
    <col min="2583" max="2583" width="10.5" style="166" customWidth="1"/>
    <col min="2584" max="2819" width="9" style="166"/>
    <col min="2820" max="2820" width="10.5" style="166" customWidth="1"/>
    <col min="2821" max="2834" width="9" style="166"/>
    <col min="2835" max="2835" width="9.5" style="166" customWidth="1"/>
    <col min="2836" max="2838" width="9" style="166"/>
    <col min="2839" max="2839" width="10.5" style="166" customWidth="1"/>
    <col min="2840" max="3075" width="9" style="166"/>
    <col min="3076" max="3076" width="10.5" style="166" customWidth="1"/>
    <col min="3077" max="3090" width="9" style="166"/>
    <col min="3091" max="3091" width="9.5" style="166" customWidth="1"/>
    <col min="3092" max="3094" width="9" style="166"/>
    <col min="3095" max="3095" width="10.5" style="166" customWidth="1"/>
    <col min="3096" max="3331" width="9" style="166"/>
    <col min="3332" max="3332" width="10.5" style="166" customWidth="1"/>
    <col min="3333" max="3346" width="9" style="166"/>
    <col min="3347" max="3347" width="9.5" style="166" customWidth="1"/>
    <col min="3348" max="3350" width="9" style="166"/>
    <col min="3351" max="3351" width="10.5" style="166" customWidth="1"/>
    <col min="3352" max="3587" width="9" style="166"/>
    <col min="3588" max="3588" width="10.5" style="166" customWidth="1"/>
    <col min="3589" max="3602" width="9" style="166"/>
    <col min="3603" max="3603" width="9.5" style="166" customWidth="1"/>
    <col min="3604" max="3606" width="9" style="166"/>
    <col min="3607" max="3607" width="10.5" style="166" customWidth="1"/>
    <col min="3608" max="3843" width="9" style="166"/>
    <col min="3844" max="3844" width="10.5" style="166" customWidth="1"/>
    <col min="3845" max="3858" width="9" style="166"/>
    <col min="3859" max="3859" width="9.5" style="166" customWidth="1"/>
    <col min="3860" max="3862" width="9" style="166"/>
    <col min="3863" max="3863" width="10.5" style="166" customWidth="1"/>
    <col min="3864" max="4099" width="9" style="166"/>
    <col min="4100" max="4100" width="10.5" style="166" customWidth="1"/>
    <col min="4101" max="4114" width="9" style="166"/>
    <col min="4115" max="4115" width="9.5" style="166" customWidth="1"/>
    <col min="4116" max="4118" width="9" style="166"/>
    <col min="4119" max="4119" width="10.5" style="166" customWidth="1"/>
    <col min="4120" max="4355" width="9" style="166"/>
    <col min="4356" max="4356" width="10.5" style="166" customWidth="1"/>
    <col min="4357" max="4370" width="9" style="166"/>
    <col min="4371" max="4371" width="9.5" style="166" customWidth="1"/>
    <col min="4372" max="4374" width="9" style="166"/>
    <col min="4375" max="4375" width="10.5" style="166" customWidth="1"/>
    <col min="4376" max="4611" width="9" style="166"/>
    <col min="4612" max="4612" width="10.5" style="166" customWidth="1"/>
    <col min="4613" max="4626" width="9" style="166"/>
    <col min="4627" max="4627" width="9.5" style="166" customWidth="1"/>
    <col min="4628" max="4630" width="9" style="166"/>
    <col min="4631" max="4631" width="10.5" style="166" customWidth="1"/>
    <col min="4632" max="4867" width="9" style="166"/>
    <col min="4868" max="4868" width="10.5" style="166" customWidth="1"/>
    <col min="4869" max="4882" width="9" style="166"/>
    <col min="4883" max="4883" width="9.5" style="166" customWidth="1"/>
    <col min="4884" max="4886" width="9" style="166"/>
    <col min="4887" max="4887" width="10.5" style="166" customWidth="1"/>
    <col min="4888" max="5123" width="9" style="166"/>
    <col min="5124" max="5124" width="10.5" style="166" customWidth="1"/>
    <col min="5125" max="5138" width="9" style="166"/>
    <col min="5139" max="5139" width="9.5" style="166" customWidth="1"/>
    <col min="5140" max="5142" width="9" style="166"/>
    <col min="5143" max="5143" width="10.5" style="166" customWidth="1"/>
    <col min="5144" max="5379" width="9" style="166"/>
    <col min="5380" max="5380" width="10.5" style="166" customWidth="1"/>
    <col min="5381" max="5394" width="9" style="166"/>
    <col min="5395" max="5395" width="9.5" style="166" customWidth="1"/>
    <col min="5396" max="5398" width="9" style="166"/>
    <col min="5399" max="5399" width="10.5" style="166" customWidth="1"/>
    <col min="5400" max="5635" width="9" style="166"/>
    <col min="5636" max="5636" width="10.5" style="166" customWidth="1"/>
    <col min="5637" max="5650" width="9" style="166"/>
    <col min="5651" max="5651" width="9.5" style="166" customWidth="1"/>
    <col min="5652" max="5654" width="9" style="166"/>
    <col min="5655" max="5655" width="10.5" style="166" customWidth="1"/>
    <col min="5656" max="5891" width="9" style="166"/>
    <col min="5892" max="5892" width="10.5" style="166" customWidth="1"/>
    <col min="5893" max="5906" width="9" style="166"/>
    <col min="5907" max="5907" width="9.5" style="166" customWidth="1"/>
    <col min="5908" max="5910" width="9" style="166"/>
    <col min="5911" max="5911" width="10.5" style="166" customWidth="1"/>
    <col min="5912" max="6147" width="9" style="166"/>
    <col min="6148" max="6148" width="10.5" style="166" customWidth="1"/>
    <col min="6149" max="6162" width="9" style="166"/>
    <col min="6163" max="6163" width="9.5" style="166" customWidth="1"/>
    <col min="6164" max="6166" width="9" style="166"/>
    <col min="6167" max="6167" width="10.5" style="166" customWidth="1"/>
    <col min="6168" max="6403" width="9" style="166"/>
    <col min="6404" max="6404" width="10.5" style="166" customWidth="1"/>
    <col min="6405" max="6418" width="9" style="166"/>
    <col min="6419" max="6419" width="9.5" style="166" customWidth="1"/>
    <col min="6420" max="6422" width="9" style="166"/>
    <col min="6423" max="6423" width="10.5" style="166" customWidth="1"/>
    <col min="6424" max="6659" width="9" style="166"/>
    <col min="6660" max="6660" width="10.5" style="166" customWidth="1"/>
    <col min="6661" max="6674" width="9" style="166"/>
    <col min="6675" max="6675" width="9.5" style="166" customWidth="1"/>
    <col min="6676" max="6678" width="9" style="166"/>
    <col min="6679" max="6679" width="10.5" style="166" customWidth="1"/>
    <col min="6680" max="6915" width="9" style="166"/>
    <col min="6916" max="6916" width="10.5" style="166" customWidth="1"/>
    <col min="6917" max="6930" width="9" style="166"/>
    <col min="6931" max="6931" width="9.5" style="166" customWidth="1"/>
    <col min="6932" max="6934" width="9" style="166"/>
    <col min="6935" max="6935" width="10.5" style="166" customWidth="1"/>
    <col min="6936" max="7171" width="9" style="166"/>
    <col min="7172" max="7172" width="10.5" style="166" customWidth="1"/>
    <col min="7173" max="7186" width="9" style="166"/>
    <col min="7187" max="7187" width="9.5" style="166" customWidth="1"/>
    <col min="7188" max="7190" width="9" style="166"/>
    <col min="7191" max="7191" width="10.5" style="166" customWidth="1"/>
    <col min="7192" max="7427" width="9" style="166"/>
    <col min="7428" max="7428" width="10.5" style="166" customWidth="1"/>
    <col min="7429" max="7442" width="9" style="166"/>
    <col min="7443" max="7443" width="9.5" style="166" customWidth="1"/>
    <col min="7444" max="7446" width="9" style="166"/>
    <col min="7447" max="7447" width="10.5" style="166" customWidth="1"/>
    <col min="7448" max="7683" width="9" style="166"/>
    <col min="7684" max="7684" width="10.5" style="166" customWidth="1"/>
    <col min="7685" max="7698" width="9" style="166"/>
    <col min="7699" max="7699" width="9.5" style="166" customWidth="1"/>
    <col min="7700" max="7702" width="9" style="166"/>
    <col min="7703" max="7703" width="10.5" style="166" customWidth="1"/>
    <col min="7704" max="7939" width="9" style="166"/>
    <col min="7940" max="7940" width="10.5" style="166" customWidth="1"/>
    <col min="7941" max="7954" width="9" style="166"/>
    <col min="7955" max="7955" width="9.5" style="166" customWidth="1"/>
    <col min="7956" max="7958" width="9" style="166"/>
    <col min="7959" max="7959" width="10.5" style="166" customWidth="1"/>
    <col min="7960" max="8195" width="9" style="166"/>
    <col min="8196" max="8196" width="10.5" style="166" customWidth="1"/>
    <col min="8197" max="8210" width="9" style="166"/>
    <col min="8211" max="8211" width="9.5" style="166" customWidth="1"/>
    <col min="8212" max="8214" width="9" style="166"/>
    <col min="8215" max="8215" width="10.5" style="166" customWidth="1"/>
    <col min="8216" max="8451" width="9" style="166"/>
    <col min="8452" max="8452" width="10.5" style="166" customWidth="1"/>
    <col min="8453" max="8466" width="9" style="166"/>
    <col min="8467" max="8467" width="9.5" style="166" customWidth="1"/>
    <col min="8468" max="8470" width="9" style="166"/>
    <col min="8471" max="8471" width="10.5" style="166" customWidth="1"/>
    <col min="8472" max="8707" width="9" style="166"/>
    <col min="8708" max="8708" width="10.5" style="166" customWidth="1"/>
    <col min="8709" max="8722" width="9" style="166"/>
    <col min="8723" max="8723" width="9.5" style="166" customWidth="1"/>
    <col min="8724" max="8726" width="9" style="166"/>
    <col min="8727" max="8727" width="10.5" style="166" customWidth="1"/>
    <col min="8728" max="8963" width="9" style="166"/>
    <col min="8964" max="8964" width="10.5" style="166" customWidth="1"/>
    <col min="8965" max="8978" width="9" style="166"/>
    <col min="8979" max="8979" width="9.5" style="166" customWidth="1"/>
    <col min="8980" max="8982" width="9" style="166"/>
    <col min="8983" max="8983" width="10.5" style="166" customWidth="1"/>
    <col min="8984" max="9219" width="9" style="166"/>
    <col min="9220" max="9220" width="10.5" style="166" customWidth="1"/>
    <col min="9221" max="9234" width="9" style="166"/>
    <col min="9235" max="9235" width="9.5" style="166" customWidth="1"/>
    <col min="9236" max="9238" width="9" style="166"/>
    <col min="9239" max="9239" width="10.5" style="166" customWidth="1"/>
    <col min="9240" max="9475" width="9" style="166"/>
    <col min="9476" max="9476" width="10.5" style="166" customWidth="1"/>
    <col min="9477" max="9490" width="9" style="166"/>
    <col min="9491" max="9491" width="9.5" style="166" customWidth="1"/>
    <col min="9492" max="9494" width="9" style="166"/>
    <col min="9495" max="9495" width="10.5" style="166" customWidth="1"/>
    <col min="9496" max="9731" width="9" style="166"/>
    <col min="9732" max="9732" width="10.5" style="166" customWidth="1"/>
    <col min="9733" max="9746" width="9" style="166"/>
    <col min="9747" max="9747" width="9.5" style="166" customWidth="1"/>
    <col min="9748" max="9750" width="9" style="166"/>
    <col min="9751" max="9751" width="10.5" style="166" customWidth="1"/>
    <col min="9752" max="9987" width="9" style="166"/>
    <col min="9988" max="9988" width="10.5" style="166" customWidth="1"/>
    <col min="9989" max="10002" width="9" style="166"/>
    <col min="10003" max="10003" width="9.5" style="166" customWidth="1"/>
    <col min="10004" max="10006" width="9" style="166"/>
    <col min="10007" max="10007" width="10.5" style="166" customWidth="1"/>
    <col min="10008" max="10243" width="9" style="166"/>
    <col min="10244" max="10244" width="10.5" style="166" customWidth="1"/>
    <col min="10245" max="10258" width="9" style="166"/>
    <col min="10259" max="10259" width="9.5" style="166" customWidth="1"/>
    <col min="10260" max="10262" width="9" style="166"/>
    <col min="10263" max="10263" width="10.5" style="166" customWidth="1"/>
    <col min="10264" max="10499" width="9" style="166"/>
    <col min="10500" max="10500" width="10.5" style="166" customWidth="1"/>
    <col min="10501" max="10514" width="9" style="166"/>
    <col min="10515" max="10515" width="9.5" style="166" customWidth="1"/>
    <col min="10516" max="10518" width="9" style="166"/>
    <col min="10519" max="10519" width="10.5" style="166" customWidth="1"/>
    <col min="10520" max="10755" width="9" style="166"/>
    <col min="10756" max="10756" width="10.5" style="166" customWidth="1"/>
    <col min="10757" max="10770" width="9" style="166"/>
    <col min="10771" max="10771" width="9.5" style="166" customWidth="1"/>
    <col min="10772" max="10774" width="9" style="166"/>
    <col min="10775" max="10775" width="10.5" style="166" customWidth="1"/>
    <col min="10776" max="11011" width="9" style="166"/>
    <col min="11012" max="11012" width="10.5" style="166" customWidth="1"/>
    <col min="11013" max="11026" width="9" style="166"/>
    <col min="11027" max="11027" width="9.5" style="166" customWidth="1"/>
    <col min="11028" max="11030" width="9" style="166"/>
    <col min="11031" max="11031" width="10.5" style="166" customWidth="1"/>
    <col min="11032" max="11267" width="9" style="166"/>
    <col min="11268" max="11268" width="10.5" style="166" customWidth="1"/>
    <col min="11269" max="11282" width="9" style="166"/>
    <col min="11283" max="11283" width="9.5" style="166" customWidth="1"/>
    <col min="11284" max="11286" width="9" style="166"/>
    <col min="11287" max="11287" width="10.5" style="166" customWidth="1"/>
    <col min="11288" max="11523" width="9" style="166"/>
    <col min="11524" max="11524" width="10.5" style="166" customWidth="1"/>
    <col min="11525" max="11538" width="9" style="166"/>
    <col min="11539" max="11539" width="9.5" style="166" customWidth="1"/>
    <col min="11540" max="11542" width="9" style="166"/>
    <col min="11543" max="11543" width="10.5" style="166" customWidth="1"/>
    <col min="11544" max="11779" width="9" style="166"/>
    <col min="11780" max="11780" width="10.5" style="166" customWidth="1"/>
    <col min="11781" max="11794" width="9" style="166"/>
    <col min="11795" max="11795" width="9.5" style="166" customWidth="1"/>
    <col min="11796" max="11798" width="9" style="166"/>
    <col min="11799" max="11799" width="10.5" style="166" customWidth="1"/>
    <col min="11800" max="12035" width="9" style="166"/>
    <col min="12036" max="12036" width="10.5" style="166" customWidth="1"/>
    <col min="12037" max="12050" width="9" style="166"/>
    <col min="12051" max="12051" width="9.5" style="166" customWidth="1"/>
    <col min="12052" max="12054" width="9" style="166"/>
    <col min="12055" max="12055" width="10.5" style="166" customWidth="1"/>
    <col min="12056" max="12291" width="9" style="166"/>
    <col min="12292" max="12292" width="10.5" style="166" customWidth="1"/>
    <col min="12293" max="12306" width="9" style="166"/>
    <col min="12307" max="12307" width="9.5" style="166" customWidth="1"/>
    <col min="12308" max="12310" width="9" style="166"/>
    <col min="12311" max="12311" width="10.5" style="166" customWidth="1"/>
    <col min="12312" max="12547" width="9" style="166"/>
    <col min="12548" max="12548" width="10.5" style="166" customWidth="1"/>
    <col min="12549" max="12562" width="9" style="166"/>
    <col min="12563" max="12563" width="9.5" style="166" customWidth="1"/>
    <col min="12564" max="12566" width="9" style="166"/>
    <col min="12567" max="12567" width="10.5" style="166" customWidth="1"/>
    <col min="12568" max="12803" width="9" style="166"/>
    <col min="12804" max="12804" width="10.5" style="166" customWidth="1"/>
    <col min="12805" max="12818" width="9" style="166"/>
    <col min="12819" max="12819" width="9.5" style="166" customWidth="1"/>
    <col min="12820" max="12822" width="9" style="166"/>
    <col min="12823" max="12823" width="10.5" style="166" customWidth="1"/>
    <col min="12824" max="13059" width="9" style="166"/>
    <col min="13060" max="13060" width="10.5" style="166" customWidth="1"/>
    <col min="13061" max="13074" width="9" style="166"/>
    <col min="13075" max="13075" width="9.5" style="166" customWidth="1"/>
    <col min="13076" max="13078" width="9" style="166"/>
    <col min="13079" max="13079" width="10.5" style="166" customWidth="1"/>
    <col min="13080" max="13315" width="9" style="166"/>
    <col min="13316" max="13316" width="10.5" style="166" customWidth="1"/>
    <col min="13317" max="13330" width="9" style="166"/>
    <col min="13331" max="13331" width="9.5" style="166" customWidth="1"/>
    <col min="13332" max="13334" width="9" style="166"/>
    <col min="13335" max="13335" width="10.5" style="166" customWidth="1"/>
    <col min="13336" max="13571" width="9" style="166"/>
    <col min="13572" max="13572" width="10.5" style="166" customWidth="1"/>
    <col min="13573" max="13586" width="9" style="166"/>
    <col min="13587" max="13587" width="9.5" style="166" customWidth="1"/>
    <col min="13588" max="13590" width="9" style="166"/>
    <col min="13591" max="13591" width="10.5" style="166" customWidth="1"/>
    <col min="13592" max="13827" width="9" style="166"/>
    <col min="13828" max="13828" width="10.5" style="166" customWidth="1"/>
    <col min="13829" max="13842" width="9" style="166"/>
    <col min="13843" max="13843" width="9.5" style="166" customWidth="1"/>
    <col min="13844" max="13846" width="9" style="166"/>
    <col min="13847" max="13847" width="10.5" style="166" customWidth="1"/>
    <col min="13848" max="14083" width="9" style="166"/>
    <col min="14084" max="14084" width="10.5" style="166" customWidth="1"/>
    <col min="14085" max="14098" width="9" style="166"/>
    <col min="14099" max="14099" width="9.5" style="166" customWidth="1"/>
    <col min="14100" max="14102" width="9" style="166"/>
    <col min="14103" max="14103" width="10.5" style="166" customWidth="1"/>
    <col min="14104" max="14339" width="9" style="166"/>
    <col min="14340" max="14340" width="10.5" style="166" customWidth="1"/>
    <col min="14341" max="14354" width="9" style="166"/>
    <col min="14355" max="14355" width="9.5" style="166" customWidth="1"/>
    <col min="14356" max="14358" width="9" style="166"/>
    <col min="14359" max="14359" width="10.5" style="166" customWidth="1"/>
    <col min="14360" max="14595" width="9" style="166"/>
    <col min="14596" max="14596" width="10.5" style="166" customWidth="1"/>
    <col min="14597" max="14610" width="9" style="166"/>
    <col min="14611" max="14611" width="9.5" style="166" customWidth="1"/>
    <col min="14612" max="14614" width="9" style="166"/>
    <col min="14615" max="14615" width="10.5" style="166" customWidth="1"/>
    <col min="14616" max="14851" width="9" style="166"/>
    <col min="14852" max="14852" width="10.5" style="166" customWidth="1"/>
    <col min="14853" max="14866" width="9" style="166"/>
    <col min="14867" max="14867" width="9.5" style="166" customWidth="1"/>
    <col min="14868" max="14870" width="9" style="166"/>
    <col min="14871" max="14871" width="10.5" style="166" customWidth="1"/>
    <col min="14872" max="15107" width="9" style="166"/>
    <col min="15108" max="15108" width="10.5" style="166" customWidth="1"/>
    <col min="15109" max="15122" width="9" style="166"/>
    <col min="15123" max="15123" width="9.5" style="166" customWidth="1"/>
    <col min="15124" max="15126" width="9" style="166"/>
    <col min="15127" max="15127" width="10.5" style="166" customWidth="1"/>
    <col min="15128" max="15363" width="9" style="166"/>
    <col min="15364" max="15364" width="10.5" style="166" customWidth="1"/>
    <col min="15365" max="15378" width="9" style="166"/>
    <col min="15379" max="15379" width="9.5" style="166" customWidth="1"/>
    <col min="15380" max="15382" width="9" style="166"/>
    <col min="15383" max="15383" width="10.5" style="166" customWidth="1"/>
    <col min="15384" max="15619" width="9" style="166"/>
    <col min="15620" max="15620" width="10.5" style="166" customWidth="1"/>
    <col min="15621" max="15634" width="9" style="166"/>
    <col min="15635" max="15635" width="9.5" style="166" customWidth="1"/>
    <col min="15636" max="15638" width="9" style="166"/>
    <col min="15639" max="15639" width="10.5" style="166" customWidth="1"/>
    <col min="15640" max="15875" width="9" style="166"/>
    <col min="15876" max="15876" width="10.5" style="166" customWidth="1"/>
    <col min="15877" max="15890" width="9" style="166"/>
    <col min="15891" max="15891" width="9.5" style="166" customWidth="1"/>
    <col min="15892" max="15894" width="9" style="166"/>
    <col min="15895" max="15895" width="10.5" style="166" customWidth="1"/>
    <col min="15896" max="16131" width="9" style="166"/>
    <col min="16132" max="16132" width="10.5" style="166" customWidth="1"/>
    <col min="16133" max="16146" width="9" style="166"/>
    <col min="16147" max="16147" width="9.5" style="166" customWidth="1"/>
    <col min="16148" max="16150" width="9" style="166"/>
    <col min="16151" max="16151" width="10.5" style="166" customWidth="1"/>
    <col min="16152" max="16384" width="9" style="166"/>
  </cols>
  <sheetData>
    <row r="1" spans="1:53" ht="45" x14ac:dyDescent="0.15">
      <c r="A1" s="157" t="s">
        <v>0</v>
      </c>
      <c r="B1" s="158" t="s">
        <v>167</v>
      </c>
      <c r="C1" s="158" t="s">
        <v>168</v>
      </c>
      <c r="D1" s="159" t="s">
        <v>3</v>
      </c>
      <c r="E1" s="160" t="s">
        <v>4</v>
      </c>
      <c r="F1" s="160" t="s">
        <v>5</v>
      </c>
      <c r="G1" s="160" t="s">
        <v>6</v>
      </c>
      <c r="H1" s="160" t="s">
        <v>7</v>
      </c>
      <c r="I1" s="160" t="s">
        <v>8</v>
      </c>
      <c r="J1" s="160" t="s">
        <v>9</v>
      </c>
      <c r="K1" s="160" t="s">
        <v>10</v>
      </c>
      <c r="L1" s="159" t="s">
        <v>169</v>
      </c>
      <c r="M1" s="159" t="s">
        <v>170</v>
      </c>
      <c r="N1" s="159" t="s">
        <v>13</v>
      </c>
      <c r="O1" s="159" t="s">
        <v>171</v>
      </c>
      <c r="P1" s="159" t="s">
        <v>172</v>
      </c>
      <c r="Q1" s="161" t="s">
        <v>173</v>
      </c>
      <c r="R1" s="159" t="s">
        <v>174</v>
      </c>
      <c r="S1" s="159" t="s">
        <v>175</v>
      </c>
      <c r="T1" s="161" t="s">
        <v>19</v>
      </c>
      <c r="U1" s="162" t="s">
        <v>108</v>
      </c>
      <c r="V1" s="163" t="s">
        <v>20</v>
      </c>
      <c r="W1" s="159" t="s">
        <v>176</v>
      </c>
      <c r="X1" s="160" t="s">
        <v>22</v>
      </c>
      <c r="Y1" s="160" t="s">
        <v>23</v>
      </c>
      <c r="Z1" s="160" t="s">
        <v>24</v>
      </c>
      <c r="AA1" s="164" t="s">
        <v>25</v>
      </c>
      <c r="AB1" s="165" t="s">
        <v>177</v>
      </c>
      <c r="AE1" s="167" t="s">
        <v>0</v>
      </c>
      <c r="AF1" s="168"/>
      <c r="AG1" s="167" t="s">
        <v>4</v>
      </c>
      <c r="AH1" s="167" t="s">
        <v>5</v>
      </c>
      <c r="AI1" s="168"/>
      <c r="AJ1" s="167" t="s">
        <v>6</v>
      </c>
      <c r="AK1" s="168"/>
      <c r="AL1" s="169" t="s">
        <v>7</v>
      </c>
      <c r="AM1" s="168"/>
      <c r="AN1" s="169" t="s">
        <v>8</v>
      </c>
      <c r="AO1" s="168"/>
      <c r="AP1" s="169" t="s">
        <v>27</v>
      </c>
      <c r="AQ1" s="168"/>
      <c r="AR1" s="169" t="s">
        <v>10</v>
      </c>
      <c r="AS1" s="168"/>
      <c r="AT1" s="170" t="s">
        <v>178</v>
      </c>
      <c r="AU1" s="168"/>
      <c r="AV1" s="169" t="s">
        <v>29</v>
      </c>
      <c r="AX1" s="171" t="s">
        <v>367</v>
      </c>
      <c r="AY1" s="172" t="s">
        <v>180</v>
      </c>
      <c r="AZ1" s="172" t="s">
        <v>368</v>
      </c>
      <c r="BA1" s="173" t="s">
        <v>182</v>
      </c>
    </row>
    <row r="2" spans="1:53" x14ac:dyDescent="0.15">
      <c r="A2" s="166" t="s">
        <v>51</v>
      </c>
      <c r="B2" s="166" t="s">
        <v>157</v>
      </c>
      <c r="C2" s="166">
        <v>2019</v>
      </c>
      <c r="D2" s="174" t="s">
        <v>369</v>
      </c>
      <c r="E2" s="166" t="s">
        <v>370</v>
      </c>
      <c r="F2" s="166" t="s">
        <v>371</v>
      </c>
      <c r="G2" s="166" t="s">
        <v>42</v>
      </c>
      <c r="H2" s="166" t="s">
        <v>164</v>
      </c>
      <c r="I2" s="166" t="s">
        <v>159</v>
      </c>
      <c r="J2" s="166" t="s">
        <v>38</v>
      </c>
      <c r="K2" s="166" t="s">
        <v>161</v>
      </c>
      <c r="L2" s="166">
        <v>1</v>
      </c>
      <c r="N2" s="166">
        <v>1</v>
      </c>
      <c r="O2" s="166">
        <v>0.8</v>
      </c>
      <c r="P2" s="166">
        <v>0.75</v>
      </c>
      <c r="Q2" s="175">
        <f t="shared" ref="Q2:Q65" si="0">IF(OR(O2="",P2=""),"",AVERAGE(O2,P2))</f>
        <v>0.77500000000000002</v>
      </c>
      <c r="R2" s="166">
        <v>15.1</v>
      </c>
      <c r="S2" s="166">
        <v>124</v>
      </c>
      <c r="T2" s="176">
        <f t="shared" ref="T2:T65" si="1">IF(H2="","",IF(OR(H2="GREEN",H2="GK"),IF(S2&gt;=$AX$2,VLOOKUP(S2,$AX$2:$AY$12,2,1),""),IF(S2&gt;=$AZ$2,VLOOKUP(S2,$AZ$2:$BA$12,2,1),"")))</f>
        <v>27</v>
      </c>
      <c r="U2" s="166">
        <v>98</v>
      </c>
      <c r="V2" s="177">
        <f t="shared" ref="V2:V65" si="2">IF(OR(N2="",U2="",T2=""),"",U2/N2*T2)</f>
        <v>2646</v>
      </c>
      <c r="W2" s="166">
        <v>14</v>
      </c>
      <c r="X2" s="166" t="s">
        <v>46</v>
      </c>
      <c r="Y2" s="166" t="s">
        <v>69</v>
      </c>
      <c r="Z2" s="166" t="s">
        <v>97</v>
      </c>
      <c r="AA2" s="166" t="s">
        <v>88</v>
      </c>
      <c r="AB2" s="166" t="s">
        <v>372</v>
      </c>
      <c r="AE2" s="178" t="s">
        <v>35</v>
      </c>
      <c r="AG2" s="179" t="s">
        <v>210</v>
      </c>
      <c r="AH2" s="179" t="s">
        <v>373</v>
      </c>
      <c r="AJ2" s="179" t="s">
        <v>36</v>
      </c>
      <c r="AL2" s="179" t="s">
        <v>185</v>
      </c>
      <c r="AN2" s="179" t="s">
        <v>37</v>
      </c>
      <c r="AP2" s="179" t="s">
        <v>38</v>
      </c>
      <c r="AR2" s="179" t="s">
        <v>161</v>
      </c>
      <c r="AT2" s="179" t="s">
        <v>39</v>
      </c>
      <c r="AV2" s="179" t="s">
        <v>40</v>
      </c>
      <c r="AX2" s="180">
        <v>1</v>
      </c>
      <c r="AY2" s="181">
        <v>50</v>
      </c>
      <c r="AZ2" s="181">
        <v>1</v>
      </c>
      <c r="BA2" s="182">
        <v>50</v>
      </c>
    </row>
    <row r="3" spans="1:53" x14ac:dyDescent="0.15">
      <c r="A3" s="166" t="s">
        <v>51</v>
      </c>
      <c r="B3" s="166" t="s">
        <v>157</v>
      </c>
      <c r="C3" s="166">
        <v>2019</v>
      </c>
      <c r="D3" s="174" t="s">
        <v>369</v>
      </c>
      <c r="E3" s="166" t="s">
        <v>370</v>
      </c>
      <c r="F3" s="166" t="s">
        <v>371</v>
      </c>
      <c r="G3" s="166" t="s">
        <v>42</v>
      </c>
      <c r="H3" s="166" t="s">
        <v>164</v>
      </c>
      <c r="I3" s="166" t="s">
        <v>159</v>
      </c>
      <c r="J3" s="166" t="s">
        <v>38</v>
      </c>
      <c r="K3" s="166" t="s">
        <v>161</v>
      </c>
      <c r="L3" s="166">
        <v>2</v>
      </c>
      <c r="N3" s="166">
        <v>1</v>
      </c>
      <c r="O3" s="166">
        <v>0.85</v>
      </c>
      <c r="P3" s="166">
        <v>0.85</v>
      </c>
      <c r="Q3" s="175">
        <f t="shared" si="0"/>
        <v>0.85</v>
      </c>
      <c r="R3" s="166">
        <v>13.5</v>
      </c>
      <c r="S3" s="166">
        <v>120</v>
      </c>
      <c r="T3" s="176">
        <f t="shared" si="1"/>
        <v>30</v>
      </c>
      <c r="U3" s="166">
        <v>98</v>
      </c>
      <c r="V3" s="177">
        <f t="shared" si="2"/>
        <v>2940</v>
      </c>
      <c r="W3" s="166">
        <v>14</v>
      </c>
      <c r="X3" s="166" t="s">
        <v>46</v>
      </c>
      <c r="Y3" s="166" t="s">
        <v>69</v>
      </c>
      <c r="Z3" s="166" t="s">
        <v>97</v>
      </c>
      <c r="AA3" s="166" t="s">
        <v>88</v>
      </c>
      <c r="AB3" s="166" t="s">
        <v>372</v>
      </c>
      <c r="AE3" s="183" t="s">
        <v>41</v>
      </c>
      <c r="AG3" s="179" t="s">
        <v>374</v>
      </c>
      <c r="AH3" s="179" t="s">
        <v>375</v>
      </c>
      <c r="AJ3" s="184" t="s">
        <v>42</v>
      </c>
      <c r="AL3" s="184" t="s">
        <v>187</v>
      </c>
      <c r="AN3" s="184" t="s">
        <v>43</v>
      </c>
      <c r="AP3" s="184" t="s">
        <v>44</v>
      </c>
      <c r="AR3" s="184" t="s">
        <v>45</v>
      </c>
      <c r="AT3" s="184" t="s">
        <v>46</v>
      </c>
      <c r="AV3" s="184" t="s">
        <v>47</v>
      </c>
      <c r="AX3" s="185">
        <v>72</v>
      </c>
      <c r="AY3" s="186">
        <v>46</v>
      </c>
      <c r="AZ3" s="186">
        <v>71</v>
      </c>
      <c r="BA3" s="187">
        <v>42</v>
      </c>
    </row>
    <row r="4" spans="1:53" x14ac:dyDescent="0.15">
      <c r="A4" s="166" t="s">
        <v>51</v>
      </c>
      <c r="B4" s="166" t="s">
        <v>157</v>
      </c>
      <c r="C4" s="166">
        <v>2019</v>
      </c>
      <c r="D4" s="174" t="s">
        <v>369</v>
      </c>
      <c r="E4" s="166" t="s">
        <v>370</v>
      </c>
      <c r="F4" s="166" t="s">
        <v>371</v>
      </c>
      <c r="G4" s="166" t="s">
        <v>42</v>
      </c>
      <c r="H4" s="166" t="s">
        <v>164</v>
      </c>
      <c r="I4" s="166" t="s">
        <v>159</v>
      </c>
      <c r="J4" s="166" t="s">
        <v>38</v>
      </c>
      <c r="K4" s="166" t="s">
        <v>161</v>
      </c>
      <c r="L4" s="166">
        <v>3</v>
      </c>
      <c r="N4" s="166">
        <v>1</v>
      </c>
      <c r="O4" s="166">
        <v>0.6</v>
      </c>
      <c r="P4" s="166">
        <v>0.8</v>
      </c>
      <c r="Q4" s="175">
        <f t="shared" si="0"/>
        <v>0.7</v>
      </c>
      <c r="R4" s="166">
        <v>15.6</v>
      </c>
      <c r="S4" s="166">
        <v>128</v>
      </c>
      <c r="T4" s="176">
        <f t="shared" si="1"/>
        <v>27</v>
      </c>
      <c r="U4" s="166">
        <v>98</v>
      </c>
      <c r="V4" s="177">
        <f t="shared" si="2"/>
        <v>2646</v>
      </c>
      <c r="W4" s="166">
        <v>14</v>
      </c>
      <c r="X4" s="166" t="s">
        <v>46</v>
      </c>
      <c r="Y4" s="166" t="s">
        <v>69</v>
      </c>
      <c r="Z4" s="166" t="s">
        <v>97</v>
      </c>
      <c r="AA4" s="166" t="s">
        <v>88</v>
      </c>
      <c r="AB4" s="166" t="s">
        <v>372</v>
      </c>
      <c r="AE4" s="183" t="s">
        <v>34</v>
      </c>
      <c r="AG4" s="179" t="s">
        <v>376</v>
      </c>
      <c r="AH4" s="179" t="s">
        <v>377</v>
      </c>
      <c r="AJ4" s="188" t="s">
        <v>48</v>
      </c>
      <c r="AL4" s="188" t="s">
        <v>189</v>
      </c>
      <c r="AN4" s="189" t="s">
        <v>190</v>
      </c>
      <c r="AP4" s="184" t="s">
        <v>191</v>
      </c>
      <c r="AR4" s="184" t="s">
        <v>192</v>
      </c>
      <c r="AT4" s="189"/>
      <c r="AV4" s="184" t="s">
        <v>50</v>
      </c>
      <c r="AX4" s="185">
        <v>75</v>
      </c>
      <c r="AY4" s="186">
        <v>42</v>
      </c>
      <c r="AZ4" s="186">
        <v>76</v>
      </c>
      <c r="BA4" s="187">
        <v>39</v>
      </c>
    </row>
    <row r="5" spans="1:53" x14ac:dyDescent="0.15">
      <c r="A5" s="166" t="s">
        <v>51</v>
      </c>
      <c r="B5" s="166" t="s">
        <v>157</v>
      </c>
      <c r="C5" s="166">
        <v>2019</v>
      </c>
      <c r="D5" s="174" t="s">
        <v>369</v>
      </c>
      <c r="E5" s="166" t="s">
        <v>370</v>
      </c>
      <c r="F5" s="166" t="s">
        <v>371</v>
      </c>
      <c r="G5" s="166" t="s">
        <v>42</v>
      </c>
      <c r="H5" s="166" t="s">
        <v>160</v>
      </c>
      <c r="I5" s="166" t="s">
        <v>159</v>
      </c>
      <c r="J5" s="166" t="s">
        <v>38</v>
      </c>
      <c r="K5" s="166" t="s">
        <v>161</v>
      </c>
      <c r="L5" s="166">
        <v>1</v>
      </c>
      <c r="N5" s="166">
        <v>1</v>
      </c>
      <c r="O5" s="166">
        <v>0.95</v>
      </c>
      <c r="P5" s="166">
        <v>1</v>
      </c>
      <c r="Q5" s="175">
        <f t="shared" si="0"/>
        <v>0.97499999999999998</v>
      </c>
      <c r="R5" s="166">
        <v>15.3</v>
      </c>
      <c r="S5" s="166">
        <v>130</v>
      </c>
      <c r="T5" s="176">
        <f t="shared" si="1"/>
        <v>25</v>
      </c>
      <c r="U5" s="166">
        <v>138</v>
      </c>
      <c r="V5" s="177">
        <f t="shared" si="2"/>
        <v>3450</v>
      </c>
      <c r="W5" s="166">
        <v>14</v>
      </c>
      <c r="X5" s="166" t="s">
        <v>46</v>
      </c>
      <c r="Y5" s="166" t="s">
        <v>69</v>
      </c>
      <c r="Z5" s="166" t="s">
        <v>97</v>
      </c>
      <c r="AA5" s="166" t="s">
        <v>88</v>
      </c>
      <c r="AB5" s="166" t="s">
        <v>372</v>
      </c>
      <c r="AE5" s="183" t="s">
        <v>51</v>
      </c>
      <c r="AG5" s="179" t="s">
        <v>346</v>
      </c>
      <c r="AH5" s="179" t="s">
        <v>371</v>
      </c>
      <c r="AJ5" s="189"/>
      <c r="AL5" s="190" t="s">
        <v>164</v>
      </c>
      <c r="AN5" s="190" t="s">
        <v>159</v>
      </c>
      <c r="AP5" s="184" t="s">
        <v>194</v>
      </c>
      <c r="AR5" s="184" t="s">
        <v>54</v>
      </c>
      <c r="AV5" s="184" t="s">
        <v>55</v>
      </c>
      <c r="AX5" s="185">
        <v>84</v>
      </c>
      <c r="AY5" s="186">
        <v>39</v>
      </c>
      <c r="AZ5" s="186">
        <v>84</v>
      </c>
      <c r="BA5" s="187">
        <v>36</v>
      </c>
    </row>
    <row r="6" spans="1:53" x14ac:dyDescent="0.15">
      <c r="A6" s="166" t="s">
        <v>51</v>
      </c>
      <c r="B6" s="166" t="s">
        <v>157</v>
      </c>
      <c r="C6" s="166">
        <v>2019</v>
      </c>
      <c r="D6" s="174" t="s">
        <v>369</v>
      </c>
      <c r="E6" s="166" t="s">
        <v>370</v>
      </c>
      <c r="F6" s="166" t="s">
        <v>371</v>
      </c>
      <c r="G6" s="166" t="s">
        <v>42</v>
      </c>
      <c r="H6" s="166" t="s">
        <v>160</v>
      </c>
      <c r="I6" s="166" t="s">
        <v>159</v>
      </c>
      <c r="J6" s="166" t="s">
        <v>38</v>
      </c>
      <c r="K6" s="166" t="s">
        <v>161</v>
      </c>
      <c r="L6" s="166">
        <v>2</v>
      </c>
      <c r="N6" s="166">
        <v>1</v>
      </c>
      <c r="O6" s="166">
        <v>0.85</v>
      </c>
      <c r="P6" s="166">
        <v>0.95</v>
      </c>
      <c r="Q6" s="175">
        <f t="shared" si="0"/>
        <v>0.89999999999999991</v>
      </c>
      <c r="R6" s="166">
        <v>15.6</v>
      </c>
      <c r="S6" s="166">
        <v>136</v>
      </c>
      <c r="T6" s="176">
        <f t="shared" si="1"/>
        <v>25</v>
      </c>
      <c r="U6" s="166">
        <v>138</v>
      </c>
      <c r="V6" s="177">
        <f t="shared" si="2"/>
        <v>3450</v>
      </c>
      <c r="W6" s="166">
        <v>14</v>
      </c>
      <c r="X6" s="166" t="s">
        <v>46</v>
      </c>
      <c r="Y6" s="166" t="s">
        <v>69</v>
      </c>
      <c r="Z6" s="166" t="s">
        <v>97</v>
      </c>
      <c r="AA6" s="166" t="s">
        <v>88</v>
      </c>
      <c r="AB6" s="166" t="s">
        <v>372</v>
      </c>
      <c r="AE6" s="183" t="s">
        <v>56</v>
      </c>
      <c r="AG6" s="179" t="s">
        <v>378</v>
      </c>
      <c r="AH6" s="179" t="s">
        <v>379</v>
      </c>
      <c r="AL6" s="190" t="s">
        <v>196</v>
      </c>
      <c r="AN6" s="190" t="s">
        <v>197</v>
      </c>
      <c r="AP6" s="184" t="s">
        <v>53</v>
      </c>
      <c r="AR6" s="184" t="s">
        <v>59</v>
      </c>
      <c r="AV6" s="184" t="s">
        <v>60</v>
      </c>
      <c r="AX6" s="185">
        <v>97</v>
      </c>
      <c r="AY6" s="186">
        <v>36</v>
      </c>
      <c r="AZ6" s="186">
        <v>99</v>
      </c>
      <c r="BA6" s="187">
        <v>33</v>
      </c>
    </row>
    <row r="7" spans="1:53" x14ac:dyDescent="0.15">
      <c r="A7" s="166" t="s">
        <v>51</v>
      </c>
      <c r="B7" s="166" t="s">
        <v>157</v>
      </c>
      <c r="C7" s="166">
        <v>2019</v>
      </c>
      <c r="D7" s="174" t="s">
        <v>369</v>
      </c>
      <c r="E7" s="166" t="s">
        <v>370</v>
      </c>
      <c r="F7" s="166" t="s">
        <v>371</v>
      </c>
      <c r="G7" s="166" t="s">
        <v>42</v>
      </c>
      <c r="H7" s="166" t="s">
        <v>160</v>
      </c>
      <c r="I7" s="166" t="s">
        <v>159</v>
      </c>
      <c r="J7" s="166" t="s">
        <v>38</v>
      </c>
      <c r="K7" s="166" t="s">
        <v>161</v>
      </c>
      <c r="L7" s="166">
        <v>3</v>
      </c>
      <c r="N7" s="166">
        <v>1</v>
      </c>
      <c r="O7" s="166">
        <v>0.9</v>
      </c>
      <c r="P7" s="166">
        <v>0.8</v>
      </c>
      <c r="Q7" s="175">
        <f t="shared" si="0"/>
        <v>0.85000000000000009</v>
      </c>
      <c r="R7" s="166">
        <v>16.2</v>
      </c>
      <c r="S7" s="166">
        <v>138</v>
      </c>
      <c r="T7" s="176">
        <f t="shared" si="1"/>
        <v>22</v>
      </c>
      <c r="U7" s="166">
        <v>138</v>
      </c>
      <c r="V7" s="177">
        <f t="shared" si="2"/>
        <v>3036</v>
      </c>
      <c r="W7" s="166">
        <v>14</v>
      </c>
      <c r="X7" s="166" t="s">
        <v>46</v>
      </c>
      <c r="Y7" s="166" t="s">
        <v>69</v>
      </c>
      <c r="Z7" s="166" t="s">
        <v>97</v>
      </c>
      <c r="AA7" s="166" t="s">
        <v>88</v>
      </c>
      <c r="AB7" s="166" t="s">
        <v>372</v>
      </c>
      <c r="AE7" s="183" t="s">
        <v>61</v>
      </c>
      <c r="AG7" s="179" t="s">
        <v>380</v>
      </c>
      <c r="AH7" s="179" t="s">
        <v>373</v>
      </c>
      <c r="AL7" s="166" t="s">
        <v>199</v>
      </c>
      <c r="AP7" s="184" t="s">
        <v>58</v>
      </c>
      <c r="AR7" s="184" t="s">
        <v>200</v>
      </c>
      <c r="AV7" s="184" t="s">
        <v>64</v>
      </c>
      <c r="AX7" s="185">
        <v>109</v>
      </c>
      <c r="AY7" s="186">
        <v>33</v>
      </c>
      <c r="AZ7" s="186">
        <v>113</v>
      </c>
      <c r="BA7" s="187">
        <v>30</v>
      </c>
    </row>
    <row r="8" spans="1:53" x14ac:dyDescent="0.15">
      <c r="A8" s="166" t="s">
        <v>51</v>
      </c>
      <c r="B8" s="166" t="s">
        <v>157</v>
      </c>
      <c r="C8" s="166">
        <v>2019</v>
      </c>
      <c r="D8" s="174" t="s">
        <v>369</v>
      </c>
      <c r="E8" s="166" t="s">
        <v>374</v>
      </c>
      <c r="F8" s="166" t="s">
        <v>375</v>
      </c>
      <c r="G8" s="166" t="s">
        <v>36</v>
      </c>
      <c r="H8" s="166" t="s">
        <v>164</v>
      </c>
      <c r="I8" s="166" t="s">
        <v>159</v>
      </c>
      <c r="J8" s="166" t="s">
        <v>38</v>
      </c>
      <c r="K8" s="166" t="s">
        <v>161</v>
      </c>
      <c r="L8" s="166">
        <v>1</v>
      </c>
      <c r="N8" s="166">
        <v>1</v>
      </c>
      <c r="O8" s="166">
        <v>0.85</v>
      </c>
      <c r="P8" s="166">
        <v>0.75</v>
      </c>
      <c r="Q8" s="175">
        <f t="shared" si="0"/>
        <v>0.8</v>
      </c>
      <c r="R8" s="166">
        <v>19.5</v>
      </c>
      <c r="S8" s="166">
        <v>138</v>
      </c>
      <c r="T8" s="176">
        <f t="shared" si="1"/>
        <v>22</v>
      </c>
      <c r="U8" s="166">
        <v>138</v>
      </c>
      <c r="V8" s="177">
        <f t="shared" si="2"/>
        <v>3036</v>
      </c>
      <c r="W8" s="166">
        <v>10</v>
      </c>
      <c r="X8" s="166" t="s">
        <v>46</v>
      </c>
      <c r="Y8" s="166" t="s">
        <v>55</v>
      </c>
      <c r="Z8" s="166" t="s">
        <v>69</v>
      </c>
      <c r="AA8" s="166" t="s">
        <v>90</v>
      </c>
      <c r="AB8" s="166" t="s">
        <v>372</v>
      </c>
      <c r="AE8" s="183" t="s">
        <v>59</v>
      </c>
      <c r="AG8" s="179" t="s">
        <v>381</v>
      </c>
      <c r="AH8" s="179" t="s">
        <v>382</v>
      </c>
      <c r="AL8" s="166" t="s">
        <v>160</v>
      </c>
      <c r="AP8" s="184" t="s">
        <v>62</v>
      </c>
      <c r="AR8" s="184" t="s">
        <v>81</v>
      </c>
      <c r="AV8" s="184" t="s">
        <v>97</v>
      </c>
      <c r="AX8" s="185">
        <v>119</v>
      </c>
      <c r="AY8" s="186">
        <v>30</v>
      </c>
      <c r="AZ8" s="186">
        <v>121</v>
      </c>
      <c r="BA8" s="187">
        <v>27</v>
      </c>
    </row>
    <row r="9" spans="1:53" x14ac:dyDescent="0.15">
      <c r="A9" s="166" t="s">
        <v>51</v>
      </c>
      <c r="B9" s="166" t="s">
        <v>157</v>
      </c>
      <c r="C9" s="166">
        <v>2019</v>
      </c>
      <c r="D9" s="174" t="s">
        <v>369</v>
      </c>
      <c r="E9" s="166" t="s">
        <v>374</v>
      </c>
      <c r="F9" s="166" t="s">
        <v>375</v>
      </c>
      <c r="G9" s="166" t="s">
        <v>36</v>
      </c>
      <c r="H9" s="166" t="s">
        <v>164</v>
      </c>
      <c r="I9" s="166" t="s">
        <v>159</v>
      </c>
      <c r="J9" s="166" t="s">
        <v>38</v>
      </c>
      <c r="K9" s="166" t="s">
        <v>161</v>
      </c>
      <c r="L9" s="166">
        <v>2</v>
      </c>
      <c r="N9" s="166">
        <v>1</v>
      </c>
      <c r="O9" s="166">
        <v>0.7</v>
      </c>
      <c r="P9" s="166">
        <v>0.8</v>
      </c>
      <c r="Q9" s="175">
        <f t="shared" si="0"/>
        <v>0.75</v>
      </c>
      <c r="R9" s="166">
        <v>17.8</v>
      </c>
      <c r="S9" s="166">
        <v>140</v>
      </c>
      <c r="T9" s="176">
        <f t="shared" si="1"/>
        <v>22</v>
      </c>
      <c r="U9" s="166">
        <v>138</v>
      </c>
      <c r="V9" s="177">
        <f t="shared" si="2"/>
        <v>3036</v>
      </c>
      <c r="W9" s="166">
        <v>10</v>
      </c>
      <c r="X9" s="166" t="s">
        <v>46</v>
      </c>
      <c r="Y9" s="166" t="s">
        <v>55</v>
      </c>
      <c r="Z9" s="166" t="s">
        <v>69</v>
      </c>
      <c r="AA9" s="166" t="s">
        <v>90</v>
      </c>
      <c r="AB9" s="166" t="s">
        <v>372</v>
      </c>
      <c r="AE9" s="183" t="s">
        <v>203</v>
      </c>
      <c r="AG9" s="179" t="s">
        <v>383</v>
      </c>
      <c r="AH9" s="179" t="s">
        <v>371</v>
      </c>
      <c r="AL9" s="190"/>
      <c r="AP9" s="184" t="s">
        <v>95</v>
      </c>
      <c r="AR9" s="184" t="s">
        <v>206</v>
      </c>
      <c r="AV9" s="184" t="s">
        <v>102</v>
      </c>
      <c r="AX9" s="185">
        <v>128</v>
      </c>
      <c r="AY9" s="186">
        <v>27</v>
      </c>
      <c r="AZ9" s="186">
        <v>129</v>
      </c>
      <c r="BA9" s="187">
        <v>25</v>
      </c>
    </row>
    <row r="10" spans="1:53" x14ac:dyDescent="0.15">
      <c r="A10" s="166" t="s">
        <v>51</v>
      </c>
      <c r="B10" s="166" t="s">
        <v>157</v>
      </c>
      <c r="C10" s="166">
        <v>2019</v>
      </c>
      <c r="D10" s="174" t="s">
        <v>369</v>
      </c>
      <c r="E10" s="166" t="s">
        <v>374</v>
      </c>
      <c r="F10" s="166" t="s">
        <v>375</v>
      </c>
      <c r="G10" s="166" t="s">
        <v>36</v>
      </c>
      <c r="H10" s="166" t="s">
        <v>164</v>
      </c>
      <c r="I10" s="166" t="s">
        <v>159</v>
      </c>
      <c r="J10" s="166" t="s">
        <v>38</v>
      </c>
      <c r="K10" s="166" t="s">
        <v>161</v>
      </c>
      <c r="L10" s="166">
        <v>3</v>
      </c>
      <c r="N10" s="166">
        <v>1</v>
      </c>
      <c r="O10" s="166">
        <v>0.7</v>
      </c>
      <c r="P10" s="166">
        <v>0.8</v>
      </c>
      <c r="Q10" s="175">
        <f t="shared" si="0"/>
        <v>0.75</v>
      </c>
      <c r="R10" s="166">
        <v>18.7</v>
      </c>
      <c r="S10" s="166">
        <v>138</v>
      </c>
      <c r="T10" s="176">
        <f t="shared" si="1"/>
        <v>22</v>
      </c>
      <c r="U10" s="166">
        <v>138</v>
      </c>
      <c r="V10" s="177">
        <f t="shared" si="2"/>
        <v>3036</v>
      </c>
      <c r="W10" s="166">
        <v>10</v>
      </c>
      <c r="X10" s="166" t="s">
        <v>46</v>
      </c>
      <c r="Y10" s="166" t="s">
        <v>55</v>
      </c>
      <c r="Z10" s="166" t="s">
        <v>69</v>
      </c>
      <c r="AA10" s="166" t="s">
        <v>90</v>
      </c>
      <c r="AB10" s="166" t="s">
        <v>372</v>
      </c>
      <c r="AE10" s="183" t="s">
        <v>207</v>
      </c>
      <c r="AG10" s="179" t="s">
        <v>370</v>
      </c>
      <c r="AH10" s="184" t="s">
        <v>371</v>
      </c>
      <c r="AP10" s="184" t="s">
        <v>100</v>
      </c>
      <c r="AR10" s="184" t="s">
        <v>209</v>
      </c>
      <c r="AV10" s="184" t="s">
        <v>106</v>
      </c>
      <c r="AX10" s="185">
        <v>138</v>
      </c>
      <c r="AY10" s="186">
        <v>25</v>
      </c>
      <c r="AZ10" s="186">
        <v>138</v>
      </c>
      <c r="BA10" s="187">
        <v>22</v>
      </c>
    </row>
    <row r="11" spans="1:53" x14ac:dyDescent="0.15">
      <c r="A11" s="166" t="s">
        <v>51</v>
      </c>
      <c r="B11" s="166" t="s">
        <v>157</v>
      </c>
      <c r="C11" s="166">
        <v>2019</v>
      </c>
      <c r="D11" s="174" t="s">
        <v>369</v>
      </c>
      <c r="E11" s="166" t="s">
        <v>374</v>
      </c>
      <c r="F11" s="166" t="s">
        <v>375</v>
      </c>
      <c r="G11" s="166" t="s">
        <v>36</v>
      </c>
      <c r="H11" s="166" t="s">
        <v>160</v>
      </c>
      <c r="I11" s="166" t="s">
        <v>159</v>
      </c>
      <c r="J11" s="166" t="s">
        <v>38</v>
      </c>
      <c r="K11" s="166" t="s">
        <v>161</v>
      </c>
      <c r="L11" s="166">
        <v>1</v>
      </c>
      <c r="N11" s="166">
        <v>1</v>
      </c>
      <c r="O11" s="166">
        <v>0.8</v>
      </c>
      <c r="P11" s="166">
        <v>0.8</v>
      </c>
      <c r="Q11" s="175">
        <f t="shared" si="0"/>
        <v>0.8</v>
      </c>
      <c r="R11" s="166">
        <v>17.600000000000001</v>
      </c>
      <c r="S11" s="166">
        <v>138</v>
      </c>
      <c r="T11" s="176">
        <f t="shared" si="1"/>
        <v>22</v>
      </c>
      <c r="U11" s="166">
        <v>138</v>
      </c>
      <c r="V11" s="177">
        <f t="shared" si="2"/>
        <v>3036</v>
      </c>
      <c r="W11" s="166">
        <v>10</v>
      </c>
      <c r="X11" s="166" t="s">
        <v>46</v>
      </c>
      <c r="Y11" s="166" t="s">
        <v>55</v>
      </c>
      <c r="Z11" s="166" t="s">
        <v>69</v>
      </c>
      <c r="AA11" s="166" t="s">
        <v>90</v>
      </c>
      <c r="AB11" s="166" t="s">
        <v>372</v>
      </c>
      <c r="AE11" s="183" t="s">
        <v>68</v>
      </c>
      <c r="AG11" s="179" t="s">
        <v>139</v>
      </c>
      <c r="AH11" s="184" t="s">
        <v>384</v>
      </c>
      <c r="AP11" s="184" t="s">
        <v>104</v>
      </c>
      <c r="AR11" s="184" t="s">
        <v>212</v>
      </c>
      <c r="AV11" s="184" t="s">
        <v>69</v>
      </c>
      <c r="AX11" s="185">
        <v>151</v>
      </c>
      <c r="AY11" s="186">
        <v>22</v>
      </c>
      <c r="AZ11" s="186">
        <v>152</v>
      </c>
      <c r="BA11" s="187">
        <v>18</v>
      </c>
    </row>
    <row r="12" spans="1:53" x14ac:dyDescent="0.15">
      <c r="A12" s="166" t="s">
        <v>51</v>
      </c>
      <c r="B12" s="166" t="s">
        <v>157</v>
      </c>
      <c r="C12" s="166">
        <v>2019</v>
      </c>
      <c r="D12" s="174" t="s">
        <v>369</v>
      </c>
      <c r="E12" s="166" t="s">
        <v>374</v>
      </c>
      <c r="F12" s="166" t="s">
        <v>375</v>
      </c>
      <c r="G12" s="166" t="s">
        <v>36</v>
      </c>
      <c r="H12" s="166" t="s">
        <v>160</v>
      </c>
      <c r="I12" s="166" t="s">
        <v>159</v>
      </c>
      <c r="J12" s="166" t="s">
        <v>38</v>
      </c>
      <c r="K12" s="166" t="s">
        <v>161</v>
      </c>
      <c r="L12" s="166">
        <v>2</v>
      </c>
      <c r="N12" s="166">
        <v>1</v>
      </c>
      <c r="O12" s="166">
        <v>0.75</v>
      </c>
      <c r="P12" s="166">
        <v>0.85</v>
      </c>
      <c r="Q12" s="175">
        <f t="shared" si="0"/>
        <v>0.8</v>
      </c>
      <c r="R12" s="166">
        <v>17.2</v>
      </c>
      <c r="S12" s="166">
        <v>136</v>
      </c>
      <c r="T12" s="176">
        <f t="shared" si="1"/>
        <v>25</v>
      </c>
      <c r="U12" s="166">
        <v>138</v>
      </c>
      <c r="V12" s="177">
        <f t="shared" si="2"/>
        <v>3450</v>
      </c>
      <c r="W12" s="166">
        <v>10</v>
      </c>
      <c r="X12" s="166" t="s">
        <v>46</v>
      </c>
      <c r="Y12" s="166" t="s">
        <v>55</v>
      </c>
      <c r="Z12" s="166" t="s">
        <v>69</v>
      </c>
      <c r="AA12" s="166" t="s">
        <v>90</v>
      </c>
      <c r="AB12" s="166" t="s">
        <v>372</v>
      </c>
      <c r="AE12" s="183" t="s">
        <v>213</v>
      </c>
      <c r="AG12" s="184"/>
      <c r="AH12" s="184"/>
      <c r="AP12" s="184" t="s">
        <v>67</v>
      </c>
      <c r="AR12" s="184" t="s">
        <v>214</v>
      </c>
      <c r="AV12" s="184" t="s">
        <v>72</v>
      </c>
      <c r="AX12" s="191">
        <v>180</v>
      </c>
      <c r="AY12" s="192">
        <v>18</v>
      </c>
      <c r="AZ12" s="192">
        <v>181</v>
      </c>
      <c r="BA12" s="193">
        <v>16</v>
      </c>
    </row>
    <row r="13" spans="1:53" x14ac:dyDescent="0.15">
      <c r="A13" s="166" t="s">
        <v>51</v>
      </c>
      <c r="B13" s="166" t="s">
        <v>157</v>
      </c>
      <c r="C13" s="166">
        <v>2019</v>
      </c>
      <c r="D13" s="174" t="s">
        <v>369</v>
      </c>
      <c r="E13" s="166" t="s">
        <v>374</v>
      </c>
      <c r="F13" s="166" t="s">
        <v>375</v>
      </c>
      <c r="G13" s="166" t="s">
        <v>36</v>
      </c>
      <c r="H13" s="166" t="s">
        <v>160</v>
      </c>
      <c r="I13" s="166" t="s">
        <v>159</v>
      </c>
      <c r="J13" s="166" t="s">
        <v>38</v>
      </c>
      <c r="K13" s="166" t="s">
        <v>161</v>
      </c>
      <c r="L13" s="166">
        <v>3</v>
      </c>
      <c r="N13" s="166">
        <v>1</v>
      </c>
      <c r="O13" s="166">
        <v>0.7</v>
      </c>
      <c r="P13" s="166">
        <v>0.7</v>
      </c>
      <c r="Q13" s="175">
        <f t="shared" si="0"/>
        <v>0.7</v>
      </c>
      <c r="R13" s="166">
        <v>18.3</v>
      </c>
      <c r="S13" s="166">
        <v>140</v>
      </c>
      <c r="T13" s="176">
        <f t="shared" si="1"/>
        <v>22</v>
      </c>
      <c r="U13" s="166">
        <v>138</v>
      </c>
      <c r="V13" s="177">
        <f t="shared" si="2"/>
        <v>3036</v>
      </c>
      <c r="W13" s="166">
        <v>10</v>
      </c>
      <c r="X13" s="166" t="s">
        <v>46</v>
      </c>
      <c r="Y13" s="166" t="s">
        <v>55</v>
      </c>
      <c r="Z13" s="166" t="s">
        <v>69</v>
      </c>
      <c r="AA13" s="166" t="s">
        <v>90</v>
      </c>
      <c r="AB13" s="166" t="s">
        <v>372</v>
      </c>
      <c r="AE13" s="183" t="s">
        <v>215</v>
      </c>
      <c r="AG13" s="184"/>
      <c r="AH13" s="184"/>
      <c r="AP13" s="184" t="s">
        <v>71</v>
      </c>
      <c r="AR13" s="184" t="s">
        <v>207</v>
      </c>
      <c r="AV13" s="184" t="s">
        <v>75</v>
      </c>
    </row>
    <row r="14" spans="1:53" x14ac:dyDescent="0.15">
      <c r="A14" s="166" t="s">
        <v>51</v>
      </c>
      <c r="B14" s="166" t="s">
        <v>157</v>
      </c>
      <c r="C14" s="166">
        <v>2019</v>
      </c>
      <c r="D14" s="174" t="s">
        <v>369</v>
      </c>
      <c r="E14" s="166" t="s">
        <v>139</v>
      </c>
      <c r="F14" s="166" t="s">
        <v>384</v>
      </c>
      <c r="G14" s="166" t="s">
        <v>42</v>
      </c>
      <c r="H14" s="166" t="s">
        <v>164</v>
      </c>
      <c r="I14" s="166" t="s">
        <v>159</v>
      </c>
      <c r="J14" s="166" t="s">
        <v>38</v>
      </c>
      <c r="K14" s="166" t="s">
        <v>161</v>
      </c>
      <c r="L14" s="166">
        <v>1</v>
      </c>
      <c r="N14" s="166">
        <v>1</v>
      </c>
      <c r="O14" s="166">
        <v>0.6</v>
      </c>
      <c r="P14" s="166">
        <v>0.6</v>
      </c>
      <c r="Q14" s="175">
        <f t="shared" si="0"/>
        <v>0.6</v>
      </c>
      <c r="R14" s="166">
        <v>15.8</v>
      </c>
      <c r="S14" s="166">
        <v>120</v>
      </c>
      <c r="T14" s="176">
        <f t="shared" si="1"/>
        <v>30</v>
      </c>
      <c r="U14" s="166">
        <v>98</v>
      </c>
      <c r="V14" s="177">
        <f t="shared" si="2"/>
        <v>2940</v>
      </c>
      <c r="W14" s="166">
        <v>23</v>
      </c>
      <c r="X14" s="166" t="s">
        <v>46</v>
      </c>
      <c r="Y14" s="166" t="s">
        <v>55</v>
      </c>
      <c r="Z14" s="166" t="s">
        <v>97</v>
      </c>
      <c r="AA14" s="166" t="s">
        <v>88</v>
      </c>
      <c r="AB14" s="166" t="s">
        <v>372</v>
      </c>
      <c r="AE14" s="183" t="s">
        <v>96</v>
      </c>
      <c r="AG14" s="184"/>
      <c r="AH14" s="184"/>
      <c r="AP14" s="184" t="s">
        <v>74</v>
      </c>
      <c r="AR14" s="184" t="s">
        <v>216</v>
      </c>
      <c r="AV14" s="184" t="s">
        <v>78</v>
      </c>
    </row>
    <row r="15" spans="1:53" x14ac:dyDescent="0.15">
      <c r="A15" s="166" t="s">
        <v>51</v>
      </c>
      <c r="B15" s="166" t="s">
        <v>157</v>
      </c>
      <c r="C15" s="166">
        <v>2019</v>
      </c>
      <c r="D15" s="174" t="s">
        <v>369</v>
      </c>
      <c r="E15" s="166" t="s">
        <v>139</v>
      </c>
      <c r="F15" s="166" t="s">
        <v>384</v>
      </c>
      <c r="G15" s="166" t="s">
        <v>42</v>
      </c>
      <c r="H15" s="166" t="s">
        <v>164</v>
      </c>
      <c r="I15" s="166" t="s">
        <v>159</v>
      </c>
      <c r="J15" s="166" t="s">
        <v>38</v>
      </c>
      <c r="K15" s="166" t="s">
        <v>161</v>
      </c>
      <c r="L15" s="166">
        <v>2</v>
      </c>
      <c r="N15" s="166">
        <v>1</v>
      </c>
      <c r="O15" s="166">
        <v>0.65</v>
      </c>
      <c r="P15" s="166">
        <v>0.6</v>
      </c>
      <c r="Q15" s="175">
        <f t="shared" si="0"/>
        <v>0.625</v>
      </c>
      <c r="R15" s="166">
        <v>16</v>
      </c>
      <c r="S15" s="166">
        <v>122</v>
      </c>
      <c r="T15" s="176">
        <f t="shared" si="1"/>
        <v>27</v>
      </c>
      <c r="U15" s="166">
        <v>98</v>
      </c>
      <c r="V15" s="177">
        <f t="shared" si="2"/>
        <v>2646</v>
      </c>
      <c r="W15" s="166">
        <v>23</v>
      </c>
      <c r="X15" s="166" t="s">
        <v>46</v>
      </c>
      <c r="Y15" s="166" t="s">
        <v>55</v>
      </c>
      <c r="Z15" s="166" t="s">
        <v>97</v>
      </c>
      <c r="AA15" s="166" t="s">
        <v>88</v>
      </c>
      <c r="AB15" s="166" t="s">
        <v>372</v>
      </c>
      <c r="AE15" s="183" t="s">
        <v>217</v>
      </c>
      <c r="AG15" s="184"/>
      <c r="AH15" s="184"/>
      <c r="AP15" s="184" t="s">
        <v>77</v>
      </c>
      <c r="AR15" s="184" t="s">
        <v>80</v>
      </c>
      <c r="AV15" s="184" t="s">
        <v>107</v>
      </c>
    </row>
    <row r="16" spans="1:53" x14ac:dyDescent="0.15">
      <c r="A16" s="166" t="s">
        <v>51</v>
      </c>
      <c r="B16" s="166" t="s">
        <v>157</v>
      </c>
      <c r="C16" s="166">
        <v>2019</v>
      </c>
      <c r="D16" s="174" t="s">
        <v>369</v>
      </c>
      <c r="E16" s="166" t="s">
        <v>139</v>
      </c>
      <c r="F16" s="166" t="s">
        <v>384</v>
      </c>
      <c r="G16" s="166" t="s">
        <v>42</v>
      </c>
      <c r="H16" s="166" t="s">
        <v>164</v>
      </c>
      <c r="I16" s="166" t="s">
        <v>159</v>
      </c>
      <c r="J16" s="166" t="s">
        <v>38</v>
      </c>
      <c r="K16" s="166" t="s">
        <v>161</v>
      </c>
      <c r="L16" s="166">
        <v>3</v>
      </c>
      <c r="N16" s="166">
        <v>1</v>
      </c>
      <c r="O16" s="166">
        <v>0.65</v>
      </c>
      <c r="P16" s="166">
        <v>0.7</v>
      </c>
      <c r="Q16" s="175">
        <f t="shared" si="0"/>
        <v>0.67500000000000004</v>
      </c>
      <c r="R16" s="166">
        <v>16.399999999999999</v>
      </c>
      <c r="S16" s="166">
        <v>124</v>
      </c>
      <c r="T16" s="176">
        <f t="shared" si="1"/>
        <v>27</v>
      </c>
      <c r="U16" s="166">
        <v>98</v>
      </c>
      <c r="V16" s="177">
        <f t="shared" si="2"/>
        <v>2646</v>
      </c>
      <c r="W16" s="166">
        <v>23</v>
      </c>
      <c r="X16" s="166" t="s">
        <v>46</v>
      </c>
      <c r="Y16" s="166" t="s">
        <v>55</v>
      </c>
      <c r="Z16" s="166" t="s">
        <v>97</v>
      </c>
      <c r="AA16" s="166" t="s">
        <v>88</v>
      </c>
      <c r="AB16" s="166" t="s">
        <v>372</v>
      </c>
      <c r="AE16" s="183" t="s">
        <v>218</v>
      </c>
      <c r="AG16" s="189"/>
      <c r="AH16" s="189"/>
      <c r="AP16" s="184" t="s">
        <v>80</v>
      </c>
      <c r="AR16" s="184" t="s">
        <v>63</v>
      </c>
      <c r="AV16" s="184" t="s">
        <v>84</v>
      </c>
    </row>
    <row r="17" spans="1:48" x14ac:dyDescent="0.15">
      <c r="A17" s="166" t="s">
        <v>51</v>
      </c>
      <c r="B17" s="166" t="s">
        <v>157</v>
      </c>
      <c r="C17" s="166">
        <v>2019</v>
      </c>
      <c r="D17" s="174" t="s">
        <v>369</v>
      </c>
      <c r="E17" s="166" t="s">
        <v>139</v>
      </c>
      <c r="F17" s="166" t="s">
        <v>384</v>
      </c>
      <c r="G17" s="166" t="s">
        <v>42</v>
      </c>
      <c r="H17" s="166" t="s">
        <v>160</v>
      </c>
      <c r="I17" s="166" t="s">
        <v>159</v>
      </c>
      <c r="J17" s="166" t="s">
        <v>38</v>
      </c>
      <c r="K17" s="166" t="s">
        <v>161</v>
      </c>
      <c r="L17" s="166">
        <v>1</v>
      </c>
      <c r="N17" s="166">
        <v>4</v>
      </c>
      <c r="O17" s="166">
        <v>0.5</v>
      </c>
      <c r="P17" s="166">
        <v>0.6</v>
      </c>
      <c r="Q17" s="175">
        <f t="shared" si="0"/>
        <v>0.55000000000000004</v>
      </c>
      <c r="R17" s="166">
        <v>17.899999999999999</v>
      </c>
      <c r="S17" s="166">
        <v>106</v>
      </c>
      <c r="T17" s="176">
        <f t="shared" si="1"/>
        <v>33</v>
      </c>
      <c r="U17" s="166">
        <v>498</v>
      </c>
      <c r="V17" s="177">
        <f t="shared" si="2"/>
        <v>4108.5</v>
      </c>
      <c r="W17" s="166">
        <v>23</v>
      </c>
      <c r="X17" s="166" t="s">
        <v>46</v>
      </c>
      <c r="Y17" s="166" t="s">
        <v>55</v>
      </c>
      <c r="Z17" s="166" t="s">
        <v>97</v>
      </c>
      <c r="AA17" s="166" t="s">
        <v>88</v>
      </c>
      <c r="AB17" s="166" t="s">
        <v>372</v>
      </c>
      <c r="AE17" s="183" t="s">
        <v>219</v>
      </c>
      <c r="AP17" s="188" t="s">
        <v>220</v>
      </c>
      <c r="AR17" s="184" t="s">
        <v>96</v>
      </c>
      <c r="AV17" s="184" t="s">
        <v>86</v>
      </c>
    </row>
    <row r="18" spans="1:48" x14ac:dyDescent="0.15">
      <c r="A18" s="166" t="s">
        <v>51</v>
      </c>
      <c r="B18" s="166" t="s">
        <v>157</v>
      </c>
      <c r="C18" s="166">
        <v>2019</v>
      </c>
      <c r="D18" s="174" t="s">
        <v>369</v>
      </c>
      <c r="E18" s="166" t="s">
        <v>139</v>
      </c>
      <c r="F18" s="166" t="s">
        <v>384</v>
      </c>
      <c r="G18" s="166" t="s">
        <v>42</v>
      </c>
      <c r="H18" s="166" t="s">
        <v>160</v>
      </c>
      <c r="I18" s="166" t="s">
        <v>159</v>
      </c>
      <c r="J18" s="166" t="s">
        <v>38</v>
      </c>
      <c r="K18" s="166" t="s">
        <v>161</v>
      </c>
      <c r="L18" s="166">
        <v>2</v>
      </c>
      <c r="N18" s="166">
        <v>4</v>
      </c>
      <c r="O18" s="166">
        <v>0.7</v>
      </c>
      <c r="P18" s="166">
        <v>0.65</v>
      </c>
      <c r="Q18" s="175">
        <f t="shared" si="0"/>
        <v>0.67500000000000004</v>
      </c>
      <c r="R18" s="166">
        <v>18.2</v>
      </c>
      <c r="S18" s="166">
        <v>112</v>
      </c>
      <c r="T18" s="176">
        <f t="shared" si="1"/>
        <v>33</v>
      </c>
      <c r="U18" s="166">
        <v>498</v>
      </c>
      <c r="V18" s="177">
        <f t="shared" si="2"/>
        <v>4108.5</v>
      </c>
      <c r="W18" s="166">
        <v>23</v>
      </c>
      <c r="X18" s="166" t="s">
        <v>46</v>
      </c>
      <c r="Y18" s="166" t="s">
        <v>55</v>
      </c>
      <c r="Z18" s="166" t="s">
        <v>97</v>
      </c>
      <c r="AA18" s="166" t="s">
        <v>88</v>
      </c>
      <c r="AB18" s="166" t="s">
        <v>372</v>
      </c>
      <c r="AE18" s="183" t="s">
        <v>212</v>
      </c>
      <c r="AP18" s="188" t="s">
        <v>221</v>
      </c>
      <c r="AR18" s="184" t="s">
        <v>101</v>
      </c>
      <c r="AV18" s="184" t="s">
        <v>88</v>
      </c>
    </row>
    <row r="19" spans="1:48" x14ac:dyDescent="0.15">
      <c r="A19" s="166" t="s">
        <v>51</v>
      </c>
      <c r="B19" s="166" t="s">
        <v>157</v>
      </c>
      <c r="C19" s="166">
        <v>2019</v>
      </c>
      <c r="D19" s="174" t="s">
        <v>369</v>
      </c>
      <c r="E19" s="166" t="s">
        <v>139</v>
      </c>
      <c r="F19" s="166" t="s">
        <v>384</v>
      </c>
      <c r="G19" s="166" t="s">
        <v>42</v>
      </c>
      <c r="H19" s="166" t="s">
        <v>160</v>
      </c>
      <c r="I19" s="166" t="s">
        <v>159</v>
      </c>
      <c r="J19" s="166" t="s">
        <v>38</v>
      </c>
      <c r="K19" s="166" t="s">
        <v>161</v>
      </c>
      <c r="L19" s="166">
        <v>3</v>
      </c>
      <c r="N19" s="166">
        <v>4</v>
      </c>
      <c r="O19" s="166">
        <v>0.65</v>
      </c>
      <c r="P19" s="166">
        <v>0.65</v>
      </c>
      <c r="Q19" s="175">
        <f t="shared" si="0"/>
        <v>0.65</v>
      </c>
      <c r="R19" s="166">
        <v>18.3</v>
      </c>
      <c r="S19" s="166">
        <v>116</v>
      </c>
      <c r="T19" s="176">
        <f t="shared" si="1"/>
        <v>30</v>
      </c>
      <c r="U19" s="166">
        <v>498</v>
      </c>
      <c r="V19" s="177">
        <f t="shared" si="2"/>
        <v>3735</v>
      </c>
      <c r="W19" s="166">
        <v>23</v>
      </c>
      <c r="X19" s="166" t="s">
        <v>46</v>
      </c>
      <c r="Y19" s="166" t="s">
        <v>55</v>
      </c>
      <c r="Z19" s="166" t="s">
        <v>97</v>
      </c>
      <c r="AA19" s="166" t="s">
        <v>88</v>
      </c>
      <c r="AB19" s="166" t="s">
        <v>372</v>
      </c>
      <c r="AE19" s="194" t="s">
        <v>206</v>
      </c>
      <c r="AP19" s="188" t="s">
        <v>222</v>
      </c>
      <c r="AR19" s="184" t="s">
        <v>223</v>
      </c>
      <c r="AV19" s="184" t="s">
        <v>90</v>
      </c>
    </row>
    <row r="20" spans="1:48" x14ac:dyDescent="0.15">
      <c r="A20" s="166" t="s">
        <v>51</v>
      </c>
      <c r="B20" s="166" t="s">
        <v>157</v>
      </c>
      <c r="C20" s="166">
        <v>2019</v>
      </c>
      <c r="D20" s="174" t="s">
        <v>369</v>
      </c>
      <c r="E20" s="166" t="s">
        <v>378</v>
      </c>
      <c r="F20" s="166" t="s">
        <v>379</v>
      </c>
      <c r="G20" s="166" t="s">
        <v>36</v>
      </c>
      <c r="H20" s="166" t="s">
        <v>164</v>
      </c>
      <c r="I20" s="166" t="s">
        <v>159</v>
      </c>
      <c r="J20" s="166" t="s">
        <v>38</v>
      </c>
      <c r="K20" s="166" t="s">
        <v>161</v>
      </c>
      <c r="L20" s="166">
        <v>1</v>
      </c>
      <c r="N20" s="166">
        <v>1</v>
      </c>
      <c r="O20" s="166">
        <v>0.65</v>
      </c>
      <c r="P20" s="166">
        <v>0.75</v>
      </c>
      <c r="Q20" s="175">
        <f t="shared" si="0"/>
        <v>0.7</v>
      </c>
      <c r="R20" s="166">
        <v>16.600000000000001</v>
      </c>
      <c r="S20" s="166">
        <v>150</v>
      </c>
      <c r="T20" s="176">
        <f t="shared" si="1"/>
        <v>22</v>
      </c>
      <c r="U20" s="166">
        <v>128</v>
      </c>
      <c r="V20" s="177">
        <f t="shared" si="2"/>
        <v>2816</v>
      </c>
      <c r="W20" s="166">
        <v>12</v>
      </c>
      <c r="X20" s="166" t="s">
        <v>46</v>
      </c>
      <c r="Y20" s="166" t="s">
        <v>55</v>
      </c>
      <c r="Z20" s="166" t="s">
        <v>69</v>
      </c>
      <c r="AA20" s="166" t="s">
        <v>90</v>
      </c>
      <c r="AB20" s="166" t="s">
        <v>372</v>
      </c>
      <c r="AE20" s="194"/>
      <c r="AP20" s="188" t="s">
        <v>224</v>
      </c>
      <c r="AR20" s="184" t="s">
        <v>105</v>
      </c>
      <c r="AV20" s="188" t="s">
        <v>225</v>
      </c>
    </row>
    <row r="21" spans="1:48" x14ac:dyDescent="0.15">
      <c r="A21" s="166" t="s">
        <v>51</v>
      </c>
      <c r="B21" s="166" t="s">
        <v>157</v>
      </c>
      <c r="C21" s="166">
        <v>2019</v>
      </c>
      <c r="D21" s="174" t="s">
        <v>369</v>
      </c>
      <c r="E21" s="166" t="s">
        <v>378</v>
      </c>
      <c r="F21" s="166" t="s">
        <v>379</v>
      </c>
      <c r="G21" s="166" t="s">
        <v>36</v>
      </c>
      <c r="H21" s="166" t="s">
        <v>164</v>
      </c>
      <c r="I21" s="166" t="s">
        <v>159</v>
      </c>
      <c r="J21" s="166" t="s">
        <v>38</v>
      </c>
      <c r="K21" s="166" t="s">
        <v>161</v>
      </c>
      <c r="L21" s="166">
        <v>2</v>
      </c>
      <c r="N21" s="166">
        <v>1</v>
      </c>
      <c r="O21" s="166">
        <v>0.7</v>
      </c>
      <c r="P21" s="166">
        <v>0.7</v>
      </c>
      <c r="Q21" s="175">
        <f t="shared" si="0"/>
        <v>0.7</v>
      </c>
      <c r="R21" s="166">
        <v>15.8</v>
      </c>
      <c r="S21" s="166">
        <v>148</v>
      </c>
      <c r="T21" s="176">
        <f t="shared" si="1"/>
        <v>22</v>
      </c>
      <c r="U21" s="166">
        <v>128</v>
      </c>
      <c r="V21" s="177">
        <f t="shared" si="2"/>
        <v>2816</v>
      </c>
      <c r="W21" s="166">
        <v>12</v>
      </c>
      <c r="X21" s="166" t="s">
        <v>46</v>
      </c>
      <c r="Y21" s="166" t="s">
        <v>55</v>
      </c>
      <c r="Z21" s="166" t="s">
        <v>69</v>
      </c>
      <c r="AA21" s="166" t="s">
        <v>90</v>
      </c>
      <c r="AB21" s="166" t="s">
        <v>372</v>
      </c>
      <c r="AE21" s="189"/>
      <c r="AP21" s="188" t="s">
        <v>226</v>
      </c>
      <c r="AR21" s="184" t="s">
        <v>68</v>
      </c>
      <c r="AV21" s="188" t="s">
        <v>227</v>
      </c>
    </row>
    <row r="22" spans="1:48" x14ac:dyDescent="0.15">
      <c r="A22" s="166" t="s">
        <v>51</v>
      </c>
      <c r="B22" s="166" t="s">
        <v>157</v>
      </c>
      <c r="C22" s="166">
        <v>2019</v>
      </c>
      <c r="D22" s="174" t="s">
        <v>369</v>
      </c>
      <c r="E22" s="166" t="s">
        <v>378</v>
      </c>
      <c r="F22" s="166" t="s">
        <v>379</v>
      </c>
      <c r="G22" s="166" t="s">
        <v>36</v>
      </c>
      <c r="H22" s="166" t="s">
        <v>164</v>
      </c>
      <c r="I22" s="166" t="s">
        <v>159</v>
      </c>
      <c r="J22" s="166" t="s">
        <v>38</v>
      </c>
      <c r="K22" s="166" t="s">
        <v>161</v>
      </c>
      <c r="L22" s="166">
        <v>3</v>
      </c>
      <c r="N22" s="166">
        <v>1</v>
      </c>
      <c r="O22" s="166">
        <v>0.65</v>
      </c>
      <c r="P22" s="166">
        <v>0.8</v>
      </c>
      <c r="Q22" s="175">
        <f t="shared" si="0"/>
        <v>0.72500000000000009</v>
      </c>
      <c r="R22" s="166">
        <v>16.100000000000001</v>
      </c>
      <c r="S22" s="166">
        <v>148</v>
      </c>
      <c r="T22" s="176">
        <f t="shared" si="1"/>
        <v>22</v>
      </c>
      <c r="U22" s="166">
        <v>128</v>
      </c>
      <c r="V22" s="177">
        <f t="shared" si="2"/>
        <v>2816</v>
      </c>
      <c r="W22" s="166">
        <v>12</v>
      </c>
      <c r="X22" s="166" t="s">
        <v>46</v>
      </c>
      <c r="Y22" s="166" t="s">
        <v>55</v>
      </c>
      <c r="Z22" s="166" t="s">
        <v>69</v>
      </c>
      <c r="AA22" s="166" t="s">
        <v>90</v>
      </c>
      <c r="AB22" s="166" t="s">
        <v>372</v>
      </c>
      <c r="AP22" s="188" t="s">
        <v>228</v>
      </c>
      <c r="AR22" s="184" t="s">
        <v>83</v>
      </c>
      <c r="AV22" s="188"/>
    </row>
    <row r="23" spans="1:48" x14ac:dyDescent="0.15">
      <c r="A23" s="166" t="s">
        <v>51</v>
      </c>
      <c r="B23" s="166" t="s">
        <v>157</v>
      </c>
      <c r="C23" s="166">
        <v>2019</v>
      </c>
      <c r="D23" s="174" t="s">
        <v>369</v>
      </c>
      <c r="E23" s="166" t="s">
        <v>378</v>
      </c>
      <c r="F23" s="166" t="s">
        <v>379</v>
      </c>
      <c r="G23" s="166" t="s">
        <v>36</v>
      </c>
      <c r="H23" s="166" t="s">
        <v>199</v>
      </c>
      <c r="I23" s="166" t="s">
        <v>159</v>
      </c>
      <c r="J23" s="166" t="s">
        <v>38</v>
      </c>
      <c r="K23" s="166" t="s">
        <v>161</v>
      </c>
      <c r="L23" s="166">
        <v>1</v>
      </c>
      <c r="N23" s="166">
        <v>5</v>
      </c>
      <c r="O23" s="166">
        <v>0.25</v>
      </c>
      <c r="P23" s="166">
        <v>0.25</v>
      </c>
      <c r="Q23" s="175">
        <f t="shared" si="0"/>
        <v>0.25</v>
      </c>
      <c r="R23" s="166">
        <v>18.399999999999999</v>
      </c>
      <c r="S23" s="166">
        <v>81</v>
      </c>
      <c r="T23" s="176">
        <f t="shared" si="1"/>
        <v>39</v>
      </c>
      <c r="U23" s="166">
        <v>398</v>
      </c>
      <c r="V23" s="177">
        <f t="shared" si="2"/>
        <v>3104.3999999999996</v>
      </c>
      <c r="W23" s="166">
        <v>12</v>
      </c>
      <c r="X23" s="166" t="s">
        <v>46</v>
      </c>
      <c r="Y23" s="166" t="s">
        <v>55</v>
      </c>
      <c r="Z23" s="166" t="s">
        <v>69</v>
      </c>
      <c r="AA23" s="166" t="s">
        <v>90</v>
      </c>
      <c r="AB23" s="166" t="s">
        <v>372</v>
      </c>
      <c r="AP23" s="188" t="s">
        <v>385</v>
      </c>
      <c r="AR23" s="184" t="s">
        <v>61</v>
      </c>
    </row>
    <row r="24" spans="1:48" x14ac:dyDescent="0.15">
      <c r="A24" s="166" t="s">
        <v>51</v>
      </c>
      <c r="B24" s="166" t="s">
        <v>157</v>
      </c>
      <c r="C24" s="166">
        <v>2019</v>
      </c>
      <c r="D24" s="174" t="s">
        <v>369</v>
      </c>
      <c r="E24" s="166" t="s">
        <v>378</v>
      </c>
      <c r="F24" s="166" t="s">
        <v>379</v>
      </c>
      <c r="G24" s="166" t="s">
        <v>36</v>
      </c>
      <c r="H24" s="166" t="s">
        <v>199</v>
      </c>
      <c r="I24" s="166" t="s">
        <v>159</v>
      </c>
      <c r="J24" s="166" t="s">
        <v>38</v>
      </c>
      <c r="K24" s="166" t="s">
        <v>161</v>
      </c>
      <c r="L24" s="166">
        <v>2</v>
      </c>
      <c r="N24" s="166">
        <v>5</v>
      </c>
      <c r="O24" s="166">
        <v>0.25</v>
      </c>
      <c r="P24" s="166">
        <v>0.25</v>
      </c>
      <c r="Q24" s="175">
        <f t="shared" si="0"/>
        <v>0.25</v>
      </c>
      <c r="R24" s="166">
        <v>16.600000000000001</v>
      </c>
      <c r="S24" s="166">
        <v>73</v>
      </c>
      <c r="T24" s="176">
        <f t="shared" si="1"/>
        <v>42</v>
      </c>
      <c r="U24" s="166">
        <v>398</v>
      </c>
      <c r="V24" s="177">
        <f t="shared" si="2"/>
        <v>3343.2</v>
      </c>
      <c r="W24" s="166">
        <v>12</v>
      </c>
      <c r="X24" s="166" t="s">
        <v>46</v>
      </c>
      <c r="Y24" s="166" t="s">
        <v>55</v>
      </c>
      <c r="Z24" s="166" t="s">
        <v>69</v>
      </c>
      <c r="AA24" s="166" t="s">
        <v>90</v>
      </c>
      <c r="AB24" s="166" t="s">
        <v>372</v>
      </c>
      <c r="AP24" s="188" t="s">
        <v>386</v>
      </c>
      <c r="AR24" s="184" t="s">
        <v>91</v>
      </c>
    </row>
    <row r="25" spans="1:48" x14ac:dyDescent="0.15">
      <c r="A25" s="166" t="s">
        <v>51</v>
      </c>
      <c r="B25" s="166" t="s">
        <v>157</v>
      </c>
      <c r="C25" s="166">
        <v>2019</v>
      </c>
      <c r="D25" s="174" t="s">
        <v>369</v>
      </c>
      <c r="E25" s="166" t="s">
        <v>378</v>
      </c>
      <c r="F25" s="166" t="s">
        <v>379</v>
      </c>
      <c r="G25" s="166" t="s">
        <v>36</v>
      </c>
      <c r="H25" s="166" t="s">
        <v>199</v>
      </c>
      <c r="I25" s="166" t="s">
        <v>159</v>
      </c>
      <c r="J25" s="166" t="s">
        <v>38</v>
      </c>
      <c r="K25" s="166" t="s">
        <v>161</v>
      </c>
      <c r="L25" s="166">
        <v>3</v>
      </c>
      <c r="N25" s="166">
        <v>5</v>
      </c>
      <c r="O25" s="166">
        <v>0.25</v>
      </c>
      <c r="P25" s="166">
        <v>0.5</v>
      </c>
      <c r="Q25" s="175">
        <f t="shared" si="0"/>
        <v>0.375</v>
      </c>
      <c r="R25" s="166">
        <v>18.8</v>
      </c>
      <c r="S25" s="166">
        <v>73</v>
      </c>
      <c r="T25" s="176">
        <f t="shared" si="1"/>
        <v>42</v>
      </c>
      <c r="U25" s="166">
        <v>398</v>
      </c>
      <c r="V25" s="177">
        <f t="shared" si="2"/>
        <v>3343.2</v>
      </c>
      <c r="W25" s="166">
        <v>12</v>
      </c>
      <c r="X25" s="166" t="s">
        <v>46</v>
      </c>
      <c r="Y25" s="166" t="s">
        <v>55</v>
      </c>
      <c r="Z25" s="166" t="s">
        <v>69</v>
      </c>
      <c r="AA25" s="166" t="s">
        <v>90</v>
      </c>
      <c r="AB25" s="166" t="s">
        <v>372</v>
      </c>
      <c r="AP25" s="188" t="s">
        <v>387</v>
      </c>
      <c r="AR25" s="188" t="s">
        <v>51</v>
      </c>
    </row>
    <row r="26" spans="1:48" x14ac:dyDescent="0.15">
      <c r="A26" s="166" t="s">
        <v>51</v>
      </c>
      <c r="B26" s="166" t="s">
        <v>157</v>
      </c>
      <c r="C26" s="166">
        <v>2019</v>
      </c>
      <c r="D26" s="174" t="s">
        <v>369</v>
      </c>
      <c r="E26" s="166" t="s">
        <v>378</v>
      </c>
      <c r="F26" s="166" t="s">
        <v>379</v>
      </c>
      <c r="G26" s="166" t="s">
        <v>36</v>
      </c>
      <c r="H26" s="166" t="s">
        <v>160</v>
      </c>
      <c r="I26" s="166" t="s">
        <v>159</v>
      </c>
      <c r="J26" s="166" t="s">
        <v>38</v>
      </c>
      <c r="K26" s="166" t="s">
        <v>161</v>
      </c>
      <c r="L26" s="166">
        <v>1</v>
      </c>
      <c r="N26" s="166">
        <v>1</v>
      </c>
      <c r="O26" s="166">
        <v>0.7</v>
      </c>
      <c r="P26" s="166">
        <v>0.65</v>
      </c>
      <c r="Q26" s="175">
        <f t="shared" si="0"/>
        <v>0.67500000000000004</v>
      </c>
      <c r="R26" s="166">
        <v>18.2</v>
      </c>
      <c r="S26" s="166">
        <v>140</v>
      </c>
      <c r="T26" s="176">
        <f t="shared" si="1"/>
        <v>22</v>
      </c>
      <c r="U26" s="166">
        <v>128</v>
      </c>
      <c r="V26" s="177">
        <f t="shared" si="2"/>
        <v>2816</v>
      </c>
      <c r="W26" s="166">
        <v>12</v>
      </c>
      <c r="X26" s="166" t="s">
        <v>46</v>
      </c>
      <c r="Y26" s="166" t="s">
        <v>55</v>
      </c>
      <c r="Z26" s="166" t="s">
        <v>69</v>
      </c>
      <c r="AA26" s="166" t="s">
        <v>90</v>
      </c>
      <c r="AB26" s="166" t="s">
        <v>372</v>
      </c>
      <c r="AP26" s="188" t="s">
        <v>229</v>
      </c>
      <c r="AR26" s="166" t="s">
        <v>230</v>
      </c>
    </row>
    <row r="27" spans="1:48" x14ac:dyDescent="0.15">
      <c r="A27" s="166" t="s">
        <v>51</v>
      </c>
      <c r="B27" s="166" t="s">
        <v>157</v>
      </c>
      <c r="C27" s="166">
        <v>2019</v>
      </c>
      <c r="D27" s="174" t="s">
        <v>369</v>
      </c>
      <c r="E27" s="166" t="s">
        <v>378</v>
      </c>
      <c r="F27" s="166" t="s">
        <v>379</v>
      </c>
      <c r="G27" s="166" t="s">
        <v>36</v>
      </c>
      <c r="H27" s="166" t="s">
        <v>160</v>
      </c>
      <c r="I27" s="166" t="s">
        <v>159</v>
      </c>
      <c r="J27" s="166" t="s">
        <v>38</v>
      </c>
      <c r="K27" s="166" t="s">
        <v>161</v>
      </c>
      <c r="L27" s="166">
        <v>2</v>
      </c>
      <c r="N27" s="166">
        <v>1</v>
      </c>
      <c r="O27" s="166">
        <v>0.7</v>
      </c>
      <c r="P27" s="166">
        <v>0.75</v>
      </c>
      <c r="Q27" s="175">
        <f t="shared" si="0"/>
        <v>0.72499999999999998</v>
      </c>
      <c r="R27" s="166">
        <v>17.7</v>
      </c>
      <c r="S27" s="166">
        <v>130</v>
      </c>
      <c r="T27" s="176">
        <f t="shared" si="1"/>
        <v>25</v>
      </c>
      <c r="U27" s="166">
        <v>128</v>
      </c>
      <c r="V27" s="177">
        <f t="shared" si="2"/>
        <v>3200</v>
      </c>
      <c r="W27" s="166">
        <v>12</v>
      </c>
      <c r="X27" s="166" t="s">
        <v>46</v>
      </c>
      <c r="Y27" s="166" t="s">
        <v>55</v>
      </c>
      <c r="Z27" s="166" t="s">
        <v>69</v>
      </c>
      <c r="AA27" s="166" t="s">
        <v>90</v>
      </c>
      <c r="AB27" s="166" t="s">
        <v>372</v>
      </c>
      <c r="AP27" s="188" t="s">
        <v>231</v>
      </c>
    </row>
    <row r="28" spans="1:48" x14ac:dyDescent="0.15">
      <c r="A28" s="166" t="s">
        <v>51</v>
      </c>
      <c r="B28" s="166" t="s">
        <v>157</v>
      </c>
      <c r="C28" s="166">
        <v>2019</v>
      </c>
      <c r="D28" s="174" t="s">
        <v>369</v>
      </c>
      <c r="E28" s="166" t="s">
        <v>378</v>
      </c>
      <c r="F28" s="166" t="s">
        <v>379</v>
      </c>
      <c r="G28" s="166" t="s">
        <v>36</v>
      </c>
      <c r="H28" s="166" t="s">
        <v>160</v>
      </c>
      <c r="I28" s="166" t="s">
        <v>159</v>
      </c>
      <c r="J28" s="166" t="s">
        <v>38</v>
      </c>
      <c r="K28" s="166" t="s">
        <v>161</v>
      </c>
      <c r="L28" s="166">
        <v>3</v>
      </c>
      <c r="N28" s="166">
        <v>1</v>
      </c>
      <c r="O28" s="166">
        <v>0.65</v>
      </c>
      <c r="P28" s="166">
        <v>0.7</v>
      </c>
      <c r="Q28" s="175">
        <f t="shared" si="0"/>
        <v>0.67500000000000004</v>
      </c>
      <c r="R28" s="166">
        <v>18</v>
      </c>
      <c r="S28" s="166">
        <v>128</v>
      </c>
      <c r="T28" s="176">
        <f t="shared" si="1"/>
        <v>27</v>
      </c>
      <c r="U28" s="166">
        <v>128</v>
      </c>
      <c r="V28" s="177">
        <f t="shared" si="2"/>
        <v>3456</v>
      </c>
      <c r="W28" s="166">
        <v>12</v>
      </c>
      <c r="X28" s="166" t="s">
        <v>46</v>
      </c>
      <c r="Y28" s="166" t="s">
        <v>55</v>
      </c>
      <c r="Z28" s="166" t="s">
        <v>69</v>
      </c>
      <c r="AA28" s="166" t="s">
        <v>90</v>
      </c>
      <c r="AB28" s="166" t="s">
        <v>372</v>
      </c>
    </row>
    <row r="29" spans="1:48" x14ac:dyDescent="0.15">
      <c r="A29" s="166" t="s">
        <v>51</v>
      </c>
      <c r="B29" s="166" t="s">
        <v>157</v>
      </c>
      <c r="C29" s="166">
        <v>2019</v>
      </c>
      <c r="D29" s="174" t="s">
        <v>369</v>
      </c>
      <c r="E29" s="166" t="s">
        <v>210</v>
      </c>
      <c r="F29" s="166" t="s">
        <v>373</v>
      </c>
      <c r="G29" s="166" t="s">
        <v>42</v>
      </c>
      <c r="H29" s="166" t="s">
        <v>164</v>
      </c>
      <c r="I29" s="166" t="s">
        <v>159</v>
      </c>
      <c r="J29" s="166" t="s">
        <v>38</v>
      </c>
      <c r="K29" s="166" t="s">
        <v>161</v>
      </c>
      <c r="L29" s="166">
        <v>1</v>
      </c>
      <c r="N29" s="166">
        <v>1</v>
      </c>
      <c r="O29" s="166">
        <v>0.25</v>
      </c>
      <c r="P29" s="166">
        <v>0.25</v>
      </c>
      <c r="Q29" s="175">
        <f t="shared" si="0"/>
        <v>0.25</v>
      </c>
      <c r="R29" s="166">
        <v>17.2</v>
      </c>
      <c r="S29" s="166">
        <v>106</v>
      </c>
      <c r="T29" s="176">
        <f t="shared" si="1"/>
        <v>33</v>
      </c>
      <c r="U29" s="166">
        <v>89</v>
      </c>
      <c r="V29" s="177">
        <f t="shared" si="2"/>
        <v>2937</v>
      </c>
      <c r="W29" s="166">
        <v>13</v>
      </c>
      <c r="X29" s="166" t="s">
        <v>46</v>
      </c>
      <c r="Y29" s="166" t="s">
        <v>88</v>
      </c>
      <c r="Z29" s="166" t="s">
        <v>69</v>
      </c>
      <c r="AA29" s="166" t="s">
        <v>55</v>
      </c>
      <c r="AB29" s="166" t="s">
        <v>372</v>
      </c>
    </row>
    <row r="30" spans="1:48" x14ac:dyDescent="0.15">
      <c r="A30" s="166" t="s">
        <v>51</v>
      </c>
      <c r="B30" s="166" t="s">
        <v>157</v>
      </c>
      <c r="C30" s="166">
        <v>2019</v>
      </c>
      <c r="D30" s="174" t="s">
        <v>369</v>
      </c>
      <c r="E30" s="166" t="s">
        <v>210</v>
      </c>
      <c r="F30" s="166" t="s">
        <v>373</v>
      </c>
      <c r="G30" s="166" t="s">
        <v>42</v>
      </c>
      <c r="H30" s="166" t="s">
        <v>164</v>
      </c>
      <c r="I30" s="166" t="s">
        <v>159</v>
      </c>
      <c r="J30" s="166" t="s">
        <v>38</v>
      </c>
      <c r="K30" s="166" t="s">
        <v>161</v>
      </c>
      <c r="L30" s="166">
        <v>2</v>
      </c>
      <c r="N30" s="166">
        <v>1</v>
      </c>
      <c r="O30" s="166">
        <v>0.6</v>
      </c>
      <c r="P30" s="166">
        <v>0.65</v>
      </c>
      <c r="Q30" s="175">
        <f t="shared" si="0"/>
        <v>0.625</v>
      </c>
      <c r="R30" s="166">
        <v>16.899999999999999</v>
      </c>
      <c r="S30" s="166">
        <v>116</v>
      </c>
      <c r="T30" s="176">
        <f t="shared" si="1"/>
        <v>30</v>
      </c>
      <c r="U30" s="166">
        <v>89</v>
      </c>
      <c r="V30" s="177">
        <f t="shared" si="2"/>
        <v>2670</v>
      </c>
      <c r="W30" s="166">
        <v>13</v>
      </c>
      <c r="X30" s="166" t="s">
        <v>46</v>
      </c>
      <c r="Y30" s="166" t="s">
        <v>88</v>
      </c>
      <c r="Z30" s="166" t="s">
        <v>69</v>
      </c>
      <c r="AA30" s="166" t="s">
        <v>55</v>
      </c>
      <c r="AB30" s="166" t="s">
        <v>372</v>
      </c>
    </row>
    <row r="31" spans="1:48" x14ac:dyDescent="0.15">
      <c r="A31" s="166" t="s">
        <v>51</v>
      </c>
      <c r="B31" s="166" t="s">
        <v>157</v>
      </c>
      <c r="C31" s="166">
        <v>2019</v>
      </c>
      <c r="D31" s="174" t="s">
        <v>369</v>
      </c>
      <c r="E31" s="166" t="s">
        <v>210</v>
      </c>
      <c r="F31" s="166" t="s">
        <v>373</v>
      </c>
      <c r="G31" s="166" t="s">
        <v>42</v>
      </c>
      <c r="H31" s="166" t="s">
        <v>164</v>
      </c>
      <c r="I31" s="166" t="s">
        <v>159</v>
      </c>
      <c r="J31" s="166" t="s">
        <v>38</v>
      </c>
      <c r="K31" s="166" t="s">
        <v>161</v>
      </c>
      <c r="L31" s="166">
        <v>3</v>
      </c>
      <c r="N31" s="166">
        <v>1</v>
      </c>
      <c r="O31" s="166">
        <v>0.7</v>
      </c>
      <c r="P31" s="166">
        <v>0.55000000000000004</v>
      </c>
      <c r="Q31" s="175">
        <f t="shared" si="0"/>
        <v>0.625</v>
      </c>
      <c r="R31" s="166">
        <v>17.5</v>
      </c>
      <c r="S31" s="166">
        <v>108</v>
      </c>
      <c r="T31" s="176">
        <f t="shared" si="1"/>
        <v>33</v>
      </c>
      <c r="U31" s="166">
        <v>89</v>
      </c>
      <c r="V31" s="177">
        <f t="shared" si="2"/>
        <v>2937</v>
      </c>
      <c r="W31" s="166">
        <v>13</v>
      </c>
      <c r="X31" s="166" t="s">
        <v>46</v>
      </c>
      <c r="Y31" s="166" t="s">
        <v>88</v>
      </c>
      <c r="Z31" s="166" t="s">
        <v>69</v>
      </c>
      <c r="AA31" s="166" t="s">
        <v>55</v>
      </c>
      <c r="AB31" s="166" t="s">
        <v>372</v>
      </c>
    </row>
    <row r="32" spans="1:48" x14ac:dyDescent="0.15">
      <c r="A32" s="166" t="s">
        <v>51</v>
      </c>
      <c r="B32" s="166" t="s">
        <v>157</v>
      </c>
      <c r="C32" s="166">
        <v>2019</v>
      </c>
      <c r="D32" s="174" t="s">
        <v>369</v>
      </c>
      <c r="E32" s="166" t="s">
        <v>210</v>
      </c>
      <c r="F32" s="166" t="s">
        <v>373</v>
      </c>
      <c r="G32" s="166" t="s">
        <v>42</v>
      </c>
      <c r="H32" s="166" t="s">
        <v>160</v>
      </c>
      <c r="I32" s="166" t="s">
        <v>159</v>
      </c>
      <c r="J32" s="166" t="s">
        <v>38</v>
      </c>
      <c r="K32" s="166" t="s">
        <v>161</v>
      </c>
      <c r="L32" s="166">
        <v>1</v>
      </c>
      <c r="N32" s="166">
        <v>1</v>
      </c>
      <c r="O32" s="166">
        <v>0.5</v>
      </c>
      <c r="P32" s="166">
        <v>0.5</v>
      </c>
      <c r="Q32" s="175">
        <f t="shared" si="0"/>
        <v>0.5</v>
      </c>
      <c r="R32" s="166">
        <v>18.8</v>
      </c>
      <c r="S32" s="166">
        <v>132</v>
      </c>
      <c r="T32" s="176">
        <f t="shared" si="1"/>
        <v>25</v>
      </c>
      <c r="U32" s="166">
        <v>89</v>
      </c>
      <c r="V32" s="177">
        <f t="shared" si="2"/>
        <v>2225</v>
      </c>
      <c r="W32" s="166">
        <v>13</v>
      </c>
      <c r="X32" s="166" t="s">
        <v>46</v>
      </c>
      <c r="Y32" s="166" t="s">
        <v>88</v>
      </c>
      <c r="Z32" s="166" t="s">
        <v>69</v>
      </c>
      <c r="AA32" s="166" t="s">
        <v>55</v>
      </c>
      <c r="AB32" s="166" t="s">
        <v>372</v>
      </c>
    </row>
    <row r="33" spans="1:28" x14ac:dyDescent="0.15">
      <c r="A33" s="166" t="s">
        <v>51</v>
      </c>
      <c r="B33" s="166" t="s">
        <v>157</v>
      </c>
      <c r="C33" s="166">
        <v>2019</v>
      </c>
      <c r="D33" s="174" t="s">
        <v>369</v>
      </c>
      <c r="E33" s="166" t="s">
        <v>210</v>
      </c>
      <c r="F33" s="166" t="s">
        <v>373</v>
      </c>
      <c r="G33" s="166" t="s">
        <v>42</v>
      </c>
      <c r="H33" s="166" t="s">
        <v>160</v>
      </c>
      <c r="I33" s="166" t="s">
        <v>159</v>
      </c>
      <c r="J33" s="166" t="s">
        <v>38</v>
      </c>
      <c r="K33" s="166" t="s">
        <v>161</v>
      </c>
      <c r="L33" s="166">
        <v>2</v>
      </c>
      <c r="N33" s="166">
        <v>1</v>
      </c>
      <c r="O33" s="166">
        <v>0.65</v>
      </c>
      <c r="P33" s="166">
        <v>0.7</v>
      </c>
      <c r="Q33" s="175">
        <f t="shared" si="0"/>
        <v>0.67500000000000004</v>
      </c>
      <c r="R33" s="166">
        <v>17.899999999999999</v>
      </c>
      <c r="S33" s="166">
        <v>134</v>
      </c>
      <c r="T33" s="176">
        <f t="shared" si="1"/>
        <v>25</v>
      </c>
      <c r="U33" s="166">
        <v>89</v>
      </c>
      <c r="V33" s="177">
        <f t="shared" si="2"/>
        <v>2225</v>
      </c>
      <c r="W33" s="166">
        <v>13</v>
      </c>
      <c r="X33" s="166" t="s">
        <v>46</v>
      </c>
      <c r="Y33" s="166" t="s">
        <v>88</v>
      </c>
      <c r="Z33" s="166" t="s">
        <v>69</v>
      </c>
      <c r="AA33" s="166" t="s">
        <v>55</v>
      </c>
      <c r="AB33" s="166" t="s">
        <v>372</v>
      </c>
    </row>
    <row r="34" spans="1:28" x14ac:dyDescent="0.15">
      <c r="A34" s="166" t="s">
        <v>51</v>
      </c>
      <c r="B34" s="166" t="s">
        <v>157</v>
      </c>
      <c r="C34" s="166">
        <v>2019</v>
      </c>
      <c r="D34" s="174" t="s">
        <v>369</v>
      </c>
      <c r="E34" s="166" t="s">
        <v>210</v>
      </c>
      <c r="F34" s="166" t="s">
        <v>373</v>
      </c>
      <c r="G34" s="166" t="s">
        <v>42</v>
      </c>
      <c r="H34" s="166" t="s">
        <v>160</v>
      </c>
      <c r="I34" s="166" t="s">
        <v>159</v>
      </c>
      <c r="J34" s="166" t="s">
        <v>38</v>
      </c>
      <c r="K34" s="166" t="s">
        <v>161</v>
      </c>
      <c r="L34" s="166">
        <v>3</v>
      </c>
      <c r="N34" s="166">
        <v>1</v>
      </c>
      <c r="O34" s="166">
        <v>0.7</v>
      </c>
      <c r="P34" s="166">
        <v>0.7</v>
      </c>
      <c r="Q34" s="175">
        <f t="shared" si="0"/>
        <v>0.7</v>
      </c>
      <c r="R34" s="166">
        <v>18.5</v>
      </c>
      <c r="S34" s="166">
        <v>132</v>
      </c>
      <c r="T34" s="176">
        <f t="shared" si="1"/>
        <v>25</v>
      </c>
      <c r="U34" s="166">
        <v>89</v>
      </c>
      <c r="V34" s="177">
        <f t="shared" si="2"/>
        <v>2225</v>
      </c>
      <c r="W34" s="166">
        <v>13</v>
      </c>
      <c r="X34" s="166" t="s">
        <v>46</v>
      </c>
      <c r="Y34" s="166" t="s">
        <v>88</v>
      </c>
      <c r="Z34" s="166" t="s">
        <v>69</v>
      </c>
      <c r="AA34" s="166" t="s">
        <v>55</v>
      </c>
      <c r="AB34" s="166" t="s">
        <v>372</v>
      </c>
    </row>
    <row r="35" spans="1:28" x14ac:dyDescent="0.15">
      <c r="A35" s="166" t="s">
        <v>51</v>
      </c>
      <c r="B35" s="166" t="s">
        <v>157</v>
      </c>
      <c r="C35" s="166">
        <v>2019</v>
      </c>
      <c r="D35" s="174" t="s">
        <v>369</v>
      </c>
      <c r="E35" s="166" t="s">
        <v>380</v>
      </c>
      <c r="F35" s="166" t="s">
        <v>373</v>
      </c>
      <c r="G35" s="166" t="s">
        <v>42</v>
      </c>
      <c r="H35" s="166" t="s">
        <v>164</v>
      </c>
      <c r="I35" s="166" t="s">
        <v>159</v>
      </c>
      <c r="J35" s="166" t="s">
        <v>38</v>
      </c>
      <c r="K35" s="166" t="s">
        <v>161</v>
      </c>
      <c r="L35" s="166">
        <v>1</v>
      </c>
      <c r="N35" s="166">
        <v>1</v>
      </c>
      <c r="O35" s="166">
        <v>0.75</v>
      </c>
      <c r="P35" s="166">
        <v>0.5</v>
      </c>
      <c r="Q35" s="175">
        <f t="shared" si="0"/>
        <v>0.625</v>
      </c>
      <c r="R35" s="166">
        <v>17.100000000000001</v>
      </c>
      <c r="S35" s="166">
        <v>108</v>
      </c>
      <c r="T35" s="176">
        <f t="shared" si="1"/>
        <v>33</v>
      </c>
      <c r="U35" s="166">
        <v>58</v>
      </c>
      <c r="V35" s="177">
        <f t="shared" si="2"/>
        <v>1914</v>
      </c>
      <c r="W35" s="166">
        <v>20</v>
      </c>
      <c r="X35" s="166" t="s">
        <v>46</v>
      </c>
      <c r="Y35" s="166" t="s">
        <v>55</v>
      </c>
      <c r="Z35" s="166" t="s">
        <v>69</v>
      </c>
      <c r="AA35" s="166" t="s">
        <v>88</v>
      </c>
      <c r="AB35" s="166" t="s">
        <v>372</v>
      </c>
    </row>
    <row r="36" spans="1:28" x14ac:dyDescent="0.15">
      <c r="A36" s="166" t="s">
        <v>51</v>
      </c>
      <c r="B36" s="166" t="s">
        <v>157</v>
      </c>
      <c r="C36" s="166">
        <v>2019</v>
      </c>
      <c r="D36" s="174" t="s">
        <v>369</v>
      </c>
      <c r="E36" s="166" t="s">
        <v>380</v>
      </c>
      <c r="F36" s="166" t="s">
        <v>373</v>
      </c>
      <c r="G36" s="166" t="s">
        <v>42</v>
      </c>
      <c r="H36" s="166" t="s">
        <v>164</v>
      </c>
      <c r="I36" s="166" t="s">
        <v>159</v>
      </c>
      <c r="J36" s="166" t="s">
        <v>38</v>
      </c>
      <c r="K36" s="166" t="s">
        <v>161</v>
      </c>
      <c r="L36" s="166">
        <v>2</v>
      </c>
      <c r="N36" s="166">
        <v>1</v>
      </c>
      <c r="O36" s="166">
        <v>0.65</v>
      </c>
      <c r="P36" s="166">
        <v>0.75</v>
      </c>
      <c r="Q36" s="175">
        <f t="shared" si="0"/>
        <v>0.7</v>
      </c>
      <c r="R36" s="166">
        <v>16.8</v>
      </c>
      <c r="S36" s="166">
        <v>108</v>
      </c>
      <c r="T36" s="176">
        <f t="shared" si="1"/>
        <v>33</v>
      </c>
      <c r="U36" s="166">
        <v>58</v>
      </c>
      <c r="V36" s="177">
        <f t="shared" si="2"/>
        <v>1914</v>
      </c>
      <c r="W36" s="166">
        <v>20</v>
      </c>
      <c r="X36" s="166" t="s">
        <v>46</v>
      </c>
      <c r="Y36" s="166" t="s">
        <v>55</v>
      </c>
      <c r="Z36" s="166" t="s">
        <v>69</v>
      </c>
      <c r="AA36" s="166" t="s">
        <v>88</v>
      </c>
      <c r="AB36" s="166" t="s">
        <v>372</v>
      </c>
    </row>
    <row r="37" spans="1:28" x14ac:dyDescent="0.15">
      <c r="A37" s="166" t="s">
        <v>51</v>
      </c>
      <c r="B37" s="166" t="s">
        <v>157</v>
      </c>
      <c r="C37" s="166">
        <v>2019</v>
      </c>
      <c r="D37" s="174" t="s">
        <v>369</v>
      </c>
      <c r="E37" s="166" t="s">
        <v>380</v>
      </c>
      <c r="F37" s="166" t="s">
        <v>373</v>
      </c>
      <c r="G37" s="166" t="s">
        <v>42</v>
      </c>
      <c r="H37" s="166" t="s">
        <v>164</v>
      </c>
      <c r="I37" s="166" t="s">
        <v>159</v>
      </c>
      <c r="J37" s="166" t="s">
        <v>38</v>
      </c>
      <c r="K37" s="166" t="s">
        <v>161</v>
      </c>
      <c r="L37" s="166">
        <v>3</v>
      </c>
      <c r="N37" s="166">
        <v>1</v>
      </c>
      <c r="O37" s="166">
        <v>0.7</v>
      </c>
      <c r="P37" s="166">
        <v>0.7</v>
      </c>
      <c r="Q37" s="175">
        <f t="shared" si="0"/>
        <v>0.7</v>
      </c>
      <c r="R37" s="166">
        <v>16.5</v>
      </c>
      <c r="S37" s="166">
        <v>108</v>
      </c>
      <c r="T37" s="176">
        <f t="shared" si="1"/>
        <v>33</v>
      </c>
      <c r="U37" s="166">
        <v>58</v>
      </c>
      <c r="V37" s="177">
        <f t="shared" si="2"/>
        <v>1914</v>
      </c>
      <c r="W37" s="166">
        <v>20</v>
      </c>
      <c r="X37" s="166" t="s">
        <v>46</v>
      </c>
      <c r="Y37" s="166" t="s">
        <v>55</v>
      </c>
      <c r="Z37" s="166" t="s">
        <v>69</v>
      </c>
      <c r="AA37" s="166" t="s">
        <v>88</v>
      </c>
      <c r="AB37" s="166" t="s">
        <v>372</v>
      </c>
    </row>
    <row r="38" spans="1:28" x14ac:dyDescent="0.15">
      <c r="A38" s="166" t="s">
        <v>51</v>
      </c>
      <c r="B38" s="166" t="s">
        <v>157</v>
      </c>
      <c r="C38" s="166">
        <v>2019</v>
      </c>
      <c r="D38" s="174" t="s">
        <v>369</v>
      </c>
      <c r="E38" s="166" t="s">
        <v>380</v>
      </c>
      <c r="F38" s="166" t="s">
        <v>373</v>
      </c>
      <c r="G38" s="166" t="s">
        <v>42</v>
      </c>
      <c r="H38" s="166" t="s">
        <v>164</v>
      </c>
      <c r="I38" s="166" t="s">
        <v>197</v>
      </c>
      <c r="J38" s="166" t="s">
        <v>38</v>
      </c>
      <c r="K38" s="166" t="s">
        <v>161</v>
      </c>
      <c r="L38" s="166">
        <v>1</v>
      </c>
      <c r="N38" s="166">
        <v>4</v>
      </c>
      <c r="O38" s="166">
        <v>0.75</v>
      </c>
      <c r="P38" s="166">
        <v>0.75</v>
      </c>
      <c r="Q38" s="175">
        <f t="shared" si="0"/>
        <v>0.75</v>
      </c>
      <c r="R38" s="166">
        <v>14.3</v>
      </c>
      <c r="S38" s="166">
        <v>94</v>
      </c>
      <c r="T38" s="176">
        <f t="shared" si="1"/>
        <v>36</v>
      </c>
      <c r="U38" s="166">
        <v>398</v>
      </c>
      <c r="V38" s="177">
        <f t="shared" si="2"/>
        <v>3582</v>
      </c>
      <c r="W38" s="166">
        <v>20</v>
      </c>
      <c r="X38" s="166" t="s">
        <v>46</v>
      </c>
      <c r="Y38" s="166" t="s">
        <v>55</v>
      </c>
      <c r="Z38" s="166" t="s">
        <v>69</v>
      </c>
      <c r="AA38" s="166" t="s">
        <v>88</v>
      </c>
      <c r="AB38" s="166" t="s">
        <v>372</v>
      </c>
    </row>
    <row r="39" spans="1:28" x14ac:dyDescent="0.15">
      <c r="A39" s="166" t="s">
        <v>51</v>
      </c>
      <c r="B39" s="166" t="s">
        <v>157</v>
      </c>
      <c r="C39" s="166">
        <v>2019</v>
      </c>
      <c r="D39" s="174" t="s">
        <v>369</v>
      </c>
      <c r="E39" s="166" t="s">
        <v>380</v>
      </c>
      <c r="F39" s="166" t="s">
        <v>373</v>
      </c>
      <c r="G39" s="166" t="s">
        <v>42</v>
      </c>
      <c r="H39" s="166" t="s">
        <v>164</v>
      </c>
      <c r="I39" s="166" t="s">
        <v>197</v>
      </c>
      <c r="J39" s="166" t="s">
        <v>38</v>
      </c>
      <c r="K39" s="166" t="s">
        <v>161</v>
      </c>
      <c r="L39" s="166">
        <v>2</v>
      </c>
      <c r="N39" s="166">
        <v>4</v>
      </c>
      <c r="O39" s="166">
        <v>0.65</v>
      </c>
      <c r="P39" s="166">
        <v>0.6</v>
      </c>
      <c r="Q39" s="175">
        <f t="shared" si="0"/>
        <v>0.625</v>
      </c>
      <c r="R39" s="166">
        <v>15.6</v>
      </c>
      <c r="S39" s="166">
        <v>100</v>
      </c>
      <c r="T39" s="176">
        <f t="shared" si="1"/>
        <v>33</v>
      </c>
      <c r="U39" s="166">
        <v>398</v>
      </c>
      <c r="V39" s="177">
        <f t="shared" si="2"/>
        <v>3283.5</v>
      </c>
      <c r="W39" s="166">
        <v>20</v>
      </c>
      <c r="X39" s="166" t="s">
        <v>46</v>
      </c>
      <c r="Y39" s="166" t="s">
        <v>55</v>
      </c>
      <c r="Z39" s="166" t="s">
        <v>69</v>
      </c>
      <c r="AA39" s="166" t="s">
        <v>88</v>
      </c>
      <c r="AB39" s="166" t="s">
        <v>372</v>
      </c>
    </row>
    <row r="40" spans="1:28" x14ac:dyDescent="0.15">
      <c r="A40" s="166" t="s">
        <v>51</v>
      </c>
      <c r="B40" s="166" t="s">
        <v>157</v>
      </c>
      <c r="C40" s="166">
        <v>2019</v>
      </c>
      <c r="D40" s="174" t="s">
        <v>369</v>
      </c>
      <c r="E40" s="166" t="s">
        <v>380</v>
      </c>
      <c r="F40" s="166" t="s">
        <v>373</v>
      </c>
      <c r="G40" s="166" t="s">
        <v>42</v>
      </c>
      <c r="H40" s="166" t="s">
        <v>164</v>
      </c>
      <c r="I40" s="166" t="s">
        <v>197</v>
      </c>
      <c r="J40" s="166" t="s">
        <v>38</v>
      </c>
      <c r="K40" s="166" t="s">
        <v>161</v>
      </c>
      <c r="L40" s="166">
        <v>3</v>
      </c>
      <c r="N40" s="166">
        <v>4</v>
      </c>
      <c r="O40" s="166">
        <v>0.7</v>
      </c>
      <c r="P40" s="166">
        <v>0.75</v>
      </c>
      <c r="Q40" s="175">
        <f t="shared" si="0"/>
        <v>0.72499999999999998</v>
      </c>
      <c r="R40" s="166">
        <v>14</v>
      </c>
      <c r="S40" s="166">
        <v>93</v>
      </c>
      <c r="T40" s="176">
        <f t="shared" si="1"/>
        <v>36</v>
      </c>
      <c r="U40" s="166">
        <v>398</v>
      </c>
      <c r="V40" s="177">
        <f t="shared" si="2"/>
        <v>3582</v>
      </c>
      <c r="W40" s="166">
        <v>20</v>
      </c>
      <c r="X40" s="166" t="s">
        <v>46</v>
      </c>
      <c r="Y40" s="166" t="s">
        <v>55</v>
      </c>
      <c r="Z40" s="166" t="s">
        <v>69</v>
      </c>
      <c r="AA40" s="166" t="s">
        <v>88</v>
      </c>
      <c r="AB40" s="166" t="s">
        <v>372</v>
      </c>
    </row>
    <row r="41" spans="1:28" x14ac:dyDescent="0.15">
      <c r="A41" s="166" t="s">
        <v>51</v>
      </c>
      <c r="B41" s="166" t="s">
        <v>157</v>
      </c>
      <c r="C41" s="166">
        <v>2019</v>
      </c>
      <c r="D41" s="174" t="s">
        <v>369</v>
      </c>
      <c r="E41" s="166" t="s">
        <v>380</v>
      </c>
      <c r="F41" s="166" t="s">
        <v>373</v>
      </c>
      <c r="G41" s="166" t="s">
        <v>42</v>
      </c>
      <c r="H41" s="166" t="s">
        <v>160</v>
      </c>
      <c r="I41" s="166" t="s">
        <v>159</v>
      </c>
      <c r="J41" s="166" t="s">
        <v>38</v>
      </c>
      <c r="K41" s="166" t="s">
        <v>161</v>
      </c>
      <c r="L41" s="166">
        <v>1</v>
      </c>
      <c r="N41" s="166">
        <v>4</v>
      </c>
      <c r="O41" s="166">
        <v>0.75</v>
      </c>
      <c r="P41" s="166">
        <v>0.75</v>
      </c>
      <c r="Q41" s="175">
        <f t="shared" si="0"/>
        <v>0.75</v>
      </c>
      <c r="R41" s="166">
        <v>15.3</v>
      </c>
      <c r="S41" s="166">
        <v>102</v>
      </c>
      <c r="T41" s="176">
        <f t="shared" si="1"/>
        <v>33</v>
      </c>
      <c r="U41" s="166">
        <v>498</v>
      </c>
      <c r="V41" s="177">
        <f t="shared" si="2"/>
        <v>4108.5</v>
      </c>
      <c r="W41" s="166">
        <v>20</v>
      </c>
      <c r="X41" s="166" t="s">
        <v>46</v>
      </c>
      <c r="Y41" s="166" t="s">
        <v>55</v>
      </c>
      <c r="Z41" s="166" t="s">
        <v>69</v>
      </c>
      <c r="AA41" s="166" t="s">
        <v>88</v>
      </c>
      <c r="AB41" s="166" t="s">
        <v>372</v>
      </c>
    </row>
    <row r="42" spans="1:28" x14ac:dyDescent="0.15">
      <c r="A42" s="166" t="s">
        <v>51</v>
      </c>
      <c r="B42" s="166" t="s">
        <v>157</v>
      </c>
      <c r="C42" s="166">
        <v>2019</v>
      </c>
      <c r="D42" s="174" t="s">
        <v>369</v>
      </c>
      <c r="E42" s="166" t="s">
        <v>380</v>
      </c>
      <c r="F42" s="166" t="s">
        <v>373</v>
      </c>
      <c r="G42" s="166" t="s">
        <v>42</v>
      </c>
      <c r="H42" s="166" t="s">
        <v>160</v>
      </c>
      <c r="I42" s="166" t="s">
        <v>159</v>
      </c>
      <c r="J42" s="166" t="s">
        <v>38</v>
      </c>
      <c r="K42" s="166" t="s">
        <v>161</v>
      </c>
      <c r="L42" s="166">
        <v>2</v>
      </c>
      <c r="N42" s="166">
        <v>4</v>
      </c>
      <c r="O42" s="166">
        <v>0.7</v>
      </c>
      <c r="P42" s="166">
        <v>0.65</v>
      </c>
      <c r="Q42" s="175">
        <f t="shared" si="0"/>
        <v>0.67500000000000004</v>
      </c>
      <c r="R42" s="166">
        <v>15.9</v>
      </c>
      <c r="S42" s="166">
        <v>102</v>
      </c>
      <c r="T42" s="176">
        <f t="shared" si="1"/>
        <v>33</v>
      </c>
      <c r="U42" s="166">
        <v>498</v>
      </c>
      <c r="V42" s="177">
        <f t="shared" si="2"/>
        <v>4108.5</v>
      </c>
      <c r="W42" s="166">
        <v>20</v>
      </c>
      <c r="X42" s="166" t="s">
        <v>46</v>
      </c>
      <c r="Y42" s="166" t="s">
        <v>55</v>
      </c>
      <c r="Z42" s="166" t="s">
        <v>69</v>
      </c>
      <c r="AA42" s="166" t="s">
        <v>88</v>
      </c>
      <c r="AB42" s="166" t="s">
        <v>372</v>
      </c>
    </row>
    <row r="43" spans="1:28" x14ac:dyDescent="0.15">
      <c r="A43" s="166" t="s">
        <v>51</v>
      </c>
      <c r="B43" s="166" t="s">
        <v>157</v>
      </c>
      <c r="C43" s="166">
        <v>2019</v>
      </c>
      <c r="D43" s="174" t="s">
        <v>369</v>
      </c>
      <c r="E43" s="166" t="s">
        <v>380</v>
      </c>
      <c r="F43" s="166" t="s">
        <v>373</v>
      </c>
      <c r="G43" s="166" t="s">
        <v>42</v>
      </c>
      <c r="H43" s="166" t="s">
        <v>160</v>
      </c>
      <c r="I43" s="166" t="s">
        <v>159</v>
      </c>
      <c r="J43" s="166" t="s">
        <v>38</v>
      </c>
      <c r="K43" s="166" t="s">
        <v>161</v>
      </c>
      <c r="L43" s="166">
        <v>3</v>
      </c>
      <c r="N43" s="166">
        <v>4</v>
      </c>
      <c r="O43" s="166">
        <v>0.75</v>
      </c>
      <c r="P43" s="166">
        <v>0.8</v>
      </c>
      <c r="Q43" s="175">
        <f t="shared" si="0"/>
        <v>0.77500000000000002</v>
      </c>
      <c r="R43" s="166">
        <v>15.6</v>
      </c>
      <c r="S43" s="166">
        <v>102</v>
      </c>
      <c r="T43" s="176">
        <f t="shared" si="1"/>
        <v>33</v>
      </c>
      <c r="U43" s="166">
        <v>498</v>
      </c>
      <c r="V43" s="177">
        <f t="shared" si="2"/>
        <v>4108.5</v>
      </c>
      <c r="W43" s="166">
        <v>20</v>
      </c>
      <c r="X43" s="166" t="s">
        <v>46</v>
      </c>
      <c r="Y43" s="166" t="s">
        <v>55</v>
      </c>
      <c r="Z43" s="166" t="s">
        <v>69</v>
      </c>
      <c r="AA43" s="166" t="s">
        <v>88</v>
      </c>
      <c r="AB43" s="166" t="s">
        <v>372</v>
      </c>
    </row>
    <row r="44" spans="1:28" x14ac:dyDescent="0.15">
      <c r="A44" s="166" t="s">
        <v>51</v>
      </c>
      <c r="B44" s="166" t="s">
        <v>157</v>
      </c>
      <c r="C44" s="166">
        <v>2019</v>
      </c>
      <c r="D44" s="174" t="s">
        <v>369</v>
      </c>
      <c r="E44" s="166" t="s">
        <v>380</v>
      </c>
      <c r="F44" s="166" t="s">
        <v>373</v>
      </c>
      <c r="G44" s="166" t="s">
        <v>42</v>
      </c>
      <c r="H44" s="166" t="s">
        <v>160</v>
      </c>
      <c r="I44" s="166" t="s">
        <v>197</v>
      </c>
      <c r="J44" s="166" t="s">
        <v>38</v>
      </c>
      <c r="K44" s="166" t="s">
        <v>161</v>
      </c>
      <c r="L44" s="166">
        <v>1</v>
      </c>
      <c r="N44" s="166">
        <v>4</v>
      </c>
      <c r="O44" s="166">
        <v>0.75</v>
      </c>
      <c r="P44" s="166">
        <v>0.7</v>
      </c>
      <c r="Q44" s="175">
        <f t="shared" si="0"/>
        <v>0.72499999999999998</v>
      </c>
      <c r="R44" s="166">
        <v>16.7</v>
      </c>
      <c r="S44" s="166">
        <v>102</v>
      </c>
      <c r="T44" s="176">
        <f t="shared" si="1"/>
        <v>33</v>
      </c>
      <c r="U44" s="166">
        <v>398</v>
      </c>
      <c r="V44" s="177">
        <f t="shared" si="2"/>
        <v>3283.5</v>
      </c>
      <c r="W44" s="166">
        <v>20</v>
      </c>
      <c r="X44" s="166" t="s">
        <v>46</v>
      </c>
      <c r="Y44" s="166" t="s">
        <v>55</v>
      </c>
      <c r="Z44" s="166" t="s">
        <v>69</v>
      </c>
      <c r="AA44" s="166" t="s">
        <v>88</v>
      </c>
      <c r="AB44" s="166" t="s">
        <v>372</v>
      </c>
    </row>
    <row r="45" spans="1:28" x14ac:dyDescent="0.15">
      <c r="A45" s="166" t="s">
        <v>51</v>
      </c>
      <c r="B45" s="166" t="s">
        <v>157</v>
      </c>
      <c r="C45" s="166">
        <v>2019</v>
      </c>
      <c r="D45" s="174" t="s">
        <v>369</v>
      </c>
      <c r="E45" s="166" t="s">
        <v>380</v>
      </c>
      <c r="F45" s="166" t="s">
        <v>373</v>
      </c>
      <c r="G45" s="166" t="s">
        <v>42</v>
      </c>
      <c r="H45" s="166" t="s">
        <v>160</v>
      </c>
      <c r="I45" s="166" t="s">
        <v>197</v>
      </c>
      <c r="J45" s="166" t="s">
        <v>38</v>
      </c>
      <c r="K45" s="166" t="s">
        <v>161</v>
      </c>
      <c r="L45" s="166">
        <v>2</v>
      </c>
      <c r="N45" s="166">
        <v>4</v>
      </c>
      <c r="O45" s="166">
        <v>0.65</v>
      </c>
      <c r="P45" s="166">
        <v>0.55000000000000004</v>
      </c>
      <c r="Q45" s="175">
        <f t="shared" si="0"/>
        <v>0.60000000000000009</v>
      </c>
      <c r="R45" s="166">
        <v>16.2</v>
      </c>
      <c r="S45" s="166">
        <v>93</v>
      </c>
      <c r="T45" s="176">
        <f t="shared" si="1"/>
        <v>36</v>
      </c>
      <c r="U45" s="166">
        <v>398</v>
      </c>
      <c r="V45" s="177">
        <f t="shared" si="2"/>
        <v>3582</v>
      </c>
      <c r="W45" s="166">
        <v>20</v>
      </c>
      <c r="X45" s="166" t="s">
        <v>46</v>
      </c>
      <c r="Y45" s="166" t="s">
        <v>55</v>
      </c>
      <c r="Z45" s="166" t="s">
        <v>69</v>
      </c>
      <c r="AA45" s="166" t="s">
        <v>88</v>
      </c>
      <c r="AB45" s="166" t="s">
        <v>372</v>
      </c>
    </row>
    <row r="46" spans="1:28" x14ac:dyDescent="0.15">
      <c r="A46" s="166" t="s">
        <v>51</v>
      </c>
      <c r="B46" s="166" t="s">
        <v>157</v>
      </c>
      <c r="C46" s="166">
        <v>2019</v>
      </c>
      <c r="D46" s="174" t="s">
        <v>369</v>
      </c>
      <c r="E46" s="166" t="s">
        <v>380</v>
      </c>
      <c r="F46" s="166" t="s">
        <v>373</v>
      </c>
      <c r="G46" s="166" t="s">
        <v>42</v>
      </c>
      <c r="H46" s="166" t="s">
        <v>160</v>
      </c>
      <c r="I46" s="166" t="s">
        <v>197</v>
      </c>
      <c r="J46" s="166" t="s">
        <v>38</v>
      </c>
      <c r="K46" s="166" t="s">
        <v>161</v>
      </c>
      <c r="L46" s="166">
        <v>3</v>
      </c>
      <c r="N46" s="166">
        <v>4</v>
      </c>
      <c r="O46" s="166">
        <v>0.7</v>
      </c>
      <c r="P46" s="166">
        <v>0.7</v>
      </c>
      <c r="Q46" s="175">
        <f t="shared" si="0"/>
        <v>0.7</v>
      </c>
      <c r="R46" s="166">
        <v>16.5</v>
      </c>
      <c r="S46" s="166">
        <v>97</v>
      </c>
      <c r="T46" s="176">
        <f t="shared" si="1"/>
        <v>36</v>
      </c>
      <c r="U46" s="166">
        <v>398</v>
      </c>
      <c r="V46" s="177">
        <f t="shared" si="2"/>
        <v>3582</v>
      </c>
      <c r="W46" s="166">
        <v>20</v>
      </c>
      <c r="X46" s="166" t="s">
        <v>46</v>
      </c>
      <c r="Y46" s="166" t="s">
        <v>55</v>
      </c>
      <c r="Z46" s="166" t="s">
        <v>69</v>
      </c>
      <c r="AA46" s="166" t="s">
        <v>88</v>
      </c>
      <c r="AB46" s="166" t="s">
        <v>372</v>
      </c>
    </row>
    <row r="47" spans="1:28" x14ac:dyDescent="0.15">
      <c r="A47" s="166" t="s">
        <v>51</v>
      </c>
      <c r="B47" s="166" t="s">
        <v>157</v>
      </c>
      <c r="C47" s="166">
        <v>2019</v>
      </c>
      <c r="D47" s="174" t="s">
        <v>369</v>
      </c>
      <c r="E47" s="166" t="s">
        <v>376</v>
      </c>
      <c r="F47" s="166" t="s">
        <v>377</v>
      </c>
      <c r="G47" s="166" t="s">
        <v>42</v>
      </c>
      <c r="H47" s="166" t="s">
        <v>164</v>
      </c>
      <c r="I47" s="166" t="s">
        <v>159</v>
      </c>
      <c r="J47" s="166" t="s">
        <v>38</v>
      </c>
      <c r="K47" s="166" t="s">
        <v>161</v>
      </c>
      <c r="L47" s="166">
        <v>1</v>
      </c>
      <c r="N47" s="166">
        <v>1</v>
      </c>
      <c r="O47" s="166">
        <v>0.75</v>
      </c>
      <c r="P47" s="166">
        <v>0.7</v>
      </c>
      <c r="Q47" s="175">
        <f t="shared" si="0"/>
        <v>0.72499999999999998</v>
      </c>
      <c r="R47" s="166">
        <v>16.399999999999999</v>
      </c>
      <c r="S47" s="166">
        <v>138</v>
      </c>
      <c r="T47" s="176">
        <f t="shared" si="1"/>
        <v>22</v>
      </c>
      <c r="U47" s="166">
        <v>128</v>
      </c>
      <c r="V47" s="177">
        <f t="shared" si="2"/>
        <v>2816</v>
      </c>
      <c r="W47" s="166">
        <v>6</v>
      </c>
      <c r="X47" s="166" t="s">
        <v>39</v>
      </c>
      <c r="Y47" s="166" t="s">
        <v>69</v>
      </c>
      <c r="Z47" s="166" t="s">
        <v>90</v>
      </c>
      <c r="AA47" s="166" t="s">
        <v>55</v>
      </c>
      <c r="AB47" s="166" t="s">
        <v>372</v>
      </c>
    </row>
    <row r="48" spans="1:28" x14ac:dyDescent="0.15">
      <c r="A48" s="166" t="s">
        <v>51</v>
      </c>
      <c r="B48" s="166" t="s">
        <v>157</v>
      </c>
      <c r="C48" s="166">
        <v>2019</v>
      </c>
      <c r="D48" s="174" t="s">
        <v>369</v>
      </c>
      <c r="E48" s="166" t="s">
        <v>376</v>
      </c>
      <c r="F48" s="166" t="s">
        <v>377</v>
      </c>
      <c r="G48" s="166" t="s">
        <v>42</v>
      </c>
      <c r="H48" s="166" t="s">
        <v>164</v>
      </c>
      <c r="I48" s="166" t="s">
        <v>159</v>
      </c>
      <c r="J48" s="166" t="s">
        <v>38</v>
      </c>
      <c r="K48" s="166" t="s">
        <v>161</v>
      </c>
      <c r="L48" s="166">
        <v>2</v>
      </c>
      <c r="N48" s="166">
        <v>1</v>
      </c>
      <c r="O48" s="166">
        <v>0.8</v>
      </c>
      <c r="P48" s="166">
        <v>0.8</v>
      </c>
      <c r="Q48" s="175">
        <f t="shared" si="0"/>
        <v>0.8</v>
      </c>
      <c r="R48" s="166">
        <v>15.9</v>
      </c>
      <c r="S48" s="166">
        <v>136</v>
      </c>
      <c r="T48" s="176">
        <f t="shared" si="1"/>
        <v>25</v>
      </c>
      <c r="U48" s="166">
        <v>128</v>
      </c>
      <c r="V48" s="177">
        <f t="shared" si="2"/>
        <v>3200</v>
      </c>
      <c r="W48" s="166">
        <v>6</v>
      </c>
      <c r="X48" s="166" t="s">
        <v>39</v>
      </c>
      <c r="Y48" s="166" t="s">
        <v>69</v>
      </c>
      <c r="Z48" s="166" t="s">
        <v>90</v>
      </c>
      <c r="AA48" s="166" t="s">
        <v>55</v>
      </c>
      <c r="AB48" s="166" t="s">
        <v>372</v>
      </c>
    </row>
    <row r="49" spans="1:28" x14ac:dyDescent="0.15">
      <c r="A49" s="166" t="s">
        <v>51</v>
      </c>
      <c r="B49" s="166" t="s">
        <v>157</v>
      </c>
      <c r="C49" s="166">
        <v>2019</v>
      </c>
      <c r="D49" s="174" t="s">
        <v>369</v>
      </c>
      <c r="E49" s="166" t="s">
        <v>376</v>
      </c>
      <c r="F49" s="166" t="s">
        <v>377</v>
      </c>
      <c r="G49" s="166" t="s">
        <v>42</v>
      </c>
      <c r="H49" s="166" t="s">
        <v>164</v>
      </c>
      <c r="I49" s="166" t="s">
        <v>159</v>
      </c>
      <c r="J49" s="166" t="s">
        <v>38</v>
      </c>
      <c r="K49" s="166" t="s">
        <v>161</v>
      </c>
      <c r="L49" s="166">
        <v>3</v>
      </c>
      <c r="N49" s="166">
        <v>1</v>
      </c>
      <c r="O49" s="166">
        <v>0.85</v>
      </c>
      <c r="P49" s="166">
        <v>0.9</v>
      </c>
      <c r="Q49" s="175">
        <f t="shared" si="0"/>
        <v>0.875</v>
      </c>
      <c r="R49" s="166">
        <v>14.8</v>
      </c>
      <c r="S49" s="166">
        <v>126</v>
      </c>
      <c r="T49" s="176">
        <f t="shared" si="1"/>
        <v>27</v>
      </c>
      <c r="U49" s="166">
        <v>128</v>
      </c>
      <c r="V49" s="177">
        <f t="shared" si="2"/>
        <v>3456</v>
      </c>
      <c r="W49" s="166">
        <v>6</v>
      </c>
      <c r="X49" s="166" t="s">
        <v>39</v>
      </c>
      <c r="Y49" s="166" t="s">
        <v>69</v>
      </c>
      <c r="Z49" s="166" t="s">
        <v>90</v>
      </c>
      <c r="AA49" s="166" t="s">
        <v>55</v>
      </c>
      <c r="AB49" s="166" t="s">
        <v>372</v>
      </c>
    </row>
    <row r="50" spans="1:28" x14ac:dyDescent="0.15">
      <c r="A50" s="166" t="s">
        <v>51</v>
      </c>
      <c r="B50" s="166" t="s">
        <v>157</v>
      </c>
      <c r="C50" s="166">
        <v>2019</v>
      </c>
      <c r="D50" s="174" t="s">
        <v>369</v>
      </c>
      <c r="E50" s="166" t="s">
        <v>376</v>
      </c>
      <c r="F50" s="166" t="s">
        <v>377</v>
      </c>
      <c r="G50" s="166" t="s">
        <v>42</v>
      </c>
      <c r="H50" s="166" t="s">
        <v>160</v>
      </c>
      <c r="I50" s="166" t="s">
        <v>159</v>
      </c>
      <c r="J50" s="166" t="s">
        <v>38</v>
      </c>
      <c r="K50" s="166" t="s">
        <v>161</v>
      </c>
      <c r="L50" s="166">
        <v>1</v>
      </c>
      <c r="N50" s="166">
        <v>1</v>
      </c>
      <c r="O50" s="166">
        <v>0.75</v>
      </c>
      <c r="P50" s="166">
        <v>0.7</v>
      </c>
      <c r="Q50" s="175">
        <f t="shared" si="0"/>
        <v>0.72499999999999998</v>
      </c>
      <c r="R50" s="166">
        <v>17</v>
      </c>
      <c r="S50" s="166">
        <v>134</v>
      </c>
      <c r="T50" s="176">
        <f t="shared" si="1"/>
        <v>25</v>
      </c>
      <c r="U50" s="166">
        <v>128</v>
      </c>
      <c r="V50" s="177">
        <f t="shared" si="2"/>
        <v>3200</v>
      </c>
      <c r="W50" s="166">
        <v>6</v>
      </c>
      <c r="X50" s="166" t="s">
        <v>39</v>
      </c>
      <c r="Y50" s="166" t="s">
        <v>69</v>
      </c>
      <c r="Z50" s="166" t="s">
        <v>90</v>
      </c>
      <c r="AA50" s="166" t="s">
        <v>55</v>
      </c>
      <c r="AB50" s="166" t="s">
        <v>372</v>
      </c>
    </row>
    <row r="51" spans="1:28" x14ac:dyDescent="0.15">
      <c r="A51" s="166" t="s">
        <v>51</v>
      </c>
      <c r="B51" s="166" t="s">
        <v>157</v>
      </c>
      <c r="C51" s="166">
        <v>2019</v>
      </c>
      <c r="D51" s="174" t="s">
        <v>369</v>
      </c>
      <c r="E51" s="166" t="s">
        <v>376</v>
      </c>
      <c r="F51" s="166" t="s">
        <v>377</v>
      </c>
      <c r="G51" s="166" t="s">
        <v>42</v>
      </c>
      <c r="H51" s="166" t="s">
        <v>160</v>
      </c>
      <c r="I51" s="166" t="s">
        <v>159</v>
      </c>
      <c r="J51" s="166" t="s">
        <v>38</v>
      </c>
      <c r="K51" s="166" t="s">
        <v>161</v>
      </c>
      <c r="L51" s="166">
        <v>2</v>
      </c>
      <c r="N51" s="166">
        <v>1</v>
      </c>
      <c r="O51" s="166">
        <v>0.7</v>
      </c>
      <c r="P51" s="166">
        <v>0.65</v>
      </c>
      <c r="Q51" s="175">
        <f t="shared" si="0"/>
        <v>0.67500000000000004</v>
      </c>
      <c r="R51" s="166">
        <v>17.600000000000001</v>
      </c>
      <c r="S51" s="166">
        <v>134</v>
      </c>
      <c r="T51" s="176">
        <f t="shared" si="1"/>
        <v>25</v>
      </c>
      <c r="U51" s="166">
        <v>128</v>
      </c>
      <c r="V51" s="177">
        <f t="shared" si="2"/>
        <v>3200</v>
      </c>
      <c r="W51" s="166">
        <v>6</v>
      </c>
      <c r="X51" s="166" t="s">
        <v>39</v>
      </c>
      <c r="Y51" s="166" t="s">
        <v>69</v>
      </c>
      <c r="Z51" s="166" t="s">
        <v>90</v>
      </c>
      <c r="AA51" s="166" t="s">
        <v>55</v>
      </c>
      <c r="AB51" s="166" t="s">
        <v>372</v>
      </c>
    </row>
    <row r="52" spans="1:28" x14ac:dyDescent="0.15">
      <c r="A52" s="166" t="s">
        <v>51</v>
      </c>
      <c r="B52" s="166" t="s">
        <v>157</v>
      </c>
      <c r="C52" s="166">
        <v>2019</v>
      </c>
      <c r="D52" s="174" t="s">
        <v>369</v>
      </c>
      <c r="E52" s="166" t="s">
        <v>376</v>
      </c>
      <c r="F52" s="166" t="s">
        <v>377</v>
      </c>
      <c r="G52" s="166" t="s">
        <v>42</v>
      </c>
      <c r="H52" s="166" t="s">
        <v>160</v>
      </c>
      <c r="I52" s="166" t="s">
        <v>159</v>
      </c>
      <c r="J52" s="166" t="s">
        <v>38</v>
      </c>
      <c r="K52" s="166" t="s">
        <v>161</v>
      </c>
      <c r="L52" s="166">
        <v>3</v>
      </c>
      <c r="N52" s="166">
        <v>1</v>
      </c>
      <c r="O52" s="166">
        <v>0.6</v>
      </c>
      <c r="P52" s="166">
        <v>0.6</v>
      </c>
      <c r="Q52" s="175">
        <f t="shared" si="0"/>
        <v>0.6</v>
      </c>
      <c r="R52" s="166">
        <v>18.399999999999999</v>
      </c>
      <c r="S52" s="166">
        <v>130</v>
      </c>
      <c r="T52" s="176">
        <f t="shared" si="1"/>
        <v>25</v>
      </c>
      <c r="U52" s="166">
        <v>128</v>
      </c>
      <c r="V52" s="177">
        <f t="shared" si="2"/>
        <v>3200</v>
      </c>
      <c r="W52" s="166">
        <v>6</v>
      </c>
      <c r="X52" s="166" t="s">
        <v>39</v>
      </c>
      <c r="Y52" s="166" t="s">
        <v>69</v>
      </c>
      <c r="Z52" s="166" t="s">
        <v>90</v>
      </c>
      <c r="AA52" s="166" t="s">
        <v>55</v>
      </c>
      <c r="AB52" s="166" t="s">
        <v>372</v>
      </c>
    </row>
    <row r="53" spans="1:28" x14ac:dyDescent="0.15">
      <c r="A53" s="166" t="s">
        <v>51</v>
      </c>
      <c r="B53" s="166" t="s">
        <v>157</v>
      </c>
      <c r="C53" s="166">
        <v>2019</v>
      </c>
      <c r="D53" s="174" t="s">
        <v>369</v>
      </c>
      <c r="E53" s="166" t="s">
        <v>346</v>
      </c>
      <c r="F53" s="166" t="s">
        <v>371</v>
      </c>
      <c r="G53" s="166" t="s">
        <v>36</v>
      </c>
      <c r="H53" s="166" t="s">
        <v>164</v>
      </c>
      <c r="I53" s="166" t="s">
        <v>159</v>
      </c>
      <c r="J53" s="166" t="s">
        <v>38</v>
      </c>
      <c r="K53" s="166" t="s">
        <v>161</v>
      </c>
      <c r="L53" s="166">
        <v>1</v>
      </c>
      <c r="N53" s="166">
        <v>8</v>
      </c>
      <c r="O53" s="166">
        <v>0.75</v>
      </c>
      <c r="P53" s="166">
        <v>0.7</v>
      </c>
      <c r="Q53" s="175">
        <f t="shared" si="0"/>
        <v>0.72499999999999998</v>
      </c>
      <c r="R53" s="166">
        <v>16.2</v>
      </c>
      <c r="S53" s="166">
        <v>89</v>
      </c>
      <c r="T53" s="176">
        <f t="shared" si="1"/>
        <v>36</v>
      </c>
      <c r="U53" s="166">
        <v>580</v>
      </c>
      <c r="V53" s="177">
        <f t="shared" si="2"/>
        <v>2610</v>
      </c>
      <c r="W53" s="166">
        <v>4</v>
      </c>
      <c r="X53" s="166" t="s">
        <v>46</v>
      </c>
      <c r="Y53" s="166" t="s">
        <v>86</v>
      </c>
      <c r="Z53" s="166" t="s">
        <v>88</v>
      </c>
      <c r="AA53" s="166" t="s">
        <v>69</v>
      </c>
      <c r="AB53" s="166" t="s">
        <v>372</v>
      </c>
    </row>
    <row r="54" spans="1:28" x14ac:dyDescent="0.15">
      <c r="A54" s="166" t="s">
        <v>51</v>
      </c>
      <c r="B54" s="166" t="s">
        <v>157</v>
      </c>
      <c r="C54" s="166">
        <v>2019</v>
      </c>
      <c r="D54" s="174" t="s">
        <v>369</v>
      </c>
      <c r="E54" s="166" t="s">
        <v>346</v>
      </c>
      <c r="F54" s="166" t="s">
        <v>371</v>
      </c>
      <c r="G54" s="166" t="s">
        <v>36</v>
      </c>
      <c r="H54" s="166" t="s">
        <v>164</v>
      </c>
      <c r="I54" s="166" t="s">
        <v>159</v>
      </c>
      <c r="J54" s="166" t="s">
        <v>38</v>
      </c>
      <c r="K54" s="166" t="s">
        <v>161</v>
      </c>
      <c r="L54" s="166">
        <v>2</v>
      </c>
      <c r="N54" s="166">
        <v>8</v>
      </c>
      <c r="O54" s="166">
        <v>0.7</v>
      </c>
      <c r="P54" s="166">
        <v>0.6</v>
      </c>
      <c r="Q54" s="175">
        <f t="shared" si="0"/>
        <v>0.64999999999999991</v>
      </c>
      <c r="R54" s="166">
        <v>15.2</v>
      </c>
      <c r="S54" s="166">
        <v>79</v>
      </c>
      <c r="T54" s="176">
        <f t="shared" si="1"/>
        <v>39</v>
      </c>
      <c r="U54" s="166">
        <v>580</v>
      </c>
      <c r="V54" s="177">
        <f t="shared" si="2"/>
        <v>2827.5</v>
      </c>
      <c r="W54" s="166">
        <v>4</v>
      </c>
      <c r="X54" s="166" t="s">
        <v>46</v>
      </c>
      <c r="Y54" s="166" t="s">
        <v>86</v>
      </c>
      <c r="Z54" s="166" t="s">
        <v>88</v>
      </c>
      <c r="AA54" s="166" t="s">
        <v>69</v>
      </c>
      <c r="AB54" s="166" t="s">
        <v>372</v>
      </c>
    </row>
    <row r="55" spans="1:28" x14ac:dyDescent="0.15">
      <c r="A55" s="166" t="s">
        <v>51</v>
      </c>
      <c r="B55" s="166" t="s">
        <v>157</v>
      </c>
      <c r="C55" s="166">
        <v>2019</v>
      </c>
      <c r="D55" s="174" t="s">
        <v>369</v>
      </c>
      <c r="E55" s="166" t="s">
        <v>346</v>
      </c>
      <c r="F55" s="166" t="s">
        <v>371</v>
      </c>
      <c r="G55" s="166" t="s">
        <v>36</v>
      </c>
      <c r="H55" s="166" t="s">
        <v>164</v>
      </c>
      <c r="I55" s="166" t="s">
        <v>159</v>
      </c>
      <c r="J55" s="166" t="s">
        <v>38</v>
      </c>
      <c r="K55" s="166" t="s">
        <v>161</v>
      </c>
      <c r="L55" s="166">
        <v>3</v>
      </c>
      <c r="N55" s="166">
        <v>8</v>
      </c>
      <c r="O55" s="166">
        <v>0.65</v>
      </c>
      <c r="P55" s="166">
        <v>0.65</v>
      </c>
      <c r="Q55" s="175">
        <f t="shared" si="0"/>
        <v>0.65</v>
      </c>
      <c r="R55" s="166">
        <v>16</v>
      </c>
      <c r="S55" s="166">
        <v>89</v>
      </c>
      <c r="T55" s="176">
        <f t="shared" si="1"/>
        <v>36</v>
      </c>
      <c r="U55" s="166">
        <v>580</v>
      </c>
      <c r="V55" s="177">
        <f t="shared" si="2"/>
        <v>2610</v>
      </c>
      <c r="W55" s="166">
        <v>4</v>
      </c>
      <c r="X55" s="166" t="s">
        <v>46</v>
      </c>
      <c r="Y55" s="166" t="s">
        <v>86</v>
      </c>
      <c r="Z55" s="166" t="s">
        <v>88</v>
      </c>
      <c r="AA55" s="166" t="s">
        <v>69</v>
      </c>
      <c r="AB55" s="166" t="s">
        <v>372</v>
      </c>
    </row>
    <row r="56" spans="1:28" x14ac:dyDescent="0.15">
      <c r="A56" s="166" t="s">
        <v>51</v>
      </c>
      <c r="B56" s="166" t="s">
        <v>157</v>
      </c>
      <c r="C56" s="166">
        <v>2019</v>
      </c>
      <c r="D56" s="174" t="s">
        <v>369</v>
      </c>
      <c r="E56" s="166" t="s">
        <v>346</v>
      </c>
      <c r="F56" s="166" t="s">
        <v>371</v>
      </c>
      <c r="G56" s="166" t="s">
        <v>36</v>
      </c>
      <c r="H56" s="166" t="s">
        <v>160</v>
      </c>
      <c r="I56" s="166" t="s">
        <v>159</v>
      </c>
      <c r="J56" s="166" t="s">
        <v>38</v>
      </c>
      <c r="K56" s="166" t="s">
        <v>161</v>
      </c>
      <c r="L56" s="166">
        <v>1</v>
      </c>
      <c r="N56" s="166">
        <v>1</v>
      </c>
      <c r="O56" s="166">
        <v>0.6</v>
      </c>
      <c r="P56" s="166">
        <v>0.55000000000000004</v>
      </c>
      <c r="Q56" s="175">
        <f t="shared" si="0"/>
        <v>0.57499999999999996</v>
      </c>
      <c r="R56" s="166">
        <v>17.100000000000001</v>
      </c>
      <c r="S56" s="166">
        <v>116</v>
      </c>
      <c r="T56" s="176">
        <f t="shared" si="1"/>
        <v>30</v>
      </c>
      <c r="U56" s="166">
        <v>128</v>
      </c>
      <c r="V56" s="177">
        <f t="shared" si="2"/>
        <v>3840</v>
      </c>
      <c r="W56" s="166">
        <v>4</v>
      </c>
      <c r="X56" s="166" t="s">
        <v>46</v>
      </c>
      <c r="Y56" s="166" t="s">
        <v>86</v>
      </c>
      <c r="Z56" s="166" t="s">
        <v>88</v>
      </c>
      <c r="AA56" s="166" t="s">
        <v>69</v>
      </c>
      <c r="AB56" s="166" t="s">
        <v>372</v>
      </c>
    </row>
    <row r="57" spans="1:28" x14ac:dyDescent="0.15">
      <c r="A57" s="166" t="s">
        <v>51</v>
      </c>
      <c r="B57" s="166" t="s">
        <v>157</v>
      </c>
      <c r="C57" s="166">
        <v>2019</v>
      </c>
      <c r="D57" s="174" t="s">
        <v>369</v>
      </c>
      <c r="E57" s="166" t="s">
        <v>346</v>
      </c>
      <c r="F57" s="166" t="s">
        <v>371</v>
      </c>
      <c r="G57" s="166" t="s">
        <v>36</v>
      </c>
      <c r="H57" s="166" t="s">
        <v>160</v>
      </c>
      <c r="I57" s="166" t="s">
        <v>159</v>
      </c>
      <c r="J57" s="166" t="s">
        <v>38</v>
      </c>
      <c r="K57" s="166" t="s">
        <v>161</v>
      </c>
      <c r="L57" s="166">
        <v>2</v>
      </c>
      <c r="N57" s="166">
        <v>1</v>
      </c>
      <c r="O57" s="166">
        <v>0.7</v>
      </c>
      <c r="P57" s="166">
        <v>0.7</v>
      </c>
      <c r="Q57" s="175">
        <f t="shared" si="0"/>
        <v>0.7</v>
      </c>
      <c r="R57" s="166">
        <v>15.4</v>
      </c>
      <c r="S57" s="166">
        <v>118</v>
      </c>
      <c r="T57" s="176">
        <f t="shared" si="1"/>
        <v>30</v>
      </c>
      <c r="U57" s="166">
        <v>128</v>
      </c>
      <c r="V57" s="177">
        <f t="shared" si="2"/>
        <v>3840</v>
      </c>
      <c r="W57" s="166">
        <v>4</v>
      </c>
      <c r="X57" s="166" t="s">
        <v>46</v>
      </c>
      <c r="Y57" s="166" t="s">
        <v>86</v>
      </c>
      <c r="Z57" s="166" t="s">
        <v>88</v>
      </c>
      <c r="AA57" s="166" t="s">
        <v>69</v>
      </c>
      <c r="AB57" s="166" t="s">
        <v>372</v>
      </c>
    </row>
    <row r="58" spans="1:28" x14ac:dyDescent="0.15">
      <c r="A58" s="166" t="s">
        <v>51</v>
      </c>
      <c r="B58" s="166" t="s">
        <v>157</v>
      </c>
      <c r="C58" s="166">
        <v>2019</v>
      </c>
      <c r="D58" s="174" t="s">
        <v>369</v>
      </c>
      <c r="E58" s="166" t="s">
        <v>346</v>
      </c>
      <c r="F58" s="166" t="s">
        <v>371</v>
      </c>
      <c r="G58" s="166" t="s">
        <v>36</v>
      </c>
      <c r="H58" s="166" t="s">
        <v>160</v>
      </c>
      <c r="I58" s="166" t="s">
        <v>159</v>
      </c>
      <c r="J58" s="166" t="s">
        <v>38</v>
      </c>
      <c r="K58" s="166" t="s">
        <v>161</v>
      </c>
      <c r="L58" s="166">
        <v>3</v>
      </c>
      <c r="N58" s="166">
        <v>1</v>
      </c>
      <c r="O58" s="166">
        <v>0.65</v>
      </c>
      <c r="P58" s="166">
        <v>0.65</v>
      </c>
      <c r="Q58" s="175">
        <f t="shared" si="0"/>
        <v>0.65</v>
      </c>
      <c r="R58" s="166">
        <v>17.5</v>
      </c>
      <c r="S58" s="166">
        <v>118</v>
      </c>
      <c r="T58" s="176">
        <f t="shared" si="1"/>
        <v>30</v>
      </c>
      <c r="U58" s="166">
        <v>128</v>
      </c>
      <c r="V58" s="177">
        <f t="shared" si="2"/>
        <v>3840</v>
      </c>
      <c r="W58" s="166">
        <v>4</v>
      </c>
      <c r="X58" s="166" t="s">
        <v>46</v>
      </c>
      <c r="Y58" s="166" t="s">
        <v>86</v>
      </c>
      <c r="Z58" s="166" t="s">
        <v>88</v>
      </c>
      <c r="AA58" s="166" t="s">
        <v>69</v>
      </c>
      <c r="AB58" s="166" t="s">
        <v>372</v>
      </c>
    </row>
    <row r="59" spans="1:28" x14ac:dyDescent="0.15">
      <c r="A59" s="166" t="s">
        <v>51</v>
      </c>
      <c r="B59" s="166" t="s">
        <v>157</v>
      </c>
      <c r="C59" s="166">
        <v>2019</v>
      </c>
      <c r="D59" s="174" t="s">
        <v>369</v>
      </c>
      <c r="E59" s="166" t="s">
        <v>381</v>
      </c>
      <c r="F59" s="166" t="s">
        <v>382</v>
      </c>
      <c r="G59" s="166" t="s">
        <v>36</v>
      </c>
      <c r="H59" s="166" t="s">
        <v>164</v>
      </c>
      <c r="I59" s="166" t="s">
        <v>159</v>
      </c>
      <c r="J59" s="166" t="s">
        <v>38</v>
      </c>
      <c r="K59" s="166" t="s">
        <v>161</v>
      </c>
      <c r="L59" s="166">
        <v>1</v>
      </c>
      <c r="N59" s="166">
        <v>1</v>
      </c>
      <c r="O59" s="166">
        <v>0.7</v>
      </c>
      <c r="P59" s="166">
        <v>0.8</v>
      </c>
      <c r="Q59" s="175">
        <f t="shared" si="0"/>
        <v>0.75</v>
      </c>
      <c r="R59" s="166">
        <v>16.3</v>
      </c>
      <c r="S59" s="166">
        <v>144</v>
      </c>
      <c r="T59" s="176">
        <f t="shared" si="1"/>
        <v>22</v>
      </c>
      <c r="U59" s="166">
        <v>98</v>
      </c>
      <c r="V59" s="177">
        <f t="shared" si="2"/>
        <v>2156</v>
      </c>
      <c r="W59" s="166">
        <v>12</v>
      </c>
      <c r="X59" s="166" t="s">
        <v>46</v>
      </c>
      <c r="Y59" s="166" t="s">
        <v>97</v>
      </c>
      <c r="Z59" s="166" t="s">
        <v>55</v>
      </c>
      <c r="AA59" s="166" t="s">
        <v>69</v>
      </c>
      <c r="AB59" s="166" t="s">
        <v>372</v>
      </c>
    </row>
    <row r="60" spans="1:28" x14ac:dyDescent="0.15">
      <c r="A60" s="166" t="s">
        <v>51</v>
      </c>
      <c r="B60" s="166" t="s">
        <v>157</v>
      </c>
      <c r="C60" s="166">
        <v>2019</v>
      </c>
      <c r="D60" s="174" t="s">
        <v>369</v>
      </c>
      <c r="E60" s="166" t="s">
        <v>381</v>
      </c>
      <c r="F60" s="166" t="s">
        <v>382</v>
      </c>
      <c r="G60" s="166" t="s">
        <v>36</v>
      </c>
      <c r="H60" s="166" t="s">
        <v>164</v>
      </c>
      <c r="I60" s="166" t="s">
        <v>159</v>
      </c>
      <c r="J60" s="166" t="s">
        <v>38</v>
      </c>
      <c r="K60" s="166" t="s">
        <v>161</v>
      </c>
      <c r="L60" s="166">
        <v>2</v>
      </c>
      <c r="N60" s="166">
        <v>1</v>
      </c>
      <c r="O60" s="166">
        <v>0.7</v>
      </c>
      <c r="P60" s="166">
        <v>0.7</v>
      </c>
      <c r="Q60" s="175">
        <f t="shared" si="0"/>
        <v>0.7</v>
      </c>
      <c r="R60" s="166">
        <v>15.9</v>
      </c>
      <c r="S60" s="166">
        <v>142</v>
      </c>
      <c r="T60" s="176">
        <f t="shared" si="1"/>
        <v>22</v>
      </c>
      <c r="U60" s="166">
        <v>98</v>
      </c>
      <c r="V60" s="177">
        <f t="shared" si="2"/>
        <v>2156</v>
      </c>
      <c r="W60" s="166">
        <v>12</v>
      </c>
      <c r="X60" s="166" t="s">
        <v>46</v>
      </c>
      <c r="Y60" s="166" t="s">
        <v>97</v>
      </c>
      <c r="Z60" s="166" t="s">
        <v>55</v>
      </c>
      <c r="AA60" s="166" t="s">
        <v>69</v>
      </c>
      <c r="AB60" s="166" t="s">
        <v>372</v>
      </c>
    </row>
    <row r="61" spans="1:28" x14ac:dyDescent="0.15">
      <c r="A61" s="166" t="s">
        <v>51</v>
      </c>
      <c r="B61" s="166" t="s">
        <v>157</v>
      </c>
      <c r="C61" s="166">
        <v>2019</v>
      </c>
      <c r="D61" s="174" t="s">
        <v>369</v>
      </c>
      <c r="E61" s="166" t="s">
        <v>381</v>
      </c>
      <c r="F61" s="166" t="s">
        <v>382</v>
      </c>
      <c r="G61" s="166" t="s">
        <v>36</v>
      </c>
      <c r="H61" s="166" t="s">
        <v>164</v>
      </c>
      <c r="I61" s="166" t="s">
        <v>159</v>
      </c>
      <c r="J61" s="166" t="s">
        <v>38</v>
      </c>
      <c r="K61" s="166" t="s">
        <v>161</v>
      </c>
      <c r="L61" s="166">
        <v>3</v>
      </c>
      <c r="N61" s="166">
        <v>1</v>
      </c>
      <c r="O61" s="166">
        <v>0.75</v>
      </c>
      <c r="P61" s="166">
        <v>0.65</v>
      </c>
      <c r="Q61" s="175">
        <f t="shared" si="0"/>
        <v>0.7</v>
      </c>
      <c r="R61" s="166">
        <v>16.600000000000001</v>
      </c>
      <c r="S61" s="166">
        <v>150</v>
      </c>
      <c r="T61" s="176">
        <f t="shared" si="1"/>
        <v>22</v>
      </c>
      <c r="U61" s="166">
        <v>98</v>
      </c>
      <c r="V61" s="177">
        <f t="shared" si="2"/>
        <v>2156</v>
      </c>
      <c r="W61" s="166">
        <v>12</v>
      </c>
      <c r="X61" s="166" t="s">
        <v>46</v>
      </c>
      <c r="Y61" s="166" t="s">
        <v>97</v>
      </c>
      <c r="Z61" s="166" t="s">
        <v>55</v>
      </c>
      <c r="AA61" s="166" t="s">
        <v>69</v>
      </c>
      <c r="AB61" s="166" t="s">
        <v>372</v>
      </c>
    </row>
    <row r="62" spans="1:28" x14ac:dyDescent="0.15">
      <c r="A62" s="166" t="s">
        <v>51</v>
      </c>
      <c r="B62" s="166" t="s">
        <v>157</v>
      </c>
      <c r="C62" s="166">
        <v>2019</v>
      </c>
      <c r="D62" s="174" t="s">
        <v>369</v>
      </c>
      <c r="E62" s="166" t="s">
        <v>381</v>
      </c>
      <c r="F62" s="166" t="s">
        <v>382</v>
      </c>
      <c r="G62" s="166" t="s">
        <v>36</v>
      </c>
      <c r="H62" s="166" t="s">
        <v>160</v>
      </c>
      <c r="I62" s="166" t="s">
        <v>159</v>
      </c>
      <c r="J62" s="166" t="s">
        <v>38</v>
      </c>
      <c r="K62" s="166" t="s">
        <v>161</v>
      </c>
      <c r="L62" s="166">
        <v>1</v>
      </c>
      <c r="N62" s="166">
        <v>1</v>
      </c>
      <c r="O62" s="166">
        <v>0.75</v>
      </c>
      <c r="P62" s="166">
        <v>0.8</v>
      </c>
      <c r="Q62" s="175">
        <f t="shared" si="0"/>
        <v>0.77500000000000002</v>
      </c>
      <c r="R62" s="166">
        <v>16.8</v>
      </c>
      <c r="S62" s="166">
        <v>134</v>
      </c>
      <c r="T62" s="176">
        <f t="shared" si="1"/>
        <v>25</v>
      </c>
      <c r="U62" s="166">
        <v>98</v>
      </c>
      <c r="V62" s="177">
        <f t="shared" si="2"/>
        <v>2450</v>
      </c>
      <c r="W62" s="166">
        <v>12</v>
      </c>
      <c r="X62" s="166" t="s">
        <v>46</v>
      </c>
      <c r="Y62" s="166" t="s">
        <v>97</v>
      </c>
      <c r="Z62" s="166" t="s">
        <v>55</v>
      </c>
      <c r="AA62" s="166" t="s">
        <v>69</v>
      </c>
      <c r="AB62" s="166" t="s">
        <v>372</v>
      </c>
    </row>
    <row r="63" spans="1:28" x14ac:dyDescent="0.15">
      <c r="A63" s="166" t="s">
        <v>51</v>
      </c>
      <c r="B63" s="166" t="s">
        <v>157</v>
      </c>
      <c r="C63" s="166">
        <v>2019</v>
      </c>
      <c r="D63" s="174" t="s">
        <v>369</v>
      </c>
      <c r="E63" s="166" t="s">
        <v>381</v>
      </c>
      <c r="F63" s="166" t="s">
        <v>382</v>
      </c>
      <c r="G63" s="166" t="s">
        <v>36</v>
      </c>
      <c r="H63" s="166" t="s">
        <v>160</v>
      </c>
      <c r="I63" s="166" t="s">
        <v>159</v>
      </c>
      <c r="J63" s="166" t="s">
        <v>38</v>
      </c>
      <c r="K63" s="166" t="s">
        <v>161</v>
      </c>
      <c r="L63" s="166">
        <v>2</v>
      </c>
      <c r="N63" s="166">
        <v>1</v>
      </c>
      <c r="O63" s="166">
        <v>0.8</v>
      </c>
      <c r="P63" s="166">
        <v>0.7</v>
      </c>
      <c r="Q63" s="175">
        <f t="shared" si="0"/>
        <v>0.75</v>
      </c>
      <c r="R63" s="166">
        <v>16.5</v>
      </c>
      <c r="S63" s="166">
        <v>132</v>
      </c>
      <c r="T63" s="176">
        <f t="shared" si="1"/>
        <v>25</v>
      </c>
      <c r="U63" s="166">
        <v>98</v>
      </c>
      <c r="V63" s="177">
        <f t="shared" si="2"/>
        <v>2450</v>
      </c>
      <c r="W63" s="166">
        <v>12</v>
      </c>
      <c r="X63" s="166" t="s">
        <v>46</v>
      </c>
      <c r="Y63" s="166" t="s">
        <v>97</v>
      </c>
      <c r="Z63" s="166" t="s">
        <v>55</v>
      </c>
      <c r="AA63" s="166" t="s">
        <v>69</v>
      </c>
      <c r="AB63" s="166" t="s">
        <v>372</v>
      </c>
    </row>
    <row r="64" spans="1:28" x14ac:dyDescent="0.15">
      <c r="A64" s="166" t="s">
        <v>51</v>
      </c>
      <c r="B64" s="166" t="s">
        <v>157</v>
      </c>
      <c r="C64" s="166">
        <v>2019</v>
      </c>
      <c r="D64" s="174" t="s">
        <v>369</v>
      </c>
      <c r="E64" s="166" t="s">
        <v>381</v>
      </c>
      <c r="F64" s="166" t="s">
        <v>382</v>
      </c>
      <c r="G64" s="166" t="s">
        <v>36</v>
      </c>
      <c r="H64" s="166" t="s">
        <v>160</v>
      </c>
      <c r="I64" s="166" t="s">
        <v>159</v>
      </c>
      <c r="J64" s="166" t="s">
        <v>38</v>
      </c>
      <c r="K64" s="166" t="s">
        <v>161</v>
      </c>
      <c r="L64" s="166">
        <v>3</v>
      </c>
      <c r="N64" s="166">
        <v>1</v>
      </c>
      <c r="O64" s="166">
        <v>0.75</v>
      </c>
      <c r="P64" s="166">
        <v>0.75</v>
      </c>
      <c r="Q64" s="175">
        <f t="shared" si="0"/>
        <v>0.75</v>
      </c>
      <c r="R64" s="166">
        <v>14.7</v>
      </c>
      <c r="S64" s="166">
        <v>130</v>
      </c>
      <c r="T64" s="176">
        <f t="shared" si="1"/>
        <v>25</v>
      </c>
      <c r="U64" s="166">
        <v>98</v>
      </c>
      <c r="V64" s="177">
        <f t="shared" si="2"/>
        <v>2450</v>
      </c>
      <c r="W64" s="166">
        <v>12</v>
      </c>
      <c r="X64" s="166" t="s">
        <v>46</v>
      </c>
      <c r="Y64" s="166" t="s">
        <v>97</v>
      </c>
      <c r="Z64" s="166" t="s">
        <v>55</v>
      </c>
      <c r="AA64" s="166" t="s">
        <v>69</v>
      </c>
      <c r="AB64" s="166" t="s">
        <v>372</v>
      </c>
    </row>
    <row r="65" spans="1:28" x14ac:dyDescent="0.15">
      <c r="A65" s="166" t="s">
        <v>51</v>
      </c>
      <c r="B65" s="166" t="s">
        <v>157</v>
      </c>
      <c r="C65" s="166">
        <v>2019</v>
      </c>
      <c r="D65" s="174" t="s">
        <v>369</v>
      </c>
      <c r="E65" s="166" t="s">
        <v>383</v>
      </c>
      <c r="F65" s="166" t="s">
        <v>371</v>
      </c>
      <c r="G65" s="166" t="s">
        <v>42</v>
      </c>
      <c r="H65" s="166" t="s">
        <v>164</v>
      </c>
      <c r="I65" s="166" t="s">
        <v>159</v>
      </c>
      <c r="J65" s="166" t="s">
        <v>38</v>
      </c>
      <c r="K65" s="166" t="s">
        <v>161</v>
      </c>
      <c r="L65" s="166">
        <v>1</v>
      </c>
      <c r="N65" s="166">
        <v>1</v>
      </c>
      <c r="O65" s="166">
        <v>0.75</v>
      </c>
      <c r="P65" s="166">
        <v>0.75</v>
      </c>
      <c r="Q65" s="176">
        <f t="shared" si="0"/>
        <v>0.75</v>
      </c>
      <c r="R65" s="166">
        <v>16.2</v>
      </c>
      <c r="S65" s="166">
        <v>112</v>
      </c>
      <c r="T65" s="176">
        <f t="shared" si="1"/>
        <v>33</v>
      </c>
      <c r="U65" s="166">
        <v>78</v>
      </c>
      <c r="V65" s="176">
        <f t="shared" si="2"/>
        <v>2574</v>
      </c>
      <c r="W65" s="166">
        <v>6</v>
      </c>
      <c r="X65" s="166" t="s">
        <v>46</v>
      </c>
      <c r="Y65" s="166" t="s">
        <v>88</v>
      </c>
      <c r="Z65" s="166" t="s">
        <v>69</v>
      </c>
      <c r="AA65" s="166" t="s">
        <v>55</v>
      </c>
      <c r="AB65" s="166" t="s">
        <v>372</v>
      </c>
    </row>
    <row r="66" spans="1:28" x14ac:dyDescent="0.15">
      <c r="A66" s="166" t="s">
        <v>51</v>
      </c>
      <c r="B66" s="166" t="s">
        <v>157</v>
      </c>
      <c r="C66" s="166">
        <v>2019</v>
      </c>
      <c r="D66" s="174" t="s">
        <v>369</v>
      </c>
      <c r="E66" s="166" t="s">
        <v>383</v>
      </c>
      <c r="F66" s="166" t="s">
        <v>371</v>
      </c>
      <c r="G66" s="166" t="s">
        <v>42</v>
      </c>
      <c r="H66" s="166" t="s">
        <v>164</v>
      </c>
      <c r="I66" s="166" t="s">
        <v>159</v>
      </c>
      <c r="J66" s="166" t="s">
        <v>38</v>
      </c>
      <c r="K66" s="166" t="s">
        <v>161</v>
      </c>
      <c r="L66" s="166">
        <v>2</v>
      </c>
      <c r="N66" s="166">
        <v>1</v>
      </c>
      <c r="O66" s="166">
        <v>0.8</v>
      </c>
      <c r="P66" s="166">
        <v>0.75</v>
      </c>
      <c r="Q66" s="176">
        <f t="shared" ref="Q66:Q85" si="3">IF(OR(O66="",P66=""),"",AVERAGE(O66,P66))</f>
        <v>0.77500000000000002</v>
      </c>
      <c r="R66" s="166">
        <v>15.8</v>
      </c>
      <c r="S66" s="166">
        <v>110</v>
      </c>
      <c r="T66" s="176">
        <f t="shared" ref="T66:T85" si="4">IF(H66="","",IF(OR(H66="GREEN",H66="GK"),IF(S66&gt;=$AX$2,VLOOKUP(S66,$AX$2:$AY$12,2,1),""),IF(S66&gt;=$AZ$2,VLOOKUP(S66,$AZ$2:$BA$12,2,1),"")))</f>
        <v>33</v>
      </c>
      <c r="U66" s="166">
        <v>78</v>
      </c>
      <c r="V66" s="176">
        <f t="shared" ref="V66:V85" si="5">IF(OR(N66="",U66="",T66=""),"",U66/N66*T66)</f>
        <v>2574</v>
      </c>
      <c r="W66" s="166">
        <v>6</v>
      </c>
      <c r="X66" s="166" t="s">
        <v>46</v>
      </c>
      <c r="Y66" s="166" t="s">
        <v>88</v>
      </c>
      <c r="Z66" s="166" t="s">
        <v>69</v>
      </c>
      <c r="AA66" s="166" t="s">
        <v>55</v>
      </c>
      <c r="AB66" s="166" t="s">
        <v>372</v>
      </c>
    </row>
    <row r="67" spans="1:28" x14ac:dyDescent="0.15">
      <c r="A67" s="166" t="s">
        <v>51</v>
      </c>
      <c r="B67" s="166" t="s">
        <v>157</v>
      </c>
      <c r="C67" s="166">
        <v>2019</v>
      </c>
      <c r="D67" s="174" t="s">
        <v>369</v>
      </c>
      <c r="E67" s="166" t="s">
        <v>383</v>
      </c>
      <c r="F67" s="166" t="s">
        <v>371</v>
      </c>
      <c r="G67" s="166" t="s">
        <v>42</v>
      </c>
      <c r="H67" s="166" t="s">
        <v>164</v>
      </c>
      <c r="I67" s="166" t="s">
        <v>159</v>
      </c>
      <c r="J67" s="166" t="s">
        <v>38</v>
      </c>
      <c r="K67" s="166" t="s">
        <v>161</v>
      </c>
      <c r="L67" s="166">
        <v>3</v>
      </c>
      <c r="N67" s="166">
        <v>1</v>
      </c>
      <c r="O67" s="166">
        <v>0.8</v>
      </c>
      <c r="P67" s="166">
        <v>0.85</v>
      </c>
      <c r="Q67" s="176">
        <f t="shared" si="3"/>
        <v>0.82499999999999996</v>
      </c>
      <c r="R67" s="166">
        <v>16.5</v>
      </c>
      <c r="S67" s="166">
        <v>116</v>
      </c>
      <c r="T67" s="176">
        <f t="shared" si="4"/>
        <v>30</v>
      </c>
      <c r="U67" s="166">
        <v>78</v>
      </c>
      <c r="V67" s="176">
        <f t="shared" si="5"/>
        <v>2340</v>
      </c>
      <c r="W67" s="166">
        <v>6</v>
      </c>
      <c r="X67" s="166" t="s">
        <v>46</v>
      </c>
      <c r="Y67" s="166" t="s">
        <v>88</v>
      </c>
      <c r="Z67" s="166" t="s">
        <v>69</v>
      </c>
      <c r="AA67" s="166" t="s">
        <v>55</v>
      </c>
      <c r="AB67" s="166" t="s">
        <v>372</v>
      </c>
    </row>
    <row r="68" spans="1:28" x14ac:dyDescent="0.15">
      <c r="A68" s="166" t="s">
        <v>51</v>
      </c>
      <c r="B68" s="166" t="s">
        <v>157</v>
      </c>
      <c r="C68" s="166">
        <v>2019</v>
      </c>
      <c r="D68" s="174" t="s">
        <v>369</v>
      </c>
      <c r="E68" s="166" t="s">
        <v>383</v>
      </c>
      <c r="F68" s="166" t="s">
        <v>371</v>
      </c>
      <c r="G68" s="166" t="s">
        <v>42</v>
      </c>
      <c r="H68" s="166" t="s">
        <v>160</v>
      </c>
      <c r="I68" s="166" t="s">
        <v>159</v>
      </c>
      <c r="J68" s="166" t="s">
        <v>38</v>
      </c>
      <c r="K68" s="166" t="s">
        <v>161</v>
      </c>
      <c r="L68" s="166">
        <v>1</v>
      </c>
      <c r="N68" s="166">
        <v>1</v>
      </c>
      <c r="O68" s="166">
        <v>0.7</v>
      </c>
      <c r="P68" s="166">
        <v>0.75</v>
      </c>
      <c r="Q68" s="176">
        <f t="shared" si="3"/>
        <v>0.72499999999999998</v>
      </c>
      <c r="R68" s="166">
        <v>17.5</v>
      </c>
      <c r="S68" s="166">
        <v>126</v>
      </c>
      <c r="T68" s="176">
        <f t="shared" si="4"/>
        <v>27</v>
      </c>
      <c r="U68" s="166">
        <v>128</v>
      </c>
      <c r="V68" s="176">
        <f t="shared" si="5"/>
        <v>3456</v>
      </c>
      <c r="W68" s="166">
        <v>6</v>
      </c>
      <c r="X68" s="166" t="s">
        <v>46</v>
      </c>
      <c r="Y68" s="166" t="s">
        <v>88</v>
      </c>
      <c r="Z68" s="166" t="s">
        <v>69</v>
      </c>
      <c r="AA68" s="166" t="s">
        <v>55</v>
      </c>
      <c r="AB68" s="166" t="s">
        <v>372</v>
      </c>
    </row>
    <row r="69" spans="1:28" x14ac:dyDescent="0.15">
      <c r="A69" s="166" t="s">
        <v>51</v>
      </c>
      <c r="B69" s="166" t="s">
        <v>157</v>
      </c>
      <c r="C69" s="166">
        <v>2019</v>
      </c>
      <c r="D69" s="174" t="s">
        <v>369</v>
      </c>
      <c r="E69" s="166" t="s">
        <v>383</v>
      </c>
      <c r="F69" s="166" t="s">
        <v>371</v>
      </c>
      <c r="G69" s="166" t="s">
        <v>42</v>
      </c>
      <c r="H69" s="166" t="s">
        <v>160</v>
      </c>
      <c r="I69" s="166" t="s">
        <v>159</v>
      </c>
      <c r="J69" s="166" t="s">
        <v>38</v>
      </c>
      <c r="K69" s="166" t="s">
        <v>161</v>
      </c>
      <c r="L69" s="166">
        <v>2</v>
      </c>
      <c r="N69" s="166">
        <v>1</v>
      </c>
      <c r="O69" s="166">
        <v>0.8</v>
      </c>
      <c r="P69" s="166">
        <v>0.65</v>
      </c>
      <c r="Q69" s="176">
        <f t="shared" si="3"/>
        <v>0.72500000000000009</v>
      </c>
      <c r="R69" s="166">
        <v>18</v>
      </c>
      <c r="S69" s="166">
        <v>136</v>
      </c>
      <c r="T69" s="176">
        <f t="shared" si="4"/>
        <v>25</v>
      </c>
      <c r="U69" s="166">
        <v>128</v>
      </c>
      <c r="V69" s="176">
        <f t="shared" si="5"/>
        <v>3200</v>
      </c>
      <c r="W69" s="166">
        <v>6</v>
      </c>
      <c r="X69" s="166" t="s">
        <v>46</v>
      </c>
      <c r="Y69" s="166" t="s">
        <v>88</v>
      </c>
      <c r="Z69" s="166" t="s">
        <v>69</v>
      </c>
      <c r="AA69" s="166" t="s">
        <v>55</v>
      </c>
      <c r="AB69" s="166" t="s">
        <v>372</v>
      </c>
    </row>
    <row r="70" spans="1:28" x14ac:dyDescent="0.15">
      <c r="A70" s="166" t="s">
        <v>51</v>
      </c>
      <c r="B70" s="166" t="s">
        <v>157</v>
      </c>
      <c r="C70" s="166">
        <v>2019</v>
      </c>
      <c r="D70" s="174" t="s">
        <v>369</v>
      </c>
      <c r="E70" s="166" t="s">
        <v>383</v>
      </c>
      <c r="F70" s="166" t="s">
        <v>371</v>
      </c>
      <c r="G70" s="166" t="s">
        <v>42</v>
      </c>
      <c r="H70" s="166" t="s">
        <v>160</v>
      </c>
      <c r="I70" s="166" t="s">
        <v>159</v>
      </c>
      <c r="J70" s="166" t="s">
        <v>38</v>
      </c>
      <c r="K70" s="166" t="s">
        <v>161</v>
      </c>
      <c r="L70" s="166">
        <v>3</v>
      </c>
      <c r="N70" s="166">
        <v>1</v>
      </c>
      <c r="O70" s="166">
        <v>0.7</v>
      </c>
      <c r="P70" s="166">
        <v>0.7</v>
      </c>
      <c r="Q70" s="176">
        <f t="shared" si="3"/>
        <v>0.7</v>
      </c>
      <c r="R70" s="166">
        <v>17.8</v>
      </c>
      <c r="S70" s="166">
        <v>132</v>
      </c>
      <c r="T70" s="176">
        <f t="shared" si="4"/>
        <v>25</v>
      </c>
      <c r="U70" s="166">
        <v>128</v>
      </c>
      <c r="V70" s="176">
        <f t="shared" si="5"/>
        <v>3200</v>
      </c>
      <c r="W70" s="166">
        <v>6</v>
      </c>
      <c r="X70" s="166" t="s">
        <v>46</v>
      </c>
      <c r="Y70" s="166" t="s">
        <v>88</v>
      </c>
      <c r="Z70" s="166" t="s">
        <v>69</v>
      </c>
      <c r="AA70" s="166" t="s">
        <v>55</v>
      </c>
      <c r="AB70" s="166" t="s">
        <v>372</v>
      </c>
    </row>
    <row r="71" spans="1:28" x14ac:dyDescent="0.15">
      <c r="D71" s="174"/>
      <c r="Q71" s="176" t="str">
        <f t="shared" si="3"/>
        <v/>
      </c>
      <c r="T71" s="176" t="str">
        <f t="shared" si="4"/>
        <v/>
      </c>
      <c r="V71" s="176" t="str">
        <f t="shared" si="5"/>
        <v/>
      </c>
    </row>
    <row r="72" spans="1:28" x14ac:dyDescent="0.15">
      <c r="D72" s="174"/>
      <c r="Q72" s="176" t="str">
        <f t="shared" si="3"/>
        <v/>
      </c>
      <c r="T72" s="176" t="str">
        <f t="shared" si="4"/>
        <v/>
      </c>
      <c r="V72" s="176" t="str">
        <f t="shared" si="5"/>
        <v/>
      </c>
    </row>
    <row r="73" spans="1:28" x14ac:dyDescent="0.15">
      <c r="D73" s="174"/>
      <c r="Q73" s="176" t="str">
        <f t="shared" si="3"/>
        <v/>
      </c>
      <c r="T73" s="176" t="str">
        <f t="shared" si="4"/>
        <v/>
      </c>
      <c r="V73" s="176" t="str">
        <f t="shared" si="5"/>
        <v/>
      </c>
    </row>
    <row r="74" spans="1:28" x14ac:dyDescent="0.15">
      <c r="D74" s="174"/>
      <c r="Q74" s="176" t="str">
        <f t="shared" si="3"/>
        <v/>
      </c>
      <c r="T74" s="176" t="str">
        <f t="shared" si="4"/>
        <v/>
      </c>
      <c r="V74" s="176" t="str">
        <f t="shared" si="5"/>
        <v/>
      </c>
    </row>
    <row r="75" spans="1:28" x14ac:dyDescent="0.15">
      <c r="D75" s="174"/>
      <c r="Q75" s="176" t="str">
        <f t="shared" si="3"/>
        <v/>
      </c>
      <c r="T75" s="176" t="str">
        <f t="shared" si="4"/>
        <v/>
      </c>
      <c r="V75" s="176" t="str">
        <f t="shared" si="5"/>
        <v/>
      </c>
    </row>
    <row r="76" spans="1:28" x14ac:dyDescent="0.15">
      <c r="D76" s="174"/>
      <c r="Q76" s="176" t="str">
        <f t="shared" si="3"/>
        <v/>
      </c>
      <c r="T76" s="176" t="str">
        <f t="shared" si="4"/>
        <v/>
      </c>
      <c r="V76" s="176" t="str">
        <f t="shared" si="5"/>
        <v/>
      </c>
    </row>
    <row r="77" spans="1:28" x14ac:dyDescent="0.15">
      <c r="D77" s="174"/>
      <c r="Q77" s="176" t="str">
        <f t="shared" si="3"/>
        <v/>
      </c>
      <c r="T77" s="176" t="str">
        <f t="shared" si="4"/>
        <v/>
      </c>
      <c r="V77" s="176" t="str">
        <f t="shared" si="5"/>
        <v/>
      </c>
    </row>
    <row r="78" spans="1:28" x14ac:dyDescent="0.15">
      <c r="D78" s="174"/>
      <c r="Q78" s="176" t="str">
        <f t="shared" si="3"/>
        <v/>
      </c>
      <c r="T78" s="176" t="str">
        <f t="shared" si="4"/>
        <v/>
      </c>
      <c r="V78" s="176" t="str">
        <f t="shared" si="5"/>
        <v/>
      </c>
    </row>
    <row r="79" spans="1:28" x14ac:dyDescent="0.15">
      <c r="D79" s="174"/>
      <c r="Q79" s="176" t="str">
        <f t="shared" si="3"/>
        <v/>
      </c>
      <c r="T79" s="176" t="str">
        <f t="shared" si="4"/>
        <v/>
      </c>
      <c r="V79" s="176" t="str">
        <f t="shared" si="5"/>
        <v/>
      </c>
    </row>
    <row r="80" spans="1:28" x14ac:dyDescent="0.15">
      <c r="D80" s="195"/>
      <c r="Q80" s="176" t="str">
        <f t="shared" si="3"/>
        <v/>
      </c>
      <c r="T80" s="176" t="str">
        <f t="shared" si="4"/>
        <v/>
      </c>
      <c r="V80" s="176" t="str">
        <f t="shared" si="5"/>
        <v/>
      </c>
    </row>
    <row r="81" spans="4:22" x14ac:dyDescent="0.15">
      <c r="D81" s="195"/>
      <c r="Q81" s="176" t="str">
        <f t="shared" si="3"/>
        <v/>
      </c>
      <c r="T81" s="176" t="str">
        <f t="shared" si="4"/>
        <v/>
      </c>
      <c r="V81" s="176" t="str">
        <f t="shared" si="5"/>
        <v/>
      </c>
    </row>
    <row r="82" spans="4:22" x14ac:dyDescent="0.15">
      <c r="D82" s="195"/>
      <c r="Q82" s="176" t="str">
        <f t="shared" si="3"/>
        <v/>
      </c>
      <c r="T82" s="176" t="str">
        <f t="shared" si="4"/>
        <v/>
      </c>
      <c r="V82" s="176" t="str">
        <f t="shared" si="5"/>
        <v/>
      </c>
    </row>
    <row r="83" spans="4:22" x14ac:dyDescent="0.15">
      <c r="D83" s="195"/>
      <c r="Q83" s="176" t="str">
        <f t="shared" si="3"/>
        <v/>
      </c>
      <c r="T83" s="176" t="str">
        <f t="shared" si="4"/>
        <v/>
      </c>
      <c r="V83" s="176" t="str">
        <f t="shared" si="5"/>
        <v/>
      </c>
    </row>
    <row r="84" spans="4:22" x14ac:dyDescent="0.15">
      <c r="D84" s="195"/>
      <c r="Q84" s="176" t="str">
        <f t="shared" si="3"/>
        <v/>
      </c>
      <c r="T84" s="176" t="str">
        <f t="shared" si="4"/>
        <v/>
      </c>
      <c r="V84" s="176" t="str">
        <f t="shared" si="5"/>
        <v/>
      </c>
    </row>
    <row r="85" spans="4:22" x14ac:dyDescent="0.15">
      <c r="D85" s="195"/>
      <c r="Q85" s="176" t="str">
        <f t="shared" si="3"/>
        <v/>
      </c>
      <c r="T85" s="176" t="str">
        <f t="shared" si="4"/>
        <v/>
      </c>
      <c r="V85" s="176" t="str">
        <f t="shared" si="5"/>
        <v/>
      </c>
    </row>
    <row r="86" spans="4:22" x14ac:dyDescent="0.15">
      <c r="D86" s="195"/>
    </row>
    <row r="87" spans="4:22" x14ac:dyDescent="0.15">
      <c r="D87" s="195"/>
    </row>
    <row r="88" spans="4:22" x14ac:dyDescent="0.15">
      <c r="D88" s="195"/>
    </row>
    <row r="89" spans="4:22" x14ac:dyDescent="0.15">
      <c r="D89" s="195"/>
    </row>
    <row r="90" spans="4:22" x14ac:dyDescent="0.15">
      <c r="D90" s="195"/>
    </row>
    <row r="91" spans="4:22" x14ac:dyDescent="0.15">
      <c r="D91" s="195"/>
    </row>
  </sheetData>
  <autoFilter ref="A1:BA85" xr:uid="{00000000-0009-0000-0000-000000000000}"/>
  <phoneticPr fontId="3"/>
  <dataValidations count="15">
    <dataValidation type="decimal" allowBlank="1" showInputMessage="1" showErrorMessage="1" error="硬度を正しく入力して下さい。" sqref="O2:P500" xr:uid="{6BD229BF-1CC1-4DD1-B659-B33F33C88A8C}">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xr:uid="{215D9382-E399-450D-91F2-003310759871}">
      <formula1>$AV$2:$AV$20</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xr:uid="{AE92F389-9BA1-471F-9637-DFB1AF9E8AC1}">
      <formula1>$AT$2:$AT$3</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xr:uid="{B0441947-7007-4690-ADBF-D6E05376B572}">
      <formula1>$AL$4:$AL$12</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xr:uid="{06583585-B5FC-4B02-AA2F-52408D0FDB17}">
      <formula1>$AN$5:$AN$6</formula1>
    </dataValidation>
    <dataValidation type="list" allowBlank="1" showInputMessage="1" showErrorMessage="1" sqref="Y2:AA500" xr:uid="{5B884BB9-DCE8-4A3E-A77D-66603B0DB20D}">
      <formula1>$AV$2:$AV$21</formula1>
    </dataValidation>
    <dataValidation type="list" allowBlank="1" showInputMessage="1" showErrorMessage="1" sqref="J2:J500 J65538:J65615 J131074:J131151 J196610:J196687 J262146:J262223 J327682:J327759 J393218:J393295 J458754:J458831 J524290:J524367 J589826:J589903 J655362:J655439 J720898:J720975 J786434:J786511 J851970:J852047 J917506:J917583 J983042:J983119 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xr:uid="{7D8AB72E-84B7-49F8-8D83-4529C7CC7B1E}">
      <formula1>$AP$2:$AP$27</formula1>
    </dataValidation>
    <dataValidation type="list" allowBlank="1" showInputMessage="1" showErrorMessage="1" sqref="H2:H500" xr:uid="{8BFBBB1E-895E-4AA3-BF02-29DBDE0700B7}">
      <formula1>$AL$2:$AL$8</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xr:uid="{EE1AAE66-5FB9-4ED8-867E-E59624F9CACE}">
      <formula1>$AH$2:$AH$11</formula1>
    </dataValidation>
    <dataValidation type="list" allowBlank="1" showInputMessage="1" showErrorMessage="1" sqref="K2:K89" xr:uid="{603B488D-1733-44E6-95B3-4E6F1056763E}">
      <formula1>$AR$2:$AR$26</formula1>
    </dataValidation>
    <dataValidation type="list" allowBlank="1" showInputMessage="1" showErrorMessage="1" sqref="K90:K500 K65538:K65615 K131074:K131151 K196610:K196687 K262146:K262223 K327682:K327759 K393218:K393295 K458754:K458831 K524290:K524367 K589826:K589903 K655362:K655439 K720898:K720975 K786434:K786511 K851970:K852047 K917506:K917583 K983042:K983119 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xr:uid="{E62B7810-5B87-47E8-8C27-F40DBBD96299}">
      <formula1>$AR$2:$AR$25</formula1>
    </dataValidation>
    <dataValidation allowBlank="1" showInputMessage="1" showErrorMessage="1" sqref="B2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xr:uid="{1CB2A192-46DF-478C-B319-955A8258377E}"/>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xr:uid="{72A5E51F-0DE3-4FB6-AFC8-A624C1918E08}">
      <formula1>$AG$2:$AG$11</formula1>
    </dataValidation>
    <dataValidation type="list" allowBlank="1" showInputMessage="1" showErrorMessage="1" sqref="A2:A500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WVI983042:WVI983119" xr:uid="{1A00E5AF-DC4B-4245-B47D-15955D9D548F}">
      <formula1>$AE$2:$AE$19</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xr:uid="{E0A491A7-569C-4C16-8239-7F67A524A7C2}">
      <formula1>$AJ$2:$AJ$4</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AFE4B-D60B-45E8-88E9-15ACE5707CF6}">
  <sheetPr>
    <pageSetUpPr fitToPage="1"/>
  </sheetPr>
  <dimension ref="A1:BA114"/>
  <sheetViews>
    <sheetView topLeftCell="A19" zoomScale="70" zoomScaleNormal="70" workbookViewId="0">
      <selection activeCell="H43" sqref="H43"/>
    </sheetView>
  </sheetViews>
  <sheetFormatPr defaultRowHeight="13.5" x14ac:dyDescent="0.15"/>
  <cols>
    <col min="1" max="3" width="9" style="53" customWidth="1"/>
    <col min="4" max="4" width="10.375" style="53" customWidth="1"/>
    <col min="5" max="5" width="11.25" style="53" bestFit="1" customWidth="1"/>
    <col min="6" max="7" width="9" style="53"/>
    <col min="8" max="10" width="9" style="53" customWidth="1"/>
    <col min="11" max="11" width="11.375" style="53" customWidth="1"/>
    <col min="12" max="16" width="9" style="53" customWidth="1"/>
    <col min="17" max="17" width="9" style="16" customWidth="1"/>
    <col min="18" max="18" width="9" style="53"/>
    <col min="19" max="19" width="9.375" style="53" bestFit="1" customWidth="1"/>
    <col min="20" max="20" width="9" style="16" customWidth="1"/>
    <col min="21" max="21" width="9" style="53"/>
    <col min="22" max="22" width="9" style="16" customWidth="1"/>
    <col min="23" max="28" width="9" style="53"/>
    <col min="29" max="29" width="26.375" style="53" customWidth="1"/>
    <col min="30" max="32" width="9" style="53"/>
    <col min="33" max="33" width="15.75" style="53" bestFit="1" customWidth="1"/>
    <col min="34" max="34" width="15" style="53" bestFit="1" customWidth="1"/>
    <col min="35" max="256" width="9" style="53"/>
    <col min="257" max="259" width="9" style="53" customWidth="1"/>
    <col min="260" max="260" width="10.375" style="53" customWidth="1"/>
    <col min="261" max="261" width="11.25" style="53" bestFit="1" customWidth="1"/>
    <col min="262" max="263" width="9" style="53"/>
    <col min="264" max="273" width="9" style="53" customWidth="1"/>
    <col min="274" max="274" width="9" style="53"/>
    <col min="275" max="275" width="9.375" style="53" bestFit="1" customWidth="1"/>
    <col min="276" max="276" width="9" style="53" customWidth="1"/>
    <col min="277" max="277" width="9" style="53"/>
    <col min="278" max="278" width="9" style="53" customWidth="1"/>
    <col min="279" max="284" width="9" style="53"/>
    <col min="285" max="285" width="26.375" style="53" customWidth="1"/>
    <col min="286" max="288" width="9" style="53"/>
    <col min="289" max="289" width="14.75" style="53" bestFit="1" customWidth="1"/>
    <col min="290" max="512" width="9" style="53"/>
    <col min="513" max="515" width="9" style="53" customWidth="1"/>
    <col min="516" max="516" width="10.375" style="53" customWidth="1"/>
    <col min="517" max="517" width="11.25" style="53" bestFit="1" customWidth="1"/>
    <col min="518" max="519" width="9" style="53"/>
    <col min="520" max="529" width="9" style="53" customWidth="1"/>
    <col min="530" max="530" width="9" style="53"/>
    <col min="531" max="531" width="9.375" style="53" bestFit="1" customWidth="1"/>
    <col min="532" max="532" width="9" style="53" customWidth="1"/>
    <col min="533" max="533" width="9" style="53"/>
    <col min="534" max="534" width="9" style="53" customWidth="1"/>
    <col min="535" max="540" width="9" style="53"/>
    <col min="541" max="541" width="26.375" style="53" customWidth="1"/>
    <col min="542" max="544" width="9" style="53"/>
    <col min="545" max="545" width="14.75" style="53" bestFit="1" customWidth="1"/>
    <col min="546" max="768" width="9" style="53"/>
    <col min="769" max="771" width="9" style="53" customWidth="1"/>
    <col min="772" max="772" width="10.375" style="53" customWidth="1"/>
    <col min="773" max="773" width="11.25" style="53" bestFit="1" customWidth="1"/>
    <col min="774" max="775" width="9" style="53"/>
    <col min="776" max="785" width="9" style="53" customWidth="1"/>
    <col min="786" max="786" width="9" style="53"/>
    <col min="787" max="787" width="9.375" style="53" bestFit="1" customWidth="1"/>
    <col min="788" max="788" width="9" style="53" customWidth="1"/>
    <col min="789" max="789" width="9" style="53"/>
    <col min="790" max="790" width="9" style="53" customWidth="1"/>
    <col min="791" max="796" width="9" style="53"/>
    <col min="797" max="797" width="26.375" style="53" customWidth="1"/>
    <col min="798" max="800" width="9" style="53"/>
    <col min="801" max="801" width="14.75" style="53" bestFit="1" customWidth="1"/>
    <col min="802" max="1024" width="9" style="53"/>
    <col min="1025" max="1027" width="9" style="53" customWidth="1"/>
    <col min="1028" max="1028" width="10.375" style="53" customWidth="1"/>
    <col min="1029" max="1029" width="11.25" style="53" bestFit="1" customWidth="1"/>
    <col min="1030" max="1031" width="9" style="53"/>
    <col min="1032" max="1041" width="9" style="53" customWidth="1"/>
    <col min="1042" max="1042" width="9" style="53"/>
    <col min="1043" max="1043" width="9.375" style="53" bestFit="1" customWidth="1"/>
    <col min="1044" max="1044" width="9" style="53" customWidth="1"/>
    <col min="1045" max="1045" width="9" style="53"/>
    <col min="1046" max="1046" width="9" style="53" customWidth="1"/>
    <col min="1047" max="1052" width="9" style="53"/>
    <col min="1053" max="1053" width="26.375" style="53" customWidth="1"/>
    <col min="1054" max="1056" width="9" style="53"/>
    <col min="1057" max="1057" width="14.75" style="53" bestFit="1" customWidth="1"/>
    <col min="1058" max="1280" width="9" style="53"/>
    <col min="1281" max="1283" width="9" style="53" customWidth="1"/>
    <col min="1284" max="1284" width="10.375" style="53" customWidth="1"/>
    <col min="1285" max="1285" width="11.25" style="53" bestFit="1" customWidth="1"/>
    <col min="1286" max="1287" width="9" style="53"/>
    <col min="1288" max="1297" width="9" style="53" customWidth="1"/>
    <col min="1298" max="1298" width="9" style="53"/>
    <col min="1299" max="1299" width="9.375" style="53" bestFit="1" customWidth="1"/>
    <col min="1300" max="1300" width="9" style="53" customWidth="1"/>
    <col min="1301" max="1301" width="9" style="53"/>
    <col min="1302" max="1302" width="9" style="53" customWidth="1"/>
    <col min="1303" max="1308" width="9" style="53"/>
    <col min="1309" max="1309" width="26.375" style="53" customWidth="1"/>
    <col min="1310" max="1312" width="9" style="53"/>
    <col min="1313" max="1313" width="14.75" style="53" bestFit="1" customWidth="1"/>
    <col min="1314" max="1536" width="9" style="53"/>
    <col min="1537" max="1539" width="9" style="53" customWidth="1"/>
    <col min="1540" max="1540" width="10.375" style="53" customWidth="1"/>
    <col min="1541" max="1541" width="11.25" style="53" bestFit="1" customWidth="1"/>
    <col min="1542" max="1543" width="9" style="53"/>
    <col min="1544" max="1553" width="9" style="53" customWidth="1"/>
    <col min="1554" max="1554" width="9" style="53"/>
    <col min="1555" max="1555" width="9.375" style="53" bestFit="1" customWidth="1"/>
    <col min="1556" max="1556" width="9" style="53" customWidth="1"/>
    <col min="1557" max="1557" width="9" style="53"/>
    <col min="1558" max="1558" width="9" style="53" customWidth="1"/>
    <col min="1559" max="1564" width="9" style="53"/>
    <col min="1565" max="1565" width="26.375" style="53" customWidth="1"/>
    <col min="1566" max="1568" width="9" style="53"/>
    <col min="1569" max="1569" width="14.75" style="53" bestFit="1" customWidth="1"/>
    <col min="1570" max="1792" width="9" style="53"/>
    <col min="1793" max="1795" width="9" style="53" customWidth="1"/>
    <col min="1796" max="1796" width="10.375" style="53" customWidth="1"/>
    <col min="1797" max="1797" width="11.25" style="53" bestFit="1" customWidth="1"/>
    <col min="1798" max="1799" width="9" style="53"/>
    <col min="1800" max="1809" width="9" style="53" customWidth="1"/>
    <col min="1810" max="1810" width="9" style="53"/>
    <col min="1811" max="1811" width="9.375" style="53" bestFit="1" customWidth="1"/>
    <col min="1812" max="1812" width="9" style="53" customWidth="1"/>
    <col min="1813" max="1813" width="9" style="53"/>
    <col min="1814" max="1814" width="9" style="53" customWidth="1"/>
    <col min="1815" max="1820" width="9" style="53"/>
    <col min="1821" max="1821" width="26.375" style="53" customWidth="1"/>
    <col min="1822" max="1824" width="9" style="53"/>
    <col min="1825" max="1825" width="14.75" style="53" bestFit="1" customWidth="1"/>
    <col min="1826" max="2048" width="9" style="53"/>
    <col min="2049" max="2051" width="9" style="53" customWidth="1"/>
    <col min="2052" max="2052" width="10.375" style="53" customWidth="1"/>
    <col min="2053" max="2053" width="11.25" style="53" bestFit="1" customWidth="1"/>
    <col min="2054" max="2055" width="9" style="53"/>
    <col min="2056" max="2065" width="9" style="53" customWidth="1"/>
    <col min="2066" max="2066" width="9" style="53"/>
    <col min="2067" max="2067" width="9.375" style="53" bestFit="1" customWidth="1"/>
    <col min="2068" max="2068" width="9" style="53" customWidth="1"/>
    <col min="2069" max="2069" width="9" style="53"/>
    <col min="2070" max="2070" width="9" style="53" customWidth="1"/>
    <col min="2071" max="2076" width="9" style="53"/>
    <col min="2077" max="2077" width="26.375" style="53" customWidth="1"/>
    <col min="2078" max="2080" width="9" style="53"/>
    <col min="2081" max="2081" width="14.75" style="53" bestFit="1" customWidth="1"/>
    <col min="2082" max="2304" width="9" style="53"/>
    <col min="2305" max="2307" width="9" style="53" customWidth="1"/>
    <col min="2308" max="2308" width="10.375" style="53" customWidth="1"/>
    <col min="2309" max="2309" width="11.25" style="53" bestFit="1" customWidth="1"/>
    <col min="2310" max="2311" width="9" style="53"/>
    <col min="2312" max="2321" width="9" style="53" customWidth="1"/>
    <col min="2322" max="2322" width="9" style="53"/>
    <col min="2323" max="2323" width="9.375" style="53" bestFit="1" customWidth="1"/>
    <col min="2324" max="2324" width="9" style="53" customWidth="1"/>
    <col min="2325" max="2325" width="9" style="53"/>
    <col min="2326" max="2326" width="9" style="53" customWidth="1"/>
    <col min="2327" max="2332" width="9" style="53"/>
    <col min="2333" max="2333" width="26.375" style="53" customWidth="1"/>
    <col min="2334" max="2336" width="9" style="53"/>
    <col min="2337" max="2337" width="14.75" style="53" bestFit="1" customWidth="1"/>
    <col min="2338" max="2560" width="9" style="53"/>
    <col min="2561" max="2563" width="9" style="53" customWidth="1"/>
    <col min="2564" max="2564" width="10.375" style="53" customWidth="1"/>
    <col min="2565" max="2565" width="11.25" style="53" bestFit="1" customWidth="1"/>
    <col min="2566" max="2567" width="9" style="53"/>
    <col min="2568" max="2577" width="9" style="53" customWidth="1"/>
    <col min="2578" max="2578" width="9" style="53"/>
    <col min="2579" max="2579" width="9.375" style="53" bestFit="1" customWidth="1"/>
    <col min="2580" max="2580" width="9" style="53" customWidth="1"/>
    <col min="2581" max="2581" width="9" style="53"/>
    <col min="2582" max="2582" width="9" style="53" customWidth="1"/>
    <col min="2583" max="2588" width="9" style="53"/>
    <col min="2589" max="2589" width="26.375" style="53" customWidth="1"/>
    <col min="2590" max="2592" width="9" style="53"/>
    <col min="2593" max="2593" width="14.75" style="53" bestFit="1" customWidth="1"/>
    <col min="2594" max="2816" width="9" style="53"/>
    <col min="2817" max="2819" width="9" style="53" customWidth="1"/>
    <col min="2820" max="2820" width="10.375" style="53" customWidth="1"/>
    <col min="2821" max="2821" width="11.25" style="53" bestFit="1" customWidth="1"/>
    <col min="2822" max="2823" width="9" style="53"/>
    <col min="2824" max="2833" width="9" style="53" customWidth="1"/>
    <col min="2834" max="2834" width="9" style="53"/>
    <col min="2835" max="2835" width="9.375" style="53" bestFit="1" customWidth="1"/>
    <col min="2836" max="2836" width="9" style="53" customWidth="1"/>
    <col min="2837" max="2837" width="9" style="53"/>
    <col min="2838" max="2838" width="9" style="53" customWidth="1"/>
    <col min="2839" max="2844" width="9" style="53"/>
    <col min="2845" max="2845" width="26.375" style="53" customWidth="1"/>
    <col min="2846" max="2848" width="9" style="53"/>
    <col min="2849" max="2849" width="14.75" style="53" bestFit="1" customWidth="1"/>
    <col min="2850" max="3072" width="9" style="53"/>
    <col min="3073" max="3075" width="9" style="53" customWidth="1"/>
    <col min="3076" max="3076" width="10.375" style="53" customWidth="1"/>
    <col min="3077" max="3077" width="11.25" style="53" bestFit="1" customWidth="1"/>
    <col min="3078" max="3079" width="9" style="53"/>
    <col min="3080" max="3089" width="9" style="53" customWidth="1"/>
    <col min="3090" max="3090" width="9" style="53"/>
    <col min="3091" max="3091" width="9.375" style="53" bestFit="1" customWidth="1"/>
    <col min="3092" max="3092" width="9" style="53" customWidth="1"/>
    <col min="3093" max="3093" width="9" style="53"/>
    <col min="3094" max="3094" width="9" style="53" customWidth="1"/>
    <col min="3095" max="3100" width="9" style="53"/>
    <col min="3101" max="3101" width="26.375" style="53" customWidth="1"/>
    <col min="3102" max="3104" width="9" style="53"/>
    <col min="3105" max="3105" width="14.75" style="53" bestFit="1" customWidth="1"/>
    <col min="3106" max="3328" width="9" style="53"/>
    <col min="3329" max="3331" width="9" style="53" customWidth="1"/>
    <col min="3332" max="3332" width="10.375" style="53" customWidth="1"/>
    <col min="3333" max="3333" width="11.25" style="53" bestFit="1" customWidth="1"/>
    <col min="3334" max="3335" width="9" style="53"/>
    <col min="3336" max="3345" width="9" style="53" customWidth="1"/>
    <col min="3346" max="3346" width="9" style="53"/>
    <col min="3347" max="3347" width="9.375" style="53" bestFit="1" customWidth="1"/>
    <col min="3348" max="3348" width="9" style="53" customWidth="1"/>
    <col min="3349" max="3349" width="9" style="53"/>
    <col min="3350" max="3350" width="9" style="53" customWidth="1"/>
    <col min="3351" max="3356" width="9" style="53"/>
    <col min="3357" max="3357" width="26.375" style="53" customWidth="1"/>
    <col min="3358" max="3360" width="9" style="53"/>
    <col min="3361" max="3361" width="14.75" style="53" bestFit="1" customWidth="1"/>
    <col min="3362" max="3584" width="9" style="53"/>
    <col min="3585" max="3587" width="9" style="53" customWidth="1"/>
    <col min="3588" max="3588" width="10.375" style="53" customWidth="1"/>
    <col min="3589" max="3589" width="11.25" style="53" bestFit="1" customWidth="1"/>
    <col min="3590" max="3591" width="9" style="53"/>
    <col min="3592" max="3601" width="9" style="53" customWidth="1"/>
    <col min="3602" max="3602" width="9" style="53"/>
    <col min="3603" max="3603" width="9.375" style="53" bestFit="1" customWidth="1"/>
    <col min="3604" max="3604" width="9" style="53" customWidth="1"/>
    <col min="3605" max="3605" width="9" style="53"/>
    <col min="3606" max="3606" width="9" style="53" customWidth="1"/>
    <col min="3607" max="3612" width="9" style="53"/>
    <col min="3613" max="3613" width="26.375" style="53" customWidth="1"/>
    <col min="3614" max="3616" width="9" style="53"/>
    <col min="3617" max="3617" width="14.75" style="53" bestFit="1" customWidth="1"/>
    <col min="3618" max="3840" width="9" style="53"/>
    <col min="3841" max="3843" width="9" style="53" customWidth="1"/>
    <col min="3844" max="3844" width="10.375" style="53" customWidth="1"/>
    <col min="3845" max="3845" width="11.25" style="53" bestFit="1" customWidth="1"/>
    <col min="3846" max="3847" width="9" style="53"/>
    <col min="3848" max="3857" width="9" style="53" customWidth="1"/>
    <col min="3858" max="3858" width="9" style="53"/>
    <col min="3859" max="3859" width="9.375" style="53" bestFit="1" customWidth="1"/>
    <col min="3860" max="3860" width="9" style="53" customWidth="1"/>
    <col min="3861" max="3861" width="9" style="53"/>
    <col min="3862" max="3862" width="9" style="53" customWidth="1"/>
    <col min="3863" max="3868" width="9" style="53"/>
    <col min="3869" max="3869" width="26.375" style="53" customWidth="1"/>
    <col min="3870" max="3872" width="9" style="53"/>
    <col min="3873" max="3873" width="14.75" style="53" bestFit="1" customWidth="1"/>
    <col min="3874" max="4096" width="9" style="53"/>
    <col min="4097" max="4099" width="9" style="53" customWidth="1"/>
    <col min="4100" max="4100" width="10.375" style="53" customWidth="1"/>
    <col min="4101" max="4101" width="11.25" style="53" bestFit="1" customWidth="1"/>
    <col min="4102" max="4103" width="9" style="53"/>
    <col min="4104" max="4113" width="9" style="53" customWidth="1"/>
    <col min="4114" max="4114" width="9" style="53"/>
    <col min="4115" max="4115" width="9.375" style="53" bestFit="1" customWidth="1"/>
    <col min="4116" max="4116" width="9" style="53" customWidth="1"/>
    <col min="4117" max="4117" width="9" style="53"/>
    <col min="4118" max="4118" width="9" style="53" customWidth="1"/>
    <col min="4119" max="4124" width="9" style="53"/>
    <col min="4125" max="4125" width="26.375" style="53" customWidth="1"/>
    <col min="4126" max="4128" width="9" style="53"/>
    <col min="4129" max="4129" width="14.75" style="53" bestFit="1" customWidth="1"/>
    <col min="4130" max="4352" width="9" style="53"/>
    <col min="4353" max="4355" width="9" style="53" customWidth="1"/>
    <col min="4356" max="4356" width="10.375" style="53" customWidth="1"/>
    <col min="4357" max="4357" width="11.25" style="53" bestFit="1" customWidth="1"/>
    <col min="4358" max="4359" width="9" style="53"/>
    <col min="4360" max="4369" width="9" style="53" customWidth="1"/>
    <col min="4370" max="4370" width="9" style="53"/>
    <col min="4371" max="4371" width="9.375" style="53" bestFit="1" customWidth="1"/>
    <col min="4372" max="4372" width="9" style="53" customWidth="1"/>
    <col min="4373" max="4373" width="9" style="53"/>
    <col min="4374" max="4374" width="9" style="53" customWidth="1"/>
    <col min="4375" max="4380" width="9" style="53"/>
    <col min="4381" max="4381" width="26.375" style="53" customWidth="1"/>
    <col min="4382" max="4384" width="9" style="53"/>
    <col min="4385" max="4385" width="14.75" style="53" bestFit="1" customWidth="1"/>
    <col min="4386" max="4608" width="9" style="53"/>
    <col min="4609" max="4611" width="9" style="53" customWidth="1"/>
    <col min="4612" max="4612" width="10.375" style="53" customWidth="1"/>
    <col min="4613" max="4613" width="11.25" style="53" bestFit="1" customWidth="1"/>
    <col min="4614" max="4615" width="9" style="53"/>
    <col min="4616" max="4625" width="9" style="53" customWidth="1"/>
    <col min="4626" max="4626" width="9" style="53"/>
    <col min="4627" max="4627" width="9.375" style="53" bestFit="1" customWidth="1"/>
    <col min="4628" max="4628" width="9" style="53" customWidth="1"/>
    <col min="4629" max="4629" width="9" style="53"/>
    <col min="4630" max="4630" width="9" style="53" customWidth="1"/>
    <col min="4631" max="4636" width="9" style="53"/>
    <col min="4637" max="4637" width="26.375" style="53" customWidth="1"/>
    <col min="4638" max="4640" width="9" style="53"/>
    <col min="4641" max="4641" width="14.75" style="53" bestFit="1" customWidth="1"/>
    <col min="4642" max="4864" width="9" style="53"/>
    <col min="4865" max="4867" width="9" style="53" customWidth="1"/>
    <col min="4868" max="4868" width="10.375" style="53" customWidth="1"/>
    <col min="4869" max="4869" width="11.25" style="53" bestFit="1" customWidth="1"/>
    <col min="4870" max="4871" width="9" style="53"/>
    <col min="4872" max="4881" width="9" style="53" customWidth="1"/>
    <col min="4882" max="4882" width="9" style="53"/>
    <col min="4883" max="4883" width="9.375" style="53" bestFit="1" customWidth="1"/>
    <col min="4884" max="4884" width="9" style="53" customWidth="1"/>
    <col min="4885" max="4885" width="9" style="53"/>
    <col min="4886" max="4886" width="9" style="53" customWidth="1"/>
    <col min="4887" max="4892" width="9" style="53"/>
    <col min="4893" max="4893" width="26.375" style="53" customWidth="1"/>
    <col min="4894" max="4896" width="9" style="53"/>
    <col min="4897" max="4897" width="14.75" style="53" bestFit="1" customWidth="1"/>
    <col min="4898" max="5120" width="9" style="53"/>
    <col min="5121" max="5123" width="9" style="53" customWidth="1"/>
    <col min="5124" max="5124" width="10.375" style="53" customWidth="1"/>
    <col min="5125" max="5125" width="11.25" style="53" bestFit="1" customWidth="1"/>
    <col min="5126" max="5127" width="9" style="53"/>
    <col min="5128" max="5137" width="9" style="53" customWidth="1"/>
    <col min="5138" max="5138" width="9" style="53"/>
    <col min="5139" max="5139" width="9.375" style="53" bestFit="1" customWidth="1"/>
    <col min="5140" max="5140" width="9" style="53" customWidth="1"/>
    <col min="5141" max="5141" width="9" style="53"/>
    <col min="5142" max="5142" width="9" style="53" customWidth="1"/>
    <col min="5143" max="5148" width="9" style="53"/>
    <col min="5149" max="5149" width="26.375" style="53" customWidth="1"/>
    <col min="5150" max="5152" width="9" style="53"/>
    <col min="5153" max="5153" width="14.75" style="53" bestFit="1" customWidth="1"/>
    <col min="5154" max="5376" width="9" style="53"/>
    <col min="5377" max="5379" width="9" style="53" customWidth="1"/>
    <col min="5380" max="5380" width="10.375" style="53" customWidth="1"/>
    <col min="5381" max="5381" width="11.25" style="53" bestFit="1" customWidth="1"/>
    <col min="5382" max="5383" width="9" style="53"/>
    <col min="5384" max="5393" width="9" style="53" customWidth="1"/>
    <col min="5394" max="5394" width="9" style="53"/>
    <col min="5395" max="5395" width="9.375" style="53" bestFit="1" customWidth="1"/>
    <col min="5396" max="5396" width="9" style="53" customWidth="1"/>
    <col min="5397" max="5397" width="9" style="53"/>
    <col min="5398" max="5398" width="9" style="53" customWidth="1"/>
    <col min="5399" max="5404" width="9" style="53"/>
    <col min="5405" max="5405" width="26.375" style="53" customWidth="1"/>
    <col min="5406" max="5408" width="9" style="53"/>
    <col min="5409" max="5409" width="14.75" style="53" bestFit="1" customWidth="1"/>
    <col min="5410" max="5632" width="9" style="53"/>
    <col min="5633" max="5635" width="9" style="53" customWidth="1"/>
    <col min="5636" max="5636" width="10.375" style="53" customWidth="1"/>
    <col min="5637" max="5637" width="11.25" style="53" bestFit="1" customWidth="1"/>
    <col min="5638" max="5639" width="9" style="53"/>
    <col min="5640" max="5649" width="9" style="53" customWidth="1"/>
    <col min="5650" max="5650" width="9" style="53"/>
    <col min="5651" max="5651" width="9.375" style="53" bestFit="1" customWidth="1"/>
    <col min="5652" max="5652" width="9" style="53" customWidth="1"/>
    <col min="5653" max="5653" width="9" style="53"/>
    <col min="5654" max="5654" width="9" style="53" customWidth="1"/>
    <col min="5655" max="5660" width="9" style="53"/>
    <col min="5661" max="5661" width="26.375" style="53" customWidth="1"/>
    <col min="5662" max="5664" width="9" style="53"/>
    <col min="5665" max="5665" width="14.75" style="53" bestFit="1" customWidth="1"/>
    <col min="5666" max="5888" width="9" style="53"/>
    <col min="5889" max="5891" width="9" style="53" customWidth="1"/>
    <col min="5892" max="5892" width="10.375" style="53" customWidth="1"/>
    <col min="5893" max="5893" width="11.25" style="53" bestFit="1" customWidth="1"/>
    <col min="5894" max="5895" width="9" style="53"/>
    <col min="5896" max="5905" width="9" style="53" customWidth="1"/>
    <col min="5906" max="5906" width="9" style="53"/>
    <col min="5907" max="5907" width="9.375" style="53" bestFit="1" customWidth="1"/>
    <col min="5908" max="5908" width="9" style="53" customWidth="1"/>
    <col min="5909" max="5909" width="9" style="53"/>
    <col min="5910" max="5910" width="9" style="53" customWidth="1"/>
    <col min="5911" max="5916" width="9" style="53"/>
    <col min="5917" max="5917" width="26.375" style="53" customWidth="1"/>
    <col min="5918" max="5920" width="9" style="53"/>
    <col min="5921" max="5921" width="14.75" style="53" bestFit="1" customWidth="1"/>
    <col min="5922" max="6144" width="9" style="53"/>
    <col min="6145" max="6147" width="9" style="53" customWidth="1"/>
    <col min="6148" max="6148" width="10.375" style="53" customWidth="1"/>
    <col min="6149" max="6149" width="11.25" style="53" bestFit="1" customWidth="1"/>
    <col min="6150" max="6151" width="9" style="53"/>
    <col min="6152" max="6161" width="9" style="53" customWidth="1"/>
    <col min="6162" max="6162" width="9" style="53"/>
    <col min="6163" max="6163" width="9.375" style="53" bestFit="1" customWidth="1"/>
    <col min="6164" max="6164" width="9" style="53" customWidth="1"/>
    <col min="6165" max="6165" width="9" style="53"/>
    <col min="6166" max="6166" width="9" style="53" customWidth="1"/>
    <col min="6167" max="6172" width="9" style="53"/>
    <col min="6173" max="6173" width="26.375" style="53" customWidth="1"/>
    <col min="6174" max="6176" width="9" style="53"/>
    <col min="6177" max="6177" width="14.75" style="53" bestFit="1" customWidth="1"/>
    <col min="6178" max="6400" width="9" style="53"/>
    <col min="6401" max="6403" width="9" style="53" customWidth="1"/>
    <col min="6404" max="6404" width="10.375" style="53" customWidth="1"/>
    <col min="6405" max="6405" width="11.25" style="53" bestFit="1" customWidth="1"/>
    <col min="6406" max="6407" width="9" style="53"/>
    <col min="6408" max="6417" width="9" style="53" customWidth="1"/>
    <col min="6418" max="6418" width="9" style="53"/>
    <col min="6419" max="6419" width="9.375" style="53" bestFit="1" customWidth="1"/>
    <col min="6420" max="6420" width="9" style="53" customWidth="1"/>
    <col min="6421" max="6421" width="9" style="53"/>
    <col min="6422" max="6422" width="9" style="53" customWidth="1"/>
    <col min="6423" max="6428" width="9" style="53"/>
    <col min="6429" max="6429" width="26.375" style="53" customWidth="1"/>
    <col min="6430" max="6432" width="9" style="53"/>
    <col min="6433" max="6433" width="14.75" style="53" bestFit="1" customWidth="1"/>
    <col min="6434" max="6656" width="9" style="53"/>
    <col min="6657" max="6659" width="9" style="53" customWidth="1"/>
    <col min="6660" max="6660" width="10.375" style="53" customWidth="1"/>
    <col min="6661" max="6661" width="11.25" style="53" bestFit="1" customWidth="1"/>
    <col min="6662" max="6663" width="9" style="53"/>
    <col min="6664" max="6673" width="9" style="53" customWidth="1"/>
    <col min="6674" max="6674" width="9" style="53"/>
    <col min="6675" max="6675" width="9.375" style="53" bestFit="1" customWidth="1"/>
    <col min="6676" max="6676" width="9" style="53" customWidth="1"/>
    <col min="6677" max="6677" width="9" style="53"/>
    <col min="6678" max="6678" width="9" style="53" customWidth="1"/>
    <col min="6679" max="6684" width="9" style="53"/>
    <col min="6685" max="6685" width="26.375" style="53" customWidth="1"/>
    <col min="6686" max="6688" width="9" style="53"/>
    <col min="6689" max="6689" width="14.75" style="53" bestFit="1" customWidth="1"/>
    <col min="6690" max="6912" width="9" style="53"/>
    <col min="6913" max="6915" width="9" style="53" customWidth="1"/>
    <col min="6916" max="6916" width="10.375" style="53" customWidth="1"/>
    <col min="6917" max="6917" width="11.25" style="53" bestFit="1" customWidth="1"/>
    <col min="6918" max="6919" width="9" style="53"/>
    <col min="6920" max="6929" width="9" style="53" customWidth="1"/>
    <col min="6930" max="6930" width="9" style="53"/>
    <col min="6931" max="6931" width="9.375" style="53" bestFit="1" customWidth="1"/>
    <col min="6932" max="6932" width="9" style="53" customWidth="1"/>
    <col min="6933" max="6933" width="9" style="53"/>
    <col min="6934" max="6934" width="9" style="53" customWidth="1"/>
    <col min="6935" max="6940" width="9" style="53"/>
    <col min="6941" max="6941" width="26.375" style="53" customWidth="1"/>
    <col min="6942" max="6944" width="9" style="53"/>
    <col min="6945" max="6945" width="14.75" style="53" bestFit="1" customWidth="1"/>
    <col min="6946" max="7168" width="9" style="53"/>
    <col min="7169" max="7171" width="9" style="53" customWidth="1"/>
    <col min="7172" max="7172" width="10.375" style="53" customWidth="1"/>
    <col min="7173" max="7173" width="11.25" style="53" bestFit="1" customWidth="1"/>
    <col min="7174" max="7175" width="9" style="53"/>
    <col min="7176" max="7185" width="9" style="53" customWidth="1"/>
    <col min="7186" max="7186" width="9" style="53"/>
    <col min="7187" max="7187" width="9.375" style="53" bestFit="1" customWidth="1"/>
    <col min="7188" max="7188" width="9" style="53" customWidth="1"/>
    <col min="7189" max="7189" width="9" style="53"/>
    <col min="7190" max="7190" width="9" style="53" customWidth="1"/>
    <col min="7191" max="7196" width="9" style="53"/>
    <col min="7197" max="7197" width="26.375" style="53" customWidth="1"/>
    <col min="7198" max="7200" width="9" style="53"/>
    <col min="7201" max="7201" width="14.75" style="53" bestFit="1" customWidth="1"/>
    <col min="7202" max="7424" width="9" style="53"/>
    <col min="7425" max="7427" width="9" style="53" customWidth="1"/>
    <col min="7428" max="7428" width="10.375" style="53" customWidth="1"/>
    <col min="7429" max="7429" width="11.25" style="53" bestFit="1" customWidth="1"/>
    <col min="7430" max="7431" width="9" style="53"/>
    <col min="7432" max="7441" width="9" style="53" customWidth="1"/>
    <col min="7442" max="7442" width="9" style="53"/>
    <col min="7443" max="7443" width="9.375" style="53" bestFit="1" customWidth="1"/>
    <col min="7444" max="7444" width="9" style="53" customWidth="1"/>
    <col min="7445" max="7445" width="9" style="53"/>
    <col min="7446" max="7446" width="9" style="53" customWidth="1"/>
    <col min="7447" max="7452" width="9" style="53"/>
    <col min="7453" max="7453" width="26.375" style="53" customWidth="1"/>
    <col min="7454" max="7456" width="9" style="53"/>
    <col min="7457" max="7457" width="14.75" style="53" bestFit="1" customWidth="1"/>
    <col min="7458" max="7680" width="9" style="53"/>
    <col min="7681" max="7683" width="9" style="53" customWidth="1"/>
    <col min="7684" max="7684" width="10.375" style="53" customWidth="1"/>
    <col min="7685" max="7685" width="11.25" style="53" bestFit="1" customWidth="1"/>
    <col min="7686" max="7687" width="9" style="53"/>
    <col min="7688" max="7697" width="9" style="53" customWidth="1"/>
    <col min="7698" max="7698" width="9" style="53"/>
    <col min="7699" max="7699" width="9.375" style="53" bestFit="1" customWidth="1"/>
    <col min="7700" max="7700" width="9" style="53" customWidth="1"/>
    <col min="7701" max="7701" width="9" style="53"/>
    <col min="7702" max="7702" width="9" style="53" customWidth="1"/>
    <col min="7703" max="7708" width="9" style="53"/>
    <col min="7709" max="7709" width="26.375" style="53" customWidth="1"/>
    <col min="7710" max="7712" width="9" style="53"/>
    <col min="7713" max="7713" width="14.75" style="53" bestFit="1" customWidth="1"/>
    <col min="7714" max="7936" width="9" style="53"/>
    <col min="7937" max="7939" width="9" style="53" customWidth="1"/>
    <col min="7940" max="7940" width="10.375" style="53" customWidth="1"/>
    <col min="7941" max="7941" width="11.25" style="53" bestFit="1" customWidth="1"/>
    <col min="7942" max="7943" width="9" style="53"/>
    <col min="7944" max="7953" width="9" style="53" customWidth="1"/>
    <col min="7954" max="7954" width="9" style="53"/>
    <col min="7955" max="7955" width="9.375" style="53" bestFit="1" customWidth="1"/>
    <col min="7956" max="7956" width="9" style="53" customWidth="1"/>
    <col min="7957" max="7957" width="9" style="53"/>
    <col min="7958" max="7958" width="9" style="53" customWidth="1"/>
    <col min="7959" max="7964" width="9" style="53"/>
    <col min="7965" max="7965" width="26.375" style="53" customWidth="1"/>
    <col min="7966" max="7968" width="9" style="53"/>
    <col min="7969" max="7969" width="14.75" style="53" bestFit="1" customWidth="1"/>
    <col min="7970" max="8192" width="9" style="53"/>
    <col min="8193" max="8195" width="9" style="53" customWidth="1"/>
    <col min="8196" max="8196" width="10.375" style="53" customWidth="1"/>
    <col min="8197" max="8197" width="11.25" style="53" bestFit="1" customWidth="1"/>
    <col min="8198" max="8199" width="9" style="53"/>
    <col min="8200" max="8209" width="9" style="53" customWidth="1"/>
    <col min="8210" max="8210" width="9" style="53"/>
    <col min="8211" max="8211" width="9.375" style="53" bestFit="1" customWidth="1"/>
    <col min="8212" max="8212" width="9" style="53" customWidth="1"/>
    <col min="8213" max="8213" width="9" style="53"/>
    <col min="8214" max="8214" width="9" style="53" customWidth="1"/>
    <col min="8215" max="8220" width="9" style="53"/>
    <col min="8221" max="8221" width="26.375" style="53" customWidth="1"/>
    <col min="8222" max="8224" width="9" style="53"/>
    <col min="8225" max="8225" width="14.75" style="53" bestFit="1" customWidth="1"/>
    <col min="8226" max="8448" width="9" style="53"/>
    <col min="8449" max="8451" width="9" style="53" customWidth="1"/>
    <col min="8452" max="8452" width="10.375" style="53" customWidth="1"/>
    <col min="8453" max="8453" width="11.25" style="53" bestFit="1" customWidth="1"/>
    <col min="8454" max="8455" width="9" style="53"/>
    <col min="8456" max="8465" width="9" style="53" customWidth="1"/>
    <col min="8466" max="8466" width="9" style="53"/>
    <col min="8467" max="8467" width="9.375" style="53" bestFit="1" customWidth="1"/>
    <col min="8468" max="8468" width="9" style="53" customWidth="1"/>
    <col min="8469" max="8469" width="9" style="53"/>
    <col min="8470" max="8470" width="9" style="53" customWidth="1"/>
    <col min="8471" max="8476" width="9" style="53"/>
    <col min="8477" max="8477" width="26.375" style="53" customWidth="1"/>
    <col min="8478" max="8480" width="9" style="53"/>
    <col min="8481" max="8481" width="14.75" style="53" bestFit="1" customWidth="1"/>
    <col min="8482" max="8704" width="9" style="53"/>
    <col min="8705" max="8707" width="9" style="53" customWidth="1"/>
    <col min="8708" max="8708" width="10.375" style="53" customWidth="1"/>
    <col min="8709" max="8709" width="11.25" style="53" bestFit="1" customWidth="1"/>
    <col min="8710" max="8711" width="9" style="53"/>
    <col min="8712" max="8721" width="9" style="53" customWidth="1"/>
    <col min="8722" max="8722" width="9" style="53"/>
    <col min="8723" max="8723" width="9.375" style="53" bestFit="1" customWidth="1"/>
    <col min="8724" max="8724" width="9" style="53" customWidth="1"/>
    <col min="8725" max="8725" width="9" style="53"/>
    <col min="8726" max="8726" width="9" style="53" customWidth="1"/>
    <col min="8727" max="8732" width="9" style="53"/>
    <col min="8733" max="8733" width="26.375" style="53" customWidth="1"/>
    <col min="8734" max="8736" width="9" style="53"/>
    <col min="8737" max="8737" width="14.75" style="53" bestFit="1" customWidth="1"/>
    <col min="8738" max="8960" width="9" style="53"/>
    <col min="8961" max="8963" width="9" style="53" customWidth="1"/>
    <col min="8964" max="8964" width="10.375" style="53" customWidth="1"/>
    <col min="8965" max="8965" width="11.25" style="53" bestFit="1" customWidth="1"/>
    <col min="8966" max="8967" width="9" style="53"/>
    <col min="8968" max="8977" width="9" style="53" customWidth="1"/>
    <col min="8978" max="8978" width="9" style="53"/>
    <col min="8979" max="8979" width="9.375" style="53" bestFit="1" customWidth="1"/>
    <col min="8980" max="8980" width="9" style="53" customWidth="1"/>
    <col min="8981" max="8981" width="9" style="53"/>
    <col min="8982" max="8982" width="9" style="53" customWidth="1"/>
    <col min="8983" max="8988" width="9" style="53"/>
    <col min="8989" max="8989" width="26.375" style="53" customWidth="1"/>
    <col min="8990" max="8992" width="9" style="53"/>
    <col min="8993" max="8993" width="14.75" style="53" bestFit="1" customWidth="1"/>
    <col min="8994" max="9216" width="9" style="53"/>
    <col min="9217" max="9219" width="9" style="53" customWidth="1"/>
    <col min="9220" max="9220" width="10.375" style="53" customWidth="1"/>
    <col min="9221" max="9221" width="11.25" style="53" bestFit="1" customWidth="1"/>
    <col min="9222" max="9223" width="9" style="53"/>
    <col min="9224" max="9233" width="9" style="53" customWidth="1"/>
    <col min="9234" max="9234" width="9" style="53"/>
    <col min="9235" max="9235" width="9.375" style="53" bestFit="1" customWidth="1"/>
    <col min="9236" max="9236" width="9" style="53" customWidth="1"/>
    <col min="9237" max="9237" width="9" style="53"/>
    <col min="9238" max="9238" width="9" style="53" customWidth="1"/>
    <col min="9239" max="9244" width="9" style="53"/>
    <col min="9245" max="9245" width="26.375" style="53" customWidth="1"/>
    <col min="9246" max="9248" width="9" style="53"/>
    <col min="9249" max="9249" width="14.75" style="53" bestFit="1" customWidth="1"/>
    <col min="9250" max="9472" width="9" style="53"/>
    <col min="9473" max="9475" width="9" style="53" customWidth="1"/>
    <col min="9476" max="9476" width="10.375" style="53" customWidth="1"/>
    <col min="9477" max="9477" width="11.25" style="53" bestFit="1" customWidth="1"/>
    <col min="9478" max="9479" width="9" style="53"/>
    <col min="9480" max="9489" width="9" style="53" customWidth="1"/>
    <col min="9490" max="9490" width="9" style="53"/>
    <col min="9491" max="9491" width="9.375" style="53" bestFit="1" customWidth="1"/>
    <col min="9492" max="9492" width="9" style="53" customWidth="1"/>
    <col min="9493" max="9493" width="9" style="53"/>
    <col min="9494" max="9494" width="9" style="53" customWidth="1"/>
    <col min="9495" max="9500" width="9" style="53"/>
    <col min="9501" max="9501" width="26.375" style="53" customWidth="1"/>
    <col min="9502" max="9504" width="9" style="53"/>
    <col min="9505" max="9505" width="14.75" style="53" bestFit="1" customWidth="1"/>
    <col min="9506" max="9728" width="9" style="53"/>
    <col min="9729" max="9731" width="9" style="53" customWidth="1"/>
    <col min="9732" max="9732" width="10.375" style="53" customWidth="1"/>
    <col min="9733" max="9733" width="11.25" style="53" bestFit="1" customWidth="1"/>
    <col min="9734" max="9735" width="9" style="53"/>
    <col min="9736" max="9745" width="9" style="53" customWidth="1"/>
    <col min="9746" max="9746" width="9" style="53"/>
    <col min="9747" max="9747" width="9.375" style="53" bestFit="1" customWidth="1"/>
    <col min="9748" max="9748" width="9" style="53" customWidth="1"/>
    <col min="9749" max="9749" width="9" style="53"/>
    <col min="9750" max="9750" width="9" style="53" customWidth="1"/>
    <col min="9751" max="9756" width="9" style="53"/>
    <col min="9757" max="9757" width="26.375" style="53" customWidth="1"/>
    <col min="9758" max="9760" width="9" style="53"/>
    <col min="9761" max="9761" width="14.75" style="53" bestFit="1" customWidth="1"/>
    <col min="9762" max="9984" width="9" style="53"/>
    <col min="9985" max="9987" width="9" style="53" customWidth="1"/>
    <col min="9988" max="9988" width="10.375" style="53" customWidth="1"/>
    <col min="9989" max="9989" width="11.25" style="53" bestFit="1" customWidth="1"/>
    <col min="9990" max="9991" width="9" style="53"/>
    <col min="9992" max="10001" width="9" style="53" customWidth="1"/>
    <col min="10002" max="10002" width="9" style="53"/>
    <col min="10003" max="10003" width="9.375" style="53" bestFit="1" customWidth="1"/>
    <col min="10004" max="10004" width="9" style="53" customWidth="1"/>
    <col min="10005" max="10005" width="9" style="53"/>
    <col min="10006" max="10006" width="9" style="53" customWidth="1"/>
    <col min="10007" max="10012" width="9" style="53"/>
    <col min="10013" max="10013" width="26.375" style="53" customWidth="1"/>
    <col min="10014" max="10016" width="9" style="53"/>
    <col min="10017" max="10017" width="14.75" style="53" bestFit="1" customWidth="1"/>
    <col min="10018" max="10240" width="9" style="53"/>
    <col min="10241" max="10243" width="9" style="53" customWidth="1"/>
    <col min="10244" max="10244" width="10.375" style="53" customWidth="1"/>
    <col min="10245" max="10245" width="11.25" style="53" bestFit="1" customWidth="1"/>
    <col min="10246" max="10247" width="9" style="53"/>
    <col min="10248" max="10257" width="9" style="53" customWidth="1"/>
    <col min="10258" max="10258" width="9" style="53"/>
    <col min="10259" max="10259" width="9.375" style="53" bestFit="1" customWidth="1"/>
    <col min="10260" max="10260" width="9" style="53" customWidth="1"/>
    <col min="10261" max="10261" width="9" style="53"/>
    <col min="10262" max="10262" width="9" style="53" customWidth="1"/>
    <col min="10263" max="10268" width="9" style="53"/>
    <col min="10269" max="10269" width="26.375" style="53" customWidth="1"/>
    <col min="10270" max="10272" width="9" style="53"/>
    <col min="10273" max="10273" width="14.75" style="53" bestFit="1" customWidth="1"/>
    <col min="10274" max="10496" width="9" style="53"/>
    <col min="10497" max="10499" width="9" style="53" customWidth="1"/>
    <col min="10500" max="10500" width="10.375" style="53" customWidth="1"/>
    <col min="10501" max="10501" width="11.25" style="53" bestFit="1" customWidth="1"/>
    <col min="10502" max="10503" width="9" style="53"/>
    <col min="10504" max="10513" width="9" style="53" customWidth="1"/>
    <col min="10514" max="10514" width="9" style="53"/>
    <col min="10515" max="10515" width="9.375" style="53" bestFit="1" customWidth="1"/>
    <col min="10516" max="10516" width="9" style="53" customWidth="1"/>
    <col min="10517" max="10517" width="9" style="53"/>
    <col min="10518" max="10518" width="9" style="53" customWidth="1"/>
    <col min="10519" max="10524" width="9" style="53"/>
    <col min="10525" max="10525" width="26.375" style="53" customWidth="1"/>
    <col min="10526" max="10528" width="9" style="53"/>
    <col min="10529" max="10529" width="14.75" style="53" bestFit="1" customWidth="1"/>
    <col min="10530" max="10752" width="9" style="53"/>
    <col min="10753" max="10755" width="9" style="53" customWidth="1"/>
    <col min="10756" max="10756" width="10.375" style="53" customWidth="1"/>
    <col min="10757" max="10757" width="11.25" style="53" bestFit="1" customWidth="1"/>
    <col min="10758" max="10759" width="9" style="53"/>
    <col min="10760" max="10769" width="9" style="53" customWidth="1"/>
    <col min="10770" max="10770" width="9" style="53"/>
    <col min="10771" max="10771" width="9.375" style="53" bestFit="1" customWidth="1"/>
    <col min="10772" max="10772" width="9" style="53" customWidth="1"/>
    <col min="10773" max="10773" width="9" style="53"/>
    <col min="10774" max="10774" width="9" style="53" customWidth="1"/>
    <col min="10775" max="10780" width="9" style="53"/>
    <col min="10781" max="10781" width="26.375" style="53" customWidth="1"/>
    <col min="10782" max="10784" width="9" style="53"/>
    <col min="10785" max="10785" width="14.75" style="53" bestFit="1" customWidth="1"/>
    <col min="10786" max="11008" width="9" style="53"/>
    <col min="11009" max="11011" width="9" style="53" customWidth="1"/>
    <col min="11012" max="11012" width="10.375" style="53" customWidth="1"/>
    <col min="11013" max="11013" width="11.25" style="53" bestFit="1" customWidth="1"/>
    <col min="11014" max="11015" width="9" style="53"/>
    <col min="11016" max="11025" width="9" style="53" customWidth="1"/>
    <col min="11026" max="11026" width="9" style="53"/>
    <col min="11027" max="11027" width="9.375" style="53" bestFit="1" customWidth="1"/>
    <col min="11028" max="11028" width="9" style="53" customWidth="1"/>
    <col min="11029" max="11029" width="9" style="53"/>
    <col min="11030" max="11030" width="9" style="53" customWidth="1"/>
    <col min="11031" max="11036" width="9" style="53"/>
    <col min="11037" max="11037" width="26.375" style="53" customWidth="1"/>
    <col min="11038" max="11040" width="9" style="53"/>
    <col min="11041" max="11041" width="14.75" style="53" bestFit="1" customWidth="1"/>
    <col min="11042" max="11264" width="9" style="53"/>
    <col min="11265" max="11267" width="9" style="53" customWidth="1"/>
    <col min="11268" max="11268" width="10.375" style="53" customWidth="1"/>
    <col min="11269" max="11269" width="11.25" style="53" bestFit="1" customWidth="1"/>
    <col min="11270" max="11271" width="9" style="53"/>
    <col min="11272" max="11281" width="9" style="53" customWidth="1"/>
    <col min="11282" max="11282" width="9" style="53"/>
    <col min="11283" max="11283" width="9.375" style="53" bestFit="1" customWidth="1"/>
    <col min="11284" max="11284" width="9" style="53" customWidth="1"/>
    <col min="11285" max="11285" width="9" style="53"/>
    <col min="11286" max="11286" width="9" style="53" customWidth="1"/>
    <col min="11287" max="11292" width="9" style="53"/>
    <col min="11293" max="11293" width="26.375" style="53" customWidth="1"/>
    <col min="11294" max="11296" width="9" style="53"/>
    <col min="11297" max="11297" width="14.75" style="53" bestFit="1" customWidth="1"/>
    <col min="11298" max="11520" width="9" style="53"/>
    <col min="11521" max="11523" width="9" style="53" customWidth="1"/>
    <col min="11524" max="11524" width="10.375" style="53" customWidth="1"/>
    <col min="11525" max="11525" width="11.25" style="53" bestFit="1" customWidth="1"/>
    <col min="11526" max="11527" width="9" style="53"/>
    <col min="11528" max="11537" width="9" style="53" customWidth="1"/>
    <col min="11538" max="11538" width="9" style="53"/>
    <col min="11539" max="11539" width="9.375" style="53" bestFit="1" customWidth="1"/>
    <col min="11540" max="11540" width="9" style="53" customWidth="1"/>
    <col min="11541" max="11541" width="9" style="53"/>
    <col min="11542" max="11542" width="9" style="53" customWidth="1"/>
    <col min="11543" max="11548" width="9" style="53"/>
    <col min="11549" max="11549" width="26.375" style="53" customWidth="1"/>
    <col min="11550" max="11552" width="9" style="53"/>
    <col min="11553" max="11553" width="14.75" style="53" bestFit="1" customWidth="1"/>
    <col min="11554" max="11776" width="9" style="53"/>
    <col min="11777" max="11779" width="9" style="53" customWidth="1"/>
    <col min="11780" max="11780" width="10.375" style="53" customWidth="1"/>
    <col min="11781" max="11781" width="11.25" style="53" bestFit="1" customWidth="1"/>
    <col min="11782" max="11783" width="9" style="53"/>
    <col min="11784" max="11793" width="9" style="53" customWidth="1"/>
    <col min="11794" max="11794" width="9" style="53"/>
    <col min="11795" max="11795" width="9.375" style="53" bestFit="1" customWidth="1"/>
    <col min="11796" max="11796" width="9" style="53" customWidth="1"/>
    <col min="11797" max="11797" width="9" style="53"/>
    <col min="11798" max="11798" width="9" style="53" customWidth="1"/>
    <col min="11799" max="11804" width="9" style="53"/>
    <col min="11805" max="11805" width="26.375" style="53" customWidth="1"/>
    <col min="11806" max="11808" width="9" style="53"/>
    <col min="11809" max="11809" width="14.75" style="53" bestFit="1" customWidth="1"/>
    <col min="11810" max="12032" width="9" style="53"/>
    <col min="12033" max="12035" width="9" style="53" customWidth="1"/>
    <col min="12036" max="12036" width="10.375" style="53" customWidth="1"/>
    <col min="12037" max="12037" width="11.25" style="53" bestFit="1" customWidth="1"/>
    <col min="12038" max="12039" width="9" style="53"/>
    <col min="12040" max="12049" width="9" style="53" customWidth="1"/>
    <col min="12050" max="12050" width="9" style="53"/>
    <col min="12051" max="12051" width="9.375" style="53" bestFit="1" customWidth="1"/>
    <col min="12052" max="12052" width="9" style="53" customWidth="1"/>
    <col min="12053" max="12053" width="9" style="53"/>
    <col min="12054" max="12054" width="9" style="53" customWidth="1"/>
    <col min="12055" max="12060" width="9" style="53"/>
    <col min="12061" max="12061" width="26.375" style="53" customWidth="1"/>
    <col min="12062" max="12064" width="9" style="53"/>
    <col min="12065" max="12065" width="14.75" style="53" bestFit="1" customWidth="1"/>
    <col min="12066" max="12288" width="9" style="53"/>
    <col min="12289" max="12291" width="9" style="53" customWidth="1"/>
    <col min="12292" max="12292" width="10.375" style="53" customWidth="1"/>
    <col min="12293" max="12293" width="11.25" style="53" bestFit="1" customWidth="1"/>
    <col min="12294" max="12295" width="9" style="53"/>
    <col min="12296" max="12305" width="9" style="53" customWidth="1"/>
    <col min="12306" max="12306" width="9" style="53"/>
    <col min="12307" max="12307" width="9.375" style="53" bestFit="1" customWidth="1"/>
    <col min="12308" max="12308" width="9" style="53" customWidth="1"/>
    <col min="12309" max="12309" width="9" style="53"/>
    <col min="12310" max="12310" width="9" style="53" customWidth="1"/>
    <col min="12311" max="12316" width="9" style="53"/>
    <col min="12317" max="12317" width="26.375" style="53" customWidth="1"/>
    <col min="12318" max="12320" width="9" style="53"/>
    <col min="12321" max="12321" width="14.75" style="53" bestFit="1" customWidth="1"/>
    <col min="12322" max="12544" width="9" style="53"/>
    <col min="12545" max="12547" width="9" style="53" customWidth="1"/>
    <col min="12548" max="12548" width="10.375" style="53" customWidth="1"/>
    <col min="12549" max="12549" width="11.25" style="53" bestFit="1" customWidth="1"/>
    <col min="12550" max="12551" width="9" style="53"/>
    <col min="12552" max="12561" width="9" style="53" customWidth="1"/>
    <col min="12562" max="12562" width="9" style="53"/>
    <col min="12563" max="12563" width="9.375" style="53" bestFit="1" customWidth="1"/>
    <col min="12564" max="12564" width="9" style="53" customWidth="1"/>
    <col min="12565" max="12565" width="9" style="53"/>
    <col min="12566" max="12566" width="9" style="53" customWidth="1"/>
    <col min="12567" max="12572" width="9" style="53"/>
    <col min="12573" max="12573" width="26.375" style="53" customWidth="1"/>
    <col min="12574" max="12576" width="9" style="53"/>
    <col min="12577" max="12577" width="14.75" style="53" bestFit="1" customWidth="1"/>
    <col min="12578" max="12800" width="9" style="53"/>
    <col min="12801" max="12803" width="9" style="53" customWidth="1"/>
    <col min="12804" max="12804" width="10.375" style="53" customWidth="1"/>
    <col min="12805" max="12805" width="11.25" style="53" bestFit="1" customWidth="1"/>
    <col min="12806" max="12807" width="9" style="53"/>
    <col min="12808" max="12817" width="9" style="53" customWidth="1"/>
    <col min="12818" max="12818" width="9" style="53"/>
    <col min="12819" max="12819" width="9.375" style="53" bestFit="1" customWidth="1"/>
    <col min="12820" max="12820" width="9" style="53" customWidth="1"/>
    <col min="12821" max="12821" width="9" style="53"/>
    <col min="12822" max="12822" width="9" style="53" customWidth="1"/>
    <col min="12823" max="12828" width="9" style="53"/>
    <col min="12829" max="12829" width="26.375" style="53" customWidth="1"/>
    <col min="12830" max="12832" width="9" style="53"/>
    <col min="12833" max="12833" width="14.75" style="53" bestFit="1" customWidth="1"/>
    <col min="12834" max="13056" width="9" style="53"/>
    <col min="13057" max="13059" width="9" style="53" customWidth="1"/>
    <col min="13060" max="13060" width="10.375" style="53" customWidth="1"/>
    <col min="13061" max="13061" width="11.25" style="53" bestFit="1" customWidth="1"/>
    <col min="13062" max="13063" width="9" style="53"/>
    <col min="13064" max="13073" width="9" style="53" customWidth="1"/>
    <col min="13074" max="13074" width="9" style="53"/>
    <col min="13075" max="13075" width="9.375" style="53" bestFit="1" customWidth="1"/>
    <col min="13076" max="13076" width="9" style="53" customWidth="1"/>
    <col min="13077" max="13077" width="9" style="53"/>
    <col min="13078" max="13078" width="9" style="53" customWidth="1"/>
    <col min="13079" max="13084" width="9" style="53"/>
    <col min="13085" max="13085" width="26.375" style="53" customWidth="1"/>
    <col min="13086" max="13088" width="9" style="53"/>
    <col min="13089" max="13089" width="14.75" style="53" bestFit="1" customWidth="1"/>
    <col min="13090" max="13312" width="9" style="53"/>
    <col min="13313" max="13315" width="9" style="53" customWidth="1"/>
    <col min="13316" max="13316" width="10.375" style="53" customWidth="1"/>
    <col min="13317" max="13317" width="11.25" style="53" bestFit="1" customWidth="1"/>
    <col min="13318" max="13319" width="9" style="53"/>
    <col min="13320" max="13329" width="9" style="53" customWidth="1"/>
    <col min="13330" max="13330" width="9" style="53"/>
    <col min="13331" max="13331" width="9.375" style="53" bestFit="1" customWidth="1"/>
    <col min="13332" max="13332" width="9" style="53" customWidth="1"/>
    <col min="13333" max="13333" width="9" style="53"/>
    <col min="13334" max="13334" width="9" style="53" customWidth="1"/>
    <col min="13335" max="13340" width="9" style="53"/>
    <col min="13341" max="13341" width="26.375" style="53" customWidth="1"/>
    <col min="13342" max="13344" width="9" style="53"/>
    <col min="13345" max="13345" width="14.75" style="53" bestFit="1" customWidth="1"/>
    <col min="13346" max="13568" width="9" style="53"/>
    <col min="13569" max="13571" width="9" style="53" customWidth="1"/>
    <col min="13572" max="13572" width="10.375" style="53" customWidth="1"/>
    <col min="13573" max="13573" width="11.25" style="53" bestFit="1" customWidth="1"/>
    <col min="13574" max="13575" width="9" style="53"/>
    <col min="13576" max="13585" width="9" style="53" customWidth="1"/>
    <col min="13586" max="13586" width="9" style="53"/>
    <col min="13587" max="13587" width="9.375" style="53" bestFit="1" customWidth="1"/>
    <col min="13588" max="13588" width="9" style="53" customWidth="1"/>
    <col min="13589" max="13589" width="9" style="53"/>
    <col min="13590" max="13590" width="9" style="53" customWidth="1"/>
    <col min="13591" max="13596" width="9" style="53"/>
    <col min="13597" max="13597" width="26.375" style="53" customWidth="1"/>
    <col min="13598" max="13600" width="9" style="53"/>
    <col min="13601" max="13601" width="14.75" style="53" bestFit="1" customWidth="1"/>
    <col min="13602" max="13824" width="9" style="53"/>
    <col min="13825" max="13827" width="9" style="53" customWidth="1"/>
    <col min="13828" max="13828" width="10.375" style="53" customWidth="1"/>
    <col min="13829" max="13829" width="11.25" style="53" bestFit="1" customWidth="1"/>
    <col min="13830" max="13831" width="9" style="53"/>
    <col min="13832" max="13841" width="9" style="53" customWidth="1"/>
    <col min="13842" max="13842" width="9" style="53"/>
    <col min="13843" max="13843" width="9.375" style="53" bestFit="1" customWidth="1"/>
    <col min="13844" max="13844" width="9" style="53" customWidth="1"/>
    <col min="13845" max="13845" width="9" style="53"/>
    <col min="13846" max="13846" width="9" style="53" customWidth="1"/>
    <col min="13847" max="13852" width="9" style="53"/>
    <col min="13853" max="13853" width="26.375" style="53" customWidth="1"/>
    <col min="13854" max="13856" width="9" style="53"/>
    <col min="13857" max="13857" width="14.75" style="53" bestFit="1" customWidth="1"/>
    <col min="13858" max="14080" width="9" style="53"/>
    <col min="14081" max="14083" width="9" style="53" customWidth="1"/>
    <col min="14084" max="14084" width="10.375" style="53" customWidth="1"/>
    <col min="14085" max="14085" width="11.25" style="53" bestFit="1" customWidth="1"/>
    <col min="14086" max="14087" width="9" style="53"/>
    <col min="14088" max="14097" width="9" style="53" customWidth="1"/>
    <col min="14098" max="14098" width="9" style="53"/>
    <col min="14099" max="14099" width="9.375" style="53" bestFit="1" customWidth="1"/>
    <col min="14100" max="14100" width="9" style="53" customWidth="1"/>
    <col min="14101" max="14101" width="9" style="53"/>
    <col min="14102" max="14102" width="9" style="53" customWidth="1"/>
    <col min="14103" max="14108" width="9" style="53"/>
    <col min="14109" max="14109" width="26.375" style="53" customWidth="1"/>
    <col min="14110" max="14112" width="9" style="53"/>
    <col min="14113" max="14113" width="14.75" style="53" bestFit="1" customWidth="1"/>
    <col min="14114" max="14336" width="9" style="53"/>
    <col min="14337" max="14339" width="9" style="53" customWidth="1"/>
    <col min="14340" max="14340" width="10.375" style="53" customWidth="1"/>
    <col min="14341" max="14341" width="11.25" style="53" bestFit="1" customWidth="1"/>
    <col min="14342" max="14343" width="9" style="53"/>
    <col min="14344" max="14353" width="9" style="53" customWidth="1"/>
    <col min="14354" max="14354" width="9" style="53"/>
    <col min="14355" max="14355" width="9.375" style="53" bestFit="1" customWidth="1"/>
    <col min="14356" max="14356" width="9" style="53" customWidth="1"/>
    <col min="14357" max="14357" width="9" style="53"/>
    <col min="14358" max="14358" width="9" style="53" customWidth="1"/>
    <col min="14359" max="14364" width="9" style="53"/>
    <col min="14365" max="14365" width="26.375" style="53" customWidth="1"/>
    <col min="14366" max="14368" width="9" style="53"/>
    <col min="14369" max="14369" width="14.75" style="53" bestFit="1" customWidth="1"/>
    <col min="14370" max="14592" width="9" style="53"/>
    <col min="14593" max="14595" width="9" style="53" customWidth="1"/>
    <col min="14596" max="14596" width="10.375" style="53" customWidth="1"/>
    <col min="14597" max="14597" width="11.25" style="53" bestFit="1" customWidth="1"/>
    <col min="14598" max="14599" width="9" style="53"/>
    <col min="14600" max="14609" width="9" style="53" customWidth="1"/>
    <col min="14610" max="14610" width="9" style="53"/>
    <col min="14611" max="14611" width="9.375" style="53" bestFit="1" customWidth="1"/>
    <col min="14612" max="14612" width="9" style="53" customWidth="1"/>
    <col min="14613" max="14613" width="9" style="53"/>
    <col min="14614" max="14614" width="9" style="53" customWidth="1"/>
    <col min="14615" max="14620" width="9" style="53"/>
    <col min="14621" max="14621" width="26.375" style="53" customWidth="1"/>
    <col min="14622" max="14624" width="9" style="53"/>
    <col min="14625" max="14625" width="14.75" style="53" bestFit="1" customWidth="1"/>
    <col min="14626" max="14848" width="9" style="53"/>
    <col min="14849" max="14851" width="9" style="53" customWidth="1"/>
    <col min="14852" max="14852" width="10.375" style="53" customWidth="1"/>
    <col min="14853" max="14853" width="11.25" style="53" bestFit="1" customWidth="1"/>
    <col min="14854" max="14855" width="9" style="53"/>
    <col min="14856" max="14865" width="9" style="53" customWidth="1"/>
    <col min="14866" max="14866" width="9" style="53"/>
    <col min="14867" max="14867" width="9.375" style="53" bestFit="1" customWidth="1"/>
    <col min="14868" max="14868" width="9" style="53" customWidth="1"/>
    <col min="14869" max="14869" width="9" style="53"/>
    <col min="14870" max="14870" width="9" style="53" customWidth="1"/>
    <col min="14871" max="14876" width="9" style="53"/>
    <col min="14877" max="14877" width="26.375" style="53" customWidth="1"/>
    <col min="14878" max="14880" width="9" style="53"/>
    <col min="14881" max="14881" width="14.75" style="53" bestFit="1" customWidth="1"/>
    <col min="14882" max="15104" width="9" style="53"/>
    <col min="15105" max="15107" width="9" style="53" customWidth="1"/>
    <col min="15108" max="15108" width="10.375" style="53" customWidth="1"/>
    <col min="15109" max="15109" width="11.25" style="53" bestFit="1" customWidth="1"/>
    <col min="15110" max="15111" width="9" style="53"/>
    <col min="15112" max="15121" width="9" style="53" customWidth="1"/>
    <col min="15122" max="15122" width="9" style="53"/>
    <col min="15123" max="15123" width="9.375" style="53" bestFit="1" customWidth="1"/>
    <col min="15124" max="15124" width="9" style="53" customWidth="1"/>
    <col min="15125" max="15125" width="9" style="53"/>
    <col min="15126" max="15126" width="9" style="53" customWidth="1"/>
    <col min="15127" max="15132" width="9" style="53"/>
    <col min="15133" max="15133" width="26.375" style="53" customWidth="1"/>
    <col min="15134" max="15136" width="9" style="53"/>
    <col min="15137" max="15137" width="14.75" style="53" bestFit="1" customWidth="1"/>
    <col min="15138" max="15360" width="9" style="53"/>
    <col min="15361" max="15363" width="9" style="53" customWidth="1"/>
    <col min="15364" max="15364" width="10.375" style="53" customWidth="1"/>
    <col min="15365" max="15365" width="11.25" style="53" bestFit="1" customWidth="1"/>
    <col min="15366" max="15367" width="9" style="53"/>
    <col min="15368" max="15377" width="9" style="53" customWidth="1"/>
    <col min="15378" max="15378" width="9" style="53"/>
    <col min="15379" max="15379" width="9.375" style="53" bestFit="1" customWidth="1"/>
    <col min="15380" max="15380" width="9" style="53" customWidth="1"/>
    <col min="15381" max="15381" width="9" style="53"/>
    <col min="15382" max="15382" width="9" style="53" customWidth="1"/>
    <col min="15383" max="15388" width="9" style="53"/>
    <col min="15389" max="15389" width="26.375" style="53" customWidth="1"/>
    <col min="15390" max="15392" width="9" style="53"/>
    <col min="15393" max="15393" width="14.75" style="53" bestFit="1" customWidth="1"/>
    <col min="15394" max="15616" width="9" style="53"/>
    <col min="15617" max="15619" width="9" style="53" customWidth="1"/>
    <col min="15620" max="15620" width="10.375" style="53" customWidth="1"/>
    <col min="15621" max="15621" width="11.25" style="53" bestFit="1" customWidth="1"/>
    <col min="15622" max="15623" width="9" style="53"/>
    <col min="15624" max="15633" width="9" style="53" customWidth="1"/>
    <col min="15634" max="15634" width="9" style="53"/>
    <col min="15635" max="15635" width="9.375" style="53" bestFit="1" customWidth="1"/>
    <col min="15636" max="15636" width="9" style="53" customWidth="1"/>
    <col min="15637" max="15637" width="9" style="53"/>
    <col min="15638" max="15638" width="9" style="53" customWidth="1"/>
    <col min="15639" max="15644" width="9" style="53"/>
    <col min="15645" max="15645" width="26.375" style="53" customWidth="1"/>
    <col min="15646" max="15648" width="9" style="53"/>
    <col min="15649" max="15649" width="14.75" style="53" bestFit="1" customWidth="1"/>
    <col min="15650" max="15872" width="9" style="53"/>
    <col min="15873" max="15875" width="9" style="53" customWidth="1"/>
    <col min="15876" max="15876" width="10.375" style="53" customWidth="1"/>
    <col min="15877" max="15877" width="11.25" style="53" bestFit="1" customWidth="1"/>
    <col min="15878" max="15879" width="9" style="53"/>
    <col min="15880" max="15889" width="9" style="53" customWidth="1"/>
    <col min="15890" max="15890" width="9" style="53"/>
    <col min="15891" max="15891" width="9.375" style="53" bestFit="1" customWidth="1"/>
    <col min="15892" max="15892" width="9" style="53" customWidth="1"/>
    <col min="15893" max="15893" width="9" style="53"/>
    <col min="15894" max="15894" width="9" style="53" customWidth="1"/>
    <col min="15895" max="15900" width="9" style="53"/>
    <col min="15901" max="15901" width="26.375" style="53" customWidth="1"/>
    <col min="15902" max="15904" width="9" style="53"/>
    <col min="15905" max="15905" width="14.75" style="53" bestFit="1" customWidth="1"/>
    <col min="15906" max="16128" width="9" style="53"/>
    <col min="16129" max="16131" width="9" style="53" customWidth="1"/>
    <col min="16132" max="16132" width="10.375" style="53" customWidth="1"/>
    <col min="16133" max="16133" width="11.25" style="53" bestFit="1" customWidth="1"/>
    <col min="16134" max="16135" width="9" style="53"/>
    <col min="16136" max="16145" width="9" style="53" customWidth="1"/>
    <col min="16146" max="16146" width="9" style="53"/>
    <col min="16147" max="16147" width="9.375" style="53" bestFit="1" customWidth="1"/>
    <col min="16148" max="16148" width="9" style="53" customWidth="1"/>
    <col min="16149" max="16149" width="9" style="53"/>
    <col min="16150" max="16150" width="9" style="53" customWidth="1"/>
    <col min="16151" max="16156" width="9" style="53"/>
    <col min="16157" max="16157" width="26.375" style="53" customWidth="1"/>
    <col min="16158" max="16160" width="9" style="53"/>
    <col min="16161" max="16161" width="14.75" style="53" bestFit="1" customWidth="1"/>
    <col min="16162" max="16384" width="9" style="53"/>
  </cols>
  <sheetData>
    <row r="1" spans="1:53" ht="44.25" customHeight="1" x14ac:dyDescent="0.15">
      <c r="A1" s="100" t="s">
        <v>259</v>
      </c>
      <c r="B1" s="89" t="s">
        <v>1</v>
      </c>
      <c r="C1" s="89" t="s">
        <v>2</v>
      </c>
      <c r="D1" s="90" t="s">
        <v>3</v>
      </c>
      <c r="E1" s="90" t="s">
        <v>260</v>
      </c>
      <c r="F1" s="90" t="s">
        <v>5</v>
      </c>
      <c r="G1" s="90" t="s">
        <v>6</v>
      </c>
      <c r="H1" s="90" t="s">
        <v>261</v>
      </c>
      <c r="I1" s="90" t="s">
        <v>8</v>
      </c>
      <c r="J1" s="90" t="s">
        <v>9</v>
      </c>
      <c r="K1" s="90" t="s">
        <v>10</v>
      </c>
      <c r="L1" s="90" t="s">
        <v>11</v>
      </c>
      <c r="M1" s="90" t="s">
        <v>12</v>
      </c>
      <c r="N1" s="90" t="s">
        <v>13</v>
      </c>
      <c r="O1" s="90" t="s">
        <v>14</v>
      </c>
      <c r="P1" s="90" t="s">
        <v>15</v>
      </c>
      <c r="Q1" s="3" t="s">
        <v>16</v>
      </c>
      <c r="R1" s="90" t="s">
        <v>17</v>
      </c>
      <c r="S1" s="90" t="s">
        <v>18</v>
      </c>
      <c r="T1" s="3" t="s">
        <v>19</v>
      </c>
      <c r="U1" s="92" t="s">
        <v>108</v>
      </c>
      <c r="V1" s="5" t="s">
        <v>20</v>
      </c>
      <c r="W1" s="90" t="s">
        <v>21</v>
      </c>
      <c r="X1" s="90" t="s">
        <v>22</v>
      </c>
      <c r="Y1" s="90" t="s">
        <v>23</v>
      </c>
      <c r="Z1" s="90" t="s">
        <v>24</v>
      </c>
      <c r="AA1" s="101" t="s">
        <v>25</v>
      </c>
      <c r="AB1" s="102" t="s">
        <v>26</v>
      </c>
      <c r="AC1" s="103"/>
      <c r="AE1" s="95" t="s">
        <v>0</v>
      </c>
      <c r="AF1" s="96"/>
      <c r="AG1" s="95" t="s">
        <v>4</v>
      </c>
      <c r="AH1" s="95" t="s">
        <v>5</v>
      </c>
      <c r="AI1" s="96"/>
      <c r="AJ1" s="95" t="s">
        <v>6</v>
      </c>
      <c r="AK1" s="96"/>
      <c r="AL1" s="10" t="s">
        <v>7</v>
      </c>
      <c r="AM1" s="96"/>
      <c r="AN1" s="10" t="s">
        <v>8</v>
      </c>
      <c r="AO1" s="96"/>
      <c r="AP1" s="10" t="s">
        <v>27</v>
      </c>
      <c r="AQ1" s="96"/>
      <c r="AR1" s="10" t="s">
        <v>10</v>
      </c>
      <c r="AS1" s="96"/>
      <c r="AT1" s="11" t="s">
        <v>28</v>
      </c>
      <c r="AU1" s="96"/>
      <c r="AV1" s="10" t="s">
        <v>29</v>
      </c>
      <c r="AX1" s="12" t="s">
        <v>30</v>
      </c>
      <c r="AY1" s="13" t="s">
        <v>31</v>
      </c>
      <c r="AZ1" s="13" t="s">
        <v>32</v>
      </c>
      <c r="BA1" s="14" t="s">
        <v>33</v>
      </c>
    </row>
    <row r="2" spans="1:53" s="104" customFormat="1" x14ac:dyDescent="0.15">
      <c r="A2" s="104" t="s">
        <v>61</v>
      </c>
      <c r="B2" s="104" t="s">
        <v>232</v>
      </c>
      <c r="C2" s="104">
        <v>2019</v>
      </c>
      <c r="D2" s="105" t="s">
        <v>166</v>
      </c>
      <c r="E2" s="104" t="s">
        <v>262</v>
      </c>
      <c r="F2" s="104" t="s">
        <v>263</v>
      </c>
      <c r="G2" s="104" t="s">
        <v>42</v>
      </c>
      <c r="H2" s="53" t="s">
        <v>164</v>
      </c>
      <c r="I2" s="53" t="s">
        <v>159</v>
      </c>
      <c r="J2" s="104" t="s">
        <v>38</v>
      </c>
      <c r="K2" s="53" t="s">
        <v>161</v>
      </c>
      <c r="L2" s="53">
        <v>1</v>
      </c>
      <c r="M2" s="53"/>
      <c r="N2" s="53">
        <v>1</v>
      </c>
      <c r="O2" s="53">
        <v>0.5</v>
      </c>
      <c r="P2" s="53">
        <v>0.5</v>
      </c>
      <c r="Q2" s="84">
        <f t="shared" ref="Q2:Q65" si="0">IF(OR(O2="",P2=""),"",AVERAGE(O2,P2))</f>
        <v>0.5</v>
      </c>
      <c r="R2" s="53">
        <v>18.899999999999999</v>
      </c>
      <c r="S2" s="53">
        <v>137</v>
      </c>
      <c r="T2" s="16">
        <f t="shared" ref="T2:T65" si="1">IF(H2="","",IF(OR(H2="GREEN",H2="GK"),IF(S2&gt;=$AX$2,VLOOKUP(S2,$AX$2:$AY$15,2,1),""),IF(S2&gt;=$AZ$2,VLOOKUP(S2,$AZ$2:$BA$15,2,1),"")))</f>
        <v>25</v>
      </c>
      <c r="U2" s="53">
        <v>118</v>
      </c>
      <c r="V2" s="106">
        <f t="shared" ref="V2:V65" si="2">IF(OR(N2="",U2="",T2=""),"",U2/N2*T2)</f>
        <v>2950</v>
      </c>
      <c r="W2" s="53">
        <v>4</v>
      </c>
      <c r="X2" s="104" t="s">
        <v>39</v>
      </c>
      <c r="Y2" s="53" t="s">
        <v>97</v>
      </c>
      <c r="Z2" s="53" t="s">
        <v>86</v>
      </c>
      <c r="AA2" s="53" t="s">
        <v>47</v>
      </c>
      <c r="AB2" s="104" t="s">
        <v>236</v>
      </c>
      <c r="AC2" s="34"/>
      <c r="AE2" s="73" t="s">
        <v>35</v>
      </c>
      <c r="AG2" s="49" t="s">
        <v>262</v>
      </c>
      <c r="AH2" s="49" t="s">
        <v>263</v>
      </c>
      <c r="AJ2" s="107" t="s">
        <v>36</v>
      </c>
      <c r="AL2" s="76" t="s">
        <v>127</v>
      </c>
      <c r="AN2" s="107" t="s">
        <v>37</v>
      </c>
      <c r="AP2" s="76" t="s">
        <v>38</v>
      </c>
      <c r="AR2" s="76" t="s">
        <v>120</v>
      </c>
      <c r="AT2" s="107" t="s">
        <v>39</v>
      </c>
      <c r="AV2" s="76" t="s">
        <v>40</v>
      </c>
      <c r="AX2" s="108">
        <v>1</v>
      </c>
      <c r="AY2" s="109">
        <v>50</v>
      </c>
      <c r="AZ2" s="109">
        <v>1</v>
      </c>
      <c r="BA2" s="110">
        <v>50</v>
      </c>
    </row>
    <row r="3" spans="1:53" x14ac:dyDescent="0.15">
      <c r="A3" s="104" t="s">
        <v>61</v>
      </c>
      <c r="B3" s="104" t="s">
        <v>232</v>
      </c>
      <c r="C3" s="104">
        <v>2019</v>
      </c>
      <c r="D3" s="105" t="s">
        <v>166</v>
      </c>
      <c r="E3" s="104" t="s">
        <v>262</v>
      </c>
      <c r="F3" s="104" t="s">
        <v>263</v>
      </c>
      <c r="G3" s="104" t="s">
        <v>42</v>
      </c>
      <c r="H3" s="53" t="s">
        <v>164</v>
      </c>
      <c r="I3" s="53" t="s">
        <v>159</v>
      </c>
      <c r="J3" s="104" t="s">
        <v>38</v>
      </c>
      <c r="K3" s="53" t="s">
        <v>161</v>
      </c>
      <c r="L3" s="53">
        <v>2</v>
      </c>
      <c r="N3" s="53">
        <v>1</v>
      </c>
      <c r="O3" s="53">
        <v>0.6</v>
      </c>
      <c r="P3" s="53">
        <v>0.5</v>
      </c>
      <c r="Q3" s="84">
        <f t="shared" si="0"/>
        <v>0.55000000000000004</v>
      </c>
      <c r="R3" s="53">
        <v>17.8</v>
      </c>
      <c r="S3" s="53">
        <v>132</v>
      </c>
      <c r="T3" s="16">
        <f t="shared" si="1"/>
        <v>25</v>
      </c>
      <c r="U3" s="53">
        <v>118</v>
      </c>
      <c r="V3" s="106">
        <f t="shared" si="2"/>
        <v>2950</v>
      </c>
      <c r="W3" s="53">
        <v>4</v>
      </c>
      <c r="X3" s="104" t="s">
        <v>39</v>
      </c>
      <c r="Y3" s="53" t="s">
        <v>97</v>
      </c>
      <c r="Z3" s="53" t="s">
        <v>86</v>
      </c>
      <c r="AA3" s="53" t="s">
        <v>47</v>
      </c>
      <c r="AB3" s="104" t="s">
        <v>236</v>
      </c>
      <c r="AC3" s="34"/>
      <c r="AE3" s="22" t="s">
        <v>41</v>
      </c>
      <c r="AG3" s="49" t="s">
        <v>264</v>
      </c>
      <c r="AH3" s="49" t="s">
        <v>265</v>
      </c>
      <c r="AJ3" s="23" t="s">
        <v>42</v>
      </c>
      <c r="AL3" s="23" t="s">
        <v>128</v>
      </c>
      <c r="AN3" s="23" t="s">
        <v>43</v>
      </c>
      <c r="AP3" s="23" t="s">
        <v>44</v>
      </c>
      <c r="AR3" s="23" t="s">
        <v>45</v>
      </c>
      <c r="AT3" s="23" t="s">
        <v>46</v>
      </c>
      <c r="AV3" s="23" t="s">
        <v>47</v>
      </c>
      <c r="AX3" s="24">
        <v>72</v>
      </c>
      <c r="AY3" s="25">
        <v>46</v>
      </c>
      <c r="AZ3" s="25">
        <v>71</v>
      </c>
      <c r="BA3" s="26">
        <v>42</v>
      </c>
    </row>
    <row r="4" spans="1:53" x14ac:dyDescent="0.15">
      <c r="A4" s="104" t="s">
        <v>61</v>
      </c>
      <c r="B4" s="104" t="s">
        <v>232</v>
      </c>
      <c r="C4" s="104">
        <v>2019</v>
      </c>
      <c r="D4" s="105" t="s">
        <v>165</v>
      </c>
      <c r="E4" s="104" t="s">
        <v>262</v>
      </c>
      <c r="F4" s="104" t="s">
        <v>263</v>
      </c>
      <c r="G4" s="104" t="s">
        <v>42</v>
      </c>
      <c r="H4" s="53" t="s">
        <v>164</v>
      </c>
      <c r="I4" s="53" t="s">
        <v>159</v>
      </c>
      <c r="J4" s="104" t="s">
        <v>38</v>
      </c>
      <c r="K4" s="53" t="s">
        <v>161</v>
      </c>
      <c r="L4" s="53">
        <v>3</v>
      </c>
      <c r="N4" s="53">
        <v>1</v>
      </c>
      <c r="O4" s="53">
        <v>0.75</v>
      </c>
      <c r="P4" s="53">
        <v>0.7</v>
      </c>
      <c r="Q4" s="84">
        <f t="shared" si="0"/>
        <v>0.72499999999999998</v>
      </c>
      <c r="R4" s="53">
        <v>17.7</v>
      </c>
      <c r="S4" s="53">
        <v>145</v>
      </c>
      <c r="T4" s="16">
        <f t="shared" si="1"/>
        <v>22</v>
      </c>
      <c r="U4" s="53">
        <v>118</v>
      </c>
      <c r="V4" s="106">
        <f t="shared" si="2"/>
        <v>2596</v>
      </c>
      <c r="W4" s="53">
        <v>4</v>
      </c>
      <c r="X4" s="104" t="s">
        <v>39</v>
      </c>
      <c r="Y4" s="53" t="s">
        <v>97</v>
      </c>
      <c r="Z4" s="53" t="s">
        <v>86</v>
      </c>
      <c r="AA4" s="53" t="s">
        <v>47</v>
      </c>
      <c r="AB4" s="104" t="s">
        <v>236</v>
      </c>
      <c r="AC4" s="34"/>
      <c r="AE4" s="22" t="s">
        <v>34</v>
      </c>
      <c r="AG4" s="49" t="s">
        <v>266</v>
      </c>
      <c r="AH4" s="49" t="s">
        <v>267</v>
      </c>
      <c r="AJ4" s="27" t="s">
        <v>48</v>
      </c>
      <c r="AL4" s="27" t="s">
        <v>129</v>
      </c>
      <c r="AN4" s="28" t="s">
        <v>49</v>
      </c>
      <c r="AP4" s="23" t="s">
        <v>93</v>
      </c>
      <c r="AR4" s="23" t="s">
        <v>121</v>
      </c>
      <c r="AT4" s="28"/>
      <c r="AV4" s="23" t="s">
        <v>50</v>
      </c>
      <c r="AX4" s="24">
        <v>75</v>
      </c>
      <c r="AY4" s="25">
        <v>42</v>
      </c>
      <c r="AZ4" s="25">
        <v>76</v>
      </c>
      <c r="BA4" s="26">
        <v>39</v>
      </c>
    </row>
    <row r="5" spans="1:53" x14ac:dyDescent="0.15">
      <c r="A5" s="104" t="s">
        <v>61</v>
      </c>
      <c r="B5" s="104" t="s">
        <v>232</v>
      </c>
      <c r="C5" s="104">
        <v>2019</v>
      </c>
      <c r="D5" s="105" t="s">
        <v>165</v>
      </c>
      <c r="E5" s="104" t="s">
        <v>262</v>
      </c>
      <c r="F5" s="104" t="s">
        <v>263</v>
      </c>
      <c r="G5" s="104" t="s">
        <v>42</v>
      </c>
      <c r="H5" s="53" t="s">
        <v>160</v>
      </c>
      <c r="I5" s="53" t="s">
        <v>159</v>
      </c>
      <c r="J5" s="104" t="s">
        <v>38</v>
      </c>
      <c r="K5" s="53" t="s">
        <v>161</v>
      </c>
      <c r="L5" s="53">
        <v>1</v>
      </c>
      <c r="N5" s="53">
        <v>1</v>
      </c>
      <c r="O5" s="53">
        <v>0.5</v>
      </c>
      <c r="P5" s="53">
        <v>0.5</v>
      </c>
      <c r="Q5" s="84">
        <f t="shared" si="0"/>
        <v>0.5</v>
      </c>
      <c r="R5" s="53">
        <v>17.600000000000001</v>
      </c>
      <c r="S5" s="53">
        <v>143</v>
      </c>
      <c r="T5" s="16">
        <f t="shared" si="1"/>
        <v>22</v>
      </c>
      <c r="U5" s="53">
        <v>118</v>
      </c>
      <c r="V5" s="106">
        <f t="shared" si="2"/>
        <v>2596</v>
      </c>
      <c r="W5" s="53">
        <v>4</v>
      </c>
      <c r="X5" s="104" t="s">
        <v>39</v>
      </c>
      <c r="Y5" s="53" t="s">
        <v>97</v>
      </c>
      <c r="Z5" s="53" t="s">
        <v>86</v>
      </c>
      <c r="AA5" s="53" t="s">
        <v>47</v>
      </c>
      <c r="AB5" s="104" t="s">
        <v>236</v>
      </c>
      <c r="AC5" s="34"/>
      <c r="AE5" s="22" t="s">
        <v>51</v>
      </c>
      <c r="AG5" s="49" t="s">
        <v>268</v>
      </c>
      <c r="AH5" s="49" t="s">
        <v>269</v>
      </c>
      <c r="AJ5" s="27"/>
      <c r="AL5" s="82" t="s">
        <v>66</v>
      </c>
      <c r="AN5" s="82" t="s">
        <v>52</v>
      </c>
      <c r="AP5" s="23" t="s">
        <v>119</v>
      </c>
      <c r="AR5" s="23" t="s">
        <v>54</v>
      </c>
      <c r="AV5" s="23" t="s">
        <v>55</v>
      </c>
      <c r="AX5" s="24">
        <v>84</v>
      </c>
      <c r="AY5" s="25">
        <v>39</v>
      </c>
      <c r="AZ5" s="25">
        <v>84</v>
      </c>
      <c r="BA5" s="26">
        <v>36</v>
      </c>
    </row>
    <row r="6" spans="1:53" x14ac:dyDescent="0.15">
      <c r="A6" s="104" t="s">
        <v>61</v>
      </c>
      <c r="B6" s="104" t="s">
        <v>232</v>
      </c>
      <c r="C6" s="104">
        <v>2019</v>
      </c>
      <c r="D6" s="105" t="s">
        <v>165</v>
      </c>
      <c r="E6" s="104" t="s">
        <v>262</v>
      </c>
      <c r="F6" s="104" t="s">
        <v>263</v>
      </c>
      <c r="G6" s="104" t="s">
        <v>42</v>
      </c>
      <c r="H6" s="53" t="s">
        <v>160</v>
      </c>
      <c r="I6" s="53" t="s">
        <v>159</v>
      </c>
      <c r="J6" s="104" t="s">
        <v>38</v>
      </c>
      <c r="K6" s="53" t="s">
        <v>161</v>
      </c>
      <c r="L6" s="53">
        <v>2</v>
      </c>
      <c r="N6" s="53">
        <v>1</v>
      </c>
      <c r="O6" s="53">
        <v>0.5</v>
      </c>
      <c r="P6" s="53">
        <v>0.5</v>
      </c>
      <c r="Q6" s="84">
        <f t="shared" si="0"/>
        <v>0.5</v>
      </c>
      <c r="R6" s="53">
        <v>19.100000000000001</v>
      </c>
      <c r="S6" s="53">
        <v>143</v>
      </c>
      <c r="T6" s="16">
        <f t="shared" si="1"/>
        <v>22</v>
      </c>
      <c r="U6" s="53">
        <v>118</v>
      </c>
      <c r="V6" s="106">
        <f t="shared" si="2"/>
        <v>2596</v>
      </c>
      <c r="W6" s="53">
        <v>4</v>
      </c>
      <c r="X6" s="104" t="s">
        <v>39</v>
      </c>
      <c r="Y6" s="53" t="s">
        <v>97</v>
      </c>
      <c r="Z6" s="53" t="s">
        <v>86</v>
      </c>
      <c r="AA6" s="53" t="s">
        <v>47</v>
      </c>
      <c r="AB6" s="104" t="s">
        <v>236</v>
      </c>
      <c r="AC6" s="34"/>
      <c r="AE6" s="22" t="s">
        <v>56</v>
      </c>
      <c r="AG6" s="49" t="s">
        <v>270</v>
      </c>
      <c r="AH6" s="49" t="s">
        <v>271</v>
      </c>
      <c r="AJ6" s="27"/>
      <c r="AL6" s="82" t="s">
        <v>99</v>
      </c>
      <c r="AN6" s="82" t="s">
        <v>57</v>
      </c>
      <c r="AP6" s="23" t="s">
        <v>53</v>
      </c>
      <c r="AR6" s="23" t="s">
        <v>59</v>
      </c>
      <c r="AV6" s="23" t="s">
        <v>60</v>
      </c>
      <c r="AX6" s="24">
        <v>97</v>
      </c>
      <c r="AY6" s="25">
        <v>36</v>
      </c>
      <c r="AZ6" s="25">
        <v>99</v>
      </c>
      <c r="BA6" s="26">
        <v>33</v>
      </c>
    </row>
    <row r="7" spans="1:53" x14ac:dyDescent="0.15">
      <c r="A7" s="104" t="s">
        <v>61</v>
      </c>
      <c r="B7" s="104" t="s">
        <v>232</v>
      </c>
      <c r="C7" s="104">
        <v>2019</v>
      </c>
      <c r="D7" s="105" t="s">
        <v>165</v>
      </c>
      <c r="E7" s="104" t="s">
        <v>262</v>
      </c>
      <c r="F7" s="104" t="s">
        <v>263</v>
      </c>
      <c r="G7" s="104" t="s">
        <v>42</v>
      </c>
      <c r="H7" s="53" t="s">
        <v>160</v>
      </c>
      <c r="I7" s="53" t="s">
        <v>159</v>
      </c>
      <c r="J7" s="104" t="s">
        <v>38</v>
      </c>
      <c r="K7" s="53" t="s">
        <v>161</v>
      </c>
      <c r="L7" s="53">
        <v>3</v>
      </c>
      <c r="N7" s="53">
        <v>1</v>
      </c>
      <c r="O7" s="53">
        <v>0.5</v>
      </c>
      <c r="P7" s="53">
        <v>0.5</v>
      </c>
      <c r="Q7" s="84">
        <f t="shared" si="0"/>
        <v>0.5</v>
      </c>
      <c r="R7" s="53">
        <v>17.600000000000001</v>
      </c>
      <c r="S7" s="53">
        <v>139</v>
      </c>
      <c r="T7" s="16">
        <f t="shared" si="1"/>
        <v>22</v>
      </c>
      <c r="U7" s="53">
        <v>118</v>
      </c>
      <c r="V7" s="106">
        <f t="shared" si="2"/>
        <v>2596</v>
      </c>
      <c r="W7" s="53">
        <v>4</v>
      </c>
      <c r="X7" s="104" t="s">
        <v>39</v>
      </c>
      <c r="Y7" s="53" t="s">
        <v>97</v>
      </c>
      <c r="Z7" s="53" t="s">
        <v>86</v>
      </c>
      <c r="AA7" s="53" t="s">
        <v>47</v>
      </c>
      <c r="AB7" s="104" t="s">
        <v>236</v>
      </c>
      <c r="AC7" s="34"/>
      <c r="AE7" s="22" t="s">
        <v>61</v>
      </c>
      <c r="AG7" s="49" t="s">
        <v>272</v>
      </c>
      <c r="AH7" s="49" t="s">
        <v>273</v>
      </c>
      <c r="AJ7" s="27"/>
      <c r="AL7" s="34" t="s">
        <v>109</v>
      </c>
      <c r="AN7" s="82"/>
      <c r="AP7" s="23" t="s">
        <v>58</v>
      </c>
      <c r="AR7" s="23" t="s">
        <v>122</v>
      </c>
      <c r="AV7" s="23" t="s">
        <v>64</v>
      </c>
      <c r="AX7" s="24">
        <v>109</v>
      </c>
      <c r="AY7" s="25">
        <v>33</v>
      </c>
      <c r="AZ7" s="25">
        <v>113</v>
      </c>
      <c r="BA7" s="26">
        <v>30</v>
      </c>
    </row>
    <row r="8" spans="1:53" x14ac:dyDescent="0.15">
      <c r="A8" s="104" t="s">
        <v>61</v>
      </c>
      <c r="B8" s="104" t="s">
        <v>232</v>
      </c>
      <c r="C8" s="104">
        <v>2019</v>
      </c>
      <c r="D8" s="105" t="s">
        <v>165</v>
      </c>
      <c r="E8" s="104" t="s">
        <v>264</v>
      </c>
      <c r="F8" s="104" t="s">
        <v>265</v>
      </c>
      <c r="G8" s="104" t="s">
        <v>42</v>
      </c>
      <c r="H8" s="53" t="s">
        <v>164</v>
      </c>
      <c r="I8" s="53" t="s">
        <v>159</v>
      </c>
      <c r="J8" s="104" t="s">
        <v>38</v>
      </c>
      <c r="K8" s="53" t="s">
        <v>161</v>
      </c>
      <c r="L8" s="53">
        <v>1</v>
      </c>
      <c r="N8" s="53">
        <v>4</v>
      </c>
      <c r="O8" s="53">
        <v>0.65</v>
      </c>
      <c r="P8" s="53">
        <v>0.75</v>
      </c>
      <c r="Q8" s="84">
        <f t="shared" si="0"/>
        <v>0.7</v>
      </c>
      <c r="R8" s="53">
        <v>16.100000000000001</v>
      </c>
      <c r="S8" s="53">
        <v>108</v>
      </c>
      <c r="T8" s="16">
        <f t="shared" si="1"/>
        <v>33</v>
      </c>
      <c r="U8" s="53">
        <v>398</v>
      </c>
      <c r="V8" s="106">
        <f t="shared" si="2"/>
        <v>3283.5</v>
      </c>
      <c r="W8" s="53">
        <v>5</v>
      </c>
      <c r="X8" s="104" t="s">
        <v>46</v>
      </c>
      <c r="Y8" s="53" t="s">
        <v>97</v>
      </c>
      <c r="Z8" s="53" t="s">
        <v>88</v>
      </c>
      <c r="AA8" s="53" t="s">
        <v>78</v>
      </c>
      <c r="AB8" s="104" t="s">
        <v>236</v>
      </c>
      <c r="AC8" s="34"/>
      <c r="AE8" s="22" t="s">
        <v>59</v>
      </c>
      <c r="AG8" s="49" t="s">
        <v>274</v>
      </c>
      <c r="AH8" s="49" t="s">
        <v>275</v>
      </c>
      <c r="AJ8" s="28"/>
      <c r="AL8" s="34" t="s">
        <v>134</v>
      </c>
      <c r="AN8" s="82"/>
      <c r="AP8" s="23" t="s">
        <v>62</v>
      </c>
      <c r="AR8" s="23" t="s">
        <v>81</v>
      </c>
      <c r="AV8" s="23" t="s">
        <v>97</v>
      </c>
      <c r="AX8" s="24">
        <v>119</v>
      </c>
      <c r="AY8" s="25">
        <v>30</v>
      </c>
      <c r="AZ8" s="25">
        <v>121</v>
      </c>
      <c r="BA8" s="26">
        <v>27</v>
      </c>
    </row>
    <row r="9" spans="1:53" x14ac:dyDescent="0.15">
      <c r="A9" s="104" t="s">
        <v>61</v>
      </c>
      <c r="B9" s="104" t="s">
        <v>232</v>
      </c>
      <c r="C9" s="104">
        <v>2019</v>
      </c>
      <c r="D9" s="105" t="s">
        <v>165</v>
      </c>
      <c r="E9" s="104" t="s">
        <v>264</v>
      </c>
      <c r="F9" s="104" t="s">
        <v>265</v>
      </c>
      <c r="G9" s="104" t="s">
        <v>42</v>
      </c>
      <c r="H9" s="53" t="s">
        <v>164</v>
      </c>
      <c r="I9" s="53" t="s">
        <v>159</v>
      </c>
      <c r="J9" s="104" t="s">
        <v>38</v>
      </c>
      <c r="K9" s="53" t="s">
        <v>161</v>
      </c>
      <c r="L9" s="53">
        <v>2</v>
      </c>
      <c r="N9" s="53">
        <v>4</v>
      </c>
      <c r="O9" s="53">
        <v>0.5</v>
      </c>
      <c r="P9" s="53">
        <v>0.7</v>
      </c>
      <c r="Q9" s="84">
        <f t="shared" si="0"/>
        <v>0.6</v>
      </c>
      <c r="R9" s="34">
        <v>17.2</v>
      </c>
      <c r="S9" s="53">
        <v>110</v>
      </c>
      <c r="T9" s="16">
        <f t="shared" si="1"/>
        <v>33</v>
      </c>
      <c r="U9" s="53">
        <v>398</v>
      </c>
      <c r="V9" s="106">
        <f t="shared" si="2"/>
        <v>3283.5</v>
      </c>
      <c r="W9" s="53">
        <v>5</v>
      </c>
      <c r="X9" s="104" t="s">
        <v>46</v>
      </c>
      <c r="Y9" s="53" t="s">
        <v>97</v>
      </c>
      <c r="Z9" s="53" t="s">
        <v>88</v>
      </c>
      <c r="AA9" s="53" t="s">
        <v>78</v>
      </c>
      <c r="AB9" s="104" t="s">
        <v>236</v>
      </c>
      <c r="AC9" s="34"/>
      <c r="AE9" s="22" t="s">
        <v>98</v>
      </c>
      <c r="AG9" s="49" t="s">
        <v>133</v>
      </c>
      <c r="AH9" s="49" t="s">
        <v>276</v>
      </c>
      <c r="AL9" s="82"/>
      <c r="AN9" s="82"/>
      <c r="AP9" s="23" t="s">
        <v>95</v>
      </c>
      <c r="AR9" s="23" t="s">
        <v>89</v>
      </c>
      <c r="AV9" s="23" t="s">
        <v>102</v>
      </c>
      <c r="AX9" s="24">
        <v>128</v>
      </c>
      <c r="AY9" s="25">
        <v>27</v>
      </c>
      <c r="AZ9" s="25">
        <v>129</v>
      </c>
      <c r="BA9" s="26">
        <v>25</v>
      </c>
    </row>
    <row r="10" spans="1:53" x14ac:dyDescent="0.15">
      <c r="A10" s="104" t="s">
        <v>61</v>
      </c>
      <c r="B10" s="104" t="s">
        <v>232</v>
      </c>
      <c r="C10" s="104">
        <v>2019</v>
      </c>
      <c r="D10" s="105" t="s">
        <v>165</v>
      </c>
      <c r="E10" s="104" t="s">
        <v>264</v>
      </c>
      <c r="F10" s="104" t="s">
        <v>265</v>
      </c>
      <c r="G10" s="104" t="s">
        <v>42</v>
      </c>
      <c r="H10" s="53" t="s">
        <v>164</v>
      </c>
      <c r="I10" s="53" t="s">
        <v>159</v>
      </c>
      <c r="J10" s="104" t="s">
        <v>38</v>
      </c>
      <c r="K10" s="53" t="s">
        <v>161</v>
      </c>
      <c r="L10" s="53">
        <v>3</v>
      </c>
      <c r="N10" s="53">
        <v>4</v>
      </c>
      <c r="O10" s="53">
        <v>0.7</v>
      </c>
      <c r="P10" s="53">
        <v>0.75</v>
      </c>
      <c r="Q10" s="84">
        <f t="shared" si="0"/>
        <v>0.72499999999999998</v>
      </c>
      <c r="R10" s="53">
        <v>14.4</v>
      </c>
      <c r="S10" s="53">
        <v>109</v>
      </c>
      <c r="T10" s="16">
        <f t="shared" si="1"/>
        <v>33</v>
      </c>
      <c r="U10" s="53">
        <v>398</v>
      </c>
      <c r="V10" s="106">
        <f t="shared" si="2"/>
        <v>3283.5</v>
      </c>
      <c r="W10" s="53">
        <v>5</v>
      </c>
      <c r="X10" s="104" t="s">
        <v>46</v>
      </c>
      <c r="Y10" s="53" t="s">
        <v>97</v>
      </c>
      <c r="Z10" s="53" t="s">
        <v>88</v>
      </c>
      <c r="AA10" s="53" t="s">
        <v>78</v>
      </c>
      <c r="AB10" s="104" t="s">
        <v>236</v>
      </c>
      <c r="AC10" s="34"/>
      <c r="AE10" s="22" t="s">
        <v>103</v>
      </c>
      <c r="AG10" s="49" t="s">
        <v>277</v>
      </c>
      <c r="AH10" s="49" t="s">
        <v>278</v>
      </c>
      <c r="AL10" s="27"/>
      <c r="AP10" s="23" t="s">
        <v>100</v>
      </c>
      <c r="AR10" s="23" t="s">
        <v>123</v>
      </c>
      <c r="AV10" s="23" t="s">
        <v>106</v>
      </c>
      <c r="AX10" s="24">
        <v>138</v>
      </c>
      <c r="AY10" s="25">
        <v>25</v>
      </c>
      <c r="AZ10" s="25">
        <v>138</v>
      </c>
      <c r="BA10" s="26">
        <v>22</v>
      </c>
    </row>
    <row r="11" spans="1:53" x14ac:dyDescent="0.15">
      <c r="A11" s="104" t="s">
        <v>61</v>
      </c>
      <c r="B11" s="104" t="s">
        <v>232</v>
      </c>
      <c r="C11" s="104">
        <v>2019</v>
      </c>
      <c r="D11" s="105" t="s">
        <v>165</v>
      </c>
      <c r="E11" s="104" t="s">
        <v>264</v>
      </c>
      <c r="F11" s="104" t="s">
        <v>265</v>
      </c>
      <c r="G11" s="104" t="s">
        <v>42</v>
      </c>
      <c r="H11" s="53" t="s">
        <v>160</v>
      </c>
      <c r="I11" s="53" t="s">
        <v>159</v>
      </c>
      <c r="J11" s="104" t="s">
        <v>38</v>
      </c>
      <c r="K11" s="53" t="s">
        <v>161</v>
      </c>
      <c r="L11" s="53">
        <v>1</v>
      </c>
      <c r="N11" s="53">
        <v>1</v>
      </c>
      <c r="O11" s="53">
        <v>0.6</v>
      </c>
      <c r="P11" s="53">
        <v>0.75</v>
      </c>
      <c r="Q11" s="84">
        <f t="shared" si="0"/>
        <v>0.67500000000000004</v>
      </c>
      <c r="R11" s="53">
        <v>16.899999999999999</v>
      </c>
      <c r="S11" s="53">
        <v>120</v>
      </c>
      <c r="T11" s="16">
        <f t="shared" si="1"/>
        <v>30</v>
      </c>
      <c r="U11" s="53">
        <v>158</v>
      </c>
      <c r="V11" s="106">
        <f t="shared" si="2"/>
        <v>4740</v>
      </c>
      <c r="W11" s="53">
        <v>5</v>
      </c>
      <c r="X11" s="104" t="s">
        <v>46</v>
      </c>
      <c r="Y11" s="53" t="s">
        <v>97</v>
      </c>
      <c r="Z11" s="53" t="s">
        <v>88</v>
      </c>
      <c r="AA11" s="53" t="s">
        <v>78</v>
      </c>
      <c r="AB11" s="104" t="s">
        <v>236</v>
      </c>
      <c r="AC11" s="34"/>
      <c r="AE11" s="22" t="s">
        <v>65</v>
      </c>
      <c r="AG11" s="49" t="s">
        <v>279</v>
      </c>
      <c r="AH11" s="49" t="s">
        <v>278</v>
      </c>
      <c r="AL11" s="111"/>
      <c r="AP11" s="23" t="s">
        <v>104</v>
      </c>
      <c r="AR11" s="23" t="s">
        <v>87</v>
      </c>
      <c r="AV11" s="112" t="s">
        <v>280</v>
      </c>
      <c r="AX11" s="24">
        <v>151</v>
      </c>
      <c r="AY11" s="25">
        <v>22</v>
      </c>
      <c r="AZ11" s="25">
        <v>152</v>
      </c>
      <c r="BA11" s="26">
        <v>18</v>
      </c>
    </row>
    <row r="12" spans="1:53" x14ac:dyDescent="0.15">
      <c r="A12" s="104" t="s">
        <v>61</v>
      </c>
      <c r="B12" s="104" t="s">
        <v>232</v>
      </c>
      <c r="C12" s="104">
        <v>2019</v>
      </c>
      <c r="D12" s="105" t="s">
        <v>165</v>
      </c>
      <c r="E12" s="104" t="s">
        <v>264</v>
      </c>
      <c r="F12" s="104" t="s">
        <v>265</v>
      </c>
      <c r="G12" s="104" t="s">
        <v>42</v>
      </c>
      <c r="H12" s="53" t="s">
        <v>160</v>
      </c>
      <c r="I12" s="53" t="s">
        <v>159</v>
      </c>
      <c r="J12" s="104" t="s">
        <v>38</v>
      </c>
      <c r="K12" s="53" t="s">
        <v>161</v>
      </c>
      <c r="L12" s="53">
        <v>2</v>
      </c>
      <c r="N12" s="53">
        <v>1</v>
      </c>
      <c r="O12" s="53">
        <v>0.65</v>
      </c>
      <c r="P12" s="53">
        <v>1.05</v>
      </c>
      <c r="Q12" s="84">
        <f t="shared" si="0"/>
        <v>0.85000000000000009</v>
      </c>
      <c r="R12" s="34">
        <v>18.100000000000001</v>
      </c>
      <c r="S12" s="53">
        <v>110</v>
      </c>
      <c r="T12" s="16">
        <f t="shared" si="1"/>
        <v>33</v>
      </c>
      <c r="U12" s="53">
        <v>158</v>
      </c>
      <c r="V12" s="106">
        <f t="shared" si="2"/>
        <v>5214</v>
      </c>
      <c r="W12" s="53">
        <v>5</v>
      </c>
      <c r="X12" s="104" t="s">
        <v>46</v>
      </c>
      <c r="Y12" s="53" t="s">
        <v>97</v>
      </c>
      <c r="Z12" s="53" t="s">
        <v>88</v>
      </c>
      <c r="AA12" s="53" t="s">
        <v>78</v>
      </c>
      <c r="AB12" s="104" t="s">
        <v>236</v>
      </c>
      <c r="AC12" s="34"/>
      <c r="AE12" s="22" t="s">
        <v>70</v>
      </c>
      <c r="AG12" s="23"/>
      <c r="AH12" s="22"/>
      <c r="AL12" s="111"/>
      <c r="AP12" s="23" t="s">
        <v>67</v>
      </c>
      <c r="AR12" s="23" t="s">
        <v>124</v>
      </c>
      <c r="AV12" s="112" t="s">
        <v>281</v>
      </c>
      <c r="AX12" s="24">
        <v>180</v>
      </c>
      <c r="AY12" s="25">
        <v>18</v>
      </c>
      <c r="AZ12" s="25">
        <v>181</v>
      </c>
      <c r="BA12" s="26">
        <v>16</v>
      </c>
    </row>
    <row r="13" spans="1:53" x14ac:dyDescent="0.15">
      <c r="A13" s="104" t="s">
        <v>61</v>
      </c>
      <c r="B13" s="104" t="s">
        <v>232</v>
      </c>
      <c r="C13" s="104">
        <v>2019</v>
      </c>
      <c r="D13" s="105" t="s">
        <v>165</v>
      </c>
      <c r="E13" s="104" t="s">
        <v>264</v>
      </c>
      <c r="F13" s="104" t="s">
        <v>265</v>
      </c>
      <c r="G13" s="104" t="s">
        <v>42</v>
      </c>
      <c r="H13" s="53" t="s">
        <v>160</v>
      </c>
      <c r="I13" s="53" t="s">
        <v>159</v>
      </c>
      <c r="J13" s="104" t="s">
        <v>38</v>
      </c>
      <c r="K13" s="53" t="s">
        <v>161</v>
      </c>
      <c r="L13" s="53">
        <v>3</v>
      </c>
      <c r="N13" s="53">
        <v>1</v>
      </c>
      <c r="O13" s="53">
        <v>0.88500000000000001</v>
      </c>
      <c r="P13" s="53">
        <v>1</v>
      </c>
      <c r="Q13" s="84">
        <f t="shared" si="0"/>
        <v>0.9425</v>
      </c>
      <c r="R13" s="53">
        <v>18.399999999999999</v>
      </c>
      <c r="S13" s="53">
        <v>123</v>
      </c>
      <c r="T13" s="16">
        <f t="shared" si="1"/>
        <v>27</v>
      </c>
      <c r="U13" s="53">
        <v>158</v>
      </c>
      <c r="V13" s="106">
        <f t="shared" si="2"/>
        <v>4266</v>
      </c>
      <c r="W13" s="53">
        <v>5</v>
      </c>
      <c r="X13" s="104" t="s">
        <v>46</v>
      </c>
      <c r="Y13" s="53" t="s">
        <v>97</v>
      </c>
      <c r="Z13" s="53" t="s">
        <v>88</v>
      </c>
      <c r="AA13" s="53" t="s">
        <v>78</v>
      </c>
      <c r="AB13" s="104" t="s">
        <v>236</v>
      </c>
      <c r="AC13" s="34"/>
      <c r="AE13" s="22" t="s">
        <v>73</v>
      </c>
      <c r="AG13" s="23"/>
      <c r="AH13" s="22"/>
      <c r="AL13" s="113"/>
      <c r="AP13" s="23" t="s">
        <v>71</v>
      </c>
      <c r="AR13" s="23" t="s">
        <v>103</v>
      </c>
      <c r="AV13" s="112" t="s">
        <v>282</v>
      </c>
      <c r="AX13" s="24"/>
      <c r="AY13" s="25"/>
      <c r="AZ13" s="25"/>
      <c r="BA13" s="26"/>
    </row>
    <row r="14" spans="1:53" x14ac:dyDescent="0.15">
      <c r="A14" s="104" t="s">
        <v>61</v>
      </c>
      <c r="B14" s="104" t="s">
        <v>232</v>
      </c>
      <c r="C14" s="104">
        <v>2019</v>
      </c>
      <c r="D14" s="105" t="s">
        <v>165</v>
      </c>
      <c r="E14" s="104" t="s">
        <v>266</v>
      </c>
      <c r="F14" s="104" t="s">
        <v>267</v>
      </c>
      <c r="G14" s="104" t="s">
        <v>42</v>
      </c>
      <c r="H14" s="53" t="s">
        <v>164</v>
      </c>
      <c r="I14" s="53" t="s">
        <v>159</v>
      </c>
      <c r="J14" s="104" t="s">
        <v>38</v>
      </c>
      <c r="K14" s="53" t="s">
        <v>161</v>
      </c>
      <c r="L14" s="53">
        <v>1</v>
      </c>
      <c r="N14" s="53">
        <v>4</v>
      </c>
      <c r="O14" s="53">
        <v>0.65</v>
      </c>
      <c r="P14" s="53">
        <v>0.75</v>
      </c>
      <c r="Q14" s="84">
        <f t="shared" si="0"/>
        <v>0.7</v>
      </c>
      <c r="R14" s="53">
        <v>17.3</v>
      </c>
      <c r="S14" s="53">
        <v>87</v>
      </c>
      <c r="T14" s="16">
        <f t="shared" si="1"/>
        <v>36</v>
      </c>
      <c r="U14" s="53">
        <v>298</v>
      </c>
      <c r="V14" s="106">
        <f t="shared" si="2"/>
        <v>2682</v>
      </c>
      <c r="W14" s="53">
        <v>12</v>
      </c>
      <c r="X14" s="104" t="s">
        <v>46</v>
      </c>
      <c r="Y14" s="53" t="s">
        <v>69</v>
      </c>
      <c r="Z14" s="53" t="s">
        <v>97</v>
      </c>
      <c r="AA14" s="53" t="s">
        <v>55</v>
      </c>
      <c r="AB14" s="104" t="s">
        <v>236</v>
      </c>
      <c r="AC14" s="34"/>
      <c r="AE14" s="22" t="s">
        <v>76</v>
      </c>
      <c r="AG14" s="23"/>
      <c r="AH14" s="22"/>
      <c r="AL14" s="34"/>
      <c r="AP14" s="23" t="s">
        <v>74</v>
      </c>
      <c r="AR14" s="23" t="s">
        <v>125</v>
      </c>
      <c r="AV14" s="112" t="s">
        <v>283</v>
      </c>
      <c r="AX14" s="24"/>
      <c r="AY14" s="25"/>
      <c r="AZ14" s="25"/>
      <c r="BA14" s="26"/>
    </row>
    <row r="15" spans="1:53" x14ac:dyDescent="0.15">
      <c r="A15" s="104" t="s">
        <v>61</v>
      </c>
      <c r="B15" s="104" t="s">
        <v>232</v>
      </c>
      <c r="C15" s="104">
        <v>2019</v>
      </c>
      <c r="D15" s="105" t="s">
        <v>165</v>
      </c>
      <c r="E15" s="104" t="s">
        <v>266</v>
      </c>
      <c r="F15" s="104" t="s">
        <v>267</v>
      </c>
      <c r="G15" s="104" t="s">
        <v>42</v>
      </c>
      <c r="H15" s="53" t="s">
        <v>164</v>
      </c>
      <c r="I15" s="53" t="s">
        <v>159</v>
      </c>
      <c r="J15" s="104" t="s">
        <v>38</v>
      </c>
      <c r="K15" s="53" t="s">
        <v>161</v>
      </c>
      <c r="L15" s="53">
        <v>2</v>
      </c>
      <c r="N15" s="53">
        <v>4</v>
      </c>
      <c r="O15" s="53">
        <v>0.5</v>
      </c>
      <c r="P15" s="53">
        <v>0.7</v>
      </c>
      <c r="Q15" s="84">
        <f t="shared" si="0"/>
        <v>0.6</v>
      </c>
      <c r="R15" s="34">
        <v>17.600000000000001</v>
      </c>
      <c r="S15" s="53">
        <v>79</v>
      </c>
      <c r="T15" s="16">
        <f t="shared" si="1"/>
        <v>39</v>
      </c>
      <c r="U15" s="53">
        <v>298</v>
      </c>
      <c r="V15" s="106">
        <f t="shared" si="2"/>
        <v>2905.5</v>
      </c>
      <c r="W15" s="53">
        <v>12</v>
      </c>
      <c r="X15" s="104" t="s">
        <v>46</v>
      </c>
      <c r="Y15" s="53" t="s">
        <v>69</v>
      </c>
      <c r="Z15" s="53" t="s">
        <v>97</v>
      </c>
      <c r="AA15" s="53" t="s">
        <v>55</v>
      </c>
      <c r="AB15" s="104" t="s">
        <v>236</v>
      </c>
      <c r="AC15" s="34"/>
      <c r="AE15" s="22" t="s">
        <v>79</v>
      </c>
      <c r="AG15" s="23"/>
      <c r="AH15" s="23"/>
      <c r="AL15" s="34"/>
      <c r="AP15" s="23" t="s">
        <v>77</v>
      </c>
      <c r="AR15" s="23" t="s">
        <v>94</v>
      </c>
      <c r="AV15" s="112" t="s">
        <v>284</v>
      </c>
      <c r="AX15" s="31"/>
      <c r="AY15" s="32"/>
      <c r="AZ15" s="32"/>
      <c r="BA15" s="33"/>
    </row>
    <row r="16" spans="1:53" x14ac:dyDescent="0.15">
      <c r="A16" s="104" t="s">
        <v>61</v>
      </c>
      <c r="B16" s="104" t="s">
        <v>232</v>
      </c>
      <c r="C16" s="104">
        <v>2019</v>
      </c>
      <c r="D16" s="105" t="s">
        <v>165</v>
      </c>
      <c r="E16" s="104" t="s">
        <v>266</v>
      </c>
      <c r="F16" s="104" t="s">
        <v>267</v>
      </c>
      <c r="G16" s="104" t="s">
        <v>42</v>
      </c>
      <c r="H16" s="53" t="s">
        <v>164</v>
      </c>
      <c r="I16" s="53" t="s">
        <v>159</v>
      </c>
      <c r="J16" s="104" t="s">
        <v>38</v>
      </c>
      <c r="K16" s="53" t="s">
        <v>161</v>
      </c>
      <c r="L16" s="53">
        <v>3</v>
      </c>
      <c r="N16" s="53">
        <v>4</v>
      </c>
      <c r="O16" s="53">
        <v>0.7</v>
      </c>
      <c r="P16" s="53">
        <v>0.75</v>
      </c>
      <c r="Q16" s="84">
        <f t="shared" si="0"/>
        <v>0.72499999999999998</v>
      </c>
      <c r="R16" s="53">
        <v>17.3</v>
      </c>
      <c r="S16" s="53">
        <v>81</v>
      </c>
      <c r="T16" s="16">
        <f t="shared" si="1"/>
        <v>39</v>
      </c>
      <c r="U16" s="53">
        <v>298</v>
      </c>
      <c r="V16" s="106">
        <f t="shared" si="2"/>
        <v>2905.5</v>
      </c>
      <c r="W16" s="53">
        <v>12</v>
      </c>
      <c r="X16" s="104" t="s">
        <v>46</v>
      </c>
      <c r="Y16" s="53" t="s">
        <v>69</v>
      </c>
      <c r="Z16" s="53" t="s">
        <v>97</v>
      </c>
      <c r="AA16" s="53" t="s">
        <v>55</v>
      </c>
      <c r="AB16" s="104" t="s">
        <v>236</v>
      </c>
      <c r="AC16" s="34"/>
      <c r="AE16" s="22" t="s">
        <v>82</v>
      </c>
      <c r="AG16" s="23"/>
      <c r="AH16" s="23"/>
      <c r="AP16" s="23" t="s">
        <v>80</v>
      </c>
      <c r="AR16" s="23" t="s">
        <v>63</v>
      </c>
      <c r="AV16" s="112" t="s">
        <v>285</v>
      </c>
    </row>
    <row r="17" spans="1:48" x14ac:dyDescent="0.15">
      <c r="A17" s="104" t="s">
        <v>61</v>
      </c>
      <c r="B17" s="104" t="s">
        <v>232</v>
      </c>
      <c r="C17" s="104">
        <v>2019</v>
      </c>
      <c r="D17" s="105" t="s">
        <v>165</v>
      </c>
      <c r="E17" s="104" t="s">
        <v>266</v>
      </c>
      <c r="F17" s="104" t="s">
        <v>267</v>
      </c>
      <c r="G17" s="104" t="s">
        <v>42</v>
      </c>
      <c r="H17" s="53" t="s">
        <v>160</v>
      </c>
      <c r="I17" s="53" t="s">
        <v>159</v>
      </c>
      <c r="J17" s="104" t="s">
        <v>38</v>
      </c>
      <c r="K17" s="53" t="s">
        <v>161</v>
      </c>
      <c r="L17" s="53">
        <v>1</v>
      </c>
      <c r="N17" s="53">
        <v>4</v>
      </c>
      <c r="O17" s="53">
        <v>0.5</v>
      </c>
      <c r="P17" s="53">
        <v>0.5</v>
      </c>
      <c r="Q17" s="84">
        <f t="shared" si="0"/>
        <v>0.5</v>
      </c>
      <c r="R17" s="53">
        <v>18.2</v>
      </c>
      <c r="S17" s="53">
        <v>140</v>
      </c>
      <c r="T17" s="16">
        <f t="shared" si="1"/>
        <v>22</v>
      </c>
      <c r="U17" s="53">
        <v>398</v>
      </c>
      <c r="V17" s="106">
        <f t="shared" si="2"/>
        <v>2189</v>
      </c>
      <c r="W17" s="53">
        <v>12</v>
      </c>
      <c r="X17" s="104" t="s">
        <v>46</v>
      </c>
      <c r="Y17" s="53" t="s">
        <v>69</v>
      </c>
      <c r="Z17" s="53" t="s">
        <v>97</v>
      </c>
      <c r="AA17" s="53" t="s">
        <v>55</v>
      </c>
      <c r="AB17" s="104" t="s">
        <v>236</v>
      </c>
      <c r="AC17" s="34"/>
      <c r="AE17" s="22" t="s">
        <v>85</v>
      </c>
      <c r="AP17" s="27" t="s">
        <v>110</v>
      </c>
      <c r="AR17" s="23" t="s">
        <v>96</v>
      </c>
      <c r="AV17" s="112" t="s">
        <v>254</v>
      </c>
    </row>
    <row r="18" spans="1:48" x14ac:dyDescent="0.15">
      <c r="A18" s="104" t="s">
        <v>61</v>
      </c>
      <c r="B18" s="104" t="s">
        <v>232</v>
      </c>
      <c r="C18" s="104">
        <v>2019</v>
      </c>
      <c r="D18" s="105" t="s">
        <v>165</v>
      </c>
      <c r="E18" s="104" t="s">
        <v>266</v>
      </c>
      <c r="F18" s="104" t="s">
        <v>267</v>
      </c>
      <c r="G18" s="104" t="s">
        <v>42</v>
      </c>
      <c r="H18" s="53" t="s">
        <v>160</v>
      </c>
      <c r="I18" s="53" t="s">
        <v>159</v>
      </c>
      <c r="J18" s="104" t="s">
        <v>38</v>
      </c>
      <c r="K18" s="53" t="s">
        <v>161</v>
      </c>
      <c r="L18" s="53">
        <v>2</v>
      </c>
      <c r="N18" s="53">
        <v>4</v>
      </c>
      <c r="O18" s="53">
        <v>0.6</v>
      </c>
      <c r="P18" s="53">
        <v>0.5</v>
      </c>
      <c r="Q18" s="84">
        <f t="shared" si="0"/>
        <v>0.55000000000000004</v>
      </c>
      <c r="R18" s="34">
        <v>18</v>
      </c>
      <c r="S18" s="53">
        <v>140</v>
      </c>
      <c r="T18" s="16">
        <f t="shared" si="1"/>
        <v>22</v>
      </c>
      <c r="U18" s="53">
        <v>398</v>
      </c>
      <c r="V18" s="106">
        <f t="shared" si="2"/>
        <v>2189</v>
      </c>
      <c r="W18" s="53">
        <v>12</v>
      </c>
      <c r="X18" s="104" t="s">
        <v>46</v>
      </c>
      <c r="Y18" s="53" t="s">
        <v>69</v>
      </c>
      <c r="Z18" s="53" t="s">
        <v>97</v>
      </c>
      <c r="AA18" s="53" t="s">
        <v>55</v>
      </c>
      <c r="AB18" s="104" t="s">
        <v>236</v>
      </c>
      <c r="AC18" s="34"/>
      <c r="AE18" s="22" t="s">
        <v>87</v>
      </c>
      <c r="AP18" s="27" t="s">
        <v>111</v>
      </c>
      <c r="AR18" s="23" t="s">
        <v>101</v>
      </c>
      <c r="AV18" s="112" t="s">
        <v>135</v>
      </c>
    </row>
    <row r="19" spans="1:48" x14ac:dyDescent="0.15">
      <c r="A19" s="104" t="s">
        <v>61</v>
      </c>
      <c r="B19" s="104" t="s">
        <v>232</v>
      </c>
      <c r="C19" s="104">
        <v>2019</v>
      </c>
      <c r="D19" s="105" t="s">
        <v>165</v>
      </c>
      <c r="E19" s="104" t="s">
        <v>266</v>
      </c>
      <c r="F19" s="104" t="s">
        <v>267</v>
      </c>
      <c r="G19" s="104" t="s">
        <v>42</v>
      </c>
      <c r="H19" s="53" t="s">
        <v>160</v>
      </c>
      <c r="I19" s="53" t="s">
        <v>159</v>
      </c>
      <c r="J19" s="104" t="s">
        <v>38</v>
      </c>
      <c r="K19" s="53" t="s">
        <v>161</v>
      </c>
      <c r="L19" s="53">
        <v>3</v>
      </c>
      <c r="N19" s="53">
        <v>4</v>
      </c>
      <c r="O19" s="34">
        <v>0.6</v>
      </c>
      <c r="P19" s="53">
        <v>0.5</v>
      </c>
      <c r="Q19" s="84">
        <f t="shared" si="0"/>
        <v>0.55000000000000004</v>
      </c>
      <c r="R19" s="53">
        <v>17.899999999999999</v>
      </c>
      <c r="S19" s="53">
        <v>138</v>
      </c>
      <c r="T19" s="16">
        <f t="shared" si="1"/>
        <v>22</v>
      </c>
      <c r="U19" s="53">
        <v>398</v>
      </c>
      <c r="V19" s="106">
        <f t="shared" si="2"/>
        <v>2189</v>
      </c>
      <c r="W19" s="53">
        <v>12</v>
      </c>
      <c r="X19" s="104" t="s">
        <v>46</v>
      </c>
      <c r="Y19" s="53" t="s">
        <v>286</v>
      </c>
      <c r="Z19" s="53" t="s">
        <v>97</v>
      </c>
      <c r="AA19" s="53" t="s">
        <v>55</v>
      </c>
      <c r="AB19" s="104" t="s">
        <v>236</v>
      </c>
      <c r="AC19" s="34"/>
      <c r="AE19" s="35" t="s">
        <v>89</v>
      </c>
      <c r="AP19" s="27" t="s">
        <v>112</v>
      </c>
      <c r="AR19" s="23" t="s">
        <v>126</v>
      </c>
      <c r="AV19" s="112" t="s">
        <v>287</v>
      </c>
    </row>
    <row r="20" spans="1:48" x14ac:dyDescent="0.15">
      <c r="A20" s="104" t="s">
        <v>61</v>
      </c>
      <c r="B20" s="104" t="s">
        <v>232</v>
      </c>
      <c r="C20" s="104">
        <v>2019</v>
      </c>
      <c r="D20" s="105" t="s">
        <v>165</v>
      </c>
      <c r="E20" s="104" t="s">
        <v>268</v>
      </c>
      <c r="F20" s="104" t="s">
        <v>269</v>
      </c>
      <c r="G20" s="104" t="s">
        <v>42</v>
      </c>
      <c r="H20" s="53" t="s">
        <v>164</v>
      </c>
      <c r="I20" s="53" t="s">
        <v>159</v>
      </c>
      <c r="J20" s="104" t="s">
        <v>38</v>
      </c>
      <c r="K20" s="53" t="s">
        <v>161</v>
      </c>
      <c r="L20" s="53">
        <v>1</v>
      </c>
      <c r="N20" s="53">
        <v>1</v>
      </c>
      <c r="O20" s="53">
        <v>0.5</v>
      </c>
      <c r="P20" s="53">
        <v>0.5</v>
      </c>
      <c r="Q20" s="84">
        <f t="shared" si="0"/>
        <v>0.5</v>
      </c>
      <c r="R20" s="53">
        <v>16.399999999999999</v>
      </c>
      <c r="S20" s="53">
        <v>83</v>
      </c>
      <c r="T20" s="16">
        <f t="shared" si="1"/>
        <v>39</v>
      </c>
      <c r="U20" s="53">
        <v>128</v>
      </c>
      <c r="V20" s="106">
        <f t="shared" si="2"/>
        <v>4992</v>
      </c>
      <c r="W20" s="53">
        <v>12</v>
      </c>
      <c r="X20" s="104" t="s">
        <v>46</v>
      </c>
      <c r="Y20" s="53" t="s">
        <v>97</v>
      </c>
      <c r="Z20" s="53" t="s">
        <v>86</v>
      </c>
      <c r="AA20" s="53" t="s">
        <v>286</v>
      </c>
      <c r="AB20" s="104" t="s">
        <v>236</v>
      </c>
      <c r="AC20" s="34"/>
      <c r="AE20" s="22"/>
      <c r="AP20" s="27" t="s">
        <v>113</v>
      </c>
      <c r="AR20" s="23" t="s">
        <v>105</v>
      </c>
      <c r="AV20" s="112" t="s">
        <v>288</v>
      </c>
    </row>
    <row r="21" spans="1:48" x14ac:dyDescent="0.15">
      <c r="A21" s="104" t="s">
        <v>61</v>
      </c>
      <c r="B21" s="104" t="s">
        <v>232</v>
      </c>
      <c r="C21" s="104">
        <v>2019</v>
      </c>
      <c r="D21" s="105" t="s">
        <v>165</v>
      </c>
      <c r="E21" s="104" t="s">
        <v>268</v>
      </c>
      <c r="F21" s="104" t="s">
        <v>269</v>
      </c>
      <c r="G21" s="104" t="s">
        <v>42</v>
      </c>
      <c r="H21" s="53" t="s">
        <v>164</v>
      </c>
      <c r="I21" s="53" t="s">
        <v>159</v>
      </c>
      <c r="J21" s="104" t="s">
        <v>38</v>
      </c>
      <c r="K21" s="53" t="s">
        <v>161</v>
      </c>
      <c r="L21" s="53">
        <v>2</v>
      </c>
      <c r="N21" s="53">
        <v>1</v>
      </c>
      <c r="O21" s="53">
        <v>0.5</v>
      </c>
      <c r="P21" s="53">
        <v>0.5</v>
      </c>
      <c r="Q21" s="84">
        <f t="shared" si="0"/>
        <v>0.5</v>
      </c>
      <c r="R21" s="53">
        <v>17.2</v>
      </c>
      <c r="S21" s="53">
        <v>83</v>
      </c>
      <c r="T21" s="16">
        <f t="shared" si="1"/>
        <v>39</v>
      </c>
      <c r="U21" s="53">
        <v>128</v>
      </c>
      <c r="V21" s="106">
        <f t="shared" si="2"/>
        <v>4992</v>
      </c>
      <c r="W21" s="53">
        <v>12</v>
      </c>
      <c r="X21" s="104" t="s">
        <v>46</v>
      </c>
      <c r="Y21" s="53" t="s">
        <v>97</v>
      </c>
      <c r="Z21" s="53" t="s">
        <v>86</v>
      </c>
      <c r="AA21" s="53" t="s">
        <v>286</v>
      </c>
      <c r="AB21" s="104" t="s">
        <v>236</v>
      </c>
      <c r="AC21" s="34"/>
      <c r="AE21" s="22"/>
      <c r="AP21" s="27" t="s">
        <v>114</v>
      </c>
      <c r="AR21" s="23" t="s">
        <v>68</v>
      </c>
      <c r="AV21" s="112" t="s">
        <v>289</v>
      </c>
    </row>
    <row r="22" spans="1:48" x14ac:dyDescent="0.15">
      <c r="A22" s="104" t="s">
        <v>61</v>
      </c>
      <c r="B22" s="104" t="s">
        <v>232</v>
      </c>
      <c r="C22" s="104">
        <v>2019</v>
      </c>
      <c r="D22" s="105" t="s">
        <v>165</v>
      </c>
      <c r="E22" s="104" t="s">
        <v>268</v>
      </c>
      <c r="F22" s="104" t="s">
        <v>269</v>
      </c>
      <c r="G22" s="104" t="s">
        <v>42</v>
      </c>
      <c r="H22" s="53" t="s">
        <v>164</v>
      </c>
      <c r="I22" s="53" t="s">
        <v>159</v>
      </c>
      <c r="J22" s="104" t="s">
        <v>38</v>
      </c>
      <c r="K22" s="53" t="s">
        <v>161</v>
      </c>
      <c r="L22" s="53">
        <v>3</v>
      </c>
      <c r="N22" s="53">
        <v>1</v>
      </c>
      <c r="O22" s="53">
        <v>0.8</v>
      </c>
      <c r="P22" s="53">
        <v>0.5</v>
      </c>
      <c r="Q22" s="84">
        <f t="shared" si="0"/>
        <v>0.65</v>
      </c>
      <c r="R22" s="53">
        <v>16.8</v>
      </c>
      <c r="S22" s="53">
        <v>80</v>
      </c>
      <c r="T22" s="16">
        <f t="shared" si="1"/>
        <v>39</v>
      </c>
      <c r="U22" s="53">
        <v>128</v>
      </c>
      <c r="V22" s="106">
        <f t="shared" si="2"/>
        <v>4992</v>
      </c>
      <c r="W22" s="53">
        <v>12</v>
      </c>
      <c r="X22" s="104" t="s">
        <v>46</v>
      </c>
      <c r="Y22" s="53" t="s">
        <v>97</v>
      </c>
      <c r="Z22" s="53" t="s">
        <v>86</v>
      </c>
      <c r="AA22" s="53" t="s">
        <v>286</v>
      </c>
      <c r="AB22" s="104" t="s">
        <v>236</v>
      </c>
      <c r="AC22" s="34"/>
      <c r="AE22" s="35"/>
      <c r="AP22" s="27" t="s">
        <v>115</v>
      </c>
      <c r="AR22" s="23" t="s">
        <v>83</v>
      </c>
      <c r="AV22" s="23"/>
    </row>
    <row r="23" spans="1:48" x14ac:dyDescent="0.15">
      <c r="A23" s="104" t="s">
        <v>61</v>
      </c>
      <c r="B23" s="104" t="s">
        <v>232</v>
      </c>
      <c r="C23" s="104">
        <v>2019</v>
      </c>
      <c r="D23" s="105" t="s">
        <v>165</v>
      </c>
      <c r="E23" s="104" t="s">
        <v>268</v>
      </c>
      <c r="F23" s="104" t="s">
        <v>269</v>
      </c>
      <c r="G23" s="104" t="s">
        <v>42</v>
      </c>
      <c r="H23" s="53" t="s">
        <v>160</v>
      </c>
      <c r="I23" s="53" t="s">
        <v>159</v>
      </c>
      <c r="J23" s="104" t="s">
        <v>38</v>
      </c>
      <c r="K23" s="53" t="s">
        <v>161</v>
      </c>
      <c r="L23" s="53">
        <v>1</v>
      </c>
      <c r="N23" s="53">
        <v>4</v>
      </c>
      <c r="O23" s="53">
        <v>0.55000000000000004</v>
      </c>
      <c r="P23" s="53">
        <v>0.8</v>
      </c>
      <c r="Q23" s="84">
        <f t="shared" si="0"/>
        <v>0.67500000000000004</v>
      </c>
      <c r="R23" s="53">
        <v>18.100000000000001</v>
      </c>
      <c r="S23" s="53">
        <v>101</v>
      </c>
      <c r="T23" s="16">
        <f t="shared" si="1"/>
        <v>33</v>
      </c>
      <c r="U23" s="53">
        <v>398</v>
      </c>
      <c r="V23" s="106">
        <f t="shared" si="2"/>
        <v>3283.5</v>
      </c>
      <c r="W23" s="53">
        <v>12</v>
      </c>
      <c r="X23" s="104" t="s">
        <v>46</v>
      </c>
      <c r="Y23" s="53" t="s">
        <v>97</v>
      </c>
      <c r="Z23" s="53" t="s">
        <v>86</v>
      </c>
      <c r="AA23" s="53" t="s">
        <v>286</v>
      </c>
      <c r="AB23" s="104" t="s">
        <v>236</v>
      </c>
      <c r="AC23" s="34"/>
      <c r="AE23" s="22"/>
      <c r="AP23" s="27" t="s">
        <v>137</v>
      </c>
      <c r="AR23" s="23" t="s">
        <v>61</v>
      </c>
    </row>
    <row r="24" spans="1:48" x14ac:dyDescent="0.15">
      <c r="A24" s="104" t="s">
        <v>61</v>
      </c>
      <c r="B24" s="104" t="s">
        <v>232</v>
      </c>
      <c r="C24" s="104">
        <v>2019</v>
      </c>
      <c r="D24" s="105" t="s">
        <v>165</v>
      </c>
      <c r="E24" s="104" t="s">
        <v>268</v>
      </c>
      <c r="F24" s="104" t="s">
        <v>269</v>
      </c>
      <c r="G24" s="104" t="s">
        <v>42</v>
      </c>
      <c r="H24" s="53" t="s">
        <v>160</v>
      </c>
      <c r="I24" s="53" t="s">
        <v>159</v>
      </c>
      <c r="J24" s="104" t="s">
        <v>38</v>
      </c>
      <c r="K24" s="53" t="s">
        <v>161</v>
      </c>
      <c r="L24" s="53">
        <v>2</v>
      </c>
      <c r="N24" s="53">
        <v>4</v>
      </c>
      <c r="O24" s="53">
        <v>0.7</v>
      </c>
      <c r="P24" s="53">
        <v>0.75</v>
      </c>
      <c r="Q24" s="84">
        <f t="shared" si="0"/>
        <v>0.72499999999999998</v>
      </c>
      <c r="R24" s="53">
        <v>18.600000000000001</v>
      </c>
      <c r="S24" s="53">
        <v>107</v>
      </c>
      <c r="T24" s="16">
        <f t="shared" si="1"/>
        <v>33</v>
      </c>
      <c r="U24" s="53">
        <v>398</v>
      </c>
      <c r="V24" s="106">
        <f t="shared" si="2"/>
        <v>3283.5</v>
      </c>
      <c r="W24" s="53">
        <v>12</v>
      </c>
      <c r="X24" s="104" t="s">
        <v>46</v>
      </c>
      <c r="Y24" s="53" t="s">
        <v>97</v>
      </c>
      <c r="Z24" s="53" t="s">
        <v>86</v>
      </c>
      <c r="AA24" s="53" t="s">
        <v>286</v>
      </c>
      <c r="AB24" s="104" t="s">
        <v>236</v>
      </c>
      <c r="AC24" s="34"/>
      <c r="AE24" s="22"/>
      <c r="AP24" s="27" t="s">
        <v>138</v>
      </c>
      <c r="AR24" s="23" t="s">
        <v>91</v>
      </c>
    </row>
    <row r="25" spans="1:48" x14ac:dyDescent="0.15">
      <c r="A25" s="104" t="s">
        <v>61</v>
      </c>
      <c r="B25" s="104" t="s">
        <v>232</v>
      </c>
      <c r="C25" s="104">
        <v>2019</v>
      </c>
      <c r="D25" s="105" t="s">
        <v>165</v>
      </c>
      <c r="E25" s="104" t="s">
        <v>268</v>
      </c>
      <c r="F25" s="104" t="s">
        <v>269</v>
      </c>
      <c r="G25" s="104" t="s">
        <v>42</v>
      </c>
      <c r="H25" s="53" t="s">
        <v>160</v>
      </c>
      <c r="I25" s="53" t="s">
        <v>159</v>
      </c>
      <c r="J25" s="104" t="s">
        <v>38</v>
      </c>
      <c r="K25" s="53" t="s">
        <v>161</v>
      </c>
      <c r="L25" s="53">
        <v>3</v>
      </c>
      <c r="N25" s="53">
        <v>4</v>
      </c>
      <c r="O25" s="34">
        <v>0.95</v>
      </c>
      <c r="P25" s="53">
        <v>1.05</v>
      </c>
      <c r="Q25" s="84">
        <f t="shared" si="0"/>
        <v>1</v>
      </c>
      <c r="R25" s="53">
        <v>19.100000000000001</v>
      </c>
      <c r="S25" s="53">
        <v>109</v>
      </c>
      <c r="T25" s="16">
        <f t="shared" si="1"/>
        <v>33</v>
      </c>
      <c r="U25" s="53">
        <v>398</v>
      </c>
      <c r="V25" s="106">
        <f t="shared" si="2"/>
        <v>3283.5</v>
      </c>
      <c r="W25" s="53">
        <v>12</v>
      </c>
      <c r="X25" s="104" t="s">
        <v>46</v>
      </c>
      <c r="Y25" s="53" t="s">
        <v>97</v>
      </c>
      <c r="Z25" s="53" t="s">
        <v>86</v>
      </c>
      <c r="AA25" s="53" t="s">
        <v>286</v>
      </c>
      <c r="AB25" s="104" t="s">
        <v>236</v>
      </c>
      <c r="AC25" s="34"/>
      <c r="AE25" s="35"/>
      <c r="AP25" s="27" t="s">
        <v>116</v>
      </c>
      <c r="AR25" s="27" t="s">
        <v>92</v>
      </c>
    </row>
    <row r="26" spans="1:48" x14ac:dyDescent="0.15">
      <c r="A26" s="104" t="s">
        <v>61</v>
      </c>
      <c r="B26" s="104" t="s">
        <v>232</v>
      </c>
      <c r="C26" s="104">
        <v>2019</v>
      </c>
      <c r="D26" s="105" t="s">
        <v>165</v>
      </c>
      <c r="E26" s="104" t="s">
        <v>270</v>
      </c>
      <c r="F26" s="104" t="s">
        <v>271</v>
      </c>
      <c r="G26" s="104" t="s">
        <v>42</v>
      </c>
      <c r="H26" s="53" t="s">
        <v>164</v>
      </c>
      <c r="I26" s="53" t="s">
        <v>197</v>
      </c>
      <c r="J26" s="104" t="s">
        <v>38</v>
      </c>
      <c r="K26" s="53" t="s">
        <v>161</v>
      </c>
      <c r="L26" s="53">
        <v>1</v>
      </c>
      <c r="N26" s="53">
        <v>4</v>
      </c>
      <c r="O26" s="34">
        <v>0.7</v>
      </c>
      <c r="P26" s="53">
        <v>0.75</v>
      </c>
      <c r="Q26" s="84">
        <f t="shared" si="0"/>
        <v>0.72499999999999998</v>
      </c>
      <c r="R26" s="53">
        <v>17.399999999999999</v>
      </c>
      <c r="S26" s="53">
        <v>117</v>
      </c>
      <c r="T26" s="16">
        <f t="shared" si="1"/>
        <v>30</v>
      </c>
      <c r="U26" s="53">
        <v>398</v>
      </c>
      <c r="V26" s="106">
        <f t="shared" si="2"/>
        <v>2985</v>
      </c>
      <c r="W26" s="53">
        <v>10</v>
      </c>
      <c r="X26" s="104" t="s">
        <v>46</v>
      </c>
      <c r="Y26" s="53" t="s">
        <v>69</v>
      </c>
      <c r="Z26" s="53" t="s">
        <v>97</v>
      </c>
      <c r="AA26" s="53" t="s">
        <v>88</v>
      </c>
      <c r="AB26" s="104" t="s">
        <v>236</v>
      </c>
      <c r="AC26" s="34"/>
      <c r="AD26" s="34"/>
      <c r="AE26" s="35"/>
      <c r="AP26" s="27" t="s">
        <v>117</v>
      </c>
      <c r="AR26" s="23" t="s">
        <v>153</v>
      </c>
    </row>
    <row r="27" spans="1:48" x14ac:dyDescent="0.15">
      <c r="A27" s="104" t="s">
        <v>61</v>
      </c>
      <c r="B27" s="104" t="s">
        <v>232</v>
      </c>
      <c r="C27" s="104">
        <v>2019</v>
      </c>
      <c r="D27" s="105" t="s">
        <v>165</v>
      </c>
      <c r="E27" s="104" t="s">
        <v>270</v>
      </c>
      <c r="F27" s="104" t="s">
        <v>271</v>
      </c>
      <c r="G27" s="104" t="s">
        <v>42</v>
      </c>
      <c r="H27" s="53" t="s">
        <v>164</v>
      </c>
      <c r="I27" s="53" t="s">
        <v>197</v>
      </c>
      <c r="J27" s="104" t="s">
        <v>38</v>
      </c>
      <c r="K27" s="53" t="s">
        <v>161</v>
      </c>
      <c r="L27" s="53">
        <v>2</v>
      </c>
      <c r="N27" s="53">
        <v>4</v>
      </c>
      <c r="O27" s="34">
        <v>0.88500000000000001</v>
      </c>
      <c r="P27" s="53">
        <v>0.75</v>
      </c>
      <c r="Q27" s="84">
        <f t="shared" si="0"/>
        <v>0.8175</v>
      </c>
      <c r="R27" s="53">
        <v>17.600000000000001</v>
      </c>
      <c r="S27" s="53">
        <v>128</v>
      </c>
      <c r="T27" s="16">
        <f t="shared" si="1"/>
        <v>27</v>
      </c>
      <c r="U27" s="53">
        <v>398</v>
      </c>
      <c r="V27" s="106">
        <f t="shared" si="2"/>
        <v>2686.5</v>
      </c>
      <c r="W27" s="53">
        <v>10</v>
      </c>
      <c r="X27" s="104" t="s">
        <v>46</v>
      </c>
      <c r="Y27" s="53" t="s">
        <v>69</v>
      </c>
      <c r="Z27" s="53" t="s">
        <v>97</v>
      </c>
      <c r="AA27" s="53" t="s">
        <v>88</v>
      </c>
      <c r="AB27" s="104" t="s">
        <v>236</v>
      </c>
      <c r="AC27" s="34"/>
      <c r="AD27" s="34"/>
      <c r="AE27" s="28"/>
      <c r="AP27" s="27" t="s">
        <v>118</v>
      </c>
      <c r="AR27" s="23"/>
    </row>
    <row r="28" spans="1:48" x14ac:dyDescent="0.15">
      <c r="A28" s="104" t="s">
        <v>61</v>
      </c>
      <c r="B28" s="104" t="s">
        <v>232</v>
      </c>
      <c r="C28" s="104">
        <v>2019</v>
      </c>
      <c r="D28" s="105" t="s">
        <v>165</v>
      </c>
      <c r="E28" s="104" t="s">
        <v>270</v>
      </c>
      <c r="F28" s="104" t="s">
        <v>271</v>
      </c>
      <c r="G28" s="104" t="s">
        <v>42</v>
      </c>
      <c r="H28" s="53" t="s">
        <v>164</v>
      </c>
      <c r="I28" s="53" t="s">
        <v>197</v>
      </c>
      <c r="J28" s="104" t="s">
        <v>38</v>
      </c>
      <c r="K28" s="53" t="s">
        <v>161</v>
      </c>
      <c r="L28" s="53">
        <v>3</v>
      </c>
      <c r="N28" s="53">
        <v>4</v>
      </c>
      <c r="O28" s="34">
        <v>0.9</v>
      </c>
      <c r="P28" s="53">
        <v>0.85</v>
      </c>
      <c r="Q28" s="84">
        <f t="shared" si="0"/>
        <v>0.875</v>
      </c>
      <c r="R28" s="53">
        <v>17.2</v>
      </c>
      <c r="S28" s="53">
        <v>118</v>
      </c>
      <c r="T28" s="16">
        <f t="shared" si="1"/>
        <v>30</v>
      </c>
      <c r="U28" s="53">
        <v>398</v>
      </c>
      <c r="V28" s="106">
        <f t="shared" si="2"/>
        <v>2985</v>
      </c>
      <c r="W28" s="53">
        <v>10</v>
      </c>
      <c r="X28" s="104" t="s">
        <v>46</v>
      </c>
      <c r="Y28" s="53" t="s">
        <v>69</v>
      </c>
      <c r="Z28" s="53" t="s">
        <v>97</v>
      </c>
      <c r="AA28" s="53" t="s">
        <v>88</v>
      </c>
      <c r="AB28" s="104" t="s">
        <v>236</v>
      </c>
      <c r="AC28" s="34"/>
      <c r="AD28" s="34"/>
      <c r="AP28" s="27"/>
      <c r="AR28" s="23"/>
    </row>
    <row r="29" spans="1:48" x14ac:dyDescent="0.15">
      <c r="A29" s="104" t="s">
        <v>61</v>
      </c>
      <c r="B29" s="104" t="s">
        <v>232</v>
      </c>
      <c r="C29" s="104">
        <v>2019</v>
      </c>
      <c r="D29" s="105" t="s">
        <v>165</v>
      </c>
      <c r="E29" s="104" t="s">
        <v>270</v>
      </c>
      <c r="F29" s="104" t="s">
        <v>271</v>
      </c>
      <c r="G29" s="104" t="s">
        <v>42</v>
      </c>
      <c r="H29" s="53" t="s">
        <v>199</v>
      </c>
      <c r="I29" s="53" t="s">
        <v>159</v>
      </c>
      <c r="J29" s="104" t="s">
        <v>38</v>
      </c>
      <c r="K29" s="53" t="s">
        <v>161</v>
      </c>
      <c r="L29" s="53">
        <v>1</v>
      </c>
      <c r="N29" s="53">
        <v>1</v>
      </c>
      <c r="O29" s="34">
        <v>0.9</v>
      </c>
      <c r="P29" s="53">
        <v>0.9</v>
      </c>
      <c r="Q29" s="84">
        <f t="shared" si="0"/>
        <v>0.9</v>
      </c>
      <c r="R29" s="53">
        <v>16.100000000000001</v>
      </c>
      <c r="S29" s="53">
        <v>134</v>
      </c>
      <c r="T29" s="16">
        <f t="shared" si="1"/>
        <v>25</v>
      </c>
      <c r="U29" s="53">
        <v>100</v>
      </c>
      <c r="V29" s="106">
        <f t="shared" si="2"/>
        <v>2500</v>
      </c>
      <c r="W29" s="53">
        <v>10</v>
      </c>
      <c r="X29" s="104" t="s">
        <v>46</v>
      </c>
      <c r="Y29" s="53" t="s">
        <v>69</v>
      </c>
      <c r="Z29" s="53" t="s">
        <v>97</v>
      </c>
      <c r="AA29" s="53" t="s">
        <v>88</v>
      </c>
      <c r="AB29" s="104" t="s">
        <v>236</v>
      </c>
      <c r="AC29" s="34"/>
      <c r="AD29" s="34"/>
      <c r="AE29" s="35"/>
      <c r="AP29" s="27" t="s">
        <v>117</v>
      </c>
      <c r="AR29" s="23" t="s">
        <v>153</v>
      </c>
    </row>
    <row r="30" spans="1:48" x14ac:dyDescent="0.15">
      <c r="A30" s="104" t="s">
        <v>61</v>
      </c>
      <c r="B30" s="104" t="s">
        <v>232</v>
      </c>
      <c r="C30" s="104">
        <v>2019</v>
      </c>
      <c r="D30" s="105" t="s">
        <v>165</v>
      </c>
      <c r="E30" s="104" t="s">
        <v>270</v>
      </c>
      <c r="F30" s="104" t="s">
        <v>271</v>
      </c>
      <c r="G30" s="104" t="s">
        <v>42</v>
      </c>
      <c r="H30" s="53" t="s">
        <v>199</v>
      </c>
      <c r="I30" s="53" t="s">
        <v>159</v>
      </c>
      <c r="J30" s="104" t="s">
        <v>38</v>
      </c>
      <c r="K30" s="53" t="s">
        <v>161</v>
      </c>
      <c r="L30" s="53">
        <v>2</v>
      </c>
      <c r="N30" s="53">
        <v>1</v>
      </c>
      <c r="O30" s="34">
        <v>0.65</v>
      </c>
      <c r="P30" s="53">
        <v>0.6</v>
      </c>
      <c r="Q30" s="84">
        <f t="shared" si="0"/>
        <v>0.625</v>
      </c>
      <c r="R30" s="53">
        <v>17</v>
      </c>
      <c r="S30" s="53">
        <v>124</v>
      </c>
      <c r="T30" s="16">
        <f t="shared" si="1"/>
        <v>27</v>
      </c>
      <c r="U30" s="53">
        <v>100</v>
      </c>
      <c r="V30" s="106">
        <f t="shared" si="2"/>
        <v>2700</v>
      </c>
      <c r="W30" s="53">
        <v>10</v>
      </c>
      <c r="X30" s="104" t="s">
        <v>46</v>
      </c>
      <c r="Y30" s="53" t="s">
        <v>69</v>
      </c>
      <c r="Z30" s="53" t="s">
        <v>97</v>
      </c>
      <c r="AA30" s="53" t="s">
        <v>88</v>
      </c>
      <c r="AB30" s="104" t="s">
        <v>236</v>
      </c>
      <c r="AC30" s="34"/>
      <c r="AD30" s="34"/>
      <c r="AE30" s="28"/>
      <c r="AP30" s="27" t="s">
        <v>118</v>
      </c>
      <c r="AR30" s="23"/>
    </row>
    <row r="31" spans="1:48" x14ac:dyDescent="0.15">
      <c r="A31" s="104" t="s">
        <v>61</v>
      </c>
      <c r="B31" s="104" t="s">
        <v>232</v>
      </c>
      <c r="C31" s="104">
        <v>2019</v>
      </c>
      <c r="D31" s="105" t="s">
        <v>165</v>
      </c>
      <c r="E31" s="104" t="s">
        <v>270</v>
      </c>
      <c r="F31" s="104" t="s">
        <v>271</v>
      </c>
      <c r="G31" s="104" t="s">
        <v>42</v>
      </c>
      <c r="H31" s="53" t="s">
        <v>199</v>
      </c>
      <c r="I31" s="53" t="s">
        <v>159</v>
      </c>
      <c r="J31" s="104" t="s">
        <v>38</v>
      </c>
      <c r="K31" s="53" t="s">
        <v>161</v>
      </c>
      <c r="L31" s="53">
        <v>3</v>
      </c>
      <c r="N31" s="53">
        <v>1</v>
      </c>
      <c r="O31" s="34">
        <v>0.9</v>
      </c>
      <c r="P31" s="53">
        <v>0.85</v>
      </c>
      <c r="Q31" s="84">
        <f t="shared" si="0"/>
        <v>0.875</v>
      </c>
      <c r="R31" s="53">
        <v>16.2</v>
      </c>
      <c r="S31" s="53">
        <v>120</v>
      </c>
      <c r="T31" s="16">
        <f t="shared" si="1"/>
        <v>30</v>
      </c>
      <c r="U31" s="53">
        <v>100</v>
      </c>
      <c r="V31" s="106">
        <f t="shared" si="2"/>
        <v>3000</v>
      </c>
      <c r="W31" s="53">
        <v>10</v>
      </c>
      <c r="X31" s="104" t="s">
        <v>46</v>
      </c>
      <c r="Y31" s="53" t="s">
        <v>69</v>
      </c>
      <c r="Z31" s="53" t="s">
        <v>97</v>
      </c>
      <c r="AA31" s="53" t="s">
        <v>88</v>
      </c>
      <c r="AB31" s="104" t="s">
        <v>236</v>
      </c>
      <c r="AC31" s="34"/>
      <c r="AD31" s="34"/>
      <c r="AP31" s="27"/>
      <c r="AR31" s="23"/>
    </row>
    <row r="32" spans="1:48" x14ac:dyDescent="0.15">
      <c r="A32" s="104" t="s">
        <v>61</v>
      </c>
      <c r="B32" s="104" t="s">
        <v>232</v>
      </c>
      <c r="C32" s="104">
        <v>2019</v>
      </c>
      <c r="D32" s="105" t="s">
        <v>165</v>
      </c>
      <c r="E32" s="104" t="s">
        <v>270</v>
      </c>
      <c r="F32" s="104" t="s">
        <v>271</v>
      </c>
      <c r="G32" s="104" t="s">
        <v>42</v>
      </c>
      <c r="H32" s="53" t="s">
        <v>160</v>
      </c>
      <c r="I32" s="53" t="s">
        <v>159</v>
      </c>
      <c r="J32" s="104" t="s">
        <v>38</v>
      </c>
      <c r="K32" s="53" t="s">
        <v>161</v>
      </c>
      <c r="L32" s="53">
        <v>1</v>
      </c>
      <c r="N32" s="53">
        <v>1</v>
      </c>
      <c r="O32" s="34">
        <v>0.9</v>
      </c>
      <c r="P32" s="53">
        <v>1.25</v>
      </c>
      <c r="Q32" s="84">
        <f t="shared" si="0"/>
        <v>1.075</v>
      </c>
      <c r="R32" s="53">
        <v>18.100000000000001</v>
      </c>
      <c r="S32" s="53">
        <v>120</v>
      </c>
      <c r="T32" s="16">
        <f t="shared" si="1"/>
        <v>30</v>
      </c>
      <c r="U32" s="53">
        <v>100</v>
      </c>
      <c r="V32" s="106">
        <f t="shared" si="2"/>
        <v>3000</v>
      </c>
      <c r="W32" s="53">
        <v>10</v>
      </c>
      <c r="X32" s="104" t="s">
        <v>46</v>
      </c>
      <c r="Y32" s="53" t="s">
        <v>69</v>
      </c>
      <c r="Z32" s="53" t="s">
        <v>97</v>
      </c>
      <c r="AA32" s="53" t="s">
        <v>88</v>
      </c>
      <c r="AB32" s="104" t="s">
        <v>236</v>
      </c>
      <c r="AC32" s="34"/>
    </row>
    <row r="33" spans="1:29" x14ac:dyDescent="0.15">
      <c r="A33" s="104" t="s">
        <v>61</v>
      </c>
      <c r="B33" s="104" t="s">
        <v>232</v>
      </c>
      <c r="C33" s="104">
        <v>2019</v>
      </c>
      <c r="D33" s="105" t="s">
        <v>165</v>
      </c>
      <c r="E33" s="104" t="s">
        <v>270</v>
      </c>
      <c r="F33" s="104" t="s">
        <v>271</v>
      </c>
      <c r="G33" s="104" t="s">
        <v>42</v>
      </c>
      <c r="H33" s="53" t="s">
        <v>160</v>
      </c>
      <c r="I33" s="53" t="s">
        <v>159</v>
      </c>
      <c r="J33" s="104" t="s">
        <v>38</v>
      </c>
      <c r="K33" s="53" t="s">
        <v>161</v>
      </c>
      <c r="L33" s="53">
        <v>2</v>
      </c>
      <c r="N33" s="53">
        <v>1</v>
      </c>
      <c r="O33" s="34">
        <v>0.95</v>
      </c>
      <c r="P33" s="53">
        <v>1.05</v>
      </c>
      <c r="Q33" s="84">
        <f t="shared" si="0"/>
        <v>1</v>
      </c>
      <c r="R33" s="53">
        <v>18.2</v>
      </c>
      <c r="S33" s="53">
        <v>131</v>
      </c>
      <c r="T33" s="16">
        <f t="shared" si="1"/>
        <v>25</v>
      </c>
      <c r="U33" s="53">
        <v>100</v>
      </c>
      <c r="V33" s="106">
        <f t="shared" si="2"/>
        <v>2500</v>
      </c>
      <c r="W33" s="53">
        <v>10</v>
      </c>
      <c r="X33" s="104" t="s">
        <v>46</v>
      </c>
      <c r="Y33" s="53" t="s">
        <v>69</v>
      </c>
      <c r="Z33" s="53" t="s">
        <v>97</v>
      </c>
      <c r="AA33" s="53" t="s">
        <v>88</v>
      </c>
      <c r="AB33" s="104" t="s">
        <v>236</v>
      </c>
      <c r="AC33" s="34"/>
    </row>
    <row r="34" spans="1:29" x14ac:dyDescent="0.15">
      <c r="A34" s="104" t="s">
        <v>61</v>
      </c>
      <c r="B34" s="104" t="s">
        <v>232</v>
      </c>
      <c r="C34" s="104">
        <v>2019</v>
      </c>
      <c r="D34" s="105" t="s">
        <v>165</v>
      </c>
      <c r="E34" s="104" t="s">
        <v>270</v>
      </c>
      <c r="F34" s="104" t="s">
        <v>271</v>
      </c>
      <c r="G34" s="104" t="s">
        <v>42</v>
      </c>
      <c r="H34" s="53" t="s">
        <v>160</v>
      </c>
      <c r="I34" s="53" t="s">
        <v>159</v>
      </c>
      <c r="J34" s="104" t="s">
        <v>38</v>
      </c>
      <c r="K34" s="53" t="s">
        <v>161</v>
      </c>
      <c r="L34" s="53">
        <v>3</v>
      </c>
      <c r="N34" s="53">
        <v>1</v>
      </c>
      <c r="O34" s="34">
        <v>0.5</v>
      </c>
      <c r="P34" s="53">
        <v>0.5</v>
      </c>
      <c r="Q34" s="84">
        <f t="shared" si="0"/>
        <v>0.5</v>
      </c>
      <c r="R34" s="53">
        <v>17.7</v>
      </c>
      <c r="S34" s="53">
        <v>123</v>
      </c>
      <c r="T34" s="16">
        <f t="shared" si="1"/>
        <v>27</v>
      </c>
      <c r="U34" s="53">
        <v>100</v>
      </c>
      <c r="V34" s="106">
        <f t="shared" si="2"/>
        <v>2700</v>
      </c>
      <c r="W34" s="53">
        <v>10</v>
      </c>
      <c r="X34" s="104" t="s">
        <v>46</v>
      </c>
      <c r="Y34" s="53" t="s">
        <v>69</v>
      </c>
      <c r="Z34" s="53" t="s">
        <v>97</v>
      </c>
      <c r="AA34" s="53" t="s">
        <v>88</v>
      </c>
      <c r="AB34" s="104" t="s">
        <v>236</v>
      </c>
      <c r="AC34" s="34"/>
    </row>
    <row r="35" spans="1:29" x14ac:dyDescent="0.15">
      <c r="A35" s="104" t="s">
        <v>61</v>
      </c>
      <c r="B35" s="104" t="s">
        <v>232</v>
      </c>
      <c r="C35" s="104">
        <v>2019</v>
      </c>
      <c r="D35" s="105" t="s">
        <v>165</v>
      </c>
      <c r="E35" s="104" t="s">
        <v>270</v>
      </c>
      <c r="F35" s="104" t="s">
        <v>271</v>
      </c>
      <c r="G35" s="104" t="s">
        <v>42</v>
      </c>
      <c r="H35" s="53" t="s">
        <v>160</v>
      </c>
      <c r="I35" s="53" t="s">
        <v>197</v>
      </c>
      <c r="J35" s="104" t="s">
        <v>38</v>
      </c>
      <c r="K35" s="53" t="s">
        <v>161</v>
      </c>
      <c r="L35" s="53">
        <v>1</v>
      </c>
      <c r="N35" s="53">
        <v>1</v>
      </c>
      <c r="O35" s="34">
        <v>0.5</v>
      </c>
      <c r="P35" s="53">
        <v>0.5</v>
      </c>
      <c r="Q35" s="84">
        <f t="shared" si="0"/>
        <v>0.5</v>
      </c>
      <c r="R35" s="53">
        <v>16.899999999999999</v>
      </c>
      <c r="S35" s="53">
        <v>118</v>
      </c>
      <c r="T35" s="16">
        <f t="shared" si="1"/>
        <v>30</v>
      </c>
      <c r="U35" s="53">
        <v>128</v>
      </c>
      <c r="V35" s="106">
        <f t="shared" si="2"/>
        <v>3840</v>
      </c>
      <c r="W35" s="53">
        <v>10</v>
      </c>
      <c r="X35" s="104" t="s">
        <v>46</v>
      </c>
      <c r="Y35" s="53" t="s">
        <v>69</v>
      </c>
      <c r="Z35" s="53" t="s">
        <v>97</v>
      </c>
      <c r="AA35" s="53" t="s">
        <v>88</v>
      </c>
      <c r="AB35" s="104" t="s">
        <v>236</v>
      </c>
      <c r="AC35" s="34"/>
    </row>
    <row r="36" spans="1:29" x14ac:dyDescent="0.15">
      <c r="A36" s="104" t="s">
        <v>61</v>
      </c>
      <c r="B36" s="104" t="s">
        <v>232</v>
      </c>
      <c r="C36" s="104">
        <v>2019</v>
      </c>
      <c r="D36" s="105" t="s">
        <v>165</v>
      </c>
      <c r="E36" s="104" t="s">
        <v>270</v>
      </c>
      <c r="F36" s="104" t="s">
        <v>271</v>
      </c>
      <c r="G36" s="104" t="s">
        <v>42</v>
      </c>
      <c r="H36" s="53" t="s">
        <v>160</v>
      </c>
      <c r="I36" s="53" t="s">
        <v>197</v>
      </c>
      <c r="J36" s="104" t="s">
        <v>38</v>
      </c>
      <c r="K36" s="53" t="s">
        <v>161</v>
      </c>
      <c r="L36" s="53">
        <v>2</v>
      </c>
      <c r="N36" s="53">
        <v>1</v>
      </c>
      <c r="O36" s="34">
        <v>0.5</v>
      </c>
      <c r="P36" s="53">
        <v>0.5</v>
      </c>
      <c r="Q36" s="84">
        <f t="shared" si="0"/>
        <v>0.5</v>
      </c>
      <c r="R36" s="53">
        <v>18.399999999999999</v>
      </c>
      <c r="S36" s="53">
        <v>119</v>
      </c>
      <c r="T36" s="16">
        <f t="shared" si="1"/>
        <v>30</v>
      </c>
      <c r="U36" s="53">
        <v>128</v>
      </c>
      <c r="V36" s="106">
        <f t="shared" si="2"/>
        <v>3840</v>
      </c>
      <c r="W36" s="53">
        <v>10</v>
      </c>
      <c r="X36" s="104" t="s">
        <v>46</v>
      </c>
      <c r="Y36" s="53" t="s">
        <v>69</v>
      </c>
      <c r="Z36" s="53" t="s">
        <v>97</v>
      </c>
      <c r="AA36" s="53" t="s">
        <v>88</v>
      </c>
      <c r="AB36" s="104" t="s">
        <v>236</v>
      </c>
      <c r="AC36" s="34"/>
    </row>
    <row r="37" spans="1:29" x14ac:dyDescent="0.15">
      <c r="A37" s="104" t="s">
        <v>61</v>
      </c>
      <c r="B37" s="104" t="s">
        <v>232</v>
      </c>
      <c r="C37" s="104">
        <v>2019</v>
      </c>
      <c r="D37" s="105" t="s">
        <v>165</v>
      </c>
      <c r="E37" s="104" t="s">
        <v>270</v>
      </c>
      <c r="F37" s="104" t="s">
        <v>271</v>
      </c>
      <c r="G37" s="104" t="s">
        <v>42</v>
      </c>
      <c r="H37" s="53" t="s">
        <v>160</v>
      </c>
      <c r="I37" s="53" t="s">
        <v>197</v>
      </c>
      <c r="J37" s="104" t="s">
        <v>38</v>
      </c>
      <c r="K37" s="53" t="s">
        <v>161</v>
      </c>
      <c r="L37" s="53">
        <v>3</v>
      </c>
      <c r="N37" s="53">
        <v>1</v>
      </c>
      <c r="O37" s="34">
        <v>0.5</v>
      </c>
      <c r="P37" s="53">
        <v>0.5</v>
      </c>
      <c r="Q37" s="84">
        <f t="shared" si="0"/>
        <v>0.5</v>
      </c>
      <c r="R37" s="53">
        <v>18</v>
      </c>
      <c r="S37" s="53">
        <v>118</v>
      </c>
      <c r="T37" s="16">
        <f t="shared" si="1"/>
        <v>30</v>
      </c>
      <c r="U37" s="53">
        <v>128</v>
      </c>
      <c r="V37" s="106">
        <f t="shared" si="2"/>
        <v>3840</v>
      </c>
      <c r="W37" s="53">
        <v>10</v>
      </c>
      <c r="X37" s="104" t="s">
        <v>46</v>
      </c>
      <c r="Y37" s="53" t="s">
        <v>69</v>
      </c>
      <c r="Z37" s="53" t="s">
        <v>97</v>
      </c>
      <c r="AA37" s="53" t="s">
        <v>88</v>
      </c>
      <c r="AB37" s="104" t="s">
        <v>236</v>
      </c>
      <c r="AC37" s="34"/>
    </row>
    <row r="38" spans="1:29" x14ac:dyDescent="0.15">
      <c r="A38" s="104" t="s">
        <v>61</v>
      </c>
      <c r="B38" s="104" t="s">
        <v>232</v>
      </c>
      <c r="C38" s="104">
        <v>2019</v>
      </c>
      <c r="D38" s="105" t="s">
        <v>165</v>
      </c>
      <c r="E38" s="104" t="s">
        <v>272</v>
      </c>
      <c r="F38" s="104" t="s">
        <v>273</v>
      </c>
      <c r="G38" s="104" t="s">
        <v>42</v>
      </c>
      <c r="H38" s="53" t="s">
        <v>164</v>
      </c>
      <c r="I38" s="53" t="s">
        <v>159</v>
      </c>
      <c r="J38" s="104" t="s">
        <v>38</v>
      </c>
      <c r="K38" s="53" t="s">
        <v>161</v>
      </c>
      <c r="L38" s="53">
        <v>1</v>
      </c>
      <c r="N38" s="53">
        <v>1</v>
      </c>
      <c r="O38" s="34">
        <v>0.5</v>
      </c>
      <c r="P38" s="53">
        <v>0.5</v>
      </c>
      <c r="Q38" s="84">
        <f t="shared" si="0"/>
        <v>0.5</v>
      </c>
      <c r="R38" s="53">
        <v>16.100000000000001</v>
      </c>
      <c r="S38" s="53">
        <v>99</v>
      </c>
      <c r="T38" s="16">
        <f t="shared" si="1"/>
        <v>33</v>
      </c>
      <c r="U38" s="53">
        <v>98</v>
      </c>
      <c r="V38" s="106">
        <f t="shared" si="2"/>
        <v>3234</v>
      </c>
      <c r="W38" s="53">
        <v>12</v>
      </c>
      <c r="X38" s="104" t="s">
        <v>46</v>
      </c>
      <c r="Y38" s="53" t="s">
        <v>69</v>
      </c>
      <c r="Z38" s="53" t="s">
        <v>55</v>
      </c>
      <c r="AA38" s="53" t="s">
        <v>90</v>
      </c>
      <c r="AB38" s="104" t="s">
        <v>236</v>
      </c>
      <c r="AC38" s="34"/>
    </row>
    <row r="39" spans="1:29" x14ac:dyDescent="0.15">
      <c r="A39" s="104" t="s">
        <v>61</v>
      </c>
      <c r="B39" s="104" t="s">
        <v>232</v>
      </c>
      <c r="C39" s="104">
        <v>2019</v>
      </c>
      <c r="D39" s="105" t="s">
        <v>165</v>
      </c>
      <c r="E39" s="104" t="s">
        <v>272</v>
      </c>
      <c r="F39" s="104" t="s">
        <v>273</v>
      </c>
      <c r="G39" s="104" t="s">
        <v>42</v>
      </c>
      <c r="H39" s="53" t="s">
        <v>164</v>
      </c>
      <c r="I39" s="53" t="s">
        <v>159</v>
      </c>
      <c r="J39" s="104" t="s">
        <v>38</v>
      </c>
      <c r="K39" s="53" t="s">
        <v>161</v>
      </c>
      <c r="L39" s="53">
        <v>2</v>
      </c>
      <c r="N39" s="53">
        <v>1</v>
      </c>
      <c r="O39" s="34">
        <v>0.5</v>
      </c>
      <c r="P39" s="53">
        <v>0.5</v>
      </c>
      <c r="Q39" s="84">
        <f t="shared" si="0"/>
        <v>0.5</v>
      </c>
      <c r="R39" s="53">
        <v>14.2</v>
      </c>
      <c r="S39" s="53">
        <v>98</v>
      </c>
      <c r="T39" s="16">
        <f t="shared" si="1"/>
        <v>36</v>
      </c>
      <c r="U39" s="53">
        <v>98</v>
      </c>
      <c r="V39" s="106">
        <f t="shared" si="2"/>
        <v>3528</v>
      </c>
      <c r="W39" s="53">
        <v>12</v>
      </c>
      <c r="X39" s="104" t="s">
        <v>46</v>
      </c>
      <c r="Y39" s="53" t="s">
        <v>69</v>
      </c>
      <c r="Z39" s="53" t="s">
        <v>55</v>
      </c>
      <c r="AA39" s="53" t="s">
        <v>90</v>
      </c>
      <c r="AB39" s="104" t="s">
        <v>236</v>
      </c>
      <c r="AC39" s="34"/>
    </row>
    <row r="40" spans="1:29" x14ac:dyDescent="0.15">
      <c r="A40" s="104" t="s">
        <v>61</v>
      </c>
      <c r="B40" s="104" t="s">
        <v>232</v>
      </c>
      <c r="C40" s="104">
        <v>2019</v>
      </c>
      <c r="D40" s="105" t="s">
        <v>165</v>
      </c>
      <c r="E40" s="104" t="s">
        <v>272</v>
      </c>
      <c r="F40" s="104" t="s">
        <v>273</v>
      </c>
      <c r="G40" s="104" t="s">
        <v>42</v>
      </c>
      <c r="H40" s="53" t="s">
        <v>164</v>
      </c>
      <c r="I40" s="53" t="s">
        <v>159</v>
      </c>
      <c r="J40" s="104" t="s">
        <v>38</v>
      </c>
      <c r="K40" s="53" t="s">
        <v>161</v>
      </c>
      <c r="L40" s="53">
        <v>3</v>
      </c>
      <c r="N40" s="53">
        <v>1</v>
      </c>
      <c r="O40" s="34">
        <v>0.5</v>
      </c>
      <c r="P40" s="53">
        <v>0.5</v>
      </c>
      <c r="Q40" s="84">
        <f t="shared" si="0"/>
        <v>0.5</v>
      </c>
      <c r="R40" s="53">
        <v>16.8</v>
      </c>
      <c r="S40" s="53">
        <v>102</v>
      </c>
      <c r="T40" s="16">
        <f t="shared" si="1"/>
        <v>33</v>
      </c>
      <c r="U40" s="53">
        <v>98</v>
      </c>
      <c r="V40" s="106">
        <f t="shared" si="2"/>
        <v>3234</v>
      </c>
      <c r="W40" s="53">
        <v>12</v>
      </c>
      <c r="X40" s="104" t="s">
        <v>46</v>
      </c>
      <c r="Y40" s="53" t="s">
        <v>69</v>
      </c>
      <c r="Z40" s="53" t="s">
        <v>55</v>
      </c>
      <c r="AA40" s="53" t="s">
        <v>90</v>
      </c>
      <c r="AB40" s="104" t="s">
        <v>236</v>
      </c>
      <c r="AC40" s="34"/>
    </row>
    <row r="41" spans="1:29" x14ac:dyDescent="0.15">
      <c r="A41" s="104" t="s">
        <v>61</v>
      </c>
      <c r="B41" s="104" t="s">
        <v>232</v>
      </c>
      <c r="C41" s="104">
        <v>2019</v>
      </c>
      <c r="D41" s="105" t="s">
        <v>165</v>
      </c>
      <c r="E41" s="104" t="s">
        <v>272</v>
      </c>
      <c r="F41" s="104" t="s">
        <v>273</v>
      </c>
      <c r="G41" s="104" t="s">
        <v>42</v>
      </c>
      <c r="H41" s="53" t="s">
        <v>160</v>
      </c>
      <c r="I41" s="53" t="s">
        <v>159</v>
      </c>
      <c r="J41" s="104" t="s">
        <v>38</v>
      </c>
      <c r="K41" s="53" t="s">
        <v>161</v>
      </c>
      <c r="L41" s="53">
        <v>1</v>
      </c>
      <c r="N41" s="53">
        <v>1</v>
      </c>
      <c r="O41" s="34">
        <v>0.7</v>
      </c>
      <c r="P41" s="53">
        <v>0.8</v>
      </c>
      <c r="Q41" s="84">
        <f t="shared" si="0"/>
        <v>0.75</v>
      </c>
      <c r="R41" s="53">
        <v>18.2</v>
      </c>
      <c r="S41" s="53">
        <v>122</v>
      </c>
      <c r="T41" s="16">
        <f t="shared" si="1"/>
        <v>27</v>
      </c>
      <c r="U41" s="53">
        <v>128</v>
      </c>
      <c r="V41" s="106">
        <f t="shared" si="2"/>
        <v>3456</v>
      </c>
      <c r="W41" s="53">
        <v>12</v>
      </c>
      <c r="X41" s="104" t="s">
        <v>46</v>
      </c>
      <c r="Y41" s="53" t="s">
        <v>69</v>
      </c>
      <c r="Z41" s="53" t="s">
        <v>55</v>
      </c>
      <c r="AA41" s="53" t="s">
        <v>90</v>
      </c>
      <c r="AB41" s="104" t="s">
        <v>236</v>
      </c>
      <c r="AC41" s="34"/>
    </row>
    <row r="42" spans="1:29" x14ac:dyDescent="0.15">
      <c r="A42" s="104" t="s">
        <v>61</v>
      </c>
      <c r="B42" s="104" t="s">
        <v>232</v>
      </c>
      <c r="C42" s="104">
        <v>2019</v>
      </c>
      <c r="D42" s="105" t="s">
        <v>165</v>
      </c>
      <c r="E42" s="104" t="s">
        <v>272</v>
      </c>
      <c r="F42" s="104" t="s">
        <v>273</v>
      </c>
      <c r="G42" s="104" t="s">
        <v>42</v>
      </c>
      <c r="H42" s="53" t="s">
        <v>160</v>
      </c>
      <c r="I42" s="53" t="s">
        <v>159</v>
      </c>
      <c r="J42" s="104" t="s">
        <v>38</v>
      </c>
      <c r="K42" s="53" t="s">
        <v>161</v>
      </c>
      <c r="L42" s="53">
        <v>2</v>
      </c>
      <c r="N42" s="53">
        <v>1</v>
      </c>
      <c r="O42" s="34">
        <v>0.75</v>
      </c>
      <c r="P42" s="53">
        <v>0.95</v>
      </c>
      <c r="Q42" s="84">
        <f t="shared" si="0"/>
        <v>0.85</v>
      </c>
      <c r="R42" s="53">
        <v>18.899999999999999</v>
      </c>
      <c r="S42" s="53">
        <v>129</v>
      </c>
      <c r="T42" s="16">
        <f t="shared" si="1"/>
        <v>25</v>
      </c>
      <c r="U42" s="53">
        <v>128</v>
      </c>
      <c r="V42" s="106">
        <f t="shared" si="2"/>
        <v>3200</v>
      </c>
      <c r="W42" s="53">
        <v>12</v>
      </c>
      <c r="X42" s="104" t="s">
        <v>46</v>
      </c>
      <c r="Y42" s="53" t="s">
        <v>69</v>
      </c>
      <c r="Z42" s="53" t="s">
        <v>55</v>
      </c>
      <c r="AA42" s="53" t="s">
        <v>90</v>
      </c>
      <c r="AB42" s="104" t="s">
        <v>236</v>
      </c>
      <c r="AC42" s="34"/>
    </row>
    <row r="43" spans="1:29" x14ac:dyDescent="0.15">
      <c r="A43" s="104" t="s">
        <v>61</v>
      </c>
      <c r="B43" s="104" t="s">
        <v>232</v>
      </c>
      <c r="C43" s="104">
        <v>2019</v>
      </c>
      <c r="D43" s="105" t="s">
        <v>165</v>
      </c>
      <c r="E43" s="104" t="s">
        <v>272</v>
      </c>
      <c r="F43" s="104" t="s">
        <v>273</v>
      </c>
      <c r="G43" s="104" t="s">
        <v>42</v>
      </c>
      <c r="H43" s="53" t="s">
        <v>160</v>
      </c>
      <c r="I43" s="53" t="s">
        <v>159</v>
      </c>
      <c r="J43" s="104" t="s">
        <v>38</v>
      </c>
      <c r="K43" s="53" t="s">
        <v>161</v>
      </c>
      <c r="L43" s="53">
        <v>3</v>
      </c>
      <c r="N43" s="53">
        <v>1</v>
      </c>
      <c r="O43" s="53">
        <v>1.25</v>
      </c>
      <c r="P43" s="53">
        <v>0.85</v>
      </c>
      <c r="Q43" s="84">
        <f t="shared" si="0"/>
        <v>1.05</v>
      </c>
      <c r="R43" s="53">
        <v>18</v>
      </c>
      <c r="S43" s="53">
        <v>129</v>
      </c>
      <c r="T43" s="16">
        <f t="shared" si="1"/>
        <v>25</v>
      </c>
      <c r="U43" s="53">
        <v>128</v>
      </c>
      <c r="V43" s="106">
        <f t="shared" si="2"/>
        <v>3200</v>
      </c>
      <c r="W43" s="53">
        <v>12</v>
      </c>
      <c r="X43" s="104" t="s">
        <v>46</v>
      </c>
      <c r="Y43" s="53" t="s">
        <v>69</v>
      </c>
      <c r="Z43" s="53" t="s">
        <v>55</v>
      </c>
      <c r="AA43" s="53" t="s">
        <v>90</v>
      </c>
      <c r="AB43" s="104" t="s">
        <v>236</v>
      </c>
      <c r="AC43" s="34"/>
    </row>
    <row r="44" spans="1:29" x14ac:dyDescent="0.15">
      <c r="A44" s="104" t="s">
        <v>61</v>
      </c>
      <c r="B44" s="104" t="s">
        <v>232</v>
      </c>
      <c r="C44" s="104">
        <v>2019</v>
      </c>
      <c r="D44" s="105" t="s">
        <v>165</v>
      </c>
      <c r="E44" s="104" t="s">
        <v>274</v>
      </c>
      <c r="F44" s="104" t="s">
        <v>275</v>
      </c>
      <c r="G44" s="104" t="s">
        <v>42</v>
      </c>
      <c r="H44" s="53" t="s">
        <v>164</v>
      </c>
      <c r="I44" s="53" t="s">
        <v>159</v>
      </c>
      <c r="J44" s="104" t="s">
        <v>38</v>
      </c>
      <c r="K44" s="53" t="s">
        <v>161</v>
      </c>
      <c r="L44" s="53">
        <v>1</v>
      </c>
      <c r="N44" s="53">
        <v>5</v>
      </c>
      <c r="O44" s="34">
        <v>1.25</v>
      </c>
      <c r="P44" s="53">
        <v>1</v>
      </c>
      <c r="Q44" s="84">
        <f t="shared" si="0"/>
        <v>1.125</v>
      </c>
      <c r="R44" s="53">
        <v>17.399999999999999</v>
      </c>
      <c r="S44" s="53">
        <v>89</v>
      </c>
      <c r="T44" s="16">
        <f t="shared" si="1"/>
        <v>36</v>
      </c>
      <c r="U44" s="53">
        <v>321</v>
      </c>
      <c r="V44" s="106">
        <f t="shared" si="2"/>
        <v>2311.2000000000003</v>
      </c>
      <c r="W44" s="53">
        <v>6</v>
      </c>
      <c r="X44" s="104" t="s">
        <v>46</v>
      </c>
      <c r="Y44" s="53" t="s">
        <v>97</v>
      </c>
      <c r="Z44" s="53" t="s">
        <v>88</v>
      </c>
      <c r="AA44" s="53" t="s">
        <v>47</v>
      </c>
      <c r="AB44" s="104" t="s">
        <v>236</v>
      </c>
    </row>
    <row r="45" spans="1:29" x14ac:dyDescent="0.15">
      <c r="A45" s="104" t="s">
        <v>61</v>
      </c>
      <c r="B45" s="104" t="s">
        <v>232</v>
      </c>
      <c r="C45" s="104">
        <v>2020</v>
      </c>
      <c r="D45" s="105" t="s">
        <v>165</v>
      </c>
      <c r="E45" s="104" t="s">
        <v>274</v>
      </c>
      <c r="F45" s="104" t="s">
        <v>275</v>
      </c>
      <c r="G45" s="104" t="s">
        <v>42</v>
      </c>
      <c r="H45" s="53" t="s">
        <v>164</v>
      </c>
      <c r="I45" s="53" t="s">
        <v>159</v>
      </c>
      <c r="J45" s="104" t="s">
        <v>38</v>
      </c>
      <c r="K45" s="53" t="s">
        <v>161</v>
      </c>
      <c r="L45" s="53">
        <v>2</v>
      </c>
      <c r="N45" s="53">
        <v>5</v>
      </c>
      <c r="O45" s="34">
        <v>0.95</v>
      </c>
      <c r="P45" s="53">
        <v>1.05</v>
      </c>
      <c r="Q45" s="84">
        <f t="shared" si="0"/>
        <v>1</v>
      </c>
      <c r="R45" s="53">
        <v>17.2</v>
      </c>
      <c r="S45" s="53">
        <v>94</v>
      </c>
      <c r="T45" s="16">
        <f t="shared" si="1"/>
        <v>36</v>
      </c>
      <c r="U45" s="53">
        <v>321</v>
      </c>
      <c r="V45" s="106">
        <f t="shared" si="2"/>
        <v>2311.2000000000003</v>
      </c>
      <c r="W45" s="53">
        <v>6</v>
      </c>
      <c r="X45" s="104" t="s">
        <v>46</v>
      </c>
      <c r="Y45" s="53" t="s">
        <v>97</v>
      </c>
      <c r="Z45" s="53" t="s">
        <v>88</v>
      </c>
      <c r="AA45" s="53" t="s">
        <v>47</v>
      </c>
      <c r="AB45" s="104" t="s">
        <v>236</v>
      </c>
    </row>
    <row r="46" spans="1:29" x14ac:dyDescent="0.15">
      <c r="A46" s="104" t="s">
        <v>61</v>
      </c>
      <c r="B46" s="104" t="s">
        <v>232</v>
      </c>
      <c r="C46" s="104">
        <v>2021</v>
      </c>
      <c r="D46" s="105" t="s">
        <v>165</v>
      </c>
      <c r="E46" s="104" t="s">
        <v>274</v>
      </c>
      <c r="F46" s="104" t="s">
        <v>275</v>
      </c>
      <c r="G46" s="104" t="s">
        <v>42</v>
      </c>
      <c r="H46" s="53" t="s">
        <v>164</v>
      </c>
      <c r="I46" s="53" t="s">
        <v>159</v>
      </c>
      <c r="J46" s="104" t="s">
        <v>38</v>
      </c>
      <c r="K46" s="53" t="s">
        <v>161</v>
      </c>
      <c r="L46" s="53">
        <v>3</v>
      </c>
      <c r="N46" s="53">
        <v>5</v>
      </c>
      <c r="O46" s="34">
        <v>1.25</v>
      </c>
      <c r="P46" s="53">
        <v>1.05</v>
      </c>
      <c r="Q46" s="84">
        <f t="shared" si="0"/>
        <v>1.1499999999999999</v>
      </c>
      <c r="R46" s="53">
        <v>17.3</v>
      </c>
      <c r="S46" s="53">
        <v>88</v>
      </c>
      <c r="T46" s="16">
        <f t="shared" si="1"/>
        <v>36</v>
      </c>
      <c r="U46" s="53">
        <v>321</v>
      </c>
      <c r="V46" s="106">
        <f t="shared" si="2"/>
        <v>2311.2000000000003</v>
      </c>
      <c r="W46" s="53">
        <v>6</v>
      </c>
      <c r="X46" s="104" t="s">
        <v>46</v>
      </c>
      <c r="Y46" s="53" t="s">
        <v>97</v>
      </c>
      <c r="Z46" s="53" t="s">
        <v>88</v>
      </c>
      <c r="AA46" s="53" t="s">
        <v>47</v>
      </c>
      <c r="AB46" s="104" t="s">
        <v>236</v>
      </c>
    </row>
    <row r="47" spans="1:29" x14ac:dyDescent="0.15">
      <c r="A47" s="104" t="s">
        <v>61</v>
      </c>
      <c r="B47" s="104" t="s">
        <v>232</v>
      </c>
      <c r="C47" s="104">
        <v>2022</v>
      </c>
      <c r="D47" s="105" t="s">
        <v>165</v>
      </c>
      <c r="E47" s="104" t="s">
        <v>274</v>
      </c>
      <c r="F47" s="104" t="s">
        <v>275</v>
      </c>
      <c r="G47" s="104" t="s">
        <v>42</v>
      </c>
      <c r="H47" s="53" t="s">
        <v>160</v>
      </c>
      <c r="I47" s="53" t="s">
        <v>159</v>
      </c>
      <c r="J47" s="104" t="s">
        <v>38</v>
      </c>
      <c r="K47" s="53" t="s">
        <v>161</v>
      </c>
      <c r="L47" s="53">
        <v>1</v>
      </c>
      <c r="N47" s="53">
        <v>1</v>
      </c>
      <c r="O47" s="34">
        <v>0.5</v>
      </c>
      <c r="P47" s="53">
        <v>0.5</v>
      </c>
      <c r="Q47" s="84">
        <f t="shared" si="0"/>
        <v>0.5</v>
      </c>
      <c r="R47" s="53">
        <v>17.7</v>
      </c>
      <c r="S47" s="53">
        <v>109</v>
      </c>
      <c r="T47" s="16">
        <f t="shared" si="1"/>
        <v>33</v>
      </c>
      <c r="U47" s="53">
        <v>105</v>
      </c>
      <c r="V47" s="106">
        <f t="shared" si="2"/>
        <v>3465</v>
      </c>
      <c r="W47" s="53">
        <v>6</v>
      </c>
      <c r="X47" s="104" t="s">
        <v>46</v>
      </c>
      <c r="Y47" s="53" t="s">
        <v>97</v>
      </c>
      <c r="Z47" s="53" t="s">
        <v>88</v>
      </c>
      <c r="AA47" s="53" t="s">
        <v>47</v>
      </c>
      <c r="AB47" s="104" t="s">
        <v>236</v>
      </c>
      <c r="AC47" s="34"/>
    </row>
    <row r="48" spans="1:29" x14ac:dyDescent="0.15">
      <c r="A48" s="104" t="s">
        <v>61</v>
      </c>
      <c r="B48" s="104" t="s">
        <v>232</v>
      </c>
      <c r="C48" s="104">
        <v>2023</v>
      </c>
      <c r="D48" s="105" t="s">
        <v>165</v>
      </c>
      <c r="E48" s="104" t="s">
        <v>274</v>
      </c>
      <c r="F48" s="104" t="s">
        <v>275</v>
      </c>
      <c r="G48" s="104" t="s">
        <v>42</v>
      </c>
      <c r="H48" s="53" t="s">
        <v>160</v>
      </c>
      <c r="I48" s="53" t="s">
        <v>159</v>
      </c>
      <c r="J48" s="104" t="s">
        <v>38</v>
      </c>
      <c r="K48" s="53" t="s">
        <v>161</v>
      </c>
      <c r="L48" s="53">
        <v>2</v>
      </c>
      <c r="N48" s="53">
        <v>1</v>
      </c>
      <c r="O48" s="34">
        <v>0.5</v>
      </c>
      <c r="P48" s="53">
        <v>0.5</v>
      </c>
      <c r="Q48" s="84">
        <f t="shared" si="0"/>
        <v>0.5</v>
      </c>
      <c r="R48" s="53">
        <v>17.600000000000001</v>
      </c>
      <c r="S48" s="53">
        <v>104</v>
      </c>
      <c r="T48" s="16">
        <f t="shared" si="1"/>
        <v>33</v>
      </c>
      <c r="U48" s="53">
        <v>105</v>
      </c>
      <c r="V48" s="106">
        <f t="shared" si="2"/>
        <v>3465</v>
      </c>
      <c r="W48" s="53">
        <v>6</v>
      </c>
      <c r="X48" s="104" t="s">
        <v>46</v>
      </c>
      <c r="Y48" s="53" t="s">
        <v>97</v>
      </c>
      <c r="Z48" s="53" t="s">
        <v>88</v>
      </c>
      <c r="AA48" s="53" t="s">
        <v>47</v>
      </c>
      <c r="AB48" s="104" t="s">
        <v>236</v>
      </c>
      <c r="AC48" s="34"/>
    </row>
    <row r="49" spans="1:29" x14ac:dyDescent="0.15">
      <c r="A49" s="104" t="s">
        <v>61</v>
      </c>
      <c r="B49" s="104" t="s">
        <v>232</v>
      </c>
      <c r="C49" s="104">
        <v>2024</v>
      </c>
      <c r="D49" s="105" t="s">
        <v>165</v>
      </c>
      <c r="E49" s="104" t="s">
        <v>274</v>
      </c>
      <c r="F49" s="104" t="s">
        <v>275</v>
      </c>
      <c r="G49" s="104" t="s">
        <v>42</v>
      </c>
      <c r="H49" s="53" t="s">
        <v>160</v>
      </c>
      <c r="I49" s="53" t="s">
        <v>159</v>
      </c>
      <c r="J49" s="104" t="s">
        <v>38</v>
      </c>
      <c r="K49" s="53" t="s">
        <v>161</v>
      </c>
      <c r="L49" s="53">
        <v>3</v>
      </c>
      <c r="N49" s="53">
        <v>1</v>
      </c>
      <c r="O49" s="34">
        <v>0.5</v>
      </c>
      <c r="P49" s="53">
        <v>0.5</v>
      </c>
      <c r="Q49" s="84">
        <f t="shared" si="0"/>
        <v>0.5</v>
      </c>
      <c r="R49" s="34">
        <v>18.899999999999999</v>
      </c>
      <c r="S49" s="53">
        <v>104</v>
      </c>
      <c r="T49" s="16">
        <f t="shared" si="1"/>
        <v>33</v>
      </c>
      <c r="U49" s="53">
        <v>105</v>
      </c>
      <c r="V49" s="106">
        <f t="shared" si="2"/>
        <v>3465</v>
      </c>
      <c r="W49" s="53">
        <v>6</v>
      </c>
      <c r="X49" s="104" t="s">
        <v>46</v>
      </c>
      <c r="Y49" s="53" t="s">
        <v>97</v>
      </c>
      <c r="Z49" s="53" t="s">
        <v>88</v>
      </c>
      <c r="AA49" s="53" t="s">
        <v>47</v>
      </c>
      <c r="AB49" s="104" t="s">
        <v>236</v>
      </c>
      <c r="AC49" s="34"/>
    </row>
    <row r="50" spans="1:29" x14ac:dyDescent="0.15">
      <c r="A50" s="104" t="s">
        <v>61</v>
      </c>
      <c r="B50" s="104" t="s">
        <v>232</v>
      </c>
      <c r="C50" s="104">
        <v>2019</v>
      </c>
      <c r="D50" s="105" t="s">
        <v>165</v>
      </c>
      <c r="E50" s="104" t="s">
        <v>133</v>
      </c>
      <c r="F50" s="104" t="s">
        <v>276</v>
      </c>
      <c r="G50" s="104" t="s">
        <v>42</v>
      </c>
      <c r="H50" s="53" t="s">
        <v>164</v>
      </c>
      <c r="I50" s="53" t="s">
        <v>159</v>
      </c>
      <c r="J50" s="104" t="s">
        <v>38</v>
      </c>
      <c r="K50" s="53" t="s">
        <v>161</v>
      </c>
      <c r="L50" s="53">
        <v>1</v>
      </c>
      <c r="N50" s="53">
        <v>1</v>
      </c>
      <c r="O50" s="53">
        <v>0.9</v>
      </c>
      <c r="P50" s="53">
        <v>1</v>
      </c>
      <c r="Q50" s="84">
        <f t="shared" si="0"/>
        <v>0.95</v>
      </c>
      <c r="R50" s="53">
        <v>17.3</v>
      </c>
      <c r="S50" s="53">
        <v>110</v>
      </c>
      <c r="T50" s="16">
        <f t="shared" si="1"/>
        <v>33</v>
      </c>
      <c r="U50" s="53">
        <v>98</v>
      </c>
      <c r="V50" s="106">
        <f t="shared" si="2"/>
        <v>3234</v>
      </c>
      <c r="W50" s="53">
        <v>12</v>
      </c>
      <c r="X50" s="104" t="s">
        <v>46</v>
      </c>
      <c r="Y50" s="53" t="s">
        <v>97</v>
      </c>
      <c r="Z50" s="53" t="s">
        <v>69</v>
      </c>
      <c r="AA50" s="53" t="s">
        <v>88</v>
      </c>
      <c r="AB50" s="104" t="s">
        <v>236</v>
      </c>
      <c r="AC50" s="34"/>
    </row>
    <row r="51" spans="1:29" x14ac:dyDescent="0.15">
      <c r="A51" s="104" t="s">
        <v>61</v>
      </c>
      <c r="B51" s="104" t="s">
        <v>232</v>
      </c>
      <c r="C51" s="104">
        <v>2019</v>
      </c>
      <c r="D51" s="105" t="s">
        <v>165</v>
      </c>
      <c r="E51" s="104" t="s">
        <v>133</v>
      </c>
      <c r="F51" s="104" t="s">
        <v>276</v>
      </c>
      <c r="G51" s="104" t="s">
        <v>42</v>
      </c>
      <c r="H51" s="53" t="s">
        <v>164</v>
      </c>
      <c r="I51" s="53" t="s">
        <v>159</v>
      </c>
      <c r="J51" s="104" t="s">
        <v>38</v>
      </c>
      <c r="K51" s="53" t="s">
        <v>161</v>
      </c>
      <c r="L51" s="53">
        <v>2</v>
      </c>
      <c r="N51" s="53">
        <v>1</v>
      </c>
      <c r="O51" s="53">
        <v>1.1000000000000001</v>
      </c>
      <c r="P51" s="53">
        <v>1.25</v>
      </c>
      <c r="Q51" s="84">
        <f t="shared" si="0"/>
        <v>1.175</v>
      </c>
      <c r="R51" s="53">
        <v>17.2</v>
      </c>
      <c r="S51" s="53">
        <v>105</v>
      </c>
      <c r="T51" s="16">
        <f t="shared" si="1"/>
        <v>33</v>
      </c>
      <c r="U51" s="53">
        <v>98</v>
      </c>
      <c r="V51" s="106">
        <f t="shared" si="2"/>
        <v>3234</v>
      </c>
      <c r="W51" s="53">
        <v>12</v>
      </c>
      <c r="X51" s="104" t="s">
        <v>46</v>
      </c>
      <c r="Y51" s="53" t="s">
        <v>97</v>
      </c>
      <c r="Z51" s="53" t="s">
        <v>69</v>
      </c>
      <c r="AA51" s="53" t="s">
        <v>88</v>
      </c>
      <c r="AB51" s="104" t="s">
        <v>236</v>
      </c>
      <c r="AC51" s="34"/>
    </row>
    <row r="52" spans="1:29" x14ac:dyDescent="0.15">
      <c r="A52" s="104" t="s">
        <v>61</v>
      </c>
      <c r="B52" s="104" t="s">
        <v>232</v>
      </c>
      <c r="C52" s="104">
        <v>2019</v>
      </c>
      <c r="D52" s="105" t="s">
        <v>165</v>
      </c>
      <c r="E52" s="104" t="s">
        <v>133</v>
      </c>
      <c r="F52" s="104" t="s">
        <v>276</v>
      </c>
      <c r="G52" s="104" t="s">
        <v>42</v>
      </c>
      <c r="H52" s="53" t="s">
        <v>164</v>
      </c>
      <c r="I52" s="53" t="s">
        <v>159</v>
      </c>
      <c r="J52" s="104" t="s">
        <v>38</v>
      </c>
      <c r="K52" s="53" t="s">
        <v>161</v>
      </c>
      <c r="L52" s="53">
        <v>3</v>
      </c>
      <c r="N52" s="53">
        <v>1</v>
      </c>
      <c r="O52" s="53">
        <v>1.05</v>
      </c>
      <c r="P52" s="53">
        <v>0.8</v>
      </c>
      <c r="Q52" s="84">
        <f t="shared" si="0"/>
        <v>0.92500000000000004</v>
      </c>
      <c r="R52" s="53">
        <v>17.8</v>
      </c>
      <c r="S52" s="53">
        <v>107</v>
      </c>
      <c r="T52" s="16">
        <f t="shared" si="1"/>
        <v>33</v>
      </c>
      <c r="U52" s="53">
        <v>98</v>
      </c>
      <c r="V52" s="106">
        <f t="shared" si="2"/>
        <v>3234</v>
      </c>
      <c r="W52" s="53">
        <v>12</v>
      </c>
      <c r="X52" s="104" t="s">
        <v>46</v>
      </c>
      <c r="Y52" s="53" t="s">
        <v>97</v>
      </c>
      <c r="Z52" s="53" t="s">
        <v>69</v>
      </c>
      <c r="AA52" s="53" t="s">
        <v>88</v>
      </c>
      <c r="AB52" s="104" t="s">
        <v>236</v>
      </c>
      <c r="AC52" s="34"/>
    </row>
    <row r="53" spans="1:29" x14ac:dyDescent="0.15">
      <c r="A53" s="104" t="s">
        <v>61</v>
      </c>
      <c r="B53" s="104" t="s">
        <v>232</v>
      </c>
      <c r="C53" s="104">
        <v>2019</v>
      </c>
      <c r="D53" s="105" t="s">
        <v>165</v>
      </c>
      <c r="E53" s="104" t="s">
        <v>133</v>
      </c>
      <c r="F53" s="104" t="s">
        <v>276</v>
      </c>
      <c r="G53" s="104" t="s">
        <v>42</v>
      </c>
      <c r="H53" s="53" t="s">
        <v>160</v>
      </c>
      <c r="I53" s="53" t="s">
        <v>159</v>
      </c>
      <c r="J53" s="104" t="s">
        <v>38</v>
      </c>
      <c r="K53" s="53" t="s">
        <v>161</v>
      </c>
      <c r="L53" s="53">
        <v>1</v>
      </c>
      <c r="N53" s="53">
        <v>1</v>
      </c>
      <c r="O53" s="53">
        <v>0.75</v>
      </c>
      <c r="P53" s="53">
        <v>0.75</v>
      </c>
      <c r="Q53" s="84">
        <f t="shared" si="0"/>
        <v>0.75</v>
      </c>
      <c r="R53" s="53">
        <v>18.2</v>
      </c>
      <c r="S53" s="53">
        <v>108</v>
      </c>
      <c r="T53" s="16">
        <f t="shared" si="1"/>
        <v>33</v>
      </c>
      <c r="U53" s="53">
        <v>98</v>
      </c>
      <c r="V53" s="106">
        <f t="shared" si="2"/>
        <v>3234</v>
      </c>
      <c r="W53" s="53">
        <v>12</v>
      </c>
      <c r="X53" s="104" t="s">
        <v>46</v>
      </c>
      <c r="Y53" s="53" t="s">
        <v>97</v>
      </c>
      <c r="Z53" s="53" t="s">
        <v>69</v>
      </c>
      <c r="AA53" s="53" t="s">
        <v>88</v>
      </c>
      <c r="AB53" s="104" t="s">
        <v>236</v>
      </c>
      <c r="AC53" s="34"/>
    </row>
    <row r="54" spans="1:29" x14ac:dyDescent="0.15">
      <c r="A54" s="104" t="s">
        <v>61</v>
      </c>
      <c r="B54" s="104" t="s">
        <v>232</v>
      </c>
      <c r="C54" s="104">
        <v>2019</v>
      </c>
      <c r="D54" s="105" t="s">
        <v>165</v>
      </c>
      <c r="E54" s="104" t="s">
        <v>133</v>
      </c>
      <c r="F54" s="104" t="s">
        <v>276</v>
      </c>
      <c r="G54" s="104" t="s">
        <v>42</v>
      </c>
      <c r="H54" s="53" t="s">
        <v>160</v>
      </c>
      <c r="I54" s="53" t="s">
        <v>159</v>
      </c>
      <c r="J54" s="104" t="s">
        <v>38</v>
      </c>
      <c r="K54" s="53" t="s">
        <v>161</v>
      </c>
      <c r="L54" s="53">
        <v>2</v>
      </c>
      <c r="N54" s="53">
        <v>1</v>
      </c>
      <c r="O54" s="53">
        <v>0.65</v>
      </c>
      <c r="P54" s="53">
        <v>0.7</v>
      </c>
      <c r="Q54" s="84">
        <f t="shared" si="0"/>
        <v>0.67500000000000004</v>
      </c>
      <c r="R54" s="53">
        <v>19.100000000000001</v>
      </c>
      <c r="S54" s="53">
        <v>103</v>
      </c>
      <c r="T54" s="16">
        <f t="shared" si="1"/>
        <v>33</v>
      </c>
      <c r="U54" s="53">
        <v>98</v>
      </c>
      <c r="V54" s="106">
        <f t="shared" si="2"/>
        <v>3234</v>
      </c>
      <c r="W54" s="53">
        <v>12</v>
      </c>
      <c r="X54" s="104" t="s">
        <v>46</v>
      </c>
      <c r="Y54" s="53" t="s">
        <v>97</v>
      </c>
      <c r="Z54" s="53" t="s">
        <v>69</v>
      </c>
      <c r="AA54" s="53" t="s">
        <v>88</v>
      </c>
      <c r="AB54" s="104" t="s">
        <v>236</v>
      </c>
      <c r="AC54" s="34"/>
    </row>
    <row r="55" spans="1:29" x14ac:dyDescent="0.15">
      <c r="A55" s="104" t="s">
        <v>61</v>
      </c>
      <c r="B55" s="104" t="s">
        <v>232</v>
      </c>
      <c r="C55" s="104">
        <v>2019</v>
      </c>
      <c r="D55" s="105" t="s">
        <v>165</v>
      </c>
      <c r="E55" s="104" t="s">
        <v>133</v>
      </c>
      <c r="F55" s="104" t="s">
        <v>276</v>
      </c>
      <c r="G55" s="104" t="s">
        <v>42</v>
      </c>
      <c r="H55" s="53" t="s">
        <v>160</v>
      </c>
      <c r="I55" s="53" t="s">
        <v>159</v>
      </c>
      <c r="J55" s="104" t="s">
        <v>38</v>
      </c>
      <c r="K55" s="53" t="s">
        <v>161</v>
      </c>
      <c r="L55" s="53">
        <v>3</v>
      </c>
      <c r="N55" s="53">
        <v>1</v>
      </c>
      <c r="O55" s="53">
        <v>0.55000000000000004</v>
      </c>
      <c r="P55" s="53">
        <v>0.55000000000000004</v>
      </c>
      <c r="Q55" s="84">
        <f t="shared" si="0"/>
        <v>0.55000000000000004</v>
      </c>
      <c r="R55" s="53">
        <v>18.899999999999999</v>
      </c>
      <c r="S55" s="53">
        <v>103</v>
      </c>
      <c r="T55" s="16">
        <f t="shared" si="1"/>
        <v>33</v>
      </c>
      <c r="U55" s="53">
        <v>98</v>
      </c>
      <c r="V55" s="106">
        <f t="shared" si="2"/>
        <v>3234</v>
      </c>
      <c r="W55" s="53">
        <v>12</v>
      </c>
      <c r="X55" s="104" t="s">
        <v>46</v>
      </c>
      <c r="Y55" s="53" t="s">
        <v>97</v>
      </c>
      <c r="Z55" s="53" t="s">
        <v>69</v>
      </c>
      <c r="AA55" s="53" t="s">
        <v>88</v>
      </c>
      <c r="AB55" s="104" t="s">
        <v>236</v>
      </c>
      <c r="AC55" s="34"/>
    </row>
    <row r="56" spans="1:29" x14ac:dyDescent="0.15">
      <c r="A56" s="104" t="s">
        <v>61</v>
      </c>
      <c r="B56" s="104" t="s">
        <v>232</v>
      </c>
      <c r="C56" s="104">
        <v>2019</v>
      </c>
      <c r="D56" s="105" t="s">
        <v>165</v>
      </c>
      <c r="E56" s="104" t="s">
        <v>277</v>
      </c>
      <c r="F56" s="104" t="s">
        <v>278</v>
      </c>
      <c r="G56" s="104" t="s">
        <v>42</v>
      </c>
      <c r="H56" s="53" t="s">
        <v>164</v>
      </c>
      <c r="I56" s="53" t="s">
        <v>159</v>
      </c>
      <c r="J56" s="104" t="s">
        <v>38</v>
      </c>
      <c r="K56" s="53" t="s">
        <v>161</v>
      </c>
      <c r="L56" s="53">
        <v>1</v>
      </c>
      <c r="N56" s="53">
        <v>1</v>
      </c>
      <c r="O56" s="53">
        <v>0.75</v>
      </c>
      <c r="P56" s="53">
        <v>0.7</v>
      </c>
      <c r="Q56" s="84">
        <f t="shared" si="0"/>
        <v>0.72499999999999998</v>
      </c>
      <c r="R56" s="53">
        <v>17.399999999999999</v>
      </c>
      <c r="S56" s="53">
        <v>108</v>
      </c>
      <c r="T56" s="16">
        <f t="shared" si="1"/>
        <v>33</v>
      </c>
      <c r="U56" s="53">
        <v>128</v>
      </c>
      <c r="V56" s="106">
        <f t="shared" si="2"/>
        <v>4224</v>
      </c>
      <c r="W56" s="53">
        <v>12</v>
      </c>
      <c r="X56" s="104" t="s">
        <v>46</v>
      </c>
      <c r="Y56" s="53" t="s">
        <v>97</v>
      </c>
      <c r="Z56" s="53" t="s">
        <v>69</v>
      </c>
      <c r="AA56" s="53" t="s">
        <v>55</v>
      </c>
      <c r="AB56" s="104" t="s">
        <v>236</v>
      </c>
    </row>
    <row r="57" spans="1:29" x14ac:dyDescent="0.15">
      <c r="A57" s="104" t="s">
        <v>61</v>
      </c>
      <c r="B57" s="104" t="s">
        <v>232</v>
      </c>
      <c r="C57" s="104">
        <v>2019</v>
      </c>
      <c r="D57" s="105" t="s">
        <v>165</v>
      </c>
      <c r="E57" s="104" t="s">
        <v>277</v>
      </c>
      <c r="F57" s="104" t="s">
        <v>278</v>
      </c>
      <c r="G57" s="104" t="s">
        <v>42</v>
      </c>
      <c r="H57" s="53" t="s">
        <v>164</v>
      </c>
      <c r="I57" s="53" t="s">
        <v>159</v>
      </c>
      <c r="J57" s="104" t="s">
        <v>38</v>
      </c>
      <c r="K57" s="53" t="s">
        <v>161</v>
      </c>
      <c r="L57" s="53">
        <v>2</v>
      </c>
      <c r="N57" s="53">
        <v>1</v>
      </c>
      <c r="O57" s="53">
        <v>0.65</v>
      </c>
      <c r="P57" s="53">
        <v>0.55000000000000004</v>
      </c>
      <c r="Q57" s="84">
        <f t="shared" si="0"/>
        <v>0.60000000000000009</v>
      </c>
      <c r="R57" s="53">
        <v>18</v>
      </c>
      <c r="S57" s="53">
        <v>103</v>
      </c>
      <c r="T57" s="16">
        <f t="shared" si="1"/>
        <v>33</v>
      </c>
      <c r="U57" s="53">
        <v>128</v>
      </c>
      <c r="V57" s="106">
        <f t="shared" si="2"/>
        <v>4224</v>
      </c>
      <c r="W57" s="53">
        <v>12</v>
      </c>
      <c r="X57" s="104" t="s">
        <v>46</v>
      </c>
      <c r="Y57" s="53" t="s">
        <v>97</v>
      </c>
      <c r="Z57" s="53" t="s">
        <v>69</v>
      </c>
      <c r="AA57" s="53" t="s">
        <v>55</v>
      </c>
      <c r="AB57" s="104" t="s">
        <v>236</v>
      </c>
    </row>
    <row r="58" spans="1:29" x14ac:dyDescent="0.15">
      <c r="A58" s="104" t="s">
        <v>61</v>
      </c>
      <c r="B58" s="104" t="s">
        <v>232</v>
      </c>
      <c r="C58" s="104">
        <v>2019</v>
      </c>
      <c r="D58" s="105" t="s">
        <v>165</v>
      </c>
      <c r="E58" s="104" t="s">
        <v>277</v>
      </c>
      <c r="F58" s="104" t="s">
        <v>278</v>
      </c>
      <c r="G58" s="104" t="s">
        <v>42</v>
      </c>
      <c r="H58" s="53" t="s">
        <v>164</v>
      </c>
      <c r="I58" s="53" t="s">
        <v>159</v>
      </c>
      <c r="J58" s="104" t="s">
        <v>38</v>
      </c>
      <c r="K58" s="53" t="s">
        <v>161</v>
      </c>
      <c r="L58" s="53">
        <v>3</v>
      </c>
      <c r="N58" s="53">
        <v>1</v>
      </c>
      <c r="O58" s="53">
        <v>0.55000000000000004</v>
      </c>
      <c r="P58" s="53">
        <v>0.7</v>
      </c>
      <c r="Q58" s="84">
        <f t="shared" si="0"/>
        <v>0.625</v>
      </c>
      <c r="R58" s="53">
        <v>16.899999999999999</v>
      </c>
      <c r="S58" s="53">
        <v>108</v>
      </c>
      <c r="T58" s="16">
        <f t="shared" si="1"/>
        <v>33</v>
      </c>
      <c r="U58" s="53">
        <v>128</v>
      </c>
      <c r="V58" s="106">
        <f t="shared" si="2"/>
        <v>4224</v>
      </c>
      <c r="W58" s="53">
        <v>12</v>
      </c>
      <c r="X58" s="104" t="s">
        <v>46</v>
      </c>
      <c r="Y58" s="53" t="s">
        <v>97</v>
      </c>
      <c r="Z58" s="53" t="s">
        <v>69</v>
      </c>
      <c r="AA58" s="53" t="s">
        <v>55</v>
      </c>
      <c r="AB58" s="104" t="s">
        <v>236</v>
      </c>
    </row>
    <row r="59" spans="1:29" x14ac:dyDescent="0.15">
      <c r="A59" s="104" t="s">
        <v>61</v>
      </c>
      <c r="B59" s="104" t="s">
        <v>232</v>
      </c>
      <c r="C59" s="104">
        <v>2019</v>
      </c>
      <c r="D59" s="105" t="s">
        <v>165</v>
      </c>
      <c r="E59" s="104" t="s">
        <v>277</v>
      </c>
      <c r="F59" s="104" t="s">
        <v>278</v>
      </c>
      <c r="G59" s="104" t="s">
        <v>42</v>
      </c>
      <c r="H59" s="53" t="s">
        <v>160</v>
      </c>
      <c r="I59" s="53" t="s">
        <v>159</v>
      </c>
      <c r="J59" s="104" t="s">
        <v>38</v>
      </c>
      <c r="K59" s="53" t="s">
        <v>161</v>
      </c>
      <c r="L59" s="53">
        <v>1</v>
      </c>
      <c r="N59" s="53">
        <v>1</v>
      </c>
      <c r="O59" s="53">
        <v>0.75</v>
      </c>
      <c r="P59" s="53">
        <v>0.85</v>
      </c>
      <c r="Q59" s="84">
        <f t="shared" si="0"/>
        <v>0.8</v>
      </c>
      <c r="R59" s="53">
        <v>17.399999999999999</v>
      </c>
      <c r="S59" s="53">
        <v>128</v>
      </c>
      <c r="T59" s="16">
        <f t="shared" si="1"/>
        <v>27</v>
      </c>
      <c r="U59" s="53">
        <v>138</v>
      </c>
      <c r="V59" s="106">
        <f t="shared" si="2"/>
        <v>3726</v>
      </c>
      <c r="W59" s="53">
        <v>12</v>
      </c>
      <c r="X59" s="104" t="s">
        <v>46</v>
      </c>
      <c r="Y59" s="53" t="s">
        <v>97</v>
      </c>
      <c r="Z59" s="53" t="s">
        <v>69</v>
      </c>
      <c r="AA59" s="53" t="s">
        <v>55</v>
      </c>
      <c r="AB59" s="104" t="s">
        <v>236</v>
      </c>
      <c r="AC59" s="34"/>
    </row>
    <row r="60" spans="1:29" x14ac:dyDescent="0.15">
      <c r="A60" s="104" t="s">
        <v>61</v>
      </c>
      <c r="B60" s="104" t="s">
        <v>232</v>
      </c>
      <c r="C60" s="104">
        <v>2019</v>
      </c>
      <c r="D60" s="105" t="s">
        <v>165</v>
      </c>
      <c r="E60" s="104" t="s">
        <v>277</v>
      </c>
      <c r="F60" s="104" t="s">
        <v>278</v>
      </c>
      <c r="G60" s="104" t="s">
        <v>42</v>
      </c>
      <c r="H60" s="53" t="s">
        <v>160</v>
      </c>
      <c r="I60" s="53" t="s">
        <v>159</v>
      </c>
      <c r="J60" s="104" t="s">
        <v>38</v>
      </c>
      <c r="K60" s="53" t="s">
        <v>161</v>
      </c>
      <c r="L60" s="53">
        <v>2</v>
      </c>
      <c r="N60" s="53">
        <v>1</v>
      </c>
      <c r="O60" s="53">
        <v>0.8</v>
      </c>
      <c r="P60" s="53">
        <v>0.95</v>
      </c>
      <c r="Q60" s="84">
        <f t="shared" si="0"/>
        <v>0.875</v>
      </c>
      <c r="R60" s="53">
        <v>17.2</v>
      </c>
      <c r="S60" s="53">
        <v>119</v>
      </c>
      <c r="T60" s="16">
        <f t="shared" si="1"/>
        <v>30</v>
      </c>
      <c r="U60" s="53">
        <v>138</v>
      </c>
      <c r="V60" s="106">
        <f t="shared" si="2"/>
        <v>4140</v>
      </c>
      <c r="W60" s="53">
        <v>12</v>
      </c>
      <c r="X60" s="104" t="s">
        <v>46</v>
      </c>
      <c r="Y60" s="53" t="s">
        <v>97</v>
      </c>
      <c r="Z60" s="53" t="s">
        <v>69</v>
      </c>
      <c r="AA60" s="53" t="s">
        <v>55</v>
      </c>
      <c r="AB60" s="104" t="s">
        <v>236</v>
      </c>
      <c r="AC60" s="34"/>
    </row>
    <row r="61" spans="1:29" x14ac:dyDescent="0.15">
      <c r="A61" s="104" t="s">
        <v>61</v>
      </c>
      <c r="B61" s="104" t="s">
        <v>232</v>
      </c>
      <c r="C61" s="104">
        <v>2019</v>
      </c>
      <c r="D61" s="105" t="s">
        <v>165</v>
      </c>
      <c r="E61" s="104" t="s">
        <v>277</v>
      </c>
      <c r="F61" s="104" t="s">
        <v>278</v>
      </c>
      <c r="G61" s="104" t="s">
        <v>42</v>
      </c>
      <c r="H61" s="53" t="s">
        <v>160</v>
      </c>
      <c r="I61" s="53" t="s">
        <v>159</v>
      </c>
      <c r="J61" s="104" t="s">
        <v>38</v>
      </c>
      <c r="K61" s="53" t="s">
        <v>161</v>
      </c>
      <c r="L61" s="53">
        <v>3</v>
      </c>
      <c r="N61" s="53">
        <v>1</v>
      </c>
      <c r="O61" s="53">
        <v>0.7</v>
      </c>
      <c r="P61" s="53">
        <v>0.85</v>
      </c>
      <c r="Q61" s="84">
        <f t="shared" si="0"/>
        <v>0.77499999999999991</v>
      </c>
      <c r="R61" s="53">
        <v>17.600000000000001</v>
      </c>
      <c r="S61" s="53">
        <v>124</v>
      </c>
      <c r="T61" s="16">
        <f t="shared" si="1"/>
        <v>27</v>
      </c>
      <c r="U61" s="53">
        <v>138</v>
      </c>
      <c r="V61" s="106">
        <f t="shared" si="2"/>
        <v>3726</v>
      </c>
      <c r="W61" s="53">
        <v>12</v>
      </c>
      <c r="X61" s="104" t="s">
        <v>46</v>
      </c>
      <c r="Y61" s="53" t="s">
        <v>97</v>
      </c>
      <c r="Z61" s="53" t="s">
        <v>69</v>
      </c>
      <c r="AA61" s="53" t="s">
        <v>55</v>
      </c>
      <c r="AB61" s="104" t="s">
        <v>236</v>
      </c>
      <c r="AC61" s="34"/>
    </row>
    <row r="62" spans="1:29" x14ac:dyDescent="0.15">
      <c r="A62" s="104" t="s">
        <v>61</v>
      </c>
      <c r="B62" s="104" t="s">
        <v>232</v>
      </c>
      <c r="C62" s="104">
        <v>2019</v>
      </c>
      <c r="D62" s="105" t="s">
        <v>165</v>
      </c>
      <c r="E62" s="104" t="s">
        <v>279</v>
      </c>
      <c r="F62" s="104" t="s">
        <v>278</v>
      </c>
      <c r="G62" s="104" t="s">
        <v>42</v>
      </c>
      <c r="H62" s="53" t="s">
        <v>164</v>
      </c>
      <c r="I62" s="53" t="s">
        <v>159</v>
      </c>
      <c r="J62" s="104" t="s">
        <v>38</v>
      </c>
      <c r="K62" s="53" t="s">
        <v>161</v>
      </c>
      <c r="L62" s="53">
        <v>1</v>
      </c>
      <c r="N62" s="53">
        <v>1</v>
      </c>
      <c r="O62" s="53">
        <v>0.65</v>
      </c>
      <c r="P62" s="53">
        <v>0.85</v>
      </c>
      <c r="Q62" s="84">
        <f t="shared" si="0"/>
        <v>0.75</v>
      </c>
      <c r="R62" s="53">
        <v>17.2</v>
      </c>
      <c r="S62" s="53">
        <v>89</v>
      </c>
      <c r="T62" s="16">
        <f t="shared" si="1"/>
        <v>36</v>
      </c>
      <c r="U62" s="53">
        <v>138</v>
      </c>
      <c r="V62" s="106">
        <f t="shared" si="2"/>
        <v>4968</v>
      </c>
      <c r="W62" s="53">
        <v>16</v>
      </c>
      <c r="X62" s="104" t="s">
        <v>46</v>
      </c>
      <c r="Y62" s="53" t="s">
        <v>97</v>
      </c>
      <c r="Z62" s="53" t="s">
        <v>78</v>
      </c>
      <c r="AA62" s="53" t="s">
        <v>86</v>
      </c>
      <c r="AB62" s="104" t="s">
        <v>236</v>
      </c>
      <c r="AC62" s="34"/>
    </row>
    <row r="63" spans="1:29" x14ac:dyDescent="0.15">
      <c r="A63" s="104" t="s">
        <v>61</v>
      </c>
      <c r="B63" s="104" t="s">
        <v>232</v>
      </c>
      <c r="C63" s="104">
        <v>2019</v>
      </c>
      <c r="D63" s="105" t="s">
        <v>165</v>
      </c>
      <c r="E63" s="104" t="s">
        <v>279</v>
      </c>
      <c r="F63" s="104" t="s">
        <v>278</v>
      </c>
      <c r="G63" s="104" t="s">
        <v>42</v>
      </c>
      <c r="H63" s="53" t="s">
        <v>164</v>
      </c>
      <c r="I63" s="53" t="s">
        <v>159</v>
      </c>
      <c r="J63" s="104" t="s">
        <v>38</v>
      </c>
      <c r="K63" s="53" t="s">
        <v>161</v>
      </c>
      <c r="L63" s="53">
        <v>2</v>
      </c>
      <c r="N63" s="53">
        <v>1</v>
      </c>
      <c r="O63" s="53">
        <v>0.85</v>
      </c>
      <c r="P63" s="53">
        <v>0.7</v>
      </c>
      <c r="Q63" s="84">
        <f t="shared" si="0"/>
        <v>0.77499999999999991</v>
      </c>
      <c r="R63" s="53">
        <v>17.2</v>
      </c>
      <c r="S63" s="53">
        <v>82</v>
      </c>
      <c r="T63" s="16">
        <f t="shared" si="1"/>
        <v>39</v>
      </c>
      <c r="U63" s="53">
        <v>138</v>
      </c>
      <c r="V63" s="106">
        <f t="shared" si="2"/>
        <v>5382</v>
      </c>
      <c r="W63" s="53">
        <v>16</v>
      </c>
      <c r="X63" s="104" t="s">
        <v>46</v>
      </c>
      <c r="Y63" s="53" t="s">
        <v>97</v>
      </c>
      <c r="Z63" s="53" t="s">
        <v>78</v>
      </c>
      <c r="AA63" s="53" t="s">
        <v>86</v>
      </c>
      <c r="AB63" s="104" t="s">
        <v>236</v>
      </c>
      <c r="AC63" s="34"/>
    </row>
    <row r="64" spans="1:29" x14ac:dyDescent="0.15">
      <c r="A64" s="104" t="s">
        <v>61</v>
      </c>
      <c r="B64" s="104" t="s">
        <v>232</v>
      </c>
      <c r="C64" s="104">
        <v>2019</v>
      </c>
      <c r="D64" s="105" t="s">
        <v>165</v>
      </c>
      <c r="E64" s="104" t="s">
        <v>279</v>
      </c>
      <c r="F64" s="104" t="s">
        <v>278</v>
      </c>
      <c r="G64" s="104" t="s">
        <v>42</v>
      </c>
      <c r="H64" s="53" t="s">
        <v>164</v>
      </c>
      <c r="I64" s="53" t="s">
        <v>159</v>
      </c>
      <c r="J64" s="104" t="s">
        <v>38</v>
      </c>
      <c r="K64" s="53" t="s">
        <v>161</v>
      </c>
      <c r="L64" s="53">
        <v>3</v>
      </c>
      <c r="N64" s="53">
        <v>1</v>
      </c>
      <c r="O64" s="53">
        <v>0.7</v>
      </c>
      <c r="P64" s="53">
        <v>0.75</v>
      </c>
      <c r="Q64" s="84">
        <f t="shared" si="0"/>
        <v>0.72499999999999998</v>
      </c>
      <c r="R64" s="53">
        <v>17.600000000000001</v>
      </c>
      <c r="S64" s="53">
        <v>89</v>
      </c>
      <c r="T64" s="16">
        <f t="shared" si="1"/>
        <v>36</v>
      </c>
      <c r="U64" s="53">
        <v>138</v>
      </c>
      <c r="V64" s="106">
        <f t="shared" si="2"/>
        <v>4968</v>
      </c>
      <c r="W64" s="53">
        <v>16</v>
      </c>
      <c r="X64" s="104" t="s">
        <v>46</v>
      </c>
      <c r="Y64" s="53" t="s">
        <v>97</v>
      </c>
      <c r="Z64" s="53" t="s">
        <v>78</v>
      </c>
      <c r="AA64" s="53" t="s">
        <v>86</v>
      </c>
      <c r="AB64" s="104" t="s">
        <v>236</v>
      </c>
      <c r="AC64" s="34"/>
    </row>
    <row r="65" spans="1:29" x14ac:dyDescent="0.15">
      <c r="A65" s="104" t="s">
        <v>61</v>
      </c>
      <c r="B65" s="104" t="s">
        <v>232</v>
      </c>
      <c r="C65" s="104">
        <v>2019</v>
      </c>
      <c r="D65" s="105" t="s">
        <v>165</v>
      </c>
      <c r="E65" s="104" t="s">
        <v>279</v>
      </c>
      <c r="F65" s="104" t="s">
        <v>278</v>
      </c>
      <c r="G65" s="104" t="s">
        <v>42</v>
      </c>
      <c r="H65" s="53" t="s">
        <v>160</v>
      </c>
      <c r="I65" s="53" t="s">
        <v>159</v>
      </c>
      <c r="J65" s="104" t="s">
        <v>38</v>
      </c>
      <c r="K65" s="53" t="s">
        <v>161</v>
      </c>
      <c r="L65" s="53">
        <v>1</v>
      </c>
      <c r="N65" s="53">
        <v>1</v>
      </c>
      <c r="O65" s="53">
        <v>0.65</v>
      </c>
      <c r="P65" s="53">
        <v>0.5</v>
      </c>
      <c r="Q65" s="84">
        <f t="shared" si="0"/>
        <v>0.57499999999999996</v>
      </c>
      <c r="R65" s="53">
        <v>18.3</v>
      </c>
      <c r="S65" s="53">
        <v>128</v>
      </c>
      <c r="T65" s="16">
        <f t="shared" si="1"/>
        <v>27</v>
      </c>
      <c r="U65" s="53">
        <v>138</v>
      </c>
      <c r="V65" s="106">
        <f t="shared" si="2"/>
        <v>3726</v>
      </c>
      <c r="W65" s="53">
        <v>16</v>
      </c>
      <c r="X65" s="104" t="s">
        <v>46</v>
      </c>
      <c r="Y65" s="53" t="s">
        <v>97</v>
      </c>
      <c r="Z65" s="53" t="s">
        <v>78</v>
      </c>
      <c r="AA65" s="53" t="s">
        <v>86</v>
      </c>
      <c r="AB65" s="104" t="s">
        <v>236</v>
      </c>
    </row>
    <row r="66" spans="1:29" x14ac:dyDescent="0.15">
      <c r="A66" s="104" t="s">
        <v>61</v>
      </c>
      <c r="B66" s="104" t="s">
        <v>232</v>
      </c>
      <c r="C66" s="104">
        <v>2019</v>
      </c>
      <c r="D66" s="105" t="s">
        <v>165</v>
      </c>
      <c r="E66" s="104" t="s">
        <v>279</v>
      </c>
      <c r="F66" s="104" t="s">
        <v>278</v>
      </c>
      <c r="G66" s="104" t="s">
        <v>42</v>
      </c>
      <c r="H66" s="53" t="s">
        <v>160</v>
      </c>
      <c r="I66" s="53" t="s">
        <v>159</v>
      </c>
      <c r="J66" s="104" t="s">
        <v>38</v>
      </c>
      <c r="K66" s="53" t="s">
        <v>161</v>
      </c>
      <c r="L66" s="53">
        <v>2</v>
      </c>
      <c r="N66" s="53">
        <v>1</v>
      </c>
      <c r="O66" s="53">
        <v>0.85</v>
      </c>
      <c r="P66" s="53">
        <v>0.75</v>
      </c>
      <c r="Q66" s="84">
        <f t="shared" ref="Q66:Q73" si="3">IF(OR(O66="",P66=""),"",AVERAGE(O66,P66))</f>
        <v>0.8</v>
      </c>
      <c r="R66" s="53">
        <v>18.2</v>
      </c>
      <c r="S66" s="53">
        <v>124</v>
      </c>
      <c r="T66" s="16">
        <f t="shared" ref="T66:T73" si="4">IF(H66="","",IF(OR(H66="GREEN",H66="GK"),IF(S66&gt;=$AX$2,VLOOKUP(S66,$AX$2:$AY$15,2,1),""),IF(S66&gt;=$AZ$2,VLOOKUP(S66,$AZ$2:$BA$15,2,1),"")))</f>
        <v>27</v>
      </c>
      <c r="U66" s="53">
        <v>138</v>
      </c>
      <c r="V66" s="106">
        <f t="shared" ref="V66:V73" si="5">IF(OR(N66="",U66="",T66=""),"",U66/N66*T66)</f>
        <v>3726</v>
      </c>
      <c r="W66" s="53">
        <v>16</v>
      </c>
      <c r="X66" s="104" t="s">
        <v>46</v>
      </c>
      <c r="Y66" s="53" t="s">
        <v>97</v>
      </c>
      <c r="Z66" s="53" t="s">
        <v>78</v>
      </c>
      <c r="AA66" s="53" t="s">
        <v>86</v>
      </c>
      <c r="AB66" s="104" t="s">
        <v>236</v>
      </c>
    </row>
    <row r="67" spans="1:29" x14ac:dyDescent="0.15">
      <c r="A67" s="104" t="s">
        <v>61</v>
      </c>
      <c r="B67" s="104" t="s">
        <v>232</v>
      </c>
      <c r="C67" s="104">
        <v>2019</v>
      </c>
      <c r="D67" s="105" t="s">
        <v>165</v>
      </c>
      <c r="E67" s="104" t="s">
        <v>279</v>
      </c>
      <c r="F67" s="104" t="s">
        <v>278</v>
      </c>
      <c r="G67" s="104" t="s">
        <v>42</v>
      </c>
      <c r="H67" s="53" t="s">
        <v>160</v>
      </c>
      <c r="I67" s="53" t="s">
        <v>159</v>
      </c>
      <c r="J67" s="104" t="s">
        <v>38</v>
      </c>
      <c r="K67" s="53" t="s">
        <v>161</v>
      </c>
      <c r="L67" s="53">
        <v>3</v>
      </c>
      <c r="N67" s="53">
        <v>1</v>
      </c>
      <c r="O67" s="53">
        <v>0.7</v>
      </c>
      <c r="P67" s="53">
        <v>0.7</v>
      </c>
      <c r="Q67" s="84">
        <f t="shared" si="3"/>
        <v>0.7</v>
      </c>
      <c r="R67" s="53">
        <v>19.100000000000001</v>
      </c>
      <c r="S67" s="53">
        <v>128</v>
      </c>
      <c r="T67" s="16">
        <f t="shared" si="4"/>
        <v>27</v>
      </c>
      <c r="U67" s="53">
        <v>138</v>
      </c>
      <c r="V67" s="106">
        <f t="shared" si="5"/>
        <v>3726</v>
      </c>
      <c r="W67" s="53">
        <v>16</v>
      </c>
      <c r="X67" s="104" t="s">
        <v>46</v>
      </c>
      <c r="Y67" s="53" t="s">
        <v>97</v>
      </c>
      <c r="Z67" s="53" t="s">
        <v>78</v>
      </c>
      <c r="AA67" s="53" t="s">
        <v>86</v>
      </c>
      <c r="AB67" s="104" t="s">
        <v>236</v>
      </c>
    </row>
    <row r="68" spans="1:29" x14ac:dyDescent="0.15">
      <c r="A68" s="104"/>
      <c r="B68" s="104"/>
      <c r="C68" s="104"/>
      <c r="D68" s="105"/>
      <c r="E68" s="104"/>
      <c r="F68" s="104"/>
      <c r="G68" s="104"/>
      <c r="J68" s="104"/>
      <c r="Q68" s="84" t="str">
        <f t="shared" si="3"/>
        <v/>
      </c>
      <c r="T68" s="16" t="str">
        <f t="shared" si="4"/>
        <v/>
      </c>
      <c r="V68" s="106" t="str">
        <f t="shared" si="5"/>
        <v/>
      </c>
      <c r="X68" s="104"/>
      <c r="AB68" s="104"/>
      <c r="AC68" s="34"/>
    </row>
    <row r="69" spans="1:29" x14ac:dyDescent="0.15">
      <c r="A69" s="104"/>
      <c r="B69" s="104"/>
      <c r="C69" s="104"/>
      <c r="D69" s="105"/>
      <c r="E69" s="104"/>
      <c r="F69" s="104"/>
      <c r="G69" s="104"/>
      <c r="J69" s="104"/>
      <c r="Q69" s="84" t="str">
        <f t="shared" si="3"/>
        <v/>
      </c>
      <c r="R69" s="34"/>
      <c r="T69" s="16" t="str">
        <f t="shared" si="4"/>
        <v/>
      </c>
      <c r="V69" s="106" t="str">
        <f t="shared" si="5"/>
        <v/>
      </c>
      <c r="X69" s="104"/>
      <c r="AB69" s="104"/>
      <c r="AC69" s="34"/>
    </row>
    <row r="70" spans="1:29" x14ac:dyDescent="0.15">
      <c r="A70" s="104"/>
      <c r="B70" s="104"/>
      <c r="C70" s="104"/>
      <c r="D70" s="105"/>
      <c r="F70" s="104"/>
      <c r="G70" s="104"/>
      <c r="J70" s="104"/>
      <c r="Q70" s="84" t="str">
        <f t="shared" si="3"/>
        <v/>
      </c>
      <c r="R70" s="34"/>
      <c r="T70" s="16" t="str">
        <f t="shared" si="4"/>
        <v/>
      </c>
      <c r="V70" s="106" t="str">
        <f t="shared" si="5"/>
        <v/>
      </c>
      <c r="X70" s="104"/>
      <c r="AB70" s="104"/>
      <c r="AC70" s="34"/>
    </row>
    <row r="71" spans="1:29" x14ac:dyDescent="0.15">
      <c r="A71" s="104"/>
      <c r="B71" s="104"/>
      <c r="C71" s="104"/>
      <c r="D71" s="105"/>
      <c r="F71" s="104"/>
      <c r="G71" s="104"/>
      <c r="J71" s="104"/>
      <c r="Q71" s="84" t="str">
        <f t="shared" si="3"/>
        <v/>
      </c>
      <c r="T71" s="16" t="str">
        <f t="shared" si="4"/>
        <v/>
      </c>
      <c r="V71" s="106" t="str">
        <f t="shared" si="5"/>
        <v/>
      </c>
      <c r="X71" s="104"/>
      <c r="AB71" s="104"/>
      <c r="AC71" s="34"/>
    </row>
    <row r="72" spans="1:29" x14ac:dyDescent="0.15">
      <c r="A72" s="104"/>
      <c r="B72" s="104"/>
      <c r="C72" s="104"/>
      <c r="D72" s="105"/>
      <c r="F72" s="104"/>
      <c r="G72" s="104"/>
      <c r="J72" s="104"/>
      <c r="Q72" s="84" t="str">
        <f t="shared" si="3"/>
        <v/>
      </c>
      <c r="T72" s="16" t="str">
        <f t="shared" si="4"/>
        <v/>
      </c>
      <c r="V72" s="106" t="str">
        <f t="shared" si="5"/>
        <v/>
      </c>
      <c r="X72" s="104"/>
      <c r="AB72" s="104"/>
      <c r="AC72" s="34"/>
    </row>
    <row r="73" spans="1:29" x14ac:dyDescent="0.15">
      <c r="A73" s="104"/>
      <c r="B73" s="104"/>
      <c r="C73" s="104"/>
      <c r="D73" s="105"/>
      <c r="G73" s="104"/>
      <c r="J73" s="104"/>
      <c r="Q73" s="84" t="str">
        <f t="shared" si="3"/>
        <v/>
      </c>
      <c r="T73" s="16" t="str">
        <f t="shared" si="4"/>
        <v/>
      </c>
      <c r="V73" s="106" t="str">
        <f t="shared" si="5"/>
        <v/>
      </c>
      <c r="X73" s="104"/>
      <c r="AB73" s="104"/>
      <c r="AC73" s="34"/>
    </row>
    <row r="74" spans="1:29" x14ac:dyDescent="0.15">
      <c r="A74" s="104"/>
      <c r="B74" s="104"/>
      <c r="C74" s="104"/>
      <c r="D74" s="105"/>
      <c r="G74" s="104"/>
      <c r="J74" s="104"/>
      <c r="Q74" s="84"/>
      <c r="V74" s="106"/>
      <c r="X74" s="104"/>
      <c r="AB74" s="104"/>
    </row>
    <row r="75" spans="1:29" x14ac:dyDescent="0.15">
      <c r="A75" s="104"/>
      <c r="B75" s="104"/>
      <c r="C75" s="104"/>
      <c r="D75" s="105"/>
      <c r="G75" s="104"/>
      <c r="J75" s="104"/>
      <c r="Q75" s="84"/>
      <c r="V75" s="106"/>
      <c r="X75" s="104"/>
      <c r="AB75" s="104"/>
    </row>
    <row r="76" spans="1:29" x14ac:dyDescent="0.15">
      <c r="A76" s="104"/>
      <c r="B76" s="104"/>
      <c r="C76" s="104"/>
      <c r="D76" s="105"/>
      <c r="G76" s="104"/>
      <c r="J76" s="104"/>
      <c r="Q76" s="84"/>
      <c r="V76" s="106"/>
      <c r="X76" s="104"/>
      <c r="AB76" s="104"/>
    </row>
    <row r="77" spans="1:29" x14ac:dyDescent="0.15">
      <c r="A77" s="104"/>
      <c r="B77" s="104"/>
      <c r="C77" s="104"/>
      <c r="D77" s="105"/>
      <c r="G77" s="104"/>
      <c r="J77" s="104"/>
      <c r="Q77" s="84" t="str">
        <f t="shared" ref="Q77:Q79" si="6">IF(OR(O77="",P77=""),"",AVERAGE(O77,P77))</f>
        <v/>
      </c>
      <c r="T77" s="16" t="str">
        <f>IF(H77="","",IF(OR(H77="GREEN",H77="GK"),IF(S77&gt;=$AX$2,VLOOKUP(S77,$AX$2:$AY$15,2,1),""),IF(S77&gt;=$AZ$2,VLOOKUP(S77,$AZ$2:$BA$15,2,1),"")))</f>
        <v/>
      </c>
      <c r="V77" s="106" t="str">
        <f t="shared" ref="V77:V79" si="7">IF(OR(N77="",U77="",T77=""),"",U77/N77*T77)</f>
        <v/>
      </c>
      <c r="X77" s="104"/>
      <c r="AB77" s="104"/>
    </row>
    <row r="78" spans="1:29" x14ac:dyDescent="0.15">
      <c r="A78" s="104"/>
      <c r="B78" s="104"/>
      <c r="C78" s="104"/>
      <c r="D78" s="105"/>
      <c r="G78" s="104"/>
      <c r="J78" s="104"/>
      <c r="Q78" s="84" t="str">
        <f t="shared" si="6"/>
        <v/>
      </c>
      <c r="T78" s="16" t="str">
        <f>IF(H78="","",IF(OR(H78="GREEN",H78="GK"),IF(S78&gt;=$AX$2,VLOOKUP(S78,$AX$2:$AY$15,2,1),""),IF(S78&gt;=$AZ$2,VLOOKUP(S78,$AZ$2:$BA$15,2,1),"")))</f>
        <v/>
      </c>
      <c r="V78" s="106" t="str">
        <f t="shared" si="7"/>
        <v/>
      </c>
      <c r="X78" s="104"/>
      <c r="AB78" s="104"/>
    </row>
    <row r="79" spans="1:29" x14ac:dyDescent="0.15">
      <c r="A79" s="104"/>
      <c r="B79" s="104"/>
      <c r="C79" s="104"/>
      <c r="D79" s="105"/>
      <c r="G79" s="104"/>
      <c r="J79" s="104"/>
      <c r="Q79" s="84" t="str">
        <f t="shared" si="6"/>
        <v/>
      </c>
      <c r="T79" s="16" t="str">
        <f>IF(H79="","",IF(OR(H79="GREEN",H79="GK"),IF(S79&gt;=$AX$2,VLOOKUP(S79,$AX$2:$AY$15,2,1),""),IF(S79&gt;=$AZ$2,VLOOKUP(S79,$AZ$2:$BA$15,2,1),"")))</f>
        <v/>
      </c>
      <c r="V79" s="106" t="str">
        <f t="shared" si="7"/>
        <v/>
      </c>
      <c r="X79" s="104"/>
      <c r="AB79" s="104"/>
    </row>
    <row r="80" spans="1:29" x14ac:dyDescent="0.15">
      <c r="A80" s="104"/>
      <c r="B80" s="104"/>
      <c r="C80" s="104"/>
      <c r="D80" s="105"/>
      <c r="G80" s="104"/>
      <c r="J80" s="104"/>
      <c r="Q80" s="84"/>
      <c r="V80" s="106"/>
      <c r="X80" s="104"/>
      <c r="AB80" s="104"/>
    </row>
    <row r="81" spans="1:28" x14ac:dyDescent="0.15">
      <c r="A81" s="104"/>
      <c r="B81" s="104"/>
      <c r="C81" s="104"/>
      <c r="D81" s="105"/>
      <c r="G81" s="104"/>
      <c r="J81" s="104"/>
      <c r="Q81" s="84"/>
      <c r="V81" s="106"/>
      <c r="X81" s="104"/>
      <c r="AB81" s="104"/>
    </row>
    <row r="82" spans="1:28" x14ac:dyDescent="0.15">
      <c r="A82" s="104"/>
      <c r="B82" s="104"/>
      <c r="C82" s="104"/>
      <c r="D82" s="105"/>
      <c r="G82" s="104"/>
      <c r="J82" s="104"/>
      <c r="Q82" s="84"/>
      <c r="V82" s="106"/>
      <c r="X82" s="104"/>
      <c r="AB82" s="104"/>
    </row>
    <row r="83" spans="1:28" x14ac:dyDescent="0.15">
      <c r="A83" s="104"/>
      <c r="B83" s="104"/>
      <c r="C83" s="104"/>
      <c r="D83" s="105"/>
      <c r="G83" s="104"/>
      <c r="J83" s="104"/>
      <c r="Q83" s="84"/>
      <c r="V83" s="106"/>
      <c r="X83" s="104"/>
      <c r="AB83" s="104"/>
    </row>
    <row r="84" spans="1:28" x14ac:dyDescent="0.15">
      <c r="A84" s="104"/>
      <c r="B84" s="104"/>
      <c r="C84" s="104"/>
      <c r="D84" s="105"/>
      <c r="G84" s="104"/>
      <c r="J84" s="104"/>
      <c r="Q84" s="84"/>
      <c r="V84" s="106"/>
      <c r="X84" s="104"/>
      <c r="AB84" s="104"/>
    </row>
    <row r="85" spans="1:28" x14ac:dyDescent="0.15">
      <c r="A85" s="104"/>
      <c r="B85" s="104"/>
      <c r="C85" s="104"/>
      <c r="D85" s="105"/>
      <c r="G85" s="104"/>
      <c r="J85" s="104"/>
      <c r="Q85" s="84"/>
      <c r="V85" s="106"/>
      <c r="X85" s="104"/>
      <c r="AB85" s="104"/>
    </row>
    <row r="86" spans="1:28" x14ac:dyDescent="0.15">
      <c r="A86" s="104"/>
      <c r="B86" s="104"/>
      <c r="C86" s="104"/>
      <c r="D86" s="105"/>
      <c r="G86" s="104"/>
      <c r="J86" s="104"/>
      <c r="Q86" s="84"/>
      <c r="V86" s="106"/>
      <c r="X86" s="104"/>
      <c r="AB86" s="104"/>
    </row>
    <row r="87" spans="1:28" x14ac:dyDescent="0.15">
      <c r="A87" s="104"/>
      <c r="B87" s="104"/>
      <c r="C87" s="104"/>
      <c r="D87" s="105"/>
      <c r="G87" s="104"/>
      <c r="J87" s="104"/>
      <c r="Q87" s="84"/>
      <c r="V87" s="106"/>
      <c r="X87" s="104"/>
      <c r="AB87" s="104"/>
    </row>
    <row r="88" spans="1:28" x14ac:dyDescent="0.15">
      <c r="A88" s="104"/>
      <c r="B88" s="104"/>
      <c r="C88" s="104"/>
      <c r="D88" s="105"/>
      <c r="G88" s="104"/>
      <c r="J88" s="104"/>
      <c r="Q88" s="84"/>
      <c r="V88" s="106"/>
      <c r="X88" s="104"/>
      <c r="AB88" s="104"/>
    </row>
    <row r="89" spans="1:28" x14ac:dyDescent="0.15">
      <c r="A89" s="104"/>
      <c r="B89" s="104"/>
      <c r="C89" s="104"/>
      <c r="D89" s="105"/>
      <c r="G89" s="104"/>
      <c r="J89" s="104"/>
      <c r="Q89" s="84"/>
      <c r="V89" s="106"/>
      <c r="X89" s="104"/>
      <c r="AB89" s="104"/>
    </row>
    <row r="90" spans="1:28" x14ac:dyDescent="0.15">
      <c r="A90" s="104"/>
      <c r="B90" s="104"/>
      <c r="C90" s="104"/>
      <c r="D90" s="105"/>
      <c r="G90" s="104"/>
      <c r="J90" s="104"/>
      <c r="Q90" s="84"/>
      <c r="V90" s="106"/>
      <c r="X90" s="104"/>
      <c r="AB90" s="104"/>
    </row>
    <row r="91" spans="1:28" x14ac:dyDescent="0.15">
      <c r="A91" s="104"/>
      <c r="B91" s="104"/>
      <c r="C91" s="104"/>
      <c r="D91" s="105"/>
      <c r="G91" s="104"/>
      <c r="J91" s="104"/>
      <c r="Q91" s="84"/>
      <c r="V91" s="106"/>
      <c r="X91" s="104"/>
      <c r="AB91" s="104"/>
    </row>
    <row r="92" spans="1:28" x14ac:dyDescent="0.15">
      <c r="A92" s="104"/>
      <c r="B92" s="104"/>
      <c r="C92" s="104"/>
      <c r="D92" s="105"/>
      <c r="G92" s="104"/>
      <c r="J92" s="104"/>
      <c r="Q92" s="84"/>
      <c r="V92" s="106"/>
      <c r="X92" s="104"/>
      <c r="AB92" s="104"/>
    </row>
    <row r="93" spans="1:28" x14ac:dyDescent="0.15">
      <c r="A93" s="104"/>
      <c r="B93" s="104"/>
      <c r="C93" s="104"/>
      <c r="D93" s="105"/>
      <c r="G93" s="104"/>
      <c r="J93" s="104"/>
      <c r="Q93" s="84"/>
      <c r="V93" s="106"/>
      <c r="X93" s="104"/>
      <c r="AB93" s="104"/>
    </row>
    <row r="94" spans="1:28" x14ac:dyDescent="0.15">
      <c r="A94" s="104"/>
      <c r="B94" s="104"/>
      <c r="C94" s="104"/>
      <c r="D94" s="105"/>
      <c r="G94" s="104"/>
      <c r="J94" s="104"/>
      <c r="Q94" s="84"/>
      <c r="V94" s="106"/>
      <c r="X94" s="104"/>
      <c r="AB94" s="104"/>
    </row>
    <row r="95" spans="1:28" x14ac:dyDescent="0.15">
      <c r="D95" s="105"/>
    </row>
    <row r="96" spans="1:28" x14ac:dyDescent="0.15">
      <c r="A96" s="104"/>
      <c r="B96" s="104"/>
      <c r="C96" s="104"/>
      <c r="D96" s="105"/>
      <c r="G96" s="104"/>
      <c r="J96" s="104"/>
      <c r="Q96" s="84"/>
      <c r="V96" s="106"/>
      <c r="X96" s="104"/>
      <c r="AB96" s="104"/>
    </row>
    <row r="97" spans="1:28" x14ac:dyDescent="0.15">
      <c r="A97" s="104"/>
      <c r="B97" s="104"/>
      <c r="C97" s="104"/>
      <c r="G97" s="104"/>
      <c r="J97" s="104"/>
      <c r="Q97" s="84"/>
      <c r="V97" s="106"/>
      <c r="X97" s="104"/>
      <c r="AB97" s="104"/>
    </row>
    <row r="98" spans="1:28" x14ac:dyDescent="0.15">
      <c r="A98" s="104"/>
      <c r="B98" s="104"/>
      <c r="C98" s="104"/>
      <c r="D98" s="105"/>
      <c r="G98" s="104"/>
      <c r="J98" s="104"/>
      <c r="Q98" s="84"/>
      <c r="V98" s="106"/>
      <c r="X98" s="104"/>
      <c r="AB98" s="104"/>
    </row>
    <row r="99" spans="1:28" x14ac:dyDescent="0.15">
      <c r="A99" s="104"/>
      <c r="B99" s="104"/>
      <c r="C99" s="104"/>
      <c r="D99" s="105"/>
      <c r="G99" s="104"/>
      <c r="J99" s="104"/>
      <c r="Q99" s="84"/>
      <c r="V99" s="106"/>
      <c r="X99" s="104"/>
      <c r="AB99" s="104"/>
    </row>
    <row r="100" spans="1:28" x14ac:dyDescent="0.15">
      <c r="A100" s="104"/>
      <c r="B100" s="104"/>
      <c r="C100" s="104"/>
      <c r="D100" s="105"/>
      <c r="G100" s="104"/>
      <c r="J100" s="104"/>
      <c r="Q100" s="84"/>
      <c r="V100" s="106"/>
      <c r="X100" s="104"/>
      <c r="AB100" s="104"/>
    </row>
    <row r="101" spans="1:28" x14ac:dyDescent="0.15">
      <c r="A101" s="104"/>
      <c r="B101" s="104"/>
      <c r="C101" s="104"/>
      <c r="D101" s="105"/>
      <c r="G101" s="104"/>
      <c r="J101" s="104"/>
      <c r="Q101" s="84"/>
      <c r="V101" s="106"/>
      <c r="X101" s="104"/>
      <c r="AB101" s="104"/>
    </row>
    <row r="102" spans="1:28" x14ac:dyDescent="0.15">
      <c r="A102" s="104"/>
      <c r="B102" s="104"/>
      <c r="C102" s="104"/>
      <c r="D102" s="105"/>
      <c r="G102" s="104"/>
      <c r="J102" s="104"/>
      <c r="Q102" s="84"/>
      <c r="V102" s="106"/>
      <c r="X102" s="104"/>
      <c r="AB102" s="104"/>
    </row>
    <row r="103" spans="1:28" x14ac:dyDescent="0.15">
      <c r="A103" s="104"/>
      <c r="B103" s="104"/>
      <c r="C103" s="104"/>
      <c r="D103" s="105"/>
      <c r="G103" s="104"/>
      <c r="J103" s="104"/>
      <c r="Q103" s="84"/>
      <c r="V103" s="106"/>
      <c r="X103" s="104"/>
      <c r="AB103" s="104"/>
    </row>
    <row r="104" spans="1:28" x14ac:dyDescent="0.15">
      <c r="A104" s="104"/>
      <c r="B104" s="104"/>
      <c r="C104" s="104"/>
      <c r="D104" s="105"/>
      <c r="G104" s="104"/>
      <c r="J104" s="104"/>
      <c r="Q104" s="84"/>
      <c r="V104" s="106"/>
      <c r="X104" s="104"/>
      <c r="AB104" s="104"/>
    </row>
    <row r="105" spans="1:28" x14ac:dyDescent="0.15">
      <c r="A105" s="104"/>
      <c r="B105" s="104"/>
      <c r="C105" s="104"/>
      <c r="D105" s="105"/>
      <c r="G105" s="104"/>
      <c r="J105" s="104"/>
      <c r="Q105" s="84"/>
      <c r="V105" s="106"/>
      <c r="X105" s="104"/>
      <c r="AB105" s="104"/>
    </row>
    <row r="106" spans="1:28" x14ac:dyDescent="0.15">
      <c r="A106" s="104"/>
      <c r="B106" s="104"/>
      <c r="C106" s="104"/>
      <c r="D106" s="105"/>
      <c r="G106" s="104"/>
      <c r="J106" s="104"/>
      <c r="Q106" s="84"/>
      <c r="V106" s="106"/>
      <c r="X106" s="104"/>
      <c r="AB106" s="104"/>
    </row>
    <row r="107" spans="1:28" x14ac:dyDescent="0.15">
      <c r="A107" s="104"/>
      <c r="B107" s="104"/>
      <c r="C107" s="104"/>
      <c r="D107" s="105"/>
      <c r="G107" s="104"/>
      <c r="J107" s="104"/>
      <c r="Q107" s="84"/>
      <c r="V107" s="106"/>
      <c r="X107" s="104"/>
      <c r="AB107" s="104"/>
    </row>
    <row r="108" spans="1:28" x14ac:dyDescent="0.15">
      <c r="A108" s="104"/>
      <c r="B108" s="104"/>
      <c r="C108" s="104"/>
      <c r="D108" s="105"/>
      <c r="G108" s="104"/>
      <c r="J108" s="104"/>
      <c r="Q108" s="84"/>
      <c r="V108" s="106"/>
      <c r="X108" s="104"/>
      <c r="AB108" s="104"/>
    </row>
    <row r="109" spans="1:28" x14ac:dyDescent="0.15">
      <c r="A109" s="104"/>
      <c r="B109" s="104"/>
      <c r="C109" s="104"/>
      <c r="D109" s="105"/>
      <c r="G109" s="104"/>
      <c r="J109" s="104"/>
      <c r="Q109" s="84"/>
      <c r="V109" s="106"/>
      <c r="X109" s="104"/>
      <c r="AB109" s="104"/>
    </row>
    <row r="110" spans="1:28" x14ac:dyDescent="0.15">
      <c r="A110" s="104"/>
      <c r="B110" s="104"/>
      <c r="C110" s="104"/>
      <c r="D110" s="105"/>
      <c r="G110" s="104"/>
      <c r="J110" s="104"/>
      <c r="Q110" s="84"/>
      <c r="V110" s="106"/>
      <c r="X110" s="104"/>
      <c r="AB110" s="104"/>
    </row>
    <row r="111" spans="1:28" x14ac:dyDescent="0.15">
      <c r="A111" s="104"/>
      <c r="B111" s="104"/>
      <c r="C111" s="104"/>
      <c r="D111" s="105"/>
      <c r="G111" s="104"/>
      <c r="J111" s="104"/>
      <c r="Q111" s="84"/>
      <c r="V111" s="106"/>
      <c r="X111" s="104"/>
      <c r="AB111" s="104"/>
    </row>
    <row r="112" spans="1:28" x14ac:dyDescent="0.15">
      <c r="A112" s="104"/>
      <c r="B112" s="104"/>
      <c r="C112" s="104"/>
      <c r="D112" s="105"/>
      <c r="G112" s="104"/>
      <c r="J112" s="104"/>
      <c r="Q112" s="84"/>
      <c r="V112" s="106"/>
      <c r="X112" s="104"/>
      <c r="AB112" s="104"/>
    </row>
    <row r="113" spans="4:4" x14ac:dyDescent="0.15">
      <c r="D113" s="105"/>
    </row>
    <row r="114" spans="4:4" x14ac:dyDescent="0.15">
      <c r="D114" s="105"/>
    </row>
  </sheetData>
  <autoFilter ref="A1:BA1" xr:uid="{00000000-0009-0000-0000-000004000000}"/>
  <phoneticPr fontId="3"/>
  <dataValidations count="21">
    <dataValidation type="list" allowBlank="1" showInputMessage="1" showErrorMessage="1" sqref="K2:K120" xr:uid="{1FE4BF80-6ED8-4F47-8984-10B27CAF0708}">
      <formula1>$AR$2:$AR$26</formula1>
    </dataValidation>
    <dataValidation type="list" allowBlank="1" showInputMessage="1" showErrorMessage="1" sqref="I64406:I64411 WVQ981889:WVQ981894 WLU981889:WLU981894 WBY981889:WBY981894 VSC981889:VSC981894 VIG981889:VIG981894 UYK981889:UYK981894 UOO981889:UOO981894 UES981889:UES981894 TUW981889:TUW981894 TLA981889:TLA981894 TBE981889:TBE981894 SRI981889:SRI981894 SHM981889:SHM981894 RXQ981889:RXQ981894 RNU981889:RNU981894 RDY981889:RDY981894 QUC981889:QUC981894 QKG981889:QKG981894 QAK981889:QAK981894 PQO981889:PQO981894 PGS981889:PGS981894 OWW981889:OWW981894 ONA981889:ONA981894 ODE981889:ODE981894 NTI981889:NTI981894 NJM981889:NJM981894 MZQ981889:MZQ981894 MPU981889:MPU981894 MFY981889:MFY981894 LWC981889:LWC981894 LMG981889:LMG981894 LCK981889:LCK981894 KSO981889:KSO981894 KIS981889:KIS981894 JYW981889:JYW981894 JPA981889:JPA981894 JFE981889:JFE981894 IVI981889:IVI981894 ILM981889:ILM981894 IBQ981889:IBQ981894 HRU981889:HRU981894 HHY981889:HHY981894 GYC981889:GYC981894 GOG981889:GOG981894 GEK981889:GEK981894 FUO981889:FUO981894 FKS981889:FKS981894 FAW981889:FAW981894 ERA981889:ERA981894 EHE981889:EHE981894 DXI981889:DXI981894 DNM981889:DNM981894 DDQ981889:DDQ981894 CTU981889:CTU981894 CJY981889:CJY981894 CAC981889:CAC981894 BQG981889:BQG981894 BGK981889:BGK981894 AWO981889:AWO981894 AMS981889:AMS981894 ACW981889:ACW981894 TA981889:TA981894 JE981889:JE981894 I981910:I981915 WVQ916353:WVQ916358 WLU916353:WLU916358 WBY916353:WBY916358 VSC916353:VSC916358 VIG916353:VIG916358 UYK916353:UYK916358 UOO916353:UOO916358 UES916353:UES916358 TUW916353:TUW916358 TLA916353:TLA916358 TBE916353:TBE916358 SRI916353:SRI916358 SHM916353:SHM916358 RXQ916353:RXQ916358 RNU916353:RNU916358 RDY916353:RDY916358 QUC916353:QUC916358 QKG916353:QKG916358 QAK916353:QAK916358 PQO916353:PQO916358 PGS916353:PGS916358 OWW916353:OWW916358 ONA916353:ONA916358 ODE916353:ODE916358 NTI916353:NTI916358 NJM916353:NJM916358 MZQ916353:MZQ916358 MPU916353:MPU916358 MFY916353:MFY916358 LWC916353:LWC916358 LMG916353:LMG916358 LCK916353:LCK916358 KSO916353:KSO916358 KIS916353:KIS916358 JYW916353:JYW916358 JPA916353:JPA916358 JFE916353:JFE916358 IVI916353:IVI916358 ILM916353:ILM916358 IBQ916353:IBQ916358 HRU916353:HRU916358 HHY916353:HHY916358 GYC916353:GYC916358 GOG916353:GOG916358 GEK916353:GEK916358 FUO916353:FUO916358 FKS916353:FKS916358 FAW916353:FAW916358 ERA916353:ERA916358 EHE916353:EHE916358 DXI916353:DXI916358 DNM916353:DNM916358 DDQ916353:DDQ916358 CTU916353:CTU916358 CJY916353:CJY916358 CAC916353:CAC916358 BQG916353:BQG916358 BGK916353:BGK916358 AWO916353:AWO916358 AMS916353:AMS916358 ACW916353:ACW916358 TA916353:TA916358 JE916353:JE916358 I916374:I916379 WVQ850817:WVQ850822 WLU850817:WLU850822 WBY850817:WBY850822 VSC850817:VSC850822 VIG850817:VIG850822 UYK850817:UYK850822 UOO850817:UOO850822 UES850817:UES850822 TUW850817:TUW850822 TLA850817:TLA850822 TBE850817:TBE850822 SRI850817:SRI850822 SHM850817:SHM850822 RXQ850817:RXQ850822 RNU850817:RNU850822 RDY850817:RDY850822 QUC850817:QUC850822 QKG850817:QKG850822 QAK850817:QAK850822 PQO850817:PQO850822 PGS850817:PGS850822 OWW850817:OWW850822 ONA850817:ONA850822 ODE850817:ODE850822 NTI850817:NTI850822 NJM850817:NJM850822 MZQ850817:MZQ850822 MPU850817:MPU850822 MFY850817:MFY850822 LWC850817:LWC850822 LMG850817:LMG850822 LCK850817:LCK850822 KSO850817:KSO850822 KIS850817:KIS850822 JYW850817:JYW850822 JPA850817:JPA850822 JFE850817:JFE850822 IVI850817:IVI850822 ILM850817:ILM850822 IBQ850817:IBQ850822 HRU850817:HRU850822 HHY850817:HHY850822 GYC850817:GYC850822 GOG850817:GOG850822 GEK850817:GEK850822 FUO850817:FUO850822 FKS850817:FKS850822 FAW850817:FAW850822 ERA850817:ERA850822 EHE850817:EHE850822 DXI850817:DXI850822 DNM850817:DNM850822 DDQ850817:DDQ850822 CTU850817:CTU850822 CJY850817:CJY850822 CAC850817:CAC850822 BQG850817:BQG850822 BGK850817:BGK850822 AWO850817:AWO850822 AMS850817:AMS850822 ACW850817:ACW850822 TA850817:TA850822 JE850817:JE850822 I850838:I850843 WVQ785281:WVQ785286 WLU785281:WLU785286 WBY785281:WBY785286 VSC785281:VSC785286 VIG785281:VIG785286 UYK785281:UYK785286 UOO785281:UOO785286 UES785281:UES785286 TUW785281:TUW785286 TLA785281:TLA785286 TBE785281:TBE785286 SRI785281:SRI785286 SHM785281:SHM785286 RXQ785281:RXQ785286 RNU785281:RNU785286 RDY785281:RDY785286 QUC785281:QUC785286 QKG785281:QKG785286 QAK785281:QAK785286 PQO785281:PQO785286 PGS785281:PGS785286 OWW785281:OWW785286 ONA785281:ONA785286 ODE785281:ODE785286 NTI785281:NTI785286 NJM785281:NJM785286 MZQ785281:MZQ785286 MPU785281:MPU785286 MFY785281:MFY785286 LWC785281:LWC785286 LMG785281:LMG785286 LCK785281:LCK785286 KSO785281:KSO785286 KIS785281:KIS785286 JYW785281:JYW785286 JPA785281:JPA785286 JFE785281:JFE785286 IVI785281:IVI785286 ILM785281:ILM785286 IBQ785281:IBQ785286 HRU785281:HRU785286 HHY785281:HHY785286 GYC785281:GYC785286 GOG785281:GOG785286 GEK785281:GEK785286 FUO785281:FUO785286 FKS785281:FKS785286 FAW785281:FAW785286 ERA785281:ERA785286 EHE785281:EHE785286 DXI785281:DXI785286 DNM785281:DNM785286 DDQ785281:DDQ785286 CTU785281:CTU785286 CJY785281:CJY785286 CAC785281:CAC785286 BQG785281:BQG785286 BGK785281:BGK785286 AWO785281:AWO785286 AMS785281:AMS785286 ACW785281:ACW785286 TA785281:TA785286 JE785281:JE785286 I785302:I785307 WVQ719745:WVQ719750 WLU719745:WLU719750 WBY719745:WBY719750 VSC719745:VSC719750 VIG719745:VIG719750 UYK719745:UYK719750 UOO719745:UOO719750 UES719745:UES719750 TUW719745:TUW719750 TLA719745:TLA719750 TBE719745:TBE719750 SRI719745:SRI719750 SHM719745:SHM719750 RXQ719745:RXQ719750 RNU719745:RNU719750 RDY719745:RDY719750 QUC719745:QUC719750 QKG719745:QKG719750 QAK719745:QAK719750 PQO719745:PQO719750 PGS719745:PGS719750 OWW719745:OWW719750 ONA719745:ONA719750 ODE719745:ODE719750 NTI719745:NTI719750 NJM719745:NJM719750 MZQ719745:MZQ719750 MPU719745:MPU719750 MFY719745:MFY719750 LWC719745:LWC719750 LMG719745:LMG719750 LCK719745:LCK719750 KSO719745:KSO719750 KIS719745:KIS719750 JYW719745:JYW719750 JPA719745:JPA719750 JFE719745:JFE719750 IVI719745:IVI719750 ILM719745:ILM719750 IBQ719745:IBQ719750 HRU719745:HRU719750 HHY719745:HHY719750 GYC719745:GYC719750 GOG719745:GOG719750 GEK719745:GEK719750 FUO719745:FUO719750 FKS719745:FKS719750 FAW719745:FAW719750 ERA719745:ERA719750 EHE719745:EHE719750 DXI719745:DXI719750 DNM719745:DNM719750 DDQ719745:DDQ719750 CTU719745:CTU719750 CJY719745:CJY719750 CAC719745:CAC719750 BQG719745:BQG719750 BGK719745:BGK719750 AWO719745:AWO719750 AMS719745:AMS719750 ACW719745:ACW719750 TA719745:TA719750 JE719745:JE719750 I719766:I719771 WVQ654209:WVQ654214 WLU654209:WLU654214 WBY654209:WBY654214 VSC654209:VSC654214 VIG654209:VIG654214 UYK654209:UYK654214 UOO654209:UOO654214 UES654209:UES654214 TUW654209:TUW654214 TLA654209:TLA654214 TBE654209:TBE654214 SRI654209:SRI654214 SHM654209:SHM654214 RXQ654209:RXQ654214 RNU654209:RNU654214 RDY654209:RDY654214 QUC654209:QUC654214 QKG654209:QKG654214 QAK654209:QAK654214 PQO654209:PQO654214 PGS654209:PGS654214 OWW654209:OWW654214 ONA654209:ONA654214 ODE654209:ODE654214 NTI654209:NTI654214 NJM654209:NJM654214 MZQ654209:MZQ654214 MPU654209:MPU654214 MFY654209:MFY654214 LWC654209:LWC654214 LMG654209:LMG654214 LCK654209:LCK654214 KSO654209:KSO654214 KIS654209:KIS654214 JYW654209:JYW654214 JPA654209:JPA654214 JFE654209:JFE654214 IVI654209:IVI654214 ILM654209:ILM654214 IBQ654209:IBQ654214 HRU654209:HRU654214 HHY654209:HHY654214 GYC654209:GYC654214 GOG654209:GOG654214 GEK654209:GEK654214 FUO654209:FUO654214 FKS654209:FKS654214 FAW654209:FAW654214 ERA654209:ERA654214 EHE654209:EHE654214 DXI654209:DXI654214 DNM654209:DNM654214 DDQ654209:DDQ654214 CTU654209:CTU654214 CJY654209:CJY654214 CAC654209:CAC654214 BQG654209:BQG654214 BGK654209:BGK654214 AWO654209:AWO654214 AMS654209:AMS654214 ACW654209:ACW654214 TA654209:TA654214 JE654209:JE654214 I654230:I654235 WVQ588673:WVQ588678 WLU588673:WLU588678 WBY588673:WBY588678 VSC588673:VSC588678 VIG588673:VIG588678 UYK588673:UYK588678 UOO588673:UOO588678 UES588673:UES588678 TUW588673:TUW588678 TLA588673:TLA588678 TBE588673:TBE588678 SRI588673:SRI588678 SHM588673:SHM588678 RXQ588673:RXQ588678 RNU588673:RNU588678 RDY588673:RDY588678 QUC588673:QUC588678 QKG588673:QKG588678 QAK588673:QAK588678 PQO588673:PQO588678 PGS588673:PGS588678 OWW588673:OWW588678 ONA588673:ONA588678 ODE588673:ODE588678 NTI588673:NTI588678 NJM588673:NJM588678 MZQ588673:MZQ588678 MPU588673:MPU588678 MFY588673:MFY588678 LWC588673:LWC588678 LMG588673:LMG588678 LCK588673:LCK588678 KSO588673:KSO588678 KIS588673:KIS588678 JYW588673:JYW588678 JPA588673:JPA588678 JFE588673:JFE588678 IVI588673:IVI588678 ILM588673:ILM588678 IBQ588673:IBQ588678 HRU588673:HRU588678 HHY588673:HHY588678 GYC588673:GYC588678 GOG588673:GOG588678 GEK588673:GEK588678 FUO588673:FUO588678 FKS588673:FKS588678 FAW588673:FAW588678 ERA588673:ERA588678 EHE588673:EHE588678 DXI588673:DXI588678 DNM588673:DNM588678 DDQ588673:DDQ588678 CTU588673:CTU588678 CJY588673:CJY588678 CAC588673:CAC588678 BQG588673:BQG588678 BGK588673:BGK588678 AWO588673:AWO588678 AMS588673:AMS588678 ACW588673:ACW588678 TA588673:TA588678 JE588673:JE588678 I588694:I588699 WVQ523137:WVQ523142 WLU523137:WLU523142 WBY523137:WBY523142 VSC523137:VSC523142 VIG523137:VIG523142 UYK523137:UYK523142 UOO523137:UOO523142 UES523137:UES523142 TUW523137:TUW523142 TLA523137:TLA523142 TBE523137:TBE523142 SRI523137:SRI523142 SHM523137:SHM523142 RXQ523137:RXQ523142 RNU523137:RNU523142 RDY523137:RDY523142 QUC523137:QUC523142 QKG523137:QKG523142 QAK523137:QAK523142 PQO523137:PQO523142 PGS523137:PGS523142 OWW523137:OWW523142 ONA523137:ONA523142 ODE523137:ODE523142 NTI523137:NTI523142 NJM523137:NJM523142 MZQ523137:MZQ523142 MPU523137:MPU523142 MFY523137:MFY523142 LWC523137:LWC523142 LMG523137:LMG523142 LCK523137:LCK523142 KSO523137:KSO523142 KIS523137:KIS523142 JYW523137:JYW523142 JPA523137:JPA523142 JFE523137:JFE523142 IVI523137:IVI523142 ILM523137:ILM523142 IBQ523137:IBQ523142 HRU523137:HRU523142 HHY523137:HHY523142 GYC523137:GYC523142 GOG523137:GOG523142 GEK523137:GEK523142 FUO523137:FUO523142 FKS523137:FKS523142 FAW523137:FAW523142 ERA523137:ERA523142 EHE523137:EHE523142 DXI523137:DXI523142 DNM523137:DNM523142 DDQ523137:DDQ523142 CTU523137:CTU523142 CJY523137:CJY523142 CAC523137:CAC523142 BQG523137:BQG523142 BGK523137:BGK523142 AWO523137:AWO523142 AMS523137:AMS523142 ACW523137:ACW523142 TA523137:TA523142 JE523137:JE523142 I523158:I523163 WVQ457601:WVQ457606 WLU457601:WLU457606 WBY457601:WBY457606 VSC457601:VSC457606 VIG457601:VIG457606 UYK457601:UYK457606 UOO457601:UOO457606 UES457601:UES457606 TUW457601:TUW457606 TLA457601:TLA457606 TBE457601:TBE457606 SRI457601:SRI457606 SHM457601:SHM457606 RXQ457601:RXQ457606 RNU457601:RNU457606 RDY457601:RDY457606 QUC457601:QUC457606 QKG457601:QKG457606 QAK457601:QAK457606 PQO457601:PQO457606 PGS457601:PGS457606 OWW457601:OWW457606 ONA457601:ONA457606 ODE457601:ODE457606 NTI457601:NTI457606 NJM457601:NJM457606 MZQ457601:MZQ457606 MPU457601:MPU457606 MFY457601:MFY457606 LWC457601:LWC457606 LMG457601:LMG457606 LCK457601:LCK457606 KSO457601:KSO457606 KIS457601:KIS457606 JYW457601:JYW457606 JPA457601:JPA457606 JFE457601:JFE457606 IVI457601:IVI457606 ILM457601:ILM457606 IBQ457601:IBQ457606 HRU457601:HRU457606 HHY457601:HHY457606 GYC457601:GYC457606 GOG457601:GOG457606 GEK457601:GEK457606 FUO457601:FUO457606 FKS457601:FKS457606 FAW457601:FAW457606 ERA457601:ERA457606 EHE457601:EHE457606 DXI457601:DXI457606 DNM457601:DNM457606 DDQ457601:DDQ457606 CTU457601:CTU457606 CJY457601:CJY457606 CAC457601:CAC457606 BQG457601:BQG457606 BGK457601:BGK457606 AWO457601:AWO457606 AMS457601:AMS457606 ACW457601:ACW457606 TA457601:TA457606 JE457601:JE457606 I457622:I457627 WVQ392065:WVQ392070 WLU392065:WLU392070 WBY392065:WBY392070 VSC392065:VSC392070 VIG392065:VIG392070 UYK392065:UYK392070 UOO392065:UOO392070 UES392065:UES392070 TUW392065:TUW392070 TLA392065:TLA392070 TBE392065:TBE392070 SRI392065:SRI392070 SHM392065:SHM392070 RXQ392065:RXQ392070 RNU392065:RNU392070 RDY392065:RDY392070 QUC392065:QUC392070 QKG392065:QKG392070 QAK392065:QAK392070 PQO392065:PQO392070 PGS392065:PGS392070 OWW392065:OWW392070 ONA392065:ONA392070 ODE392065:ODE392070 NTI392065:NTI392070 NJM392065:NJM392070 MZQ392065:MZQ392070 MPU392065:MPU392070 MFY392065:MFY392070 LWC392065:LWC392070 LMG392065:LMG392070 LCK392065:LCK392070 KSO392065:KSO392070 KIS392065:KIS392070 JYW392065:JYW392070 JPA392065:JPA392070 JFE392065:JFE392070 IVI392065:IVI392070 ILM392065:ILM392070 IBQ392065:IBQ392070 HRU392065:HRU392070 HHY392065:HHY392070 GYC392065:GYC392070 GOG392065:GOG392070 GEK392065:GEK392070 FUO392065:FUO392070 FKS392065:FKS392070 FAW392065:FAW392070 ERA392065:ERA392070 EHE392065:EHE392070 DXI392065:DXI392070 DNM392065:DNM392070 DDQ392065:DDQ392070 CTU392065:CTU392070 CJY392065:CJY392070 CAC392065:CAC392070 BQG392065:BQG392070 BGK392065:BGK392070 AWO392065:AWO392070 AMS392065:AMS392070 ACW392065:ACW392070 TA392065:TA392070 JE392065:JE392070 I392086:I392091 WVQ326529:WVQ326534 WLU326529:WLU326534 WBY326529:WBY326534 VSC326529:VSC326534 VIG326529:VIG326534 UYK326529:UYK326534 UOO326529:UOO326534 UES326529:UES326534 TUW326529:TUW326534 TLA326529:TLA326534 TBE326529:TBE326534 SRI326529:SRI326534 SHM326529:SHM326534 RXQ326529:RXQ326534 RNU326529:RNU326534 RDY326529:RDY326534 QUC326529:QUC326534 QKG326529:QKG326534 QAK326529:QAK326534 PQO326529:PQO326534 PGS326529:PGS326534 OWW326529:OWW326534 ONA326529:ONA326534 ODE326529:ODE326534 NTI326529:NTI326534 NJM326529:NJM326534 MZQ326529:MZQ326534 MPU326529:MPU326534 MFY326529:MFY326534 LWC326529:LWC326534 LMG326529:LMG326534 LCK326529:LCK326534 KSO326529:KSO326534 KIS326529:KIS326534 JYW326529:JYW326534 JPA326529:JPA326534 JFE326529:JFE326534 IVI326529:IVI326534 ILM326529:ILM326534 IBQ326529:IBQ326534 HRU326529:HRU326534 HHY326529:HHY326534 GYC326529:GYC326534 GOG326529:GOG326534 GEK326529:GEK326534 FUO326529:FUO326534 FKS326529:FKS326534 FAW326529:FAW326534 ERA326529:ERA326534 EHE326529:EHE326534 DXI326529:DXI326534 DNM326529:DNM326534 DDQ326529:DDQ326534 CTU326529:CTU326534 CJY326529:CJY326534 CAC326529:CAC326534 BQG326529:BQG326534 BGK326529:BGK326534 AWO326529:AWO326534 AMS326529:AMS326534 ACW326529:ACW326534 TA326529:TA326534 JE326529:JE326534 I326550:I326555 WVQ260993:WVQ260998 WLU260993:WLU260998 WBY260993:WBY260998 VSC260993:VSC260998 VIG260993:VIG260998 UYK260993:UYK260998 UOO260993:UOO260998 UES260993:UES260998 TUW260993:TUW260998 TLA260993:TLA260998 TBE260993:TBE260998 SRI260993:SRI260998 SHM260993:SHM260998 RXQ260993:RXQ260998 RNU260993:RNU260998 RDY260993:RDY260998 QUC260993:QUC260998 QKG260993:QKG260998 QAK260993:QAK260998 PQO260993:PQO260998 PGS260993:PGS260998 OWW260993:OWW260998 ONA260993:ONA260998 ODE260993:ODE260998 NTI260993:NTI260998 NJM260993:NJM260998 MZQ260993:MZQ260998 MPU260993:MPU260998 MFY260993:MFY260998 LWC260993:LWC260998 LMG260993:LMG260998 LCK260993:LCK260998 KSO260993:KSO260998 KIS260993:KIS260998 JYW260993:JYW260998 JPA260993:JPA260998 JFE260993:JFE260998 IVI260993:IVI260998 ILM260993:ILM260998 IBQ260993:IBQ260998 HRU260993:HRU260998 HHY260993:HHY260998 GYC260993:GYC260998 GOG260993:GOG260998 GEK260993:GEK260998 FUO260993:FUO260998 FKS260993:FKS260998 FAW260993:FAW260998 ERA260993:ERA260998 EHE260993:EHE260998 DXI260993:DXI260998 DNM260993:DNM260998 DDQ260993:DDQ260998 CTU260993:CTU260998 CJY260993:CJY260998 CAC260993:CAC260998 BQG260993:BQG260998 BGK260993:BGK260998 AWO260993:AWO260998 AMS260993:AMS260998 ACW260993:ACW260998 TA260993:TA260998 JE260993:JE260998 I261014:I261019 WVQ195457:WVQ195462 WLU195457:WLU195462 WBY195457:WBY195462 VSC195457:VSC195462 VIG195457:VIG195462 UYK195457:UYK195462 UOO195457:UOO195462 UES195457:UES195462 TUW195457:TUW195462 TLA195457:TLA195462 TBE195457:TBE195462 SRI195457:SRI195462 SHM195457:SHM195462 RXQ195457:RXQ195462 RNU195457:RNU195462 RDY195457:RDY195462 QUC195457:QUC195462 QKG195457:QKG195462 QAK195457:QAK195462 PQO195457:PQO195462 PGS195457:PGS195462 OWW195457:OWW195462 ONA195457:ONA195462 ODE195457:ODE195462 NTI195457:NTI195462 NJM195457:NJM195462 MZQ195457:MZQ195462 MPU195457:MPU195462 MFY195457:MFY195462 LWC195457:LWC195462 LMG195457:LMG195462 LCK195457:LCK195462 KSO195457:KSO195462 KIS195457:KIS195462 JYW195457:JYW195462 JPA195457:JPA195462 JFE195457:JFE195462 IVI195457:IVI195462 ILM195457:ILM195462 IBQ195457:IBQ195462 HRU195457:HRU195462 HHY195457:HHY195462 GYC195457:GYC195462 GOG195457:GOG195462 GEK195457:GEK195462 FUO195457:FUO195462 FKS195457:FKS195462 FAW195457:FAW195462 ERA195457:ERA195462 EHE195457:EHE195462 DXI195457:DXI195462 DNM195457:DNM195462 DDQ195457:DDQ195462 CTU195457:CTU195462 CJY195457:CJY195462 CAC195457:CAC195462 BQG195457:BQG195462 BGK195457:BGK195462 AWO195457:AWO195462 AMS195457:AMS195462 ACW195457:ACW195462 TA195457:TA195462 JE195457:JE195462 I195478:I195483 WVQ129921:WVQ129926 WLU129921:WLU129926 WBY129921:WBY129926 VSC129921:VSC129926 VIG129921:VIG129926 UYK129921:UYK129926 UOO129921:UOO129926 UES129921:UES129926 TUW129921:TUW129926 TLA129921:TLA129926 TBE129921:TBE129926 SRI129921:SRI129926 SHM129921:SHM129926 RXQ129921:RXQ129926 RNU129921:RNU129926 RDY129921:RDY129926 QUC129921:QUC129926 QKG129921:QKG129926 QAK129921:QAK129926 PQO129921:PQO129926 PGS129921:PGS129926 OWW129921:OWW129926 ONA129921:ONA129926 ODE129921:ODE129926 NTI129921:NTI129926 NJM129921:NJM129926 MZQ129921:MZQ129926 MPU129921:MPU129926 MFY129921:MFY129926 LWC129921:LWC129926 LMG129921:LMG129926 LCK129921:LCK129926 KSO129921:KSO129926 KIS129921:KIS129926 JYW129921:JYW129926 JPA129921:JPA129926 JFE129921:JFE129926 IVI129921:IVI129926 ILM129921:ILM129926 IBQ129921:IBQ129926 HRU129921:HRU129926 HHY129921:HHY129926 GYC129921:GYC129926 GOG129921:GOG129926 GEK129921:GEK129926 FUO129921:FUO129926 FKS129921:FKS129926 FAW129921:FAW129926 ERA129921:ERA129926 EHE129921:EHE129926 DXI129921:DXI129926 DNM129921:DNM129926 DDQ129921:DDQ129926 CTU129921:CTU129926 CJY129921:CJY129926 CAC129921:CAC129926 BQG129921:BQG129926 BGK129921:BGK129926 AWO129921:AWO129926 AMS129921:AMS129926 ACW129921:ACW129926 TA129921:TA129926 JE129921:JE129926 I129942:I129947 WVQ64385:WVQ64390 WLU64385:WLU64390 WBY64385:WBY64390 VSC64385:VSC64390 VIG64385:VIG64390 UYK64385:UYK64390 UOO64385:UOO64390 UES64385:UES64390 TUW64385:TUW64390 TLA64385:TLA64390 TBE64385:TBE64390 SRI64385:SRI64390 SHM64385:SHM64390 RXQ64385:RXQ64390 RNU64385:RNU64390 RDY64385:RDY64390 QUC64385:QUC64390 QKG64385:QKG64390 QAK64385:QAK64390 PQO64385:PQO64390 PGS64385:PGS64390 OWW64385:OWW64390 ONA64385:ONA64390 ODE64385:ODE64390 NTI64385:NTI64390 NJM64385:NJM64390 MZQ64385:MZQ64390 MPU64385:MPU64390 MFY64385:MFY64390 LWC64385:LWC64390 LMG64385:LMG64390 LCK64385:LCK64390 KSO64385:KSO64390 KIS64385:KIS64390 JYW64385:JYW64390 JPA64385:JPA64390 JFE64385:JFE64390 IVI64385:IVI64390 ILM64385:ILM64390 IBQ64385:IBQ64390 HRU64385:HRU64390 HHY64385:HHY64390 GYC64385:GYC64390 GOG64385:GOG64390 GEK64385:GEK64390 FUO64385:FUO64390 FKS64385:FKS64390 FAW64385:FAW64390 ERA64385:ERA64390 EHE64385:EHE64390 DXI64385:DXI64390 DNM64385:DNM64390 DDQ64385:DDQ64390 CTU64385:CTU64390 CJY64385:CJY64390 CAC64385:CAC64390 BQG64385:BQG64390 BGK64385:BGK64390 AWO64385:AWO64390 AMS64385:AMS64390 ACW64385:ACW64390 TA64385:TA64390 JE64385:JE64390" xr:uid="{D9F3A217-09A9-47AF-BBC0-848A3E973BAC}">
      <formula1>$AN$8:$AN$9</formula1>
    </dataValidation>
    <dataValidation type="list" allowBlank="1" showInputMessage="1" showErrorMessage="1" sqref="WVS981805:WVS981894 WLW981805:WLW981894 WCA981805:WCA981894 VSE981805:VSE981894 VII981805:VII981894 UYM981805:UYM981894 UOQ981805:UOQ981894 UEU981805:UEU981894 TUY981805:TUY981894 TLC981805:TLC981894 TBG981805:TBG981894 SRK981805:SRK981894 SHO981805:SHO981894 RXS981805:RXS981894 RNW981805:RNW981894 REA981805:REA981894 QUE981805:QUE981894 QKI981805:QKI981894 QAM981805:QAM981894 PQQ981805:PQQ981894 PGU981805:PGU981894 OWY981805:OWY981894 ONC981805:ONC981894 ODG981805:ODG981894 NTK981805:NTK981894 NJO981805:NJO981894 MZS981805:MZS981894 MPW981805:MPW981894 MGA981805:MGA981894 LWE981805:LWE981894 LMI981805:LMI981894 LCM981805:LCM981894 KSQ981805:KSQ981894 KIU981805:KIU981894 JYY981805:JYY981894 JPC981805:JPC981894 JFG981805:JFG981894 IVK981805:IVK981894 ILO981805:ILO981894 IBS981805:IBS981894 HRW981805:HRW981894 HIA981805:HIA981894 GYE981805:GYE981894 GOI981805:GOI981894 GEM981805:GEM981894 FUQ981805:FUQ981894 FKU981805:FKU981894 FAY981805:FAY981894 ERC981805:ERC981894 EHG981805:EHG981894 DXK981805:DXK981894 DNO981805:DNO981894 DDS981805:DDS981894 CTW981805:CTW981894 CKA981805:CKA981894 CAE981805:CAE981894 BQI981805:BQI981894 BGM981805:BGM981894 AWQ981805:AWQ981894 AMU981805:AMU981894 ACY981805:ACY981894 TC981805:TC981894 JG981805:JG981894 K981814:K981903 WVS916269:WVS916358 WLW916269:WLW916358 WCA916269:WCA916358 VSE916269:VSE916358 VII916269:VII916358 UYM916269:UYM916358 UOQ916269:UOQ916358 UEU916269:UEU916358 TUY916269:TUY916358 TLC916269:TLC916358 TBG916269:TBG916358 SRK916269:SRK916358 SHO916269:SHO916358 RXS916269:RXS916358 RNW916269:RNW916358 REA916269:REA916358 QUE916269:QUE916358 QKI916269:QKI916358 QAM916269:QAM916358 PQQ916269:PQQ916358 PGU916269:PGU916358 OWY916269:OWY916358 ONC916269:ONC916358 ODG916269:ODG916358 NTK916269:NTK916358 NJO916269:NJO916358 MZS916269:MZS916358 MPW916269:MPW916358 MGA916269:MGA916358 LWE916269:LWE916358 LMI916269:LMI916358 LCM916269:LCM916358 KSQ916269:KSQ916358 KIU916269:KIU916358 JYY916269:JYY916358 JPC916269:JPC916358 JFG916269:JFG916358 IVK916269:IVK916358 ILO916269:ILO916358 IBS916269:IBS916358 HRW916269:HRW916358 HIA916269:HIA916358 GYE916269:GYE916358 GOI916269:GOI916358 GEM916269:GEM916358 FUQ916269:FUQ916358 FKU916269:FKU916358 FAY916269:FAY916358 ERC916269:ERC916358 EHG916269:EHG916358 DXK916269:DXK916358 DNO916269:DNO916358 DDS916269:DDS916358 CTW916269:CTW916358 CKA916269:CKA916358 CAE916269:CAE916358 BQI916269:BQI916358 BGM916269:BGM916358 AWQ916269:AWQ916358 AMU916269:AMU916358 ACY916269:ACY916358 TC916269:TC916358 JG916269:JG916358 K916278:K916367 WVS850733:WVS850822 WLW850733:WLW850822 WCA850733:WCA850822 VSE850733:VSE850822 VII850733:VII850822 UYM850733:UYM850822 UOQ850733:UOQ850822 UEU850733:UEU850822 TUY850733:TUY850822 TLC850733:TLC850822 TBG850733:TBG850822 SRK850733:SRK850822 SHO850733:SHO850822 RXS850733:RXS850822 RNW850733:RNW850822 REA850733:REA850822 QUE850733:QUE850822 QKI850733:QKI850822 QAM850733:QAM850822 PQQ850733:PQQ850822 PGU850733:PGU850822 OWY850733:OWY850822 ONC850733:ONC850822 ODG850733:ODG850822 NTK850733:NTK850822 NJO850733:NJO850822 MZS850733:MZS850822 MPW850733:MPW850822 MGA850733:MGA850822 LWE850733:LWE850822 LMI850733:LMI850822 LCM850733:LCM850822 KSQ850733:KSQ850822 KIU850733:KIU850822 JYY850733:JYY850822 JPC850733:JPC850822 JFG850733:JFG850822 IVK850733:IVK850822 ILO850733:ILO850822 IBS850733:IBS850822 HRW850733:HRW850822 HIA850733:HIA850822 GYE850733:GYE850822 GOI850733:GOI850822 GEM850733:GEM850822 FUQ850733:FUQ850822 FKU850733:FKU850822 FAY850733:FAY850822 ERC850733:ERC850822 EHG850733:EHG850822 DXK850733:DXK850822 DNO850733:DNO850822 DDS850733:DDS850822 CTW850733:CTW850822 CKA850733:CKA850822 CAE850733:CAE850822 BQI850733:BQI850822 BGM850733:BGM850822 AWQ850733:AWQ850822 AMU850733:AMU850822 ACY850733:ACY850822 TC850733:TC850822 JG850733:JG850822 K850742:K850831 WVS785197:WVS785286 WLW785197:WLW785286 WCA785197:WCA785286 VSE785197:VSE785286 VII785197:VII785286 UYM785197:UYM785286 UOQ785197:UOQ785286 UEU785197:UEU785286 TUY785197:TUY785286 TLC785197:TLC785286 TBG785197:TBG785286 SRK785197:SRK785286 SHO785197:SHO785286 RXS785197:RXS785286 RNW785197:RNW785286 REA785197:REA785286 QUE785197:QUE785286 QKI785197:QKI785286 QAM785197:QAM785286 PQQ785197:PQQ785286 PGU785197:PGU785286 OWY785197:OWY785286 ONC785197:ONC785286 ODG785197:ODG785286 NTK785197:NTK785286 NJO785197:NJO785286 MZS785197:MZS785286 MPW785197:MPW785286 MGA785197:MGA785286 LWE785197:LWE785286 LMI785197:LMI785286 LCM785197:LCM785286 KSQ785197:KSQ785286 KIU785197:KIU785286 JYY785197:JYY785286 JPC785197:JPC785286 JFG785197:JFG785286 IVK785197:IVK785286 ILO785197:ILO785286 IBS785197:IBS785286 HRW785197:HRW785286 HIA785197:HIA785286 GYE785197:GYE785286 GOI785197:GOI785286 GEM785197:GEM785286 FUQ785197:FUQ785286 FKU785197:FKU785286 FAY785197:FAY785286 ERC785197:ERC785286 EHG785197:EHG785286 DXK785197:DXK785286 DNO785197:DNO785286 DDS785197:DDS785286 CTW785197:CTW785286 CKA785197:CKA785286 CAE785197:CAE785286 BQI785197:BQI785286 BGM785197:BGM785286 AWQ785197:AWQ785286 AMU785197:AMU785286 ACY785197:ACY785286 TC785197:TC785286 JG785197:JG785286 K785206:K785295 WVS719661:WVS719750 WLW719661:WLW719750 WCA719661:WCA719750 VSE719661:VSE719750 VII719661:VII719750 UYM719661:UYM719750 UOQ719661:UOQ719750 UEU719661:UEU719750 TUY719661:TUY719750 TLC719661:TLC719750 TBG719661:TBG719750 SRK719661:SRK719750 SHO719661:SHO719750 RXS719661:RXS719750 RNW719661:RNW719750 REA719661:REA719750 QUE719661:QUE719750 QKI719661:QKI719750 QAM719661:QAM719750 PQQ719661:PQQ719750 PGU719661:PGU719750 OWY719661:OWY719750 ONC719661:ONC719750 ODG719661:ODG719750 NTK719661:NTK719750 NJO719661:NJO719750 MZS719661:MZS719750 MPW719661:MPW719750 MGA719661:MGA719750 LWE719661:LWE719750 LMI719661:LMI719750 LCM719661:LCM719750 KSQ719661:KSQ719750 KIU719661:KIU719750 JYY719661:JYY719750 JPC719661:JPC719750 JFG719661:JFG719750 IVK719661:IVK719750 ILO719661:ILO719750 IBS719661:IBS719750 HRW719661:HRW719750 HIA719661:HIA719750 GYE719661:GYE719750 GOI719661:GOI719750 GEM719661:GEM719750 FUQ719661:FUQ719750 FKU719661:FKU719750 FAY719661:FAY719750 ERC719661:ERC719750 EHG719661:EHG719750 DXK719661:DXK719750 DNO719661:DNO719750 DDS719661:DDS719750 CTW719661:CTW719750 CKA719661:CKA719750 CAE719661:CAE719750 BQI719661:BQI719750 BGM719661:BGM719750 AWQ719661:AWQ719750 AMU719661:AMU719750 ACY719661:ACY719750 TC719661:TC719750 JG719661:JG719750 K719670:K719759 WVS654125:WVS654214 WLW654125:WLW654214 WCA654125:WCA654214 VSE654125:VSE654214 VII654125:VII654214 UYM654125:UYM654214 UOQ654125:UOQ654214 UEU654125:UEU654214 TUY654125:TUY654214 TLC654125:TLC654214 TBG654125:TBG654214 SRK654125:SRK654214 SHO654125:SHO654214 RXS654125:RXS654214 RNW654125:RNW654214 REA654125:REA654214 QUE654125:QUE654214 QKI654125:QKI654214 QAM654125:QAM654214 PQQ654125:PQQ654214 PGU654125:PGU654214 OWY654125:OWY654214 ONC654125:ONC654214 ODG654125:ODG654214 NTK654125:NTK654214 NJO654125:NJO654214 MZS654125:MZS654214 MPW654125:MPW654214 MGA654125:MGA654214 LWE654125:LWE654214 LMI654125:LMI654214 LCM654125:LCM654214 KSQ654125:KSQ654214 KIU654125:KIU654214 JYY654125:JYY654214 JPC654125:JPC654214 JFG654125:JFG654214 IVK654125:IVK654214 ILO654125:ILO654214 IBS654125:IBS654214 HRW654125:HRW654214 HIA654125:HIA654214 GYE654125:GYE654214 GOI654125:GOI654214 GEM654125:GEM654214 FUQ654125:FUQ654214 FKU654125:FKU654214 FAY654125:FAY654214 ERC654125:ERC654214 EHG654125:EHG654214 DXK654125:DXK654214 DNO654125:DNO654214 DDS654125:DDS654214 CTW654125:CTW654214 CKA654125:CKA654214 CAE654125:CAE654214 BQI654125:BQI654214 BGM654125:BGM654214 AWQ654125:AWQ654214 AMU654125:AMU654214 ACY654125:ACY654214 TC654125:TC654214 JG654125:JG654214 K654134:K654223 WVS588589:WVS588678 WLW588589:WLW588678 WCA588589:WCA588678 VSE588589:VSE588678 VII588589:VII588678 UYM588589:UYM588678 UOQ588589:UOQ588678 UEU588589:UEU588678 TUY588589:TUY588678 TLC588589:TLC588678 TBG588589:TBG588678 SRK588589:SRK588678 SHO588589:SHO588678 RXS588589:RXS588678 RNW588589:RNW588678 REA588589:REA588678 QUE588589:QUE588678 QKI588589:QKI588678 QAM588589:QAM588678 PQQ588589:PQQ588678 PGU588589:PGU588678 OWY588589:OWY588678 ONC588589:ONC588678 ODG588589:ODG588678 NTK588589:NTK588678 NJO588589:NJO588678 MZS588589:MZS588678 MPW588589:MPW588678 MGA588589:MGA588678 LWE588589:LWE588678 LMI588589:LMI588678 LCM588589:LCM588678 KSQ588589:KSQ588678 KIU588589:KIU588678 JYY588589:JYY588678 JPC588589:JPC588678 JFG588589:JFG588678 IVK588589:IVK588678 ILO588589:ILO588678 IBS588589:IBS588678 HRW588589:HRW588678 HIA588589:HIA588678 GYE588589:GYE588678 GOI588589:GOI588678 GEM588589:GEM588678 FUQ588589:FUQ588678 FKU588589:FKU588678 FAY588589:FAY588678 ERC588589:ERC588678 EHG588589:EHG588678 DXK588589:DXK588678 DNO588589:DNO588678 DDS588589:DDS588678 CTW588589:CTW588678 CKA588589:CKA588678 CAE588589:CAE588678 BQI588589:BQI588678 BGM588589:BGM588678 AWQ588589:AWQ588678 AMU588589:AMU588678 ACY588589:ACY588678 TC588589:TC588678 JG588589:JG588678 K588598:K588687 WVS523053:WVS523142 WLW523053:WLW523142 WCA523053:WCA523142 VSE523053:VSE523142 VII523053:VII523142 UYM523053:UYM523142 UOQ523053:UOQ523142 UEU523053:UEU523142 TUY523053:TUY523142 TLC523053:TLC523142 TBG523053:TBG523142 SRK523053:SRK523142 SHO523053:SHO523142 RXS523053:RXS523142 RNW523053:RNW523142 REA523053:REA523142 QUE523053:QUE523142 QKI523053:QKI523142 QAM523053:QAM523142 PQQ523053:PQQ523142 PGU523053:PGU523142 OWY523053:OWY523142 ONC523053:ONC523142 ODG523053:ODG523142 NTK523053:NTK523142 NJO523053:NJO523142 MZS523053:MZS523142 MPW523053:MPW523142 MGA523053:MGA523142 LWE523053:LWE523142 LMI523053:LMI523142 LCM523053:LCM523142 KSQ523053:KSQ523142 KIU523053:KIU523142 JYY523053:JYY523142 JPC523053:JPC523142 JFG523053:JFG523142 IVK523053:IVK523142 ILO523053:ILO523142 IBS523053:IBS523142 HRW523053:HRW523142 HIA523053:HIA523142 GYE523053:GYE523142 GOI523053:GOI523142 GEM523053:GEM523142 FUQ523053:FUQ523142 FKU523053:FKU523142 FAY523053:FAY523142 ERC523053:ERC523142 EHG523053:EHG523142 DXK523053:DXK523142 DNO523053:DNO523142 DDS523053:DDS523142 CTW523053:CTW523142 CKA523053:CKA523142 CAE523053:CAE523142 BQI523053:BQI523142 BGM523053:BGM523142 AWQ523053:AWQ523142 AMU523053:AMU523142 ACY523053:ACY523142 TC523053:TC523142 JG523053:JG523142 K523062:K523151 WVS457517:WVS457606 WLW457517:WLW457606 WCA457517:WCA457606 VSE457517:VSE457606 VII457517:VII457606 UYM457517:UYM457606 UOQ457517:UOQ457606 UEU457517:UEU457606 TUY457517:TUY457606 TLC457517:TLC457606 TBG457517:TBG457606 SRK457517:SRK457606 SHO457517:SHO457606 RXS457517:RXS457606 RNW457517:RNW457606 REA457517:REA457606 QUE457517:QUE457606 QKI457517:QKI457606 QAM457517:QAM457606 PQQ457517:PQQ457606 PGU457517:PGU457606 OWY457517:OWY457606 ONC457517:ONC457606 ODG457517:ODG457606 NTK457517:NTK457606 NJO457517:NJO457606 MZS457517:MZS457606 MPW457517:MPW457606 MGA457517:MGA457606 LWE457517:LWE457606 LMI457517:LMI457606 LCM457517:LCM457606 KSQ457517:KSQ457606 KIU457517:KIU457606 JYY457517:JYY457606 JPC457517:JPC457606 JFG457517:JFG457606 IVK457517:IVK457606 ILO457517:ILO457606 IBS457517:IBS457606 HRW457517:HRW457606 HIA457517:HIA457606 GYE457517:GYE457606 GOI457517:GOI457606 GEM457517:GEM457606 FUQ457517:FUQ457606 FKU457517:FKU457606 FAY457517:FAY457606 ERC457517:ERC457606 EHG457517:EHG457606 DXK457517:DXK457606 DNO457517:DNO457606 DDS457517:DDS457606 CTW457517:CTW457606 CKA457517:CKA457606 CAE457517:CAE457606 BQI457517:BQI457606 BGM457517:BGM457606 AWQ457517:AWQ457606 AMU457517:AMU457606 ACY457517:ACY457606 TC457517:TC457606 JG457517:JG457606 K457526:K457615 WVS391981:WVS392070 WLW391981:WLW392070 WCA391981:WCA392070 VSE391981:VSE392070 VII391981:VII392070 UYM391981:UYM392070 UOQ391981:UOQ392070 UEU391981:UEU392070 TUY391981:TUY392070 TLC391981:TLC392070 TBG391981:TBG392070 SRK391981:SRK392070 SHO391981:SHO392070 RXS391981:RXS392070 RNW391981:RNW392070 REA391981:REA392070 QUE391981:QUE392070 QKI391981:QKI392070 QAM391981:QAM392070 PQQ391981:PQQ392070 PGU391981:PGU392070 OWY391981:OWY392070 ONC391981:ONC392070 ODG391981:ODG392070 NTK391981:NTK392070 NJO391981:NJO392070 MZS391981:MZS392070 MPW391981:MPW392070 MGA391981:MGA392070 LWE391981:LWE392070 LMI391981:LMI392070 LCM391981:LCM392070 KSQ391981:KSQ392070 KIU391981:KIU392070 JYY391981:JYY392070 JPC391981:JPC392070 JFG391981:JFG392070 IVK391981:IVK392070 ILO391981:ILO392070 IBS391981:IBS392070 HRW391981:HRW392070 HIA391981:HIA392070 GYE391981:GYE392070 GOI391981:GOI392070 GEM391981:GEM392070 FUQ391981:FUQ392070 FKU391981:FKU392070 FAY391981:FAY392070 ERC391981:ERC392070 EHG391981:EHG392070 DXK391981:DXK392070 DNO391981:DNO392070 DDS391981:DDS392070 CTW391981:CTW392070 CKA391981:CKA392070 CAE391981:CAE392070 BQI391981:BQI392070 BGM391981:BGM392070 AWQ391981:AWQ392070 AMU391981:AMU392070 ACY391981:ACY392070 TC391981:TC392070 JG391981:JG392070 K391990:K392079 WVS326445:WVS326534 WLW326445:WLW326534 WCA326445:WCA326534 VSE326445:VSE326534 VII326445:VII326534 UYM326445:UYM326534 UOQ326445:UOQ326534 UEU326445:UEU326534 TUY326445:TUY326534 TLC326445:TLC326534 TBG326445:TBG326534 SRK326445:SRK326534 SHO326445:SHO326534 RXS326445:RXS326534 RNW326445:RNW326534 REA326445:REA326534 QUE326445:QUE326534 QKI326445:QKI326534 QAM326445:QAM326534 PQQ326445:PQQ326534 PGU326445:PGU326534 OWY326445:OWY326534 ONC326445:ONC326534 ODG326445:ODG326534 NTK326445:NTK326534 NJO326445:NJO326534 MZS326445:MZS326534 MPW326445:MPW326534 MGA326445:MGA326534 LWE326445:LWE326534 LMI326445:LMI326534 LCM326445:LCM326534 KSQ326445:KSQ326534 KIU326445:KIU326534 JYY326445:JYY326534 JPC326445:JPC326534 JFG326445:JFG326534 IVK326445:IVK326534 ILO326445:ILO326534 IBS326445:IBS326534 HRW326445:HRW326534 HIA326445:HIA326534 GYE326445:GYE326534 GOI326445:GOI326534 GEM326445:GEM326534 FUQ326445:FUQ326534 FKU326445:FKU326534 FAY326445:FAY326534 ERC326445:ERC326534 EHG326445:EHG326534 DXK326445:DXK326534 DNO326445:DNO326534 DDS326445:DDS326534 CTW326445:CTW326534 CKA326445:CKA326534 CAE326445:CAE326534 BQI326445:BQI326534 BGM326445:BGM326534 AWQ326445:AWQ326534 AMU326445:AMU326534 ACY326445:ACY326534 TC326445:TC326534 JG326445:JG326534 K326454:K326543 WVS260909:WVS260998 WLW260909:WLW260998 WCA260909:WCA260998 VSE260909:VSE260998 VII260909:VII260998 UYM260909:UYM260998 UOQ260909:UOQ260998 UEU260909:UEU260998 TUY260909:TUY260998 TLC260909:TLC260998 TBG260909:TBG260998 SRK260909:SRK260998 SHO260909:SHO260998 RXS260909:RXS260998 RNW260909:RNW260998 REA260909:REA260998 QUE260909:QUE260998 QKI260909:QKI260998 QAM260909:QAM260998 PQQ260909:PQQ260998 PGU260909:PGU260998 OWY260909:OWY260998 ONC260909:ONC260998 ODG260909:ODG260998 NTK260909:NTK260998 NJO260909:NJO260998 MZS260909:MZS260998 MPW260909:MPW260998 MGA260909:MGA260998 LWE260909:LWE260998 LMI260909:LMI260998 LCM260909:LCM260998 KSQ260909:KSQ260998 KIU260909:KIU260998 JYY260909:JYY260998 JPC260909:JPC260998 JFG260909:JFG260998 IVK260909:IVK260998 ILO260909:ILO260998 IBS260909:IBS260998 HRW260909:HRW260998 HIA260909:HIA260998 GYE260909:GYE260998 GOI260909:GOI260998 GEM260909:GEM260998 FUQ260909:FUQ260998 FKU260909:FKU260998 FAY260909:FAY260998 ERC260909:ERC260998 EHG260909:EHG260998 DXK260909:DXK260998 DNO260909:DNO260998 DDS260909:DDS260998 CTW260909:CTW260998 CKA260909:CKA260998 CAE260909:CAE260998 BQI260909:BQI260998 BGM260909:BGM260998 AWQ260909:AWQ260998 AMU260909:AMU260998 ACY260909:ACY260998 TC260909:TC260998 JG260909:JG260998 K260918:K261007 WVS195373:WVS195462 WLW195373:WLW195462 WCA195373:WCA195462 VSE195373:VSE195462 VII195373:VII195462 UYM195373:UYM195462 UOQ195373:UOQ195462 UEU195373:UEU195462 TUY195373:TUY195462 TLC195373:TLC195462 TBG195373:TBG195462 SRK195373:SRK195462 SHO195373:SHO195462 RXS195373:RXS195462 RNW195373:RNW195462 REA195373:REA195462 QUE195373:QUE195462 QKI195373:QKI195462 QAM195373:QAM195462 PQQ195373:PQQ195462 PGU195373:PGU195462 OWY195373:OWY195462 ONC195373:ONC195462 ODG195373:ODG195462 NTK195373:NTK195462 NJO195373:NJO195462 MZS195373:MZS195462 MPW195373:MPW195462 MGA195373:MGA195462 LWE195373:LWE195462 LMI195373:LMI195462 LCM195373:LCM195462 KSQ195373:KSQ195462 KIU195373:KIU195462 JYY195373:JYY195462 JPC195373:JPC195462 JFG195373:JFG195462 IVK195373:IVK195462 ILO195373:ILO195462 IBS195373:IBS195462 HRW195373:HRW195462 HIA195373:HIA195462 GYE195373:GYE195462 GOI195373:GOI195462 GEM195373:GEM195462 FUQ195373:FUQ195462 FKU195373:FKU195462 FAY195373:FAY195462 ERC195373:ERC195462 EHG195373:EHG195462 DXK195373:DXK195462 DNO195373:DNO195462 DDS195373:DDS195462 CTW195373:CTW195462 CKA195373:CKA195462 CAE195373:CAE195462 BQI195373:BQI195462 BGM195373:BGM195462 AWQ195373:AWQ195462 AMU195373:AMU195462 ACY195373:ACY195462 TC195373:TC195462 JG195373:JG195462 K195382:K195471 WVS129837:WVS129926 WLW129837:WLW129926 WCA129837:WCA129926 VSE129837:VSE129926 VII129837:VII129926 UYM129837:UYM129926 UOQ129837:UOQ129926 UEU129837:UEU129926 TUY129837:TUY129926 TLC129837:TLC129926 TBG129837:TBG129926 SRK129837:SRK129926 SHO129837:SHO129926 RXS129837:RXS129926 RNW129837:RNW129926 REA129837:REA129926 QUE129837:QUE129926 QKI129837:QKI129926 QAM129837:QAM129926 PQQ129837:PQQ129926 PGU129837:PGU129926 OWY129837:OWY129926 ONC129837:ONC129926 ODG129837:ODG129926 NTK129837:NTK129926 NJO129837:NJO129926 MZS129837:MZS129926 MPW129837:MPW129926 MGA129837:MGA129926 LWE129837:LWE129926 LMI129837:LMI129926 LCM129837:LCM129926 KSQ129837:KSQ129926 KIU129837:KIU129926 JYY129837:JYY129926 JPC129837:JPC129926 JFG129837:JFG129926 IVK129837:IVK129926 ILO129837:ILO129926 IBS129837:IBS129926 HRW129837:HRW129926 HIA129837:HIA129926 GYE129837:GYE129926 GOI129837:GOI129926 GEM129837:GEM129926 FUQ129837:FUQ129926 FKU129837:FKU129926 FAY129837:FAY129926 ERC129837:ERC129926 EHG129837:EHG129926 DXK129837:DXK129926 DNO129837:DNO129926 DDS129837:DDS129926 CTW129837:CTW129926 CKA129837:CKA129926 CAE129837:CAE129926 BQI129837:BQI129926 BGM129837:BGM129926 AWQ129837:AWQ129926 AMU129837:AMU129926 ACY129837:ACY129926 TC129837:TC129926 JG129837:JG129926 K129846:K129935 WVS64301:WVS64390 WLW64301:WLW64390 WCA64301:WCA64390 VSE64301:VSE64390 VII64301:VII64390 UYM64301:UYM64390 UOQ64301:UOQ64390 UEU64301:UEU64390 TUY64301:TUY64390 TLC64301:TLC64390 TBG64301:TBG64390 SRK64301:SRK64390 SHO64301:SHO64390 RXS64301:RXS64390 RNW64301:RNW64390 REA64301:REA64390 QUE64301:QUE64390 QKI64301:QKI64390 QAM64301:QAM64390 PQQ64301:PQQ64390 PGU64301:PGU64390 OWY64301:OWY64390 ONC64301:ONC64390 ODG64301:ODG64390 NTK64301:NTK64390 NJO64301:NJO64390 MZS64301:MZS64390 MPW64301:MPW64390 MGA64301:MGA64390 LWE64301:LWE64390 LMI64301:LMI64390 LCM64301:LCM64390 KSQ64301:KSQ64390 KIU64301:KIU64390 JYY64301:JYY64390 JPC64301:JPC64390 JFG64301:JFG64390 IVK64301:IVK64390 ILO64301:ILO64390 IBS64301:IBS64390 HRW64301:HRW64390 HIA64301:HIA64390 GYE64301:GYE64390 GOI64301:GOI64390 GEM64301:GEM64390 FUQ64301:FUQ64390 FKU64301:FKU64390 FAY64301:FAY64390 ERC64301:ERC64390 EHG64301:EHG64390 DXK64301:DXK64390 DNO64301:DNO64390 DDS64301:DDS64390 CTW64301:CTW64390 CKA64301:CKA64390 CAE64301:CAE64390 BQI64301:BQI64390 BGM64301:BGM64390 AWQ64301:AWQ64390 AMU64301:AMU64390 ACY64301:ACY64390 TC64301:TC64390 JG64301:JG64390 K64310:K64399 JG2:JG73 TC2:TC73 ACY2:ACY73 AMU2:AMU73 AWQ2:AWQ73 BGM2:BGM73 BQI2:BQI73 CAE2:CAE73 CKA2:CKA73 CTW2:CTW73 DDS2:DDS73 DNO2:DNO73 DXK2:DXK73 EHG2:EHG73 ERC2:ERC73 FAY2:FAY73 FKU2:FKU73 FUQ2:FUQ73 GEM2:GEM73 GOI2:GOI73 GYE2:GYE73 HIA2:HIA73 HRW2:HRW73 IBS2:IBS73 ILO2:ILO73 IVK2:IVK73 JFG2:JFG73 JPC2:JPC73 JYY2:JYY73 KIU2:KIU73 KSQ2:KSQ73 LCM2:LCM73 LMI2:LMI73 LWE2:LWE73 MGA2:MGA73 MPW2:MPW73 MZS2:MZS73 NJO2:NJO73 NTK2:NTK73 ODG2:ODG73 ONC2:ONC73 OWY2:OWY73 PGU2:PGU73 PQQ2:PQQ73 QAM2:QAM73 QKI2:QKI73 QUE2:QUE73 REA2:REA73 RNW2:RNW73 RXS2:RXS73 SHO2:SHO73 SRK2:SRK73 TBG2:TBG73 TLC2:TLC73 TUY2:TUY73 UEU2:UEU73 UOQ2:UOQ73 UYM2:UYM73 VII2:VII73 VSE2:VSE73 WCA2:WCA73 WLW2:WLW73 WVS2:WVS73" xr:uid="{8A47EF12-9FCC-4F7A-83B2-61C90E3A5F63}">
      <formula1>$AR$2:$AR$24</formula1>
    </dataValidation>
    <dataValidation type="list" allowBlank="1" showInputMessage="1" showErrorMessage="1" sqref="WVR981805:WVR981894 WLV981805:WLV981894 WBZ981805:WBZ981894 VSD981805:VSD981894 VIH981805:VIH981894 UYL981805:UYL981894 UOP981805:UOP981894 UET981805:UET981894 TUX981805:TUX981894 TLB981805:TLB981894 TBF981805:TBF981894 SRJ981805:SRJ981894 SHN981805:SHN981894 RXR981805:RXR981894 RNV981805:RNV981894 RDZ981805:RDZ981894 QUD981805:QUD981894 QKH981805:QKH981894 QAL981805:QAL981894 PQP981805:PQP981894 PGT981805:PGT981894 OWX981805:OWX981894 ONB981805:ONB981894 ODF981805:ODF981894 NTJ981805:NTJ981894 NJN981805:NJN981894 MZR981805:MZR981894 MPV981805:MPV981894 MFZ981805:MFZ981894 LWD981805:LWD981894 LMH981805:LMH981894 LCL981805:LCL981894 KSP981805:KSP981894 KIT981805:KIT981894 JYX981805:JYX981894 JPB981805:JPB981894 JFF981805:JFF981894 IVJ981805:IVJ981894 ILN981805:ILN981894 IBR981805:IBR981894 HRV981805:HRV981894 HHZ981805:HHZ981894 GYD981805:GYD981894 GOH981805:GOH981894 GEL981805:GEL981894 FUP981805:FUP981894 FKT981805:FKT981894 FAX981805:FAX981894 ERB981805:ERB981894 EHF981805:EHF981894 DXJ981805:DXJ981894 DNN981805:DNN981894 DDR981805:DDR981894 CTV981805:CTV981894 CJZ981805:CJZ981894 CAD981805:CAD981894 BQH981805:BQH981894 BGL981805:BGL981894 AWP981805:AWP981894 AMT981805:AMT981894 ACX981805:ACX981894 TB981805:TB981894 JF981805:JF981894 J981814:J981903 WVR916269:WVR916358 WLV916269:WLV916358 WBZ916269:WBZ916358 VSD916269:VSD916358 VIH916269:VIH916358 UYL916269:UYL916358 UOP916269:UOP916358 UET916269:UET916358 TUX916269:TUX916358 TLB916269:TLB916358 TBF916269:TBF916358 SRJ916269:SRJ916358 SHN916269:SHN916358 RXR916269:RXR916358 RNV916269:RNV916358 RDZ916269:RDZ916358 QUD916269:QUD916358 QKH916269:QKH916358 QAL916269:QAL916358 PQP916269:PQP916358 PGT916269:PGT916358 OWX916269:OWX916358 ONB916269:ONB916358 ODF916269:ODF916358 NTJ916269:NTJ916358 NJN916269:NJN916358 MZR916269:MZR916358 MPV916269:MPV916358 MFZ916269:MFZ916358 LWD916269:LWD916358 LMH916269:LMH916358 LCL916269:LCL916358 KSP916269:KSP916358 KIT916269:KIT916358 JYX916269:JYX916358 JPB916269:JPB916358 JFF916269:JFF916358 IVJ916269:IVJ916358 ILN916269:ILN916358 IBR916269:IBR916358 HRV916269:HRV916358 HHZ916269:HHZ916358 GYD916269:GYD916358 GOH916269:GOH916358 GEL916269:GEL916358 FUP916269:FUP916358 FKT916269:FKT916358 FAX916269:FAX916358 ERB916269:ERB916358 EHF916269:EHF916358 DXJ916269:DXJ916358 DNN916269:DNN916358 DDR916269:DDR916358 CTV916269:CTV916358 CJZ916269:CJZ916358 CAD916269:CAD916358 BQH916269:BQH916358 BGL916269:BGL916358 AWP916269:AWP916358 AMT916269:AMT916358 ACX916269:ACX916358 TB916269:TB916358 JF916269:JF916358 J916278:J916367 WVR850733:WVR850822 WLV850733:WLV850822 WBZ850733:WBZ850822 VSD850733:VSD850822 VIH850733:VIH850822 UYL850733:UYL850822 UOP850733:UOP850822 UET850733:UET850822 TUX850733:TUX850822 TLB850733:TLB850822 TBF850733:TBF850822 SRJ850733:SRJ850822 SHN850733:SHN850822 RXR850733:RXR850822 RNV850733:RNV850822 RDZ850733:RDZ850822 QUD850733:QUD850822 QKH850733:QKH850822 QAL850733:QAL850822 PQP850733:PQP850822 PGT850733:PGT850822 OWX850733:OWX850822 ONB850733:ONB850822 ODF850733:ODF850822 NTJ850733:NTJ850822 NJN850733:NJN850822 MZR850733:MZR850822 MPV850733:MPV850822 MFZ850733:MFZ850822 LWD850733:LWD850822 LMH850733:LMH850822 LCL850733:LCL850822 KSP850733:KSP850822 KIT850733:KIT850822 JYX850733:JYX850822 JPB850733:JPB850822 JFF850733:JFF850822 IVJ850733:IVJ850822 ILN850733:ILN850822 IBR850733:IBR850822 HRV850733:HRV850822 HHZ850733:HHZ850822 GYD850733:GYD850822 GOH850733:GOH850822 GEL850733:GEL850822 FUP850733:FUP850822 FKT850733:FKT850822 FAX850733:FAX850822 ERB850733:ERB850822 EHF850733:EHF850822 DXJ850733:DXJ850822 DNN850733:DNN850822 DDR850733:DDR850822 CTV850733:CTV850822 CJZ850733:CJZ850822 CAD850733:CAD850822 BQH850733:BQH850822 BGL850733:BGL850822 AWP850733:AWP850822 AMT850733:AMT850822 ACX850733:ACX850822 TB850733:TB850822 JF850733:JF850822 J850742:J850831 WVR785197:WVR785286 WLV785197:WLV785286 WBZ785197:WBZ785286 VSD785197:VSD785286 VIH785197:VIH785286 UYL785197:UYL785286 UOP785197:UOP785286 UET785197:UET785286 TUX785197:TUX785286 TLB785197:TLB785286 TBF785197:TBF785286 SRJ785197:SRJ785286 SHN785197:SHN785286 RXR785197:RXR785286 RNV785197:RNV785286 RDZ785197:RDZ785286 QUD785197:QUD785286 QKH785197:QKH785286 QAL785197:QAL785286 PQP785197:PQP785286 PGT785197:PGT785286 OWX785197:OWX785286 ONB785197:ONB785286 ODF785197:ODF785286 NTJ785197:NTJ785286 NJN785197:NJN785286 MZR785197:MZR785286 MPV785197:MPV785286 MFZ785197:MFZ785286 LWD785197:LWD785286 LMH785197:LMH785286 LCL785197:LCL785286 KSP785197:KSP785286 KIT785197:KIT785286 JYX785197:JYX785286 JPB785197:JPB785286 JFF785197:JFF785286 IVJ785197:IVJ785286 ILN785197:ILN785286 IBR785197:IBR785286 HRV785197:HRV785286 HHZ785197:HHZ785286 GYD785197:GYD785286 GOH785197:GOH785286 GEL785197:GEL785286 FUP785197:FUP785286 FKT785197:FKT785286 FAX785197:FAX785286 ERB785197:ERB785286 EHF785197:EHF785286 DXJ785197:DXJ785286 DNN785197:DNN785286 DDR785197:DDR785286 CTV785197:CTV785286 CJZ785197:CJZ785286 CAD785197:CAD785286 BQH785197:BQH785286 BGL785197:BGL785286 AWP785197:AWP785286 AMT785197:AMT785286 ACX785197:ACX785286 TB785197:TB785286 JF785197:JF785286 J785206:J785295 WVR719661:WVR719750 WLV719661:WLV719750 WBZ719661:WBZ719750 VSD719661:VSD719750 VIH719661:VIH719750 UYL719661:UYL719750 UOP719661:UOP719750 UET719661:UET719750 TUX719661:TUX719750 TLB719661:TLB719750 TBF719661:TBF719750 SRJ719661:SRJ719750 SHN719661:SHN719750 RXR719661:RXR719750 RNV719661:RNV719750 RDZ719661:RDZ719750 QUD719661:QUD719750 QKH719661:QKH719750 QAL719661:QAL719750 PQP719661:PQP719750 PGT719661:PGT719750 OWX719661:OWX719750 ONB719661:ONB719750 ODF719661:ODF719750 NTJ719661:NTJ719750 NJN719661:NJN719750 MZR719661:MZR719750 MPV719661:MPV719750 MFZ719661:MFZ719750 LWD719661:LWD719750 LMH719661:LMH719750 LCL719661:LCL719750 KSP719661:KSP719750 KIT719661:KIT719750 JYX719661:JYX719750 JPB719661:JPB719750 JFF719661:JFF719750 IVJ719661:IVJ719750 ILN719661:ILN719750 IBR719661:IBR719750 HRV719661:HRV719750 HHZ719661:HHZ719750 GYD719661:GYD719750 GOH719661:GOH719750 GEL719661:GEL719750 FUP719661:FUP719750 FKT719661:FKT719750 FAX719661:FAX719750 ERB719661:ERB719750 EHF719661:EHF719750 DXJ719661:DXJ719750 DNN719661:DNN719750 DDR719661:DDR719750 CTV719661:CTV719750 CJZ719661:CJZ719750 CAD719661:CAD719750 BQH719661:BQH719750 BGL719661:BGL719750 AWP719661:AWP719750 AMT719661:AMT719750 ACX719661:ACX719750 TB719661:TB719750 JF719661:JF719750 J719670:J719759 WVR654125:WVR654214 WLV654125:WLV654214 WBZ654125:WBZ654214 VSD654125:VSD654214 VIH654125:VIH654214 UYL654125:UYL654214 UOP654125:UOP654214 UET654125:UET654214 TUX654125:TUX654214 TLB654125:TLB654214 TBF654125:TBF654214 SRJ654125:SRJ654214 SHN654125:SHN654214 RXR654125:RXR654214 RNV654125:RNV654214 RDZ654125:RDZ654214 QUD654125:QUD654214 QKH654125:QKH654214 QAL654125:QAL654214 PQP654125:PQP654214 PGT654125:PGT654214 OWX654125:OWX654214 ONB654125:ONB654214 ODF654125:ODF654214 NTJ654125:NTJ654214 NJN654125:NJN654214 MZR654125:MZR654214 MPV654125:MPV654214 MFZ654125:MFZ654214 LWD654125:LWD654214 LMH654125:LMH654214 LCL654125:LCL654214 KSP654125:KSP654214 KIT654125:KIT654214 JYX654125:JYX654214 JPB654125:JPB654214 JFF654125:JFF654214 IVJ654125:IVJ654214 ILN654125:ILN654214 IBR654125:IBR654214 HRV654125:HRV654214 HHZ654125:HHZ654214 GYD654125:GYD654214 GOH654125:GOH654214 GEL654125:GEL654214 FUP654125:FUP654214 FKT654125:FKT654214 FAX654125:FAX654214 ERB654125:ERB654214 EHF654125:EHF654214 DXJ654125:DXJ654214 DNN654125:DNN654214 DDR654125:DDR654214 CTV654125:CTV654214 CJZ654125:CJZ654214 CAD654125:CAD654214 BQH654125:BQH654214 BGL654125:BGL654214 AWP654125:AWP654214 AMT654125:AMT654214 ACX654125:ACX654214 TB654125:TB654214 JF654125:JF654214 J654134:J654223 WVR588589:WVR588678 WLV588589:WLV588678 WBZ588589:WBZ588678 VSD588589:VSD588678 VIH588589:VIH588678 UYL588589:UYL588678 UOP588589:UOP588678 UET588589:UET588678 TUX588589:TUX588678 TLB588589:TLB588678 TBF588589:TBF588678 SRJ588589:SRJ588678 SHN588589:SHN588678 RXR588589:RXR588678 RNV588589:RNV588678 RDZ588589:RDZ588678 QUD588589:QUD588678 QKH588589:QKH588678 QAL588589:QAL588678 PQP588589:PQP588678 PGT588589:PGT588678 OWX588589:OWX588678 ONB588589:ONB588678 ODF588589:ODF588678 NTJ588589:NTJ588678 NJN588589:NJN588678 MZR588589:MZR588678 MPV588589:MPV588678 MFZ588589:MFZ588678 LWD588589:LWD588678 LMH588589:LMH588678 LCL588589:LCL588678 KSP588589:KSP588678 KIT588589:KIT588678 JYX588589:JYX588678 JPB588589:JPB588678 JFF588589:JFF588678 IVJ588589:IVJ588678 ILN588589:ILN588678 IBR588589:IBR588678 HRV588589:HRV588678 HHZ588589:HHZ588678 GYD588589:GYD588678 GOH588589:GOH588678 GEL588589:GEL588678 FUP588589:FUP588678 FKT588589:FKT588678 FAX588589:FAX588678 ERB588589:ERB588678 EHF588589:EHF588678 DXJ588589:DXJ588678 DNN588589:DNN588678 DDR588589:DDR588678 CTV588589:CTV588678 CJZ588589:CJZ588678 CAD588589:CAD588678 BQH588589:BQH588678 BGL588589:BGL588678 AWP588589:AWP588678 AMT588589:AMT588678 ACX588589:ACX588678 TB588589:TB588678 JF588589:JF588678 J588598:J588687 WVR523053:WVR523142 WLV523053:WLV523142 WBZ523053:WBZ523142 VSD523053:VSD523142 VIH523053:VIH523142 UYL523053:UYL523142 UOP523053:UOP523142 UET523053:UET523142 TUX523053:TUX523142 TLB523053:TLB523142 TBF523053:TBF523142 SRJ523053:SRJ523142 SHN523053:SHN523142 RXR523053:RXR523142 RNV523053:RNV523142 RDZ523053:RDZ523142 QUD523053:QUD523142 QKH523053:QKH523142 QAL523053:QAL523142 PQP523053:PQP523142 PGT523053:PGT523142 OWX523053:OWX523142 ONB523053:ONB523142 ODF523053:ODF523142 NTJ523053:NTJ523142 NJN523053:NJN523142 MZR523053:MZR523142 MPV523053:MPV523142 MFZ523053:MFZ523142 LWD523053:LWD523142 LMH523053:LMH523142 LCL523053:LCL523142 KSP523053:KSP523142 KIT523053:KIT523142 JYX523053:JYX523142 JPB523053:JPB523142 JFF523053:JFF523142 IVJ523053:IVJ523142 ILN523053:ILN523142 IBR523053:IBR523142 HRV523053:HRV523142 HHZ523053:HHZ523142 GYD523053:GYD523142 GOH523053:GOH523142 GEL523053:GEL523142 FUP523053:FUP523142 FKT523053:FKT523142 FAX523053:FAX523142 ERB523053:ERB523142 EHF523053:EHF523142 DXJ523053:DXJ523142 DNN523053:DNN523142 DDR523053:DDR523142 CTV523053:CTV523142 CJZ523053:CJZ523142 CAD523053:CAD523142 BQH523053:BQH523142 BGL523053:BGL523142 AWP523053:AWP523142 AMT523053:AMT523142 ACX523053:ACX523142 TB523053:TB523142 JF523053:JF523142 J523062:J523151 WVR457517:WVR457606 WLV457517:WLV457606 WBZ457517:WBZ457606 VSD457517:VSD457606 VIH457517:VIH457606 UYL457517:UYL457606 UOP457517:UOP457606 UET457517:UET457606 TUX457517:TUX457606 TLB457517:TLB457606 TBF457517:TBF457606 SRJ457517:SRJ457606 SHN457517:SHN457606 RXR457517:RXR457606 RNV457517:RNV457606 RDZ457517:RDZ457606 QUD457517:QUD457606 QKH457517:QKH457606 QAL457517:QAL457606 PQP457517:PQP457606 PGT457517:PGT457606 OWX457517:OWX457606 ONB457517:ONB457606 ODF457517:ODF457606 NTJ457517:NTJ457606 NJN457517:NJN457606 MZR457517:MZR457606 MPV457517:MPV457606 MFZ457517:MFZ457606 LWD457517:LWD457606 LMH457517:LMH457606 LCL457517:LCL457606 KSP457517:KSP457606 KIT457517:KIT457606 JYX457517:JYX457606 JPB457517:JPB457606 JFF457517:JFF457606 IVJ457517:IVJ457606 ILN457517:ILN457606 IBR457517:IBR457606 HRV457517:HRV457606 HHZ457517:HHZ457606 GYD457517:GYD457606 GOH457517:GOH457606 GEL457517:GEL457606 FUP457517:FUP457606 FKT457517:FKT457606 FAX457517:FAX457606 ERB457517:ERB457606 EHF457517:EHF457606 DXJ457517:DXJ457606 DNN457517:DNN457606 DDR457517:DDR457606 CTV457517:CTV457606 CJZ457517:CJZ457606 CAD457517:CAD457606 BQH457517:BQH457606 BGL457517:BGL457606 AWP457517:AWP457606 AMT457517:AMT457606 ACX457517:ACX457606 TB457517:TB457606 JF457517:JF457606 J457526:J457615 WVR391981:WVR392070 WLV391981:WLV392070 WBZ391981:WBZ392070 VSD391981:VSD392070 VIH391981:VIH392070 UYL391981:UYL392070 UOP391981:UOP392070 UET391981:UET392070 TUX391981:TUX392070 TLB391981:TLB392070 TBF391981:TBF392070 SRJ391981:SRJ392070 SHN391981:SHN392070 RXR391981:RXR392070 RNV391981:RNV392070 RDZ391981:RDZ392070 QUD391981:QUD392070 QKH391981:QKH392070 QAL391981:QAL392070 PQP391981:PQP392070 PGT391981:PGT392070 OWX391981:OWX392070 ONB391981:ONB392070 ODF391981:ODF392070 NTJ391981:NTJ392070 NJN391981:NJN392070 MZR391981:MZR392070 MPV391981:MPV392070 MFZ391981:MFZ392070 LWD391981:LWD392070 LMH391981:LMH392070 LCL391981:LCL392070 KSP391981:KSP392070 KIT391981:KIT392070 JYX391981:JYX392070 JPB391981:JPB392070 JFF391981:JFF392070 IVJ391981:IVJ392070 ILN391981:ILN392070 IBR391981:IBR392070 HRV391981:HRV392070 HHZ391981:HHZ392070 GYD391981:GYD392070 GOH391981:GOH392070 GEL391981:GEL392070 FUP391981:FUP392070 FKT391981:FKT392070 FAX391981:FAX392070 ERB391981:ERB392070 EHF391981:EHF392070 DXJ391981:DXJ392070 DNN391981:DNN392070 DDR391981:DDR392070 CTV391981:CTV392070 CJZ391981:CJZ392070 CAD391981:CAD392070 BQH391981:BQH392070 BGL391981:BGL392070 AWP391981:AWP392070 AMT391981:AMT392070 ACX391981:ACX392070 TB391981:TB392070 JF391981:JF392070 J391990:J392079 WVR326445:WVR326534 WLV326445:WLV326534 WBZ326445:WBZ326534 VSD326445:VSD326534 VIH326445:VIH326534 UYL326445:UYL326534 UOP326445:UOP326534 UET326445:UET326534 TUX326445:TUX326534 TLB326445:TLB326534 TBF326445:TBF326534 SRJ326445:SRJ326534 SHN326445:SHN326534 RXR326445:RXR326534 RNV326445:RNV326534 RDZ326445:RDZ326534 QUD326445:QUD326534 QKH326445:QKH326534 QAL326445:QAL326534 PQP326445:PQP326534 PGT326445:PGT326534 OWX326445:OWX326534 ONB326445:ONB326534 ODF326445:ODF326534 NTJ326445:NTJ326534 NJN326445:NJN326534 MZR326445:MZR326534 MPV326445:MPV326534 MFZ326445:MFZ326534 LWD326445:LWD326534 LMH326445:LMH326534 LCL326445:LCL326534 KSP326445:KSP326534 KIT326445:KIT326534 JYX326445:JYX326534 JPB326445:JPB326534 JFF326445:JFF326534 IVJ326445:IVJ326534 ILN326445:ILN326534 IBR326445:IBR326534 HRV326445:HRV326534 HHZ326445:HHZ326534 GYD326445:GYD326534 GOH326445:GOH326534 GEL326445:GEL326534 FUP326445:FUP326534 FKT326445:FKT326534 FAX326445:FAX326534 ERB326445:ERB326534 EHF326445:EHF326534 DXJ326445:DXJ326534 DNN326445:DNN326534 DDR326445:DDR326534 CTV326445:CTV326534 CJZ326445:CJZ326534 CAD326445:CAD326534 BQH326445:BQH326534 BGL326445:BGL326534 AWP326445:AWP326534 AMT326445:AMT326534 ACX326445:ACX326534 TB326445:TB326534 JF326445:JF326534 J326454:J326543 WVR260909:WVR260998 WLV260909:WLV260998 WBZ260909:WBZ260998 VSD260909:VSD260998 VIH260909:VIH260998 UYL260909:UYL260998 UOP260909:UOP260998 UET260909:UET260998 TUX260909:TUX260998 TLB260909:TLB260998 TBF260909:TBF260998 SRJ260909:SRJ260998 SHN260909:SHN260998 RXR260909:RXR260998 RNV260909:RNV260998 RDZ260909:RDZ260998 QUD260909:QUD260998 QKH260909:QKH260998 QAL260909:QAL260998 PQP260909:PQP260998 PGT260909:PGT260998 OWX260909:OWX260998 ONB260909:ONB260998 ODF260909:ODF260998 NTJ260909:NTJ260998 NJN260909:NJN260998 MZR260909:MZR260998 MPV260909:MPV260998 MFZ260909:MFZ260998 LWD260909:LWD260998 LMH260909:LMH260998 LCL260909:LCL260998 KSP260909:KSP260998 KIT260909:KIT260998 JYX260909:JYX260998 JPB260909:JPB260998 JFF260909:JFF260998 IVJ260909:IVJ260998 ILN260909:ILN260998 IBR260909:IBR260998 HRV260909:HRV260998 HHZ260909:HHZ260998 GYD260909:GYD260998 GOH260909:GOH260998 GEL260909:GEL260998 FUP260909:FUP260998 FKT260909:FKT260998 FAX260909:FAX260998 ERB260909:ERB260998 EHF260909:EHF260998 DXJ260909:DXJ260998 DNN260909:DNN260998 DDR260909:DDR260998 CTV260909:CTV260998 CJZ260909:CJZ260998 CAD260909:CAD260998 BQH260909:BQH260998 BGL260909:BGL260998 AWP260909:AWP260998 AMT260909:AMT260998 ACX260909:ACX260998 TB260909:TB260998 JF260909:JF260998 J260918:J261007 WVR195373:WVR195462 WLV195373:WLV195462 WBZ195373:WBZ195462 VSD195373:VSD195462 VIH195373:VIH195462 UYL195373:UYL195462 UOP195373:UOP195462 UET195373:UET195462 TUX195373:TUX195462 TLB195373:TLB195462 TBF195373:TBF195462 SRJ195373:SRJ195462 SHN195373:SHN195462 RXR195373:RXR195462 RNV195373:RNV195462 RDZ195373:RDZ195462 QUD195373:QUD195462 QKH195373:QKH195462 QAL195373:QAL195462 PQP195373:PQP195462 PGT195373:PGT195462 OWX195373:OWX195462 ONB195373:ONB195462 ODF195373:ODF195462 NTJ195373:NTJ195462 NJN195373:NJN195462 MZR195373:MZR195462 MPV195373:MPV195462 MFZ195373:MFZ195462 LWD195373:LWD195462 LMH195373:LMH195462 LCL195373:LCL195462 KSP195373:KSP195462 KIT195373:KIT195462 JYX195373:JYX195462 JPB195373:JPB195462 JFF195373:JFF195462 IVJ195373:IVJ195462 ILN195373:ILN195462 IBR195373:IBR195462 HRV195373:HRV195462 HHZ195373:HHZ195462 GYD195373:GYD195462 GOH195373:GOH195462 GEL195373:GEL195462 FUP195373:FUP195462 FKT195373:FKT195462 FAX195373:FAX195462 ERB195373:ERB195462 EHF195373:EHF195462 DXJ195373:DXJ195462 DNN195373:DNN195462 DDR195373:DDR195462 CTV195373:CTV195462 CJZ195373:CJZ195462 CAD195373:CAD195462 BQH195373:BQH195462 BGL195373:BGL195462 AWP195373:AWP195462 AMT195373:AMT195462 ACX195373:ACX195462 TB195373:TB195462 JF195373:JF195462 J195382:J195471 WVR129837:WVR129926 WLV129837:WLV129926 WBZ129837:WBZ129926 VSD129837:VSD129926 VIH129837:VIH129926 UYL129837:UYL129926 UOP129837:UOP129926 UET129837:UET129926 TUX129837:TUX129926 TLB129837:TLB129926 TBF129837:TBF129926 SRJ129837:SRJ129926 SHN129837:SHN129926 RXR129837:RXR129926 RNV129837:RNV129926 RDZ129837:RDZ129926 QUD129837:QUD129926 QKH129837:QKH129926 QAL129837:QAL129926 PQP129837:PQP129926 PGT129837:PGT129926 OWX129837:OWX129926 ONB129837:ONB129926 ODF129837:ODF129926 NTJ129837:NTJ129926 NJN129837:NJN129926 MZR129837:MZR129926 MPV129837:MPV129926 MFZ129837:MFZ129926 LWD129837:LWD129926 LMH129837:LMH129926 LCL129837:LCL129926 KSP129837:KSP129926 KIT129837:KIT129926 JYX129837:JYX129926 JPB129837:JPB129926 JFF129837:JFF129926 IVJ129837:IVJ129926 ILN129837:ILN129926 IBR129837:IBR129926 HRV129837:HRV129926 HHZ129837:HHZ129926 GYD129837:GYD129926 GOH129837:GOH129926 GEL129837:GEL129926 FUP129837:FUP129926 FKT129837:FKT129926 FAX129837:FAX129926 ERB129837:ERB129926 EHF129837:EHF129926 DXJ129837:DXJ129926 DNN129837:DNN129926 DDR129837:DDR129926 CTV129837:CTV129926 CJZ129837:CJZ129926 CAD129837:CAD129926 BQH129837:BQH129926 BGL129837:BGL129926 AWP129837:AWP129926 AMT129837:AMT129926 ACX129837:ACX129926 TB129837:TB129926 JF129837:JF129926 J129846:J129935 WVR64301:WVR64390 WLV64301:WLV64390 WBZ64301:WBZ64390 VSD64301:VSD64390 VIH64301:VIH64390 UYL64301:UYL64390 UOP64301:UOP64390 UET64301:UET64390 TUX64301:TUX64390 TLB64301:TLB64390 TBF64301:TBF64390 SRJ64301:SRJ64390 SHN64301:SHN64390 RXR64301:RXR64390 RNV64301:RNV64390 RDZ64301:RDZ64390 QUD64301:QUD64390 QKH64301:QKH64390 QAL64301:QAL64390 PQP64301:PQP64390 PGT64301:PGT64390 OWX64301:OWX64390 ONB64301:ONB64390 ODF64301:ODF64390 NTJ64301:NTJ64390 NJN64301:NJN64390 MZR64301:MZR64390 MPV64301:MPV64390 MFZ64301:MFZ64390 LWD64301:LWD64390 LMH64301:LMH64390 LCL64301:LCL64390 KSP64301:KSP64390 KIT64301:KIT64390 JYX64301:JYX64390 JPB64301:JPB64390 JFF64301:JFF64390 IVJ64301:IVJ64390 ILN64301:ILN64390 IBR64301:IBR64390 HRV64301:HRV64390 HHZ64301:HHZ64390 GYD64301:GYD64390 GOH64301:GOH64390 GEL64301:GEL64390 FUP64301:FUP64390 FKT64301:FKT64390 FAX64301:FAX64390 ERB64301:ERB64390 EHF64301:EHF64390 DXJ64301:DXJ64390 DNN64301:DNN64390 DDR64301:DDR64390 CTV64301:CTV64390 CJZ64301:CJZ64390 CAD64301:CAD64390 BQH64301:BQH64390 BGL64301:BGL64390 AWP64301:AWP64390 AMT64301:AMT64390 ACX64301:ACX64390 TB64301:TB64390 JF64301:JF64390 J64310:J64399 WVR2:WVR73 WLV2:WLV73 WBZ2:WBZ73 VSD2:VSD73 VIH2:VIH73 UYL2:UYL73 UOP2:UOP73 UET2:UET73 TUX2:TUX73 TLB2:TLB73 TBF2:TBF73 SRJ2:SRJ73 SHN2:SHN73 RXR2:RXR73 RNV2:RNV73 RDZ2:RDZ73 QUD2:QUD73 QKH2:QKH73 QAL2:QAL73 PQP2:PQP73 PGT2:PGT73 OWX2:OWX73 ONB2:ONB73 ODF2:ODF73 NTJ2:NTJ73 NJN2:NJN73 MZR2:MZR73 MPV2:MPV73 MFZ2:MFZ73 LWD2:LWD73 LMH2:LMH73 LCL2:LCL73 KSP2:KSP73 KIT2:KIT73 JYX2:JYX73 JPB2:JPB73 JFF2:JFF73 IVJ2:IVJ73 ILN2:ILN73 IBR2:IBR73 HRV2:HRV73 HHZ2:HHZ73 GYD2:GYD73 GOH2:GOH73 GEL2:GEL73 FUP2:FUP73 FKT2:FKT73 FAX2:FAX73 ERB2:ERB73 EHF2:EHF73 DXJ2:DXJ73 DNN2:DNN73 DDR2:DDR73 CTV2:CTV73 CJZ2:CJZ73 CAD2:CAD73 BQH2:BQH73 BGL2:BGL73 AWP2:AWP73 AMT2:AMT73 ACX2:ACX73 TB2:TB73 JF2:JF73" xr:uid="{32809829-1871-47FB-83D4-6BF13CF60F03}">
      <formula1>$AP$2:$AP$15</formula1>
    </dataValidation>
    <dataValidation type="list" allowBlank="1" showInputMessage="1" showErrorMessage="1" sqref="WVN981805:WVN981894 WLR981805:WLR981894 WBV981805:WBV981894 VRZ981805:VRZ981894 VID981805:VID981894 UYH981805:UYH981894 UOL981805:UOL981894 UEP981805:UEP981894 TUT981805:TUT981894 TKX981805:TKX981894 TBB981805:TBB981894 SRF981805:SRF981894 SHJ981805:SHJ981894 RXN981805:RXN981894 RNR981805:RNR981894 RDV981805:RDV981894 QTZ981805:QTZ981894 QKD981805:QKD981894 QAH981805:QAH981894 PQL981805:PQL981894 PGP981805:PGP981894 OWT981805:OWT981894 OMX981805:OMX981894 ODB981805:ODB981894 NTF981805:NTF981894 NJJ981805:NJJ981894 MZN981805:MZN981894 MPR981805:MPR981894 MFV981805:MFV981894 LVZ981805:LVZ981894 LMD981805:LMD981894 LCH981805:LCH981894 KSL981805:KSL981894 KIP981805:KIP981894 JYT981805:JYT981894 JOX981805:JOX981894 JFB981805:JFB981894 IVF981805:IVF981894 ILJ981805:ILJ981894 IBN981805:IBN981894 HRR981805:HRR981894 HHV981805:HHV981894 GXZ981805:GXZ981894 GOD981805:GOD981894 GEH981805:GEH981894 FUL981805:FUL981894 FKP981805:FKP981894 FAT981805:FAT981894 EQX981805:EQX981894 EHB981805:EHB981894 DXF981805:DXF981894 DNJ981805:DNJ981894 DDN981805:DDN981894 CTR981805:CTR981894 CJV981805:CJV981894 BZZ981805:BZZ981894 BQD981805:BQD981894 BGH981805:BGH981894 AWL981805:AWL981894 AMP981805:AMP981894 ACT981805:ACT981894 SX981805:SX981894 JB981805:JB981894 F981816:F981905 WVN916269:WVN916358 WLR916269:WLR916358 WBV916269:WBV916358 VRZ916269:VRZ916358 VID916269:VID916358 UYH916269:UYH916358 UOL916269:UOL916358 UEP916269:UEP916358 TUT916269:TUT916358 TKX916269:TKX916358 TBB916269:TBB916358 SRF916269:SRF916358 SHJ916269:SHJ916358 RXN916269:RXN916358 RNR916269:RNR916358 RDV916269:RDV916358 QTZ916269:QTZ916358 QKD916269:QKD916358 QAH916269:QAH916358 PQL916269:PQL916358 PGP916269:PGP916358 OWT916269:OWT916358 OMX916269:OMX916358 ODB916269:ODB916358 NTF916269:NTF916358 NJJ916269:NJJ916358 MZN916269:MZN916358 MPR916269:MPR916358 MFV916269:MFV916358 LVZ916269:LVZ916358 LMD916269:LMD916358 LCH916269:LCH916358 KSL916269:KSL916358 KIP916269:KIP916358 JYT916269:JYT916358 JOX916269:JOX916358 JFB916269:JFB916358 IVF916269:IVF916358 ILJ916269:ILJ916358 IBN916269:IBN916358 HRR916269:HRR916358 HHV916269:HHV916358 GXZ916269:GXZ916358 GOD916269:GOD916358 GEH916269:GEH916358 FUL916269:FUL916358 FKP916269:FKP916358 FAT916269:FAT916358 EQX916269:EQX916358 EHB916269:EHB916358 DXF916269:DXF916358 DNJ916269:DNJ916358 DDN916269:DDN916358 CTR916269:CTR916358 CJV916269:CJV916358 BZZ916269:BZZ916358 BQD916269:BQD916358 BGH916269:BGH916358 AWL916269:AWL916358 AMP916269:AMP916358 ACT916269:ACT916358 SX916269:SX916358 JB916269:JB916358 F916280:F916369 WVN850733:WVN850822 WLR850733:WLR850822 WBV850733:WBV850822 VRZ850733:VRZ850822 VID850733:VID850822 UYH850733:UYH850822 UOL850733:UOL850822 UEP850733:UEP850822 TUT850733:TUT850822 TKX850733:TKX850822 TBB850733:TBB850822 SRF850733:SRF850822 SHJ850733:SHJ850822 RXN850733:RXN850822 RNR850733:RNR850822 RDV850733:RDV850822 QTZ850733:QTZ850822 QKD850733:QKD850822 QAH850733:QAH850822 PQL850733:PQL850822 PGP850733:PGP850822 OWT850733:OWT850822 OMX850733:OMX850822 ODB850733:ODB850822 NTF850733:NTF850822 NJJ850733:NJJ850822 MZN850733:MZN850822 MPR850733:MPR850822 MFV850733:MFV850822 LVZ850733:LVZ850822 LMD850733:LMD850822 LCH850733:LCH850822 KSL850733:KSL850822 KIP850733:KIP850822 JYT850733:JYT850822 JOX850733:JOX850822 JFB850733:JFB850822 IVF850733:IVF850822 ILJ850733:ILJ850822 IBN850733:IBN850822 HRR850733:HRR850822 HHV850733:HHV850822 GXZ850733:GXZ850822 GOD850733:GOD850822 GEH850733:GEH850822 FUL850733:FUL850822 FKP850733:FKP850822 FAT850733:FAT850822 EQX850733:EQX850822 EHB850733:EHB850822 DXF850733:DXF850822 DNJ850733:DNJ850822 DDN850733:DDN850822 CTR850733:CTR850822 CJV850733:CJV850822 BZZ850733:BZZ850822 BQD850733:BQD850822 BGH850733:BGH850822 AWL850733:AWL850822 AMP850733:AMP850822 ACT850733:ACT850822 SX850733:SX850822 JB850733:JB850822 F850744:F850833 WVN785197:WVN785286 WLR785197:WLR785286 WBV785197:WBV785286 VRZ785197:VRZ785286 VID785197:VID785286 UYH785197:UYH785286 UOL785197:UOL785286 UEP785197:UEP785286 TUT785197:TUT785286 TKX785197:TKX785286 TBB785197:TBB785286 SRF785197:SRF785286 SHJ785197:SHJ785286 RXN785197:RXN785286 RNR785197:RNR785286 RDV785197:RDV785286 QTZ785197:QTZ785286 QKD785197:QKD785286 QAH785197:QAH785286 PQL785197:PQL785286 PGP785197:PGP785286 OWT785197:OWT785286 OMX785197:OMX785286 ODB785197:ODB785286 NTF785197:NTF785286 NJJ785197:NJJ785286 MZN785197:MZN785286 MPR785197:MPR785286 MFV785197:MFV785286 LVZ785197:LVZ785286 LMD785197:LMD785286 LCH785197:LCH785286 KSL785197:KSL785286 KIP785197:KIP785286 JYT785197:JYT785286 JOX785197:JOX785286 JFB785197:JFB785286 IVF785197:IVF785286 ILJ785197:ILJ785286 IBN785197:IBN785286 HRR785197:HRR785286 HHV785197:HHV785286 GXZ785197:GXZ785286 GOD785197:GOD785286 GEH785197:GEH785286 FUL785197:FUL785286 FKP785197:FKP785286 FAT785197:FAT785286 EQX785197:EQX785286 EHB785197:EHB785286 DXF785197:DXF785286 DNJ785197:DNJ785286 DDN785197:DDN785286 CTR785197:CTR785286 CJV785197:CJV785286 BZZ785197:BZZ785286 BQD785197:BQD785286 BGH785197:BGH785286 AWL785197:AWL785286 AMP785197:AMP785286 ACT785197:ACT785286 SX785197:SX785286 JB785197:JB785286 F785208:F785297 WVN719661:WVN719750 WLR719661:WLR719750 WBV719661:WBV719750 VRZ719661:VRZ719750 VID719661:VID719750 UYH719661:UYH719750 UOL719661:UOL719750 UEP719661:UEP719750 TUT719661:TUT719750 TKX719661:TKX719750 TBB719661:TBB719750 SRF719661:SRF719750 SHJ719661:SHJ719750 RXN719661:RXN719750 RNR719661:RNR719750 RDV719661:RDV719750 QTZ719661:QTZ719750 QKD719661:QKD719750 QAH719661:QAH719750 PQL719661:PQL719750 PGP719661:PGP719750 OWT719661:OWT719750 OMX719661:OMX719750 ODB719661:ODB719750 NTF719661:NTF719750 NJJ719661:NJJ719750 MZN719661:MZN719750 MPR719661:MPR719750 MFV719661:MFV719750 LVZ719661:LVZ719750 LMD719661:LMD719750 LCH719661:LCH719750 KSL719661:KSL719750 KIP719661:KIP719750 JYT719661:JYT719750 JOX719661:JOX719750 JFB719661:JFB719750 IVF719661:IVF719750 ILJ719661:ILJ719750 IBN719661:IBN719750 HRR719661:HRR719750 HHV719661:HHV719750 GXZ719661:GXZ719750 GOD719661:GOD719750 GEH719661:GEH719750 FUL719661:FUL719750 FKP719661:FKP719750 FAT719661:FAT719750 EQX719661:EQX719750 EHB719661:EHB719750 DXF719661:DXF719750 DNJ719661:DNJ719750 DDN719661:DDN719750 CTR719661:CTR719750 CJV719661:CJV719750 BZZ719661:BZZ719750 BQD719661:BQD719750 BGH719661:BGH719750 AWL719661:AWL719750 AMP719661:AMP719750 ACT719661:ACT719750 SX719661:SX719750 JB719661:JB719750 F719672:F719761 WVN654125:WVN654214 WLR654125:WLR654214 WBV654125:WBV654214 VRZ654125:VRZ654214 VID654125:VID654214 UYH654125:UYH654214 UOL654125:UOL654214 UEP654125:UEP654214 TUT654125:TUT654214 TKX654125:TKX654214 TBB654125:TBB654214 SRF654125:SRF654214 SHJ654125:SHJ654214 RXN654125:RXN654214 RNR654125:RNR654214 RDV654125:RDV654214 QTZ654125:QTZ654214 QKD654125:QKD654214 QAH654125:QAH654214 PQL654125:PQL654214 PGP654125:PGP654214 OWT654125:OWT654214 OMX654125:OMX654214 ODB654125:ODB654214 NTF654125:NTF654214 NJJ654125:NJJ654214 MZN654125:MZN654214 MPR654125:MPR654214 MFV654125:MFV654214 LVZ654125:LVZ654214 LMD654125:LMD654214 LCH654125:LCH654214 KSL654125:KSL654214 KIP654125:KIP654214 JYT654125:JYT654214 JOX654125:JOX654214 JFB654125:JFB654214 IVF654125:IVF654214 ILJ654125:ILJ654214 IBN654125:IBN654214 HRR654125:HRR654214 HHV654125:HHV654214 GXZ654125:GXZ654214 GOD654125:GOD654214 GEH654125:GEH654214 FUL654125:FUL654214 FKP654125:FKP654214 FAT654125:FAT654214 EQX654125:EQX654214 EHB654125:EHB654214 DXF654125:DXF654214 DNJ654125:DNJ654214 DDN654125:DDN654214 CTR654125:CTR654214 CJV654125:CJV654214 BZZ654125:BZZ654214 BQD654125:BQD654214 BGH654125:BGH654214 AWL654125:AWL654214 AMP654125:AMP654214 ACT654125:ACT654214 SX654125:SX654214 JB654125:JB654214 F654136:F654225 WVN588589:WVN588678 WLR588589:WLR588678 WBV588589:WBV588678 VRZ588589:VRZ588678 VID588589:VID588678 UYH588589:UYH588678 UOL588589:UOL588678 UEP588589:UEP588678 TUT588589:TUT588678 TKX588589:TKX588678 TBB588589:TBB588678 SRF588589:SRF588678 SHJ588589:SHJ588678 RXN588589:RXN588678 RNR588589:RNR588678 RDV588589:RDV588678 QTZ588589:QTZ588678 QKD588589:QKD588678 QAH588589:QAH588678 PQL588589:PQL588678 PGP588589:PGP588678 OWT588589:OWT588678 OMX588589:OMX588678 ODB588589:ODB588678 NTF588589:NTF588678 NJJ588589:NJJ588678 MZN588589:MZN588678 MPR588589:MPR588678 MFV588589:MFV588678 LVZ588589:LVZ588678 LMD588589:LMD588678 LCH588589:LCH588678 KSL588589:KSL588678 KIP588589:KIP588678 JYT588589:JYT588678 JOX588589:JOX588678 JFB588589:JFB588678 IVF588589:IVF588678 ILJ588589:ILJ588678 IBN588589:IBN588678 HRR588589:HRR588678 HHV588589:HHV588678 GXZ588589:GXZ588678 GOD588589:GOD588678 GEH588589:GEH588678 FUL588589:FUL588678 FKP588589:FKP588678 FAT588589:FAT588678 EQX588589:EQX588678 EHB588589:EHB588678 DXF588589:DXF588678 DNJ588589:DNJ588678 DDN588589:DDN588678 CTR588589:CTR588678 CJV588589:CJV588678 BZZ588589:BZZ588678 BQD588589:BQD588678 BGH588589:BGH588678 AWL588589:AWL588678 AMP588589:AMP588678 ACT588589:ACT588678 SX588589:SX588678 JB588589:JB588678 F588600:F588689 WVN523053:WVN523142 WLR523053:WLR523142 WBV523053:WBV523142 VRZ523053:VRZ523142 VID523053:VID523142 UYH523053:UYH523142 UOL523053:UOL523142 UEP523053:UEP523142 TUT523053:TUT523142 TKX523053:TKX523142 TBB523053:TBB523142 SRF523053:SRF523142 SHJ523053:SHJ523142 RXN523053:RXN523142 RNR523053:RNR523142 RDV523053:RDV523142 QTZ523053:QTZ523142 QKD523053:QKD523142 QAH523053:QAH523142 PQL523053:PQL523142 PGP523053:PGP523142 OWT523053:OWT523142 OMX523053:OMX523142 ODB523053:ODB523142 NTF523053:NTF523142 NJJ523053:NJJ523142 MZN523053:MZN523142 MPR523053:MPR523142 MFV523053:MFV523142 LVZ523053:LVZ523142 LMD523053:LMD523142 LCH523053:LCH523142 KSL523053:KSL523142 KIP523053:KIP523142 JYT523053:JYT523142 JOX523053:JOX523142 JFB523053:JFB523142 IVF523053:IVF523142 ILJ523053:ILJ523142 IBN523053:IBN523142 HRR523053:HRR523142 HHV523053:HHV523142 GXZ523053:GXZ523142 GOD523053:GOD523142 GEH523053:GEH523142 FUL523053:FUL523142 FKP523053:FKP523142 FAT523053:FAT523142 EQX523053:EQX523142 EHB523053:EHB523142 DXF523053:DXF523142 DNJ523053:DNJ523142 DDN523053:DDN523142 CTR523053:CTR523142 CJV523053:CJV523142 BZZ523053:BZZ523142 BQD523053:BQD523142 BGH523053:BGH523142 AWL523053:AWL523142 AMP523053:AMP523142 ACT523053:ACT523142 SX523053:SX523142 JB523053:JB523142 F523064:F523153 WVN457517:WVN457606 WLR457517:WLR457606 WBV457517:WBV457606 VRZ457517:VRZ457606 VID457517:VID457606 UYH457517:UYH457606 UOL457517:UOL457606 UEP457517:UEP457606 TUT457517:TUT457606 TKX457517:TKX457606 TBB457517:TBB457606 SRF457517:SRF457606 SHJ457517:SHJ457606 RXN457517:RXN457606 RNR457517:RNR457606 RDV457517:RDV457606 QTZ457517:QTZ457606 QKD457517:QKD457606 QAH457517:QAH457606 PQL457517:PQL457606 PGP457517:PGP457606 OWT457517:OWT457606 OMX457517:OMX457606 ODB457517:ODB457606 NTF457517:NTF457606 NJJ457517:NJJ457606 MZN457517:MZN457606 MPR457517:MPR457606 MFV457517:MFV457606 LVZ457517:LVZ457606 LMD457517:LMD457606 LCH457517:LCH457606 KSL457517:KSL457606 KIP457517:KIP457606 JYT457517:JYT457606 JOX457517:JOX457606 JFB457517:JFB457606 IVF457517:IVF457606 ILJ457517:ILJ457606 IBN457517:IBN457606 HRR457517:HRR457606 HHV457517:HHV457606 GXZ457517:GXZ457606 GOD457517:GOD457606 GEH457517:GEH457606 FUL457517:FUL457606 FKP457517:FKP457606 FAT457517:FAT457606 EQX457517:EQX457606 EHB457517:EHB457606 DXF457517:DXF457606 DNJ457517:DNJ457606 DDN457517:DDN457606 CTR457517:CTR457606 CJV457517:CJV457606 BZZ457517:BZZ457606 BQD457517:BQD457606 BGH457517:BGH457606 AWL457517:AWL457606 AMP457517:AMP457606 ACT457517:ACT457606 SX457517:SX457606 JB457517:JB457606 F457528:F457617 WVN391981:WVN392070 WLR391981:WLR392070 WBV391981:WBV392070 VRZ391981:VRZ392070 VID391981:VID392070 UYH391981:UYH392070 UOL391981:UOL392070 UEP391981:UEP392070 TUT391981:TUT392070 TKX391981:TKX392070 TBB391981:TBB392070 SRF391981:SRF392070 SHJ391981:SHJ392070 RXN391981:RXN392070 RNR391981:RNR392070 RDV391981:RDV392070 QTZ391981:QTZ392070 QKD391981:QKD392070 QAH391981:QAH392070 PQL391981:PQL392070 PGP391981:PGP392070 OWT391981:OWT392070 OMX391981:OMX392070 ODB391981:ODB392070 NTF391981:NTF392070 NJJ391981:NJJ392070 MZN391981:MZN392070 MPR391981:MPR392070 MFV391981:MFV392070 LVZ391981:LVZ392070 LMD391981:LMD392070 LCH391981:LCH392070 KSL391981:KSL392070 KIP391981:KIP392070 JYT391981:JYT392070 JOX391981:JOX392070 JFB391981:JFB392070 IVF391981:IVF392070 ILJ391981:ILJ392070 IBN391981:IBN392070 HRR391981:HRR392070 HHV391981:HHV392070 GXZ391981:GXZ392070 GOD391981:GOD392070 GEH391981:GEH392070 FUL391981:FUL392070 FKP391981:FKP392070 FAT391981:FAT392070 EQX391981:EQX392070 EHB391981:EHB392070 DXF391981:DXF392070 DNJ391981:DNJ392070 DDN391981:DDN392070 CTR391981:CTR392070 CJV391981:CJV392070 BZZ391981:BZZ392070 BQD391981:BQD392070 BGH391981:BGH392070 AWL391981:AWL392070 AMP391981:AMP392070 ACT391981:ACT392070 SX391981:SX392070 JB391981:JB392070 F391992:F392081 WVN326445:WVN326534 WLR326445:WLR326534 WBV326445:WBV326534 VRZ326445:VRZ326534 VID326445:VID326534 UYH326445:UYH326534 UOL326445:UOL326534 UEP326445:UEP326534 TUT326445:TUT326534 TKX326445:TKX326534 TBB326445:TBB326534 SRF326445:SRF326534 SHJ326445:SHJ326534 RXN326445:RXN326534 RNR326445:RNR326534 RDV326445:RDV326534 QTZ326445:QTZ326534 QKD326445:QKD326534 QAH326445:QAH326534 PQL326445:PQL326534 PGP326445:PGP326534 OWT326445:OWT326534 OMX326445:OMX326534 ODB326445:ODB326534 NTF326445:NTF326534 NJJ326445:NJJ326534 MZN326445:MZN326534 MPR326445:MPR326534 MFV326445:MFV326534 LVZ326445:LVZ326534 LMD326445:LMD326534 LCH326445:LCH326534 KSL326445:KSL326534 KIP326445:KIP326534 JYT326445:JYT326534 JOX326445:JOX326534 JFB326445:JFB326534 IVF326445:IVF326534 ILJ326445:ILJ326534 IBN326445:IBN326534 HRR326445:HRR326534 HHV326445:HHV326534 GXZ326445:GXZ326534 GOD326445:GOD326534 GEH326445:GEH326534 FUL326445:FUL326534 FKP326445:FKP326534 FAT326445:FAT326534 EQX326445:EQX326534 EHB326445:EHB326534 DXF326445:DXF326534 DNJ326445:DNJ326534 DDN326445:DDN326534 CTR326445:CTR326534 CJV326445:CJV326534 BZZ326445:BZZ326534 BQD326445:BQD326534 BGH326445:BGH326534 AWL326445:AWL326534 AMP326445:AMP326534 ACT326445:ACT326534 SX326445:SX326534 JB326445:JB326534 F326456:F326545 WVN260909:WVN260998 WLR260909:WLR260998 WBV260909:WBV260998 VRZ260909:VRZ260998 VID260909:VID260998 UYH260909:UYH260998 UOL260909:UOL260998 UEP260909:UEP260998 TUT260909:TUT260998 TKX260909:TKX260998 TBB260909:TBB260998 SRF260909:SRF260998 SHJ260909:SHJ260998 RXN260909:RXN260998 RNR260909:RNR260998 RDV260909:RDV260998 QTZ260909:QTZ260998 QKD260909:QKD260998 QAH260909:QAH260998 PQL260909:PQL260998 PGP260909:PGP260998 OWT260909:OWT260998 OMX260909:OMX260998 ODB260909:ODB260998 NTF260909:NTF260998 NJJ260909:NJJ260998 MZN260909:MZN260998 MPR260909:MPR260998 MFV260909:MFV260998 LVZ260909:LVZ260998 LMD260909:LMD260998 LCH260909:LCH260998 KSL260909:KSL260998 KIP260909:KIP260998 JYT260909:JYT260998 JOX260909:JOX260998 JFB260909:JFB260998 IVF260909:IVF260998 ILJ260909:ILJ260998 IBN260909:IBN260998 HRR260909:HRR260998 HHV260909:HHV260998 GXZ260909:GXZ260998 GOD260909:GOD260998 GEH260909:GEH260998 FUL260909:FUL260998 FKP260909:FKP260998 FAT260909:FAT260998 EQX260909:EQX260998 EHB260909:EHB260998 DXF260909:DXF260998 DNJ260909:DNJ260998 DDN260909:DDN260998 CTR260909:CTR260998 CJV260909:CJV260998 BZZ260909:BZZ260998 BQD260909:BQD260998 BGH260909:BGH260998 AWL260909:AWL260998 AMP260909:AMP260998 ACT260909:ACT260998 SX260909:SX260998 JB260909:JB260998 F260920:F261009 WVN195373:WVN195462 WLR195373:WLR195462 WBV195373:WBV195462 VRZ195373:VRZ195462 VID195373:VID195462 UYH195373:UYH195462 UOL195373:UOL195462 UEP195373:UEP195462 TUT195373:TUT195462 TKX195373:TKX195462 TBB195373:TBB195462 SRF195373:SRF195462 SHJ195373:SHJ195462 RXN195373:RXN195462 RNR195373:RNR195462 RDV195373:RDV195462 QTZ195373:QTZ195462 QKD195373:QKD195462 QAH195373:QAH195462 PQL195373:PQL195462 PGP195373:PGP195462 OWT195373:OWT195462 OMX195373:OMX195462 ODB195373:ODB195462 NTF195373:NTF195462 NJJ195373:NJJ195462 MZN195373:MZN195462 MPR195373:MPR195462 MFV195373:MFV195462 LVZ195373:LVZ195462 LMD195373:LMD195462 LCH195373:LCH195462 KSL195373:KSL195462 KIP195373:KIP195462 JYT195373:JYT195462 JOX195373:JOX195462 JFB195373:JFB195462 IVF195373:IVF195462 ILJ195373:ILJ195462 IBN195373:IBN195462 HRR195373:HRR195462 HHV195373:HHV195462 GXZ195373:GXZ195462 GOD195373:GOD195462 GEH195373:GEH195462 FUL195373:FUL195462 FKP195373:FKP195462 FAT195373:FAT195462 EQX195373:EQX195462 EHB195373:EHB195462 DXF195373:DXF195462 DNJ195373:DNJ195462 DDN195373:DDN195462 CTR195373:CTR195462 CJV195373:CJV195462 BZZ195373:BZZ195462 BQD195373:BQD195462 BGH195373:BGH195462 AWL195373:AWL195462 AMP195373:AMP195462 ACT195373:ACT195462 SX195373:SX195462 JB195373:JB195462 F195384:F195473 WVN129837:WVN129926 WLR129837:WLR129926 WBV129837:WBV129926 VRZ129837:VRZ129926 VID129837:VID129926 UYH129837:UYH129926 UOL129837:UOL129926 UEP129837:UEP129926 TUT129837:TUT129926 TKX129837:TKX129926 TBB129837:TBB129926 SRF129837:SRF129926 SHJ129837:SHJ129926 RXN129837:RXN129926 RNR129837:RNR129926 RDV129837:RDV129926 QTZ129837:QTZ129926 QKD129837:QKD129926 QAH129837:QAH129926 PQL129837:PQL129926 PGP129837:PGP129926 OWT129837:OWT129926 OMX129837:OMX129926 ODB129837:ODB129926 NTF129837:NTF129926 NJJ129837:NJJ129926 MZN129837:MZN129926 MPR129837:MPR129926 MFV129837:MFV129926 LVZ129837:LVZ129926 LMD129837:LMD129926 LCH129837:LCH129926 KSL129837:KSL129926 KIP129837:KIP129926 JYT129837:JYT129926 JOX129837:JOX129926 JFB129837:JFB129926 IVF129837:IVF129926 ILJ129837:ILJ129926 IBN129837:IBN129926 HRR129837:HRR129926 HHV129837:HHV129926 GXZ129837:GXZ129926 GOD129837:GOD129926 GEH129837:GEH129926 FUL129837:FUL129926 FKP129837:FKP129926 FAT129837:FAT129926 EQX129837:EQX129926 EHB129837:EHB129926 DXF129837:DXF129926 DNJ129837:DNJ129926 DDN129837:DDN129926 CTR129837:CTR129926 CJV129837:CJV129926 BZZ129837:BZZ129926 BQD129837:BQD129926 BGH129837:BGH129926 AWL129837:AWL129926 AMP129837:AMP129926 ACT129837:ACT129926 SX129837:SX129926 JB129837:JB129926 F129848:F129937 WVN64301:WVN64390 WLR64301:WLR64390 WBV64301:WBV64390 VRZ64301:VRZ64390 VID64301:VID64390 UYH64301:UYH64390 UOL64301:UOL64390 UEP64301:UEP64390 TUT64301:TUT64390 TKX64301:TKX64390 TBB64301:TBB64390 SRF64301:SRF64390 SHJ64301:SHJ64390 RXN64301:RXN64390 RNR64301:RNR64390 RDV64301:RDV64390 QTZ64301:QTZ64390 QKD64301:QKD64390 QAH64301:QAH64390 PQL64301:PQL64390 PGP64301:PGP64390 OWT64301:OWT64390 OMX64301:OMX64390 ODB64301:ODB64390 NTF64301:NTF64390 NJJ64301:NJJ64390 MZN64301:MZN64390 MPR64301:MPR64390 MFV64301:MFV64390 LVZ64301:LVZ64390 LMD64301:LMD64390 LCH64301:LCH64390 KSL64301:KSL64390 KIP64301:KIP64390 JYT64301:JYT64390 JOX64301:JOX64390 JFB64301:JFB64390 IVF64301:IVF64390 ILJ64301:ILJ64390 IBN64301:IBN64390 HRR64301:HRR64390 HHV64301:HHV64390 GXZ64301:GXZ64390 GOD64301:GOD64390 GEH64301:GEH64390 FUL64301:FUL64390 FKP64301:FKP64390 FAT64301:FAT64390 EQX64301:EQX64390 EHB64301:EHB64390 DXF64301:DXF64390 DNJ64301:DNJ64390 DDN64301:DDN64390 CTR64301:CTR64390 CJV64301:CJV64390 BZZ64301:BZZ64390 BQD64301:BQD64390 BGH64301:BGH64390 AWL64301:AWL64390 AMP64301:AMP64390 ACT64301:ACT64390 SX64301:SX64390 JB64301:JB64390 F64312:F64401 JB2:JB73 SX2:SX73 ACT2:ACT73 AMP2:AMP73 AWL2:AWL73 BGH2:BGH73 BQD2:BQD73 BZZ2:BZZ73 CJV2:CJV73 CTR2:CTR73 DDN2:DDN73 DNJ2:DNJ73 DXF2:DXF73 EHB2:EHB73 EQX2:EQX73 FAT2:FAT73 FKP2:FKP73 FUL2:FUL73 GEH2:GEH73 GOD2:GOD73 GXZ2:GXZ73 HHV2:HHV73 HRR2:HRR73 IBN2:IBN73 ILJ2:ILJ73 IVF2:IVF73 JFB2:JFB73 JOX2:JOX73 JYT2:JYT73 KIP2:KIP73 KSL2:KSL73 LCH2:LCH73 LMD2:LMD73 LVZ2:LVZ73 MFV2:MFV73 MPR2:MPR73 MZN2:MZN73 NJJ2:NJJ73 NTF2:NTF73 ODB2:ODB73 OMX2:OMX73 OWT2:OWT73 PGP2:PGP73 PQL2:PQL73 QAH2:QAH73 QKD2:QKD73 QTZ2:QTZ73 RDV2:RDV73 RNR2:RNR73 RXN2:RXN73 SHJ2:SHJ73 SRF2:SRF73 TBB2:TBB73 TKX2:TKX73 TUT2:TUT73 UEP2:UEP73 UOL2:UOL73 UYH2:UYH73 VID2:VID73 VRZ2:VRZ73 WBV2:WBV73 WLR2:WLR73 WVN2:WVN73" xr:uid="{6D2E3893-8A7F-49F8-BC6A-547926F82F00}">
      <formula1>$AH$2:$AH$13</formula1>
    </dataValidation>
    <dataValidation type="list" allowBlank="1" showInputMessage="1" showErrorMessage="1" sqref="WVM981805:WVM981894 WLQ981805:WLQ981894 WBU981805:WBU981894 VRY981805:VRY981894 VIC981805:VIC981894 UYG981805:UYG981894 UOK981805:UOK981894 UEO981805:UEO981894 TUS981805:TUS981894 TKW981805:TKW981894 TBA981805:TBA981894 SRE981805:SRE981894 SHI981805:SHI981894 RXM981805:RXM981894 RNQ981805:RNQ981894 RDU981805:RDU981894 QTY981805:QTY981894 QKC981805:QKC981894 QAG981805:QAG981894 PQK981805:PQK981894 PGO981805:PGO981894 OWS981805:OWS981894 OMW981805:OMW981894 ODA981805:ODA981894 NTE981805:NTE981894 NJI981805:NJI981894 MZM981805:MZM981894 MPQ981805:MPQ981894 MFU981805:MFU981894 LVY981805:LVY981894 LMC981805:LMC981894 LCG981805:LCG981894 KSK981805:KSK981894 KIO981805:KIO981894 JYS981805:JYS981894 JOW981805:JOW981894 JFA981805:JFA981894 IVE981805:IVE981894 ILI981805:ILI981894 IBM981805:IBM981894 HRQ981805:HRQ981894 HHU981805:HHU981894 GXY981805:GXY981894 GOC981805:GOC981894 GEG981805:GEG981894 FUK981805:FUK981894 FKO981805:FKO981894 FAS981805:FAS981894 EQW981805:EQW981894 EHA981805:EHA981894 DXE981805:DXE981894 DNI981805:DNI981894 DDM981805:DDM981894 CTQ981805:CTQ981894 CJU981805:CJU981894 BZY981805:BZY981894 BQC981805:BQC981894 BGG981805:BGG981894 AWK981805:AWK981894 AMO981805:AMO981894 ACS981805:ACS981894 SW981805:SW981894 JA981805:JA981894 E981816:E981905 WVM916269:WVM916358 WLQ916269:WLQ916358 WBU916269:WBU916358 VRY916269:VRY916358 VIC916269:VIC916358 UYG916269:UYG916358 UOK916269:UOK916358 UEO916269:UEO916358 TUS916269:TUS916358 TKW916269:TKW916358 TBA916269:TBA916358 SRE916269:SRE916358 SHI916269:SHI916358 RXM916269:RXM916358 RNQ916269:RNQ916358 RDU916269:RDU916358 QTY916269:QTY916358 QKC916269:QKC916358 QAG916269:QAG916358 PQK916269:PQK916358 PGO916269:PGO916358 OWS916269:OWS916358 OMW916269:OMW916358 ODA916269:ODA916358 NTE916269:NTE916358 NJI916269:NJI916358 MZM916269:MZM916358 MPQ916269:MPQ916358 MFU916269:MFU916358 LVY916269:LVY916358 LMC916269:LMC916358 LCG916269:LCG916358 KSK916269:KSK916358 KIO916269:KIO916358 JYS916269:JYS916358 JOW916269:JOW916358 JFA916269:JFA916358 IVE916269:IVE916358 ILI916269:ILI916358 IBM916269:IBM916358 HRQ916269:HRQ916358 HHU916269:HHU916358 GXY916269:GXY916358 GOC916269:GOC916358 GEG916269:GEG916358 FUK916269:FUK916358 FKO916269:FKO916358 FAS916269:FAS916358 EQW916269:EQW916358 EHA916269:EHA916358 DXE916269:DXE916358 DNI916269:DNI916358 DDM916269:DDM916358 CTQ916269:CTQ916358 CJU916269:CJU916358 BZY916269:BZY916358 BQC916269:BQC916358 BGG916269:BGG916358 AWK916269:AWK916358 AMO916269:AMO916358 ACS916269:ACS916358 SW916269:SW916358 JA916269:JA916358 E916280:E916369 WVM850733:WVM850822 WLQ850733:WLQ850822 WBU850733:WBU850822 VRY850733:VRY850822 VIC850733:VIC850822 UYG850733:UYG850822 UOK850733:UOK850822 UEO850733:UEO850822 TUS850733:TUS850822 TKW850733:TKW850822 TBA850733:TBA850822 SRE850733:SRE850822 SHI850733:SHI850822 RXM850733:RXM850822 RNQ850733:RNQ850822 RDU850733:RDU850822 QTY850733:QTY850822 QKC850733:QKC850822 QAG850733:QAG850822 PQK850733:PQK850822 PGO850733:PGO850822 OWS850733:OWS850822 OMW850733:OMW850822 ODA850733:ODA850822 NTE850733:NTE850822 NJI850733:NJI850822 MZM850733:MZM850822 MPQ850733:MPQ850822 MFU850733:MFU850822 LVY850733:LVY850822 LMC850733:LMC850822 LCG850733:LCG850822 KSK850733:KSK850822 KIO850733:KIO850822 JYS850733:JYS850822 JOW850733:JOW850822 JFA850733:JFA850822 IVE850733:IVE850822 ILI850733:ILI850822 IBM850733:IBM850822 HRQ850733:HRQ850822 HHU850733:HHU850822 GXY850733:GXY850822 GOC850733:GOC850822 GEG850733:GEG850822 FUK850733:FUK850822 FKO850733:FKO850822 FAS850733:FAS850822 EQW850733:EQW850822 EHA850733:EHA850822 DXE850733:DXE850822 DNI850733:DNI850822 DDM850733:DDM850822 CTQ850733:CTQ850822 CJU850733:CJU850822 BZY850733:BZY850822 BQC850733:BQC850822 BGG850733:BGG850822 AWK850733:AWK850822 AMO850733:AMO850822 ACS850733:ACS850822 SW850733:SW850822 JA850733:JA850822 E850744:E850833 WVM785197:WVM785286 WLQ785197:WLQ785286 WBU785197:WBU785286 VRY785197:VRY785286 VIC785197:VIC785286 UYG785197:UYG785286 UOK785197:UOK785286 UEO785197:UEO785286 TUS785197:TUS785286 TKW785197:TKW785286 TBA785197:TBA785286 SRE785197:SRE785286 SHI785197:SHI785286 RXM785197:RXM785286 RNQ785197:RNQ785286 RDU785197:RDU785286 QTY785197:QTY785286 QKC785197:QKC785286 QAG785197:QAG785286 PQK785197:PQK785286 PGO785197:PGO785286 OWS785197:OWS785286 OMW785197:OMW785286 ODA785197:ODA785286 NTE785197:NTE785286 NJI785197:NJI785286 MZM785197:MZM785286 MPQ785197:MPQ785286 MFU785197:MFU785286 LVY785197:LVY785286 LMC785197:LMC785286 LCG785197:LCG785286 KSK785197:KSK785286 KIO785197:KIO785286 JYS785197:JYS785286 JOW785197:JOW785286 JFA785197:JFA785286 IVE785197:IVE785286 ILI785197:ILI785286 IBM785197:IBM785286 HRQ785197:HRQ785286 HHU785197:HHU785286 GXY785197:GXY785286 GOC785197:GOC785286 GEG785197:GEG785286 FUK785197:FUK785286 FKO785197:FKO785286 FAS785197:FAS785286 EQW785197:EQW785286 EHA785197:EHA785286 DXE785197:DXE785286 DNI785197:DNI785286 DDM785197:DDM785286 CTQ785197:CTQ785286 CJU785197:CJU785286 BZY785197:BZY785286 BQC785197:BQC785286 BGG785197:BGG785286 AWK785197:AWK785286 AMO785197:AMO785286 ACS785197:ACS785286 SW785197:SW785286 JA785197:JA785286 E785208:E785297 WVM719661:WVM719750 WLQ719661:WLQ719750 WBU719661:WBU719750 VRY719661:VRY719750 VIC719661:VIC719750 UYG719661:UYG719750 UOK719661:UOK719750 UEO719661:UEO719750 TUS719661:TUS719750 TKW719661:TKW719750 TBA719661:TBA719750 SRE719661:SRE719750 SHI719661:SHI719750 RXM719661:RXM719750 RNQ719661:RNQ719750 RDU719661:RDU719750 QTY719661:QTY719750 QKC719661:QKC719750 QAG719661:QAG719750 PQK719661:PQK719750 PGO719661:PGO719750 OWS719661:OWS719750 OMW719661:OMW719750 ODA719661:ODA719750 NTE719661:NTE719750 NJI719661:NJI719750 MZM719661:MZM719750 MPQ719661:MPQ719750 MFU719661:MFU719750 LVY719661:LVY719750 LMC719661:LMC719750 LCG719661:LCG719750 KSK719661:KSK719750 KIO719661:KIO719750 JYS719661:JYS719750 JOW719661:JOW719750 JFA719661:JFA719750 IVE719661:IVE719750 ILI719661:ILI719750 IBM719661:IBM719750 HRQ719661:HRQ719750 HHU719661:HHU719750 GXY719661:GXY719750 GOC719661:GOC719750 GEG719661:GEG719750 FUK719661:FUK719750 FKO719661:FKO719750 FAS719661:FAS719750 EQW719661:EQW719750 EHA719661:EHA719750 DXE719661:DXE719750 DNI719661:DNI719750 DDM719661:DDM719750 CTQ719661:CTQ719750 CJU719661:CJU719750 BZY719661:BZY719750 BQC719661:BQC719750 BGG719661:BGG719750 AWK719661:AWK719750 AMO719661:AMO719750 ACS719661:ACS719750 SW719661:SW719750 JA719661:JA719750 E719672:E719761 WVM654125:WVM654214 WLQ654125:WLQ654214 WBU654125:WBU654214 VRY654125:VRY654214 VIC654125:VIC654214 UYG654125:UYG654214 UOK654125:UOK654214 UEO654125:UEO654214 TUS654125:TUS654214 TKW654125:TKW654214 TBA654125:TBA654214 SRE654125:SRE654214 SHI654125:SHI654214 RXM654125:RXM654214 RNQ654125:RNQ654214 RDU654125:RDU654214 QTY654125:QTY654214 QKC654125:QKC654214 QAG654125:QAG654214 PQK654125:PQK654214 PGO654125:PGO654214 OWS654125:OWS654214 OMW654125:OMW654214 ODA654125:ODA654214 NTE654125:NTE654214 NJI654125:NJI654214 MZM654125:MZM654214 MPQ654125:MPQ654214 MFU654125:MFU654214 LVY654125:LVY654214 LMC654125:LMC654214 LCG654125:LCG654214 KSK654125:KSK654214 KIO654125:KIO654214 JYS654125:JYS654214 JOW654125:JOW654214 JFA654125:JFA654214 IVE654125:IVE654214 ILI654125:ILI654214 IBM654125:IBM654214 HRQ654125:HRQ654214 HHU654125:HHU654214 GXY654125:GXY654214 GOC654125:GOC654214 GEG654125:GEG654214 FUK654125:FUK654214 FKO654125:FKO654214 FAS654125:FAS654214 EQW654125:EQW654214 EHA654125:EHA654214 DXE654125:DXE654214 DNI654125:DNI654214 DDM654125:DDM654214 CTQ654125:CTQ654214 CJU654125:CJU654214 BZY654125:BZY654214 BQC654125:BQC654214 BGG654125:BGG654214 AWK654125:AWK654214 AMO654125:AMO654214 ACS654125:ACS654214 SW654125:SW654214 JA654125:JA654214 E654136:E654225 WVM588589:WVM588678 WLQ588589:WLQ588678 WBU588589:WBU588678 VRY588589:VRY588678 VIC588589:VIC588678 UYG588589:UYG588678 UOK588589:UOK588678 UEO588589:UEO588678 TUS588589:TUS588678 TKW588589:TKW588678 TBA588589:TBA588678 SRE588589:SRE588678 SHI588589:SHI588678 RXM588589:RXM588678 RNQ588589:RNQ588678 RDU588589:RDU588678 QTY588589:QTY588678 QKC588589:QKC588678 QAG588589:QAG588678 PQK588589:PQK588678 PGO588589:PGO588678 OWS588589:OWS588678 OMW588589:OMW588678 ODA588589:ODA588678 NTE588589:NTE588678 NJI588589:NJI588678 MZM588589:MZM588678 MPQ588589:MPQ588678 MFU588589:MFU588678 LVY588589:LVY588678 LMC588589:LMC588678 LCG588589:LCG588678 KSK588589:KSK588678 KIO588589:KIO588678 JYS588589:JYS588678 JOW588589:JOW588678 JFA588589:JFA588678 IVE588589:IVE588678 ILI588589:ILI588678 IBM588589:IBM588678 HRQ588589:HRQ588678 HHU588589:HHU588678 GXY588589:GXY588678 GOC588589:GOC588678 GEG588589:GEG588678 FUK588589:FUK588678 FKO588589:FKO588678 FAS588589:FAS588678 EQW588589:EQW588678 EHA588589:EHA588678 DXE588589:DXE588678 DNI588589:DNI588678 DDM588589:DDM588678 CTQ588589:CTQ588678 CJU588589:CJU588678 BZY588589:BZY588678 BQC588589:BQC588678 BGG588589:BGG588678 AWK588589:AWK588678 AMO588589:AMO588678 ACS588589:ACS588678 SW588589:SW588678 JA588589:JA588678 E588600:E588689 WVM523053:WVM523142 WLQ523053:WLQ523142 WBU523053:WBU523142 VRY523053:VRY523142 VIC523053:VIC523142 UYG523053:UYG523142 UOK523053:UOK523142 UEO523053:UEO523142 TUS523053:TUS523142 TKW523053:TKW523142 TBA523053:TBA523142 SRE523053:SRE523142 SHI523053:SHI523142 RXM523053:RXM523142 RNQ523053:RNQ523142 RDU523053:RDU523142 QTY523053:QTY523142 QKC523053:QKC523142 QAG523053:QAG523142 PQK523053:PQK523142 PGO523053:PGO523142 OWS523053:OWS523142 OMW523053:OMW523142 ODA523053:ODA523142 NTE523053:NTE523142 NJI523053:NJI523142 MZM523053:MZM523142 MPQ523053:MPQ523142 MFU523053:MFU523142 LVY523053:LVY523142 LMC523053:LMC523142 LCG523053:LCG523142 KSK523053:KSK523142 KIO523053:KIO523142 JYS523053:JYS523142 JOW523053:JOW523142 JFA523053:JFA523142 IVE523053:IVE523142 ILI523053:ILI523142 IBM523053:IBM523142 HRQ523053:HRQ523142 HHU523053:HHU523142 GXY523053:GXY523142 GOC523053:GOC523142 GEG523053:GEG523142 FUK523053:FUK523142 FKO523053:FKO523142 FAS523053:FAS523142 EQW523053:EQW523142 EHA523053:EHA523142 DXE523053:DXE523142 DNI523053:DNI523142 DDM523053:DDM523142 CTQ523053:CTQ523142 CJU523053:CJU523142 BZY523053:BZY523142 BQC523053:BQC523142 BGG523053:BGG523142 AWK523053:AWK523142 AMO523053:AMO523142 ACS523053:ACS523142 SW523053:SW523142 JA523053:JA523142 E523064:E523153 WVM457517:WVM457606 WLQ457517:WLQ457606 WBU457517:WBU457606 VRY457517:VRY457606 VIC457517:VIC457606 UYG457517:UYG457606 UOK457517:UOK457606 UEO457517:UEO457606 TUS457517:TUS457606 TKW457517:TKW457606 TBA457517:TBA457606 SRE457517:SRE457606 SHI457517:SHI457606 RXM457517:RXM457606 RNQ457517:RNQ457606 RDU457517:RDU457606 QTY457517:QTY457606 QKC457517:QKC457606 QAG457517:QAG457606 PQK457517:PQK457606 PGO457517:PGO457606 OWS457517:OWS457606 OMW457517:OMW457606 ODA457517:ODA457606 NTE457517:NTE457606 NJI457517:NJI457606 MZM457517:MZM457606 MPQ457517:MPQ457606 MFU457517:MFU457606 LVY457517:LVY457606 LMC457517:LMC457606 LCG457517:LCG457606 KSK457517:KSK457606 KIO457517:KIO457606 JYS457517:JYS457606 JOW457517:JOW457606 JFA457517:JFA457606 IVE457517:IVE457606 ILI457517:ILI457606 IBM457517:IBM457606 HRQ457517:HRQ457606 HHU457517:HHU457606 GXY457517:GXY457606 GOC457517:GOC457606 GEG457517:GEG457606 FUK457517:FUK457606 FKO457517:FKO457606 FAS457517:FAS457606 EQW457517:EQW457606 EHA457517:EHA457606 DXE457517:DXE457606 DNI457517:DNI457606 DDM457517:DDM457606 CTQ457517:CTQ457606 CJU457517:CJU457606 BZY457517:BZY457606 BQC457517:BQC457606 BGG457517:BGG457606 AWK457517:AWK457606 AMO457517:AMO457606 ACS457517:ACS457606 SW457517:SW457606 JA457517:JA457606 E457528:E457617 WVM391981:WVM392070 WLQ391981:WLQ392070 WBU391981:WBU392070 VRY391981:VRY392070 VIC391981:VIC392070 UYG391981:UYG392070 UOK391981:UOK392070 UEO391981:UEO392070 TUS391981:TUS392070 TKW391981:TKW392070 TBA391981:TBA392070 SRE391981:SRE392070 SHI391981:SHI392070 RXM391981:RXM392070 RNQ391981:RNQ392070 RDU391981:RDU392070 QTY391981:QTY392070 QKC391981:QKC392070 QAG391981:QAG392070 PQK391981:PQK392070 PGO391981:PGO392070 OWS391981:OWS392070 OMW391981:OMW392070 ODA391981:ODA392070 NTE391981:NTE392070 NJI391981:NJI392070 MZM391981:MZM392070 MPQ391981:MPQ392070 MFU391981:MFU392070 LVY391981:LVY392070 LMC391981:LMC392070 LCG391981:LCG392070 KSK391981:KSK392070 KIO391981:KIO392070 JYS391981:JYS392070 JOW391981:JOW392070 JFA391981:JFA392070 IVE391981:IVE392070 ILI391981:ILI392070 IBM391981:IBM392070 HRQ391981:HRQ392070 HHU391981:HHU392070 GXY391981:GXY392070 GOC391981:GOC392070 GEG391981:GEG392070 FUK391981:FUK392070 FKO391981:FKO392070 FAS391981:FAS392070 EQW391981:EQW392070 EHA391981:EHA392070 DXE391981:DXE392070 DNI391981:DNI392070 DDM391981:DDM392070 CTQ391981:CTQ392070 CJU391981:CJU392070 BZY391981:BZY392070 BQC391981:BQC392070 BGG391981:BGG392070 AWK391981:AWK392070 AMO391981:AMO392070 ACS391981:ACS392070 SW391981:SW392070 JA391981:JA392070 E391992:E392081 WVM326445:WVM326534 WLQ326445:WLQ326534 WBU326445:WBU326534 VRY326445:VRY326534 VIC326445:VIC326534 UYG326445:UYG326534 UOK326445:UOK326534 UEO326445:UEO326534 TUS326445:TUS326534 TKW326445:TKW326534 TBA326445:TBA326534 SRE326445:SRE326534 SHI326445:SHI326534 RXM326445:RXM326534 RNQ326445:RNQ326534 RDU326445:RDU326534 QTY326445:QTY326534 QKC326445:QKC326534 QAG326445:QAG326534 PQK326445:PQK326534 PGO326445:PGO326534 OWS326445:OWS326534 OMW326445:OMW326534 ODA326445:ODA326534 NTE326445:NTE326534 NJI326445:NJI326534 MZM326445:MZM326534 MPQ326445:MPQ326534 MFU326445:MFU326534 LVY326445:LVY326534 LMC326445:LMC326534 LCG326445:LCG326534 KSK326445:KSK326534 KIO326445:KIO326534 JYS326445:JYS326534 JOW326445:JOW326534 JFA326445:JFA326534 IVE326445:IVE326534 ILI326445:ILI326534 IBM326445:IBM326534 HRQ326445:HRQ326534 HHU326445:HHU326534 GXY326445:GXY326534 GOC326445:GOC326534 GEG326445:GEG326534 FUK326445:FUK326534 FKO326445:FKO326534 FAS326445:FAS326534 EQW326445:EQW326534 EHA326445:EHA326534 DXE326445:DXE326534 DNI326445:DNI326534 DDM326445:DDM326534 CTQ326445:CTQ326534 CJU326445:CJU326534 BZY326445:BZY326534 BQC326445:BQC326534 BGG326445:BGG326534 AWK326445:AWK326534 AMO326445:AMO326534 ACS326445:ACS326534 SW326445:SW326534 JA326445:JA326534 E326456:E326545 WVM260909:WVM260998 WLQ260909:WLQ260998 WBU260909:WBU260998 VRY260909:VRY260998 VIC260909:VIC260998 UYG260909:UYG260998 UOK260909:UOK260998 UEO260909:UEO260998 TUS260909:TUS260998 TKW260909:TKW260998 TBA260909:TBA260998 SRE260909:SRE260998 SHI260909:SHI260998 RXM260909:RXM260998 RNQ260909:RNQ260998 RDU260909:RDU260998 QTY260909:QTY260998 QKC260909:QKC260998 QAG260909:QAG260998 PQK260909:PQK260998 PGO260909:PGO260998 OWS260909:OWS260998 OMW260909:OMW260998 ODA260909:ODA260998 NTE260909:NTE260998 NJI260909:NJI260998 MZM260909:MZM260998 MPQ260909:MPQ260998 MFU260909:MFU260998 LVY260909:LVY260998 LMC260909:LMC260998 LCG260909:LCG260998 KSK260909:KSK260998 KIO260909:KIO260998 JYS260909:JYS260998 JOW260909:JOW260998 JFA260909:JFA260998 IVE260909:IVE260998 ILI260909:ILI260998 IBM260909:IBM260998 HRQ260909:HRQ260998 HHU260909:HHU260998 GXY260909:GXY260998 GOC260909:GOC260998 GEG260909:GEG260998 FUK260909:FUK260998 FKO260909:FKO260998 FAS260909:FAS260998 EQW260909:EQW260998 EHA260909:EHA260998 DXE260909:DXE260998 DNI260909:DNI260998 DDM260909:DDM260998 CTQ260909:CTQ260998 CJU260909:CJU260998 BZY260909:BZY260998 BQC260909:BQC260998 BGG260909:BGG260998 AWK260909:AWK260998 AMO260909:AMO260998 ACS260909:ACS260998 SW260909:SW260998 JA260909:JA260998 E260920:E261009 WVM195373:WVM195462 WLQ195373:WLQ195462 WBU195373:WBU195462 VRY195373:VRY195462 VIC195373:VIC195462 UYG195373:UYG195462 UOK195373:UOK195462 UEO195373:UEO195462 TUS195373:TUS195462 TKW195373:TKW195462 TBA195373:TBA195462 SRE195373:SRE195462 SHI195373:SHI195462 RXM195373:RXM195462 RNQ195373:RNQ195462 RDU195373:RDU195462 QTY195373:QTY195462 QKC195373:QKC195462 QAG195373:QAG195462 PQK195373:PQK195462 PGO195373:PGO195462 OWS195373:OWS195462 OMW195373:OMW195462 ODA195373:ODA195462 NTE195373:NTE195462 NJI195373:NJI195462 MZM195373:MZM195462 MPQ195373:MPQ195462 MFU195373:MFU195462 LVY195373:LVY195462 LMC195373:LMC195462 LCG195373:LCG195462 KSK195373:KSK195462 KIO195373:KIO195462 JYS195373:JYS195462 JOW195373:JOW195462 JFA195373:JFA195462 IVE195373:IVE195462 ILI195373:ILI195462 IBM195373:IBM195462 HRQ195373:HRQ195462 HHU195373:HHU195462 GXY195373:GXY195462 GOC195373:GOC195462 GEG195373:GEG195462 FUK195373:FUK195462 FKO195373:FKO195462 FAS195373:FAS195462 EQW195373:EQW195462 EHA195373:EHA195462 DXE195373:DXE195462 DNI195373:DNI195462 DDM195373:DDM195462 CTQ195373:CTQ195462 CJU195373:CJU195462 BZY195373:BZY195462 BQC195373:BQC195462 BGG195373:BGG195462 AWK195373:AWK195462 AMO195373:AMO195462 ACS195373:ACS195462 SW195373:SW195462 JA195373:JA195462 E195384:E195473 WVM129837:WVM129926 WLQ129837:WLQ129926 WBU129837:WBU129926 VRY129837:VRY129926 VIC129837:VIC129926 UYG129837:UYG129926 UOK129837:UOK129926 UEO129837:UEO129926 TUS129837:TUS129926 TKW129837:TKW129926 TBA129837:TBA129926 SRE129837:SRE129926 SHI129837:SHI129926 RXM129837:RXM129926 RNQ129837:RNQ129926 RDU129837:RDU129926 QTY129837:QTY129926 QKC129837:QKC129926 QAG129837:QAG129926 PQK129837:PQK129926 PGO129837:PGO129926 OWS129837:OWS129926 OMW129837:OMW129926 ODA129837:ODA129926 NTE129837:NTE129926 NJI129837:NJI129926 MZM129837:MZM129926 MPQ129837:MPQ129926 MFU129837:MFU129926 LVY129837:LVY129926 LMC129837:LMC129926 LCG129837:LCG129926 KSK129837:KSK129926 KIO129837:KIO129926 JYS129837:JYS129926 JOW129837:JOW129926 JFA129837:JFA129926 IVE129837:IVE129926 ILI129837:ILI129926 IBM129837:IBM129926 HRQ129837:HRQ129926 HHU129837:HHU129926 GXY129837:GXY129926 GOC129837:GOC129926 GEG129837:GEG129926 FUK129837:FUK129926 FKO129837:FKO129926 FAS129837:FAS129926 EQW129837:EQW129926 EHA129837:EHA129926 DXE129837:DXE129926 DNI129837:DNI129926 DDM129837:DDM129926 CTQ129837:CTQ129926 CJU129837:CJU129926 BZY129837:BZY129926 BQC129837:BQC129926 BGG129837:BGG129926 AWK129837:AWK129926 AMO129837:AMO129926 ACS129837:ACS129926 SW129837:SW129926 JA129837:JA129926 E129848:E129937 WVM64301:WVM64390 WLQ64301:WLQ64390 WBU64301:WBU64390 VRY64301:VRY64390 VIC64301:VIC64390 UYG64301:UYG64390 UOK64301:UOK64390 UEO64301:UEO64390 TUS64301:TUS64390 TKW64301:TKW64390 TBA64301:TBA64390 SRE64301:SRE64390 SHI64301:SHI64390 RXM64301:RXM64390 RNQ64301:RNQ64390 RDU64301:RDU64390 QTY64301:QTY64390 QKC64301:QKC64390 QAG64301:QAG64390 PQK64301:PQK64390 PGO64301:PGO64390 OWS64301:OWS64390 OMW64301:OMW64390 ODA64301:ODA64390 NTE64301:NTE64390 NJI64301:NJI64390 MZM64301:MZM64390 MPQ64301:MPQ64390 MFU64301:MFU64390 LVY64301:LVY64390 LMC64301:LMC64390 LCG64301:LCG64390 KSK64301:KSK64390 KIO64301:KIO64390 JYS64301:JYS64390 JOW64301:JOW64390 JFA64301:JFA64390 IVE64301:IVE64390 ILI64301:ILI64390 IBM64301:IBM64390 HRQ64301:HRQ64390 HHU64301:HHU64390 GXY64301:GXY64390 GOC64301:GOC64390 GEG64301:GEG64390 FUK64301:FUK64390 FKO64301:FKO64390 FAS64301:FAS64390 EQW64301:EQW64390 EHA64301:EHA64390 DXE64301:DXE64390 DNI64301:DNI64390 DDM64301:DDM64390 CTQ64301:CTQ64390 CJU64301:CJU64390 BZY64301:BZY64390 BQC64301:BQC64390 BGG64301:BGG64390 AWK64301:AWK64390 AMO64301:AMO64390 ACS64301:ACS64390 SW64301:SW64390 JA64301:JA64390 E64312:E64401 JA2:JA73 SW2:SW73 ACS2:ACS73 AMO2:AMO73 AWK2:AWK73 BGG2:BGG73 BQC2:BQC73 BZY2:BZY73 CJU2:CJU73 CTQ2:CTQ73 DDM2:DDM73 DNI2:DNI73 DXE2:DXE73 EHA2:EHA73 EQW2:EQW73 FAS2:FAS73 FKO2:FKO73 FUK2:FUK73 GEG2:GEG73 GOC2:GOC73 GXY2:GXY73 HHU2:HHU73 HRQ2:HRQ73 IBM2:IBM73 ILI2:ILI73 IVE2:IVE73 JFA2:JFA73 JOW2:JOW73 JYS2:JYS73 KIO2:KIO73 KSK2:KSK73 LCG2:LCG73 LMC2:LMC73 LVY2:LVY73 MFU2:MFU73 MPQ2:MPQ73 MZM2:MZM73 NJI2:NJI73 NTE2:NTE73 ODA2:ODA73 OMW2:OMW73 OWS2:OWS73 PGO2:PGO73 PQK2:PQK73 QAG2:QAG73 QKC2:QKC73 QTY2:QTY73 RDU2:RDU73 RNQ2:RNQ73 RXM2:RXM73 SHI2:SHI73 SRE2:SRE73 TBA2:TBA73 TKW2:TKW73 TUS2:TUS73 UEO2:UEO73 UOK2:UOK73 UYG2:UYG73 VIC2:VIC73 VRY2:VRY73 WBU2:WBU73 WLQ2:WLQ73 WVM2:WVM73" xr:uid="{D3ACEED1-F051-440F-A676-9E846BB2593E}">
      <formula1>$AG$2:$AG$13</formula1>
    </dataValidation>
    <dataValidation type="list" allowBlank="1" showInputMessage="1" showErrorMessage="1" sqref="WWF981805:WWF981888 WMJ981805:WMJ981888 WCN981805:WCN981888 VSR981805:VSR981888 VIV981805:VIV981888 UYZ981805:UYZ981888 UPD981805:UPD981888 UFH981805:UFH981888 TVL981805:TVL981888 TLP981805:TLP981888 TBT981805:TBT981888 SRX981805:SRX981888 SIB981805:SIB981888 RYF981805:RYF981888 ROJ981805:ROJ981888 REN981805:REN981888 QUR981805:QUR981888 QKV981805:QKV981888 QAZ981805:QAZ981888 PRD981805:PRD981888 PHH981805:PHH981888 OXL981805:OXL981888 ONP981805:ONP981888 ODT981805:ODT981888 NTX981805:NTX981888 NKB981805:NKB981888 NAF981805:NAF981888 MQJ981805:MQJ981888 MGN981805:MGN981888 LWR981805:LWR981888 LMV981805:LMV981888 LCZ981805:LCZ981888 KTD981805:KTD981888 KJH981805:KJH981888 JZL981805:JZL981888 JPP981805:JPP981888 JFT981805:JFT981888 IVX981805:IVX981888 IMB981805:IMB981888 ICF981805:ICF981888 HSJ981805:HSJ981888 HIN981805:HIN981888 GYR981805:GYR981888 GOV981805:GOV981888 GEZ981805:GEZ981888 FVD981805:FVD981888 FLH981805:FLH981888 FBL981805:FBL981888 ERP981805:ERP981888 EHT981805:EHT981888 DXX981805:DXX981888 DOB981805:DOB981888 DEF981805:DEF981888 CUJ981805:CUJ981888 CKN981805:CKN981888 CAR981805:CAR981888 BQV981805:BQV981888 BGZ981805:BGZ981888 AXD981805:AXD981888 ANH981805:ANH981888 ADL981805:ADL981888 TP981805:TP981888 JT981805:JT981888 X981805:X981888 WWF916269:WWF916352 WMJ916269:WMJ916352 WCN916269:WCN916352 VSR916269:VSR916352 VIV916269:VIV916352 UYZ916269:UYZ916352 UPD916269:UPD916352 UFH916269:UFH916352 TVL916269:TVL916352 TLP916269:TLP916352 TBT916269:TBT916352 SRX916269:SRX916352 SIB916269:SIB916352 RYF916269:RYF916352 ROJ916269:ROJ916352 REN916269:REN916352 QUR916269:QUR916352 QKV916269:QKV916352 QAZ916269:QAZ916352 PRD916269:PRD916352 PHH916269:PHH916352 OXL916269:OXL916352 ONP916269:ONP916352 ODT916269:ODT916352 NTX916269:NTX916352 NKB916269:NKB916352 NAF916269:NAF916352 MQJ916269:MQJ916352 MGN916269:MGN916352 LWR916269:LWR916352 LMV916269:LMV916352 LCZ916269:LCZ916352 KTD916269:KTD916352 KJH916269:KJH916352 JZL916269:JZL916352 JPP916269:JPP916352 JFT916269:JFT916352 IVX916269:IVX916352 IMB916269:IMB916352 ICF916269:ICF916352 HSJ916269:HSJ916352 HIN916269:HIN916352 GYR916269:GYR916352 GOV916269:GOV916352 GEZ916269:GEZ916352 FVD916269:FVD916352 FLH916269:FLH916352 FBL916269:FBL916352 ERP916269:ERP916352 EHT916269:EHT916352 DXX916269:DXX916352 DOB916269:DOB916352 DEF916269:DEF916352 CUJ916269:CUJ916352 CKN916269:CKN916352 CAR916269:CAR916352 BQV916269:BQV916352 BGZ916269:BGZ916352 AXD916269:AXD916352 ANH916269:ANH916352 ADL916269:ADL916352 TP916269:TP916352 JT916269:JT916352 X916269:X916352 WWF850733:WWF850816 WMJ850733:WMJ850816 WCN850733:WCN850816 VSR850733:VSR850816 VIV850733:VIV850816 UYZ850733:UYZ850816 UPD850733:UPD850816 UFH850733:UFH850816 TVL850733:TVL850816 TLP850733:TLP850816 TBT850733:TBT850816 SRX850733:SRX850816 SIB850733:SIB850816 RYF850733:RYF850816 ROJ850733:ROJ850816 REN850733:REN850816 QUR850733:QUR850816 QKV850733:QKV850816 QAZ850733:QAZ850816 PRD850733:PRD850816 PHH850733:PHH850816 OXL850733:OXL850816 ONP850733:ONP850816 ODT850733:ODT850816 NTX850733:NTX850816 NKB850733:NKB850816 NAF850733:NAF850816 MQJ850733:MQJ850816 MGN850733:MGN850816 LWR850733:LWR850816 LMV850733:LMV850816 LCZ850733:LCZ850816 KTD850733:KTD850816 KJH850733:KJH850816 JZL850733:JZL850816 JPP850733:JPP850816 JFT850733:JFT850816 IVX850733:IVX850816 IMB850733:IMB850816 ICF850733:ICF850816 HSJ850733:HSJ850816 HIN850733:HIN850816 GYR850733:GYR850816 GOV850733:GOV850816 GEZ850733:GEZ850816 FVD850733:FVD850816 FLH850733:FLH850816 FBL850733:FBL850816 ERP850733:ERP850816 EHT850733:EHT850816 DXX850733:DXX850816 DOB850733:DOB850816 DEF850733:DEF850816 CUJ850733:CUJ850816 CKN850733:CKN850816 CAR850733:CAR850816 BQV850733:BQV850816 BGZ850733:BGZ850816 AXD850733:AXD850816 ANH850733:ANH850816 ADL850733:ADL850816 TP850733:TP850816 JT850733:JT850816 X850733:X850816 WWF785197:WWF785280 WMJ785197:WMJ785280 WCN785197:WCN785280 VSR785197:VSR785280 VIV785197:VIV785280 UYZ785197:UYZ785280 UPD785197:UPD785280 UFH785197:UFH785280 TVL785197:TVL785280 TLP785197:TLP785280 TBT785197:TBT785280 SRX785197:SRX785280 SIB785197:SIB785280 RYF785197:RYF785280 ROJ785197:ROJ785280 REN785197:REN785280 QUR785197:QUR785280 QKV785197:QKV785280 QAZ785197:QAZ785280 PRD785197:PRD785280 PHH785197:PHH785280 OXL785197:OXL785280 ONP785197:ONP785280 ODT785197:ODT785280 NTX785197:NTX785280 NKB785197:NKB785280 NAF785197:NAF785280 MQJ785197:MQJ785280 MGN785197:MGN785280 LWR785197:LWR785280 LMV785197:LMV785280 LCZ785197:LCZ785280 KTD785197:KTD785280 KJH785197:KJH785280 JZL785197:JZL785280 JPP785197:JPP785280 JFT785197:JFT785280 IVX785197:IVX785280 IMB785197:IMB785280 ICF785197:ICF785280 HSJ785197:HSJ785280 HIN785197:HIN785280 GYR785197:GYR785280 GOV785197:GOV785280 GEZ785197:GEZ785280 FVD785197:FVD785280 FLH785197:FLH785280 FBL785197:FBL785280 ERP785197:ERP785280 EHT785197:EHT785280 DXX785197:DXX785280 DOB785197:DOB785280 DEF785197:DEF785280 CUJ785197:CUJ785280 CKN785197:CKN785280 CAR785197:CAR785280 BQV785197:BQV785280 BGZ785197:BGZ785280 AXD785197:AXD785280 ANH785197:ANH785280 ADL785197:ADL785280 TP785197:TP785280 JT785197:JT785280 X785197:X785280 WWF719661:WWF719744 WMJ719661:WMJ719744 WCN719661:WCN719744 VSR719661:VSR719744 VIV719661:VIV719744 UYZ719661:UYZ719744 UPD719661:UPD719744 UFH719661:UFH719744 TVL719661:TVL719744 TLP719661:TLP719744 TBT719661:TBT719744 SRX719661:SRX719744 SIB719661:SIB719744 RYF719661:RYF719744 ROJ719661:ROJ719744 REN719661:REN719744 QUR719661:QUR719744 QKV719661:QKV719744 QAZ719661:QAZ719744 PRD719661:PRD719744 PHH719661:PHH719744 OXL719661:OXL719744 ONP719661:ONP719744 ODT719661:ODT719744 NTX719661:NTX719744 NKB719661:NKB719744 NAF719661:NAF719744 MQJ719661:MQJ719744 MGN719661:MGN719744 LWR719661:LWR719744 LMV719661:LMV719744 LCZ719661:LCZ719744 KTD719661:KTD719744 KJH719661:KJH719744 JZL719661:JZL719744 JPP719661:JPP719744 JFT719661:JFT719744 IVX719661:IVX719744 IMB719661:IMB719744 ICF719661:ICF719744 HSJ719661:HSJ719744 HIN719661:HIN719744 GYR719661:GYR719744 GOV719661:GOV719744 GEZ719661:GEZ719744 FVD719661:FVD719744 FLH719661:FLH719744 FBL719661:FBL719744 ERP719661:ERP719744 EHT719661:EHT719744 DXX719661:DXX719744 DOB719661:DOB719744 DEF719661:DEF719744 CUJ719661:CUJ719744 CKN719661:CKN719744 CAR719661:CAR719744 BQV719661:BQV719744 BGZ719661:BGZ719744 AXD719661:AXD719744 ANH719661:ANH719744 ADL719661:ADL719744 TP719661:TP719744 JT719661:JT719744 X719661:X719744 WWF654125:WWF654208 WMJ654125:WMJ654208 WCN654125:WCN654208 VSR654125:VSR654208 VIV654125:VIV654208 UYZ654125:UYZ654208 UPD654125:UPD654208 UFH654125:UFH654208 TVL654125:TVL654208 TLP654125:TLP654208 TBT654125:TBT654208 SRX654125:SRX654208 SIB654125:SIB654208 RYF654125:RYF654208 ROJ654125:ROJ654208 REN654125:REN654208 QUR654125:QUR654208 QKV654125:QKV654208 QAZ654125:QAZ654208 PRD654125:PRD654208 PHH654125:PHH654208 OXL654125:OXL654208 ONP654125:ONP654208 ODT654125:ODT654208 NTX654125:NTX654208 NKB654125:NKB654208 NAF654125:NAF654208 MQJ654125:MQJ654208 MGN654125:MGN654208 LWR654125:LWR654208 LMV654125:LMV654208 LCZ654125:LCZ654208 KTD654125:KTD654208 KJH654125:KJH654208 JZL654125:JZL654208 JPP654125:JPP654208 JFT654125:JFT654208 IVX654125:IVX654208 IMB654125:IMB654208 ICF654125:ICF654208 HSJ654125:HSJ654208 HIN654125:HIN654208 GYR654125:GYR654208 GOV654125:GOV654208 GEZ654125:GEZ654208 FVD654125:FVD654208 FLH654125:FLH654208 FBL654125:FBL654208 ERP654125:ERP654208 EHT654125:EHT654208 DXX654125:DXX654208 DOB654125:DOB654208 DEF654125:DEF654208 CUJ654125:CUJ654208 CKN654125:CKN654208 CAR654125:CAR654208 BQV654125:BQV654208 BGZ654125:BGZ654208 AXD654125:AXD654208 ANH654125:ANH654208 ADL654125:ADL654208 TP654125:TP654208 JT654125:JT654208 X654125:X654208 WWF588589:WWF588672 WMJ588589:WMJ588672 WCN588589:WCN588672 VSR588589:VSR588672 VIV588589:VIV588672 UYZ588589:UYZ588672 UPD588589:UPD588672 UFH588589:UFH588672 TVL588589:TVL588672 TLP588589:TLP588672 TBT588589:TBT588672 SRX588589:SRX588672 SIB588589:SIB588672 RYF588589:RYF588672 ROJ588589:ROJ588672 REN588589:REN588672 QUR588589:QUR588672 QKV588589:QKV588672 QAZ588589:QAZ588672 PRD588589:PRD588672 PHH588589:PHH588672 OXL588589:OXL588672 ONP588589:ONP588672 ODT588589:ODT588672 NTX588589:NTX588672 NKB588589:NKB588672 NAF588589:NAF588672 MQJ588589:MQJ588672 MGN588589:MGN588672 LWR588589:LWR588672 LMV588589:LMV588672 LCZ588589:LCZ588672 KTD588589:KTD588672 KJH588589:KJH588672 JZL588589:JZL588672 JPP588589:JPP588672 JFT588589:JFT588672 IVX588589:IVX588672 IMB588589:IMB588672 ICF588589:ICF588672 HSJ588589:HSJ588672 HIN588589:HIN588672 GYR588589:GYR588672 GOV588589:GOV588672 GEZ588589:GEZ588672 FVD588589:FVD588672 FLH588589:FLH588672 FBL588589:FBL588672 ERP588589:ERP588672 EHT588589:EHT588672 DXX588589:DXX588672 DOB588589:DOB588672 DEF588589:DEF588672 CUJ588589:CUJ588672 CKN588589:CKN588672 CAR588589:CAR588672 BQV588589:BQV588672 BGZ588589:BGZ588672 AXD588589:AXD588672 ANH588589:ANH588672 ADL588589:ADL588672 TP588589:TP588672 JT588589:JT588672 X588589:X588672 WWF523053:WWF523136 WMJ523053:WMJ523136 WCN523053:WCN523136 VSR523053:VSR523136 VIV523053:VIV523136 UYZ523053:UYZ523136 UPD523053:UPD523136 UFH523053:UFH523136 TVL523053:TVL523136 TLP523053:TLP523136 TBT523053:TBT523136 SRX523053:SRX523136 SIB523053:SIB523136 RYF523053:RYF523136 ROJ523053:ROJ523136 REN523053:REN523136 QUR523053:QUR523136 QKV523053:QKV523136 QAZ523053:QAZ523136 PRD523053:PRD523136 PHH523053:PHH523136 OXL523053:OXL523136 ONP523053:ONP523136 ODT523053:ODT523136 NTX523053:NTX523136 NKB523053:NKB523136 NAF523053:NAF523136 MQJ523053:MQJ523136 MGN523053:MGN523136 LWR523053:LWR523136 LMV523053:LMV523136 LCZ523053:LCZ523136 KTD523053:KTD523136 KJH523053:KJH523136 JZL523053:JZL523136 JPP523053:JPP523136 JFT523053:JFT523136 IVX523053:IVX523136 IMB523053:IMB523136 ICF523053:ICF523136 HSJ523053:HSJ523136 HIN523053:HIN523136 GYR523053:GYR523136 GOV523053:GOV523136 GEZ523053:GEZ523136 FVD523053:FVD523136 FLH523053:FLH523136 FBL523053:FBL523136 ERP523053:ERP523136 EHT523053:EHT523136 DXX523053:DXX523136 DOB523053:DOB523136 DEF523053:DEF523136 CUJ523053:CUJ523136 CKN523053:CKN523136 CAR523053:CAR523136 BQV523053:BQV523136 BGZ523053:BGZ523136 AXD523053:AXD523136 ANH523053:ANH523136 ADL523053:ADL523136 TP523053:TP523136 JT523053:JT523136 X523053:X523136 WWF457517:WWF457600 WMJ457517:WMJ457600 WCN457517:WCN457600 VSR457517:VSR457600 VIV457517:VIV457600 UYZ457517:UYZ457600 UPD457517:UPD457600 UFH457517:UFH457600 TVL457517:TVL457600 TLP457517:TLP457600 TBT457517:TBT457600 SRX457517:SRX457600 SIB457517:SIB457600 RYF457517:RYF457600 ROJ457517:ROJ457600 REN457517:REN457600 QUR457517:QUR457600 QKV457517:QKV457600 QAZ457517:QAZ457600 PRD457517:PRD457600 PHH457517:PHH457600 OXL457517:OXL457600 ONP457517:ONP457600 ODT457517:ODT457600 NTX457517:NTX457600 NKB457517:NKB457600 NAF457517:NAF457600 MQJ457517:MQJ457600 MGN457517:MGN457600 LWR457517:LWR457600 LMV457517:LMV457600 LCZ457517:LCZ457600 KTD457517:KTD457600 KJH457517:KJH457600 JZL457517:JZL457600 JPP457517:JPP457600 JFT457517:JFT457600 IVX457517:IVX457600 IMB457517:IMB457600 ICF457517:ICF457600 HSJ457517:HSJ457600 HIN457517:HIN457600 GYR457517:GYR457600 GOV457517:GOV457600 GEZ457517:GEZ457600 FVD457517:FVD457600 FLH457517:FLH457600 FBL457517:FBL457600 ERP457517:ERP457600 EHT457517:EHT457600 DXX457517:DXX457600 DOB457517:DOB457600 DEF457517:DEF457600 CUJ457517:CUJ457600 CKN457517:CKN457600 CAR457517:CAR457600 BQV457517:BQV457600 BGZ457517:BGZ457600 AXD457517:AXD457600 ANH457517:ANH457600 ADL457517:ADL457600 TP457517:TP457600 JT457517:JT457600 X457517:X457600 WWF391981:WWF392064 WMJ391981:WMJ392064 WCN391981:WCN392064 VSR391981:VSR392064 VIV391981:VIV392064 UYZ391981:UYZ392064 UPD391981:UPD392064 UFH391981:UFH392064 TVL391981:TVL392064 TLP391981:TLP392064 TBT391981:TBT392064 SRX391981:SRX392064 SIB391981:SIB392064 RYF391981:RYF392064 ROJ391981:ROJ392064 REN391981:REN392064 QUR391981:QUR392064 QKV391981:QKV392064 QAZ391981:QAZ392064 PRD391981:PRD392064 PHH391981:PHH392064 OXL391981:OXL392064 ONP391981:ONP392064 ODT391981:ODT392064 NTX391981:NTX392064 NKB391981:NKB392064 NAF391981:NAF392064 MQJ391981:MQJ392064 MGN391981:MGN392064 LWR391981:LWR392064 LMV391981:LMV392064 LCZ391981:LCZ392064 KTD391981:KTD392064 KJH391981:KJH392064 JZL391981:JZL392064 JPP391981:JPP392064 JFT391981:JFT392064 IVX391981:IVX392064 IMB391981:IMB392064 ICF391981:ICF392064 HSJ391981:HSJ392064 HIN391981:HIN392064 GYR391981:GYR392064 GOV391981:GOV392064 GEZ391981:GEZ392064 FVD391981:FVD392064 FLH391981:FLH392064 FBL391981:FBL392064 ERP391981:ERP392064 EHT391981:EHT392064 DXX391981:DXX392064 DOB391981:DOB392064 DEF391981:DEF392064 CUJ391981:CUJ392064 CKN391981:CKN392064 CAR391981:CAR392064 BQV391981:BQV392064 BGZ391981:BGZ392064 AXD391981:AXD392064 ANH391981:ANH392064 ADL391981:ADL392064 TP391981:TP392064 JT391981:JT392064 X391981:X392064 WWF326445:WWF326528 WMJ326445:WMJ326528 WCN326445:WCN326528 VSR326445:VSR326528 VIV326445:VIV326528 UYZ326445:UYZ326528 UPD326445:UPD326528 UFH326445:UFH326528 TVL326445:TVL326528 TLP326445:TLP326528 TBT326445:TBT326528 SRX326445:SRX326528 SIB326445:SIB326528 RYF326445:RYF326528 ROJ326445:ROJ326528 REN326445:REN326528 QUR326445:QUR326528 QKV326445:QKV326528 QAZ326445:QAZ326528 PRD326445:PRD326528 PHH326445:PHH326528 OXL326445:OXL326528 ONP326445:ONP326528 ODT326445:ODT326528 NTX326445:NTX326528 NKB326445:NKB326528 NAF326445:NAF326528 MQJ326445:MQJ326528 MGN326445:MGN326528 LWR326445:LWR326528 LMV326445:LMV326528 LCZ326445:LCZ326528 KTD326445:KTD326528 KJH326445:KJH326528 JZL326445:JZL326528 JPP326445:JPP326528 JFT326445:JFT326528 IVX326445:IVX326528 IMB326445:IMB326528 ICF326445:ICF326528 HSJ326445:HSJ326528 HIN326445:HIN326528 GYR326445:GYR326528 GOV326445:GOV326528 GEZ326445:GEZ326528 FVD326445:FVD326528 FLH326445:FLH326528 FBL326445:FBL326528 ERP326445:ERP326528 EHT326445:EHT326528 DXX326445:DXX326528 DOB326445:DOB326528 DEF326445:DEF326528 CUJ326445:CUJ326528 CKN326445:CKN326528 CAR326445:CAR326528 BQV326445:BQV326528 BGZ326445:BGZ326528 AXD326445:AXD326528 ANH326445:ANH326528 ADL326445:ADL326528 TP326445:TP326528 JT326445:JT326528 X326445:X326528 WWF260909:WWF260992 WMJ260909:WMJ260992 WCN260909:WCN260992 VSR260909:VSR260992 VIV260909:VIV260992 UYZ260909:UYZ260992 UPD260909:UPD260992 UFH260909:UFH260992 TVL260909:TVL260992 TLP260909:TLP260992 TBT260909:TBT260992 SRX260909:SRX260992 SIB260909:SIB260992 RYF260909:RYF260992 ROJ260909:ROJ260992 REN260909:REN260992 QUR260909:QUR260992 QKV260909:QKV260992 QAZ260909:QAZ260992 PRD260909:PRD260992 PHH260909:PHH260992 OXL260909:OXL260992 ONP260909:ONP260992 ODT260909:ODT260992 NTX260909:NTX260992 NKB260909:NKB260992 NAF260909:NAF260992 MQJ260909:MQJ260992 MGN260909:MGN260992 LWR260909:LWR260992 LMV260909:LMV260992 LCZ260909:LCZ260992 KTD260909:KTD260992 KJH260909:KJH260992 JZL260909:JZL260992 JPP260909:JPP260992 JFT260909:JFT260992 IVX260909:IVX260992 IMB260909:IMB260992 ICF260909:ICF260992 HSJ260909:HSJ260992 HIN260909:HIN260992 GYR260909:GYR260992 GOV260909:GOV260992 GEZ260909:GEZ260992 FVD260909:FVD260992 FLH260909:FLH260992 FBL260909:FBL260992 ERP260909:ERP260992 EHT260909:EHT260992 DXX260909:DXX260992 DOB260909:DOB260992 DEF260909:DEF260992 CUJ260909:CUJ260992 CKN260909:CKN260992 CAR260909:CAR260992 BQV260909:BQV260992 BGZ260909:BGZ260992 AXD260909:AXD260992 ANH260909:ANH260992 ADL260909:ADL260992 TP260909:TP260992 JT260909:JT260992 X260909:X260992 WWF195373:WWF195456 WMJ195373:WMJ195456 WCN195373:WCN195456 VSR195373:VSR195456 VIV195373:VIV195456 UYZ195373:UYZ195456 UPD195373:UPD195456 UFH195373:UFH195456 TVL195373:TVL195456 TLP195373:TLP195456 TBT195373:TBT195456 SRX195373:SRX195456 SIB195373:SIB195456 RYF195373:RYF195456 ROJ195373:ROJ195456 REN195373:REN195456 QUR195373:QUR195456 QKV195373:QKV195456 QAZ195373:QAZ195456 PRD195373:PRD195456 PHH195373:PHH195456 OXL195373:OXL195456 ONP195373:ONP195456 ODT195373:ODT195456 NTX195373:NTX195456 NKB195373:NKB195456 NAF195373:NAF195456 MQJ195373:MQJ195456 MGN195373:MGN195456 LWR195373:LWR195456 LMV195373:LMV195456 LCZ195373:LCZ195456 KTD195373:KTD195456 KJH195373:KJH195456 JZL195373:JZL195456 JPP195373:JPP195456 JFT195373:JFT195456 IVX195373:IVX195456 IMB195373:IMB195456 ICF195373:ICF195456 HSJ195373:HSJ195456 HIN195373:HIN195456 GYR195373:GYR195456 GOV195373:GOV195456 GEZ195373:GEZ195456 FVD195373:FVD195456 FLH195373:FLH195456 FBL195373:FBL195456 ERP195373:ERP195456 EHT195373:EHT195456 DXX195373:DXX195456 DOB195373:DOB195456 DEF195373:DEF195456 CUJ195373:CUJ195456 CKN195373:CKN195456 CAR195373:CAR195456 BQV195373:BQV195456 BGZ195373:BGZ195456 AXD195373:AXD195456 ANH195373:ANH195456 ADL195373:ADL195456 TP195373:TP195456 JT195373:JT195456 X195373:X195456 WWF129837:WWF129920 WMJ129837:WMJ129920 WCN129837:WCN129920 VSR129837:VSR129920 VIV129837:VIV129920 UYZ129837:UYZ129920 UPD129837:UPD129920 UFH129837:UFH129920 TVL129837:TVL129920 TLP129837:TLP129920 TBT129837:TBT129920 SRX129837:SRX129920 SIB129837:SIB129920 RYF129837:RYF129920 ROJ129837:ROJ129920 REN129837:REN129920 QUR129837:QUR129920 QKV129837:QKV129920 QAZ129837:QAZ129920 PRD129837:PRD129920 PHH129837:PHH129920 OXL129837:OXL129920 ONP129837:ONP129920 ODT129837:ODT129920 NTX129837:NTX129920 NKB129837:NKB129920 NAF129837:NAF129920 MQJ129837:MQJ129920 MGN129837:MGN129920 LWR129837:LWR129920 LMV129837:LMV129920 LCZ129837:LCZ129920 KTD129837:KTD129920 KJH129837:KJH129920 JZL129837:JZL129920 JPP129837:JPP129920 JFT129837:JFT129920 IVX129837:IVX129920 IMB129837:IMB129920 ICF129837:ICF129920 HSJ129837:HSJ129920 HIN129837:HIN129920 GYR129837:GYR129920 GOV129837:GOV129920 GEZ129837:GEZ129920 FVD129837:FVD129920 FLH129837:FLH129920 FBL129837:FBL129920 ERP129837:ERP129920 EHT129837:EHT129920 DXX129837:DXX129920 DOB129837:DOB129920 DEF129837:DEF129920 CUJ129837:CUJ129920 CKN129837:CKN129920 CAR129837:CAR129920 BQV129837:BQV129920 BGZ129837:BGZ129920 AXD129837:AXD129920 ANH129837:ANH129920 ADL129837:ADL129920 TP129837:TP129920 JT129837:JT129920 X129837:X129920 WWF64301:WWF64384 WMJ64301:WMJ64384 WCN64301:WCN64384 VSR64301:VSR64384 VIV64301:VIV64384 UYZ64301:UYZ64384 UPD64301:UPD64384 UFH64301:UFH64384 TVL64301:TVL64384 TLP64301:TLP64384 TBT64301:TBT64384 SRX64301:SRX64384 SIB64301:SIB64384 RYF64301:RYF64384 ROJ64301:ROJ64384 REN64301:REN64384 QUR64301:QUR64384 QKV64301:QKV64384 QAZ64301:QAZ64384 PRD64301:PRD64384 PHH64301:PHH64384 OXL64301:OXL64384 ONP64301:ONP64384 ODT64301:ODT64384 NTX64301:NTX64384 NKB64301:NKB64384 NAF64301:NAF64384 MQJ64301:MQJ64384 MGN64301:MGN64384 LWR64301:LWR64384 LMV64301:LMV64384 LCZ64301:LCZ64384 KTD64301:KTD64384 KJH64301:KJH64384 JZL64301:JZL64384 JPP64301:JPP64384 JFT64301:JFT64384 IVX64301:IVX64384 IMB64301:IMB64384 ICF64301:ICF64384 HSJ64301:HSJ64384 HIN64301:HIN64384 GYR64301:GYR64384 GOV64301:GOV64384 GEZ64301:GEZ64384 FVD64301:FVD64384 FLH64301:FLH64384 FBL64301:FBL64384 ERP64301:ERP64384 EHT64301:EHT64384 DXX64301:DXX64384 DOB64301:DOB64384 DEF64301:DEF64384 CUJ64301:CUJ64384 CKN64301:CKN64384 CAR64301:CAR64384 BQV64301:BQV64384 BGZ64301:BGZ64384 AXD64301:AXD64384 ANH64301:ANH64384 ADL64301:ADL64384 TP64301:TP64384 JT64301:JT64384 X64301:X64384 X96:X500 X2:X94 TP2:TP73 ADL2:ADL73 ANH2:ANH73 AXD2:AXD73 BGZ2:BGZ73 BQV2:BQV73 CAR2:CAR73 CKN2:CKN73 CUJ2:CUJ73 DEF2:DEF73 DOB2:DOB73 DXX2:DXX73 EHT2:EHT73 ERP2:ERP73 FBL2:FBL73 FLH2:FLH73 FVD2:FVD73 GEZ2:GEZ73 GOV2:GOV73 GYR2:GYR73 HIN2:HIN73 HSJ2:HSJ73 ICF2:ICF73 IMB2:IMB73 IVX2:IVX73 JFT2:JFT73 JPP2:JPP73 JZL2:JZL73 KJH2:KJH73 KTD2:KTD73 LCZ2:LCZ73 LMV2:LMV73 LWR2:LWR73 MGN2:MGN73 MQJ2:MQJ73 NAF2:NAF73 NKB2:NKB73 NTX2:NTX73 ODT2:ODT73 ONP2:ONP73 OXL2:OXL73 PHH2:PHH73 PRD2:PRD73 QAZ2:QAZ73 QKV2:QKV73 QUR2:QUR73 REN2:REN73 ROJ2:ROJ73 RYF2:RYF73 SIB2:SIB73 SRX2:SRX73 TBT2:TBT73 TLP2:TLP73 TVL2:TVL73 UFH2:UFH73 UPD2:UPD73 UYZ2:UYZ73 VIV2:VIV73 VSR2:VSR73 WCN2:WCN73 WMJ2:WMJ73 WWF2:WWF73 JT2:JT73" xr:uid="{3D895C3F-9C15-4501-8191-B96C713D7002}">
      <formula1>$AT$2:$AT$3</formula1>
    </dataValidation>
    <dataValidation operator="equal" allowBlank="1" showInputMessage="1" showErrorMessage="1" sqref="WVJ981805:WVJ981894 WLN981805:WLN981894 WBR981805:WBR981894 VRV981805:VRV981894 VHZ981805:VHZ981894 UYD981805:UYD981894 UOH981805:UOH981894 UEL981805:UEL981894 TUP981805:TUP981894 TKT981805:TKT981894 TAX981805:TAX981894 SRB981805:SRB981894 SHF981805:SHF981894 RXJ981805:RXJ981894 RNN981805:RNN981894 RDR981805:RDR981894 QTV981805:QTV981894 QJZ981805:QJZ981894 QAD981805:QAD981894 PQH981805:PQH981894 PGL981805:PGL981894 OWP981805:OWP981894 OMT981805:OMT981894 OCX981805:OCX981894 NTB981805:NTB981894 NJF981805:NJF981894 MZJ981805:MZJ981894 MPN981805:MPN981894 MFR981805:MFR981894 LVV981805:LVV981894 LLZ981805:LLZ981894 LCD981805:LCD981894 KSH981805:KSH981894 KIL981805:KIL981894 JYP981805:JYP981894 JOT981805:JOT981894 JEX981805:JEX981894 IVB981805:IVB981894 ILF981805:ILF981894 IBJ981805:IBJ981894 HRN981805:HRN981894 HHR981805:HHR981894 GXV981805:GXV981894 GNZ981805:GNZ981894 GED981805:GED981894 FUH981805:FUH981894 FKL981805:FKL981894 FAP981805:FAP981894 EQT981805:EQT981894 EGX981805:EGX981894 DXB981805:DXB981894 DNF981805:DNF981894 DDJ981805:DDJ981894 CTN981805:CTN981894 CJR981805:CJR981894 BZV981805:BZV981894 BPZ981805:BPZ981894 BGD981805:BGD981894 AWH981805:AWH981894 AML981805:AML981894 ACP981805:ACP981894 ST981805:ST981894 IX981805:IX981894 B981811:B981900 WVJ916269:WVJ916358 WLN916269:WLN916358 WBR916269:WBR916358 VRV916269:VRV916358 VHZ916269:VHZ916358 UYD916269:UYD916358 UOH916269:UOH916358 UEL916269:UEL916358 TUP916269:TUP916358 TKT916269:TKT916358 TAX916269:TAX916358 SRB916269:SRB916358 SHF916269:SHF916358 RXJ916269:RXJ916358 RNN916269:RNN916358 RDR916269:RDR916358 QTV916269:QTV916358 QJZ916269:QJZ916358 QAD916269:QAD916358 PQH916269:PQH916358 PGL916269:PGL916358 OWP916269:OWP916358 OMT916269:OMT916358 OCX916269:OCX916358 NTB916269:NTB916358 NJF916269:NJF916358 MZJ916269:MZJ916358 MPN916269:MPN916358 MFR916269:MFR916358 LVV916269:LVV916358 LLZ916269:LLZ916358 LCD916269:LCD916358 KSH916269:KSH916358 KIL916269:KIL916358 JYP916269:JYP916358 JOT916269:JOT916358 JEX916269:JEX916358 IVB916269:IVB916358 ILF916269:ILF916358 IBJ916269:IBJ916358 HRN916269:HRN916358 HHR916269:HHR916358 GXV916269:GXV916358 GNZ916269:GNZ916358 GED916269:GED916358 FUH916269:FUH916358 FKL916269:FKL916358 FAP916269:FAP916358 EQT916269:EQT916358 EGX916269:EGX916358 DXB916269:DXB916358 DNF916269:DNF916358 DDJ916269:DDJ916358 CTN916269:CTN916358 CJR916269:CJR916358 BZV916269:BZV916358 BPZ916269:BPZ916358 BGD916269:BGD916358 AWH916269:AWH916358 AML916269:AML916358 ACP916269:ACP916358 ST916269:ST916358 IX916269:IX916358 B916275:B916364 WVJ850733:WVJ850822 WLN850733:WLN850822 WBR850733:WBR850822 VRV850733:VRV850822 VHZ850733:VHZ850822 UYD850733:UYD850822 UOH850733:UOH850822 UEL850733:UEL850822 TUP850733:TUP850822 TKT850733:TKT850822 TAX850733:TAX850822 SRB850733:SRB850822 SHF850733:SHF850822 RXJ850733:RXJ850822 RNN850733:RNN850822 RDR850733:RDR850822 QTV850733:QTV850822 QJZ850733:QJZ850822 QAD850733:QAD850822 PQH850733:PQH850822 PGL850733:PGL850822 OWP850733:OWP850822 OMT850733:OMT850822 OCX850733:OCX850822 NTB850733:NTB850822 NJF850733:NJF850822 MZJ850733:MZJ850822 MPN850733:MPN850822 MFR850733:MFR850822 LVV850733:LVV850822 LLZ850733:LLZ850822 LCD850733:LCD850822 KSH850733:KSH850822 KIL850733:KIL850822 JYP850733:JYP850822 JOT850733:JOT850822 JEX850733:JEX850822 IVB850733:IVB850822 ILF850733:ILF850822 IBJ850733:IBJ850822 HRN850733:HRN850822 HHR850733:HHR850822 GXV850733:GXV850822 GNZ850733:GNZ850822 GED850733:GED850822 FUH850733:FUH850822 FKL850733:FKL850822 FAP850733:FAP850822 EQT850733:EQT850822 EGX850733:EGX850822 DXB850733:DXB850822 DNF850733:DNF850822 DDJ850733:DDJ850822 CTN850733:CTN850822 CJR850733:CJR850822 BZV850733:BZV850822 BPZ850733:BPZ850822 BGD850733:BGD850822 AWH850733:AWH850822 AML850733:AML850822 ACP850733:ACP850822 ST850733:ST850822 IX850733:IX850822 B850739:B850828 WVJ785197:WVJ785286 WLN785197:WLN785286 WBR785197:WBR785286 VRV785197:VRV785286 VHZ785197:VHZ785286 UYD785197:UYD785286 UOH785197:UOH785286 UEL785197:UEL785286 TUP785197:TUP785286 TKT785197:TKT785286 TAX785197:TAX785286 SRB785197:SRB785286 SHF785197:SHF785286 RXJ785197:RXJ785286 RNN785197:RNN785286 RDR785197:RDR785286 QTV785197:QTV785286 QJZ785197:QJZ785286 QAD785197:QAD785286 PQH785197:PQH785286 PGL785197:PGL785286 OWP785197:OWP785286 OMT785197:OMT785286 OCX785197:OCX785286 NTB785197:NTB785286 NJF785197:NJF785286 MZJ785197:MZJ785286 MPN785197:MPN785286 MFR785197:MFR785286 LVV785197:LVV785286 LLZ785197:LLZ785286 LCD785197:LCD785286 KSH785197:KSH785286 KIL785197:KIL785286 JYP785197:JYP785286 JOT785197:JOT785286 JEX785197:JEX785286 IVB785197:IVB785286 ILF785197:ILF785286 IBJ785197:IBJ785286 HRN785197:HRN785286 HHR785197:HHR785286 GXV785197:GXV785286 GNZ785197:GNZ785286 GED785197:GED785286 FUH785197:FUH785286 FKL785197:FKL785286 FAP785197:FAP785286 EQT785197:EQT785286 EGX785197:EGX785286 DXB785197:DXB785286 DNF785197:DNF785286 DDJ785197:DDJ785286 CTN785197:CTN785286 CJR785197:CJR785286 BZV785197:BZV785286 BPZ785197:BPZ785286 BGD785197:BGD785286 AWH785197:AWH785286 AML785197:AML785286 ACP785197:ACP785286 ST785197:ST785286 IX785197:IX785286 B785203:B785292 WVJ719661:WVJ719750 WLN719661:WLN719750 WBR719661:WBR719750 VRV719661:VRV719750 VHZ719661:VHZ719750 UYD719661:UYD719750 UOH719661:UOH719750 UEL719661:UEL719750 TUP719661:TUP719750 TKT719661:TKT719750 TAX719661:TAX719750 SRB719661:SRB719750 SHF719661:SHF719750 RXJ719661:RXJ719750 RNN719661:RNN719750 RDR719661:RDR719750 QTV719661:QTV719750 QJZ719661:QJZ719750 QAD719661:QAD719750 PQH719661:PQH719750 PGL719661:PGL719750 OWP719661:OWP719750 OMT719661:OMT719750 OCX719661:OCX719750 NTB719661:NTB719750 NJF719661:NJF719750 MZJ719661:MZJ719750 MPN719661:MPN719750 MFR719661:MFR719750 LVV719661:LVV719750 LLZ719661:LLZ719750 LCD719661:LCD719750 KSH719661:KSH719750 KIL719661:KIL719750 JYP719661:JYP719750 JOT719661:JOT719750 JEX719661:JEX719750 IVB719661:IVB719750 ILF719661:ILF719750 IBJ719661:IBJ719750 HRN719661:HRN719750 HHR719661:HHR719750 GXV719661:GXV719750 GNZ719661:GNZ719750 GED719661:GED719750 FUH719661:FUH719750 FKL719661:FKL719750 FAP719661:FAP719750 EQT719661:EQT719750 EGX719661:EGX719750 DXB719661:DXB719750 DNF719661:DNF719750 DDJ719661:DDJ719750 CTN719661:CTN719750 CJR719661:CJR719750 BZV719661:BZV719750 BPZ719661:BPZ719750 BGD719661:BGD719750 AWH719661:AWH719750 AML719661:AML719750 ACP719661:ACP719750 ST719661:ST719750 IX719661:IX719750 B719667:B719756 WVJ654125:WVJ654214 WLN654125:WLN654214 WBR654125:WBR654214 VRV654125:VRV654214 VHZ654125:VHZ654214 UYD654125:UYD654214 UOH654125:UOH654214 UEL654125:UEL654214 TUP654125:TUP654214 TKT654125:TKT654214 TAX654125:TAX654214 SRB654125:SRB654214 SHF654125:SHF654214 RXJ654125:RXJ654214 RNN654125:RNN654214 RDR654125:RDR654214 QTV654125:QTV654214 QJZ654125:QJZ654214 QAD654125:QAD654214 PQH654125:PQH654214 PGL654125:PGL654214 OWP654125:OWP654214 OMT654125:OMT654214 OCX654125:OCX654214 NTB654125:NTB654214 NJF654125:NJF654214 MZJ654125:MZJ654214 MPN654125:MPN654214 MFR654125:MFR654214 LVV654125:LVV654214 LLZ654125:LLZ654214 LCD654125:LCD654214 KSH654125:KSH654214 KIL654125:KIL654214 JYP654125:JYP654214 JOT654125:JOT654214 JEX654125:JEX654214 IVB654125:IVB654214 ILF654125:ILF654214 IBJ654125:IBJ654214 HRN654125:HRN654214 HHR654125:HHR654214 GXV654125:GXV654214 GNZ654125:GNZ654214 GED654125:GED654214 FUH654125:FUH654214 FKL654125:FKL654214 FAP654125:FAP654214 EQT654125:EQT654214 EGX654125:EGX654214 DXB654125:DXB654214 DNF654125:DNF654214 DDJ654125:DDJ654214 CTN654125:CTN654214 CJR654125:CJR654214 BZV654125:BZV654214 BPZ654125:BPZ654214 BGD654125:BGD654214 AWH654125:AWH654214 AML654125:AML654214 ACP654125:ACP654214 ST654125:ST654214 IX654125:IX654214 B654131:B654220 WVJ588589:WVJ588678 WLN588589:WLN588678 WBR588589:WBR588678 VRV588589:VRV588678 VHZ588589:VHZ588678 UYD588589:UYD588678 UOH588589:UOH588678 UEL588589:UEL588678 TUP588589:TUP588678 TKT588589:TKT588678 TAX588589:TAX588678 SRB588589:SRB588678 SHF588589:SHF588678 RXJ588589:RXJ588678 RNN588589:RNN588678 RDR588589:RDR588678 QTV588589:QTV588678 QJZ588589:QJZ588678 QAD588589:QAD588678 PQH588589:PQH588678 PGL588589:PGL588678 OWP588589:OWP588678 OMT588589:OMT588678 OCX588589:OCX588678 NTB588589:NTB588678 NJF588589:NJF588678 MZJ588589:MZJ588678 MPN588589:MPN588678 MFR588589:MFR588678 LVV588589:LVV588678 LLZ588589:LLZ588678 LCD588589:LCD588678 KSH588589:KSH588678 KIL588589:KIL588678 JYP588589:JYP588678 JOT588589:JOT588678 JEX588589:JEX588678 IVB588589:IVB588678 ILF588589:ILF588678 IBJ588589:IBJ588678 HRN588589:HRN588678 HHR588589:HHR588678 GXV588589:GXV588678 GNZ588589:GNZ588678 GED588589:GED588678 FUH588589:FUH588678 FKL588589:FKL588678 FAP588589:FAP588678 EQT588589:EQT588678 EGX588589:EGX588678 DXB588589:DXB588678 DNF588589:DNF588678 DDJ588589:DDJ588678 CTN588589:CTN588678 CJR588589:CJR588678 BZV588589:BZV588678 BPZ588589:BPZ588678 BGD588589:BGD588678 AWH588589:AWH588678 AML588589:AML588678 ACP588589:ACP588678 ST588589:ST588678 IX588589:IX588678 B588595:B588684 WVJ523053:WVJ523142 WLN523053:WLN523142 WBR523053:WBR523142 VRV523053:VRV523142 VHZ523053:VHZ523142 UYD523053:UYD523142 UOH523053:UOH523142 UEL523053:UEL523142 TUP523053:TUP523142 TKT523053:TKT523142 TAX523053:TAX523142 SRB523053:SRB523142 SHF523053:SHF523142 RXJ523053:RXJ523142 RNN523053:RNN523142 RDR523053:RDR523142 QTV523053:QTV523142 QJZ523053:QJZ523142 QAD523053:QAD523142 PQH523053:PQH523142 PGL523053:PGL523142 OWP523053:OWP523142 OMT523053:OMT523142 OCX523053:OCX523142 NTB523053:NTB523142 NJF523053:NJF523142 MZJ523053:MZJ523142 MPN523053:MPN523142 MFR523053:MFR523142 LVV523053:LVV523142 LLZ523053:LLZ523142 LCD523053:LCD523142 KSH523053:KSH523142 KIL523053:KIL523142 JYP523053:JYP523142 JOT523053:JOT523142 JEX523053:JEX523142 IVB523053:IVB523142 ILF523053:ILF523142 IBJ523053:IBJ523142 HRN523053:HRN523142 HHR523053:HHR523142 GXV523053:GXV523142 GNZ523053:GNZ523142 GED523053:GED523142 FUH523053:FUH523142 FKL523053:FKL523142 FAP523053:FAP523142 EQT523053:EQT523142 EGX523053:EGX523142 DXB523053:DXB523142 DNF523053:DNF523142 DDJ523053:DDJ523142 CTN523053:CTN523142 CJR523053:CJR523142 BZV523053:BZV523142 BPZ523053:BPZ523142 BGD523053:BGD523142 AWH523053:AWH523142 AML523053:AML523142 ACP523053:ACP523142 ST523053:ST523142 IX523053:IX523142 B523059:B523148 WVJ457517:WVJ457606 WLN457517:WLN457606 WBR457517:WBR457606 VRV457517:VRV457606 VHZ457517:VHZ457606 UYD457517:UYD457606 UOH457517:UOH457606 UEL457517:UEL457606 TUP457517:TUP457606 TKT457517:TKT457606 TAX457517:TAX457606 SRB457517:SRB457606 SHF457517:SHF457606 RXJ457517:RXJ457606 RNN457517:RNN457606 RDR457517:RDR457606 QTV457517:QTV457606 QJZ457517:QJZ457606 QAD457517:QAD457606 PQH457517:PQH457606 PGL457517:PGL457606 OWP457517:OWP457606 OMT457517:OMT457606 OCX457517:OCX457606 NTB457517:NTB457606 NJF457517:NJF457606 MZJ457517:MZJ457606 MPN457517:MPN457606 MFR457517:MFR457606 LVV457517:LVV457606 LLZ457517:LLZ457606 LCD457517:LCD457606 KSH457517:KSH457606 KIL457517:KIL457606 JYP457517:JYP457606 JOT457517:JOT457606 JEX457517:JEX457606 IVB457517:IVB457606 ILF457517:ILF457606 IBJ457517:IBJ457606 HRN457517:HRN457606 HHR457517:HHR457606 GXV457517:GXV457606 GNZ457517:GNZ457606 GED457517:GED457606 FUH457517:FUH457606 FKL457517:FKL457606 FAP457517:FAP457606 EQT457517:EQT457606 EGX457517:EGX457606 DXB457517:DXB457606 DNF457517:DNF457606 DDJ457517:DDJ457606 CTN457517:CTN457606 CJR457517:CJR457606 BZV457517:BZV457606 BPZ457517:BPZ457606 BGD457517:BGD457606 AWH457517:AWH457606 AML457517:AML457606 ACP457517:ACP457606 ST457517:ST457606 IX457517:IX457606 B457523:B457612 WVJ391981:WVJ392070 WLN391981:WLN392070 WBR391981:WBR392070 VRV391981:VRV392070 VHZ391981:VHZ392070 UYD391981:UYD392070 UOH391981:UOH392070 UEL391981:UEL392070 TUP391981:TUP392070 TKT391981:TKT392070 TAX391981:TAX392070 SRB391981:SRB392070 SHF391981:SHF392070 RXJ391981:RXJ392070 RNN391981:RNN392070 RDR391981:RDR392070 QTV391981:QTV392070 QJZ391981:QJZ392070 QAD391981:QAD392070 PQH391981:PQH392070 PGL391981:PGL392070 OWP391981:OWP392070 OMT391981:OMT392070 OCX391981:OCX392070 NTB391981:NTB392070 NJF391981:NJF392070 MZJ391981:MZJ392070 MPN391981:MPN392070 MFR391981:MFR392070 LVV391981:LVV392070 LLZ391981:LLZ392070 LCD391981:LCD392070 KSH391981:KSH392070 KIL391981:KIL392070 JYP391981:JYP392070 JOT391981:JOT392070 JEX391981:JEX392070 IVB391981:IVB392070 ILF391981:ILF392070 IBJ391981:IBJ392070 HRN391981:HRN392070 HHR391981:HHR392070 GXV391981:GXV392070 GNZ391981:GNZ392070 GED391981:GED392070 FUH391981:FUH392070 FKL391981:FKL392070 FAP391981:FAP392070 EQT391981:EQT392070 EGX391981:EGX392070 DXB391981:DXB392070 DNF391981:DNF392070 DDJ391981:DDJ392070 CTN391981:CTN392070 CJR391981:CJR392070 BZV391981:BZV392070 BPZ391981:BPZ392070 BGD391981:BGD392070 AWH391981:AWH392070 AML391981:AML392070 ACP391981:ACP392070 ST391981:ST392070 IX391981:IX392070 B391987:B392076 WVJ326445:WVJ326534 WLN326445:WLN326534 WBR326445:WBR326534 VRV326445:VRV326534 VHZ326445:VHZ326534 UYD326445:UYD326534 UOH326445:UOH326534 UEL326445:UEL326534 TUP326445:TUP326534 TKT326445:TKT326534 TAX326445:TAX326534 SRB326445:SRB326534 SHF326445:SHF326534 RXJ326445:RXJ326534 RNN326445:RNN326534 RDR326445:RDR326534 QTV326445:QTV326534 QJZ326445:QJZ326534 QAD326445:QAD326534 PQH326445:PQH326534 PGL326445:PGL326534 OWP326445:OWP326534 OMT326445:OMT326534 OCX326445:OCX326534 NTB326445:NTB326534 NJF326445:NJF326534 MZJ326445:MZJ326534 MPN326445:MPN326534 MFR326445:MFR326534 LVV326445:LVV326534 LLZ326445:LLZ326534 LCD326445:LCD326534 KSH326445:KSH326534 KIL326445:KIL326534 JYP326445:JYP326534 JOT326445:JOT326534 JEX326445:JEX326534 IVB326445:IVB326534 ILF326445:ILF326534 IBJ326445:IBJ326534 HRN326445:HRN326534 HHR326445:HHR326534 GXV326445:GXV326534 GNZ326445:GNZ326534 GED326445:GED326534 FUH326445:FUH326534 FKL326445:FKL326534 FAP326445:FAP326534 EQT326445:EQT326534 EGX326445:EGX326534 DXB326445:DXB326534 DNF326445:DNF326534 DDJ326445:DDJ326534 CTN326445:CTN326534 CJR326445:CJR326534 BZV326445:BZV326534 BPZ326445:BPZ326534 BGD326445:BGD326534 AWH326445:AWH326534 AML326445:AML326534 ACP326445:ACP326534 ST326445:ST326534 IX326445:IX326534 B326451:B326540 WVJ260909:WVJ260998 WLN260909:WLN260998 WBR260909:WBR260998 VRV260909:VRV260998 VHZ260909:VHZ260998 UYD260909:UYD260998 UOH260909:UOH260998 UEL260909:UEL260998 TUP260909:TUP260998 TKT260909:TKT260998 TAX260909:TAX260998 SRB260909:SRB260998 SHF260909:SHF260998 RXJ260909:RXJ260998 RNN260909:RNN260998 RDR260909:RDR260998 QTV260909:QTV260998 QJZ260909:QJZ260998 QAD260909:QAD260998 PQH260909:PQH260998 PGL260909:PGL260998 OWP260909:OWP260998 OMT260909:OMT260998 OCX260909:OCX260998 NTB260909:NTB260998 NJF260909:NJF260998 MZJ260909:MZJ260998 MPN260909:MPN260998 MFR260909:MFR260998 LVV260909:LVV260998 LLZ260909:LLZ260998 LCD260909:LCD260998 KSH260909:KSH260998 KIL260909:KIL260998 JYP260909:JYP260998 JOT260909:JOT260998 JEX260909:JEX260998 IVB260909:IVB260998 ILF260909:ILF260998 IBJ260909:IBJ260998 HRN260909:HRN260998 HHR260909:HHR260998 GXV260909:GXV260998 GNZ260909:GNZ260998 GED260909:GED260998 FUH260909:FUH260998 FKL260909:FKL260998 FAP260909:FAP260998 EQT260909:EQT260998 EGX260909:EGX260998 DXB260909:DXB260998 DNF260909:DNF260998 DDJ260909:DDJ260998 CTN260909:CTN260998 CJR260909:CJR260998 BZV260909:BZV260998 BPZ260909:BPZ260998 BGD260909:BGD260998 AWH260909:AWH260998 AML260909:AML260998 ACP260909:ACP260998 ST260909:ST260998 IX260909:IX260998 B260915:B261004 WVJ195373:WVJ195462 WLN195373:WLN195462 WBR195373:WBR195462 VRV195373:VRV195462 VHZ195373:VHZ195462 UYD195373:UYD195462 UOH195373:UOH195462 UEL195373:UEL195462 TUP195373:TUP195462 TKT195373:TKT195462 TAX195373:TAX195462 SRB195373:SRB195462 SHF195373:SHF195462 RXJ195373:RXJ195462 RNN195373:RNN195462 RDR195373:RDR195462 QTV195373:QTV195462 QJZ195373:QJZ195462 QAD195373:QAD195462 PQH195373:PQH195462 PGL195373:PGL195462 OWP195373:OWP195462 OMT195373:OMT195462 OCX195373:OCX195462 NTB195373:NTB195462 NJF195373:NJF195462 MZJ195373:MZJ195462 MPN195373:MPN195462 MFR195373:MFR195462 LVV195373:LVV195462 LLZ195373:LLZ195462 LCD195373:LCD195462 KSH195373:KSH195462 KIL195373:KIL195462 JYP195373:JYP195462 JOT195373:JOT195462 JEX195373:JEX195462 IVB195373:IVB195462 ILF195373:ILF195462 IBJ195373:IBJ195462 HRN195373:HRN195462 HHR195373:HHR195462 GXV195373:GXV195462 GNZ195373:GNZ195462 GED195373:GED195462 FUH195373:FUH195462 FKL195373:FKL195462 FAP195373:FAP195462 EQT195373:EQT195462 EGX195373:EGX195462 DXB195373:DXB195462 DNF195373:DNF195462 DDJ195373:DDJ195462 CTN195373:CTN195462 CJR195373:CJR195462 BZV195373:BZV195462 BPZ195373:BPZ195462 BGD195373:BGD195462 AWH195373:AWH195462 AML195373:AML195462 ACP195373:ACP195462 ST195373:ST195462 IX195373:IX195462 B195379:B195468 WVJ129837:WVJ129926 WLN129837:WLN129926 WBR129837:WBR129926 VRV129837:VRV129926 VHZ129837:VHZ129926 UYD129837:UYD129926 UOH129837:UOH129926 UEL129837:UEL129926 TUP129837:TUP129926 TKT129837:TKT129926 TAX129837:TAX129926 SRB129837:SRB129926 SHF129837:SHF129926 RXJ129837:RXJ129926 RNN129837:RNN129926 RDR129837:RDR129926 QTV129837:QTV129926 QJZ129837:QJZ129926 QAD129837:QAD129926 PQH129837:PQH129926 PGL129837:PGL129926 OWP129837:OWP129926 OMT129837:OMT129926 OCX129837:OCX129926 NTB129837:NTB129926 NJF129837:NJF129926 MZJ129837:MZJ129926 MPN129837:MPN129926 MFR129837:MFR129926 LVV129837:LVV129926 LLZ129837:LLZ129926 LCD129837:LCD129926 KSH129837:KSH129926 KIL129837:KIL129926 JYP129837:JYP129926 JOT129837:JOT129926 JEX129837:JEX129926 IVB129837:IVB129926 ILF129837:ILF129926 IBJ129837:IBJ129926 HRN129837:HRN129926 HHR129837:HHR129926 GXV129837:GXV129926 GNZ129837:GNZ129926 GED129837:GED129926 FUH129837:FUH129926 FKL129837:FKL129926 FAP129837:FAP129926 EQT129837:EQT129926 EGX129837:EGX129926 DXB129837:DXB129926 DNF129837:DNF129926 DDJ129837:DDJ129926 CTN129837:CTN129926 CJR129837:CJR129926 BZV129837:BZV129926 BPZ129837:BPZ129926 BGD129837:BGD129926 AWH129837:AWH129926 AML129837:AML129926 ACP129837:ACP129926 ST129837:ST129926 IX129837:IX129926 B129843:B129932 WVJ64301:WVJ64390 WLN64301:WLN64390 WBR64301:WBR64390 VRV64301:VRV64390 VHZ64301:VHZ64390 UYD64301:UYD64390 UOH64301:UOH64390 UEL64301:UEL64390 TUP64301:TUP64390 TKT64301:TKT64390 TAX64301:TAX64390 SRB64301:SRB64390 SHF64301:SHF64390 RXJ64301:RXJ64390 RNN64301:RNN64390 RDR64301:RDR64390 QTV64301:QTV64390 QJZ64301:QJZ64390 QAD64301:QAD64390 PQH64301:PQH64390 PGL64301:PGL64390 OWP64301:OWP64390 OMT64301:OMT64390 OCX64301:OCX64390 NTB64301:NTB64390 NJF64301:NJF64390 MZJ64301:MZJ64390 MPN64301:MPN64390 MFR64301:MFR64390 LVV64301:LVV64390 LLZ64301:LLZ64390 LCD64301:LCD64390 KSH64301:KSH64390 KIL64301:KIL64390 JYP64301:JYP64390 JOT64301:JOT64390 JEX64301:JEX64390 IVB64301:IVB64390 ILF64301:ILF64390 IBJ64301:IBJ64390 HRN64301:HRN64390 HHR64301:HHR64390 GXV64301:GXV64390 GNZ64301:GNZ64390 GED64301:GED64390 FUH64301:FUH64390 FKL64301:FKL64390 FAP64301:FAP64390 EQT64301:EQT64390 EGX64301:EGX64390 DXB64301:DXB64390 DNF64301:DNF64390 DDJ64301:DDJ64390 CTN64301:CTN64390 CJR64301:CJR64390 BZV64301:BZV64390 BPZ64301:BPZ64390 BGD64301:BGD64390 AWH64301:AWH64390 AML64301:AML64390 ACP64301:ACP64390 ST64301:ST64390 IX64301:IX64390 B64307:B64396 B96:B112 B2:B94 ST2:ST73 ACP2:ACP73 AML2:AML73 AWH2:AWH73 BGD2:BGD73 BPZ2:BPZ73 BZV2:BZV73 CJR2:CJR73 CTN2:CTN73 DDJ2:DDJ73 DNF2:DNF73 DXB2:DXB73 EGX2:EGX73 EQT2:EQT73 FAP2:FAP73 FKL2:FKL73 FUH2:FUH73 GED2:GED73 GNZ2:GNZ73 GXV2:GXV73 HHR2:HHR73 HRN2:HRN73 IBJ2:IBJ73 ILF2:ILF73 IVB2:IVB73 JEX2:JEX73 JOT2:JOT73 JYP2:JYP73 KIL2:KIL73 KSH2:KSH73 LCD2:LCD73 LLZ2:LLZ73 LVV2:LVV73 MFR2:MFR73 MPN2:MPN73 MZJ2:MZJ73 NJF2:NJF73 NTB2:NTB73 OCX2:OCX73 OMT2:OMT73 OWP2:OWP73 PGL2:PGL73 PQH2:PQH73 QAD2:QAD73 QJZ2:QJZ73 QTV2:QTV73 RDR2:RDR73 RNN2:RNN73 RXJ2:RXJ73 SHF2:SHF73 SRB2:SRB73 TAX2:TAX73 TKT2:TKT73 TUP2:TUP73 UEL2:UEL73 UOH2:UOH73 UYD2:UYD73 VHZ2:VHZ73 VRV2:VRV73 WBR2:WBR73 WLN2:WLN73 WVJ2:WVJ73 IX2:IX73" xr:uid="{30B52CB1-70AF-4582-AF0A-B8931905CA86}"/>
    <dataValidation type="list" allowBlank="1" showInputMessage="1" showErrorMessage="1" sqref="WVI981805:WVI981894 WLM981805:WLM981894 WBQ981805:WBQ981894 VRU981805:VRU981894 VHY981805:VHY981894 UYC981805:UYC981894 UOG981805:UOG981894 UEK981805:UEK981894 TUO981805:TUO981894 TKS981805:TKS981894 TAW981805:TAW981894 SRA981805:SRA981894 SHE981805:SHE981894 RXI981805:RXI981894 RNM981805:RNM981894 RDQ981805:RDQ981894 QTU981805:QTU981894 QJY981805:QJY981894 QAC981805:QAC981894 PQG981805:PQG981894 PGK981805:PGK981894 OWO981805:OWO981894 OMS981805:OMS981894 OCW981805:OCW981894 NTA981805:NTA981894 NJE981805:NJE981894 MZI981805:MZI981894 MPM981805:MPM981894 MFQ981805:MFQ981894 LVU981805:LVU981894 LLY981805:LLY981894 LCC981805:LCC981894 KSG981805:KSG981894 KIK981805:KIK981894 JYO981805:JYO981894 JOS981805:JOS981894 JEW981805:JEW981894 IVA981805:IVA981894 ILE981805:ILE981894 IBI981805:IBI981894 HRM981805:HRM981894 HHQ981805:HHQ981894 GXU981805:GXU981894 GNY981805:GNY981894 GEC981805:GEC981894 FUG981805:FUG981894 FKK981805:FKK981894 FAO981805:FAO981894 EQS981805:EQS981894 EGW981805:EGW981894 DXA981805:DXA981894 DNE981805:DNE981894 DDI981805:DDI981894 CTM981805:CTM981894 CJQ981805:CJQ981894 BZU981805:BZU981894 BPY981805:BPY981894 BGC981805:BGC981894 AWG981805:AWG981894 AMK981805:AMK981894 ACO981805:ACO981894 SS981805:SS981894 IW981805:IW981894 A981811:A981900 WVI916269:WVI916358 WLM916269:WLM916358 WBQ916269:WBQ916358 VRU916269:VRU916358 VHY916269:VHY916358 UYC916269:UYC916358 UOG916269:UOG916358 UEK916269:UEK916358 TUO916269:TUO916358 TKS916269:TKS916358 TAW916269:TAW916358 SRA916269:SRA916358 SHE916269:SHE916358 RXI916269:RXI916358 RNM916269:RNM916358 RDQ916269:RDQ916358 QTU916269:QTU916358 QJY916269:QJY916358 QAC916269:QAC916358 PQG916269:PQG916358 PGK916269:PGK916358 OWO916269:OWO916358 OMS916269:OMS916358 OCW916269:OCW916358 NTA916269:NTA916358 NJE916269:NJE916358 MZI916269:MZI916358 MPM916269:MPM916358 MFQ916269:MFQ916358 LVU916269:LVU916358 LLY916269:LLY916358 LCC916269:LCC916358 KSG916269:KSG916358 KIK916269:KIK916358 JYO916269:JYO916358 JOS916269:JOS916358 JEW916269:JEW916358 IVA916269:IVA916358 ILE916269:ILE916358 IBI916269:IBI916358 HRM916269:HRM916358 HHQ916269:HHQ916358 GXU916269:GXU916358 GNY916269:GNY916358 GEC916269:GEC916358 FUG916269:FUG916358 FKK916269:FKK916358 FAO916269:FAO916358 EQS916269:EQS916358 EGW916269:EGW916358 DXA916269:DXA916358 DNE916269:DNE916358 DDI916269:DDI916358 CTM916269:CTM916358 CJQ916269:CJQ916358 BZU916269:BZU916358 BPY916269:BPY916358 BGC916269:BGC916358 AWG916269:AWG916358 AMK916269:AMK916358 ACO916269:ACO916358 SS916269:SS916358 IW916269:IW916358 A916275:A916364 WVI850733:WVI850822 WLM850733:WLM850822 WBQ850733:WBQ850822 VRU850733:VRU850822 VHY850733:VHY850822 UYC850733:UYC850822 UOG850733:UOG850822 UEK850733:UEK850822 TUO850733:TUO850822 TKS850733:TKS850822 TAW850733:TAW850822 SRA850733:SRA850822 SHE850733:SHE850822 RXI850733:RXI850822 RNM850733:RNM850822 RDQ850733:RDQ850822 QTU850733:QTU850822 QJY850733:QJY850822 QAC850733:QAC850822 PQG850733:PQG850822 PGK850733:PGK850822 OWO850733:OWO850822 OMS850733:OMS850822 OCW850733:OCW850822 NTA850733:NTA850822 NJE850733:NJE850822 MZI850733:MZI850822 MPM850733:MPM850822 MFQ850733:MFQ850822 LVU850733:LVU850822 LLY850733:LLY850822 LCC850733:LCC850822 KSG850733:KSG850822 KIK850733:KIK850822 JYO850733:JYO850822 JOS850733:JOS850822 JEW850733:JEW850822 IVA850733:IVA850822 ILE850733:ILE850822 IBI850733:IBI850822 HRM850733:HRM850822 HHQ850733:HHQ850822 GXU850733:GXU850822 GNY850733:GNY850822 GEC850733:GEC850822 FUG850733:FUG850822 FKK850733:FKK850822 FAO850733:FAO850822 EQS850733:EQS850822 EGW850733:EGW850822 DXA850733:DXA850822 DNE850733:DNE850822 DDI850733:DDI850822 CTM850733:CTM850822 CJQ850733:CJQ850822 BZU850733:BZU850822 BPY850733:BPY850822 BGC850733:BGC850822 AWG850733:AWG850822 AMK850733:AMK850822 ACO850733:ACO850822 SS850733:SS850822 IW850733:IW850822 A850739:A850828 WVI785197:WVI785286 WLM785197:WLM785286 WBQ785197:WBQ785286 VRU785197:VRU785286 VHY785197:VHY785286 UYC785197:UYC785286 UOG785197:UOG785286 UEK785197:UEK785286 TUO785197:TUO785286 TKS785197:TKS785286 TAW785197:TAW785286 SRA785197:SRA785286 SHE785197:SHE785286 RXI785197:RXI785286 RNM785197:RNM785286 RDQ785197:RDQ785286 QTU785197:QTU785286 QJY785197:QJY785286 QAC785197:QAC785286 PQG785197:PQG785286 PGK785197:PGK785286 OWO785197:OWO785286 OMS785197:OMS785286 OCW785197:OCW785286 NTA785197:NTA785286 NJE785197:NJE785286 MZI785197:MZI785286 MPM785197:MPM785286 MFQ785197:MFQ785286 LVU785197:LVU785286 LLY785197:LLY785286 LCC785197:LCC785286 KSG785197:KSG785286 KIK785197:KIK785286 JYO785197:JYO785286 JOS785197:JOS785286 JEW785197:JEW785286 IVA785197:IVA785286 ILE785197:ILE785286 IBI785197:IBI785286 HRM785197:HRM785286 HHQ785197:HHQ785286 GXU785197:GXU785286 GNY785197:GNY785286 GEC785197:GEC785286 FUG785197:FUG785286 FKK785197:FKK785286 FAO785197:FAO785286 EQS785197:EQS785286 EGW785197:EGW785286 DXA785197:DXA785286 DNE785197:DNE785286 DDI785197:DDI785286 CTM785197:CTM785286 CJQ785197:CJQ785286 BZU785197:BZU785286 BPY785197:BPY785286 BGC785197:BGC785286 AWG785197:AWG785286 AMK785197:AMK785286 ACO785197:ACO785286 SS785197:SS785286 IW785197:IW785286 A785203:A785292 WVI719661:WVI719750 WLM719661:WLM719750 WBQ719661:WBQ719750 VRU719661:VRU719750 VHY719661:VHY719750 UYC719661:UYC719750 UOG719661:UOG719750 UEK719661:UEK719750 TUO719661:TUO719750 TKS719661:TKS719750 TAW719661:TAW719750 SRA719661:SRA719750 SHE719661:SHE719750 RXI719661:RXI719750 RNM719661:RNM719750 RDQ719661:RDQ719750 QTU719661:QTU719750 QJY719661:QJY719750 QAC719661:QAC719750 PQG719661:PQG719750 PGK719661:PGK719750 OWO719661:OWO719750 OMS719661:OMS719750 OCW719661:OCW719750 NTA719661:NTA719750 NJE719661:NJE719750 MZI719661:MZI719750 MPM719661:MPM719750 MFQ719661:MFQ719750 LVU719661:LVU719750 LLY719661:LLY719750 LCC719661:LCC719750 KSG719661:KSG719750 KIK719661:KIK719750 JYO719661:JYO719750 JOS719661:JOS719750 JEW719661:JEW719750 IVA719661:IVA719750 ILE719661:ILE719750 IBI719661:IBI719750 HRM719661:HRM719750 HHQ719661:HHQ719750 GXU719661:GXU719750 GNY719661:GNY719750 GEC719661:GEC719750 FUG719661:FUG719750 FKK719661:FKK719750 FAO719661:FAO719750 EQS719661:EQS719750 EGW719661:EGW719750 DXA719661:DXA719750 DNE719661:DNE719750 DDI719661:DDI719750 CTM719661:CTM719750 CJQ719661:CJQ719750 BZU719661:BZU719750 BPY719661:BPY719750 BGC719661:BGC719750 AWG719661:AWG719750 AMK719661:AMK719750 ACO719661:ACO719750 SS719661:SS719750 IW719661:IW719750 A719667:A719756 WVI654125:WVI654214 WLM654125:WLM654214 WBQ654125:WBQ654214 VRU654125:VRU654214 VHY654125:VHY654214 UYC654125:UYC654214 UOG654125:UOG654214 UEK654125:UEK654214 TUO654125:TUO654214 TKS654125:TKS654214 TAW654125:TAW654214 SRA654125:SRA654214 SHE654125:SHE654214 RXI654125:RXI654214 RNM654125:RNM654214 RDQ654125:RDQ654214 QTU654125:QTU654214 QJY654125:QJY654214 QAC654125:QAC654214 PQG654125:PQG654214 PGK654125:PGK654214 OWO654125:OWO654214 OMS654125:OMS654214 OCW654125:OCW654214 NTA654125:NTA654214 NJE654125:NJE654214 MZI654125:MZI654214 MPM654125:MPM654214 MFQ654125:MFQ654214 LVU654125:LVU654214 LLY654125:LLY654214 LCC654125:LCC654214 KSG654125:KSG654214 KIK654125:KIK654214 JYO654125:JYO654214 JOS654125:JOS654214 JEW654125:JEW654214 IVA654125:IVA654214 ILE654125:ILE654214 IBI654125:IBI654214 HRM654125:HRM654214 HHQ654125:HHQ654214 GXU654125:GXU654214 GNY654125:GNY654214 GEC654125:GEC654214 FUG654125:FUG654214 FKK654125:FKK654214 FAO654125:FAO654214 EQS654125:EQS654214 EGW654125:EGW654214 DXA654125:DXA654214 DNE654125:DNE654214 DDI654125:DDI654214 CTM654125:CTM654214 CJQ654125:CJQ654214 BZU654125:BZU654214 BPY654125:BPY654214 BGC654125:BGC654214 AWG654125:AWG654214 AMK654125:AMK654214 ACO654125:ACO654214 SS654125:SS654214 IW654125:IW654214 A654131:A654220 WVI588589:WVI588678 WLM588589:WLM588678 WBQ588589:WBQ588678 VRU588589:VRU588678 VHY588589:VHY588678 UYC588589:UYC588678 UOG588589:UOG588678 UEK588589:UEK588678 TUO588589:TUO588678 TKS588589:TKS588678 TAW588589:TAW588678 SRA588589:SRA588678 SHE588589:SHE588678 RXI588589:RXI588678 RNM588589:RNM588678 RDQ588589:RDQ588678 QTU588589:QTU588678 QJY588589:QJY588678 QAC588589:QAC588678 PQG588589:PQG588678 PGK588589:PGK588678 OWO588589:OWO588678 OMS588589:OMS588678 OCW588589:OCW588678 NTA588589:NTA588678 NJE588589:NJE588678 MZI588589:MZI588678 MPM588589:MPM588678 MFQ588589:MFQ588678 LVU588589:LVU588678 LLY588589:LLY588678 LCC588589:LCC588678 KSG588589:KSG588678 KIK588589:KIK588678 JYO588589:JYO588678 JOS588589:JOS588678 JEW588589:JEW588678 IVA588589:IVA588678 ILE588589:ILE588678 IBI588589:IBI588678 HRM588589:HRM588678 HHQ588589:HHQ588678 GXU588589:GXU588678 GNY588589:GNY588678 GEC588589:GEC588678 FUG588589:FUG588678 FKK588589:FKK588678 FAO588589:FAO588678 EQS588589:EQS588678 EGW588589:EGW588678 DXA588589:DXA588678 DNE588589:DNE588678 DDI588589:DDI588678 CTM588589:CTM588678 CJQ588589:CJQ588678 BZU588589:BZU588678 BPY588589:BPY588678 BGC588589:BGC588678 AWG588589:AWG588678 AMK588589:AMK588678 ACO588589:ACO588678 SS588589:SS588678 IW588589:IW588678 A588595:A588684 WVI523053:WVI523142 WLM523053:WLM523142 WBQ523053:WBQ523142 VRU523053:VRU523142 VHY523053:VHY523142 UYC523053:UYC523142 UOG523053:UOG523142 UEK523053:UEK523142 TUO523053:TUO523142 TKS523053:TKS523142 TAW523053:TAW523142 SRA523053:SRA523142 SHE523053:SHE523142 RXI523053:RXI523142 RNM523053:RNM523142 RDQ523053:RDQ523142 QTU523053:QTU523142 QJY523053:QJY523142 QAC523053:QAC523142 PQG523053:PQG523142 PGK523053:PGK523142 OWO523053:OWO523142 OMS523053:OMS523142 OCW523053:OCW523142 NTA523053:NTA523142 NJE523053:NJE523142 MZI523053:MZI523142 MPM523053:MPM523142 MFQ523053:MFQ523142 LVU523053:LVU523142 LLY523053:LLY523142 LCC523053:LCC523142 KSG523053:KSG523142 KIK523053:KIK523142 JYO523053:JYO523142 JOS523053:JOS523142 JEW523053:JEW523142 IVA523053:IVA523142 ILE523053:ILE523142 IBI523053:IBI523142 HRM523053:HRM523142 HHQ523053:HHQ523142 GXU523053:GXU523142 GNY523053:GNY523142 GEC523053:GEC523142 FUG523053:FUG523142 FKK523053:FKK523142 FAO523053:FAO523142 EQS523053:EQS523142 EGW523053:EGW523142 DXA523053:DXA523142 DNE523053:DNE523142 DDI523053:DDI523142 CTM523053:CTM523142 CJQ523053:CJQ523142 BZU523053:BZU523142 BPY523053:BPY523142 BGC523053:BGC523142 AWG523053:AWG523142 AMK523053:AMK523142 ACO523053:ACO523142 SS523053:SS523142 IW523053:IW523142 A523059:A523148 WVI457517:WVI457606 WLM457517:WLM457606 WBQ457517:WBQ457606 VRU457517:VRU457606 VHY457517:VHY457606 UYC457517:UYC457606 UOG457517:UOG457606 UEK457517:UEK457606 TUO457517:TUO457606 TKS457517:TKS457606 TAW457517:TAW457606 SRA457517:SRA457606 SHE457517:SHE457606 RXI457517:RXI457606 RNM457517:RNM457606 RDQ457517:RDQ457606 QTU457517:QTU457606 QJY457517:QJY457606 QAC457517:QAC457606 PQG457517:PQG457606 PGK457517:PGK457606 OWO457517:OWO457606 OMS457517:OMS457606 OCW457517:OCW457606 NTA457517:NTA457606 NJE457517:NJE457606 MZI457517:MZI457606 MPM457517:MPM457606 MFQ457517:MFQ457606 LVU457517:LVU457606 LLY457517:LLY457606 LCC457517:LCC457606 KSG457517:KSG457606 KIK457517:KIK457606 JYO457517:JYO457606 JOS457517:JOS457606 JEW457517:JEW457606 IVA457517:IVA457606 ILE457517:ILE457606 IBI457517:IBI457606 HRM457517:HRM457606 HHQ457517:HHQ457606 GXU457517:GXU457606 GNY457517:GNY457606 GEC457517:GEC457606 FUG457517:FUG457606 FKK457517:FKK457606 FAO457517:FAO457606 EQS457517:EQS457606 EGW457517:EGW457606 DXA457517:DXA457606 DNE457517:DNE457606 DDI457517:DDI457606 CTM457517:CTM457606 CJQ457517:CJQ457606 BZU457517:BZU457606 BPY457517:BPY457606 BGC457517:BGC457606 AWG457517:AWG457606 AMK457517:AMK457606 ACO457517:ACO457606 SS457517:SS457606 IW457517:IW457606 A457523:A457612 WVI391981:WVI392070 WLM391981:WLM392070 WBQ391981:WBQ392070 VRU391981:VRU392070 VHY391981:VHY392070 UYC391981:UYC392070 UOG391981:UOG392070 UEK391981:UEK392070 TUO391981:TUO392070 TKS391981:TKS392070 TAW391981:TAW392070 SRA391981:SRA392070 SHE391981:SHE392070 RXI391981:RXI392070 RNM391981:RNM392070 RDQ391981:RDQ392070 QTU391981:QTU392070 QJY391981:QJY392070 QAC391981:QAC392070 PQG391981:PQG392070 PGK391981:PGK392070 OWO391981:OWO392070 OMS391981:OMS392070 OCW391981:OCW392070 NTA391981:NTA392070 NJE391981:NJE392070 MZI391981:MZI392070 MPM391981:MPM392070 MFQ391981:MFQ392070 LVU391981:LVU392070 LLY391981:LLY392070 LCC391981:LCC392070 KSG391981:KSG392070 KIK391981:KIK392070 JYO391981:JYO392070 JOS391981:JOS392070 JEW391981:JEW392070 IVA391981:IVA392070 ILE391981:ILE392070 IBI391981:IBI392070 HRM391981:HRM392070 HHQ391981:HHQ392070 GXU391981:GXU392070 GNY391981:GNY392070 GEC391981:GEC392070 FUG391981:FUG392070 FKK391981:FKK392070 FAO391981:FAO392070 EQS391981:EQS392070 EGW391981:EGW392070 DXA391981:DXA392070 DNE391981:DNE392070 DDI391981:DDI392070 CTM391981:CTM392070 CJQ391981:CJQ392070 BZU391981:BZU392070 BPY391981:BPY392070 BGC391981:BGC392070 AWG391981:AWG392070 AMK391981:AMK392070 ACO391981:ACO392070 SS391981:SS392070 IW391981:IW392070 A391987:A392076 WVI326445:WVI326534 WLM326445:WLM326534 WBQ326445:WBQ326534 VRU326445:VRU326534 VHY326445:VHY326534 UYC326445:UYC326534 UOG326445:UOG326534 UEK326445:UEK326534 TUO326445:TUO326534 TKS326445:TKS326534 TAW326445:TAW326534 SRA326445:SRA326534 SHE326445:SHE326534 RXI326445:RXI326534 RNM326445:RNM326534 RDQ326445:RDQ326534 QTU326445:QTU326534 QJY326445:QJY326534 QAC326445:QAC326534 PQG326445:PQG326534 PGK326445:PGK326534 OWO326445:OWO326534 OMS326445:OMS326534 OCW326445:OCW326534 NTA326445:NTA326534 NJE326445:NJE326534 MZI326445:MZI326534 MPM326445:MPM326534 MFQ326445:MFQ326534 LVU326445:LVU326534 LLY326445:LLY326534 LCC326445:LCC326534 KSG326445:KSG326534 KIK326445:KIK326534 JYO326445:JYO326534 JOS326445:JOS326534 JEW326445:JEW326534 IVA326445:IVA326534 ILE326445:ILE326534 IBI326445:IBI326534 HRM326445:HRM326534 HHQ326445:HHQ326534 GXU326445:GXU326534 GNY326445:GNY326534 GEC326445:GEC326534 FUG326445:FUG326534 FKK326445:FKK326534 FAO326445:FAO326534 EQS326445:EQS326534 EGW326445:EGW326534 DXA326445:DXA326534 DNE326445:DNE326534 DDI326445:DDI326534 CTM326445:CTM326534 CJQ326445:CJQ326534 BZU326445:BZU326534 BPY326445:BPY326534 BGC326445:BGC326534 AWG326445:AWG326534 AMK326445:AMK326534 ACO326445:ACO326534 SS326445:SS326534 IW326445:IW326534 A326451:A326540 WVI260909:WVI260998 WLM260909:WLM260998 WBQ260909:WBQ260998 VRU260909:VRU260998 VHY260909:VHY260998 UYC260909:UYC260998 UOG260909:UOG260998 UEK260909:UEK260998 TUO260909:TUO260998 TKS260909:TKS260998 TAW260909:TAW260998 SRA260909:SRA260998 SHE260909:SHE260998 RXI260909:RXI260998 RNM260909:RNM260998 RDQ260909:RDQ260998 QTU260909:QTU260998 QJY260909:QJY260998 QAC260909:QAC260998 PQG260909:PQG260998 PGK260909:PGK260998 OWO260909:OWO260998 OMS260909:OMS260998 OCW260909:OCW260998 NTA260909:NTA260998 NJE260909:NJE260998 MZI260909:MZI260998 MPM260909:MPM260998 MFQ260909:MFQ260998 LVU260909:LVU260998 LLY260909:LLY260998 LCC260909:LCC260998 KSG260909:KSG260998 KIK260909:KIK260998 JYO260909:JYO260998 JOS260909:JOS260998 JEW260909:JEW260998 IVA260909:IVA260998 ILE260909:ILE260998 IBI260909:IBI260998 HRM260909:HRM260998 HHQ260909:HHQ260998 GXU260909:GXU260998 GNY260909:GNY260998 GEC260909:GEC260998 FUG260909:FUG260998 FKK260909:FKK260998 FAO260909:FAO260998 EQS260909:EQS260998 EGW260909:EGW260998 DXA260909:DXA260998 DNE260909:DNE260998 DDI260909:DDI260998 CTM260909:CTM260998 CJQ260909:CJQ260998 BZU260909:BZU260998 BPY260909:BPY260998 BGC260909:BGC260998 AWG260909:AWG260998 AMK260909:AMK260998 ACO260909:ACO260998 SS260909:SS260998 IW260909:IW260998 A260915:A261004 WVI195373:WVI195462 WLM195373:WLM195462 WBQ195373:WBQ195462 VRU195373:VRU195462 VHY195373:VHY195462 UYC195373:UYC195462 UOG195373:UOG195462 UEK195373:UEK195462 TUO195373:TUO195462 TKS195373:TKS195462 TAW195373:TAW195462 SRA195373:SRA195462 SHE195373:SHE195462 RXI195373:RXI195462 RNM195373:RNM195462 RDQ195373:RDQ195462 QTU195373:QTU195462 QJY195373:QJY195462 QAC195373:QAC195462 PQG195373:PQG195462 PGK195373:PGK195462 OWO195373:OWO195462 OMS195373:OMS195462 OCW195373:OCW195462 NTA195373:NTA195462 NJE195373:NJE195462 MZI195373:MZI195462 MPM195373:MPM195462 MFQ195373:MFQ195462 LVU195373:LVU195462 LLY195373:LLY195462 LCC195373:LCC195462 KSG195373:KSG195462 KIK195373:KIK195462 JYO195373:JYO195462 JOS195373:JOS195462 JEW195373:JEW195462 IVA195373:IVA195462 ILE195373:ILE195462 IBI195373:IBI195462 HRM195373:HRM195462 HHQ195373:HHQ195462 GXU195373:GXU195462 GNY195373:GNY195462 GEC195373:GEC195462 FUG195373:FUG195462 FKK195373:FKK195462 FAO195373:FAO195462 EQS195373:EQS195462 EGW195373:EGW195462 DXA195373:DXA195462 DNE195373:DNE195462 DDI195373:DDI195462 CTM195373:CTM195462 CJQ195373:CJQ195462 BZU195373:BZU195462 BPY195373:BPY195462 BGC195373:BGC195462 AWG195373:AWG195462 AMK195373:AMK195462 ACO195373:ACO195462 SS195373:SS195462 IW195373:IW195462 A195379:A195468 WVI129837:WVI129926 WLM129837:WLM129926 WBQ129837:WBQ129926 VRU129837:VRU129926 VHY129837:VHY129926 UYC129837:UYC129926 UOG129837:UOG129926 UEK129837:UEK129926 TUO129837:TUO129926 TKS129837:TKS129926 TAW129837:TAW129926 SRA129837:SRA129926 SHE129837:SHE129926 RXI129837:RXI129926 RNM129837:RNM129926 RDQ129837:RDQ129926 QTU129837:QTU129926 QJY129837:QJY129926 QAC129837:QAC129926 PQG129837:PQG129926 PGK129837:PGK129926 OWO129837:OWO129926 OMS129837:OMS129926 OCW129837:OCW129926 NTA129837:NTA129926 NJE129837:NJE129926 MZI129837:MZI129926 MPM129837:MPM129926 MFQ129837:MFQ129926 LVU129837:LVU129926 LLY129837:LLY129926 LCC129837:LCC129926 KSG129837:KSG129926 KIK129837:KIK129926 JYO129837:JYO129926 JOS129837:JOS129926 JEW129837:JEW129926 IVA129837:IVA129926 ILE129837:ILE129926 IBI129837:IBI129926 HRM129837:HRM129926 HHQ129837:HHQ129926 GXU129837:GXU129926 GNY129837:GNY129926 GEC129837:GEC129926 FUG129837:FUG129926 FKK129837:FKK129926 FAO129837:FAO129926 EQS129837:EQS129926 EGW129837:EGW129926 DXA129837:DXA129926 DNE129837:DNE129926 DDI129837:DDI129926 CTM129837:CTM129926 CJQ129837:CJQ129926 BZU129837:BZU129926 BPY129837:BPY129926 BGC129837:BGC129926 AWG129837:AWG129926 AMK129837:AMK129926 ACO129837:ACO129926 SS129837:SS129926 IW129837:IW129926 A129843:A129932 WVI64301:WVI64390 WLM64301:WLM64390 WBQ64301:WBQ64390 VRU64301:VRU64390 VHY64301:VHY64390 UYC64301:UYC64390 UOG64301:UOG64390 UEK64301:UEK64390 TUO64301:TUO64390 TKS64301:TKS64390 TAW64301:TAW64390 SRA64301:SRA64390 SHE64301:SHE64390 RXI64301:RXI64390 RNM64301:RNM64390 RDQ64301:RDQ64390 QTU64301:QTU64390 QJY64301:QJY64390 QAC64301:QAC64390 PQG64301:PQG64390 PGK64301:PGK64390 OWO64301:OWO64390 OMS64301:OMS64390 OCW64301:OCW64390 NTA64301:NTA64390 NJE64301:NJE64390 MZI64301:MZI64390 MPM64301:MPM64390 MFQ64301:MFQ64390 LVU64301:LVU64390 LLY64301:LLY64390 LCC64301:LCC64390 KSG64301:KSG64390 KIK64301:KIK64390 JYO64301:JYO64390 JOS64301:JOS64390 JEW64301:JEW64390 IVA64301:IVA64390 ILE64301:ILE64390 IBI64301:IBI64390 HRM64301:HRM64390 HHQ64301:HHQ64390 GXU64301:GXU64390 GNY64301:GNY64390 GEC64301:GEC64390 FUG64301:FUG64390 FKK64301:FKK64390 FAO64301:FAO64390 EQS64301:EQS64390 EGW64301:EGW64390 DXA64301:DXA64390 DNE64301:DNE64390 DDI64301:DDI64390 CTM64301:CTM64390 CJQ64301:CJQ64390 BZU64301:BZU64390 BPY64301:BPY64390 BGC64301:BGC64390 AWG64301:AWG64390 AMK64301:AMK64390 ACO64301:ACO64390 SS64301:SS64390 IW64301:IW64390 A64307:A64396 WVI2:WVI73 WLM2:WLM73 WBQ2:WBQ73 VRU2:VRU73 VHY2:VHY73 UYC2:UYC73 UOG2:UOG73 UEK2:UEK73 TUO2:TUO73 TKS2:TKS73 TAW2:TAW73 SRA2:SRA73 SHE2:SHE73 RXI2:RXI73 RNM2:RNM73 RDQ2:RDQ73 QTU2:QTU73 QJY2:QJY73 QAC2:QAC73 PQG2:PQG73 PGK2:PGK73 OWO2:OWO73 OMS2:OMS73 OCW2:OCW73 NTA2:NTA73 NJE2:NJE73 MZI2:MZI73 MPM2:MPM73 MFQ2:MFQ73 LVU2:LVU73 LLY2:LLY73 LCC2:LCC73 KSG2:KSG73 KIK2:KIK73 JYO2:JYO73 JOS2:JOS73 JEW2:JEW73 IVA2:IVA73 ILE2:ILE73 IBI2:IBI73 HRM2:HRM73 HHQ2:HHQ73 GXU2:GXU73 GNY2:GNY73 GEC2:GEC73 FUG2:FUG73 FKK2:FKK73 FAO2:FAO73 EQS2:EQS73 EGW2:EGW73 DXA2:DXA73 DNE2:DNE73 DDI2:DDI73 CTM2:CTM73 CJQ2:CJQ73 BZU2:BZU73 BPY2:BPY73 BGC2:BGC73 AWG2:AWG73 AMK2:AMK73 ACO2:ACO73 SS2:SS73 IW2:IW73" xr:uid="{B2C62F49-A0E6-4930-9B26-5C8C41FCC84B}">
      <formula1>$AE$2:$AE$22</formula1>
    </dataValidation>
    <dataValidation type="list" allowBlank="1" showInputMessage="1" showErrorMessage="1" sqref="WVO981805:WVO981894 WLS981805:WLS981894 WBW981805:WBW981894 VSA981805:VSA981894 VIE981805:VIE981894 UYI981805:UYI981894 UOM981805:UOM981894 UEQ981805:UEQ981894 TUU981805:TUU981894 TKY981805:TKY981894 TBC981805:TBC981894 SRG981805:SRG981894 SHK981805:SHK981894 RXO981805:RXO981894 RNS981805:RNS981894 RDW981805:RDW981894 QUA981805:QUA981894 QKE981805:QKE981894 QAI981805:QAI981894 PQM981805:PQM981894 PGQ981805:PGQ981894 OWU981805:OWU981894 OMY981805:OMY981894 ODC981805:ODC981894 NTG981805:NTG981894 NJK981805:NJK981894 MZO981805:MZO981894 MPS981805:MPS981894 MFW981805:MFW981894 LWA981805:LWA981894 LME981805:LME981894 LCI981805:LCI981894 KSM981805:KSM981894 KIQ981805:KIQ981894 JYU981805:JYU981894 JOY981805:JOY981894 JFC981805:JFC981894 IVG981805:IVG981894 ILK981805:ILK981894 IBO981805:IBO981894 HRS981805:HRS981894 HHW981805:HHW981894 GYA981805:GYA981894 GOE981805:GOE981894 GEI981805:GEI981894 FUM981805:FUM981894 FKQ981805:FKQ981894 FAU981805:FAU981894 EQY981805:EQY981894 EHC981805:EHC981894 DXG981805:DXG981894 DNK981805:DNK981894 DDO981805:DDO981894 CTS981805:CTS981894 CJW981805:CJW981894 CAA981805:CAA981894 BQE981805:BQE981894 BGI981805:BGI981894 AWM981805:AWM981894 AMQ981805:AMQ981894 ACU981805:ACU981894 SY981805:SY981894 JC981805:JC981894 G981814:G981903 WVO916269:WVO916358 WLS916269:WLS916358 WBW916269:WBW916358 VSA916269:VSA916358 VIE916269:VIE916358 UYI916269:UYI916358 UOM916269:UOM916358 UEQ916269:UEQ916358 TUU916269:TUU916358 TKY916269:TKY916358 TBC916269:TBC916358 SRG916269:SRG916358 SHK916269:SHK916358 RXO916269:RXO916358 RNS916269:RNS916358 RDW916269:RDW916358 QUA916269:QUA916358 QKE916269:QKE916358 QAI916269:QAI916358 PQM916269:PQM916358 PGQ916269:PGQ916358 OWU916269:OWU916358 OMY916269:OMY916358 ODC916269:ODC916358 NTG916269:NTG916358 NJK916269:NJK916358 MZO916269:MZO916358 MPS916269:MPS916358 MFW916269:MFW916358 LWA916269:LWA916358 LME916269:LME916358 LCI916269:LCI916358 KSM916269:KSM916358 KIQ916269:KIQ916358 JYU916269:JYU916358 JOY916269:JOY916358 JFC916269:JFC916358 IVG916269:IVG916358 ILK916269:ILK916358 IBO916269:IBO916358 HRS916269:HRS916358 HHW916269:HHW916358 GYA916269:GYA916358 GOE916269:GOE916358 GEI916269:GEI916358 FUM916269:FUM916358 FKQ916269:FKQ916358 FAU916269:FAU916358 EQY916269:EQY916358 EHC916269:EHC916358 DXG916269:DXG916358 DNK916269:DNK916358 DDO916269:DDO916358 CTS916269:CTS916358 CJW916269:CJW916358 CAA916269:CAA916358 BQE916269:BQE916358 BGI916269:BGI916358 AWM916269:AWM916358 AMQ916269:AMQ916358 ACU916269:ACU916358 SY916269:SY916358 JC916269:JC916358 G916278:G916367 WVO850733:WVO850822 WLS850733:WLS850822 WBW850733:WBW850822 VSA850733:VSA850822 VIE850733:VIE850822 UYI850733:UYI850822 UOM850733:UOM850822 UEQ850733:UEQ850822 TUU850733:TUU850822 TKY850733:TKY850822 TBC850733:TBC850822 SRG850733:SRG850822 SHK850733:SHK850822 RXO850733:RXO850822 RNS850733:RNS850822 RDW850733:RDW850822 QUA850733:QUA850822 QKE850733:QKE850822 QAI850733:QAI850822 PQM850733:PQM850822 PGQ850733:PGQ850822 OWU850733:OWU850822 OMY850733:OMY850822 ODC850733:ODC850822 NTG850733:NTG850822 NJK850733:NJK850822 MZO850733:MZO850822 MPS850733:MPS850822 MFW850733:MFW850822 LWA850733:LWA850822 LME850733:LME850822 LCI850733:LCI850822 KSM850733:KSM850822 KIQ850733:KIQ850822 JYU850733:JYU850822 JOY850733:JOY850822 JFC850733:JFC850822 IVG850733:IVG850822 ILK850733:ILK850822 IBO850733:IBO850822 HRS850733:HRS850822 HHW850733:HHW850822 GYA850733:GYA850822 GOE850733:GOE850822 GEI850733:GEI850822 FUM850733:FUM850822 FKQ850733:FKQ850822 FAU850733:FAU850822 EQY850733:EQY850822 EHC850733:EHC850822 DXG850733:DXG850822 DNK850733:DNK850822 DDO850733:DDO850822 CTS850733:CTS850822 CJW850733:CJW850822 CAA850733:CAA850822 BQE850733:BQE850822 BGI850733:BGI850822 AWM850733:AWM850822 AMQ850733:AMQ850822 ACU850733:ACU850822 SY850733:SY850822 JC850733:JC850822 G850742:G850831 WVO785197:WVO785286 WLS785197:WLS785286 WBW785197:WBW785286 VSA785197:VSA785286 VIE785197:VIE785286 UYI785197:UYI785286 UOM785197:UOM785286 UEQ785197:UEQ785286 TUU785197:TUU785286 TKY785197:TKY785286 TBC785197:TBC785286 SRG785197:SRG785286 SHK785197:SHK785286 RXO785197:RXO785286 RNS785197:RNS785286 RDW785197:RDW785286 QUA785197:QUA785286 QKE785197:QKE785286 QAI785197:QAI785286 PQM785197:PQM785286 PGQ785197:PGQ785286 OWU785197:OWU785286 OMY785197:OMY785286 ODC785197:ODC785286 NTG785197:NTG785286 NJK785197:NJK785286 MZO785197:MZO785286 MPS785197:MPS785286 MFW785197:MFW785286 LWA785197:LWA785286 LME785197:LME785286 LCI785197:LCI785286 KSM785197:KSM785286 KIQ785197:KIQ785286 JYU785197:JYU785286 JOY785197:JOY785286 JFC785197:JFC785286 IVG785197:IVG785286 ILK785197:ILK785286 IBO785197:IBO785286 HRS785197:HRS785286 HHW785197:HHW785286 GYA785197:GYA785286 GOE785197:GOE785286 GEI785197:GEI785286 FUM785197:FUM785286 FKQ785197:FKQ785286 FAU785197:FAU785286 EQY785197:EQY785286 EHC785197:EHC785286 DXG785197:DXG785286 DNK785197:DNK785286 DDO785197:DDO785286 CTS785197:CTS785286 CJW785197:CJW785286 CAA785197:CAA785286 BQE785197:BQE785286 BGI785197:BGI785286 AWM785197:AWM785286 AMQ785197:AMQ785286 ACU785197:ACU785286 SY785197:SY785286 JC785197:JC785286 G785206:G785295 WVO719661:WVO719750 WLS719661:WLS719750 WBW719661:WBW719750 VSA719661:VSA719750 VIE719661:VIE719750 UYI719661:UYI719750 UOM719661:UOM719750 UEQ719661:UEQ719750 TUU719661:TUU719750 TKY719661:TKY719750 TBC719661:TBC719750 SRG719661:SRG719750 SHK719661:SHK719750 RXO719661:RXO719750 RNS719661:RNS719750 RDW719661:RDW719750 QUA719661:QUA719750 QKE719661:QKE719750 QAI719661:QAI719750 PQM719661:PQM719750 PGQ719661:PGQ719750 OWU719661:OWU719750 OMY719661:OMY719750 ODC719661:ODC719750 NTG719661:NTG719750 NJK719661:NJK719750 MZO719661:MZO719750 MPS719661:MPS719750 MFW719661:MFW719750 LWA719661:LWA719750 LME719661:LME719750 LCI719661:LCI719750 KSM719661:KSM719750 KIQ719661:KIQ719750 JYU719661:JYU719750 JOY719661:JOY719750 JFC719661:JFC719750 IVG719661:IVG719750 ILK719661:ILK719750 IBO719661:IBO719750 HRS719661:HRS719750 HHW719661:HHW719750 GYA719661:GYA719750 GOE719661:GOE719750 GEI719661:GEI719750 FUM719661:FUM719750 FKQ719661:FKQ719750 FAU719661:FAU719750 EQY719661:EQY719750 EHC719661:EHC719750 DXG719661:DXG719750 DNK719661:DNK719750 DDO719661:DDO719750 CTS719661:CTS719750 CJW719661:CJW719750 CAA719661:CAA719750 BQE719661:BQE719750 BGI719661:BGI719750 AWM719661:AWM719750 AMQ719661:AMQ719750 ACU719661:ACU719750 SY719661:SY719750 JC719661:JC719750 G719670:G719759 WVO654125:WVO654214 WLS654125:WLS654214 WBW654125:WBW654214 VSA654125:VSA654214 VIE654125:VIE654214 UYI654125:UYI654214 UOM654125:UOM654214 UEQ654125:UEQ654214 TUU654125:TUU654214 TKY654125:TKY654214 TBC654125:TBC654214 SRG654125:SRG654214 SHK654125:SHK654214 RXO654125:RXO654214 RNS654125:RNS654214 RDW654125:RDW654214 QUA654125:QUA654214 QKE654125:QKE654214 QAI654125:QAI654214 PQM654125:PQM654214 PGQ654125:PGQ654214 OWU654125:OWU654214 OMY654125:OMY654214 ODC654125:ODC654214 NTG654125:NTG654214 NJK654125:NJK654214 MZO654125:MZO654214 MPS654125:MPS654214 MFW654125:MFW654214 LWA654125:LWA654214 LME654125:LME654214 LCI654125:LCI654214 KSM654125:KSM654214 KIQ654125:KIQ654214 JYU654125:JYU654214 JOY654125:JOY654214 JFC654125:JFC654214 IVG654125:IVG654214 ILK654125:ILK654214 IBO654125:IBO654214 HRS654125:HRS654214 HHW654125:HHW654214 GYA654125:GYA654214 GOE654125:GOE654214 GEI654125:GEI654214 FUM654125:FUM654214 FKQ654125:FKQ654214 FAU654125:FAU654214 EQY654125:EQY654214 EHC654125:EHC654214 DXG654125:DXG654214 DNK654125:DNK654214 DDO654125:DDO654214 CTS654125:CTS654214 CJW654125:CJW654214 CAA654125:CAA654214 BQE654125:BQE654214 BGI654125:BGI654214 AWM654125:AWM654214 AMQ654125:AMQ654214 ACU654125:ACU654214 SY654125:SY654214 JC654125:JC654214 G654134:G654223 WVO588589:WVO588678 WLS588589:WLS588678 WBW588589:WBW588678 VSA588589:VSA588678 VIE588589:VIE588678 UYI588589:UYI588678 UOM588589:UOM588678 UEQ588589:UEQ588678 TUU588589:TUU588678 TKY588589:TKY588678 TBC588589:TBC588678 SRG588589:SRG588678 SHK588589:SHK588678 RXO588589:RXO588678 RNS588589:RNS588678 RDW588589:RDW588678 QUA588589:QUA588678 QKE588589:QKE588678 QAI588589:QAI588678 PQM588589:PQM588678 PGQ588589:PGQ588678 OWU588589:OWU588678 OMY588589:OMY588678 ODC588589:ODC588678 NTG588589:NTG588678 NJK588589:NJK588678 MZO588589:MZO588678 MPS588589:MPS588678 MFW588589:MFW588678 LWA588589:LWA588678 LME588589:LME588678 LCI588589:LCI588678 KSM588589:KSM588678 KIQ588589:KIQ588678 JYU588589:JYU588678 JOY588589:JOY588678 JFC588589:JFC588678 IVG588589:IVG588678 ILK588589:ILK588678 IBO588589:IBO588678 HRS588589:HRS588678 HHW588589:HHW588678 GYA588589:GYA588678 GOE588589:GOE588678 GEI588589:GEI588678 FUM588589:FUM588678 FKQ588589:FKQ588678 FAU588589:FAU588678 EQY588589:EQY588678 EHC588589:EHC588678 DXG588589:DXG588678 DNK588589:DNK588678 DDO588589:DDO588678 CTS588589:CTS588678 CJW588589:CJW588678 CAA588589:CAA588678 BQE588589:BQE588678 BGI588589:BGI588678 AWM588589:AWM588678 AMQ588589:AMQ588678 ACU588589:ACU588678 SY588589:SY588678 JC588589:JC588678 G588598:G588687 WVO523053:WVO523142 WLS523053:WLS523142 WBW523053:WBW523142 VSA523053:VSA523142 VIE523053:VIE523142 UYI523053:UYI523142 UOM523053:UOM523142 UEQ523053:UEQ523142 TUU523053:TUU523142 TKY523053:TKY523142 TBC523053:TBC523142 SRG523053:SRG523142 SHK523053:SHK523142 RXO523053:RXO523142 RNS523053:RNS523142 RDW523053:RDW523142 QUA523053:QUA523142 QKE523053:QKE523142 QAI523053:QAI523142 PQM523053:PQM523142 PGQ523053:PGQ523142 OWU523053:OWU523142 OMY523053:OMY523142 ODC523053:ODC523142 NTG523053:NTG523142 NJK523053:NJK523142 MZO523053:MZO523142 MPS523053:MPS523142 MFW523053:MFW523142 LWA523053:LWA523142 LME523053:LME523142 LCI523053:LCI523142 KSM523053:KSM523142 KIQ523053:KIQ523142 JYU523053:JYU523142 JOY523053:JOY523142 JFC523053:JFC523142 IVG523053:IVG523142 ILK523053:ILK523142 IBO523053:IBO523142 HRS523053:HRS523142 HHW523053:HHW523142 GYA523053:GYA523142 GOE523053:GOE523142 GEI523053:GEI523142 FUM523053:FUM523142 FKQ523053:FKQ523142 FAU523053:FAU523142 EQY523053:EQY523142 EHC523053:EHC523142 DXG523053:DXG523142 DNK523053:DNK523142 DDO523053:DDO523142 CTS523053:CTS523142 CJW523053:CJW523142 CAA523053:CAA523142 BQE523053:BQE523142 BGI523053:BGI523142 AWM523053:AWM523142 AMQ523053:AMQ523142 ACU523053:ACU523142 SY523053:SY523142 JC523053:JC523142 G523062:G523151 WVO457517:WVO457606 WLS457517:WLS457606 WBW457517:WBW457606 VSA457517:VSA457606 VIE457517:VIE457606 UYI457517:UYI457606 UOM457517:UOM457606 UEQ457517:UEQ457606 TUU457517:TUU457606 TKY457517:TKY457606 TBC457517:TBC457606 SRG457517:SRG457606 SHK457517:SHK457606 RXO457517:RXO457606 RNS457517:RNS457606 RDW457517:RDW457606 QUA457517:QUA457606 QKE457517:QKE457606 QAI457517:QAI457606 PQM457517:PQM457606 PGQ457517:PGQ457606 OWU457517:OWU457606 OMY457517:OMY457606 ODC457517:ODC457606 NTG457517:NTG457606 NJK457517:NJK457606 MZO457517:MZO457606 MPS457517:MPS457606 MFW457517:MFW457606 LWA457517:LWA457606 LME457517:LME457606 LCI457517:LCI457606 KSM457517:KSM457606 KIQ457517:KIQ457606 JYU457517:JYU457606 JOY457517:JOY457606 JFC457517:JFC457606 IVG457517:IVG457606 ILK457517:ILK457606 IBO457517:IBO457606 HRS457517:HRS457606 HHW457517:HHW457606 GYA457517:GYA457606 GOE457517:GOE457606 GEI457517:GEI457606 FUM457517:FUM457606 FKQ457517:FKQ457606 FAU457517:FAU457606 EQY457517:EQY457606 EHC457517:EHC457606 DXG457517:DXG457606 DNK457517:DNK457606 DDO457517:DDO457606 CTS457517:CTS457606 CJW457517:CJW457606 CAA457517:CAA457606 BQE457517:BQE457606 BGI457517:BGI457606 AWM457517:AWM457606 AMQ457517:AMQ457606 ACU457517:ACU457606 SY457517:SY457606 JC457517:JC457606 G457526:G457615 WVO391981:WVO392070 WLS391981:WLS392070 WBW391981:WBW392070 VSA391981:VSA392070 VIE391981:VIE392070 UYI391981:UYI392070 UOM391981:UOM392070 UEQ391981:UEQ392070 TUU391981:TUU392070 TKY391981:TKY392070 TBC391981:TBC392070 SRG391981:SRG392070 SHK391981:SHK392070 RXO391981:RXO392070 RNS391981:RNS392070 RDW391981:RDW392070 QUA391981:QUA392070 QKE391981:QKE392070 QAI391981:QAI392070 PQM391981:PQM392070 PGQ391981:PGQ392070 OWU391981:OWU392070 OMY391981:OMY392070 ODC391981:ODC392070 NTG391981:NTG392070 NJK391981:NJK392070 MZO391981:MZO392070 MPS391981:MPS392070 MFW391981:MFW392070 LWA391981:LWA392070 LME391981:LME392070 LCI391981:LCI392070 KSM391981:KSM392070 KIQ391981:KIQ392070 JYU391981:JYU392070 JOY391981:JOY392070 JFC391981:JFC392070 IVG391981:IVG392070 ILK391981:ILK392070 IBO391981:IBO392070 HRS391981:HRS392070 HHW391981:HHW392070 GYA391981:GYA392070 GOE391981:GOE392070 GEI391981:GEI392070 FUM391981:FUM392070 FKQ391981:FKQ392070 FAU391981:FAU392070 EQY391981:EQY392070 EHC391981:EHC392070 DXG391981:DXG392070 DNK391981:DNK392070 DDO391981:DDO392070 CTS391981:CTS392070 CJW391981:CJW392070 CAA391981:CAA392070 BQE391981:BQE392070 BGI391981:BGI392070 AWM391981:AWM392070 AMQ391981:AMQ392070 ACU391981:ACU392070 SY391981:SY392070 JC391981:JC392070 G391990:G392079 WVO326445:WVO326534 WLS326445:WLS326534 WBW326445:WBW326534 VSA326445:VSA326534 VIE326445:VIE326534 UYI326445:UYI326534 UOM326445:UOM326534 UEQ326445:UEQ326534 TUU326445:TUU326534 TKY326445:TKY326534 TBC326445:TBC326534 SRG326445:SRG326534 SHK326445:SHK326534 RXO326445:RXO326534 RNS326445:RNS326534 RDW326445:RDW326534 QUA326445:QUA326534 QKE326445:QKE326534 QAI326445:QAI326534 PQM326445:PQM326534 PGQ326445:PGQ326534 OWU326445:OWU326534 OMY326445:OMY326534 ODC326445:ODC326534 NTG326445:NTG326534 NJK326445:NJK326534 MZO326445:MZO326534 MPS326445:MPS326534 MFW326445:MFW326534 LWA326445:LWA326534 LME326445:LME326534 LCI326445:LCI326534 KSM326445:KSM326534 KIQ326445:KIQ326534 JYU326445:JYU326534 JOY326445:JOY326534 JFC326445:JFC326534 IVG326445:IVG326534 ILK326445:ILK326534 IBO326445:IBO326534 HRS326445:HRS326534 HHW326445:HHW326534 GYA326445:GYA326534 GOE326445:GOE326534 GEI326445:GEI326534 FUM326445:FUM326534 FKQ326445:FKQ326534 FAU326445:FAU326534 EQY326445:EQY326534 EHC326445:EHC326534 DXG326445:DXG326534 DNK326445:DNK326534 DDO326445:DDO326534 CTS326445:CTS326534 CJW326445:CJW326534 CAA326445:CAA326534 BQE326445:BQE326534 BGI326445:BGI326534 AWM326445:AWM326534 AMQ326445:AMQ326534 ACU326445:ACU326534 SY326445:SY326534 JC326445:JC326534 G326454:G326543 WVO260909:WVO260998 WLS260909:WLS260998 WBW260909:WBW260998 VSA260909:VSA260998 VIE260909:VIE260998 UYI260909:UYI260998 UOM260909:UOM260998 UEQ260909:UEQ260998 TUU260909:TUU260998 TKY260909:TKY260998 TBC260909:TBC260998 SRG260909:SRG260998 SHK260909:SHK260998 RXO260909:RXO260998 RNS260909:RNS260998 RDW260909:RDW260998 QUA260909:QUA260998 QKE260909:QKE260998 QAI260909:QAI260998 PQM260909:PQM260998 PGQ260909:PGQ260998 OWU260909:OWU260998 OMY260909:OMY260998 ODC260909:ODC260998 NTG260909:NTG260998 NJK260909:NJK260998 MZO260909:MZO260998 MPS260909:MPS260998 MFW260909:MFW260998 LWA260909:LWA260998 LME260909:LME260998 LCI260909:LCI260998 KSM260909:KSM260998 KIQ260909:KIQ260998 JYU260909:JYU260998 JOY260909:JOY260998 JFC260909:JFC260998 IVG260909:IVG260998 ILK260909:ILK260998 IBO260909:IBO260998 HRS260909:HRS260998 HHW260909:HHW260998 GYA260909:GYA260998 GOE260909:GOE260998 GEI260909:GEI260998 FUM260909:FUM260998 FKQ260909:FKQ260998 FAU260909:FAU260998 EQY260909:EQY260998 EHC260909:EHC260998 DXG260909:DXG260998 DNK260909:DNK260998 DDO260909:DDO260998 CTS260909:CTS260998 CJW260909:CJW260998 CAA260909:CAA260998 BQE260909:BQE260998 BGI260909:BGI260998 AWM260909:AWM260998 AMQ260909:AMQ260998 ACU260909:ACU260998 SY260909:SY260998 JC260909:JC260998 G260918:G261007 WVO195373:WVO195462 WLS195373:WLS195462 WBW195373:WBW195462 VSA195373:VSA195462 VIE195373:VIE195462 UYI195373:UYI195462 UOM195373:UOM195462 UEQ195373:UEQ195462 TUU195373:TUU195462 TKY195373:TKY195462 TBC195373:TBC195462 SRG195373:SRG195462 SHK195373:SHK195462 RXO195373:RXO195462 RNS195373:RNS195462 RDW195373:RDW195462 QUA195373:QUA195462 QKE195373:QKE195462 QAI195373:QAI195462 PQM195373:PQM195462 PGQ195373:PGQ195462 OWU195373:OWU195462 OMY195373:OMY195462 ODC195373:ODC195462 NTG195373:NTG195462 NJK195373:NJK195462 MZO195373:MZO195462 MPS195373:MPS195462 MFW195373:MFW195462 LWA195373:LWA195462 LME195373:LME195462 LCI195373:LCI195462 KSM195373:KSM195462 KIQ195373:KIQ195462 JYU195373:JYU195462 JOY195373:JOY195462 JFC195373:JFC195462 IVG195373:IVG195462 ILK195373:ILK195462 IBO195373:IBO195462 HRS195373:HRS195462 HHW195373:HHW195462 GYA195373:GYA195462 GOE195373:GOE195462 GEI195373:GEI195462 FUM195373:FUM195462 FKQ195373:FKQ195462 FAU195373:FAU195462 EQY195373:EQY195462 EHC195373:EHC195462 DXG195373:DXG195462 DNK195373:DNK195462 DDO195373:DDO195462 CTS195373:CTS195462 CJW195373:CJW195462 CAA195373:CAA195462 BQE195373:BQE195462 BGI195373:BGI195462 AWM195373:AWM195462 AMQ195373:AMQ195462 ACU195373:ACU195462 SY195373:SY195462 JC195373:JC195462 G195382:G195471 WVO129837:WVO129926 WLS129837:WLS129926 WBW129837:WBW129926 VSA129837:VSA129926 VIE129837:VIE129926 UYI129837:UYI129926 UOM129837:UOM129926 UEQ129837:UEQ129926 TUU129837:TUU129926 TKY129837:TKY129926 TBC129837:TBC129926 SRG129837:SRG129926 SHK129837:SHK129926 RXO129837:RXO129926 RNS129837:RNS129926 RDW129837:RDW129926 QUA129837:QUA129926 QKE129837:QKE129926 QAI129837:QAI129926 PQM129837:PQM129926 PGQ129837:PGQ129926 OWU129837:OWU129926 OMY129837:OMY129926 ODC129837:ODC129926 NTG129837:NTG129926 NJK129837:NJK129926 MZO129837:MZO129926 MPS129837:MPS129926 MFW129837:MFW129926 LWA129837:LWA129926 LME129837:LME129926 LCI129837:LCI129926 KSM129837:KSM129926 KIQ129837:KIQ129926 JYU129837:JYU129926 JOY129837:JOY129926 JFC129837:JFC129926 IVG129837:IVG129926 ILK129837:ILK129926 IBO129837:IBO129926 HRS129837:HRS129926 HHW129837:HHW129926 GYA129837:GYA129926 GOE129837:GOE129926 GEI129837:GEI129926 FUM129837:FUM129926 FKQ129837:FKQ129926 FAU129837:FAU129926 EQY129837:EQY129926 EHC129837:EHC129926 DXG129837:DXG129926 DNK129837:DNK129926 DDO129837:DDO129926 CTS129837:CTS129926 CJW129837:CJW129926 CAA129837:CAA129926 BQE129837:BQE129926 BGI129837:BGI129926 AWM129837:AWM129926 AMQ129837:AMQ129926 ACU129837:ACU129926 SY129837:SY129926 JC129837:JC129926 G129846:G129935 WVO64301:WVO64390 WLS64301:WLS64390 WBW64301:WBW64390 VSA64301:VSA64390 VIE64301:VIE64390 UYI64301:UYI64390 UOM64301:UOM64390 UEQ64301:UEQ64390 TUU64301:TUU64390 TKY64301:TKY64390 TBC64301:TBC64390 SRG64301:SRG64390 SHK64301:SHK64390 RXO64301:RXO64390 RNS64301:RNS64390 RDW64301:RDW64390 QUA64301:QUA64390 QKE64301:QKE64390 QAI64301:QAI64390 PQM64301:PQM64390 PGQ64301:PGQ64390 OWU64301:OWU64390 OMY64301:OMY64390 ODC64301:ODC64390 NTG64301:NTG64390 NJK64301:NJK64390 MZO64301:MZO64390 MPS64301:MPS64390 MFW64301:MFW64390 LWA64301:LWA64390 LME64301:LME64390 LCI64301:LCI64390 KSM64301:KSM64390 KIQ64301:KIQ64390 JYU64301:JYU64390 JOY64301:JOY64390 JFC64301:JFC64390 IVG64301:IVG64390 ILK64301:ILK64390 IBO64301:IBO64390 HRS64301:HRS64390 HHW64301:HHW64390 GYA64301:GYA64390 GOE64301:GOE64390 GEI64301:GEI64390 FUM64301:FUM64390 FKQ64301:FKQ64390 FAU64301:FAU64390 EQY64301:EQY64390 EHC64301:EHC64390 DXG64301:DXG64390 DNK64301:DNK64390 DDO64301:DDO64390 CTS64301:CTS64390 CJW64301:CJW64390 CAA64301:CAA64390 BQE64301:BQE64390 BGI64301:BGI64390 AWM64301:AWM64390 AMQ64301:AMQ64390 ACU64301:ACU64390 SY64301:SY64390 JC64301:JC64390 G64310:G64399 G96:G500 G2:G94 SY2:SY73 ACU2:ACU73 AMQ2:AMQ73 AWM2:AWM73 BGI2:BGI73 BQE2:BQE73 CAA2:CAA73 CJW2:CJW73 CTS2:CTS73 DDO2:DDO73 DNK2:DNK73 DXG2:DXG73 EHC2:EHC73 EQY2:EQY73 FAU2:FAU73 FKQ2:FKQ73 FUM2:FUM73 GEI2:GEI73 GOE2:GOE73 GYA2:GYA73 HHW2:HHW73 HRS2:HRS73 IBO2:IBO73 ILK2:ILK73 IVG2:IVG73 JFC2:JFC73 JOY2:JOY73 JYU2:JYU73 KIQ2:KIQ73 KSM2:KSM73 LCI2:LCI73 LME2:LME73 LWA2:LWA73 MFW2:MFW73 MPS2:MPS73 MZO2:MZO73 NJK2:NJK73 NTG2:NTG73 ODC2:ODC73 OMY2:OMY73 OWU2:OWU73 PGQ2:PGQ73 PQM2:PQM73 QAI2:QAI73 QKE2:QKE73 QUA2:QUA73 RDW2:RDW73 RNS2:RNS73 RXO2:RXO73 SHK2:SHK73 SRG2:SRG73 TBC2:TBC73 TKY2:TKY73 TUU2:TUU73 UEQ2:UEQ73 UOM2:UOM73 UYI2:UYI73 VIE2:VIE73 VSA2:VSA73 WBW2:WBW73 WLS2:WLS73 WVO2:WVO73 JC2:JC73" xr:uid="{C30DA091-A650-4EF5-8436-E142279229D7}">
      <formula1>$AJ$2:$AJ$4</formula1>
    </dataValidation>
    <dataValidation type="list" allowBlank="1" showInputMessage="1" showErrorMessage="1" sqref="WVP981805:WVP981894 WLT981805:WLT981894 WBX981805:WBX981894 VSB981805:VSB981894 VIF981805:VIF981894 UYJ981805:UYJ981894 UON981805:UON981894 UER981805:UER981894 TUV981805:TUV981894 TKZ981805:TKZ981894 TBD981805:TBD981894 SRH981805:SRH981894 SHL981805:SHL981894 RXP981805:RXP981894 RNT981805:RNT981894 RDX981805:RDX981894 QUB981805:QUB981894 QKF981805:QKF981894 QAJ981805:QAJ981894 PQN981805:PQN981894 PGR981805:PGR981894 OWV981805:OWV981894 OMZ981805:OMZ981894 ODD981805:ODD981894 NTH981805:NTH981894 NJL981805:NJL981894 MZP981805:MZP981894 MPT981805:MPT981894 MFX981805:MFX981894 LWB981805:LWB981894 LMF981805:LMF981894 LCJ981805:LCJ981894 KSN981805:KSN981894 KIR981805:KIR981894 JYV981805:JYV981894 JOZ981805:JOZ981894 JFD981805:JFD981894 IVH981805:IVH981894 ILL981805:ILL981894 IBP981805:IBP981894 HRT981805:HRT981894 HHX981805:HHX981894 GYB981805:GYB981894 GOF981805:GOF981894 GEJ981805:GEJ981894 FUN981805:FUN981894 FKR981805:FKR981894 FAV981805:FAV981894 EQZ981805:EQZ981894 EHD981805:EHD981894 DXH981805:DXH981894 DNL981805:DNL981894 DDP981805:DDP981894 CTT981805:CTT981894 CJX981805:CJX981894 CAB981805:CAB981894 BQF981805:BQF981894 BGJ981805:BGJ981894 AWN981805:AWN981894 AMR981805:AMR981894 ACV981805:ACV981894 SZ981805:SZ981894 JD981805:JD981894 H981826:H981915 WVP916269:WVP916358 WLT916269:WLT916358 WBX916269:WBX916358 VSB916269:VSB916358 VIF916269:VIF916358 UYJ916269:UYJ916358 UON916269:UON916358 UER916269:UER916358 TUV916269:TUV916358 TKZ916269:TKZ916358 TBD916269:TBD916358 SRH916269:SRH916358 SHL916269:SHL916358 RXP916269:RXP916358 RNT916269:RNT916358 RDX916269:RDX916358 QUB916269:QUB916358 QKF916269:QKF916358 QAJ916269:QAJ916358 PQN916269:PQN916358 PGR916269:PGR916358 OWV916269:OWV916358 OMZ916269:OMZ916358 ODD916269:ODD916358 NTH916269:NTH916358 NJL916269:NJL916358 MZP916269:MZP916358 MPT916269:MPT916358 MFX916269:MFX916358 LWB916269:LWB916358 LMF916269:LMF916358 LCJ916269:LCJ916358 KSN916269:KSN916358 KIR916269:KIR916358 JYV916269:JYV916358 JOZ916269:JOZ916358 JFD916269:JFD916358 IVH916269:IVH916358 ILL916269:ILL916358 IBP916269:IBP916358 HRT916269:HRT916358 HHX916269:HHX916358 GYB916269:GYB916358 GOF916269:GOF916358 GEJ916269:GEJ916358 FUN916269:FUN916358 FKR916269:FKR916358 FAV916269:FAV916358 EQZ916269:EQZ916358 EHD916269:EHD916358 DXH916269:DXH916358 DNL916269:DNL916358 DDP916269:DDP916358 CTT916269:CTT916358 CJX916269:CJX916358 CAB916269:CAB916358 BQF916269:BQF916358 BGJ916269:BGJ916358 AWN916269:AWN916358 AMR916269:AMR916358 ACV916269:ACV916358 SZ916269:SZ916358 JD916269:JD916358 H916290:H916379 WVP850733:WVP850822 WLT850733:WLT850822 WBX850733:WBX850822 VSB850733:VSB850822 VIF850733:VIF850822 UYJ850733:UYJ850822 UON850733:UON850822 UER850733:UER850822 TUV850733:TUV850822 TKZ850733:TKZ850822 TBD850733:TBD850822 SRH850733:SRH850822 SHL850733:SHL850822 RXP850733:RXP850822 RNT850733:RNT850822 RDX850733:RDX850822 QUB850733:QUB850822 QKF850733:QKF850822 QAJ850733:QAJ850822 PQN850733:PQN850822 PGR850733:PGR850822 OWV850733:OWV850822 OMZ850733:OMZ850822 ODD850733:ODD850822 NTH850733:NTH850822 NJL850733:NJL850822 MZP850733:MZP850822 MPT850733:MPT850822 MFX850733:MFX850822 LWB850733:LWB850822 LMF850733:LMF850822 LCJ850733:LCJ850822 KSN850733:KSN850822 KIR850733:KIR850822 JYV850733:JYV850822 JOZ850733:JOZ850822 JFD850733:JFD850822 IVH850733:IVH850822 ILL850733:ILL850822 IBP850733:IBP850822 HRT850733:HRT850822 HHX850733:HHX850822 GYB850733:GYB850822 GOF850733:GOF850822 GEJ850733:GEJ850822 FUN850733:FUN850822 FKR850733:FKR850822 FAV850733:FAV850822 EQZ850733:EQZ850822 EHD850733:EHD850822 DXH850733:DXH850822 DNL850733:DNL850822 DDP850733:DDP850822 CTT850733:CTT850822 CJX850733:CJX850822 CAB850733:CAB850822 BQF850733:BQF850822 BGJ850733:BGJ850822 AWN850733:AWN850822 AMR850733:AMR850822 ACV850733:ACV850822 SZ850733:SZ850822 JD850733:JD850822 H850754:H850843 WVP785197:WVP785286 WLT785197:WLT785286 WBX785197:WBX785286 VSB785197:VSB785286 VIF785197:VIF785286 UYJ785197:UYJ785286 UON785197:UON785286 UER785197:UER785286 TUV785197:TUV785286 TKZ785197:TKZ785286 TBD785197:TBD785286 SRH785197:SRH785286 SHL785197:SHL785286 RXP785197:RXP785286 RNT785197:RNT785286 RDX785197:RDX785286 QUB785197:QUB785286 QKF785197:QKF785286 QAJ785197:QAJ785286 PQN785197:PQN785286 PGR785197:PGR785286 OWV785197:OWV785286 OMZ785197:OMZ785286 ODD785197:ODD785286 NTH785197:NTH785286 NJL785197:NJL785286 MZP785197:MZP785286 MPT785197:MPT785286 MFX785197:MFX785286 LWB785197:LWB785286 LMF785197:LMF785286 LCJ785197:LCJ785286 KSN785197:KSN785286 KIR785197:KIR785286 JYV785197:JYV785286 JOZ785197:JOZ785286 JFD785197:JFD785286 IVH785197:IVH785286 ILL785197:ILL785286 IBP785197:IBP785286 HRT785197:HRT785286 HHX785197:HHX785286 GYB785197:GYB785286 GOF785197:GOF785286 GEJ785197:GEJ785286 FUN785197:FUN785286 FKR785197:FKR785286 FAV785197:FAV785286 EQZ785197:EQZ785286 EHD785197:EHD785286 DXH785197:DXH785286 DNL785197:DNL785286 DDP785197:DDP785286 CTT785197:CTT785286 CJX785197:CJX785286 CAB785197:CAB785286 BQF785197:BQF785286 BGJ785197:BGJ785286 AWN785197:AWN785286 AMR785197:AMR785286 ACV785197:ACV785286 SZ785197:SZ785286 JD785197:JD785286 H785218:H785307 WVP719661:WVP719750 WLT719661:WLT719750 WBX719661:WBX719750 VSB719661:VSB719750 VIF719661:VIF719750 UYJ719661:UYJ719750 UON719661:UON719750 UER719661:UER719750 TUV719661:TUV719750 TKZ719661:TKZ719750 TBD719661:TBD719750 SRH719661:SRH719750 SHL719661:SHL719750 RXP719661:RXP719750 RNT719661:RNT719750 RDX719661:RDX719750 QUB719661:QUB719750 QKF719661:QKF719750 QAJ719661:QAJ719750 PQN719661:PQN719750 PGR719661:PGR719750 OWV719661:OWV719750 OMZ719661:OMZ719750 ODD719661:ODD719750 NTH719661:NTH719750 NJL719661:NJL719750 MZP719661:MZP719750 MPT719661:MPT719750 MFX719661:MFX719750 LWB719661:LWB719750 LMF719661:LMF719750 LCJ719661:LCJ719750 KSN719661:KSN719750 KIR719661:KIR719750 JYV719661:JYV719750 JOZ719661:JOZ719750 JFD719661:JFD719750 IVH719661:IVH719750 ILL719661:ILL719750 IBP719661:IBP719750 HRT719661:HRT719750 HHX719661:HHX719750 GYB719661:GYB719750 GOF719661:GOF719750 GEJ719661:GEJ719750 FUN719661:FUN719750 FKR719661:FKR719750 FAV719661:FAV719750 EQZ719661:EQZ719750 EHD719661:EHD719750 DXH719661:DXH719750 DNL719661:DNL719750 DDP719661:DDP719750 CTT719661:CTT719750 CJX719661:CJX719750 CAB719661:CAB719750 BQF719661:BQF719750 BGJ719661:BGJ719750 AWN719661:AWN719750 AMR719661:AMR719750 ACV719661:ACV719750 SZ719661:SZ719750 JD719661:JD719750 H719682:H719771 WVP654125:WVP654214 WLT654125:WLT654214 WBX654125:WBX654214 VSB654125:VSB654214 VIF654125:VIF654214 UYJ654125:UYJ654214 UON654125:UON654214 UER654125:UER654214 TUV654125:TUV654214 TKZ654125:TKZ654214 TBD654125:TBD654214 SRH654125:SRH654214 SHL654125:SHL654214 RXP654125:RXP654214 RNT654125:RNT654214 RDX654125:RDX654214 QUB654125:QUB654214 QKF654125:QKF654214 QAJ654125:QAJ654214 PQN654125:PQN654214 PGR654125:PGR654214 OWV654125:OWV654214 OMZ654125:OMZ654214 ODD654125:ODD654214 NTH654125:NTH654214 NJL654125:NJL654214 MZP654125:MZP654214 MPT654125:MPT654214 MFX654125:MFX654214 LWB654125:LWB654214 LMF654125:LMF654214 LCJ654125:LCJ654214 KSN654125:KSN654214 KIR654125:KIR654214 JYV654125:JYV654214 JOZ654125:JOZ654214 JFD654125:JFD654214 IVH654125:IVH654214 ILL654125:ILL654214 IBP654125:IBP654214 HRT654125:HRT654214 HHX654125:HHX654214 GYB654125:GYB654214 GOF654125:GOF654214 GEJ654125:GEJ654214 FUN654125:FUN654214 FKR654125:FKR654214 FAV654125:FAV654214 EQZ654125:EQZ654214 EHD654125:EHD654214 DXH654125:DXH654214 DNL654125:DNL654214 DDP654125:DDP654214 CTT654125:CTT654214 CJX654125:CJX654214 CAB654125:CAB654214 BQF654125:BQF654214 BGJ654125:BGJ654214 AWN654125:AWN654214 AMR654125:AMR654214 ACV654125:ACV654214 SZ654125:SZ654214 JD654125:JD654214 H654146:H654235 WVP588589:WVP588678 WLT588589:WLT588678 WBX588589:WBX588678 VSB588589:VSB588678 VIF588589:VIF588678 UYJ588589:UYJ588678 UON588589:UON588678 UER588589:UER588678 TUV588589:TUV588678 TKZ588589:TKZ588678 TBD588589:TBD588678 SRH588589:SRH588678 SHL588589:SHL588678 RXP588589:RXP588678 RNT588589:RNT588678 RDX588589:RDX588678 QUB588589:QUB588678 QKF588589:QKF588678 QAJ588589:QAJ588678 PQN588589:PQN588678 PGR588589:PGR588678 OWV588589:OWV588678 OMZ588589:OMZ588678 ODD588589:ODD588678 NTH588589:NTH588678 NJL588589:NJL588678 MZP588589:MZP588678 MPT588589:MPT588678 MFX588589:MFX588678 LWB588589:LWB588678 LMF588589:LMF588678 LCJ588589:LCJ588678 KSN588589:KSN588678 KIR588589:KIR588678 JYV588589:JYV588678 JOZ588589:JOZ588678 JFD588589:JFD588678 IVH588589:IVH588678 ILL588589:ILL588678 IBP588589:IBP588678 HRT588589:HRT588678 HHX588589:HHX588678 GYB588589:GYB588678 GOF588589:GOF588678 GEJ588589:GEJ588678 FUN588589:FUN588678 FKR588589:FKR588678 FAV588589:FAV588678 EQZ588589:EQZ588678 EHD588589:EHD588678 DXH588589:DXH588678 DNL588589:DNL588678 DDP588589:DDP588678 CTT588589:CTT588678 CJX588589:CJX588678 CAB588589:CAB588678 BQF588589:BQF588678 BGJ588589:BGJ588678 AWN588589:AWN588678 AMR588589:AMR588678 ACV588589:ACV588678 SZ588589:SZ588678 JD588589:JD588678 H588610:H588699 WVP523053:WVP523142 WLT523053:WLT523142 WBX523053:WBX523142 VSB523053:VSB523142 VIF523053:VIF523142 UYJ523053:UYJ523142 UON523053:UON523142 UER523053:UER523142 TUV523053:TUV523142 TKZ523053:TKZ523142 TBD523053:TBD523142 SRH523053:SRH523142 SHL523053:SHL523142 RXP523053:RXP523142 RNT523053:RNT523142 RDX523053:RDX523142 QUB523053:QUB523142 QKF523053:QKF523142 QAJ523053:QAJ523142 PQN523053:PQN523142 PGR523053:PGR523142 OWV523053:OWV523142 OMZ523053:OMZ523142 ODD523053:ODD523142 NTH523053:NTH523142 NJL523053:NJL523142 MZP523053:MZP523142 MPT523053:MPT523142 MFX523053:MFX523142 LWB523053:LWB523142 LMF523053:LMF523142 LCJ523053:LCJ523142 KSN523053:KSN523142 KIR523053:KIR523142 JYV523053:JYV523142 JOZ523053:JOZ523142 JFD523053:JFD523142 IVH523053:IVH523142 ILL523053:ILL523142 IBP523053:IBP523142 HRT523053:HRT523142 HHX523053:HHX523142 GYB523053:GYB523142 GOF523053:GOF523142 GEJ523053:GEJ523142 FUN523053:FUN523142 FKR523053:FKR523142 FAV523053:FAV523142 EQZ523053:EQZ523142 EHD523053:EHD523142 DXH523053:DXH523142 DNL523053:DNL523142 DDP523053:DDP523142 CTT523053:CTT523142 CJX523053:CJX523142 CAB523053:CAB523142 BQF523053:BQF523142 BGJ523053:BGJ523142 AWN523053:AWN523142 AMR523053:AMR523142 ACV523053:ACV523142 SZ523053:SZ523142 JD523053:JD523142 H523074:H523163 WVP457517:WVP457606 WLT457517:WLT457606 WBX457517:WBX457606 VSB457517:VSB457606 VIF457517:VIF457606 UYJ457517:UYJ457606 UON457517:UON457606 UER457517:UER457606 TUV457517:TUV457606 TKZ457517:TKZ457606 TBD457517:TBD457606 SRH457517:SRH457606 SHL457517:SHL457606 RXP457517:RXP457606 RNT457517:RNT457606 RDX457517:RDX457606 QUB457517:QUB457606 QKF457517:QKF457606 QAJ457517:QAJ457606 PQN457517:PQN457606 PGR457517:PGR457606 OWV457517:OWV457606 OMZ457517:OMZ457606 ODD457517:ODD457606 NTH457517:NTH457606 NJL457517:NJL457606 MZP457517:MZP457606 MPT457517:MPT457606 MFX457517:MFX457606 LWB457517:LWB457606 LMF457517:LMF457606 LCJ457517:LCJ457606 KSN457517:KSN457606 KIR457517:KIR457606 JYV457517:JYV457606 JOZ457517:JOZ457606 JFD457517:JFD457606 IVH457517:IVH457606 ILL457517:ILL457606 IBP457517:IBP457606 HRT457517:HRT457606 HHX457517:HHX457606 GYB457517:GYB457606 GOF457517:GOF457606 GEJ457517:GEJ457606 FUN457517:FUN457606 FKR457517:FKR457606 FAV457517:FAV457606 EQZ457517:EQZ457606 EHD457517:EHD457606 DXH457517:DXH457606 DNL457517:DNL457606 DDP457517:DDP457606 CTT457517:CTT457606 CJX457517:CJX457606 CAB457517:CAB457606 BQF457517:BQF457606 BGJ457517:BGJ457606 AWN457517:AWN457606 AMR457517:AMR457606 ACV457517:ACV457606 SZ457517:SZ457606 JD457517:JD457606 H457538:H457627 WVP391981:WVP392070 WLT391981:WLT392070 WBX391981:WBX392070 VSB391981:VSB392070 VIF391981:VIF392070 UYJ391981:UYJ392070 UON391981:UON392070 UER391981:UER392070 TUV391981:TUV392070 TKZ391981:TKZ392070 TBD391981:TBD392070 SRH391981:SRH392070 SHL391981:SHL392070 RXP391981:RXP392070 RNT391981:RNT392070 RDX391981:RDX392070 QUB391981:QUB392070 QKF391981:QKF392070 QAJ391981:QAJ392070 PQN391981:PQN392070 PGR391981:PGR392070 OWV391981:OWV392070 OMZ391981:OMZ392070 ODD391981:ODD392070 NTH391981:NTH392070 NJL391981:NJL392070 MZP391981:MZP392070 MPT391981:MPT392070 MFX391981:MFX392070 LWB391981:LWB392070 LMF391981:LMF392070 LCJ391981:LCJ392070 KSN391981:KSN392070 KIR391981:KIR392070 JYV391981:JYV392070 JOZ391981:JOZ392070 JFD391981:JFD392070 IVH391981:IVH392070 ILL391981:ILL392070 IBP391981:IBP392070 HRT391981:HRT392070 HHX391981:HHX392070 GYB391981:GYB392070 GOF391981:GOF392070 GEJ391981:GEJ392070 FUN391981:FUN392070 FKR391981:FKR392070 FAV391981:FAV392070 EQZ391981:EQZ392070 EHD391981:EHD392070 DXH391981:DXH392070 DNL391981:DNL392070 DDP391981:DDP392070 CTT391981:CTT392070 CJX391981:CJX392070 CAB391981:CAB392070 BQF391981:BQF392070 BGJ391981:BGJ392070 AWN391981:AWN392070 AMR391981:AMR392070 ACV391981:ACV392070 SZ391981:SZ392070 JD391981:JD392070 H392002:H392091 WVP326445:WVP326534 WLT326445:WLT326534 WBX326445:WBX326534 VSB326445:VSB326534 VIF326445:VIF326534 UYJ326445:UYJ326534 UON326445:UON326534 UER326445:UER326534 TUV326445:TUV326534 TKZ326445:TKZ326534 TBD326445:TBD326534 SRH326445:SRH326534 SHL326445:SHL326534 RXP326445:RXP326534 RNT326445:RNT326534 RDX326445:RDX326534 QUB326445:QUB326534 QKF326445:QKF326534 QAJ326445:QAJ326534 PQN326445:PQN326534 PGR326445:PGR326534 OWV326445:OWV326534 OMZ326445:OMZ326534 ODD326445:ODD326534 NTH326445:NTH326534 NJL326445:NJL326534 MZP326445:MZP326534 MPT326445:MPT326534 MFX326445:MFX326534 LWB326445:LWB326534 LMF326445:LMF326534 LCJ326445:LCJ326534 KSN326445:KSN326534 KIR326445:KIR326534 JYV326445:JYV326534 JOZ326445:JOZ326534 JFD326445:JFD326534 IVH326445:IVH326534 ILL326445:ILL326534 IBP326445:IBP326534 HRT326445:HRT326534 HHX326445:HHX326534 GYB326445:GYB326534 GOF326445:GOF326534 GEJ326445:GEJ326534 FUN326445:FUN326534 FKR326445:FKR326534 FAV326445:FAV326534 EQZ326445:EQZ326534 EHD326445:EHD326534 DXH326445:DXH326534 DNL326445:DNL326534 DDP326445:DDP326534 CTT326445:CTT326534 CJX326445:CJX326534 CAB326445:CAB326534 BQF326445:BQF326534 BGJ326445:BGJ326534 AWN326445:AWN326534 AMR326445:AMR326534 ACV326445:ACV326534 SZ326445:SZ326534 JD326445:JD326534 H326466:H326555 WVP260909:WVP260998 WLT260909:WLT260998 WBX260909:WBX260998 VSB260909:VSB260998 VIF260909:VIF260998 UYJ260909:UYJ260998 UON260909:UON260998 UER260909:UER260998 TUV260909:TUV260998 TKZ260909:TKZ260998 TBD260909:TBD260998 SRH260909:SRH260998 SHL260909:SHL260998 RXP260909:RXP260998 RNT260909:RNT260998 RDX260909:RDX260998 QUB260909:QUB260998 QKF260909:QKF260998 QAJ260909:QAJ260998 PQN260909:PQN260998 PGR260909:PGR260998 OWV260909:OWV260998 OMZ260909:OMZ260998 ODD260909:ODD260998 NTH260909:NTH260998 NJL260909:NJL260998 MZP260909:MZP260998 MPT260909:MPT260998 MFX260909:MFX260998 LWB260909:LWB260998 LMF260909:LMF260998 LCJ260909:LCJ260998 KSN260909:KSN260998 KIR260909:KIR260998 JYV260909:JYV260998 JOZ260909:JOZ260998 JFD260909:JFD260998 IVH260909:IVH260998 ILL260909:ILL260998 IBP260909:IBP260998 HRT260909:HRT260998 HHX260909:HHX260998 GYB260909:GYB260998 GOF260909:GOF260998 GEJ260909:GEJ260998 FUN260909:FUN260998 FKR260909:FKR260998 FAV260909:FAV260998 EQZ260909:EQZ260998 EHD260909:EHD260998 DXH260909:DXH260998 DNL260909:DNL260998 DDP260909:DDP260998 CTT260909:CTT260998 CJX260909:CJX260998 CAB260909:CAB260998 BQF260909:BQF260998 BGJ260909:BGJ260998 AWN260909:AWN260998 AMR260909:AMR260998 ACV260909:ACV260998 SZ260909:SZ260998 JD260909:JD260998 H260930:H261019 WVP195373:WVP195462 WLT195373:WLT195462 WBX195373:WBX195462 VSB195373:VSB195462 VIF195373:VIF195462 UYJ195373:UYJ195462 UON195373:UON195462 UER195373:UER195462 TUV195373:TUV195462 TKZ195373:TKZ195462 TBD195373:TBD195462 SRH195373:SRH195462 SHL195373:SHL195462 RXP195373:RXP195462 RNT195373:RNT195462 RDX195373:RDX195462 QUB195373:QUB195462 QKF195373:QKF195462 QAJ195373:QAJ195462 PQN195373:PQN195462 PGR195373:PGR195462 OWV195373:OWV195462 OMZ195373:OMZ195462 ODD195373:ODD195462 NTH195373:NTH195462 NJL195373:NJL195462 MZP195373:MZP195462 MPT195373:MPT195462 MFX195373:MFX195462 LWB195373:LWB195462 LMF195373:LMF195462 LCJ195373:LCJ195462 KSN195373:KSN195462 KIR195373:KIR195462 JYV195373:JYV195462 JOZ195373:JOZ195462 JFD195373:JFD195462 IVH195373:IVH195462 ILL195373:ILL195462 IBP195373:IBP195462 HRT195373:HRT195462 HHX195373:HHX195462 GYB195373:GYB195462 GOF195373:GOF195462 GEJ195373:GEJ195462 FUN195373:FUN195462 FKR195373:FKR195462 FAV195373:FAV195462 EQZ195373:EQZ195462 EHD195373:EHD195462 DXH195373:DXH195462 DNL195373:DNL195462 DDP195373:DDP195462 CTT195373:CTT195462 CJX195373:CJX195462 CAB195373:CAB195462 BQF195373:BQF195462 BGJ195373:BGJ195462 AWN195373:AWN195462 AMR195373:AMR195462 ACV195373:ACV195462 SZ195373:SZ195462 JD195373:JD195462 H195394:H195483 WVP129837:WVP129926 WLT129837:WLT129926 WBX129837:WBX129926 VSB129837:VSB129926 VIF129837:VIF129926 UYJ129837:UYJ129926 UON129837:UON129926 UER129837:UER129926 TUV129837:TUV129926 TKZ129837:TKZ129926 TBD129837:TBD129926 SRH129837:SRH129926 SHL129837:SHL129926 RXP129837:RXP129926 RNT129837:RNT129926 RDX129837:RDX129926 QUB129837:QUB129926 QKF129837:QKF129926 QAJ129837:QAJ129926 PQN129837:PQN129926 PGR129837:PGR129926 OWV129837:OWV129926 OMZ129837:OMZ129926 ODD129837:ODD129926 NTH129837:NTH129926 NJL129837:NJL129926 MZP129837:MZP129926 MPT129837:MPT129926 MFX129837:MFX129926 LWB129837:LWB129926 LMF129837:LMF129926 LCJ129837:LCJ129926 KSN129837:KSN129926 KIR129837:KIR129926 JYV129837:JYV129926 JOZ129837:JOZ129926 JFD129837:JFD129926 IVH129837:IVH129926 ILL129837:ILL129926 IBP129837:IBP129926 HRT129837:HRT129926 HHX129837:HHX129926 GYB129837:GYB129926 GOF129837:GOF129926 GEJ129837:GEJ129926 FUN129837:FUN129926 FKR129837:FKR129926 FAV129837:FAV129926 EQZ129837:EQZ129926 EHD129837:EHD129926 DXH129837:DXH129926 DNL129837:DNL129926 DDP129837:DDP129926 CTT129837:CTT129926 CJX129837:CJX129926 CAB129837:CAB129926 BQF129837:BQF129926 BGJ129837:BGJ129926 AWN129837:AWN129926 AMR129837:AMR129926 ACV129837:ACV129926 SZ129837:SZ129926 JD129837:JD129926 H129858:H129947 WVP64301:WVP64390 WLT64301:WLT64390 WBX64301:WBX64390 VSB64301:VSB64390 VIF64301:VIF64390 UYJ64301:UYJ64390 UON64301:UON64390 UER64301:UER64390 TUV64301:TUV64390 TKZ64301:TKZ64390 TBD64301:TBD64390 SRH64301:SRH64390 SHL64301:SHL64390 RXP64301:RXP64390 RNT64301:RNT64390 RDX64301:RDX64390 QUB64301:QUB64390 QKF64301:QKF64390 QAJ64301:QAJ64390 PQN64301:PQN64390 PGR64301:PGR64390 OWV64301:OWV64390 OMZ64301:OMZ64390 ODD64301:ODD64390 NTH64301:NTH64390 NJL64301:NJL64390 MZP64301:MZP64390 MPT64301:MPT64390 MFX64301:MFX64390 LWB64301:LWB64390 LMF64301:LMF64390 LCJ64301:LCJ64390 KSN64301:KSN64390 KIR64301:KIR64390 JYV64301:JYV64390 JOZ64301:JOZ64390 JFD64301:JFD64390 IVH64301:IVH64390 ILL64301:ILL64390 IBP64301:IBP64390 HRT64301:HRT64390 HHX64301:HHX64390 GYB64301:GYB64390 GOF64301:GOF64390 GEJ64301:GEJ64390 FUN64301:FUN64390 FKR64301:FKR64390 FAV64301:FAV64390 EQZ64301:EQZ64390 EHD64301:EHD64390 DXH64301:DXH64390 DNL64301:DNL64390 DDP64301:DDP64390 CTT64301:CTT64390 CJX64301:CJX64390 CAB64301:CAB64390 BQF64301:BQF64390 BGJ64301:BGJ64390 AWN64301:AWN64390 AMR64301:AMR64390 ACV64301:ACV64390 SZ64301:SZ64390 JD64301:JD64390 H64322:H64411 JD2:JD73 SZ2:SZ73 ACV2:ACV73 AMR2:AMR73 AWN2:AWN73 BGJ2:BGJ73 BQF2:BQF73 CAB2:CAB73 CJX2:CJX73 CTT2:CTT73 DDP2:DDP73 DNL2:DNL73 DXH2:DXH73 EHD2:EHD73 EQZ2:EQZ73 FAV2:FAV73 FKR2:FKR73 FUN2:FUN73 GEJ2:GEJ73 GOF2:GOF73 GYB2:GYB73 HHX2:HHX73 HRT2:HRT73 IBP2:IBP73 ILL2:ILL73 IVH2:IVH73 JFD2:JFD73 JOZ2:JOZ73 JYV2:JYV73 KIR2:KIR73 KSN2:KSN73 LCJ2:LCJ73 LMF2:LMF73 LWB2:LWB73 MFX2:MFX73 MPT2:MPT73 MZP2:MZP73 NJL2:NJL73 NTH2:NTH73 ODD2:ODD73 OMZ2:OMZ73 OWV2:OWV73 PGR2:PGR73 PQN2:PQN73 QAJ2:QAJ73 QKF2:QKF73 QUB2:QUB73 RDX2:RDX73 RNT2:RNT73 RXP2:RXP73 SHL2:SHL73 SRH2:SRH73 TBD2:TBD73 TKZ2:TKZ73 TUV2:TUV73 UER2:UER73 UON2:UON73 UYJ2:UYJ73 VIF2:VIF73 VSB2:VSB73 WBX2:WBX73 WLT2:WLT73 WVP2:WVP73" xr:uid="{EDB3A203-2160-4F4B-91C2-8D251307E13A}">
      <formula1>$AL$8:$AL$13</formula1>
    </dataValidation>
    <dataValidation type="list" allowBlank="1" showInputMessage="1" showErrorMessage="1" sqref="WVQ981805:WVQ981888 WLU981805:WLU981888 WBY981805:WBY981888 VSC981805:VSC981888 VIG981805:VIG981888 UYK981805:UYK981888 UOO981805:UOO981888 UES981805:UES981888 TUW981805:TUW981888 TLA981805:TLA981888 TBE981805:TBE981888 SRI981805:SRI981888 SHM981805:SHM981888 RXQ981805:RXQ981888 RNU981805:RNU981888 RDY981805:RDY981888 QUC981805:QUC981888 QKG981805:QKG981888 QAK981805:QAK981888 PQO981805:PQO981888 PGS981805:PGS981888 OWW981805:OWW981888 ONA981805:ONA981888 ODE981805:ODE981888 NTI981805:NTI981888 NJM981805:NJM981888 MZQ981805:MZQ981888 MPU981805:MPU981888 MFY981805:MFY981888 LWC981805:LWC981888 LMG981805:LMG981888 LCK981805:LCK981888 KSO981805:KSO981888 KIS981805:KIS981888 JYW981805:JYW981888 JPA981805:JPA981888 JFE981805:JFE981888 IVI981805:IVI981888 ILM981805:ILM981888 IBQ981805:IBQ981888 HRU981805:HRU981888 HHY981805:HHY981888 GYC981805:GYC981888 GOG981805:GOG981888 GEK981805:GEK981888 FUO981805:FUO981888 FKS981805:FKS981888 FAW981805:FAW981888 ERA981805:ERA981888 EHE981805:EHE981888 DXI981805:DXI981888 DNM981805:DNM981888 DDQ981805:DDQ981888 CTU981805:CTU981888 CJY981805:CJY981888 CAC981805:CAC981888 BQG981805:BQG981888 BGK981805:BGK981888 AWO981805:AWO981888 AMS981805:AMS981888 ACW981805:ACW981888 TA981805:TA981888 JE981805:JE981888 I981826:I981909 WVQ916269:WVQ916352 WLU916269:WLU916352 WBY916269:WBY916352 VSC916269:VSC916352 VIG916269:VIG916352 UYK916269:UYK916352 UOO916269:UOO916352 UES916269:UES916352 TUW916269:TUW916352 TLA916269:TLA916352 TBE916269:TBE916352 SRI916269:SRI916352 SHM916269:SHM916352 RXQ916269:RXQ916352 RNU916269:RNU916352 RDY916269:RDY916352 QUC916269:QUC916352 QKG916269:QKG916352 QAK916269:QAK916352 PQO916269:PQO916352 PGS916269:PGS916352 OWW916269:OWW916352 ONA916269:ONA916352 ODE916269:ODE916352 NTI916269:NTI916352 NJM916269:NJM916352 MZQ916269:MZQ916352 MPU916269:MPU916352 MFY916269:MFY916352 LWC916269:LWC916352 LMG916269:LMG916352 LCK916269:LCK916352 KSO916269:KSO916352 KIS916269:KIS916352 JYW916269:JYW916352 JPA916269:JPA916352 JFE916269:JFE916352 IVI916269:IVI916352 ILM916269:ILM916352 IBQ916269:IBQ916352 HRU916269:HRU916352 HHY916269:HHY916352 GYC916269:GYC916352 GOG916269:GOG916352 GEK916269:GEK916352 FUO916269:FUO916352 FKS916269:FKS916352 FAW916269:FAW916352 ERA916269:ERA916352 EHE916269:EHE916352 DXI916269:DXI916352 DNM916269:DNM916352 DDQ916269:DDQ916352 CTU916269:CTU916352 CJY916269:CJY916352 CAC916269:CAC916352 BQG916269:BQG916352 BGK916269:BGK916352 AWO916269:AWO916352 AMS916269:AMS916352 ACW916269:ACW916352 TA916269:TA916352 JE916269:JE916352 I916290:I916373 WVQ850733:WVQ850816 WLU850733:WLU850816 WBY850733:WBY850816 VSC850733:VSC850816 VIG850733:VIG850816 UYK850733:UYK850816 UOO850733:UOO850816 UES850733:UES850816 TUW850733:TUW850816 TLA850733:TLA850816 TBE850733:TBE850816 SRI850733:SRI850816 SHM850733:SHM850816 RXQ850733:RXQ850816 RNU850733:RNU850816 RDY850733:RDY850816 QUC850733:QUC850816 QKG850733:QKG850816 QAK850733:QAK850816 PQO850733:PQO850816 PGS850733:PGS850816 OWW850733:OWW850816 ONA850733:ONA850816 ODE850733:ODE850816 NTI850733:NTI850816 NJM850733:NJM850816 MZQ850733:MZQ850816 MPU850733:MPU850816 MFY850733:MFY850816 LWC850733:LWC850816 LMG850733:LMG850816 LCK850733:LCK850816 KSO850733:KSO850816 KIS850733:KIS850816 JYW850733:JYW850816 JPA850733:JPA850816 JFE850733:JFE850816 IVI850733:IVI850816 ILM850733:ILM850816 IBQ850733:IBQ850816 HRU850733:HRU850816 HHY850733:HHY850816 GYC850733:GYC850816 GOG850733:GOG850816 GEK850733:GEK850816 FUO850733:FUO850816 FKS850733:FKS850816 FAW850733:FAW850816 ERA850733:ERA850816 EHE850733:EHE850816 DXI850733:DXI850816 DNM850733:DNM850816 DDQ850733:DDQ850816 CTU850733:CTU850816 CJY850733:CJY850816 CAC850733:CAC850816 BQG850733:BQG850816 BGK850733:BGK850816 AWO850733:AWO850816 AMS850733:AMS850816 ACW850733:ACW850816 TA850733:TA850816 JE850733:JE850816 I850754:I850837 WVQ785197:WVQ785280 WLU785197:WLU785280 WBY785197:WBY785280 VSC785197:VSC785280 VIG785197:VIG785280 UYK785197:UYK785280 UOO785197:UOO785280 UES785197:UES785280 TUW785197:TUW785280 TLA785197:TLA785280 TBE785197:TBE785280 SRI785197:SRI785280 SHM785197:SHM785280 RXQ785197:RXQ785280 RNU785197:RNU785280 RDY785197:RDY785280 QUC785197:QUC785280 QKG785197:QKG785280 QAK785197:QAK785280 PQO785197:PQO785280 PGS785197:PGS785280 OWW785197:OWW785280 ONA785197:ONA785280 ODE785197:ODE785280 NTI785197:NTI785280 NJM785197:NJM785280 MZQ785197:MZQ785280 MPU785197:MPU785280 MFY785197:MFY785280 LWC785197:LWC785280 LMG785197:LMG785280 LCK785197:LCK785280 KSO785197:KSO785280 KIS785197:KIS785280 JYW785197:JYW785280 JPA785197:JPA785280 JFE785197:JFE785280 IVI785197:IVI785280 ILM785197:ILM785280 IBQ785197:IBQ785280 HRU785197:HRU785280 HHY785197:HHY785280 GYC785197:GYC785280 GOG785197:GOG785280 GEK785197:GEK785280 FUO785197:FUO785280 FKS785197:FKS785280 FAW785197:FAW785280 ERA785197:ERA785280 EHE785197:EHE785280 DXI785197:DXI785280 DNM785197:DNM785280 DDQ785197:DDQ785280 CTU785197:CTU785280 CJY785197:CJY785280 CAC785197:CAC785280 BQG785197:BQG785280 BGK785197:BGK785280 AWO785197:AWO785280 AMS785197:AMS785280 ACW785197:ACW785280 TA785197:TA785280 JE785197:JE785280 I785218:I785301 WVQ719661:WVQ719744 WLU719661:WLU719744 WBY719661:WBY719744 VSC719661:VSC719744 VIG719661:VIG719744 UYK719661:UYK719744 UOO719661:UOO719744 UES719661:UES719744 TUW719661:TUW719744 TLA719661:TLA719744 TBE719661:TBE719744 SRI719661:SRI719744 SHM719661:SHM719744 RXQ719661:RXQ719744 RNU719661:RNU719744 RDY719661:RDY719744 QUC719661:QUC719744 QKG719661:QKG719744 QAK719661:QAK719744 PQO719661:PQO719744 PGS719661:PGS719744 OWW719661:OWW719744 ONA719661:ONA719744 ODE719661:ODE719744 NTI719661:NTI719744 NJM719661:NJM719744 MZQ719661:MZQ719744 MPU719661:MPU719744 MFY719661:MFY719744 LWC719661:LWC719744 LMG719661:LMG719744 LCK719661:LCK719744 KSO719661:KSO719744 KIS719661:KIS719744 JYW719661:JYW719744 JPA719661:JPA719744 JFE719661:JFE719744 IVI719661:IVI719744 ILM719661:ILM719744 IBQ719661:IBQ719744 HRU719661:HRU719744 HHY719661:HHY719744 GYC719661:GYC719744 GOG719661:GOG719744 GEK719661:GEK719744 FUO719661:FUO719744 FKS719661:FKS719744 FAW719661:FAW719744 ERA719661:ERA719744 EHE719661:EHE719744 DXI719661:DXI719744 DNM719661:DNM719744 DDQ719661:DDQ719744 CTU719661:CTU719744 CJY719661:CJY719744 CAC719661:CAC719744 BQG719661:BQG719744 BGK719661:BGK719744 AWO719661:AWO719744 AMS719661:AMS719744 ACW719661:ACW719744 TA719661:TA719744 JE719661:JE719744 I719682:I719765 WVQ654125:WVQ654208 WLU654125:WLU654208 WBY654125:WBY654208 VSC654125:VSC654208 VIG654125:VIG654208 UYK654125:UYK654208 UOO654125:UOO654208 UES654125:UES654208 TUW654125:TUW654208 TLA654125:TLA654208 TBE654125:TBE654208 SRI654125:SRI654208 SHM654125:SHM654208 RXQ654125:RXQ654208 RNU654125:RNU654208 RDY654125:RDY654208 QUC654125:QUC654208 QKG654125:QKG654208 QAK654125:QAK654208 PQO654125:PQO654208 PGS654125:PGS654208 OWW654125:OWW654208 ONA654125:ONA654208 ODE654125:ODE654208 NTI654125:NTI654208 NJM654125:NJM654208 MZQ654125:MZQ654208 MPU654125:MPU654208 MFY654125:MFY654208 LWC654125:LWC654208 LMG654125:LMG654208 LCK654125:LCK654208 KSO654125:KSO654208 KIS654125:KIS654208 JYW654125:JYW654208 JPA654125:JPA654208 JFE654125:JFE654208 IVI654125:IVI654208 ILM654125:ILM654208 IBQ654125:IBQ654208 HRU654125:HRU654208 HHY654125:HHY654208 GYC654125:GYC654208 GOG654125:GOG654208 GEK654125:GEK654208 FUO654125:FUO654208 FKS654125:FKS654208 FAW654125:FAW654208 ERA654125:ERA654208 EHE654125:EHE654208 DXI654125:DXI654208 DNM654125:DNM654208 DDQ654125:DDQ654208 CTU654125:CTU654208 CJY654125:CJY654208 CAC654125:CAC654208 BQG654125:BQG654208 BGK654125:BGK654208 AWO654125:AWO654208 AMS654125:AMS654208 ACW654125:ACW654208 TA654125:TA654208 JE654125:JE654208 I654146:I654229 WVQ588589:WVQ588672 WLU588589:WLU588672 WBY588589:WBY588672 VSC588589:VSC588672 VIG588589:VIG588672 UYK588589:UYK588672 UOO588589:UOO588672 UES588589:UES588672 TUW588589:TUW588672 TLA588589:TLA588672 TBE588589:TBE588672 SRI588589:SRI588672 SHM588589:SHM588672 RXQ588589:RXQ588672 RNU588589:RNU588672 RDY588589:RDY588672 QUC588589:QUC588672 QKG588589:QKG588672 QAK588589:QAK588672 PQO588589:PQO588672 PGS588589:PGS588672 OWW588589:OWW588672 ONA588589:ONA588672 ODE588589:ODE588672 NTI588589:NTI588672 NJM588589:NJM588672 MZQ588589:MZQ588672 MPU588589:MPU588672 MFY588589:MFY588672 LWC588589:LWC588672 LMG588589:LMG588672 LCK588589:LCK588672 KSO588589:KSO588672 KIS588589:KIS588672 JYW588589:JYW588672 JPA588589:JPA588672 JFE588589:JFE588672 IVI588589:IVI588672 ILM588589:ILM588672 IBQ588589:IBQ588672 HRU588589:HRU588672 HHY588589:HHY588672 GYC588589:GYC588672 GOG588589:GOG588672 GEK588589:GEK588672 FUO588589:FUO588672 FKS588589:FKS588672 FAW588589:FAW588672 ERA588589:ERA588672 EHE588589:EHE588672 DXI588589:DXI588672 DNM588589:DNM588672 DDQ588589:DDQ588672 CTU588589:CTU588672 CJY588589:CJY588672 CAC588589:CAC588672 BQG588589:BQG588672 BGK588589:BGK588672 AWO588589:AWO588672 AMS588589:AMS588672 ACW588589:ACW588672 TA588589:TA588672 JE588589:JE588672 I588610:I588693 WVQ523053:WVQ523136 WLU523053:WLU523136 WBY523053:WBY523136 VSC523053:VSC523136 VIG523053:VIG523136 UYK523053:UYK523136 UOO523053:UOO523136 UES523053:UES523136 TUW523053:TUW523136 TLA523053:TLA523136 TBE523053:TBE523136 SRI523053:SRI523136 SHM523053:SHM523136 RXQ523053:RXQ523136 RNU523053:RNU523136 RDY523053:RDY523136 QUC523053:QUC523136 QKG523053:QKG523136 QAK523053:QAK523136 PQO523053:PQO523136 PGS523053:PGS523136 OWW523053:OWW523136 ONA523053:ONA523136 ODE523053:ODE523136 NTI523053:NTI523136 NJM523053:NJM523136 MZQ523053:MZQ523136 MPU523053:MPU523136 MFY523053:MFY523136 LWC523053:LWC523136 LMG523053:LMG523136 LCK523053:LCK523136 KSO523053:KSO523136 KIS523053:KIS523136 JYW523053:JYW523136 JPA523053:JPA523136 JFE523053:JFE523136 IVI523053:IVI523136 ILM523053:ILM523136 IBQ523053:IBQ523136 HRU523053:HRU523136 HHY523053:HHY523136 GYC523053:GYC523136 GOG523053:GOG523136 GEK523053:GEK523136 FUO523053:FUO523136 FKS523053:FKS523136 FAW523053:FAW523136 ERA523053:ERA523136 EHE523053:EHE523136 DXI523053:DXI523136 DNM523053:DNM523136 DDQ523053:DDQ523136 CTU523053:CTU523136 CJY523053:CJY523136 CAC523053:CAC523136 BQG523053:BQG523136 BGK523053:BGK523136 AWO523053:AWO523136 AMS523053:AMS523136 ACW523053:ACW523136 TA523053:TA523136 JE523053:JE523136 I523074:I523157 WVQ457517:WVQ457600 WLU457517:WLU457600 WBY457517:WBY457600 VSC457517:VSC457600 VIG457517:VIG457600 UYK457517:UYK457600 UOO457517:UOO457600 UES457517:UES457600 TUW457517:TUW457600 TLA457517:TLA457600 TBE457517:TBE457600 SRI457517:SRI457600 SHM457517:SHM457600 RXQ457517:RXQ457600 RNU457517:RNU457600 RDY457517:RDY457600 QUC457517:QUC457600 QKG457517:QKG457600 QAK457517:QAK457600 PQO457517:PQO457600 PGS457517:PGS457600 OWW457517:OWW457600 ONA457517:ONA457600 ODE457517:ODE457600 NTI457517:NTI457600 NJM457517:NJM457600 MZQ457517:MZQ457600 MPU457517:MPU457600 MFY457517:MFY457600 LWC457517:LWC457600 LMG457517:LMG457600 LCK457517:LCK457600 KSO457517:KSO457600 KIS457517:KIS457600 JYW457517:JYW457600 JPA457517:JPA457600 JFE457517:JFE457600 IVI457517:IVI457600 ILM457517:ILM457600 IBQ457517:IBQ457600 HRU457517:HRU457600 HHY457517:HHY457600 GYC457517:GYC457600 GOG457517:GOG457600 GEK457517:GEK457600 FUO457517:FUO457600 FKS457517:FKS457600 FAW457517:FAW457600 ERA457517:ERA457600 EHE457517:EHE457600 DXI457517:DXI457600 DNM457517:DNM457600 DDQ457517:DDQ457600 CTU457517:CTU457600 CJY457517:CJY457600 CAC457517:CAC457600 BQG457517:BQG457600 BGK457517:BGK457600 AWO457517:AWO457600 AMS457517:AMS457600 ACW457517:ACW457600 TA457517:TA457600 JE457517:JE457600 I457538:I457621 WVQ391981:WVQ392064 WLU391981:WLU392064 WBY391981:WBY392064 VSC391981:VSC392064 VIG391981:VIG392064 UYK391981:UYK392064 UOO391981:UOO392064 UES391981:UES392064 TUW391981:TUW392064 TLA391981:TLA392064 TBE391981:TBE392064 SRI391981:SRI392064 SHM391981:SHM392064 RXQ391981:RXQ392064 RNU391981:RNU392064 RDY391981:RDY392064 QUC391981:QUC392064 QKG391981:QKG392064 QAK391981:QAK392064 PQO391981:PQO392064 PGS391981:PGS392064 OWW391981:OWW392064 ONA391981:ONA392064 ODE391981:ODE392064 NTI391981:NTI392064 NJM391981:NJM392064 MZQ391981:MZQ392064 MPU391981:MPU392064 MFY391981:MFY392064 LWC391981:LWC392064 LMG391981:LMG392064 LCK391981:LCK392064 KSO391981:KSO392064 KIS391981:KIS392064 JYW391981:JYW392064 JPA391981:JPA392064 JFE391981:JFE392064 IVI391981:IVI392064 ILM391981:ILM392064 IBQ391981:IBQ392064 HRU391981:HRU392064 HHY391981:HHY392064 GYC391981:GYC392064 GOG391981:GOG392064 GEK391981:GEK392064 FUO391981:FUO392064 FKS391981:FKS392064 FAW391981:FAW392064 ERA391981:ERA392064 EHE391981:EHE392064 DXI391981:DXI392064 DNM391981:DNM392064 DDQ391981:DDQ392064 CTU391981:CTU392064 CJY391981:CJY392064 CAC391981:CAC392064 BQG391981:BQG392064 BGK391981:BGK392064 AWO391981:AWO392064 AMS391981:AMS392064 ACW391981:ACW392064 TA391981:TA392064 JE391981:JE392064 I392002:I392085 WVQ326445:WVQ326528 WLU326445:WLU326528 WBY326445:WBY326528 VSC326445:VSC326528 VIG326445:VIG326528 UYK326445:UYK326528 UOO326445:UOO326528 UES326445:UES326528 TUW326445:TUW326528 TLA326445:TLA326528 TBE326445:TBE326528 SRI326445:SRI326528 SHM326445:SHM326528 RXQ326445:RXQ326528 RNU326445:RNU326528 RDY326445:RDY326528 QUC326445:QUC326528 QKG326445:QKG326528 QAK326445:QAK326528 PQO326445:PQO326528 PGS326445:PGS326528 OWW326445:OWW326528 ONA326445:ONA326528 ODE326445:ODE326528 NTI326445:NTI326528 NJM326445:NJM326528 MZQ326445:MZQ326528 MPU326445:MPU326528 MFY326445:MFY326528 LWC326445:LWC326528 LMG326445:LMG326528 LCK326445:LCK326528 KSO326445:KSO326528 KIS326445:KIS326528 JYW326445:JYW326528 JPA326445:JPA326528 JFE326445:JFE326528 IVI326445:IVI326528 ILM326445:ILM326528 IBQ326445:IBQ326528 HRU326445:HRU326528 HHY326445:HHY326528 GYC326445:GYC326528 GOG326445:GOG326528 GEK326445:GEK326528 FUO326445:FUO326528 FKS326445:FKS326528 FAW326445:FAW326528 ERA326445:ERA326528 EHE326445:EHE326528 DXI326445:DXI326528 DNM326445:DNM326528 DDQ326445:DDQ326528 CTU326445:CTU326528 CJY326445:CJY326528 CAC326445:CAC326528 BQG326445:BQG326528 BGK326445:BGK326528 AWO326445:AWO326528 AMS326445:AMS326528 ACW326445:ACW326528 TA326445:TA326528 JE326445:JE326528 I326466:I326549 WVQ260909:WVQ260992 WLU260909:WLU260992 WBY260909:WBY260992 VSC260909:VSC260992 VIG260909:VIG260992 UYK260909:UYK260992 UOO260909:UOO260992 UES260909:UES260992 TUW260909:TUW260992 TLA260909:TLA260992 TBE260909:TBE260992 SRI260909:SRI260992 SHM260909:SHM260992 RXQ260909:RXQ260992 RNU260909:RNU260992 RDY260909:RDY260992 QUC260909:QUC260992 QKG260909:QKG260992 QAK260909:QAK260992 PQO260909:PQO260992 PGS260909:PGS260992 OWW260909:OWW260992 ONA260909:ONA260992 ODE260909:ODE260992 NTI260909:NTI260992 NJM260909:NJM260992 MZQ260909:MZQ260992 MPU260909:MPU260992 MFY260909:MFY260992 LWC260909:LWC260992 LMG260909:LMG260992 LCK260909:LCK260992 KSO260909:KSO260992 KIS260909:KIS260992 JYW260909:JYW260992 JPA260909:JPA260992 JFE260909:JFE260992 IVI260909:IVI260992 ILM260909:ILM260992 IBQ260909:IBQ260992 HRU260909:HRU260992 HHY260909:HHY260992 GYC260909:GYC260992 GOG260909:GOG260992 GEK260909:GEK260992 FUO260909:FUO260992 FKS260909:FKS260992 FAW260909:FAW260992 ERA260909:ERA260992 EHE260909:EHE260992 DXI260909:DXI260992 DNM260909:DNM260992 DDQ260909:DDQ260992 CTU260909:CTU260992 CJY260909:CJY260992 CAC260909:CAC260992 BQG260909:BQG260992 BGK260909:BGK260992 AWO260909:AWO260992 AMS260909:AMS260992 ACW260909:ACW260992 TA260909:TA260992 JE260909:JE260992 I260930:I261013 WVQ195373:WVQ195456 WLU195373:WLU195456 WBY195373:WBY195456 VSC195373:VSC195456 VIG195373:VIG195456 UYK195373:UYK195456 UOO195373:UOO195456 UES195373:UES195456 TUW195373:TUW195456 TLA195373:TLA195456 TBE195373:TBE195456 SRI195373:SRI195456 SHM195373:SHM195456 RXQ195373:RXQ195456 RNU195373:RNU195456 RDY195373:RDY195456 QUC195373:QUC195456 QKG195373:QKG195456 QAK195373:QAK195456 PQO195373:PQO195456 PGS195373:PGS195456 OWW195373:OWW195456 ONA195373:ONA195456 ODE195373:ODE195456 NTI195373:NTI195456 NJM195373:NJM195456 MZQ195373:MZQ195456 MPU195373:MPU195456 MFY195373:MFY195456 LWC195373:LWC195456 LMG195373:LMG195456 LCK195373:LCK195456 KSO195373:KSO195456 KIS195373:KIS195456 JYW195373:JYW195456 JPA195373:JPA195456 JFE195373:JFE195456 IVI195373:IVI195456 ILM195373:ILM195456 IBQ195373:IBQ195456 HRU195373:HRU195456 HHY195373:HHY195456 GYC195373:GYC195456 GOG195373:GOG195456 GEK195373:GEK195456 FUO195373:FUO195456 FKS195373:FKS195456 FAW195373:FAW195456 ERA195373:ERA195456 EHE195373:EHE195456 DXI195373:DXI195456 DNM195373:DNM195456 DDQ195373:DDQ195456 CTU195373:CTU195456 CJY195373:CJY195456 CAC195373:CAC195456 BQG195373:BQG195456 BGK195373:BGK195456 AWO195373:AWO195456 AMS195373:AMS195456 ACW195373:ACW195456 TA195373:TA195456 JE195373:JE195456 I195394:I195477 WVQ129837:WVQ129920 WLU129837:WLU129920 WBY129837:WBY129920 VSC129837:VSC129920 VIG129837:VIG129920 UYK129837:UYK129920 UOO129837:UOO129920 UES129837:UES129920 TUW129837:TUW129920 TLA129837:TLA129920 TBE129837:TBE129920 SRI129837:SRI129920 SHM129837:SHM129920 RXQ129837:RXQ129920 RNU129837:RNU129920 RDY129837:RDY129920 QUC129837:QUC129920 QKG129837:QKG129920 QAK129837:QAK129920 PQO129837:PQO129920 PGS129837:PGS129920 OWW129837:OWW129920 ONA129837:ONA129920 ODE129837:ODE129920 NTI129837:NTI129920 NJM129837:NJM129920 MZQ129837:MZQ129920 MPU129837:MPU129920 MFY129837:MFY129920 LWC129837:LWC129920 LMG129837:LMG129920 LCK129837:LCK129920 KSO129837:KSO129920 KIS129837:KIS129920 JYW129837:JYW129920 JPA129837:JPA129920 JFE129837:JFE129920 IVI129837:IVI129920 ILM129837:ILM129920 IBQ129837:IBQ129920 HRU129837:HRU129920 HHY129837:HHY129920 GYC129837:GYC129920 GOG129837:GOG129920 GEK129837:GEK129920 FUO129837:FUO129920 FKS129837:FKS129920 FAW129837:FAW129920 ERA129837:ERA129920 EHE129837:EHE129920 DXI129837:DXI129920 DNM129837:DNM129920 DDQ129837:DDQ129920 CTU129837:CTU129920 CJY129837:CJY129920 CAC129837:CAC129920 BQG129837:BQG129920 BGK129837:BGK129920 AWO129837:AWO129920 AMS129837:AMS129920 ACW129837:ACW129920 TA129837:TA129920 JE129837:JE129920 I129858:I129941 WVQ64301:WVQ64384 WLU64301:WLU64384 WBY64301:WBY64384 VSC64301:VSC64384 VIG64301:VIG64384 UYK64301:UYK64384 UOO64301:UOO64384 UES64301:UES64384 TUW64301:TUW64384 TLA64301:TLA64384 TBE64301:TBE64384 SRI64301:SRI64384 SHM64301:SHM64384 RXQ64301:RXQ64384 RNU64301:RNU64384 RDY64301:RDY64384 QUC64301:QUC64384 QKG64301:QKG64384 QAK64301:QAK64384 PQO64301:PQO64384 PGS64301:PGS64384 OWW64301:OWW64384 ONA64301:ONA64384 ODE64301:ODE64384 NTI64301:NTI64384 NJM64301:NJM64384 MZQ64301:MZQ64384 MPU64301:MPU64384 MFY64301:MFY64384 LWC64301:LWC64384 LMG64301:LMG64384 LCK64301:LCK64384 KSO64301:KSO64384 KIS64301:KIS64384 JYW64301:JYW64384 JPA64301:JPA64384 JFE64301:JFE64384 IVI64301:IVI64384 ILM64301:ILM64384 IBQ64301:IBQ64384 HRU64301:HRU64384 HHY64301:HHY64384 GYC64301:GYC64384 GOG64301:GOG64384 GEK64301:GEK64384 FUO64301:FUO64384 FKS64301:FKS64384 FAW64301:FAW64384 ERA64301:ERA64384 EHE64301:EHE64384 DXI64301:DXI64384 DNM64301:DNM64384 DDQ64301:DDQ64384 CTU64301:CTU64384 CJY64301:CJY64384 CAC64301:CAC64384 BQG64301:BQG64384 BGK64301:BGK64384 AWO64301:AWO64384 AMS64301:AMS64384 ACW64301:ACW64384 TA64301:TA64384 JE64301:JE64384 I64322:I64405 I96:I500 JE2:JE73 TA2:TA73 ACW2:ACW73 AMS2:AMS73 AWO2:AWO73 BGK2:BGK73 BQG2:BQG73 CAC2:CAC73 CJY2:CJY73 CTU2:CTU73 DDQ2:DDQ73 DNM2:DNM73 DXI2:DXI73 EHE2:EHE73 ERA2:ERA73 FAW2:FAW73 FKS2:FKS73 FUO2:FUO73 GEK2:GEK73 GOG2:GOG73 GYC2:GYC73 HHY2:HHY73 HRU2:HRU73 IBQ2:IBQ73 ILM2:ILM73 IVI2:IVI73 JFE2:JFE73 JPA2:JPA73 JYW2:JYW73 KIS2:KIS73 KSO2:KSO73 LCK2:LCK73 LMG2:LMG73 LWC2:LWC73 MFY2:MFY73 MPU2:MPU73 MZQ2:MZQ73 NJM2:NJM73 NTI2:NTI73 ODE2:ODE73 ONA2:ONA73 OWW2:OWW73 PGS2:PGS73 PQO2:PQO73 QAK2:QAK73 QKG2:QKG73 QUC2:QUC73 RDY2:RDY73 RNU2:RNU73 RXQ2:RXQ73 SHM2:SHM73 SRI2:SRI73 TBE2:TBE73 TLA2:TLA73 TUW2:TUW73 UES2:UES73 UOO2:UOO73 UYK2:UYK73 VIG2:VIG73 VSC2:VSC73 WBY2:WBY73 WLU2:WLU73 WVQ2:WVQ73 I2:I94" xr:uid="{24FF48E3-FF60-4AAA-AAB9-2CE5A425EA85}">
      <formula1>$AN$5:$AN$6</formula1>
    </dataValidation>
    <dataValidation type="list" allowBlank="1" showInputMessage="1" showErrorMessage="1" sqref="WWG981805:WWI981888 WCO981805:WCQ981888 WMK981805:WMM981888 Y64301:AA64384 JU64301:JW64384 TQ64301:TS64384 ADM64301:ADO64384 ANI64301:ANK64384 AXE64301:AXG64384 BHA64301:BHC64384 BQW64301:BQY64384 CAS64301:CAU64384 CKO64301:CKQ64384 CUK64301:CUM64384 DEG64301:DEI64384 DOC64301:DOE64384 DXY64301:DYA64384 EHU64301:EHW64384 ERQ64301:ERS64384 FBM64301:FBO64384 FLI64301:FLK64384 FVE64301:FVG64384 GFA64301:GFC64384 GOW64301:GOY64384 GYS64301:GYU64384 HIO64301:HIQ64384 HSK64301:HSM64384 ICG64301:ICI64384 IMC64301:IME64384 IVY64301:IWA64384 JFU64301:JFW64384 JPQ64301:JPS64384 JZM64301:JZO64384 KJI64301:KJK64384 KTE64301:KTG64384 LDA64301:LDC64384 LMW64301:LMY64384 LWS64301:LWU64384 MGO64301:MGQ64384 MQK64301:MQM64384 NAG64301:NAI64384 NKC64301:NKE64384 NTY64301:NUA64384 ODU64301:ODW64384 ONQ64301:ONS64384 OXM64301:OXO64384 PHI64301:PHK64384 PRE64301:PRG64384 QBA64301:QBC64384 QKW64301:QKY64384 QUS64301:QUU64384 REO64301:REQ64384 ROK64301:ROM64384 RYG64301:RYI64384 SIC64301:SIE64384 SRY64301:SSA64384 TBU64301:TBW64384 TLQ64301:TLS64384 TVM64301:TVO64384 UFI64301:UFK64384 UPE64301:UPG64384 UZA64301:UZC64384 VIW64301:VIY64384 VSS64301:VSU64384 WCO64301:WCQ64384 WMK64301:WMM64384 WWG64301:WWI64384 Y129837:AA129920 JU129837:JW129920 TQ129837:TS129920 ADM129837:ADO129920 ANI129837:ANK129920 AXE129837:AXG129920 BHA129837:BHC129920 BQW129837:BQY129920 CAS129837:CAU129920 CKO129837:CKQ129920 CUK129837:CUM129920 DEG129837:DEI129920 DOC129837:DOE129920 DXY129837:DYA129920 EHU129837:EHW129920 ERQ129837:ERS129920 FBM129837:FBO129920 FLI129837:FLK129920 FVE129837:FVG129920 GFA129837:GFC129920 GOW129837:GOY129920 GYS129837:GYU129920 HIO129837:HIQ129920 HSK129837:HSM129920 ICG129837:ICI129920 IMC129837:IME129920 IVY129837:IWA129920 JFU129837:JFW129920 JPQ129837:JPS129920 JZM129837:JZO129920 KJI129837:KJK129920 KTE129837:KTG129920 LDA129837:LDC129920 LMW129837:LMY129920 LWS129837:LWU129920 MGO129837:MGQ129920 MQK129837:MQM129920 NAG129837:NAI129920 NKC129837:NKE129920 NTY129837:NUA129920 ODU129837:ODW129920 ONQ129837:ONS129920 OXM129837:OXO129920 PHI129837:PHK129920 PRE129837:PRG129920 QBA129837:QBC129920 QKW129837:QKY129920 QUS129837:QUU129920 REO129837:REQ129920 ROK129837:ROM129920 RYG129837:RYI129920 SIC129837:SIE129920 SRY129837:SSA129920 TBU129837:TBW129920 TLQ129837:TLS129920 TVM129837:TVO129920 UFI129837:UFK129920 UPE129837:UPG129920 UZA129837:UZC129920 VIW129837:VIY129920 VSS129837:VSU129920 WCO129837:WCQ129920 WMK129837:WMM129920 WWG129837:WWI129920 Y195373:AA195456 JU195373:JW195456 TQ195373:TS195456 ADM195373:ADO195456 ANI195373:ANK195456 AXE195373:AXG195456 BHA195373:BHC195456 BQW195373:BQY195456 CAS195373:CAU195456 CKO195373:CKQ195456 CUK195373:CUM195456 DEG195373:DEI195456 DOC195373:DOE195456 DXY195373:DYA195456 EHU195373:EHW195456 ERQ195373:ERS195456 FBM195373:FBO195456 FLI195373:FLK195456 FVE195373:FVG195456 GFA195373:GFC195456 GOW195373:GOY195456 GYS195373:GYU195456 HIO195373:HIQ195456 HSK195373:HSM195456 ICG195373:ICI195456 IMC195373:IME195456 IVY195373:IWA195456 JFU195373:JFW195456 JPQ195373:JPS195456 JZM195373:JZO195456 KJI195373:KJK195456 KTE195373:KTG195456 LDA195373:LDC195456 LMW195373:LMY195456 LWS195373:LWU195456 MGO195373:MGQ195456 MQK195373:MQM195456 NAG195373:NAI195456 NKC195373:NKE195456 NTY195373:NUA195456 ODU195373:ODW195456 ONQ195373:ONS195456 OXM195373:OXO195456 PHI195373:PHK195456 PRE195373:PRG195456 QBA195373:QBC195456 QKW195373:QKY195456 QUS195373:QUU195456 REO195373:REQ195456 ROK195373:ROM195456 RYG195373:RYI195456 SIC195373:SIE195456 SRY195373:SSA195456 TBU195373:TBW195456 TLQ195373:TLS195456 TVM195373:TVO195456 UFI195373:UFK195456 UPE195373:UPG195456 UZA195373:UZC195456 VIW195373:VIY195456 VSS195373:VSU195456 WCO195373:WCQ195456 WMK195373:WMM195456 WWG195373:WWI195456 Y260909:AA260992 JU260909:JW260992 TQ260909:TS260992 ADM260909:ADO260992 ANI260909:ANK260992 AXE260909:AXG260992 BHA260909:BHC260992 BQW260909:BQY260992 CAS260909:CAU260992 CKO260909:CKQ260992 CUK260909:CUM260992 DEG260909:DEI260992 DOC260909:DOE260992 DXY260909:DYA260992 EHU260909:EHW260992 ERQ260909:ERS260992 FBM260909:FBO260992 FLI260909:FLK260992 FVE260909:FVG260992 GFA260909:GFC260992 GOW260909:GOY260992 GYS260909:GYU260992 HIO260909:HIQ260992 HSK260909:HSM260992 ICG260909:ICI260992 IMC260909:IME260992 IVY260909:IWA260992 JFU260909:JFW260992 JPQ260909:JPS260992 JZM260909:JZO260992 KJI260909:KJK260992 KTE260909:KTG260992 LDA260909:LDC260992 LMW260909:LMY260992 LWS260909:LWU260992 MGO260909:MGQ260992 MQK260909:MQM260992 NAG260909:NAI260992 NKC260909:NKE260992 NTY260909:NUA260992 ODU260909:ODW260992 ONQ260909:ONS260992 OXM260909:OXO260992 PHI260909:PHK260992 PRE260909:PRG260992 QBA260909:QBC260992 QKW260909:QKY260992 QUS260909:QUU260992 REO260909:REQ260992 ROK260909:ROM260992 RYG260909:RYI260992 SIC260909:SIE260992 SRY260909:SSA260992 TBU260909:TBW260992 TLQ260909:TLS260992 TVM260909:TVO260992 UFI260909:UFK260992 UPE260909:UPG260992 UZA260909:UZC260992 VIW260909:VIY260992 VSS260909:VSU260992 WCO260909:WCQ260992 WMK260909:WMM260992 WWG260909:WWI260992 Y326445:AA326528 JU326445:JW326528 TQ326445:TS326528 ADM326445:ADO326528 ANI326445:ANK326528 AXE326445:AXG326528 BHA326445:BHC326528 BQW326445:BQY326528 CAS326445:CAU326528 CKO326445:CKQ326528 CUK326445:CUM326528 DEG326445:DEI326528 DOC326445:DOE326528 DXY326445:DYA326528 EHU326445:EHW326528 ERQ326445:ERS326528 FBM326445:FBO326528 FLI326445:FLK326528 FVE326445:FVG326528 GFA326445:GFC326528 GOW326445:GOY326528 GYS326445:GYU326528 HIO326445:HIQ326528 HSK326445:HSM326528 ICG326445:ICI326528 IMC326445:IME326528 IVY326445:IWA326528 JFU326445:JFW326528 JPQ326445:JPS326528 JZM326445:JZO326528 KJI326445:KJK326528 KTE326445:KTG326528 LDA326445:LDC326528 LMW326445:LMY326528 LWS326445:LWU326528 MGO326445:MGQ326528 MQK326445:MQM326528 NAG326445:NAI326528 NKC326445:NKE326528 NTY326445:NUA326528 ODU326445:ODW326528 ONQ326445:ONS326528 OXM326445:OXO326528 PHI326445:PHK326528 PRE326445:PRG326528 QBA326445:QBC326528 QKW326445:QKY326528 QUS326445:QUU326528 REO326445:REQ326528 ROK326445:ROM326528 RYG326445:RYI326528 SIC326445:SIE326528 SRY326445:SSA326528 TBU326445:TBW326528 TLQ326445:TLS326528 TVM326445:TVO326528 UFI326445:UFK326528 UPE326445:UPG326528 UZA326445:UZC326528 VIW326445:VIY326528 VSS326445:VSU326528 WCO326445:WCQ326528 WMK326445:WMM326528 WWG326445:WWI326528 Y391981:AA392064 JU391981:JW392064 TQ391981:TS392064 ADM391981:ADO392064 ANI391981:ANK392064 AXE391981:AXG392064 BHA391981:BHC392064 BQW391981:BQY392064 CAS391981:CAU392064 CKO391981:CKQ392064 CUK391981:CUM392064 DEG391981:DEI392064 DOC391981:DOE392064 DXY391981:DYA392064 EHU391981:EHW392064 ERQ391981:ERS392064 FBM391981:FBO392064 FLI391981:FLK392064 FVE391981:FVG392064 GFA391981:GFC392064 GOW391981:GOY392064 GYS391981:GYU392064 HIO391981:HIQ392064 HSK391981:HSM392064 ICG391981:ICI392064 IMC391981:IME392064 IVY391981:IWA392064 JFU391981:JFW392064 JPQ391981:JPS392064 JZM391981:JZO392064 KJI391981:KJK392064 KTE391981:KTG392064 LDA391981:LDC392064 LMW391981:LMY392064 LWS391981:LWU392064 MGO391981:MGQ392064 MQK391981:MQM392064 NAG391981:NAI392064 NKC391981:NKE392064 NTY391981:NUA392064 ODU391981:ODW392064 ONQ391981:ONS392064 OXM391981:OXO392064 PHI391981:PHK392064 PRE391981:PRG392064 QBA391981:QBC392064 QKW391981:QKY392064 QUS391981:QUU392064 REO391981:REQ392064 ROK391981:ROM392064 RYG391981:RYI392064 SIC391981:SIE392064 SRY391981:SSA392064 TBU391981:TBW392064 TLQ391981:TLS392064 TVM391981:TVO392064 UFI391981:UFK392064 UPE391981:UPG392064 UZA391981:UZC392064 VIW391981:VIY392064 VSS391981:VSU392064 WCO391981:WCQ392064 WMK391981:WMM392064 WWG391981:WWI392064 Y457517:AA457600 JU457517:JW457600 TQ457517:TS457600 ADM457517:ADO457600 ANI457517:ANK457600 AXE457517:AXG457600 BHA457517:BHC457600 BQW457517:BQY457600 CAS457517:CAU457600 CKO457517:CKQ457600 CUK457517:CUM457600 DEG457517:DEI457600 DOC457517:DOE457600 DXY457517:DYA457600 EHU457517:EHW457600 ERQ457517:ERS457600 FBM457517:FBO457600 FLI457517:FLK457600 FVE457517:FVG457600 GFA457517:GFC457600 GOW457517:GOY457600 GYS457517:GYU457600 HIO457517:HIQ457600 HSK457517:HSM457600 ICG457517:ICI457600 IMC457517:IME457600 IVY457517:IWA457600 JFU457517:JFW457600 JPQ457517:JPS457600 JZM457517:JZO457600 KJI457517:KJK457600 KTE457517:KTG457600 LDA457517:LDC457600 LMW457517:LMY457600 LWS457517:LWU457600 MGO457517:MGQ457600 MQK457517:MQM457600 NAG457517:NAI457600 NKC457517:NKE457600 NTY457517:NUA457600 ODU457517:ODW457600 ONQ457517:ONS457600 OXM457517:OXO457600 PHI457517:PHK457600 PRE457517:PRG457600 QBA457517:QBC457600 QKW457517:QKY457600 QUS457517:QUU457600 REO457517:REQ457600 ROK457517:ROM457600 RYG457517:RYI457600 SIC457517:SIE457600 SRY457517:SSA457600 TBU457517:TBW457600 TLQ457517:TLS457600 TVM457517:TVO457600 UFI457517:UFK457600 UPE457517:UPG457600 UZA457517:UZC457600 VIW457517:VIY457600 VSS457517:VSU457600 WCO457517:WCQ457600 WMK457517:WMM457600 WWG457517:WWI457600 Y523053:AA523136 JU523053:JW523136 TQ523053:TS523136 ADM523053:ADO523136 ANI523053:ANK523136 AXE523053:AXG523136 BHA523053:BHC523136 BQW523053:BQY523136 CAS523053:CAU523136 CKO523053:CKQ523136 CUK523053:CUM523136 DEG523053:DEI523136 DOC523053:DOE523136 DXY523053:DYA523136 EHU523053:EHW523136 ERQ523053:ERS523136 FBM523053:FBO523136 FLI523053:FLK523136 FVE523053:FVG523136 GFA523053:GFC523136 GOW523053:GOY523136 GYS523053:GYU523136 HIO523053:HIQ523136 HSK523053:HSM523136 ICG523053:ICI523136 IMC523053:IME523136 IVY523053:IWA523136 JFU523053:JFW523136 JPQ523053:JPS523136 JZM523053:JZO523136 KJI523053:KJK523136 KTE523053:KTG523136 LDA523053:LDC523136 LMW523053:LMY523136 LWS523053:LWU523136 MGO523053:MGQ523136 MQK523053:MQM523136 NAG523053:NAI523136 NKC523053:NKE523136 NTY523053:NUA523136 ODU523053:ODW523136 ONQ523053:ONS523136 OXM523053:OXO523136 PHI523053:PHK523136 PRE523053:PRG523136 QBA523053:QBC523136 QKW523053:QKY523136 QUS523053:QUU523136 REO523053:REQ523136 ROK523053:ROM523136 RYG523053:RYI523136 SIC523053:SIE523136 SRY523053:SSA523136 TBU523053:TBW523136 TLQ523053:TLS523136 TVM523053:TVO523136 UFI523053:UFK523136 UPE523053:UPG523136 UZA523053:UZC523136 VIW523053:VIY523136 VSS523053:VSU523136 WCO523053:WCQ523136 WMK523053:WMM523136 WWG523053:WWI523136 Y588589:AA588672 JU588589:JW588672 TQ588589:TS588672 ADM588589:ADO588672 ANI588589:ANK588672 AXE588589:AXG588672 BHA588589:BHC588672 BQW588589:BQY588672 CAS588589:CAU588672 CKO588589:CKQ588672 CUK588589:CUM588672 DEG588589:DEI588672 DOC588589:DOE588672 DXY588589:DYA588672 EHU588589:EHW588672 ERQ588589:ERS588672 FBM588589:FBO588672 FLI588589:FLK588672 FVE588589:FVG588672 GFA588589:GFC588672 GOW588589:GOY588672 GYS588589:GYU588672 HIO588589:HIQ588672 HSK588589:HSM588672 ICG588589:ICI588672 IMC588589:IME588672 IVY588589:IWA588672 JFU588589:JFW588672 JPQ588589:JPS588672 JZM588589:JZO588672 KJI588589:KJK588672 KTE588589:KTG588672 LDA588589:LDC588672 LMW588589:LMY588672 LWS588589:LWU588672 MGO588589:MGQ588672 MQK588589:MQM588672 NAG588589:NAI588672 NKC588589:NKE588672 NTY588589:NUA588672 ODU588589:ODW588672 ONQ588589:ONS588672 OXM588589:OXO588672 PHI588589:PHK588672 PRE588589:PRG588672 QBA588589:QBC588672 QKW588589:QKY588672 QUS588589:QUU588672 REO588589:REQ588672 ROK588589:ROM588672 RYG588589:RYI588672 SIC588589:SIE588672 SRY588589:SSA588672 TBU588589:TBW588672 TLQ588589:TLS588672 TVM588589:TVO588672 UFI588589:UFK588672 UPE588589:UPG588672 UZA588589:UZC588672 VIW588589:VIY588672 VSS588589:VSU588672 WCO588589:WCQ588672 WMK588589:WMM588672 WWG588589:WWI588672 Y654125:AA654208 JU654125:JW654208 TQ654125:TS654208 ADM654125:ADO654208 ANI654125:ANK654208 AXE654125:AXG654208 BHA654125:BHC654208 BQW654125:BQY654208 CAS654125:CAU654208 CKO654125:CKQ654208 CUK654125:CUM654208 DEG654125:DEI654208 DOC654125:DOE654208 DXY654125:DYA654208 EHU654125:EHW654208 ERQ654125:ERS654208 FBM654125:FBO654208 FLI654125:FLK654208 FVE654125:FVG654208 GFA654125:GFC654208 GOW654125:GOY654208 GYS654125:GYU654208 HIO654125:HIQ654208 HSK654125:HSM654208 ICG654125:ICI654208 IMC654125:IME654208 IVY654125:IWA654208 JFU654125:JFW654208 JPQ654125:JPS654208 JZM654125:JZO654208 KJI654125:KJK654208 KTE654125:KTG654208 LDA654125:LDC654208 LMW654125:LMY654208 LWS654125:LWU654208 MGO654125:MGQ654208 MQK654125:MQM654208 NAG654125:NAI654208 NKC654125:NKE654208 NTY654125:NUA654208 ODU654125:ODW654208 ONQ654125:ONS654208 OXM654125:OXO654208 PHI654125:PHK654208 PRE654125:PRG654208 QBA654125:QBC654208 QKW654125:QKY654208 QUS654125:QUU654208 REO654125:REQ654208 ROK654125:ROM654208 RYG654125:RYI654208 SIC654125:SIE654208 SRY654125:SSA654208 TBU654125:TBW654208 TLQ654125:TLS654208 TVM654125:TVO654208 UFI654125:UFK654208 UPE654125:UPG654208 UZA654125:UZC654208 VIW654125:VIY654208 VSS654125:VSU654208 WCO654125:WCQ654208 WMK654125:WMM654208 WWG654125:WWI654208 Y719661:AA719744 JU719661:JW719744 TQ719661:TS719744 ADM719661:ADO719744 ANI719661:ANK719744 AXE719661:AXG719744 BHA719661:BHC719744 BQW719661:BQY719744 CAS719661:CAU719744 CKO719661:CKQ719744 CUK719661:CUM719744 DEG719661:DEI719744 DOC719661:DOE719744 DXY719661:DYA719744 EHU719661:EHW719744 ERQ719661:ERS719744 FBM719661:FBO719744 FLI719661:FLK719744 FVE719661:FVG719744 GFA719661:GFC719744 GOW719661:GOY719744 GYS719661:GYU719744 HIO719661:HIQ719744 HSK719661:HSM719744 ICG719661:ICI719744 IMC719661:IME719744 IVY719661:IWA719744 JFU719661:JFW719744 JPQ719661:JPS719744 JZM719661:JZO719744 KJI719661:KJK719744 KTE719661:KTG719744 LDA719661:LDC719744 LMW719661:LMY719744 LWS719661:LWU719744 MGO719661:MGQ719744 MQK719661:MQM719744 NAG719661:NAI719744 NKC719661:NKE719744 NTY719661:NUA719744 ODU719661:ODW719744 ONQ719661:ONS719744 OXM719661:OXO719744 PHI719661:PHK719744 PRE719661:PRG719744 QBA719661:QBC719744 QKW719661:QKY719744 QUS719661:QUU719744 REO719661:REQ719744 ROK719661:ROM719744 RYG719661:RYI719744 SIC719661:SIE719744 SRY719661:SSA719744 TBU719661:TBW719744 TLQ719661:TLS719744 TVM719661:TVO719744 UFI719661:UFK719744 UPE719661:UPG719744 UZA719661:UZC719744 VIW719661:VIY719744 VSS719661:VSU719744 WCO719661:WCQ719744 WMK719661:WMM719744 WWG719661:WWI719744 Y785197:AA785280 JU785197:JW785280 TQ785197:TS785280 ADM785197:ADO785280 ANI785197:ANK785280 AXE785197:AXG785280 BHA785197:BHC785280 BQW785197:BQY785280 CAS785197:CAU785280 CKO785197:CKQ785280 CUK785197:CUM785280 DEG785197:DEI785280 DOC785197:DOE785280 DXY785197:DYA785280 EHU785197:EHW785280 ERQ785197:ERS785280 FBM785197:FBO785280 FLI785197:FLK785280 FVE785197:FVG785280 GFA785197:GFC785280 GOW785197:GOY785280 GYS785197:GYU785280 HIO785197:HIQ785280 HSK785197:HSM785280 ICG785197:ICI785280 IMC785197:IME785280 IVY785197:IWA785280 JFU785197:JFW785280 JPQ785197:JPS785280 JZM785197:JZO785280 KJI785197:KJK785280 KTE785197:KTG785280 LDA785197:LDC785280 LMW785197:LMY785280 LWS785197:LWU785280 MGO785197:MGQ785280 MQK785197:MQM785280 NAG785197:NAI785280 NKC785197:NKE785280 NTY785197:NUA785280 ODU785197:ODW785280 ONQ785197:ONS785280 OXM785197:OXO785280 PHI785197:PHK785280 PRE785197:PRG785280 QBA785197:QBC785280 QKW785197:QKY785280 QUS785197:QUU785280 REO785197:REQ785280 ROK785197:ROM785280 RYG785197:RYI785280 SIC785197:SIE785280 SRY785197:SSA785280 TBU785197:TBW785280 TLQ785197:TLS785280 TVM785197:TVO785280 UFI785197:UFK785280 UPE785197:UPG785280 UZA785197:UZC785280 VIW785197:VIY785280 VSS785197:VSU785280 WCO785197:WCQ785280 WMK785197:WMM785280 WWG785197:WWI785280 Y850733:AA850816 JU850733:JW850816 TQ850733:TS850816 ADM850733:ADO850816 ANI850733:ANK850816 AXE850733:AXG850816 BHA850733:BHC850816 BQW850733:BQY850816 CAS850733:CAU850816 CKO850733:CKQ850816 CUK850733:CUM850816 DEG850733:DEI850816 DOC850733:DOE850816 DXY850733:DYA850816 EHU850733:EHW850816 ERQ850733:ERS850816 FBM850733:FBO850816 FLI850733:FLK850816 FVE850733:FVG850816 GFA850733:GFC850816 GOW850733:GOY850816 GYS850733:GYU850816 HIO850733:HIQ850816 HSK850733:HSM850816 ICG850733:ICI850816 IMC850733:IME850816 IVY850733:IWA850816 JFU850733:JFW850816 JPQ850733:JPS850816 JZM850733:JZO850816 KJI850733:KJK850816 KTE850733:KTG850816 LDA850733:LDC850816 LMW850733:LMY850816 LWS850733:LWU850816 MGO850733:MGQ850816 MQK850733:MQM850816 NAG850733:NAI850816 NKC850733:NKE850816 NTY850733:NUA850816 ODU850733:ODW850816 ONQ850733:ONS850816 OXM850733:OXO850816 PHI850733:PHK850816 PRE850733:PRG850816 QBA850733:QBC850816 QKW850733:QKY850816 QUS850733:QUU850816 REO850733:REQ850816 ROK850733:ROM850816 RYG850733:RYI850816 SIC850733:SIE850816 SRY850733:SSA850816 TBU850733:TBW850816 TLQ850733:TLS850816 TVM850733:TVO850816 UFI850733:UFK850816 UPE850733:UPG850816 UZA850733:UZC850816 VIW850733:VIY850816 VSS850733:VSU850816 WCO850733:WCQ850816 WMK850733:WMM850816 WWG850733:WWI850816 Y916269:AA916352 JU916269:JW916352 TQ916269:TS916352 ADM916269:ADO916352 ANI916269:ANK916352 AXE916269:AXG916352 BHA916269:BHC916352 BQW916269:BQY916352 CAS916269:CAU916352 CKO916269:CKQ916352 CUK916269:CUM916352 DEG916269:DEI916352 DOC916269:DOE916352 DXY916269:DYA916352 EHU916269:EHW916352 ERQ916269:ERS916352 FBM916269:FBO916352 FLI916269:FLK916352 FVE916269:FVG916352 GFA916269:GFC916352 GOW916269:GOY916352 GYS916269:GYU916352 HIO916269:HIQ916352 HSK916269:HSM916352 ICG916269:ICI916352 IMC916269:IME916352 IVY916269:IWA916352 JFU916269:JFW916352 JPQ916269:JPS916352 JZM916269:JZO916352 KJI916269:KJK916352 KTE916269:KTG916352 LDA916269:LDC916352 LMW916269:LMY916352 LWS916269:LWU916352 MGO916269:MGQ916352 MQK916269:MQM916352 NAG916269:NAI916352 NKC916269:NKE916352 NTY916269:NUA916352 ODU916269:ODW916352 ONQ916269:ONS916352 OXM916269:OXO916352 PHI916269:PHK916352 PRE916269:PRG916352 QBA916269:QBC916352 QKW916269:QKY916352 QUS916269:QUU916352 REO916269:REQ916352 ROK916269:ROM916352 RYG916269:RYI916352 SIC916269:SIE916352 SRY916269:SSA916352 TBU916269:TBW916352 TLQ916269:TLS916352 TVM916269:TVO916352 UFI916269:UFK916352 UPE916269:UPG916352 UZA916269:UZC916352 VIW916269:VIY916352 VSS916269:VSU916352 WCO916269:WCQ916352 WMK916269:WMM916352 WWG916269:WWI916352 Y981805:AA981888 JU981805:JW981888 TQ981805:TS981888 ADM981805:ADO981888 ANI981805:ANK981888 AXE981805:AXG981888 BHA981805:BHC981888 BQW981805:BQY981888 CAS981805:CAU981888 CKO981805:CKQ981888 CUK981805:CUM981888 DEG981805:DEI981888 DOC981805:DOE981888 DXY981805:DYA981888 EHU981805:EHW981888 ERQ981805:ERS981888 FBM981805:FBO981888 FLI981805:FLK981888 FVE981805:FVG981888 GFA981805:GFC981888 GOW981805:GOY981888 GYS981805:GYU981888 HIO981805:HIQ981888 HSK981805:HSM981888 ICG981805:ICI981888 IMC981805:IME981888 IVY981805:IWA981888 JFU981805:JFW981888 JPQ981805:JPS981888 JZM981805:JZO981888 KJI981805:KJK981888 KTE981805:KTG981888 LDA981805:LDC981888 LMW981805:LMY981888 LWS981805:LWU981888 MGO981805:MGQ981888 MQK981805:MQM981888 NAG981805:NAI981888 NKC981805:NKE981888 NTY981805:NUA981888 ODU981805:ODW981888 ONQ981805:ONS981888 OXM981805:OXO981888 PHI981805:PHK981888 PRE981805:PRG981888 QBA981805:QBC981888 QKW981805:QKY981888 QUS981805:QUU981888 REO981805:REQ981888 ROK981805:ROM981888 RYG981805:RYI981888 SIC981805:SIE981888 SRY981805:SSA981888 TBU981805:TBW981888 TLQ981805:TLS981888 TVM981805:TVO981888 UFI981805:UFK981888 UPE981805:UPG981888 UZA981805:UZC981888 VIW981805:VIY981888 VSS981805:VSU981888 JU2:JW73 TQ2:TS73 ADM2:ADO73 ANI2:ANK73 AXE2:AXG73 BHA2:BHC73 BQW2:BQY73 CAS2:CAU73 CKO2:CKQ73 CUK2:CUM73 DEG2:DEI73 DOC2:DOE73 DXY2:DYA73 EHU2:EHW73 ERQ2:ERS73 FBM2:FBO73 FLI2:FLK73 FVE2:FVG73 GFA2:GFC73 GOW2:GOY73 GYS2:GYU73 HIO2:HIQ73 HSK2:HSM73 ICG2:ICI73 IMC2:IME73 IVY2:IWA73 JFU2:JFW73 JPQ2:JPS73 JZM2:JZO73 KJI2:KJK73 KTE2:KTG73 LDA2:LDC73 LMW2:LMY73 LWS2:LWU73 MGO2:MGQ73 MQK2:MQM73 NAG2:NAI73 NKC2:NKE73 NTY2:NUA73 ODU2:ODW73 ONQ2:ONS73 OXM2:OXO73 PHI2:PHK73 PRE2:PRG73 QBA2:QBC73 QKW2:QKY73 QUS2:QUU73 REO2:REQ73 ROK2:ROM73 RYG2:RYI73 SIC2:SIE73 SRY2:SSA73 TBU2:TBW73 TLQ2:TLS73 TVM2:TVO73 UFI2:UFK73 UPE2:UPG73 UZA2:UZC73 VIW2:VIY73 VSS2:VSU73 WCO2:WCQ73 WMK2:WMM73 WWG2:WWI73" xr:uid="{AF3EF6AD-38AC-4A07-A2BE-78D772AD92AE}">
      <formula1>$AV$2:$AV$22</formula1>
    </dataValidation>
    <dataValidation type="list" allowBlank="1" showInputMessage="1" showErrorMessage="1" sqref="K121:K500" xr:uid="{913E24AF-200E-4679-B881-54D44DBE4B24}">
      <formula1>$AR$2:$AR$25</formula1>
    </dataValidation>
    <dataValidation type="list" allowBlank="1" showInputMessage="1" showErrorMessage="1" sqref="J96:J500 J2:J94" xr:uid="{881663FD-B8FA-4F68-8EFF-033BC8530ADE}">
      <formula1>$AP$2:$AP$27</formula1>
    </dataValidation>
    <dataValidation type="list" allowBlank="1" showInputMessage="1" showErrorMessage="1" sqref="F98:F502 F2:F96" xr:uid="{2DEE7350-0720-4820-8583-103E21F6D0B2}">
      <formula1>$AH$2:$AH$10</formula1>
    </dataValidation>
    <dataValidation type="list" allowBlank="1" showInputMessage="1" showErrorMessage="1" sqref="E98:E502 E2:E96" xr:uid="{2E744FCB-1448-4621-B046-8B561F198F70}">
      <formula1>$AG$2:$AG$11</formula1>
    </dataValidation>
    <dataValidation type="list" allowBlank="1" showInputMessage="1" showErrorMessage="1" sqref="A96:A500 A2:A94" xr:uid="{5E040273-AF1F-456C-9281-261937EFA772}">
      <formula1>$AE$2:$AE$19</formula1>
    </dataValidation>
    <dataValidation type="list" allowBlank="1" showInputMessage="1" showErrorMessage="1" sqref="H96:H500 H2:H94" xr:uid="{338F2ED4-7839-42A0-BD9B-7EB42D637758}">
      <formula1>$AL$2:$AL$8</formula1>
    </dataValidation>
    <dataValidation type="list" allowBlank="1" showInputMessage="1" showErrorMessage="1" sqref="Y96:AA500 Y2:AA94" xr:uid="{E255E790-6149-4625-8AB3-227ABD2E1C8E}">
      <formula1>$AV$2:$AV$21</formula1>
    </dataValidation>
    <dataValidation type="decimal" allowBlank="1" showInputMessage="1" showErrorMessage="1" error="硬度を正しく入力して下さい。" sqref="O96:P500 O18:P19 P15 P13 O68:P94 O23:P49" xr:uid="{D3B4C3D6-9D13-4F05-A2C9-7D3DD9BB4867}">
      <formula1>0</formula1>
      <formula2>7</formula2>
    </dataValidation>
  </dataValidations>
  <pageMargins left="0.25" right="0.25" top="0.75" bottom="0.75" header="0.3" footer="0.3"/>
  <pageSetup paperSize="9" scale="28"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05E5A-CD53-4AF3-909C-652BCB7B12C1}">
  <dimension ref="A1:BA145"/>
  <sheetViews>
    <sheetView zoomScale="70" zoomScaleNormal="70" workbookViewId="0"/>
  </sheetViews>
  <sheetFormatPr defaultColWidth="8.875" defaultRowHeight="13.5" x14ac:dyDescent="0.15"/>
  <cols>
    <col min="1" max="3" width="8.875" style="53"/>
    <col min="4" max="4" width="13.5" style="53" bestFit="1" customWidth="1"/>
    <col min="5" max="5" width="9.625" style="53" bestFit="1" customWidth="1"/>
    <col min="6" max="16" width="8.875" style="53"/>
    <col min="17" max="17" width="8.875" style="16"/>
    <col min="18" max="19" width="8.875" style="53"/>
    <col min="20" max="20" width="8.875" style="16"/>
    <col min="21" max="21" width="8.875" style="53"/>
    <col min="22" max="22" width="8.875" style="16"/>
    <col min="23" max="32" width="8.875" style="53"/>
    <col min="33" max="33" width="19.625" style="53" bestFit="1" customWidth="1"/>
    <col min="34" max="259" width="8.875" style="53"/>
    <col min="260" max="260" width="10.5" style="53" bestFit="1" customWidth="1"/>
    <col min="261" max="261" width="9.625" style="53" bestFit="1" customWidth="1"/>
    <col min="262" max="515" width="8.875" style="53"/>
    <col min="516" max="516" width="10.5" style="53" bestFit="1" customWidth="1"/>
    <col min="517" max="517" width="9.625" style="53" bestFit="1" customWidth="1"/>
    <col min="518" max="771" width="8.875" style="53"/>
    <col min="772" max="772" width="10.5" style="53" bestFit="1" customWidth="1"/>
    <col min="773" max="773" width="9.625" style="53" bestFit="1" customWidth="1"/>
    <col min="774" max="1027" width="8.875" style="53"/>
    <col min="1028" max="1028" width="10.5" style="53" bestFit="1" customWidth="1"/>
    <col min="1029" max="1029" width="9.625" style="53" bestFit="1" customWidth="1"/>
    <col min="1030" max="1283" width="8.875" style="53"/>
    <col min="1284" max="1284" width="10.5" style="53" bestFit="1" customWidth="1"/>
    <col min="1285" max="1285" width="9.625" style="53" bestFit="1" customWidth="1"/>
    <col min="1286" max="1539" width="8.875" style="53"/>
    <col min="1540" max="1540" width="10.5" style="53" bestFit="1" customWidth="1"/>
    <col min="1541" max="1541" width="9.625" style="53" bestFit="1" customWidth="1"/>
    <col min="1542" max="1795" width="8.875" style="53"/>
    <col min="1796" max="1796" width="10.5" style="53" bestFit="1" customWidth="1"/>
    <col min="1797" max="1797" width="9.625" style="53" bestFit="1" customWidth="1"/>
    <col min="1798" max="2051" width="8.875" style="53"/>
    <col min="2052" max="2052" width="10.5" style="53" bestFit="1" customWidth="1"/>
    <col min="2053" max="2053" width="9.625" style="53" bestFit="1" customWidth="1"/>
    <col min="2054" max="2307" width="8.875" style="53"/>
    <col min="2308" max="2308" width="10.5" style="53" bestFit="1" customWidth="1"/>
    <col min="2309" max="2309" width="9.625" style="53" bestFit="1" customWidth="1"/>
    <col min="2310" max="2563" width="8.875" style="53"/>
    <col min="2564" max="2564" width="10.5" style="53" bestFit="1" customWidth="1"/>
    <col min="2565" max="2565" width="9.625" style="53" bestFit="1" customWidth="1"/>
    <col min="2566" max="2819" width="8.875" style="53"/>
    <col min="2820" max="2820" width="10.5" style="53" bestFit="1" customWidth="1"/>
    <col min="2821" max="2821" width="9.625" style="53" bestFit="1" customWidth="1"/>
    <col min="2822" max="3075" width="8.875" style="53"/>
    <col min="3076" max="3076" width="10.5" style="53" bestFit="1" customWidth="1"/>
    <col min="3077" max="3077" width="9.625" style="53" bestFit="1" customWidth="1"/>
    <col min="3078" max="3331" width="8.875" style="53"/>
    <col min="3332" max="3332" width="10.5" style="53" bestFit="1" customWidth="1"/>
    <col min="3333" max="3333" width="9.625" style="53" bestFit="1" customWidth="1"/>
    <col min="3334" max="3587" width="8.875" style="53"/>
    <col min="3588" max="3588" width="10.5" style="53" bestFit="1" customWidth="1"/>
    <col min="3589" max="3589" width="9.625" style="53" bestFit="1" customWidth="1"/>
    <col min="3590" max="3843" width="8.875" style="53"/>
    <col min="3844" max="3844" width="10.5" style="53" bestFit="1" customWidth="1"/>
    <col min="3845" max="3845" width="9.625" style="53" bestFit="1" customWidth="1"/>
    <col min="3846" max="4099" width="8.875" style="53"/>
    <col min="4100" max="4100" width="10.5" style="53" bestFit="1" customWidth="1"/>
    <col min="4101" max="4101" width="9.625" style="53" bestFit="1" customWidth="1"/>
    <col min="4102" max="4355" width="8.875" style="53"/>
    <col min="4356" max="4356" width="10.5" style="53" bestFit="1" customWidth="1"/>
    <col min="4357" max="4357" width="9.625" style="53" bestFit="1" customWidth="1"/>
    <col min="4358" max="4611" width="8.875" style="53"/>
    <col min="4612" max="4612" width="10.5" style="53" bestFit="1" customWidth="1"/>
    <col min="4613" max="4613" width="9.625" style="53" bestFit="1" customWidth="1"/>
    <col min="4614" max="4867" width="8.875" style="53"/>
    <col min="4868" max="4868" width="10.5" style="53" bestFit="1" customWidth="1"/>
    <col min="4869" max="4869" width="9.625" style="53" bestFit="1" customWidth="1"/>
    <col min="4870" max="5123" width="8.875" style="53"/>
    <col min="5124" max="5124" width="10.5" style="53" bestFit="1" customWidth="1"/>
    <col min="5125" max="5125" width="9.625" style="53" bestFit="1" customWidth="1"/>
    <col min="5126" max="5379" width="8.875" style="53"/>
    <col min="5380" max="5380" width="10.5" style="53" bestFit="1" customWidth="1"/>
    <col min="5381" max="5381" width="9.625" style="53" bestFit="1" customWidth="1"/>
    <col min="5382" max="5635" width="8.875" style="53"/>
    <col min="5636" max="5636" width="10.5" style="53" bestFit="1" customWidth="1"/>
    <col min="5637" max="5637" width="9.625" style="53" bestFit="1" customWidth="1"/>
    <col min="5638" max="5891" width="8.875" style="53"/>
    <col min="5892" max="5892" width="10.5" style="53" bestFit="1" customWidth="1"/>
    <col min="5893" max="5893" width="9.625" style="53" bestFit="1" customWidth="1"/>
    <col min="5894" max="6147" width="8.875" style="53"/>
    <col min="6148" max="6148" width="10.5" style="53" bestFit="1" customWidth="1"/>
    <col min="6149" max="6149" width="9.625" style="53" bestFit="1" customWidth="1"/>
    <col min="6150" max="6403" width="8.875" style="53"/>
    <col min="6404" max="6404" width="10.5" style="53" bestFit="1" customWidth="1"/>
    <col min="6405" max="6405" width="9.625" style="53" bestFit="1" customWidth="1"/>
    <col min="6406" max="6659" width="8.875" style="53"/>
    <col min="6660" max="6660" width="10.5" style="53" bestFit="1" customWidth="1"/>
    <col min="6661" max="6661" width="9.625" style="53" bestFit="1" customWidth="1"/>
    <col min="6662" max="6915" width="8.875" style="53"/>
    <col min="6916" max="6916" width="10.5" style="53" bestFit="1" customWidth="1"/>
    <col min="6917" max="6917" width="9.625" style="53" bestFit="1" customWidth="1"/>
    <col min="6918" max="7171" width="8.875" style="53"/>
    <col min="7172" max="7172" width="10.5" style="53" bestFit="1" customWidth="1"/>
    <col min="7173" max="7173" width="9.625" style="53" bestFit="1" customWidth="1"/>
    <col min="7174" max="7427" width="8.875" style="53"/>
    <col min="7428" max="7428" width="10.5" style="53" bestFit="1" customWidth="1"/>
    <col min="7429" max="7429" width="9.625" style="53" bestFit="1" customWidth="1"/>
    <col min="7430" max="7683" width="8.875" style="53"/>
    <col min="7684" max="7684" width="10.5" style="53" bestFit="1" customWidth="1"/>
    <col min="7685" max="7685" width="9.625" style="53" bestFit="1" customWidth="1"/>
    <col min="7686" max="7939" width="8.875" style="53"/>
    <col min="7940" max="7940" width="10.5" style="53" bestFit="1" customWidth="1"/>
    <col min="7941" max="7941" width="9.625" style="53" bestFit="1" customWidth="1"/>
    <col min="7942" max="8195" width="8.875" style="53"/>
    <col min="8196" max="8196" width="10.5" style="53" bestFit="1" customWidth="1"/>
    <col min="8197" max="8197" width="9.625" style="53" bestFit="1" customWidth="1"/>
    <col min="8198" max="8451" width="8.875" style="53"/>
    <col min="8452" max="8452" width="10.5" style="53" bestFit="1" customWidth="1"/>
    <col min="8453" max="8453" width="9.625" style="53" bestFit="1" customWidth="1"/>
    <col min="8454" max="8707" width="8.875" style="53"/>
    <col min="8708" max="8708" width="10.5" style="53" bestFit="1" customWidth="1"/>
    <col min="8709" max="8709" width="9.625" style="53" bestFit="1" customWidth="1"/>
    <col min="8710" max="8963" width="8.875" style="53"/>
    <col min="8964" max="8964" width="10.5" style="53" bestFit="1" customWidth="1"/>
    <col min="8965" max="8965" width="9.625" style="53" bestFit="1" customWidth="1"/>
    <col min="8966" max="9219" width="8.875" style="53"/>
    <col min="9220" max="9220" width="10.5" style="53" bestFit="1" customWidth="1"/>
    <col min="9221" max="9221" width="9.625" style="53" bestFit="1" customWidth="1"/>
    <col min="9222" max="9475" width="8.875" style="53"/>
    <col min="9476" max="9476" width="10.5" style="53" bestFit="1" customWidth="1"/>
    <col min="9477" max="9477" width="9.625" style="53" bestFit="1" customWidth="1"/>
    <col min="9478" max="9731" width="8.875" style="53"/>
    <col min="9732" max="9732" width="10.5" style="53" bestFit="1" customWidth="1"/>
    <col min="9733" max="9733" width="9.625" style="53" bestFit="1" customWidth="1"/>
    <col min="9734" max="9987" width="8.875" style="53"/>
    <col min="9988" max="9988" width="10.5" style="53" bestFit="1" customWidth="1"/>
    <col min="9989" max="9989" width="9.625" style="53" bestFit="1" customWidth="1"/>
    <col min="9990" max="10243" width="8.875" style="53"/>
    <col min="10244" max="10244" width="10.5" style="53" bestFit="1" customWidth="1"/>
    <col min="10245" max="10245" width="9.625" style="53" bestFit="1" customWidth="1"/>
    <col min="10246" max="10499" width="8.875" style="53"/>
    <col min="10500" max="10500" width="10.5" style="53" bestFit="1" customWidth="1"/>
    <col min="10501" max="10501" width="9.625" style="53" bestFit="1" customWidth="1"/>
    <col min="10502" max="10755" width="8.875" style="53"/>
    <col min="10756" max="10756" width="10.5" style="53" bestFit="1" customWidth="1"/>
    <col min="10757" max="10757" width="9.625" style="53" bestFit="1" customWidth="1"/>
    <col min="10758" max="11011" width="8.875" style="53"/>
    <col min="11012" max="11012" width="10.5" style="53" bestFit="1" customWidth="1"/>
    <col min="11013" max="11013" width="9.625" style="53" bestFit="1" customWidth="1"/>
    <col min="11014" max="11267" width="8.875" style="53"/>
    <col min="11268" max="11268" width="10.5" style="53" bestFit="1" customWidth="1"/>
    <col min="11269" max="11269" width="9.625" style="53" bestFit="1" customWidth="1"/>
    <col min="11270" max="11523" width="8.875" style="53"/>
    <col min="11524" max="11524" width="10.5" style="53" bestFit="1" customWidth="1"/>
    <col min="11525" max="11525" width="9.625" style="53" bestFit="1" customWidth="1"/>
    <col min="11526" max="11779" width="8.875" style="53"/>
    <col min="11780" max="11780" width="10.5" style="53" bestFit="1" customWidth="1"/>
    <col min="11781" max="11781" width="9.625" style="53" bestFit="1" customWidth="1"/>
    <col min="11782" max="12035" width="8.875" style="53"/>
    <col min="12036" max="12036" width="10.5" style="53" bestFit="1" customWidth="1"/>
    <col min="12037" max="12037" width="9.625" style="53" bestFit="1" customWidth="1"/>
    <col min="12038" max="12291" width="8.875" style="53"/>
    <col min="12292" max="12292" width="10.5" style="53" bestFit="1" customWidth="1"/>
    <col min="12293" max="12293" width="9.625" style="53" bestFit="1" customWidth="1"/>
    <col min="12294" max="12547" width="8.875" style="53"/>
    <col min="12548" max="12548" width="10.5" style="53" bestFit="1" customWidth="1"/>
    <col min="12549" max="12549" width="9.625" style="53" bestFit="1" customWidth="1"/>
    <col min="12550" max="12803" width="8.875" style="53"/>
    <col min="12804" max="12804" width="10.5" style="53" bestFit="1" customWidth="1"/>
    <col min="12805" max="12805" width="9.625" style="53" bestFit="1" customWidth="1"/>
    <col min="12806" max="13059" width="8.875" style="53"/>
    <col min="13060" max="13060" width="10.5" style="53" bestFit="1" customWidth="1"/>
    <col min="13061" max="13061" width="9.625" style="53" bestFit="1" customWidth="1"/>
    <col min="13062" max="13315" width="8.875" style="53"/>
    <col min="13316" max="13316" width="10.5" style="53" bestFit="1" customWidth="1"/>
    <col min="13317" max="13317" width="9.625" style="53" bestFit="1" customWidth="1"/>
    <col min="13318" max="13571" width="8.875" style="53"/>
    <col min="13572" max="13572" width="10.5" style="53" bestFit="1" customWidth="1"/>
    <col min="13573" max="13573" width="9.625" style="53" bestFit="1" customWidth="1"/>
    <col min="13574" max="13827" width="8.875" style="53"/>
    <col min="13828" max="13828" width="10.5" style="53" bestFit="1" customWidth="1"/>
    <col min="13829" max="13829" width="9.625" style="53" bestFit="1" customWidth="1"/>
    <col min="13830" max="14083" width="8.875" style="53"/>
    <col min="14084" max="14084" width="10.5" style="53" bestFit="1" customWidth="1"/>
    <col min="14085" max="14085" width="9.625" style="53" bestFit="1" customWidth="1"/>
    <col min="14086" max="14339" width="8.875" style="53"/>
    <col min="14340" max="14340" width="10.5" style="53" bestFit="1" customWidth="1"/>
    <col min="14341" max="14341" width="9.625" style="53" bestFit="1" customWidth="1"/>
    <col min="14342" max="14595" width="8.875" style="53"/>
    <col min="14596" max="14596" width="10.5" style="53" bestFit="1" customWidth="1"/>
    <col min="14597" max="14597" width="9.625" style="53" bestFit="1" customWidth="1"/>
    <col min="14598" max="14851" width="8.875" style="53"/>
    <col min="14852" max="14852" width="10.5" style="53" bestFit="1" customWidth="1"/>
    <col min="14853" max="14853" width="9.625" style="53" bestFit="1" customWidth="1"/>
    <col min="14854" max="15107" width="8.875" style="53"/>
    <col min="15108" max="15108" width="10.5" style="53" bestFit="1" customWidth="1"/>
    <col min="15109" max="15109" width="9.625" style="53" bestFit="1" customWidth="1"/>
    <col min="15110" max="15363" width="8.875" style="53"/>
    <col min="15364" max="15364" width="10.5" style="53" bestFit="1" customWidth="1"/>
    <col min="15365" max="15365" width="9.625" style="53" bestFit="1" customWidth="1"/>
    <col min="15366" max="15619" width="8.875" style="53"/>
    <col min="15620" max="15620" width="10.5" style="53" bestFit="1" customWidth="1"/>
    <col min="15621" max="15621" width="9.625" style="53" bestFit="1" customWidth="1"/>
    <col min="15622" max="15875" width="8.875" style="53"/>
    <col min="15876" max="15876" width="10.5" style="53" bestFit="1" customWidth="1"/>
    <col min="15877" max="15877" width="9.625" style="53" bestFit="1" customWidth="1"/>
    <col min="15878" max="16131" width="8.875" style="53"/>
    <col min="16132" max="16132" width="10.5" style="53" bestFit="1" customWidth="1"/>
    <col min="16133" max="16133" width="9.625" style="53" bestFit="1" customWidth="1"/>
    <col min="16134" max="16384" width="8.875" style="53"/>
  </cols>
  <sheetData>
    <row r="1" spans="1:53" ht="45" x14ac:dyDescent="0.15">
      <c r="A1" s="44" t="s">
        <v>0</v>
      </c>
      <c r="B1" s="89" t="s">
        <v>1</v>
      </c>
      <c r="C1" s="89" t="s">
        <v>2</v>
      </c>
      <c r="D1" s="90" t="s">
        <v>3</v>
      </c>
      <c r="E1" s="45" t="s">
        <v>4</v>
      </c>
      <c r="F1" s="45" t="s">
        <v>5</v>
      </c>
      <c r="G1" s="45" t="s">
        <v>6</v>
      </c>
      <c r="H1" s="45" t="s">
        <v>7</v>
      </c>
      <c r="I1" s="45" t="s">
        <v>8</v>
      </c>
      <c r="J1" s="45" t="s">
        <v>9</v>
      </c>
      <c r="K1" s="45" t="s">
        <v>10</v>
      </c>
      <c r="L1" s="90" t="s">
        <v>11</v>
      </c>
      <c r="M1" s="90" t="s">
        <v>12</v>
      </c>
      <c r="N1" s="90" t="s">
        <v>290</v>
      </c>
      <c r="O1" s="90" t="s">
        <v>14</v>
      </c>
      <c r="P1" s="90" t="s">
        <v>15</v>
      </c>
      <c r="Q1" s="3" t="s">
        <v>16</v>
      </c>
      <c r="R1" s="90" t="s">
        <v>17</v>
      </c>
      <c r="S1" s="90" t="s">
        <v>18</v>
      </c>
      <c r="T1" s="3" t="s">
        <v>19</v>
      </c>
      <c r="U1" s="92" t="s">
        <v>291</v>
      </c>
      <c r="V1" s="5" t="s">
        <v>20</v>
      </c>
      <c r="W1" s="90" t="s">
        <v>21</v>
      </c>
      <c r="X1" s="45" t="s">
        <v>22</v>
      </c>
      <c r="Y1" s="45" t="s">
        <v>23</v>
      </c>
      <c r="Z1" s="45" t="s">
        <v>24</v>
      </c>
      <c r="AA1" s="46" t="s">
        <v>25</v>
      </c>
      <c r="AB1" s="94" t="s">
        <v>26</v>
      </c>
      <c r="AE1" s="95" t="s">
        <v>0</v>
      </c>
      <c r="AF1" s="96"/>
      <c r="AG1" s="95" t="s">
        <v>4</v>
      </c>
      <c r="AH1" s="95" t="s">
        <v>5</v>
      </c>
      <c r="AI1" s="96"/>
      <c r="AJ1" s="95" t="s">
        <v>6</v>
      </c>
      <c r="AK1" s="96"/>
      <c r="AL1" s="10" t="s">
        <v>7</v>
      </c>
      <c r="AM1" s="96"/>
      <c r="AN1" s="10" t="s">
        <v>8</v>
      </c>
      <c r="AO1" s="96"/>
      <c r="AP1" s="10" t="s">
        <v>27</v>
      </c>
      <c r="AQ1" s="96"/>
      <c r="AR1" s="10" t="s">
        <v>10</v>
      </c>
      <c r="AS1" s="96"/>
      <c r="AT1" s="11" t="s">
        <v>28</v>
      </c>
      <c r="AU1" s="96"/>
      <c r="AV1" s="10" t="s">
        <v>29</v>
      </c>
      <c r="AX1" s="12" t="s">
        <v>30</v>
      </c>
      <c r="AY1" s="13" t="s">
        <v>31</v>
      </c>
      <c r="AZ1" s="13" t="s">
        <v>32</v>
      </c>
      <c r="BA1" s="14" t="s">
        <v>33</v>
      </c>
    </row>
    <row r="2" spans="1:53" x14ac:dyDescent="0.15">
      <c r="A2" s="53" t="s">
        <v>59</v>
      </c>
      <c r="B2" s="53" t="s">
        <v>232</v>
      </c>
      <c r="C2" s="71">
        <v>2019</v>
      </c>
      <c r="D2" s="114" t="s">
        <v>292</v>
      </c>
      <c r="E2" s="53" t="s">
        <v>293</v>
      </c>
      <c r="F2" s="53" t="s">
        <v>294</v>
      </c>
      <c r="G2" s="53" t="s">
        <v>36</v>
      </c>
      <c r="H2" s="53" t="s">
        <v>160</v>
      </c>
      <c r="I2" s="53" t="s">
        <v>159</v>
      </c>
      <c r="J2" s="53" t="s">
        <v>38</v>
      </c>
      <c r="K2" s="53" t="s">
        <v>161</v>
      </c>
      <c r="L2" s="53">
        <v>1</v>
      </c>
      <c r="N2" s="53">
        <v>4</v>
      </c>
      <c r="O2" s="53">
        <v>0.32</v>
      </c>
      <c r="P2" s="53">
        <v>0.4</v>
      </c>
      <c r="Q2" s="84">
        <f>IF(OR(O2="",P2=""),"",AVERAGE(O2,P2))</f>
        <v>0.36</v>
      </c>
      <c r="R2" s="53">
        <v>16.600000000000001</v>
      </c>
      <c r="S2" s="53">
        <v>111</v>
      </c>
      <c r="T2" s="16">
        <f t="shared" ref="T2:T61" si="0">IF(H2="","",IF(OR(H2="GREEN",H2="GK"),IF(S2&gt;=$AX$2,VLOOKUP(S2,$AX$2:$AY$12,2,1),""),IF(S2&gt;=$AZ$2,VLOOKUP(S2,$AZ$2:$BA$12,2,1),"")))</f>
        <v>33</v>
      </c>
      <c r="U2" s="53">
        <v>398</v>
      </c>
      <c r="V2" s="16">
        <f t="shared" ref="V2:V61" si="1">IF(J2="","",IF(OR(J2="GREEN",J2="GK"),IF(U2&gt;=$AX$2,VLOOKUP(U2,$AX$2:$AY$12,2,1),""),IF(U2&gt;=$AZ$2,VLOOKUP(U2,$AZ$2:$BA$12,2,1),"")))</f>
        <v>16</v>
      </c>
      <c r="W2" s="53">
        <v>2</v>
      </c>
      <c r="X2" s="53" t="s">
        <v>46</v>
      </c>
      <c r="Y2" s="53" t="s">
        <v>295</v>
      </c>
      <c r="Z2" s="53" t="s">
        <v>78</v>
      </c>
      <c r="AA2" s="53" t="s">
        <v>69</v>
      </c>
      <c r="AB2" s="53" t="s">
        <v>296</v>
      </c>
      <c r="AE2" s="73" t="s">
        <v>35</v>
      </c>
      <c r="AG2" s="115" t="s">
        <v>297</v>
      </c>
      <c r="AH2" s="116" t="s">
        <v>298</v>
      </c>
      <c r="AJ2" s="76" t="s">
        <v>36</v>
      </c>
      <c r="AL2" s="76" t="s">
        <v>127</v>
      </c>
      <c r="AN2" s="76" t="s">
        <v>299</v>
      </c>
      <c r="AP2" s="76" t="s">
        <v>38</v>
      </c>
      <c r="AR2" s="76" t="s">
        <v>120</v>
      </c>
      <c r="AT2" s="76" t="s">
        <v>39</v>
      </c>
      <c r="AV2" s="23" t="s">
        <v>55</v>
      </c>
      <c r="AX2" s="77">
        <v>1</v>
      </c>
      <c r="AY2" s="78">
        <v>50</v>
      </c>
      <c r="AZ2" s="78">
        <v>1</v>
      </c>
      <c r="BA2" s="79">
        <v>50</v>
      </c>
    </row>
    <row r="3" spans="1:53" x14ac:dyDescent="0.15">
      <c r="A3" s="53" t="s">
        <v>59</v>
      </c>
      <c r="B3" s="53" t="s">
        <v>232</v>
      </c>
      <c r="C3" s="71">
        <v>2019</v>
      </c>
      <c r="D3" s="114" t="s">
        <v>292</v>
      </c>
      <c r="E3" s="53" t="s">
        <v>293</v>
      </c>
      <c r="F3" s="53" t="s">
        <v>294</v>
      </c>
      <c r="G3" s="53" t="s">
        <v>36</v>
      </c>
      <c r="H3" s="53" t="s">
        <v>160</v>
      </c>
      <c r="I3" s="53" t="s">
        <v>159</v>
      </c>
      <c r="J3" s="53" t="s">
        <v>38</v>
      </c>
      <c r="K3" s="53" t="s">
        <v>161</v>
      </c>
      <c r="L3" s="53">
        <v>2</v>
      </c>
      <c r="N3" s="53">
        <v>4</v>
      </c>
      <c r="O3" s="53">
        <v>0.39</v>
      </c>
      <c r="P3" s="53">
        <v>0.45</v>
      </c>
      <c r="Q3" s="84">
        <f t="shared" ref="Q3:Q61" si="2">IF(OR(O3="",P3=""),"",AVERAGE(O3,P3))</f>
        <v>0.42000000000000004</v>
      </c>
      <c r="R3" s="53">
        <v>15.3</v>
      </c>
      <c r="S3" s="53">
        <v>114</v>
      </c>
      <c r="T3" s="16">
        <f t="shared" si="0"/>
        <v>30</v>
      </c>
      <c r="U3" s="53">
        <v>398</v>
      </c>
      <c r="V3" s="16">
        <f t="shared" si="1"/>
        <v>16</v>
      </c>
      <c r="W3" s="53">
        <v>2</v>
      </c>
      <c r="X3" s="53" t="s">
        <v>46</v>
      </c>
      <c r="Y3" s="53" t="s">
        <v>295</v>
      </c>
      <c r="Z3" s="53" t="s">
        <v>78</v>
      </c>
      <c r="AA3" s="53" t="s">
        <v>69</v>
      </c>
      <c r="AB3" s="53" t="s">
        <v>296</v>
      </c>
      <c r="AE3" s="22" t="s">
        <v>41</v>
      </c>
      <c r="AG3" s="115" t="s">
        <v>300</v>
      </c>
      <c r="AH3" s="116" t="s">
        <v>294</v>
      </c>
      <c r="AJ3" s="23" t="s">
        <v>42</v>
      </c>
      <c r="AL3" s="23" t="s">
        <v>128</v>
      </c>
      <c r="AN3" s="23" t="s">
        <v>43</v>
      </c>
      <c r="AP3" s="23" t="s">
        <v>44</v>
      </c>
      <c r="AR3" s="23" t="s">
        <v>45</v>
      </c>
      <c r="AT3" s="23" t="s">
        <v>46</v>
      </c>
      <c r="AV3" s="23" t="s">
        <v>286</v>
      </c>
      <c r="AX3" s="24">
        <v>72</v>
      </c>
      <c r="AY3" s="25">
        <v>46</v>
      </c>
      <c r="AZ3" s="25">
        <v>71</v>
      </c>
      <c r="BA3" s="26">
        <v>42</v>
      </c>
    </row>
    <row r="4" spans="1:53" x14ac:dyDescent="0.15">
      <c r="A4" s="53" t="s">
        <v>59</v>
      </c>
      <c r="B4" s="53" t="s">
        <v>232</v>
      </c>
      <c r="C4" s="71">
        <v>2019</v>
      </c>
      <c r="D4" s="114" t="s">
        <v>292</v>
      </c>
      <c r="E4" s="53" t="s">
        <v>293</v>
      </c>
      <c r="F4" s="53" t="s">
        <v>294</v>
      </c>
      <c r="G4" s="53" t="s">
        <v>36</v>
      </c>
      <c r="H4" s="53" t="s">
        <v>160</v>
      </c>
      <c r="I4" s="53" t="s">
        <v>301</v>
      </c>
      <c r="J4" s="53" t="s">
        <v>38</v>
      </c>
      <c r="K4" s="53" t="s">
        <v>161</v>
      </c>
      <c r="L4" s="53">
        <v>3</v>
      </c>
      <c r="N4" s="53">
        <v>4</v>
      </c>
      <c r="O4" s="53">
        <v>0.38</v>
      </c>
      <c r="P4" s="53">
        <v>0.42</v>
      </c>
      <c r="Q4" s="84">
        <f t="shared" si="2"/>
        <v>0.4</v>
      </c>
      <c r="R4" s="53">
        <v>15.5</v>
      </c>
      <c r="S4" s="53">
        <v>112</v>
      </c>
      <c r="T4" s="16">
        <f t="shared" si="0"/>
        <v>33</v>
      </c>
      <c r="U4" s="53">
        <v>398</v>
      </c>
      <c r="V4" s="16">
        <f t="shared" si="1"/>
        <v>16</v>
      </c>
      <c r="W4" s="53">
        <v>2</v>
      </c>
      <c r="X4" s="53" t="s">
        <v>46</v>
      </c>
      <c r="Y4" s="53" t="s">
        <v>295</v>
      </c>
      <c r="Z4" s="53" t="s">
        <v>78</v>
      </c>
      <c r="AA4" s="53" t="s">
        <v>69</v>
      </c>
      <c r="AB4" s="53" t="s">
        <v>296</v>
      </c>
      <c r="AE4" s="22" t="s">
        <v>34</v>
      </c>
      <c r="AG4" s="115" t="s">
        <v>302</v>
      </c>
      <c r="AH4" s="116" t="s">
        <v>303</v>
      </c>
      <c r="AJ4" s="27" t="s">
        <v>48</v>
      </c>
      <c r="AL4" s="27" t="s">
        <v>129</v>
      </c>
      <c r="AN4" s="28" t="s">
        <v>49</v>
      </c>
      <c r="AP4" s="23" t="s">
        <v>93</v>
      </c>
      <c r="AR4" s="23" t="s">
        <v>304</v>
      </c>
      <c r="AT4" s="28"/>
      <c r="AV4" s="23" t="s">
        <v>295</v>
      </c>
      <c r="AX4" s="24">
        <v>75</v>
      </c>
      <c r="AY4" s="25">
        <v>42</v>
      </c>
      <c r="AZ4" s="25">
        <v>76</v>
      </c>
      <c r="BA4" s="26">
        <v>39</v>
      </c>
    </row>
    <row r="5" spans="1:53" x14ac:dyDescent="0.15">
      <c r="A5" s="53" t="s">
        <v>59</v>
      </c>
      <c r="B5" s="53" t="s">
        <v>232</v>
      </c>
      <c r="C5" s="71">
        <v>2019</v>
      </c>
      <c r="D5" s="114" t="s">
        <v>292</v>
      </c>
      <c r="E5" s="53" t="s">
        <v>293</v>
      </c>
      <c r="F5" s="53" t="s">
        <v>294</v>
      </c>
      <c r="G5" s="53" t="s">
        <v>36</v>
      </c>
      <c r="H5" s="53" t="s">
        <v>164</v>
      </c>
      <c r="I5" s="53" t="s">
        <v>159</v>
      </c>
      <c r="J5" s="53" t="s">
        <v>38</v>
      </c>
      <c r="K5" s="53" t="s">
        <v>161</v>
      </c>
      <c r="L5" s="53">
        <v>1</v>
      </c>
      <c r="N5" s="53">
        <v>5</v>
      </c>
      <c r="O5" s="53">
        <v>0.55000000000000004</v>
      </c>
      <c r="P5" s="53">
        <v>0.6</v>
      </c>
      <c r="Q5" s="84">
        <f t="shared" si="2"/>
        <v>0.57499999999999996</v>
      </c>
      <c r="R5" s="53">
        <v>13.4</v>
      </c>
      <c r="S5" s="53">
        <v>90</v>
      </c>
      <c r="T5" s="16">
        <f t="shared" si="0"/>
        <v>36</v>
      </c>
      <c r="U5" s="53">
        <v>348</v>
      </c>
      <c r="V5" s="16">
        <f t="shared" si="1"/>
        <v>16</v>
      </c>
      <c r="W5" s="53">
        <v>2</v>
      </c>
      <c r="X5" s="53" t="s">
        <v>46</v>
      </c>
      <c r="Y5" s="53" t="s">
        <v>295</v>
      </c>
      <c r="Z5" s="53" t="s">
        <v>78</v>
      </c>
      <c r="AA5" s="53" t="s">
        <v>69</v>
      </c>
      <c r="AB5" s="53" t="s">
        <v>296</v>
      </c>
      <c r="AE5" s="22" t="s">
        <v>51</v>
      </c>
      <c r="AG5" s="115" t="s">
        <v>305</v>
      </c>
      <c r="AH5" s="116" t="s">
        <v>306</v>
      </c>
      <c r="AJ5" s="28"/>
      <c r="AL5" s="82" t="s">
        <v>66</v>
      </c>
      <c r="AN5" s="82" t="s">
        <v>52</v>
      </c>
      <c r="AP5" s="23" t="s">
        <v>245</v>
      </c>
      <c r="AR5" s="23" t="s">
        <v>54</v>
      </c>
      <c r="AV5" s="23" t="s">
        <v>307</v>
      </c>
      <c r="AX5" s="24">
        <v>84</v>
      </c>
      <c r="AY5" s="25">
        <v>39</v>
      </c>
      <c r="AZ5" s="25">
        <v>84</v>
      </c>
      <c r="BA5" s="26">
        <v>36</v>
      </c>
    </row>
    <row r="6" spans="1:53" x14ac:dyDescent="0.15">
      <c r="A6" s="53" t="s">
        <v>59</v>
      </c>
      <c r="B6" s="53" t="s">
        <v>232</v>
      </c>
      <c r="C6" s="71">
        <v>2019</v>
      </c>
      <c r="D6" s="114" t="s">
        <v>292</v>
      </c>
      <c r="E6" s="53" t="s">
        <v>293</v>
      </c>
      <c r="F6" s="53" t="s">
        <v>294</v>
      </c>
      <c r="G6" s="53" t="s">
        <v>36</v>
      </c>
      <c r="H6" s="53" t="s">
        <v>164</v>
      </c>
      <c r="I6" s="53" t="s">
        <v>159</v>
      </c>
      <c r="J6" s="53" t="s">
        <v>38</v>
      </c>
      <c r="K6" s="53" t="s">
        <v>161</v>
      </c>
      <c r="L6" s="53">
        <v>2</v>
      </c>
      <c r="N6" s="53">
        <v>5</v>
      </c>
      <c r="O6" s="53">
        <v>0.5</v>
      </c>
      <c r="P6" s="53">
        <v>0.5</v>
      </c>
      <c r="Q6" s="84">
        <f t="shared" si="2"/>
        <v>0.5</v>
      </c>
      <c r="R6" s="53">
        <v>13.5</v>
      </c>
      <c r="S6" s="53">
        <v>90</v>
      </c>
      <c r="T6" s="16">
        <f t="shared" si="0"/>
        <v>36</v>
      </c>
      <c r="U6" s="53">
        <v>348</v>
      </c>
      <c r="V6" s="16">
        <f t="shared" si="1"/>
        <v>16</v>
      </c>
      <c r="W6" s="53">
        <v>2</v>
      </c>
      <c r="X6" s="53" t="s">
        <v>46</v>
      </c>
      <c r="Y6" s="53" t="s">
        <v>295</v>
      </c>
      <c r="Z6" s="53" t="s">
        <v>78</v>
      </c>
      <c r="AA6" s="53" t="s">
        <v>69</v>
      </c>
      <c r="AB6" s="53" t="s">
        <v>296</v>
      </c>
      <c r="AE6" s="22" t="s">
        <v>56</v>
      </c>
      <c r="AG6" s="115" t="s">
        <v>308</v>
      </c>
      <c r="AH6" s="116" t="s">
        <v>309</v>
      </c>
      <c r="AL6" s="82" t="s">
        <v>99</v>
      </c>
      <c r="AN6" s="82" t="s">
        <v>57</v>
      </c>
      <c r="AP6" s="23" t="s">
        <v>53</v>
      </c>
      <c r="AR6" s="23" t="s">
        <v>310</v>
      </c>
      <c r="AV6" s="23" t="s">
        <v>60</v>
      </c>
      <c r="AX6" s="24">
        <v>97</v>
      </c>
      <c r="AY6" s="25">
        <v>36</v>
      </c>
      <c r="AZ6" s="25">
        <v>99</v>
      </c>
      <c r="BA6" s="26">
        <v>33</v>
      </c>
    </row>
    <row r="7" spans="1:53" x14ac:dyDescent="0.15">
      <c r="A7" s="53" t="s">
        <v>59</v>
      </c>
      <c r="B7" s="53" t="s">
        <v>232</v>
      </c>
      <c r="C7" s="71">
        <v>2019</v>
      </c>
      <c r="D7" s="114" t="s">
        <v>292</v>
      </c>
      <c r="E7" s="53" t="s">
        <v>293</v>
      </c>
      <c r="F7" s="53" t="s">
        <v>294</v>
      </c>
      <c r="G7" s="53" t="s">
        <v>36</v>
      </c>
      <c r="H7" s="53" t="s">
        <v>164</v>
      </c>
      <c r="I7" s="53" t="s">
        <v>159</v>
      </c>
      <c r="J7" s="53" t="s">
        <v>38</v>
      </c>
      <c r="K7" s="53" t="s">
        <v>161</v>
      </c>
      <c r="L7" s="53">
        <v>3</v>
      </c>
      <c r="N7" s="53">
        <v>5</v>
      </c>
      <c r="O7" s="53">
        <v>0.52</v>
      </c>
      <c r="P7" s="53">
        <v>0.57999999999999996</v>
      </c>
      <c r="Q7" s="84">
        <f t="shared" si="2"/>
        <v>0.55000000000000004</v>
      </c>
      <c r="R7" s="53">
        <v>13.8</v>
      </c>
      <c r="S7" s="53">
        <v>95</v>
      </c>
      <c r="T7" s="16">
        <f t="shared" si="0"/>
        <v>36</v>
      </c>
      <c r="U7" s="53">
        <v>348</v>
      </c>
      <c r="V7" s="16">
        <f t="shared" si="1"/>
        <v>16</v>
      </c>
      <c r="W7" s="53">
        <v>2</v>
      </c>
      <c r="X7" s="53" t="s">
        <v>46</v>
      </c>
      <c r="Y7" s="53" t="s">
        <v>295</v>
      </c>
      <c r="Z7" s="53" t="s">
        <v>78</v>
      </c>
      <c r="AA7" s="53" t="s">
        <v>69</v>
      </c>
      <c r="AB7" s="53" t="s">
        <v>296</v>
      </c>
      <c r="AE7" s="22" t="s">
        <v>61</v>
      </c>
      <c r="AG7" s="115" t="s">
        <v>311</v>
      </c>
      <c r="AH7" s="116" t="s">
        <v>312</v>
      </c>
      <c r="AL7" s="34" t="s">
        <v>109</v>
      </c>
      <c r="AP7" s="23" t="s">
        <v>58</v>
      </c>
      <c r="AR7" s="23" t="s">
        <v>313</v>
      </c>
      <c r="AV7" s="23" t="s">
        <v>64</v>
      </c>
      <c r="AX7" s="24">
        <v>109</v>
      </c>
      <c r="AY7" s="25">
        <v>33</v>
      </c>
      <c r="AZ7" s="25">
        <v>113</v>
      </c>
      <c r="BA7" s="26">
        <v>30</v>
      </c>
    </row>
    <row r="8" spans="1:53" x14ac:dyDescent="0.15">
      <c r="A8" s="53" t="s">
        <v>59</v>
      </c>
      <c r="B8" s="53" t="s">
        <v>232</v>
      </c>
      <c r="C8" s="71">
        <v>2019</v>
      </c>
      <c r="D8" s="114" t="s">
        <v>292</v>
      </c>
      <c r="E8" s="53" t="s">
        <v>297</v>
      </c>
      <c r="F8" s="53" t="s">
        <v>298</v>
      </c>
      <c r="G8" s="53" t="s">
        <v>36</v>
      </c>
      <c r="H8" s="53" t="s">
        <v>160</v>
      </c>
      <c r="I8" s="53" t="s">
        <v>159</v>
      </c>
      <c r="J8" s="53" t="s">
        <v>38</v>
      </c>
      <c r="K8" s="53" t="s">
        <v>161</v>
      </c>
      <c r="L8" s="53">
        <v>1</v>
      </c>
      <c r="N8" s="53">
        <v>4</v>
      </c>
      <c r="O8" s="53">
        <v>0.26</v>
      </c>
      <c r="P8" s="53">
        <v>0.34</v>
      </c>
      <c r="Q8" s="84">
        <f t="shared" si="2"/>
        <v>0.30000000000000004</v>
      </c>
      <c r="R8" s="53">
        <v>15.4</v>
      </c>
      <c r="S8" s="53">
        <v>85</v>
      </c>
      <c r="T8" s="16">
        <f t="shared" si="0"/>
        <v>36</v>
      </c>
      <c r="U8" s="53">
        <v>297</v>
      </c>
      <c r="V8" s="16">
        <f t="shared" si="1"/>
        <v>16</v>
      </c>
      <c r="W8" s="53">
        <v>10</v>
      </c>
      <c r="X8" s="53" t="s">
        <v>39</v>
      </c>
      <c r="Y8" s="53" t="s">
        <v>78</v>
      </c>
      <c r="Z8" s="53" t="s">
        <v>97</v>
      </c>
      <c r="AA8" s="53" t="s">
        <v>86</v>
      </c>
      <c r="AB8" s="53" t="s">
        <v>296</v>
      </c>
      <c r="AE8" s="22" t="s">
        <v>59</v>
      </c>
      <c r="AG8" s="117" t="s">
        <v>162</v>
      </c>
      <c r="AH8" s="116" t="s">
        <v>314</v>
      </c>
      <c r="AL8" s="34" t="s">
        <v>134</v>
      </c>
      <c r="AP8" s="23" t="s">
        <v>62</v>
      </c>
      <c r="AR8" s="23" t="s">
        <v>81</v>
      </c>
      <c r="AV8" s="23" t="s">
        <v>97</v>
      </c>
      <c r="AX8" s="24">
        <v>119</v>
      </c>
      <c r="AY8" s="25">
        <v>30</v>
      </c>
      <c r="AZ8" s="25">
        <v>121</v>
      </c>
      <c r="BA8" s="26">
        <v>27</v>
      </c>
    </row>
    <row r="9" spans="1:53" x14ac:dyDescent="0.15">
      <c r="A9" s="53" t="s">
        <v>59</v>
      </c>
      <c r="B9" s="53" t="s">
        <v>232</v>
      </c>
      <c r="C9" s="71">
        <v>2019</v>
      </c>
      <c r="D9" s="114" t="s">
        <v>292</v>
      </c>
      <c r="E9" s="53" t="s">
        <v>297</v>
      </c>
      <c r="F9" s="53" t="s">
        <v>298</v>
      </c>
      <c r="G9" s="53" t="s">
        <v>36</v>
      </c>
      <c r="H9" s="53" t="s">
        <v>160</v>
      </c>
      <c r="I9" s="53" t="s">
        <v>159</v>
      </c>
      <c r="J9" s="53" t="s">
        <v>38</v>
      </c>
      <c r="K9" s="53" t="s">
        <v>161</v>
      </c>
      <c r="L9" s="53">
        <v>2</v>
      </c>
      <c r="N9" s="53">
        <v>4</v>
      </c>
      <c r="O9" s="53">
        <v>0.22</v>
      </c>
      <c r="P9" s="53">
        <v>0.28000000000000003</v>
      </c>
      <c r="Q9" s="84">
        <f t="shared" si="2"/>
        <v>0.25</v>
      </c>
      <c r="R9" s="53">
        <v>18.5</v>
      </c>
      <c r="S9" s="53">
        <v>86</v>
      </c>
      <c r="T9" s="16">
        <f t="shared" si="0"/>
        <v>36</v>
      </c>
      <c r="U9" s="53">
        <v>297</v>
      </c>
      <c r="V9" s="16">
        <f t="shared" si="1"/>
        <v>16</v>
      </c>
      <c r="W9" s="53">
        <v>10</v>
      </c>
      <c r="X9" s="53" t="s">
        <v>39</v>
      </c>
      <c r="Y9" s="53" t="s">
        <v>78</v>
      </c>
      <c r="Z9" s="53" t="s">
        <v>97</v>
      </c>
      <c r="AA9" s="53" t="s">
        <v>86</v>
      </c>
      <c r="AB9" s="53" t="s">
        <v>296</v>
      </c>
      <c r="AE9" s="22" t="s">
        <v>98</v>
      </c>
      <c r="AG9" s="117" t="s">
        <v>315</v>
      </c>
      <c r="AH9" s="116" t="s">
        <v>314</v>
      </c>
      <c r="AL9" s="82"/>
      <c r="AP9" s="23" t="s">
        <v>316</v>
      </c>
      <c r="AR9" s="23" t="s">
        <v>89</v>
      </c>
      <c r="AV9" s="23" t="s">
        <v>102</v>
      </c>
      <c r="AX9" s="24">
        <v>128</v>
      </c>
      <c r="AY9" s="25">
        <v>27</v>
      </c>
      <c r="AZ9" s="25">
        <v>129</v>
      </c>
      <c r="BA9" s="26">
        <v>25</v>
      </c>
    </row>
    <row r="10" spans="1:53" x14ac:dyDescent="0.15">
      <c r="A10" s="53" t="s">
        <v>59</v>
      </c>
      <c r="B10" s="53" t="s">
        <v>232</v>
      </c>
      <c r="C10" s="71">
        <v>2019</v>
      </c>
      <c r="D10" s="114" t="s">
        <v>292</v>
      </c>
      <c r="E10" s="53" t="s">
        <v>297</v>
      </c>
      <c r="F10" s="53" t="s">
        <v>298</v>
      </c>
      <c r="G10" s="53" t="s">
        <v>36</v>
      </c>
      <c r="H10" s="53" t="s">
        <v>160</v>
      </c>
      <c r="I10" s="53" t="s">
        <v>159</v>
      </c>
      <c r="J10" s="53" t="s">
        <v>38</v>
      </c>
      <c r="K10" s="53" t="s">
        <v>161</v>
      </c>
      <c r="L10" s="53">
        <v>3</v>
      </c>
      <c r="N10" s="53">
        <v>4</v>
      </c>
      <c r="O10" s="53">
        <v>0.25</v>
      </c>
      <c r="P10" s="53">
        <v>0.28999999999999998</v>
      </c>
      <c r="Q10" s="84">
        <f t="shared" si="2"/>
        <v>0.27</v>
      </c>
      <c r="R10" s="53">
        <v>17.7</v>
      </c>
      <c r="S10" s="53">
        <v>95</v>
      </c>
      <c r="T10" s="16">
        <f t="shared" si="0"/>
        <v>36</v>
      </c>
      <c r="U10" s="53">
        <v>297</v>
      </c>
      <c r="V10" s="16">
        <f t="shared" si="1"/>
        <v>16</v>
      </c>
      <c r="W10" s="53">
        <v>10</v>
      </c>
      <c r="X10" s="53" t="s">
        <v>39</v>
      </c>
      <c r="Y10" s="53" t="s">
        <v>78</v>
      </c>
      <c r="Z10" s="53" t="s">
        <v>97</v>
      </c>
      <c r="AA10" s="53" t="s">
        <v>86</v>
      </c>
      <c r="AB10" s="53" t="s">
        <v>296</v>
      </c>
      <c r="AE10" s="22" t="s">
        <v>103</v>
      </c>
      <c r="AG10" s="115" t="s">
        <v>317</v>
      </c>
      <c r="AH10" s="116" t="s">
        <v>306</v>
      </c>
      <c r="AL10" s="99"/>
      <c r="AP10" s="23" t="s">
        <v>100</v>
      </c>
      <c r="AR10" s="23" t="s">
        <v>123</v>
      </c>
      <c r="AV10" s="23" t="s">
        <v>106</v>
      </c>
      <c r="AX10" s="24">
        <v>138</v>
      </c>
      <c r="AY10" s="25">
        <v>25</v>
      </c>
      <c r="AZ10" s="25">
        <v>138</v>
      </c>
      <c r="BA10" s="26">
        <v>22</v>
      </c>
    </row>
    <row r="11" spans="1:53" x14ac:dyDescent="0.15">
      <c r="A11" s="53" t="s">
        <v>59</v>
      </c>
      <c r="B11" s="53" t="s">
        <v>232</v>
      </c>
      <c r="C11" s="71">
        <v>2019</v>
      </c>
      <c r="D11" s="114" t="s">
        <v>292</v>
      </c>
      <c r="E11" s="53" t="s">
        <v>297</v>
      </c>
      <c r="F11" s="53" t="s">
        <v>298</v>
      </c>
      <c r="G11" s="53" t="s">
        <v>36</v>
      </c>
      <c r="H11" s="53" t="s">
        <v>164</v>
      </c>
      <c r="I11" s="53" t="s">
        <v>159</v>
      </c>
      <c r="J11" s="53" t="s">
        <v>38</v>
      </c>
      <c r="K11" s="53" t="s">
        <v>161</v>
      </c>
      <c r="L11" s="53">
        <v>1</v>
      </c>
      <c r="N11" s="53">
        <v>4</v>
      </c>
      <c r="O11" s="53">
        <v>0.57999999999999996</v>
      </c>
      <c r="P11" s="53">
        <v>0.6</v>
      </c>
      <c r="Q11" s="84">
        <f t="shared" si="2"/>
        <v>0.59</v>
      </c>
      <c r="R11" s="53">
        <v>15.1</v>
      </c>
      <c r="S11" s="53">
        <v>82</v>
      </c>
      <c r="T11" s="16">
        <f t="shared" si="0"/>
        <v>39</v>
      </c>
      <c r="U11" s="53">
        <v>157</v>
      </c>
      <c r="V11" s="16">
        <f t="shared" si="1"/>
        <v>18</v>
      </c>
      <c r="W11" s="53">
        <v>7</v>
      </c>
      <c r="X11" s="53" t="s">
        <v>39</v>
      </c>
      <c r="Y11" s="53" t="s">
        <v>78</v>
      </c>
      <c r="Z11" s="53" t="s">
        <v>97</v>
      </c>
      <c r="AA11" s="53" t="s">
        <v>86</v>
      </c>
      <c r="AB11" s="53" t="s">
        <v>296</v>
      </c>
      <c r="AE11" s="22" t="s">
        <v>65</v>
      </c>
      <c r="AG11" s="117" t="s">
        <v>318</v>
      </c>
      <c r="AH11" s="116" t="s">
        <v>319</v>
      </c>
      <c r="AL11" s="99"/>
      <c r="AP11" s="23" t="s">
        <v>320</v>
      </c>
      <c r="AR11" s="23" t="s">
        <v>321</v>
      </c>
      <c r="AV11" s="23" t="s">
        <v>322</v>
      </c>
      <c r="AX11" s="24">
        <v>151</v>
      </c>
      <c r="AY11" s="25">
        <v>22</v>
      </c>
      <c r="AZ11" s="25">
        <v>152</v>
      </c>
      <c r="BA11" s="26">
        <v>18</v>
      </c>
    </row>
    <row r="12" spans="1:53" x14ac:dyDescent="0.15">
      <c r="A12" s="53" t="s">
        <v>59</v>
      </c>
      <c r="B12" s="53" t="s">
        <v>232</v>
      </c>
      <c r="C12" s="71">
        <v>2019</v>
      </c>
      <c r="D12" s="114" t="s">
        <v>292</v>
      </c>
      <c r="E12" s="53" t="s">
        <v>297</v>
      </c>
      <c r="F12" s="53" t="s">
        <v>298</v>
      </c>
      <c r="G12" s="53" t="s">
        <v>36</v>
      </c>
      <c r="H12" s="53" t="s">
        <v>164</v>
      </c>
      <c r="I12" s="53" t="s">
        <v>159</v>
      </c>
      <c r="J12" s="53" t="s">
        <v>38</v>
      </c>
      <c r="K12" s="53" t="s">
        <v>161</v>
      </c>
      <c r="L12" s="53">
        <v>2</v>
      </c>
      <c r="N12" s="53">
        <v>4</v>
      </c>
      <c r="O12" s="53">
        <v>0.39</v>
      </c>
      <c r="P12" s="53">
        <v>0.33</v>
      </c>
      <c r="Q12" s="84">
        <f t="shared" si="2"/>
        <v>0.36</v>
      </c>
      <c r="R12" s="53">
        <v>13.8</v>
      </c>
      <c r="S12" s="53">
        <v>90</v>
      </c>
      <c r="T12" s="16">
        <f t="shared" si="0"/>
        <v>36</v>
      </c>
      <c r="U12" s="53">
        <v>157</v>
      </c>
      <c r="V12" s="16">
        <f t="shared" si="1"/>
        <v>18</v>
      </c>
      <c r="W12" s="53">
        <v>7</v>
      </c>
      <c r="X12" s="53" t="s">
        <v>39</v>
      </c>
      <c r="Y12" s="53" t="s">
        <v>78</v>
      </c>
      <c r="Z12" s="53" t="s">
        <v>97</v>
      </c>
      <c r="AA12" s="53" t="s">
        <v>86</v>
      </c>
      <c r="AB12" s="53" t="s">
        <v>296</v>
      </c>
      <c r="AE12" s="22" t="s">
        <v>70</v>
      </c>
      <c r="AG12" s="23"/>
      <c r="AH12" s="118"/>
      <c r="AL12" s="99"/>
      <c r="AP12" s="23" t="s">
        <v>67</v>
      </c>
      <c r="AR12" s="23" t="s">
        <v>124</v>
      </c>
      <c r="AV12" s="23" t="s">
        <v>72</v>
      </c>
      <c r="AX12" s="31">
        <v>180</v>
      </c>
      <c r="AY12" s="32">
        <v>18</v>
      </c>
      <c r="AZ12" s="32">
        <v>181</v>
      </c>
      <c r="BA12" s="33">
        <v>16</v>
      </c>
    </row>
    <row r="13" spans="1:53" x14ac:dyDescent="0.15">
      <c r="A13" s="53" t="s">
        <v>59</v>
      </c>
      <c r="B13" s="53" t="s">
        <v>232</v>
      </c>
      <c r="C13" s="71">
        <v>2019</v>
      </c>
      <c r="D13" s="114" t="s">
        <v>292</v>
      </c>
      <c r="E13" s="53" t="s">
        <v>297</v>
      </c>
      <c r="F13" s="53" t="s">
        <v>298</v>
      </c>
      <c r="G13" s="53" t="s">
        <v>36</v>
      </c>
      <c r="H13" s="53" t="s">
        <v>164</v>
      </c>
      <c r="I13" s="53" t="s">
        <v>159</v>
      </c>
      <c r="J13" s="53" t="s">
        <v>38</v>
      </c>
      <c r="K13" s="53" t="s">
        <v>161</v>
      </c>
      <c r="L13" s="53">
        <v>3</v>
      </c>
      <c r="N13" s="53">
        <v>4</v>
      </c>
      <c r="O13" s="53">
        <v>0.52</v>
      </c>
      <c r="P13" s="53">
        <v>0.56999999999999995</v>
      </c>
      <c r="Q13" s="84">
        <f t="shared" si="2"/>
        <v>0.54499999999999993</v>
      </c>
      <c r="R13" s="53">
        <v>13.9</v>
      </c>
      <c r="S13" s="53">
        <v>77</v>
      </c>
      <c r="T13" s="16">
        <f t="shared" si="0"/>
        <v>39</v>
      </c>
      <c r="U13" s="53">
        <v>157</v>
      </c>
      <c r="V13" s="16">
        <f t="shared" si="1"/>
        <v>18</v>
      </c>
      <c r="W13" s="53">
        <v>7</v>
      </c>
      <c r="X13" s="53" t="s">
        <v>39</v>
      </c>
      <c r="Y13" s="53" t="s">
        <v>78</v>
      </c>
      <c r="Z13" s="53" t="s">
        <v>97</v>
      </c>
      <c r="AA13" s="53" t="s">
        <v>86</v>
      </c>
      <c r="AB13" s="53" t="s">
        <v>296</v>
      </c>
      <c r="AE13" s="22" t="s">
        <v>73</v>
      </c>
      <c r="AG13" s="23"/>
      <c r="AH13" s="23"/>
      <c r="AP13" s="23" t="s">
        <v>71</v>
      </c>
      <c r="AR13" s="23" t="s">
        <v>103</v>
      </c>
      <c r="AV13" s="23" t="s">
        <v>75</v>
      </c>
    </row>
    <row r="14" spans="1:53" x14ac:dyDescent="0.15">
      <c r="A14" s="53" t="s">
        <v>59</v>
      </c>
      <c r="B14" s="53" t="s">
        <v>232</v>
      </c>
      <c r="C14" s="71">
        <v>2019</v>
      </c>
      <c r="D14" s="114" t="s">
        <v>292</v>
      </c>
      <c r="E14" s="53" t="s">
        <v>305</v>
      </c>
      <c r="F14" s="53" t="s">
        <v>306</v>
      </c>
      <c r="G14" s="53" t="s">
        <v>36</v>
      </c>
      <c r="H14" s="53" t="s">
        <v>160</v>
      </c>
      <c r="I14" s="53" t="s">
        <v>159</v>
      </c>
      <c r="J14" s="53" t="s">
        <v>38</v>
      </c>
      <c r="K14" s="53" t="s">
        <v>161</v>
      </c>
      <c r="L14" s="53">
        <v>1</v>
      </c>
      <c r="N14" s="53">
        <v>3</v>
      </c>
      <c r="O14" s="53">
        <v>0.39</v>
      </c>
      <c r="P14" s="53">
        <v>0.43</v>
      </c>
      <c r="Q14" s="84">
        <f t="shared" si="2"/>
        <v>0.41000000000000003</v>
      </c>
      <c r="R14" s="53">
        <v>16.3</v>
      </c>
      <c r="S14" s="53">
        <v>118</v>
      </c>
      <c r="T14" s="16">
        <f t="shared" si="0"/>
        <v>30</v>
      </c>
      <c r="U14" s="53">
        <v>399</v>
      </c>
      <c r="V14" s="16">
        <f t="shared" si="1"/>
        <v>16</v>
      </c>
      <c r="W14" s="53">
        <v>8</v>
      </c>
      <c r="X14" s="53" t="s">
        <v>46</v>
      </c>
      <c r="Y14" s="53" t="s">
        <v>55</v>
      </c>
      <c r="Z14" s="53" t="s">
        <v>90</v>
      </c>
      <c r="AA14" s="53" t="s">
        <v>78</v>
      </c>
      <c r="AB14" s="53" t="s">
        <v>296</v>
      </c>
      <c r="AE14" s="22" t="s">
        <v>76</v>
      </c>
      <c r="AG14" s="23"/>
      <c r="AH14" s="23"/>
      <c r="AP14" s="23" t="s">
        <v>323</v>
      </c>
      <c r="AR14" s="23" t="s">
        <v>125</v>
      </c>
      <c r="AV14" s="23" t="s">
        <v>78</v>
      </c>
    </row>
    <row r="15" spans="1:53" x14ac:dyDescent="0.15">
      <c r="A15" s="53" t="s">
        <v>59</v>
      </c>
      <c r="B15" s="53" t="s">
        <v>232</v>
      </c>
      <c r="C15" s="71">
        <v>2019</v>
      </c>
      <c r="D15" s="114" t="s">
        <v>292</v>
      </c>
      <c r="E15" s="53" t="s">
        <v>305</v>
      </c>
      <c r="F15" s="53" t="s">
        <v>306</v>
      </c>
      <c r="G15" s="53" t="s">
        <v>36</v>
      </c>
      <c r="H15" s="53" t="s">
        <v>160</v>
      </c>
      <c r="I15" s="53" t="s">
        <v>159</v>
      </c>
      <c r="J15" s="53" t="s">
        <v>38</v>
      </c>
      <c r="K15" s="53" t="s">
        <v>161</v>
      </c>
      <c r="L15" s="53">
        <v>2</v>
      </c>
      <c r="N15" s="53">
        <v>3</v>
      </c>
      <c r="O15" s="53">
        <v>0.44</v>
      </c>
      <c r="P15" s="53">
        <v>0.35</v>
      </c>
      <c r="Q15" s="84">
        <f t="shared" si="2"/>
        <v>0.39500000000000002</v>
      </c>
      <c r="R15" s="53">
        <v>18</v>
      </c>
      <c r="S15" s="53">
        <v>114</v>
      </c>
      <c r="T15" s="16">
        <f t="shared" si="0"/>
        <v>30</v>
      </c>
      <c r="U15" s="53">
        <v>399</v>
      </c>
      <c r="V15" s="16">
        <f t="shared" si="1"/>
        <v>16</v>
      </c>
      <c r="W15" s="53">
        <v>8</v>
      </c>
      <c r="X15" s="53" t="s">
        <v>46</v>
      </c>
      <c r="Y15" s="53" t="s">
        <v>55</v>
      </c>
      <c r="Z15" s="53" t="s">
        <v>90</v>
      </c>
      <c r="AA15" s="53" t="s">
        <v>78</v>
      </c>
      <c r="AB15" s="53" t="s">
        <v>296</v>
      </c>
      <c r="AE15" s="22" t="s">
        <v>79</v>
      </c>
      <c r="AG15" s="23"/>
      <c r="AH15" s="23"/>
      <c r="AP15" s="23" t="s">
        <v>324</v>
      </c>
      <c r="AR15" s="23" t="s">
        <v>94</v>
      </c>
      <c r="AV15" s="23" t="s">
        <v>107</v>
      </c>
    </row>
    <row r="16" spans="1:53" x14ac:dyDescent="0.15">
      <c r="A16" s="53" t="s">
        <v>59</v>
      </c>
      <c r="B16" s="53" t="s">
        <v>232</v>
      </c>
      <c r="C16" s="71">
        <v>2019</v>
      </c>
      <c r="D16" s="114" t="s">
        <v>292</v>
      </c>
      <c r="E16" s="53" t="s">
        <v>305</v>
      </c>
      <c r="F16" s="53" t="s">
        <v>306</v>
      </c>
      <c r="G16" s="53" t="s">
        <v>36</v>
      </c>
      <c r="H16" s="53" t="s">
        <v>160</v>
      </c>
      <c r="I16" s="53" t="s">
        <v>159</v>
      </c>
      <c r="J16" s="53" t="s">
        <v>38</v>
      </c>
      <c r="K16" s="53" t="s">
        <v>161</v>
      </c>
      <c r="L16" s="53">
        <v>3</v>
      </c>
      <c r="N16" s="53">
        <v>3</v>
      </c>
      <c r="O16" s="53">
        <v>0.45</v>
      </c>
      <c r="P16" s="53">
        <v>0.37</v>
      </c>
      <c r="Q16" s="84">
        <f t="shared" si="2"/>
        <v>0.41000000000000003</v>
      </c>
      <c r="R16" s="53">
        <v>18.3</v>
      </c>
      <c r="S16" s="53">
        <v>121</v>
      </c>
      <c r="T16" s="16">
        <f t="shared" si="0"/>
        <v>27</v>
      </c>
      <c r="U16" s="53">
        <v>399</v>
      </c>
      <c r="V16" s="16">
        <f t="shared" si="1"/>
        <v>16</v>
      </c>
      <c r="W16" s="53">
        <v>8</v>
      </c>
      <c r="X16" s="53" t="s">
        <v>46</v>
      </c>
      <c r="Y16" s="53" t="s">
        <v>55</v>
      </c>
      <c r="Z16" s="53" t="s">
        <v>90</v>
      </c>
      <c r="AA16" s="53" t="s">
        <v>78</v>
      </c>
      <c r="AB16" s="53" t="s">
        <v>296</v>
      </c>
      <c r="AE16" s="22" t="s">
        <v>82</v>
      </c>
      <c r="AG16" s="28"/>
      <c r="AH16" s="28"/>
      <c r="AP16" s="23" t="s">
        <v>80</v>
      </c>
      <c r="AR16" s="23" t="s">
        <v>63</v>
      </c>
      <c r="AV16" s="23" t="s">
        <v>84</v>
      </c>
    </row>
    <row r="17" spans="1:48" x14ac:dyDescent="0.15">
      <c r="A17" s="53" t="s">
        <v>59</v>
      </c>
      <c r="B17" s="53" t="s">
        <v>232</v>
      </c>
      <c r="C17" s="71">
        <v>2019</v>
      </c>
      <c r="D17" s="114" t="s">
        <v>292</v>
      </c>
      <c r="E17" s="53" t="s">
        <v>305</v>
      </c>
      <c r="F17" s="53" t="s">
        <v>306</v>
      </c>
      <c r="G17" s="53" t="s">
        <v>36</v>
      </c>
      <c r="H17" s="53" t="s">
        <v>164</v>
      </c>
      <c r="I17" s="53" t="s">
        <v>159</v>
      </c>
      <c r="J17" s="53" t="s">
        <v>38</v>
      </c>
      <c r="K17" s="53" t="s">
        <v>161</v>
      </c>
      <c r="L17" s="53">
        <v>1</v>
      </c>
      <c r="N17" s="53">
        <v>2</v>
      </c>
      <c r="O17" s="53">
        <v>0.48</v>
      </c>
      <c r="P17" s="53">
        <v>0.55000000000000004</v>
      </c>
      <c r="Q17" s="84">
        <f t="shared" si="2"/>
        <v>0.51500000000000001</v>
      </c>
      <c r="R17" s="53">
        <v>16.2</v>
      </c>
      <c r="S17" s="53">
        <v>164</v>
      </c>
      <c r="T17" s="16">
        <f t="shared" si="0"/>
        <v>18</v>
      </c>
      <c r="U17" s="53">
        <v>380</v>
      </c>
      <c r="V17" s="16">
        <f t="shared" si="1"/>
        <v>16</v>
      </c>
      <c r="W17" s="53">
        <v>6</v>
      </c>
      <c r="X17" s="53" t="s">
        <v>46</v>
      </c>
      <c r="Y17" s="53" t="s">
        <v>55</v>
      </c>
      <c r="Z17" s="53" t="s">
        <v>90</v>
      </c>
      <c r="AA17" s="53" t="s">
        <v>78</v>
      </c>
      <c r="AB17" s="53" t="s">
        <v>296</v>
      </c>
      <c r="AE17" s="22" t="s">
        <v>85</v>
      </c>
      <c r="AP17" s="27" t="s">
        <v>110</v>
      </c>
      <c r="AR17" s="23" t="s">
        <v>96</v>
      </c>
      <c r="AV17" s="23" t="s">
        <v>86</v>
      </c>
    </row>
    <row r="18" spans="1:48" x14ac:dyDescent="0.15">
      <c r="A18" s="53" t="s">
        <v>59</v>
      </c>
      <c r="B18" s="53" t="s">
        <v>232</v>
      </c>
      <c r="C18" s="71">
        <v>2019</v>
      </c>
      <c r="D18" s="114" t="s">
        <v>292</v>
      </c>
      <c r="E18" s="53" t="s">
        <v>305</v>
      </c>
      <c r="F18" s="53" t="s">
        <v>306</v>
      </c>
      <c r="G18" s="53" t="s">
        <v>36</v>
      </c>
      <c r="H18" s="53" t="s">
        <v>164</v>
      </c>
      <c r="I18" s="53" t="s">
        <v>159</v>
      </c>
      <c r="J18" s="53" t="s">
        <v>38</v>
      </c>
      <c r="K18" s="53" t="s">
        <v>161</v>
      </c>
      <c r="L18" s="53">
        <v>2</v>
      </c>
      <c r="N18" s="53">
        <v>2</v>
      </c>
      <c r="O18" s="53">
        <v>0.57999999999999996</v>
      </c>
      <c r="P18" s="53">
        <v>0.5</v>
      </c>
      <c r="Q18" s="84">
        <f t="shared" si="2"/>
        <v>0.54</v>
      </c>
      <c r="R18" s="53">
        <v>16.399999999999999</v>
      </c>
      <c r="S18" s="53">
        <v>153</v>
      </c>
      <c r="T18" s="16">
        <f t="shared" si="0"/>
        <v>18</v>
      </c>
      <c r="U18" s="53">
        <v>380</v>
      </c>
      <c r="V18" s="16">
        <f t="shared" si="1"/>
        <v>16</v>
      </c>
      <c r="W18" s="53">
        <v>6</v>
      </c>
      <c r="X18" s="53" t="s">
        <v>46</v>
      </c>
      <c r="Y18" s="53" t="s">
        <v>55</v>
      </c>
      <c r="Z18" s="53" t="s">
        <v>90</v>
      </c>
      <c r="AA18" s="53" t="s">
        <v>78</v>
      </c>
      <c r="AB18" s="53" t="s">
        <v>296</v>
      </c>
      <c r="AE18" s="22" t="s">
        <v>87</v>
      </c>
      <c r="AP18" s="27" t="s">
        <v>325</v>
      </c>
      <c r="AR18" s="23" t="s">
        <v>101</v>
      </c>
      <c r="AV18" s="23" t="s">
        <v>88</v>
      </c>
    </row>
    <row r="19" spans="1:48" x14ac:dyDescent="0.15">
      <c r="A19" s="53" t="s">
        <v>59</v>
      </c>
      <c r="B19" s="53" t="s">
        <v>232</v>
      </c>
      <c r="C19" s="71">
        <v>2019</v>
      </c>
      <c r="D19" s="114" t="s">
        <v>292</v>
      </c>
      <c r="E19" s="53" t="s">
        <v>305</v>
      </c>
      <c r="F19" s="53" t="s">
        <v>306</v>
      </c>
      <c r="G19" s="53" t="s">
        <v>36</v>
      </c>
      <c r="H19" s="53" t="s">
        <v>164</v>
      </c>
      <c r="I19" s="53" t="s">
        <v>159</v>
      </c>
      <c r="J19" s="53" t="s">
        <v>38</v>
      </c>
      <c r="K19" s="53" t="s">
        <v>161</v>
      </c>
      <c r="L19" s="53">
        <v>3</v>
      </c>
      <c r="N19" s="53">
        <v>2</v>
      </c>
      <c r="O19" s="53">
        <v>0.52</v>
      </c>
      <c r="P19" s="53">
        <v>0.56000000000000005</v>
      </c>
      <c r="Q19" s="84">
        <f t="shared" si="2"/>
        <v>0.54</v>
      </c>
      <c r="R19" s="53">
        <v>15.9</v>
      </c>
      <c r="S19" s="53">
        <v>159</v>
      </c>
      <c r="T19" s="16">
        <f t="shared" si="0"/>
        <v>18</v>
      </c>
      <c r="U19" s="53">
        <v>380</v>
      </c>
      <c r="V19" s="16">
        <f t="shared" si="1"/>
        <v>16</v>
      </c>
      <c r="W19" s="53">
        <v>6</v>
      </c>
      <c r="X19" s="53" t="s">
        <v>46</v>
      </c>
      <c r="Y19" s="53" t="s">
        <v>55</v>
      </c>
      <c r="Z19" s="53" t="s">
        <v>90</v>
      </c>
      <c r="AA19" s="53" t="s">
        <v>78</v>
      </c>
      <c r="AB19" s="53" t="s">
        <v>296</v>
      </c>
      <c r="AE19" s="35" t="s">
        <v>89</v>
      </c>
      <c r="AP19" s="27" t="s">
        <v>112</v>
      </c>
      <c r="AR19" s="23" t="s">
        <v>126</v>
      </c>
      <c r="AV19" s="23" t="s">
        <v>326</v>
      </c>
    </row>
    <row r="20" spans="1:48" x14ac:dyDescent="0.15">
      <c r="A20" s="53" t="s">
        <v>59</v>
      </c>
      <c r="B20" s="53" t="s">
        <v>232</v>
      </c>
      <c r="C20" s="71">
        <v>2019</v>
      </c>
      <c r="D20" s="114" t="s">
        <v>292</v>
      </c>
      <c r="E20" s="53" t="s">
        <v>317</v>
      </c>
      <c r="F20" s="53" t="s">
        <v>306</v>
      </c>
      <c r="G20" s="53" t="s">
        <v>36</v>
      </c>
      <c r="H20" s="53" t="s">
        <v>160</v>
      </c>
      <c r="I20" s="53" t="s">
        <v>159</v>
      </c>
      <c r="J20" s="53" t="s">
        <v>38</v>
      </c>
      <c r="K20" s="53" t="s">
        <v>161</v>
      </c>
      <c r="L20" s="53">
        <v>1</v>
      </c>
      <c r="N20" s="53">
        <v>4</v>
      </c>
      <c r="O20" s="53">
        <v>0.39</v>
      </c>
      <c r="P20" s="53">
        <v>0.37</v>
      </c>
      <c r="Q20" s="84">
        <f t="shared" si="2"/>
        <v>0.38</v>
      </c>
      <c r="R20" s="53">
        <v>16.600000000000001</v>
      </c>
      <c r="S20" s="53">
        <v>98</v>
      </c>
      <c r="T20" s="16">
        <f t="shared" si="0"/>
        <v>36</v>
      </c>
      <c r="U20" s="53">
        <v>537</v>
      </c>
      <c r="V20" s="16">
        <f t="shared" si="1"/>
        <v>16</v>
      </c>
      <c r="W20" s="53">
        <v>4</v>
      </c>
      <c r="X20" s="53" t="s">
        <v>46</v>
      </c>
      <c r="Y20" s="53" t="s">
        <v>78</v>
      </c>
      <c r="Z20" s="53" t="s">
        <v>90</v>
      </c>
      <c r="AA20" s="53" t="s">
        <v>55</v>
      </c>
      <c r="AB20" s="53" t="s">
        <v>296</v>
      </c>
      <c r="AE20" s="35"/>
      <c r="AP20" s="27" t="s">
        <v>113</v>
      </c>
      <c r="AR20" s="23" t="s">
        <v>105</v>
      </c>
      <c r="AV20" s="27" t="s">
        <v>135</v>
      </c>
    </row>
    <row r="21" spans="1:48" x14ac:dyDescent="0.15">
      <c r="A21" s="53" t="s">
        <v>59</v>
      </c>
      <c r="B21" s="53" t="s">
        <v>232</v>
      </c>
      <c r="C21" s="71">
        <v>2019</v>
      </c>
      <c r="D21" s="114" t="s">
        <v>292</v>
      </c>
      <c r="E21" s="53" t="s">
        <v>317</v>
      </c>
      <c r="F21" s="53" t="s">
        <v>306</v>
      </c>
      <c r="G21" s="53" t="s">
        <v>36</v>
      </c>
      <c r="H21" s="53" t="s">
        <v>160</v>
      </c>
      <c r="I21" s="53" t="s">
        <v>159</v>
      </c>
      <c r="J21" s="53" t="s">
        <v>38</v>
      </c>
      <c r="K21" s="53" t="s">
        <v>161</v>
      </c>
      <c r="L21" s="53">
        <v>2</v>
      </c>
      <c r="N21" s="53">
        <v>4</v>
      </c>
      <c r="O21" s="53">
        <v>0.32</v>
      </c>
      <c r="P21" s="53">
        <v>0.35</v>
      </c>
      <c r="Q21" s="84">
        <f t="shared" si="2"/>
        <v>0.33499999999999996</v>
      </c>
      <c r="R21" s="53">
        <v>15.9</v>
      </c>
      <c r="S21" s="53">
        <v>106</v>
      </c>
      <c r="T21" s="16">
        <f t="shared" si="0"/>
        <v>33</v>
      </c>
      <c r="U21" s="53">
        <v>537</v>
      </c>
      <c r="V21" s="16">
        <f t="shared" si="1"/>
        <v>16</v>
      </c>
      <c r="W21" s="53">
        <v>4</v>
      </c>
      <c r="X21" s="53" t="s">
        <v>46</v>
      </c>
      <c r="Y21" s="53" t="s">
        <v>78</v>
      </c>
      <c r="Z21" s="53" t="s">
        <v>90</v>
      </c>
      <c r="AA21" s="53" t="s">
        <v>55</v>
      </c>
      <c r="AB21" s="53" t="s">
        <v>296</v>
      </c>
      <c r="AE21" s="28"/>
      <c r="AP21" s="27" t="s">
        <v>327</v>
      </c>
      <c r="AR21" s="23" t="s">
        <v>68</v>
      </c>
      <c r="AV21" s="27" t="s">
        <v>136</v>
      </c>
    </row>
    <row r="22" spans="1:48" x14ac:dyDescent="0.15">
      <c r="A22" s="53" t="s">
        <v>59</v>
      </c>
      <c r="B22" s="53" t="s">
        <v>232</v>
      </c>
      <c r="C22" s="71">
        <v>2019</v>
      </c>
      <c r="D22" s="114" t="s">
        <v>292</v>
      </c>
      <c r="E22" s="53" t="s">
        <v>317</v>
      </c>
      <c r="F22" s="53" t="s">
        <v>306</v>
      </c>
      <c r="G22" s="53" t="s">
        <v>36</v>
      </c>
      <c r="H22" s="53" t="s">
        <v>160</v>
      </c>
      <c r="I22" s="53" t="s">
        <v>159</v>
      </c>
      <c r="J22" s="53" t="s">
        <v>38</v>
      </c>
      <c r="K22" s="53" t="s">
        <v>161</v>
      </c>
      <c r="L22" s="53">
        <v>3</v>
      </c>
      <c r="N22" s="53">
        <v>4</v>
      </c>
      <c r="O22" s="53">
        <v>0.37</v>
      </c>
      <c r="P22" s="53">
        <v>0.39</v>
      </c>
      <c r="Q22" s="84">
        <f t="shared" si="2"/>
        <v>0.38</v>
      </c>
      <c r="R22" s="53">
        <v>16.100000000000001</v>
      </c>
      <c r="S22" s="53">
        <v>109</v>
      </c>
      <c r="T22" s="16">
        <f t="shared" si="0"/>
        <v>33</v>
      </c>
      <c r="U22" s="53">
        <v>537</v>
      </c>
      <c r="V22" s="16">
        <f t="shared" si="1"/>
        <v>16</v>
      </c>
      <c r="W22" s="53">
        <v>4</v>
      </c>
      <c r="X22" s="53" t="s">
        <v>46</v>
      </c>
      <c r="Y22" s="53" t="s">
        <v>78</v>
      </c>
      <c r="Z22" s="53" t="s">
        <v>90</v>
      </c>
      <c r="AA22" s="53" t="s">
        <v>55</v>
      </c>
      <c r="AB22" s="53" t="s">
        <v>296</v>
      </c>
      <c r="AP22" s="27" t="s">
        <v>328</v>
      </c>
      <c r="AR22" s="23" t="s">
        <v>83</v>
      </c>
      <c r="AV22" s="27" t="s">
        <v>329</v>
      </c>
    </row>
    <row r="23" spans="1:48" x14ac:dyDescent="0.15">
      <c r="A23" s="53" t="s">
        <v>59</v>
      </c>
      <c r="B23" s="53" t="s">
        <v>232</v>
      </c>
      <c r="C23" s="71">
        <v>2019</v>
      </c>
      <c r="D23" s="114" t="s">
        <v>292</v>
      </c>
      <c r="E23" s="53" t="s">
        <v>317</v>
      </c>
      <c r="F23" s="53" t="s">
        <v>306</v>
      </c>
      <c r="G23" s="53" t="s">
        <v>36</v>
      </c>
      <c r="H23" s="53" t="s">
        <v>164</v>
      </c>
      <c r="I23" s="53" t="s">
        <v>159</v>
      </c>
      <c r="J23" s="53" t="s">
        <v>38</v>
      </c>
      <c r="K23" s="53" t="s">
        <v>161</v>
      </c>
      <c r="L23" s="53">
        <v>1</v>
      </c>
      <c r="N23" s="53">
        <v>4</v>
      </c>
      <c r="O23" s="53">
        <v>0.42</v>
      </c>
      <c r="P23" s="53">
        <v>0.53</v>
      </c>
      <c r="Q23" s="84">
        <f t="shared" si="2"/>
        <v>0.47499999999999998</v>
      </c>
      <c r="R23" s="53">
        <v>14.7</v>
      </c>
      <c r="S23" s="53">
        <v>100</v>
      </c>
      <c r="T23" s="16">
        <f t="shared" si="0"/>
        <v>33</v>
      </c>
      <c r="U23" s="53">
        <v>429</v>
      </c>
      <c r="V23" s="16">
        <f t="shared" si="1"/>
        <v>16</v>
      </c>
      <c r="W23" s="53">
        <v>6</v>
      </c>
      <c r="X23" s="53" t="s">
        <v>46</v>
      </c>
      <c r="Y23" s="53" t="s">
        <v>78</v>
      </c>
      <c r="Z23" s="53" t="s">
        <v>90</v>
      </c>
      <c r="AA23" s="53" t="s">
        <v>55</v>
      </c>
      <c r="AB23" s="53" t="s">
        <v>296</v>
      </c>
      <c r="AP23" s="27" t="s">
        <v>137</v>
      </c>
      <c r="AR23" s="23" t="s">
        <v>61</v>
      </c>
      <c r="AV23" s="27" t="s">
        <v>330</v>
      </c>
    </row>
    <row r="24" spans="1:48" x14ac:dyDescent="0.15">
      <c r="A24" s="53" t="s">
        <v>59</v>
      </c>
      <c r="B24" s="53" t="s">
        <v>232</v>
      </c>
      <c r="C24" s="71">
        <v>2019</v>
      </c>
      <c r="D24" s="114" t="s">
        <v>292</v>
      </c>
      <c r="E24" s="53" t="s">
        <v>317</v>
      </c>
      <c r="F24" s="53" t="s">
        <v>306</v>
      </c>
      <c r="G24" s="53" t="s">
        <v>36</v>
      </c>
      <c r="H24" s="53" t="s">
        <v>164</v>
      </c>
      <c r="I24" s="53" t="s">
        <v>159</v>
      </c>
      <c r="J24" s="53" t="s">
        <v>38</v>
      </c>
      <c r="K24" s="53" t="s">
        <v>161</v>
      </c>
      <c r="L24" s="53">
        <v>2</v>
      </c>
      <c r="N24" s="53">
        <v>4</v>
      </c>
      <c r="O24" s="53">
        <v>0.28999999999999998</v>
      </c>
      <c r="P24" s="53">
        <v>0.32</v>
      </c>
      <c r="Q24" s="84">
        <f t="shared" si="2"/>
        <v>0.30499999999999999</v>
      </c>
      <c r="R24" s="53">
        <v>15.1</v>
      </c>
      <c r="S24" s="53">
        <v>96</v>
      </c>
      <c r="T24" s="16">
        <f t="shared" si="0"/>
        <v>36</v>
      </c>
      <c r="U24" s="53">
        <v>429</v>
      </c>
      <c r="V24" s="16">
        <f t="shared" si="1"/>
        <v>16</v>
      </c>
      <c r="W24" s="53">
        <v>6</v>
      </c>
      <c r="X24" s="53" t="s">
        <v>46</v>
      </c>
      <c r="Y24" s="53" t="s">
        <v>78</v>
      </c>
      <c r="Z24" s="53" t="s">
        <v>90</v>
      </c>
      <c r="AA24" s="53" t="s">
        <v>55</v>
      </c>
      <c r="AB24" s="53" t="s">
        <v>296</v>
      </c>
      <c r="AP24" s="27" t="s">
        <v>138</v>
      </c>
      <c r="AR24" s="23" t="s">
        <v>91</v>
      </c>
      <c r="AV24" s="27" t="s">
        <v>331</v>
      </c>
    </row>
    <row r="25" spans="1:48" x14ac:dyDescent="0.15">
      <c r="A25" s="53" t="s">
        <v>59</v>
      </c>
      <c r="B25" s="53" t="s">
        <v>232</v>
      </c>
      <c r="C25" s="71">
        <v>2019</v>
      </c>
      <c r="D25" s="114" t="s">
        <v>292</v>
      </c>
      <c r="E25" s="53" t="s">
        <v>317</v>
      </c>
      <c r="F25" s="53" t="s">
        <v>306</v>
      </c>
      <c r="G25" s="53" t="s">
        <v>36</v>
      </c>
      <c r="H25" s="53" t="s">
        <v>164</v>
      </c>
      <c r="I25" s="53" t="s">
        <v>159</v>
      </c>
      <c r="J25" s="53" t="s">
        <v>38</v>
      </c>
      <c r="K25" s="53" t="s">
        <v>161</v>
      </c>
      <c r="L25" s="53">
        <v>3</v>
      </c>
      <c r="N25" s="53">
        <v>4</v>
      </c>
      <c r="O25" s="53">
        <v>0.35</v>
      </c>
      <c r="P25" s="53">
        <v>0.41</v>
      </c>
      <c r="Q25" s="84">
        <f t="shared" si="2"/>
        <v>0.38</v>
      </c>
      <c r="R25" s="53">
        <v>14.5</v>
      </c>
      <c r="S25" s="53">
        <v>100</v>
      </c>
      <c r="T25" s="16">
        <f t="shared" si="0"/>
        <v>33</v>
      </c>
      <c r="U25" s="53">
        <v>429</v>
      </c>
      <c r="V25" s="16">
        <f t="shared" si="1"/>
        <v>16</v>
      </c>
      <c r="W25" s="53">
        <v>6</v>
      </c>
      <c r="X25" s="53" t="s">
        <v>46</v>
      </c>
      <c r="Y25" s="53" t="s">
        <v>78</v>
      </c>
      <c r="Z25" s="53" t="s">
        <v>90</v>
      </c>
      <c r="AA25" s="53" t="s">
        <v>55</v>
      </c>
      <c r="AB25" s="53" t="s">
        <v>296</v>
      </c>
      <c r="AP25" s="27" t="s">
        <v>116</v>
      </c>
      <c r="AR25" s="27" t="s">
        <v>92</v>
      </c>
      <c r="AV25" s="27" t="s">
        <v>332</v>
      </c>
    </row>
    <row r="26" spans="1:48" x14ac:dyDescent="0.15">
      <c r="A26" s="53" t="s">
        <v>59</v>
      </c>
      <c r="B26" s="53" t="s">
        <v>232</v>
      </c>
      <c r="C26" s="71">
        <v>2019</v>
      </c>
      <c r="D26" s="114" t="s">
        <v>292</v>
      </c>
      <c r="E26" s="53" t="s">
        <v>315</v>
      </c>
      <c r="F26" s="53" t="s">
        <v>314</v>
      </c>
      <c r="G26" s="53" t="s">
        <v>36</v>
      </c>
      <c r="H26" s="53" t="s">
        <v>160</v>
      </c>
      <c r="I26" s="53" t="s">
        <v>159</v>
      </c>
      <c r="J26" s="53" t="s">
        <v>38</v>
      </c>
      <c r="K26" s="53" t="s">
        <v>161</v>
      </c>
      <c r="L26" s="53">
        <v>1</v>
      </c>
      <c r="N26" s="53">
        <v>4</v>
      </c>
      <c r="O26" s="53">
        <v>0.61</v>
      </c>
      <c r="P26" s="53">
        <v>0.72</v>
      </c>
      <c r="Q26" s="84">
        <f t="shared" si="2"/>
        <v>0.66500000000000004</v>
      </c>
      <c r="R26" s="53">
        <v>15.6</v>
      </c>
      <c r="S26" s="53">
        <v>115</v>
      </c>
      <c r="T26" s="16">
        <f t="shared" si="0"/>
        <v>30</v>
      </c>
      <c r="U26" s="53">
        <v>398</v>
      </c>
      <c r="V26" s="16">
        <f t="shared" si="1"/>
        <v>16</v>
      </c>
      <c r="W26" s="53">
        <v>3</v>
      </c>
      <c r="X26" s="53" t="s">
        <v>39</v>
      </c>
      <c r="Y26" s="53" t="s">
        <v>97</v>
      </c>
      <c r="Z26" s="53" t="s">
        <v>78</v>
      </c>
      <c r="AA26" s="53" t="s">
        <v>88</v>
      </c>
      <c r="AB26" s="53" t="s">
        <v>296</v>
      </c>
      <c r="AP26" s="27" t="s">
        <v>117</v>
      </c>
      <c r="AR26" s="27" t="s">
        <v>333</v>
      </c>
      <c r="AV26" s="27"/>
    </row>
    <row r="27" spans="1:48" x14ac:dyDescent="0.15">
      <c r="A27" s="53" t="s">
        <v>59</v>
      </c>
      <c r="B27" s="53" t="s">
        <v>232</v>
      </c>
      <c r="C27" s="71">
        <v>2019</v>
      </c>
      <c r="D27" s="114" t="s">
        <v>292</v>
      </c>
      <c r="E27" s="53" t="s">
        <v>315</v>
      </c>
      <c r="F27" s="53" t="s">
        <v>314</v>
      </c>
      <c r="G27" s="53" t="s">
        <v>36</v>
      </c>
      <c r="H27" s="53" t="s">
        <v>160</v>
      </c>
      <c r="I27" s="53" t="s">
        <v>159</v>
      </c>
      <c r="J27" s="53" t="s">
        <v>38</v>
      </c>
      <c r="K27" s="53" t="s">
        <v>161</v>
      </c>
      <c r="L27" s="53">
        <v>2</v>
      </c>
      <c r="N27" s="53">
        <v>4</v>
      </c>
      <c r="O27" s="53">
        <v>0.71</v>
      </c>
      <c r="P27" s="53">
        <v>0.69</v>
      </c>
      <c r="Q27" s="84">
        <f t="shared" si="2"/>
        <v>0.7</v>
      </c>
      <c r="R27" s="53">
        <v>15.4</v>
      </c>
      <c r="S27" s="53">
        <v>107</v>
      </c>
      <c r="T27" s="16">
        <f t="shared" si="0"/>
        <v>33</v>
      </c>
      <c r="U27" s="53">
        <v>398</v>
      </c>
      <c r="V27" s="16">
        <f t="shared" si="1"/>
        <v>16</v>
      </c>
      <c r="W27" s="53">
        <v>3</v>
      </c>
      <c r="X27" s="53" t="s">
        <v>39</v>
      </c>
      <c r="Y27" s="53" t="s">
        <v>97</v>
      </c>
      <c r="Z27" s="53" t="s">
        <v>78</v>
      </c>
      <c r="AA27" s="53" t="s">
        <v>88</v>
      </c>
      <c r="AB27" s="53" t="s">
        <v>296</v>
      </c>
      <c r="AP27" s="27" t="s">
        <v>118</v>
      </c>
      <c r="AR27" s="28" t="s">
        <v>153</v>
      </c>
      <c r="AV27" s="27"/>
    </row>
    <row r="28" spans="1:48" x14ac:dyDescent="0.15">
      <c r="A28" s="53" t="s">
        <v>59</v>
      </c>
      <c r="B28" s="53" t="s">
        <v>232</v>
      </c>
      <c r="C28" s="71">
        <v>2019</v>
      </c>
      <c r="D28" s="114" t="s">
        <v>292</v>
      </c>
      <c r="E28" s="53" t="s">
        <v>315</v>
      </c>
      <c r="F28" s="53" t="s">
        <v>314</v>
      </c>
      <c r="G28" s="53" t="s">
        <v>36</v>
      </c>
      <c r="H28" s="53" t="s">
        <v>160</v>
      </c>
      <c r="I28" s="53" t="s">
        <v>159</v>
      </c>
      <c r="J28" s="53" t="s">
        <v>38</v>
      </c>
      <c r="K28" s="53" t="s">
        <v>161</v>
      </c>
      <c r="L28" s="53">
        <v>3</v>
      </c>
      <c r="N28" s="53">
        <v>4</v>
      </c>
      <c r="O28" s="53">
        <v>0.68</v>
      </c>
      <c r="P28" s="53">
        <v>0.74</v>
      </c>
      <c r="Q28" s="84">
        <f t="shared" si="2"/>
        <v>0.71</v>
      </c>
      <c r="R28" s="53">
        <v>15.3</v>
      </c>
      <c r="S28" s="53">
        <v>110</v>
      </c>
      <c r="T28" s="16">
        <f t="shared" si="0"/>
        <v>33</v>
      </c>
      <c r="U28" s="53">
        <v>398</v>
      </c>
      <c r="V28" s="16">
        <f t="shared" si="1"/>
        <v>16</v>
      </c>
      <c r="W28" s="53">
        <v>3</v>
      </c>
      <c r="X28" s="53" t="s">
        <v>39</v>
      </c>
      <c r="Y28" s="53" t="s">
        <v>97</v>
      </c>
      <c r="Z28" s="53" t="s">
        <v>78</v>
      </c>
      <c r="AA28" s="53" t="s">
        <v>88</v>
      </c>
      <c r="AB28" s="53" t="s">
        <v>296</v>
      </c>
      <c r="AV28" s="27"/>
    </row>
    <row r="29" spans="1:48" x14ac:dyDescent="0.15">
      <c r="A29" s="53" t="s">
        <v>59</v>
      </c>
      <c r="B29" s="53" t="s">
        <v>232</v>
      </c>
      <c r="C29" s="71">
        <v>2019</v>
      </c>
      <c r="D29" s="114" t="s">
        <v>292</v>
      </c>
      <c r="E29" s="53" t="s">
        <v>315</v>
      </c>
      <c r="F29" s="53" t="s">
        <v>314</v>
      </c>
      <c r="G29" s="53" t="s">
        <v>36</v>
      </c>
      <c r="H29" s="53" t="s">
        <v>164</v>
      </c>
      <c r="I29" s="53" t="s">
        <v>159</v>
      </c>
      <c r="J29" s="53" t="s">
        <v>38</v>
      </c>
      <c r="K29" s="53" t="s">
        <v>161</v>
      </c>
      <c r="L29" s="53">
        <v>1</v>
      </c>
      <c r="N29" s="53">
        <v>4</v>
      </c>
      <c r="O29" s="53">
        <v>0.33</v>
      </c>
      <c r="P29" s="53">
        <v>0.32</v>
      </c>
      <c r="Q29" s="84">
        <f t="shared" si="2"/>
        <v>0.32500000000000001</v>
      </c>
      <c r="R29" s="53">
        <v>14.4</v>
      </c>
      <c r="S29" s="53">
        <v>100</v>
      </c>
      <c r="T29" s="16">
        <f t="shared" si="0"/>
        <v>33</v>
      </c>
      <c r="U29" s="53">
        <v>398</v>
      </c>
      <c r="V29" s="16">
        <f t="shared" si="1"/>
        <v>16</v>
      </c>
      <c r="W29" s="53">
        <v>3</v>
      </c>
      <c r="X29" s="53" t="s">
        <v>39</v>
      </c>
      <c r="Y29" s="53" t="s">
        <v>97</v>
      </c>
      <c r="Z29" s="53" t="s">
        <v>78</v>
      </c>
      <c r="AA29" s="53" t="s">
        <v>88</v>
      </c>
      <c r="AB29" s="53" t="s">
        <v>296</v>
      </c>
      <c r="AV29" s="27"/>
    </row>
    <row r="30" spans="1:48" x14ac:dyDescent="0.15">
      <c r="A30" s="53" t="s">
        <v>59</v>
      </c>
      <c r="B30" s="53" t="s">
        <v>232</v>
      </c>
      <c r="C30" s="71">
        <v>2019</v>
      </c>
      <c r="D30" s="114" t="s">
        <v>292</v>
      </c>
      <c r="E30" s="53" t="s">
        <v>315</v>
      </c>
      <c r="F30" s="53" t="s">
        <v>314</v>
      </c>
      <c r="G30" s="53" t="s">
        <v>36</v>
      </c>
      <c r="H30" s="53" t="s">
        <v>164</v>
      </c>
      <c r="I30" s="53" t="s">
        <v>159</v>
      </c>
      <c r="J30" s="53" t="s">
        <v>38</v>
      </c>
      <c r="K30" s="53" t="s">
        <v>161</v>
      </c>
      <c r="L30" s="53">
        <v>2</v>
      </c>
      <c r="N30" s="53">
        <v>4</v>
      </c>
      <c r="O30" s="53">
        <v>0.33</v>
      </c>
      <c r="P30" s="53">
        <v>0.3</v>
      </c>
      <c r="Q30" s="84">
        <f t="shared" si="2"/>
        <v>0.315</v>
      </c>
      <c r="R30" s="53">
        <v>13.8</v>
      </c>
      <c r="S30" s="53">
        <v>98</v>
      </c>
      <c r="T30" s="16">
        <f t="shared" si="0"/>
        <v>36</v>
      </c>
      <c r="U30" s="53">
        <v>398</v>
      </c>
      <c r="V30" s="16">
        <f t="shared" si="1"/>
        <v>16</v>
      </c>
      <c r="W30" s="53">
        <v>3</v>
      </c>
      <c r="X30" s="53" t="s">
        <v>39</v>
      </c>
      <c r="Y30" s="53" t="s">
        <v>97</v>
      </c>
      <c r="Z30" s="53" t="s">
        <v>78</v>
      </c>
      <c r="AA30" s="53" t="s">
        <v>88</v>
      </c>
      <c r="AB30" s="53" t="s">
        <v>296</v>
      </c>
      <c r="AV30" s="27"/>
    </row>
    <row r="31" spans="1:48" x14ac:dyDescent="0.15">
      <c r="A31" s="53" t="s">
        <v>59</v>
      </c>
      <c r="B31" s="53" t="s">
        <v>232</v>
      </c>
      <c r="C31" s="71">
        <v>2019</v>
      </c>
      <c r="D31" s="114" t="s">
        <v>292</v>
      </c>
      <c r="E31" s="53" t="s">
        <v>315</v>
      </c>
      <c r="F31" s="53" t="s">
        <v>314</v>
      </c>
      <c r="G31" s="53" t="s">
        <v>36</v>
      </c>
      <c r="H31" s="53" t="s">
        <v>164</v>
      </c>
      <c r="I31" s="53" t="s">
        <v>159</v>
      </c>
      <c r="J31" s="53" t="s">
        <v>38</v>
      </c>
      <c r="K31" s="53" t="s">
        <v>161</v>
      </c>
      <c r="L31" s="53">
        <v>3</v>
      </c>
      <c r="N31" s="53">
        <v>4</v>
      </c>
      <c r="O31" s="53">
        <v>0.34</v>
      </c>
      <c r="P31" s="53">
        <v>0.3</v>
      </c>
      <c r="Q31" s="84">
        <f t="shared" si="2"/>
        <v>0.32</v>
      </c>
      <c r="R31" s="53">
        <v>14.2</v>
      </c>
      <c r="S31" s="53">
        <v>96</v>
      </c>
      <c r="T31" s="16">
        <f t="shared" si="0"/>
        <v>36</v>
      </c>
      <c r="U31" s="53">
        <v>398</v>
      </c>
      <c r="V31" s="16">
        <f t="shared" si="1"/>
        <v>16</v>
      </c>
      <c r="W31" s="53">
        <v>3</v>
      </c>
      <c r="X31" s="53" t="s">
        <v>39</v>
      </c>
      <c r="Y31" s="53" t="s">
        <v>97</v>
      </c>
      <c r="Z31" s="53" t="s">
        <v>78</v>
      </c>
      <c r="AA31" s="53" t="s">
        <v>88</v>
      </c>
      <c r="AB31" s="53" t="s">
        <v>296</v>
      </c>
      <c r="AV31" s="27"/>
    </row>
    <row r="32" spans="1:48" x14ac:dyDescent="0.15">
      <c r="A32" s="53" t="s">
        <v>59</v>
      </c>
      <c r="B32" s="53" t="s">
        <v>232</v>
      </c>
      <c r="C32" s="71">
        <v>2019</v>
      </c>
      <c r="D32" s="114" t="s">
        <v>292</v>
      </c>
      <c r="E32" s="53" t="s">
        <v>162</v>
      </c>
      <c r="F32" s="53" t="s">
        <v>314</v>
      </c>
      <c r="G32" s="53" t="s">
        <v>36</v>
      </c>
      <c r="H32" s="53" t="s">
        <v>160</v>
      </c>
      <c r="I32" s="53" t="s">
        <v>159</v>
      </c>
      <c r="J32" s="53" t="s">
        <v>38</v>
      </c>
      <c r="K32" s="53" t="s">
        <v>161</v>
      </c>
      <c r="L32" s="53">
        <v>1</v>
      </c>
      <c r="N32" s="53">
        <v>4</v>
      </c>
      <c r="O32" s="53">
        <v>0.24</v>
      </c>
      <c r="P32" s="53">
        <v>0.23</v>
      </c>
      <c r="Q32" s="84">
        <f t="shared" si="2"/>
        <v>0.23499999999999999</v>
      </c>
      <c r="R32" s="53">
        <v>16.600000000000001</v>
      </c>
      <c r="S32" s="53">
        <v>104</v>
      </c>
      <c r="T32" s="16">
        <f t="shared" si="0"/>
        <v>33</v>
      </c>
      <c r="U32" s="53">
        <v>498</v>
      </c>
      <c r="V32" s="16">
        <f t="shared" si="1"/>
        <v>16</v>
      </c>
      <c r="W32" s="53">
        <v>6</v>
      </c>
      <c r="X32" s="53" t="s">
        <v>46</v>
      </c>
      <c r="Y32" s="53" t="s">
        <v>69</v>
      </c>
      <c r="Z32" s="53" t="s">
        <v>55</v>
      </c>
      <c r="AA32" s="53" t="s">
        <v>78</v>
      </c>
      <c r="AB32" s="53" t="s">
        <v>296</v>
      </c>
      <c r="AV32" s="27"/>
    </row>
    <row r="33" spans="1:48" x14ac:dyDescent="0.15">
      <c r="A33" s="53" t="s">
        <v>59</v>
      </c>
      <c r="B33" s="53" t="s">
        <v>232</v>
      </c>
      <c r="C33" s="71">
        <v>2019</v>
      </c>
      <c r="D33" s="114" t="s">
        <v>292</v>
      </c>
      <c r="E33" s="53" t="s">
        <v>162</v>
      </c>
      <c r="F33" s="53" t="s">
        <v>314</v>
      </c>
      <c r="G33" s="53" t="s">
        <v>36</v>
      </c>
      <c r="H33" s="53" t="s">
        <v>160</v>
      </c>
      <c r="I33" s="53" t="s">
        <v>159</v>
      </c>
      <c r="J33" s="53" t="s">
        <v>38</v>
      </c>
      <c r="K33" s="53" t="s">
        <v>161</v>
      </c>
      <c r="L33" s="53">
        <v>2</v>
      </c>
      <c r="N33" s="53">
        <v>4</v>
      </c>
      <c r="O33" s="53">
        <v>0.28999999999999998</v>
      </c>
      <c r="P33" s="53">
        <v>0.3</v>
      </c>
      <c r="Q33" s="84">
        <f t="shared" si="2"/>
        <v>0.29499999999999998</v>
      </c>
      <c r="R33" s="53">
        <v>16.2</v>
      </c>
      <c r="S33" s="53">
        <v>93</v>
      </c>
      <c r="T33" s="16">
        <f t="shared" si="0"/>
        <v>36</v>
      </c>
      <c r="U33" s="53">
        <v>498</v>
      </c>
      <c r="V33" s="16">
        <f t="shared" si="1"/>
        <v>16</v>
      </c>
      <c r="W33" s="53">
        <v>6</v>
      </c>
      <c r="X33" s="53" t="s">
        <v>46</v>
      </c>
      <c r="Y33" s="53" t="s">
        <v>69</v>
      </c>
      <c r="Z33" s="53" t="s">
        <v>55</v>
      </c>
      <c r="AA33" s="53" t="s">
        <v>78</v>
      </c>
      <c r="AB33" s="53" t="s">
        <v>296</v>
      </c>
      <c r="AV33" s="27"/>
    </row>
    <row r="34" spans="1:48" x14ac:dyDescent="0.15">
      <c r="A34" s="53" t="s">
        <v>59</v>
      </c>
      <c r="B34" s="53" t="s">
        <v>232</v>
      </c>
      <c r="C34" s="71">
        <v>2019</v>
      </c>
      <c r="D34" s="114" t="s">
        <v>292</v>
      </c>
      <c r="E34" s="53" t="s">
        <v>162</v>
      </c>
      <c r="F34" s="53" t="s">
        <v>314</v>
      </c>
      <c r="G34" s="53" t="s">
        <v>36</v>
      </c>
      <c r="H34" s="53" t="s">
        <v>160</v>
      </c>
      <c r="I34" s="53" t="s">
        <v>159</v>
      </c>
      <c r="J34" s="53" t="s">
        <v>38</v>
      </c>
      <c r="K34" s="53" t="s">
        <v>161</v>
      </c>
      <c r="L34" s="53">
        <v>3</v>
      </c>
      <c r="N34" s="53">
        <v>4</v>
      </c>
      <c r="O34" s="53">
        <v>0.27</v>
      </c>
      <c r="P34" s="53">
        <v>0.33</v>
      </c>
      <c r="Q34" s="84">
        <f t="shared" si="2"/>
        <v>0.30000000000000004</v>
      </c>
      <c r="R34" s="53">
        <v>16.7</v>
      </c>
      <c r="S34" s="53">
        <v>102</v>
      </c>
      <c r="T34" s="16">
        <f t="shared" si="0"/>
        <v>33</v>
      </c>
      <c r="U34" s="53">
        <v>498</v>
      </c>
      <c r="V34" s="16">
        <f t="shared" si="1"/>
        <v>16</v>
      </c>
      <c r="W34" s="53">
        <v>6</v>
      </c>
      <c r="X34" s="53" t="s">
        <v>46</v>
      </c>
      <c r="Y34" s="53" t="s">
        <v>69</v>
      </c>
      <c r="Z34" s="53" t="s">
        <v>55</v>
      </c>
      <c r="AA34" s="53" t="s">
        <v>78</v>
      </c>
      <c r="AB34" s="53" t="s">
        <v>296</v>
      </c>
      <c r="AV34" s="27"/>
    </row>
    <row r="35" spans="1:48" x14ac:dyDescent="0.15">
      <c r="A35" s="53" t="s">
        <v>59</v>
      </c>
      <c r="B35" s="53" t="s">
        <v>232</v>
      </c>
      <c r="C35" s="71">
        <v>2019</v>
      </c>
      <c r="D35" s="114" t="s">
        <v>292</v>
      </c>
      <c r="E35" s="53" t="s">
        <v>162</v>
      </c>
      <c r="F35" s="53" t="s">
        <v>314</v>
      </c>
      <c r="G35" s="53" t="s">
        <v>36</v>
      </c>
      <c r="H35" s="53" t="s">
        <v>164</v>
      </c>
      <c r="I35" s="53" t="s">
        <v>159</v>
      </c>
      <c r="J35" s="53" t="s">
        <v>38</v>
      </c>
      <c r="K35" s="53" t="s">
        <v>161</v>
      </c>
      <c r="L35" s="53">
        <v>1</v>
      </c>
      <c r="N35" s="53">
        <v>1</v>
      </c>
      <c r="O35" s="53">
        <v>0.51</v>
      </c>
      <c r="P35" s="53">
        <v>0.5</v>
      </c>
      <c r="Q35" s="84">
        <f t="shared" si="2"/>
        <v>0.505</v>
      </c>
      <c r="R35" s="53">
        <v>14.8</v>
      </c>
      <c r="S35" s="53">
        <v>171</v>
      </c>
      <c r="T35" s="16">
        <f t="shared" si="0"/>
        <v>18</v>
      </c>
      <c r="U35" s="53">
        <v>158</v>
      </c>
      <c r="V35" s="16">
        <f t="shared" si="1"/>
        <v>18</v>
      </c>
      <c r="W35" s="53">
        <v>7</v>
      </c>
      <c r="X35" s="53" t="s">
        <v>46</v>
      </c>
      <c r="Y35" s="53" t="s">
        <v>69</v>
      </c>
      <c r="Z35" s="53" t="s">
        <v>55</v>
      </c>
      <c r="AA35" s="53" t="s">
        <v>78</v>
      </c>
      <c r="AB35" s="53" t="s">
        <v>296</v>
      </c>
      <c r="AV35" s="27"/>
    </row>
    <row r="36" spans="1:48" x14ac:dyDescent="0.15">
      <c r="A36" s="53" t="s">
        <v>59</v>
      </c>
      <c r="B36" s="53" t="s">
        <v>232</v>
      </c>
      <c r="C36" s="71">
        <v>2019</v>
      </c>
      <c r="D36" s="114" t="s">
        <v>292</v>
      </c>
      <c r="E36" s="53" t="s">
        <v>162</v>
      </c>
      <c r="F36" s="53" t="s">
        <v>314</v>
      </c>
      <c r="G36" s="53" t="s">
        <v>36</v>
      </c>
      <c r="H36" s="53" t="s">
        <v>164</v>
      </c>
      <c r="I36" s="53" t="s">
        <v>159</v>
      </c>
      <c r="J36" s="53" t="s">
        <v>38</v>
      </c>
      <c r="K36" s="53" t="s">
        <v>161</v>
      </c>
      <c r="L36" s="53">
        <v>2</v>
      </c>
      <c r="N36" s="53">
        <v>1</v>
      </c>
      <c r="O36" s="53">
        <v>0.65</v>
      </c>
      <c r="P36" s="53">
        <v>0.62</v>
      </c>
      <c r="Q36" s="84">
        <f t="shared" si="2"/>
        <v>0.63500000000000001</v>
      </c>
      <c r="R36" s="53">
        <v>15.5</v>
      </c>
      <c r="S36" s="53">
        <v>162</v>
      </c>
      <c r="T36" s="16">
        <f t="shared" si="0"/>
        <v>18</v>
      </c>
      <c r="U36" s="53">
        <v>158</v>
      </c>
      <c r="V36" s="16">
        <f t="shared" si="1"/>
        <v>18</v>
      </c>
      <c r="W36" s="53">
        <v>7</v>
      </c>
      <c r="X36" s="53" t="s">
        <v>46</v>
      </c>
      <c r="Y36" s="53" t="s">
        <v>69</v>
      </c>
      <c r="Z36" s="53" t="s">
        <v>55</v>
      </c>
      <c r="AA36" s="53" t="s">
        <v>78</v>
      </c>
      <c r="AB36" s="53" t="s">
        <v>296</v>
      </c>
      <c r="AV36" s="27"/>
    </row>
    <row r="37" spans="1:48" x14ac:dyDescent="0.15">
      <c r="A37" s="53" t="s">
        <v>59</v>
      </c>
      <c r="B37" s="53" t="s">
        <v>232</v>
      </c>
      <c r="C37" s="71">
        <v>2019</v>
      </c>
      <c r="D37" s="114" t="s">
        <v>292</v>
      </c>
      <c r="E37" s="53" t="s">
        <v>162</v>
      </c>
      <c r="F37" s="53" t="s">
        <v>314</v>
      </c>
      <c r="G37" s="53" t="s">
        <v>36</v>
      </c>
      <c r="H37" s="53" t="s">
        <v>164</v>
      </c>
      <c r="I37" s="53" t="s">
        <v>159</v>
      </c>
      <c r="J37" s="53" t="s">
        <v>38</v>
      </c>
      <c r="K37" s="53" t="s">
        <v>161</v>
      </c>
      <c r="L37" s="53">
        <v>3</v>
      </c>
      <c r="N37" s="53">
        <v>1</v>
      </c>
      <c r="O37" s="53">
        <v>0.68</v>
      </c>
      <c r="P37" s="53">
        <v>0.66</v>
      </c>
      <c r="Q37" s="84">
        <f t="shared" si="2"/>
        <v>0.67</v>
      </c>
      <c r="R37" s="53">
        <v>15.3</v>
      </c>
      <c r="S37" s="53">
        <v>153</v>
      </c>
      <c r="T37" s="16">
        <f t="shared" si="0"/>
        <v>18</v>
      </c>
      <c r="U37" s="53">
        <v>158</v>
      </c>
      <c r="V37" s="16">
        <f t="shared" si="1"/>
        <v>18</v>
      </c>
      <c r="W37" s="53">
        <v>7</v>
      </c>
      <c r="X37" s="53" t="s">
        <v>46</v>
      </c>
      <c r="Y37" s="53" t="s">
        <v>69</v>
      </c>
      <c r="Z37" s="53" t="s">
        <v>55</v>
      </c>
      <c r="AA37" s="53" t="s">
        <v>78</v>
      </c>
      <c r="AB37" s="53" t="s">
        <v>296</v>
      </c>
      <c r="AV37" s="27"/>
    </row>
    <row r="38" spans="1:48" x14ac:dyDescent="0.15">
      <c r="A38" s="53" t="s">
        <v>59</v>
      </c>
      <c r="B38" s="53" t="s">
        <v>232</v>
      </c>
      <c r="C38" s="71">
        <v>2019</v>
      </c>
      <c r="D38" s="114" t="s">
        <v>292</v>
      </c>
      <c r="E38" s="53" t="s">
        <v>311</v>
      </c>
      <c r="F38" s="53" t="s">
        <v>312</v>
      </c>
      <c r="G38" s="53" t="s">
        <v>36</v>
      </c>
      <c r="H38" s="53" t="s">
        <v>160</v>
      </c>
      <c r="I38" s="53" t="s">
        <v>159</v>
      </c>
      <c r="J38" s="53" t="s">
        <v>38</v>
      </c>
      <c r="K38" s="53" t="s">
        <v>161</v>
      </c>
      <c r="L38" s="53">
        <v>1</v>
      </c>
      <c r="N38" s="53">
        <v>3</v>
      </c>
      <c r="O38" s="53">
        <v>0.42</v>
      </c>
      <c r="P38" s="53">
        <v>0.5</v>
      </c>
      <c r="Q38" s="84">
        <f t="shared" si="2"/>
        <v>0.45999999999999996</v>
      </c>
      <c r="R38" s="53">
        <v>15.5</v>
      </c>
      <c r="S38" s="53">
        <v>131</v>
      </c>
      <c r="T38" s="16">
        <f t="shared" si="0"/>
        <v>25</v>
      </c>
      <c r="U38" s="53">
        <v>299</v>
      </c>
      <c r="V38" s="16">
        <f t="shared" si="1"/>
        <v>16</v>
      </c>
      <c r="W38" s="53">
        <v>9</v>
      </c>
      <c r="X38" s="53" t="s">
        <v>39</v>
      </c>
      <c r="Y38" s="53" t="s">
        <v>69</v>
      </c>
      <c r="Z38" s="53" t="s">
        <v>97</v>
      </c>
      <c r="AA38" s="53" t="s">
        <v>78</v>
      </c>
      <c r="AB38" s="53" t="s">
        <v>296</v>
      </c>
      <c r="AV38" s="27"/>
    </row>
    <row r="39" spans="1:48" x14ac:dyDescent="0.15">
      <c r="A39" s="53" t="s">
        <v>59</v>
      </c>
      <c r="B39" s="53" t="s">
        <v>232</v>
      </c>
      <c r="C39" s="71">
        <v>2019</v>
      </c>
      <c r="D39" s="114" t="s">
        <v>292</v>
      </c>
      <c r="E39" s="53" t="s">
        <v>311</v>
      </c>
      <c r="F39" s="53" t="s">
        <v>312</v>
      </c>
      <c r="G39" s="53" t="s">
        <v>36</v>
      </c>
      <c r="H39" s="53" t="s">
        <v>160</v>
      </c>
      <c r="I39" s="53" t="s">
        <v>159</v>
      </c>
      <c r="J39" s="53" t="s">
        <v>38</v>
      </c>
      <c r="K39" s="53" t="s">
        <v>161</v>
      </c>
      <c r="L39" s="53">
        <v>2</v>
      </c>
      <c r="N39" s="53">
        <v>3</v>
      </c>
      <c r="O39" s="53">
        <v>0.49</v>
      </c>
      <c r="P39" s="53">
        <v>0.56000000000000005</v>
      </c>
      <c r="Q39" s="84">
        <f t="shared" si="2"/>
        <v>0.52500000000000002</v>
      </c>
      <c r="R39" s="53">
        <v>16.8</v>
      </c>
      <c r="S39" s="53">
        <v>139</v>
      </c>
      <c r="T39" s="16">
        <f t="shared" si="0"/>
        <v>22</v>
      </c>
      <c r="U39" s="53">
        <v>299</v>
      </c>
      <c r="V39" s="16">
        <f t="shared" si="1"/>
        <v>16</v>
      </c>
      <c r="W39" s="53">
        <v>9</v>
      </c>
      <c r="X39" s="53" t="s">
        <v>39</v>
      </c>
      <c r="Y39" s="53" t="s">
        <v>69</v>
      </c>
      <c r="Z39" s="53" t="s">
        <v>97</v>
      </c>
      <c r="AA39" s="53" t="s">
        <v>78</v>
      </c>
      <c r="AB39" s="53" t="s">
        <v>296</v>
      </c>
      <c r="AV39" s="27"/>
    </row>
    <row r="40" spans="1:48" x14ac:dyDescent="0.15">
      <c r="A40" s="53" t="s">
        <v>59</v>
      </c>
      <c r="B40" s="53" t="s">
        <v>232</v>
      </c>
      <c r="C40" s="71">
        <v>2019</v>
      </c>
      <c r="D40" s="114" t="s">
        <v>292</v>
      </c>
      <c r="E40" s="53" t="s">
        <v>311</v>
      </c>
      <c r="F40" s="53" t="s">
        <v>312</v>
      </c>
      <c r="G40" s="53" t="s">
        <v>36</v>
      </c>
      <c r="H40" s="53" t="s">
        <v>160</v>
      </c>
      <c r="I40" s="53" t="s">
        <v>159</v>
      </c>
      <c r="J40" s="53" t="s">
        <v>38</v>
      </c>
      <c r="K40" s="53" t="s">
        <v>161</v>
      </c>
      <c r="L40" s="53">
        <v>3</v>
      </c>
      <c r="N40" s="53">
        <v>3</v>
      </c>
      <c r="O40" s="53">
        <v>0.44</v>
      </c>
      <c r="P40" s="53">
        <v>0.53</v>
      </c>
      <c r="Q40" s="84">
        <f t="shared" si="2"/>
        <v>0.48499999999999999</v>
      </c>
      <c r="R40" s="53">
        <v>16</v>
      </c>
      <c r="S40" s="53">
        <v>132</v>
      </c>
      <c r="T40" s="16">
        <f t="shared" si="0"/>
        <v>25</v>
      </c>
      <c r="U40" s="53">
        <v>299</v>
      </c>
      <c r="V40" s="16">
        <f t="shared" si="1"/>
        <v>16</v>
      </c>
      <c r="W40" s="53">
        <v>9</v>
      </c>
      <c r="X40" s="53" t="s">
        <v>39</v>
      </c>
      <c r="Y40" s="53" t="s">
        <v>69</v>
      </c>
      <c r="Z40" s="53" t="s">
        <v>97</v>
      </c>
      <c r="AA40" s="53" t="s">
        <v>78</v>
      </c>
      <c r="AB40" s="53" t="s">
        <v>296</v>
      </c>
      <c r="AV40" s="27"/>
    </row>
    <row r="41" spans="1:48" x14ac:dyDescent="0.15">
      <c r="A41" s="53" t="s">
        <v>59</v>
      </c>
      <c r="B41" s="53" t="s">
        <v>232</v>
      </c>
      <c r="C41" s="71">
        <v>2019</v>
      </c>
      <c r="D41" s="114" t="s">
        <v>292</v>
      </c>
      <c r="E41" s="53" t="s">
        <v>311</v>
      </c>
      <c r="F41" s="53" t="s">
        <v>312</v>
      </c>
      <c r="G41" s="53" t="s">
        <v>36</v>
      </c>
      <c r="H41" s="53" t="s">
        <v>164</v>
      </c>
      <c r="I41" s="53" t="s">
        <v>159</v>
      </c>
      <c r="J41" s="53" t="s">
        <v>38</v>
      </c>
      <c r="K41" s="53" t="s">
        <v>161</v>
      </c>
      <c r="L41" s="53">
        <v>1</v>
      </c>
      <c r="N41" s="53">
        <v>3</v>
      </c>
      <c r="O41" s="53">
        <v>0.65</v>
      </c>
      <c r="P41" s="53">
        <v>0.73</v>
      </c>
      <c r="Q41" s="84">
        <f t="shared" si="2"/>
        <v>0.69</v>
      </c>
      <c r="R41" s="53">
        <v>13.1</v>
      </c>
      <c r="S41" s="53">
        <v>130</v>
      </c>
      <c r="T41" s="16">
        <f t="shared" si="0"/>
        <v>25</v>
      </c>
      <c r="U41" s="53">
        <v>399</v>
      </c>
      <c r="V41" s="16">
        <f t="shared" si="1"/>
        <v>16</v>
      </c>
      <c r="W41" s="53">
        <v>12</v>
      </c>
      <c r="X41" s="53" t="s">
        <v>39</v>
      </c>
      <c r="Y41" s="53" t="s">
        <v>69</v>
      </c>
      <c r="Z41" s="53" t="s">
        <v>97</v>
      </c>
      <c r="AA41" s="53" t="s">
        <v>78</v>
      </c>
      <c r="AB41" s="53" t="s">
        <v>296</v>
      </c>
      <c r="AV41" s="27"/>
    </row>
    <row r="42" spans="1:48" x14ac:dyDescent="0.15">
      <c r="A42" s="53" t="s">
        <v>59</v>
      </c>
      <c r="B42" s="53" t="s">
        <v>232</v>
      </c>
      <c r="C42" s="71">
        <v>2019</v>
      </c>
      <c r="D42" s="114" t="s">
        <v>292</v>
      </c>
      <c r="E42" s="53" t="s">
        <v>311</v>
      </c>
      <c r="F42" s="53" t="s">
        <v>312</v>
      </c>
      <c r="G42" s="53" t="s">
        <v>36</v>
      </c>
      <c r="H42" s="53" t="s">
        <v>164</v>
      </c>
      <c r="I42" s="53" t="s">
        <v>159</v>
      </c>
      <c r="J42" s="53" t="s">
        <v>38</v>
      </c>
      <c r="K42" s="53" t="s">
        <v>161</v>
      </c>
      <c r="L42" s="53">
        <v>2</v>
      </c>
      <c r="N42" s="53">
        <v>3</v>
      </c>
      <c r="O42" s="53">
        <v>0.72</v>
      </c>
      <c r="P42" s="53">
        <v>0.81</v>
      </c>
      <c r="Q42" s="84">
        <f t="shared" si="2"/>
        <v>0.76500000000000001</v>
      </c>
      <c r="R42" s="53">
        <v>14.3</v>
      </c>
      <c r="S42" s="53">
        <v>136</v>
      </c>
      <c r="T42" s="16">
        <f t="shared" si="0"/>
        <v>25</v>
      </c>
      <c r="U42" s="53">
        <v>399</v>
      </c>
      <c r="V42" s="16">
        <f t="shared" si="1"/>
        <v>16</v>
      </c>
      <c r="W42" s="53">
        <v>12</v>
      </c>
      <c r="X42" s="53" t="s">
        <v>39</v>
      </c>
      <c r="Y42" s="53" t="s">
        <v>69</v>
      </c>
      <c r="Z42" s="53" t="s">
        <v>97</v>
      </c>
      <c r="AA42" s="53" t="s">
        <v>78</v>
      </c>
      <c r="AB42" s="53" t="s">
        <v>296</v>
      </c>
      <c r="AV42" s="27"/>
    </row>
    <row r="43" spans="1:48" x14ac:dyDescent="0.15">
      <c r="A43" s="53" t="s">
        <v>59</v>
      </c>
      <c r="B43" s="53" t="s">
        <v>232</v>
      </c>
      <c r="C43" s="71">
        <v>2019</v>
      </c>
      <c r="D43" s="114" t="s">
        <v>292</v>
      </c>
      <c r="E43" s="53" t="s">
        <v>311</v>
      </c>
      <c r="F43" s="53" t="s">
        <v>312</v>
      </c>
      <c r="G43" s="53" t="s">
        <v>36</v>
      </c>
      <c r="H43" s="53" t="s">
        <v>164</v>
      </c>
      <c r="I43" s="53" t="s">
        <v>159</v>
      </c>
      <c r="J43" s="53" t="s">
        <v>38</v>
      </c>
      <c r="K43" s="53" t="s">
        <v>161</v>
      </c>
      <c r="L43" s="53">
        <v>3</v>
      </c>
      <c r="N43" s="53">
        <v>3</v>
      </c>
      <c r="O43" s="53">
        <v>0.7</v>
      </c>
      <c r="P43" s="53">
        <v>0.66</v>
      </c>
      <c r="Q43" s="84">
        <f t="shared" si="2"/>
        <v>0.67999999999999994</v>
      </c>
      <c r="R43" s="53">
        <v>14.5</v>
      </c>
      <c r="S43" s="53">
        <v>135</v>
      </c>
      <c r="T43" s="16">
        <f t="shared" si="0"/>
        <v>25</v>
      </c>
      <c r="U43" s="53">
        <v>399</v>
      </c>
      <c r="V43" s="16">
        <f t="shared" si="1"/>
        <v>16</v>
      </c>
      <c r="W43" s="53">
        <v>12</v>
      </c>
      <c r="X43" s="53" t="s">
        <v>39</v>
      </c>
      <c r="Y43" s="53" t="s">
        <v>69</v>
      </c>
      <c r="Z43" s="53" t="s">
        <v>97</v>
      </c>
      <c r="AA43" s="53" t="s">
        <v>78</v>
      </c>
      <c r="AB43" s="53" t="s">
        <v>296</v>
      </c>
      <c r="AV43" s="27"/>
    </row>
    <row r="44" spans="1:48" x14ac:dyDescent="0.15">
      <c r="A44" s="53" t="s">
        <v>59</v>
      </c>
      <c r="B44" s="53" t="s">
        <v>232</v>
      </c>
      <c r="C44" s="71">
        <v>2019</v>
      </c>
      <c r="D44" s="114" t="s">
        <v>292</v>
      </c>
      <c r="E44" s="53" t="s">
        <v>302</v>
      </c>
      <c r="F44" s="53" t="s">
        <v>303</v>
      </c>
      <c r="G44" s="53" t="s">
        <v>36</v>
      </c>
      <c r="H44" s="53" t="s">
        <v>160</v>
      </c>
      <c r="I44" s="53" t="s">
        <v>159</v>
      </c>
      <c r="J44" s="53" t="s">
        <v>38</v>
      </c>
      <c r="K44" s="53" t="s">
        <v>161</v>
      </c>
      <c r="L44" s="53">
        <v>1</v>
      </c>
      <c r="N44" s="53">
        <v>4</v>
      </c>
      <c r="O44" s="53">
        <v>0.33</v>
      </c>
      <c r="P44" s="53">
        <v>0.35</v>
      </c>
      <c r="Q44" s="84">
        <f t="shared" si="2"/>
        <v>0.33999999999999997</v>
      </c>
      <c r="R44" s="53">
        <v>15.8</v>
      </c>
      <c r="S44" s="53">
        <v>95</v>
      </c>
      <c r="T44" s="16">
        <f t="shared" si="0"/>
        <v>36</v>
      </c>
      <c r="U44" s="53">
        <v>486</v>
      </c>
      <c r="V44" s="16">
        <f t="shared" si="1"/>
        <v>16</v>
      </c>
      <c r="W44" s="53">
        <v>3</v>
      </c>
      <c r="X44" s="53" t="s">
        <v>46</v>
      </c>
      <c r="Y44" s="53" t="s">
        <v>69</v>
      </c>
      <c r="Z44" s="53" t="s">
        <v>55</v>
      </c>
      <c r="AA44" s="53" t="s">
        <v>78</v>
      </c>
      <c r="AB44" s="53" t="s">
        <v>296</v>
      </c>
      <c r="AV44" s="27"/>
    </row>
    <row r="45" spans="1:48" x14ac:dyDescent="0.15">
      <c r="A45" s="53" t="s">
        <v>59</v>
      </c>
      <c r="B45" s="53" t="s">
        <v>232</v>
      </c>
      <c r="C45" s="71">
        <v>2019</v>
      </c>
      <c r="D45" s="114" t="s">
        <v>292</v>
      </c>
      <c r="E45" s="53" t="s">
        <v>302</v>
      </c>
      <c r="F45" s="53" t="s">
        <v>303</v>
      </c>
      <c r="G45" s="53" t="s">
        <v>36</v>
      </c>
      <c r="H45" s="53" t="s">
        <v>160</v>
      </c>
      <c r="I45" s="53" t="s">
        <v>159</v>
      </c>
      <c r="J45" s="53" t="s">
        <v>38</v>
      </c>
      <c r="K45" s="53" t="s">
        <v>161</v>
      </c>
      <c r="L45" s="53">
        <v>2</v>
      </c>
      <c r="N45" s="53">
        <v>4</v>
      </c>
      <c r="O45" s="53">
        <v>0.32</v>
      </c>
      <c r="P45" s="53">
        <v>0.36</v>
      </c>
      <c r="Q45" s="84">
        <f t="shared" si="2"/>
        <v>0.33999999999999997</v>
      </c>
      <c r="R45" s="53">
        <v>16.2</v>
      </c>
      <c r="S45" s="53">
        <v>99</v>
      </c>
      <c r="T45" s="16">
        <f t="shared" si="0"/>
        <v>33</v>
      </c>
      <c r="U45" s="53">
        <v>486</v>
      </c>
      <c r="V45" s="16">
        <f t="shared" si="1"/>
        <v>16</v>
      </c>
      <c r="W45" s="53">
        <v>3</v>
      </c>
      <c r="X45" s="53" t="s">
        <v>46</v>
      </c>
      <c r="Y45" s="53" t="s">
        <v>69</v>
      </c>
      <c r="Z45" s="53" t="s">
        <v>55</v>
      </c>
      <c r="AA45" s="53" t="s">
        <v>78</v>
      </c>
      <c r="AB45" s="53" t="s">
        <v>296</v>
      </c>
      <c r="AV45" s="27"/>
    </row>
    <row r="46" spans="1:48" x14ac:dyDescent="0.15">
      <c r="A46" s="53" t="s">
        <v>59</v>
      </c>
      <c r="B46" s="53" t="s">
        <v>232</v>
      </c>
      <c r="C46" s="71">
        <v>2019</v>
      </c>
      <c r="D46" s="114" t="s">
        <v>292</v>
      </c>
      <c r="E46" s="53" t="s">
        <v>302</v>
      </c>
      <c r="F46" s="53" t="s">
        <v>303</v>
      </c>
      <c r="G46" s="53" t="s">
        <v>36</v>
      </c>
      <c r="H46" s="53" t="s">
        <v>160</v>
      </c>
      <c r="I46" s="53" t="s">
        <v>159</v>
      </c>
      <c r="J46" s="53" t="s">
        <v>38</v>
      </c>
      <c r="K46" s="53" t="s">
        <v>161</v>
      </c>
      <c r="L46" s="53">
        <v>3</v>
      </c>
      <c r="N46" s="53">
        <v>4</v>
      </c>
      <c r="O46" s="53">
        <v>0.34</v>
      </c>
      <c r="P46" s="53">
        <v>0.37</v>
      </c>
      <c r="Q46" s="84">
        <f t="shared" si="2"/>
        <v>0.35499999999999998</v>
      </c>
      <c r="R46" s="53">
        <v>16.600000000000001</v>
      </c>
      <c r="S46" s="53">
        <v>97</v>
      </c>
      <c r="T46" s="16">
        <f t="shared" si="0"/>
        <v>36</v>
      </c>
      <c r="U46" s="53">
        <v>486</v>
      </c>
      <c r="V46" s="16">
        <f t="shared" si="1"/>
        <v>16</v>
      </c>
      <c r="W46" s="53">
        <v>3</v>
      </c>
      <c r="X46" s="53" t="s">
        <v>46</v>
      </c>
      <c r="Y46" s="53" t="s">
        <v>69</v>
      </c>
      <c r="Z46" s="53" t="s">
        <v>55</v>
      </c>
      <c r="AA46" s="53" t="s">
        <v>78</v>
      </c>
      <c r="AB46" s="53" t="s">
        <v>296</v>
      </c>
      <c r="AV46" s="27"/>
    </row>
    <row r="47" spans="1:48" x14ac:dyDescent="0.15">
      <c r="A47" s="53" t="s">
        <v>59</v>
      </c>
      <c r="B47" s="53" t="s">
        <v>232</v>
      </c>
      <c r="C47" s="71">
        <v>2019</v>
      </c>
      <c r="D47" s="114" t="s">
        <v>292</v>
      </c>
      <c r="E47" s="53" t="s">
        <v>302</v>
      </c>
      <c r="F47" s="53" t="s">
        <v>303</v>
      </c>
      <c r="G47" s="53" t="s">
        <v>36</v>
      </c>
      <c r="H47" s="53" t="s">
        <v>164</v>
      </c>
      <c r="I47" s="53" t="s">
        <v>159</v>
      </c>
      <c r="J47" s="53" t="s">
        <v>38</v>
      </c>
      <c r="K47" s="53" t="s">
        <v>161</v>
      </c>
      <c r="L47" s="53">
        <v>1</v>
      </c>
      <c r="N47" s="53">
        <v>5</v>
      </c>
      <c r="O47" s="53">
        <v>0.51</v>
      </c>
      <c r="P47" s="53">
        <v>0.45</v>
      </c>
      <c r="Q47" s="84">
        <f t="shared" si="2"/>
        <v>0.48</v>
      </c>
      <c r="R47" s="53">
        <v>16</v>
      </c>
      <c r="S47" s="53">
        <v>82</v>
      </c>
      <c r="T47" s="16">
        <f t="shared" si="0"/>
        <v>39</v>
      </c>
      <c r="U47" s="53">
        <v>378</v>
      </c>
      <c r="V47" s="16">
        <f t="shared" si="1"/>
        <v>16</v>
      </c>
      <c r="W47" s="53">
        <v>3</v>
      </c>
      <c r="X47" s="53" t="s">
        <v>46</v>
      </c>
      <c r="Y47" s="53" t="s">
        <v>69</v>
      </c>
      <c r="Z47" s="53" t="s">
        <v>55</v>
      </c>
      <c r="AA47" s="53" t="s">
        <v>78</v>
      </c>
      <c r="AB47" s="53" t="s">
        <v>296</v>
      </c>
      <c r="AV47" s="27"/>
    </row>
    <row r="48" spans="1:48" x14ac:dyDescent="0.15">
      <c r="A48" s="53" t="s">
        <v>59</v>
      </c>
      <c r="B48" s="53" t="s">
        <v>232</v>
      </c>
      <c r="C48" s="71">
        <v>2019</v>
      </c>
      <c r="D48" s="114" t="s">
        <v>292</v>
      </c>
      <c r="E48" s="53" t="s">
        <v>302</v>
      </c>
      <c r="F48" s="53" t="s">
        <v>303</v>
      </c>
      <c r="G48" s="53" t="s">
        <v>36</v>
      </c>
      <c r="H48" s="53" t="s">
        <v>164</v>
      </c>
      <c r="I48" s="53" t="s">
        <v>159</v>
      </c>
      <c r="J48" s="53" t="s">
        <v>38</v>
      </c>
      <c r="K48" s="53" t="s">
        <v>161</v>
      </c>
      <c r="L48" s="53">
        <v>2</v>
      </c>
      <c r="N48" s="53">
        <v>5</v>
      </c>
      <c r="O48" s="53">
        <v>0.74</v>
      </c>
      <c r="P48" s="53">
        <v>0.62</v>
      </c>
      <c r="Q48" s="84">
        <f t="shared" si="2"/>
        <v>0.67999999999999994</v>
      </c>
      <c r="R48" s="53">
        <v>15.6</v>
      </c>
      <c r="S48" s="53">
        <v>92</v>
      </c>
      <c r="T48" s="16">
        <f t="shared" si="0"/>
        <v>36</v>
      </c>
      <c r="U48" s="53">
        <v>378</v>
      </c>
      <c r="V48" s="16">
        <f t="shared" si="1"/>
        <v>16</v>
      </c>
      <c r="W48" s="53">
        <v>3</v>
      </c>
      <c r="X48" s="53" t="s">
        <v>46</v>
      </c>
      <c r="Y48" s="53" t="s">
        <v>69</v>
      </c>
      <c r="Z48" s="53" t="s">
        <v>55</v>
      </c>
      <c r="AA48" s="53" t="s">
        <v>78</v>
      </c>
      <c r="AB48" s="53" t="s">
        <v>296</v>
      </c>
      <c r="AV48" s="27"/>
    </row>
    <row r="49" spans="1:48" x14ac:dyDescent="0.15">
      <c r="A49" s="53" t="s">
        <v>59</v>
      </c>
      <c r="B49" s="53" t="s">
        <v>232</v>
      </c>
      <c r="C49" s="71">
        <v>2019</v>
      </c>
      <c r="D49" s="114" t="s">
        <v>292</v>
      </c>
      <c r="E49" s="53" t="s">
        <v>302</v>
      </c>
      <c r="F49" s="53" t="s">
        <v>303</v>
      </c>
      <c r="G49" s="53" t="s">
        <v>36</v>
      </c>
      <c r="H49" s="53" t="s">
        <v>164</v>
      </c>
      <c r="I49" s="53" t="s">
        <v>159</v>
      </c>
      <c r="J49" s="53" t="s">
        <v>38</v>
      </c>
      <c r="K49" s="53" t="s">
        <v>161</v>
      </c>
      <c r="L49" s="53">
        <v>3</v>
      </c>
      <c r="N49" s="53">
        <v>5</v>
      </c>
      <c r="O49" s="53">
        <v>0.63</v>
      </c>
      <c r="P49" s="53">
        <v>0.55000000000000004</v>
      </c>
      <c r="Q49" s="84">
        <f t="shared" si="2"/>
        <v>0.59000000000000008</v>
      </c>
      <c r="R49" s="53">
        <v>15.2</v>
      </c>
      <c r="S49" s="53">
        <v>94</v>
      </c>
      <c r="T49" s="16">
        <f t="shared" si="0"/>
        <v>36</v>
      </c>
      <c r="U49" s="53">
        <v>378</v>
      </c>
      <c r="V49" s="16">
        <f t="shared" si="1"/>
        <v>16</v>
      </c>
      <c r="W49" s="53">
        <v>3</v>
      </c>
      <c r="X49" s="53" t="s">
        <v>46</v>
      </c>
      <c r="Y49" s="53" t="s">
        <v>69</v>
      </c>
      <c r="Z49" s="53" t="s">
        <v>55</v>
      </c>
      <c r="AA49" s="53" t="s">
        <v>78</v>
      </c>
      <c r="AB49" s="53" t="s">
        <v>296</v>
      </c>
      <c r="AV49" s="27"/>
    </row>
    <row r="50" spans="1:48" x14ac:dyDescent="0.15">
      <c r="A50" s="53" t="s">
        <v>59</v>
      </c>
      <c r="B50" s="53" t="s">
        <v>232</v>
      </c>
      <c r="C50" s="71">
        <v>2019</v>
      </c>
      <c r="D50" s="114" t="s">
        <v>292</v>
      </c>
      <c r="E50" s="53" t="s">
        <v>318</v>
      </c>
      <c r="F50" s="53" t="s">
        <v>319</v>
      </c>
      <c r="G50" s="53" t="s">
        <v>36</v>
      </c>
      <c r="H50" s="53" t="s">
        <v>160</v>
      </c>
      <c r="I50" s="53" t="s">
        <v>159</v>
      </c>
      <c r="J50" s="53" t="s">
        <v>38</v>
      </c>
      <c r="K50" s="53" t="s">
        <v>161</v>
      </c>
      <c r="L50" s="53">
        <v>1</v>
      </c>
      <c r="N50" s="53">
        <v>4</v>
      </c>
      <c r="O50" s="53">
        <v>0.25</v>
      </c>
      <c r="P50" s="53">
        <v>0.27</v>
      </c>
      <c r="Q50" s="84">
        <f t="shared" si="2"/>
        <v>0.26</v>
      </c>
      <c r="R50" s="53">
        <v>17.2</v>
      </c>
      <c r="S50" s="53">
        <v>130</v>
      </c>
      <c r="T50" s="16">
        <f t="shared" si="0"/>
        <v>25</v>
      </c>
      <c r="U50" s="53">
        <v>458</v>
      </c>
      <c r="V50" s="16">
        <f t="shared" si="1"/>
        <v>16</v>
      </c>
      <c r="W50" s="53">
        <v>4</v>
      </c>
      <c r="X50" s="53" t="s">
        <v>46</v>
      </c>
      <c r="Y50" s="53" t="s">
        <v>97</v>
      </c>
      <c r="Z50" s="53" t="s">
        <v>86</v>
      </c>
      <c r="AA50" s="53" t="s">
        <v>55</v>
      </c>
      <c r="AB50" s="53" t="s">
        <v>296</v>
      </c>
      <c r="AV50" s="27"/>
    </row>
    <row r="51" spans="1:48" x14ac:dyDescent="0.15">
      <c r="A51" s="53" t="s">
        <v>59</v>
      </c>
      <c r="B51" s="53" t="s">
        <v>232</v>
      </c>
      <c r="C51" s="71">
        <v>2019</v>
      </c>
      <c r="D51" s="114" t="s">
        <v>292</v>
      </c>
      <c r="E51" s="53" t="s">
        <v>318</v>
      </c>
      <c r="F51" s="53" t="s">
        <v>319</v>
      </c>
      <c r="G51" s="53" t="s">
        <v>36</v>
      </c>
      <c r="H51" s="53" t="s">
        <v>160</v>
      </c>
      <c r="I51" s="53" t="s">
        <v>159</v>
      </c>
      <c r="J51" s="53" t="s">
        <v>38</v>
      </c>
      <c r="K51" s="53" t="s">
        <v>161</v>
      </c>
      <c r="L51" s="53">
        <v>2</v>
      </c>
      <c r="N51" s="53">
        <v>4</v>
      </c>
      <c r="O51" s="53">
        <v>0.31</v>
      </c>
      <c r="P51" s="53">
        <v>0.35</v>
      </c>
      <c r="Q51" s="84">
        <f t="shared" si="2"/>
        <v>0.32999999999999996</v>
      </c>
      <c r="R51" s="53">
        <v>18</v>
      </c>
      <c r="S51" s="53">
        <v>129</v>
      </c>
      <c r="T51" s="16">
        <f t="shared" si="0"/>
        <v>25</v>
      </c>
      <c r="U51" s="53">
        <v>458</v>
      </c>
      <c r="V51" s="16">
        <f t="shared" si="1"/>
        <v>16</v>
      </c>
      <c r="W51" s="53">
        <v>4</v>
      </c>
      <c r="X51" s="53" t="s">
        <v>46</v>
      </c>
      <c r="Y51" s="53" t="s">
        <v>97</v>
      </c>
      <c r="Z51" s="53" t="s">
        <v>86</v>
      </c>
      <c r="AA51" s="53" t="s">
        <v>55</v>
      </c>
      <c r="AB51" s="53" t="s">
        <v>296</v>
      </c>
      <c r="AV51" s="27"/>
    </row>
    <row r="52" spans="1:48" x14ac:dyDescent="0.15">
      <c r="A52" s="53" t="s">
        <v>59</v>
      </c>
      <c r="B52" s="53" t="s">
        <v>232</v>
      </c>
      <c r="C52" s="71">
        <v>2019</v>
      </c>
      <c r="D52" s="114" t="s">
        <v>292</v>
      </c>
      <c r="E52" s="53" t="s">
        <v>318</v>
      </c>
      <c r="F52" s="53" t="s">
        <v>319</v>
      </c>
      <c r="G52" s="53" t="s">
        <v>36</v>
      </c>
      <c r="H52" s="53" t="s">
        <v>160</v>
      </c>
      <c r="I52" s="53" t="s">
        <v>159</v>
      </c>
      <c r="J52" s="53" t="s">
        <v>38</v>
      </c>
      <c r="K52" s="53" t="s">
        <v>161</v>
      </c>
      <c r="L52" s="53">
        <v>3</v>
      </c>
      <c r="N52" s="53">
        <v>4</v>
      </c>
      <c r="O52" s="53">
        <v>0.33</v>
      </c>
      <c r="P52" s="53">
        <v>0.3</v>
      </c>
      <c r="Q52" s="84">
        <f t="shared" si="2"/>
        <v>0.315</v>
      </c>
      <c r="R52" s="53">
        <v>17.3</v>
      </c>
      <c r="S52" s="53">
        <v>130</v>
      </c>
      <c r="T52" s="16">
        <f t="shared" si="0"/>
        <v>25</v>
      </c>
      <c r="U52" s="53">
        <v>458</v>
      </c>
      <c r="V52" s="16">
        <f t="shared" si="1"/>
        <v>16</v>
      </c>
      <c r="W52" s="53">
        <v>4</v>
      </c>
      <c r="X52" s="53" t="s">
        <v>46</v>
      </c>
      <c r="Y52" s="53" t="s">
        <v>97</v>
      </c>
      <c r="Z52" s="53" t="s">
        <v>86</v>
      </c>
      <c r="AA52" s="53" t="s">
        <v>55</v>
      </c>
      <c r="AB52" s="53" t="s">
        <v>296</v>
      </c>
      <c r="AV52" s="27"/>
    </row>
    <row r="53" spans="1:48" x14ac:dyDescent="0.15">
      <c r="A53" s="53" t="s">
        <v>59</v>
      </c>
      <c r="B53" s="53" t="s">
        <v>232</v>
      </c>
      <c r="C53" s="71">
        <v>2019</v>
      </c>
      <c r="D53" s="114" t="s">
        <v>292</v>
      </c>
      <c r="E53" s="53" t="s">
        <v>318</v>
      </c>
      <c r="F53" s="53" t="s">
        <v>319</v>
      </c>
      <c r="G53" s="53" t="s">
        <v>36</v>
      </c>
      <c r="H53" s="53" t="s">
        <v>164</v>
      </c>
      <c r="I53" s="53" t="s">
        <v>159</v>
      </c>
      <c r="J53" s="53" t="s">
        <v>38</v>
      </c>
      <c r="K53" s="53" t="s">
        <v>161</v>
      </c>
      <c r="L53" s="53">
        <v>1</v>
      </c>
      <c r="N53" s="53">
        <v>4</v>
      </c>
      <c r="O53" s="53">
        <v>0.45</v>
      </c>
      <c r="P53" s="53">
        <v>0.43</v>
      </c>
      <c r="Q53" s="84">
        <f t="shared" si="2"/>
        <v>0.44</v>
      </c>
      <c r="R53" s="53">
        <v>14.9</v>
      </c>
      <c r="S53" s="53">
        <v>133</v>
      </c>
      <c r="T53" s="16">
        <f t="shared" si="0"/>
        <v>25</v>
      </c>
      <c r="U53" s="53">
        <v>358</v>
      </c>
      <c r="V53" s="16">
        <f t="shared" si="1"/>
        <v>16</v>
      </c>
      <c r="W53" s="53">
        <v>4</v>
      </c>
      <c r="X53" s="53" t="s">
        <v>46</v>
      </c>
      <c r="Y53" s="53" t="s">
        <v>97</v>
      </c>
      <c r="Z53" s="53" t="s">
        <v>86</v>
      </c>
      <c r="AA53" s="53" t="s">
        <v>55</v>
      </c>
      <c r="AB53" s="53" t="s">
        <v>296</v>
      </c>
      <c r="AV53" s="27"/>
    </row>
    <row r="54" spans="1:48" x14ac:dyDescent="0.15">
      <c r="A54" s="53" t="s">
        <v>59</v>
      </c>
      <c r="B54" s="53" t="s">
        <v>232</v>
      </c>
      <c r="C54" s="71">
        <v>2019</v>
      </c>
      <c r="D54" s="114" t="s">
        <v>292</v>
      </c>
      <c r="E54" s="53" t="s">
        <v>318</v>
      </c>
      <c r="F54" s="53" t="s">
        <v>319</v>
      </c>
      <c r="G54" s="53" t="s">
        <v>36</v>
      </c>
      <c r="H54" s="53" t="s">
        <v>164</v>
      </c>
      <c r="I54" s="53" t="s">
        <v>159</v>
      </c>
      <c r="J54" s="53" t="s">
        <v>38</v>
      </c>
      <c r="K54" s="53" t="s">
        <v>161</v>
      </c>
      <c r="L54" s="53">
        <v>2</v>
      </c>
      <c r="N54" s="53">
        <v>4</v>
      </c>
      <c r="O54" s="53">
        <v>0.5</v>
      </c>
      <c r="P54" s="53">
        <v>0.5</v>
      </c>
      <c r="Q54" s="84">
        <f t="shared" si="2"/>
        <v>0.5</v>
      </c>
      <c r="R54" s="53">
        <v>14.9</v>
      </c>
      <c r="S54" s="53">
        <v>130</v>
      </c>
      <c r="T54" s="16">
        <f t="shared" si="0"/>
        <v>25</v>
      </c>
      <c r="U54" s="53">
        <v>358</v>
      </c>
      <c r="V54" s="16">
        <f t="shared" si="1"/>
        <v>16</v>
      </c>
      <c r="W54" s="53">
        <v>4</v>
      </c>
      <c r="X54" s="53" t="s">
        <v>46</v>
      </c>
      <c r="Y54" s="53" t="s">
        <v>97</v>
      </c>
      <c r="Z54" s="53" t="s">
        <v>86</v>
      </c>
      <c r="AA54" s="53" t="s">
        <v>55</v>
      </c>
      <c r="AB54" s="53" t="s">
        <v>296</v>
      </c>
      <c r="AV54" s="27"/>
    </row>
    <row r="55" spans="1:48" x14ac:dyDescent="0.15">
      <c r="A55" s="53" t="s">
        <v>59</v>
      </c>
      <c r="B55" s="53" t="s">
        <v>232</v>
      </c>
      <c r="C55" s="71">
        <v>2019</v>
      </c>
      <c r="D55" s="114" t="s">
        <v>292</v>
      </c>
      <c r="E55" s="53" t="s">
        <v>318</v>
      </c>
      <c r="F55" s="53" t="s">
        <v>319</v>
      </c>
      <c r="G55" s="53" t="s">
        <v>36</v>
      </c>
      <c r="H55" s="53" t="s">
        <v>164</v>
      </c>
      <c r="I55" s="53" t="s">
        <v>159</v>
      </c>
      <c r="J55" s="53" t="s">
        <v>38</v>
      </c>
      <c r="K55" s="53" t="s">
        <v>161</v>
      </c>
      <c r="L55" s="53">
        <v>3</v>
      </c>
      <c r="N55" s="53">
        <v>4</v>
      </c>
      <c r="O55" s="53">
        <v>0.49</v>
      </c>
      <c r="P55" s="53">
        <v>0.45</v>
      </c>
      <c r="Q55" s="84">
        <f t="shared" si="2"/>
        <v>0.47</v>
      </c>
      <c r="R55" s="53">
        <v>14.7</v>
      </c>
      <c r="S55" s="53">
        <v>130</v>
      </c>
      <c r="T55" s="16">
        <f t="shared" si="0"/>
        <v>25</v>
      </c>
      <c r="U55" s="53">
        <v>358</v>
      </c>
      <c r="V55" s="16">
        <f t="shared" si="1"/>
        <v>16</v>
      </c>
      <c r="W55" s="53">
        <v>4</v>
      </c>
      <c r="X55" s="53" t="s">
        <v>46</v>
      </c>
      <c r="Y55" s="53" t="s">
        <v>97</v>
      </c>
      <c r="Z55" s="53" t="s">
        <v>86</v>
      </c>
      <c r="AA55" s="53" t="s">
        <v>55</v>
      </c>
      <c r="AB55" s="53" t="s">
        <v>296</v>
      </c>
      <c r="AV55" s="27"/>
    </row>
    <row r="56" spans="1:48" x14ac:dyDescent="0.15">
      <c r="A56" s="53" t="s">
        <v>59</v>
      </c>
      <c r="B56" s="53" t="s">
        <v>232</v>
      </c>
      <c r="C56" s="71">
        <v>2019</v>
      </c>
      <c r="D56" s="114" t="s">
        <v>292</v>
      </c>
      <c r="E56" s="53" t="s">
        <v>308</v>
      </c>
      <c r="F56" s="53" t="s">
        <v>309</v>
      </c>
      <c r="G56" s="53" t="s">
        <v>36</v>
      </c>
      <c r="H56" s="53" t="s">
        <v>160</v>
      </c>
      <c r="I56" s="53" t="s">
        <v>159</v>
      </c>
      <c r="J56" s="53" t="s">
        <v>38</v>
      </c>
      <c r="K56" s="53" t="s">
        <v>161</v>
      </c>
      <c r="L56" s="53">
        <v>1</v>
      </c>
      <c r="N56" s="53">
        <v>1</v>
      </c>
      <c r="O56" s="53">
        <v>0.47</v>
      </c>
      <c r="P56" s="53">
        <v>0.47</v>
      </c>
      <c r="Q56" s="84">
        <f t="shared" si="2"/>
        <v>0.47</v>
      </c>
      <c r="R56" s="53">
        <v>17</v>
      </c>
      <c r="S56" s="53">
        <v>120</v>
      </c>
      <c r="T56" s="16">
        <f t="shared" si="0"/>
        <v>30</v>
      </c>
      <c r="U56" s="53">
        <v>138</v>
      </c>
      <c r="V56" s="16">
        <f t="shared" si="1"/>
        <v>22</v>
      </c>
      <c r="W56" s="53">
        <v>3</v>
      </c>
      <c r="X56" s="53" t="s">
        <v>46</v>
      </c>
      <c r="Y56" s="53" t="s">
        <v>69</v>
      </c>
      <c r="Z56" s="53" t="s">
        <v>55</v>
      </c>
      <c r="AA56" s="53" t="s">
        <v>78</v>
      </c>
      <c r="AB56" s="53" t="s">
        <v>296</v>
      </c>
      <c r="AV56" s="27"/>
    </row>
    <row r="57" spans="1:48" x14ac:dyDescent="0.15">
      <c r="A57" s="53" t="s">
        <v>59</v>
      </c>
      <c r="B57" s="53" t="s">
        <v>232</v>
      </c>
      <c r="C57" s="71">
        <v>2019</v>
      </c>
      <c r="D57" s="114" t="s">
        <v>292</v>
      </c>
      <c r="E57" s="53" t="s">
        <v>308</v>
      </c>
      <c r="F57" s="53" t="s">
        <v>309</v>
      </c>
      <c r="G57" s="53" t="s">
        <v>36</v>
      </c>
      <c r="H57" s="53" t="s">
        <v>160</v>
      </c>
      <c r="I57" s="53" t="s">
        <v>159</v>
      </c>
      <c r="J57" s="53" t="s">
        <v>38</v>
      </c>
      <c r="K57" s="53" t="s">
        <v>161</v>
      </c>
      <c r="L57" s="53">
        <v>2</v>
      </c>
      <c r="N57" s="53">
        <v>1</v>
      </c>
      <c r="O57" s="53">
        <v>0.65</v>
      </c>
      <c r="P57" s="53">
        <v>0.74</v>
      </c>
      <c r="Q57" s="84">
        <f t="shared" si="2"/>
        <v>0.69500000000000006</v>
      </c>
      <c r="R57" s="53">
        <v>15</v>
      </c>
      <c r="S57" s="53">
        <v>120</v>
      </c>
      <c r="T57" s="16">
        <f t="shared" si="0"/>
        <v>30</v>
      </c>
      <c r="U57" s="53">
        <v>138</v>
      </c>
      <c r="V57" s="16">
        <f t="shared" si="1"/>
        <v>22</v>
      </c>
      <c r="W57" s="53">
        <v>3</v>
      </c>
      <c r="X57" s="53" t="s">
        <v>46</v>
      </c>
      <c r="Y57" s="53" t="s">
        <v>69</v>
      </c>
      <c r="Z57" s="53" t="s">
        <v>55</v>
      </c>
      <c r="AA57" s="53" t="s">
        <v>78</v>
      </c>
      <c r="AB57" s="53" t="s">
        <v>296</v>
      </c>
      <c r="AV57" s="27"/>
    </row>
    <row r="58" spans="1:48" x14ac:dyDescent="0.15">
      <c r="A58" s="53" t="s">
        <v>59</v>
      </c>
      <c r="B58" s="53" t="s">
        <v>232</v>
      </c>
      <c r="C58" s="71">
        <v>2019</v>
      </c>
      <c r="D58" s="114" t="s">
        <v>292</v>
      </c>
      <c r="E58" s="53" t="s">
        <v>308</v>
      </c>
      <c r="F58" s="53" t="s">
        <v>309</v>
      </c>
      <c r="G58" s="53" t="s">
        <v>36</v>
      </c>
      <c r="H58" s="53" t="s">
        <v>160</v>
      </c>
      <c r="I58" s="53" t="s">
        <v>159</v>
      </c>
      <c r="J58" s="53" t="s">
        <v>38</v>
      </c>
      <c r="K58" s="53" t="s">
        <v>161</v>
      </c>
      <c r="L58" s="53">
        <v>3</v>
      </c>
      <c r="N58" s="53">
        <v>1</v>
      </c>
      <c r="O58" s="53">
        <v>0.6</v>
      </c>
      <c r="P58" s="53">
        <v>0.66</v>
      </c>
      <c r="Q58" s="84">
        <f t="shared" si="2"/>
        <v>0.63</v>
      </c>
      <c r="R58" s="53">
        <v>16.2</v>
      </c>
      <c r="S58" s="53">
        <v>125</v>
      </c>
      <c r="T58" s="16">
        <f t="shared" si="0"/>
        <v>27</v>
      </c>
      <c r="U58" s="53">
        <v>138</v>
      </c>
      <c r="V58" s="16">
        <f t="shared" si="1"/>
        <v>22</v>
      </c>
      <c r="W58" s="53">
        <v>3</v>
      </c>
      <c r="X58" s="53" t="s">
        <v>46</v>
      </c>
      <c r="Y58" s="53" t="s">
        <v>69</v>
      </c>
      <c r="Z58" s="53" t="s">
        <v>55</v>
      </c>
      <c r="AA58" s="53" t="s">
        <v>78</v>
      </c>
      <c r="AB58" s="53" t="s">
        <v>296</v>
      </c>
      <c r="AV58" s="27"/>
    </row>
    <row r="59" spans="1:48" x14ac:dyDescent="0.15">
      <c r="A59" s="53" t="s">
        <v>59</v>
      </c>
      <c r="B59" s="53" t="s">
        <v>232</v>
      </c>
      <c r="C59" s="71">
        <v>2019</v>
      </c>
      <c r="D59" s="114" t="s">
        <v>292</v>
      </c>
      <c r="E59" s="53" t="s">
        <v>308</v>
      </c>
      <c r="F59" s="53" t="s">
        <v>309</v>
      </c>
      <c r="G59" s="53" t="s">
        <v>36</v>
      </c>
      <c r="H59" s="53" t="s">
        <v>164</v>
      </c>
      <c r="I59" s="53" t="s">
        <v>159</v>
      </c>
      <c r="J59" s="53" t="s">
        <v>38</v>
      </c>
      <c r="K59" s="53" t="s">
        <v>161</v>
      </c>
      <c r="L59" s="53">
        <v>1</v>
      </c>
      <c r="N59" s="53">
        <v>5</v>
      </c>
      <c r="O59" s="53">
        <v>0.55000000000000004</v>
      </c>
      <c r="P59" s="53">
        <v>0.48</v>
      </c>
      <c r="Q59" s="84">
        <f t="shared" si="2"/>
        <v>0.51500000000000001</v>
      </c>
      <c r="R59" s="53">
        <v>13.2</v>
      </c>
      <c r="S59" s="53">
        <v>86</v>
      </c>
      <c r="T59" s="16">
        <f t="shared" si="0"/>
        <v>36</v>
      </c>
      <c r="U59" s="53">
        <v>321</v>
      </c>
      <c r="V59" s="16">
        <f t="shared" si="1"/>
        <v>16</v>
      </c>
      <c r="W59" s="53">
        <v>8</v>
      </c>
      <c r="X59" s="53" t="s">
        <v>39</v>
      </c>
      <c r="Y59" s="53" t="s">
        <v>69</v>
      </c>
      <c r="Z59" s="53" t="s">
        <v>55</v>
      </c>
      <c r="AA59" s="53" t="s">
        <v>78</v>
      </c>
      <c r="AB59" s="53" t="s">
        <v>296</v>
      </c>
      <c r="AV59" s="27"/>
    </row>
    <row r="60" spans="1:48" x14ac:dyDescent="0.15">
      <c r="A60" s="53" t="s">
        <v>59</v>
      </c>
      <c r="B60" s="53" t="s">
        <v>232</v>
      </c>
      <c r="C60" s="71">
        <v>2019</v>
      </c>
      <c r="D60" s="114" t="s">
        <v>292</v>
      </c>
      <c r="E60" s="53" t="s">
        <v>308</v>
      </c>
      <c r="F60" s="53" t="s">
        <v>309</v>
      </c>
      <c r="G60" s="53" t="s">
        <v>36</v>
      </c>
      <c r="H60" s="53" t="s">
        <v>164</v>
      </c>
      <c r="I60" s="53" t="s">
        <v>159</v>
      </c>
      <c r="J60" s="53" t="s">
        <v>38</v>
      </c>
      <c r="K60" s="53" t="s">
        <v>161</v>
      </c>
      <c r="L60" s="53">
        <v>2</v>
      </c>
      <c r="N60" s="53">
        <v>5</v>
      </c>
      <c r="O60" s="53">
        <v>0.47</v>
      </c>
      <c r="P60" s="53">
        <v>0.45</v>
      </c>
      <c r="Q60" s="84">
        <f t="shared" si="2"/>
        <v>0.45999999999999996</v>
      </c>
      <c r="R60" s="53">
        <v>12.9</v>
      </c>
      <c r="S60" s="53">
        <v>90</v>
      </c>
      <c r="T60" s="16">
        <f t="shared" si="0"/>
        <v>36</v>
      </c>
      <c r="U60" s="53">
        <v>321</v>
      </c>
      <c r="V60" s="16">
        <f t="shared" si="1"/>
        <v>16</v>
      </c>
      <c r="W60" s="53">
        <v>8</v>
      </c>
      <c r="X60" s="53" t="s">
        <v>39</v>
      </c>
      <c r="Y60" s="53" t="s">
        <v>69</v>
      </c>
      <c r="Z60" s="53" t="s">
        <v>55</v>
      </c>
      <c r="AA60" s="53" t="s">
        <v>78</v>
      </c>
      <c r="AB60" s="53" t="s">
        <v>296</v>
      </c>
      <c r="AV60" s="27"/>
    </row>
    <row r="61" spans="1:48" x14ac:dyDescent="0.15">
      <c r="A61" s="53" t="s">
        <v>59</v>
      </c>
      <c r="B61" s="53" t="s">
        <v>232</v>
      </c>
      <c r="C61" s="71">
        <v>2019</v>
      </c>
      <c r="D61" s="114" t="s">
        <v>292</v>
      </c>
      <c r="E61" s="53" t="s">
        <v>308</v>
      </c>
      <c r="F61" s="53" t="s">
        <v>309</v>
      </c>
      <c r="G61" s="53" t="s">
        <v>36</v>
      </c>
      <c r="H61" s="53" t="s">
        <v>164</v>
      </c>
      <c r="I61" s="53" t="s">
        <v>159</v>
      </c>
      <c r="J61" s="53" t="s">
        <v>38</v>
      </c>
      <c r="K61" s="53" t="s">
        <v>161</v>
      </c>
      <c r="L61" s="53">
        <v>3</v>
      </c>
      <c r="N61" s="53">
        <v>5</v>
      </c>
      <c r="O61" s="53">
        <v>0.44</v>
      </c>
      <c r="P61" s="53">
        <v>0.5</v>
      </c>
      <c r="Q61" s="84">
        <f t="shared" si="2"/>
        <v>0.47</v>
      </c>
      <c r="R61" s="53">
        <v>12.8</v>
      </c>
      <c r="S61" s="53">
        <v>94</v>
      </c>
      <c r="T61" s="16">
        <f t="shared" si="0"/>
        <v>36</v>
      </c>
      <c r="U61" s="53">
        <v>321</v>
      </c>
      <c r="V61" s="16">
        <f t="shared" si="1"/>
        <v>16</v>
      </c>
      <c r="W61" s="53">
        <v>8</v>
      </c>
      <c r="X61" s="53" t="s">
        <v>39</v>
      </c>
      <c r="Y61" s="53" t="s">
        <v>69</v>
      </c>
      <c r="Z61" s="53" t="s">
        <v>55</v>
      </c>
      <c r="AA61" s="53" t="s">
        <v>78</v>
      </c>
      <c r="AB61" s="53" t="s">
        <v>296</v>
      </c>
      <c r="AV61" s="27"/>
    </row>
    <row r="62" spans="1:48" x14ac:dyDescent="0.15">
      <c r="C62" s="71"/>
      <c r="D62" s="114"/>
      <c r="Q62" s="84"/>
      <c r="AV62" s="27"/>
    </row>
    <row r="63" spans="1:48" x14ac:dyDescent="0.15">
      <c r="C63" s="71"/>
      <c r="D63" s="114"/>
      <c r="Q63" s="84"/>
      <c r="AV63" s="27"/>
    </row>
    <row r="64" spans="1:48" x14ac:dyDescent="0.15">
      <c r="C64" s="71"/>
      <c r="D64" s="114"/>
      <c r="Q64" s="84"/>
      <c r="AV64" s="27"/>
    </row>
    <row r="65" spans="3:48" x14ac:dyDescent="0.15">
      <c r="C65" s="71"/>
      <c r="D65" s="114"/>
      <c r="Q65" s="84"/>
      <c r="AV65" s="27"/>
    </row>
    <row r="66" spans="3:48" x14ac:dyDescent="0.15">
      <c r="C66" s="71"/>
      <c r="D66" s="114"/>
      <c r="Q66" s="84"/>
      <c r="AV66" s="27"/>
    </row>
    <row r="67" spans="3:48" x14ac:dyDescent="0.15">
      <c r="C67" s="71"/>
      <c r="D67" s="114"/>
      <c r="Q67" s="84"/>
      <c r="AV67" s="27"/>
    </row>
    <row r="68" spans="3:48" x14ac:dyDescent="0.15">
      <c r="C68" s="71"/>
      <c r="D68" s="114"/>
      <c r="Q68" s="84"/>
      <c r="AV68" s="27"/>
    </row>
    <row r="69" spans="3:48" x14ac:dyDescent="0.15">
      <c r="C69" s="71"/>
      <c r="D69" s="114"/>
      <c r="Q69" s="84"/>
      <c r="AV69" s="27"/>
    </row>
    <row r="70" spans="3:48" x14ac:dyDescent="0.15">
      <c r="C70" s="71"/>
      <c r="D70" s="114"/>
      <c r="Q70" s="84"/>
      <c r="AV70" s="27"/>
    </row>
    <row r="71" spans="3:48" x14ac:dyDescent="0.15">
      <c r="C71" s="71"/>
      <c r="D71" s="114"/>
      <c r="Q71" s="84"/>
      <c r="AV71" s="27"/>
    </row>
    <row r="72" spans="3:48" x14ac:dyDescent="0.15">
      <c r="C72" s="71"/>
      <c r="D72" s="114"/>
      <c r="Q72" s="84"/>
      <c r="AV72" s="27"/>
    </row>
    <row r="73" spans="3:48" x14ac:dyDescent="0.15">
      <c r="C73" s="71"/>
      <c r="D73" s="114"/>
      <c r="Q73" s="84"/>
    </row>
    <row r="74" spans="3:48" x14ac:dyDescent="0.15">
      <c r="C74" s="71"/>
      <c r="D74" s="114"/>
      <c r="Q74" s="84"/>
    </row>
    <row r="75" spans="3:48" x14ac:dyDescent="0.15">
      <c r="C75" s="71"/>
      <c r="D75" s="114"/>
      <c r="Q75" s="84"/>
    </row>
    <row r="76" spans="3:48" x14ac:dyDescent="0.15">
      <c r="C76" s="71"/>
      <c r="Q76" s="84"/>
    </row>
    <row r="77" spans="3:48" x14ac:dyDescent="0.15">
      <c r="C77" s="71"/>
      <c r="Q77" s="84"/>
    </row>
    <row r="78" spans="3:48" x14ac:dyDescent="0.15">
      <c r="C78" s="71"/>
      <c r="Q78" s="84"/>
    </row>
    <row r="79" spans="3:48" x14ac:dyDescent="0.15">
      <c r="C79" s="71"/>
      <c r="Q79" s="84"/>
    </row>
    <row r="80" spans="3:48" x14ac:dyDescent="0.15">
      <c r="C80" s="71"/>
      <c r="Q80" s="84"/>
    </row>
    <row r="81" spans="3:22" x14ac:dyDescent="0.15">
      <c r="C81" s="71"/>
      <c r="Q81" s="84"/>
    </row>
    <row r="82" spans="3:22" x14ac:dyDescent="0.15">
      <c r="C82" s="71"/>
      <c r="Q82" s="84"/>
    </row>
    <row r="83" spans="3:22" x14ac:dyDescent="0.15">
      <c r="C83" s="71"/>
      <c r="Q83" s="84"/>
    </row>
    <row r="84" spans="3:22" x14ac:dyDescent="0.15">
      <c r="C84" s="71"/>
      <c r="Q84" s="84"/>
    </row>
    <row r="85" spans="3:22" x14ac:dyDescent="0.15">
      <c r="C85" s="71"/>
      <c r="Q85" s="84"/>
    </row>
    <row r="86" spans="3:22" x14ac:dyDescent="0.15">
      <c r="C86" s="71"/>
      <c r="Q86" s="84"/>
    </row>
    <row r="87" spans="3:22" x14ac:dyDescent="0.15">
      <c r="C87" s="71"/>
      <c r="Q87" s="84"/>
    </row>
    <row r="88" spans="3:22" x14ac:dyDescent="0.15">
      <c r="C88" s="71"/>
      <c r="Q88" s="84"/>
    </row>
    <row r="89" spans="3:22" x14ac:dyDescent="0.15">
      <c r="C89" s="71"/>
      <c r="Q89" s="84"/>
    </row>
    <row r="90" spans="3:22" x14ac:dyDescent="0.15">
      <c r="C90" s="71"/>
      <c r="Q90" s="84"/>
    </row>
    <row r="91" spans="3:22" x14ac:dyDescent="0.15">
      <c r="C91" s="71"/>
      <c r="Q91" s="84"/>
    </row>
    <row r="92" spans="3:22" x14ac:dyDescent="0.15">
      <c r="C92" s="71"/>
    </row>
    <row r="93" spans="3:22" x14ac:dyDescent="0.15">
      <c r="C93" s="71"/>
    </row>
    <row r="94" spans="3:22" x14ac:dyDescent="0.15">
      <c r="Q94" s="16" t="str">
        <f t="shared" ref="Q94:Q145" si="3">IF(OR(O94="",P94=""),"",AVERAGE(O94,P94))</f>
        <v/>
      </c>
      <c r="T94" s="16" t="str">
        <f t="shared" ref="T94:T145" si="4">IF(H94="","",IF(OR(H94="GREEN",H94="GK"),IF(S94&gt;=$AX$2,VLOOKUP(S94,$AX$2:$AY$12,2,1),""),IF(S94&gt;=$AZ$2,VLOOKUP(S94,$AZ$2:$BA$12,2,1),"")))</f>
        <v/>
      </c>
      <c r="V94" s="16" t="str">
        <f t="shared" ref="V94:V145" si="5">IF(J94="","",IF(OR(J94="GREEN",J94="GK"),IF(U94&gt;=$AX$2,VLOOKUP(U94,$AX$2:$AY$12,2,1),""),IF(U94&gt;=$AZ$2,VLOOKUP(U94,$AZ$2:$BA$12,2,1),"")))</f>
        <v/>
      </c>
    </row>
    <row r="95" spans="3:22" x14ac:dyDescent="0.15">
      <c r="Q95" s="16" t="str">
        <f t="shared" si="3"/>
        <v/>
      </c>
      <c r="T95" s="16" t="str">
        <f t="shared" si="4"/>
        <v/>
      </c>
      <c r="V95" s="16" t="str">
        <f t="shared" si="5"/>
        <v/>
      </c>
    </row>
    <row r="96" spans="3:22" x14ac:dyDescent="0.15">
      <c r="Q96" s="16" t="str">
        <f t="shared" si="3"/>
        <v/>
      </c>
      <c r="T96" s="16" t="str">
        <f t="shared" si="4"/>
        <v/>
      </c>
      <c r="V96" s="16" t="str">
        <f t="shared" si="5"/>
        <v/>
      </c>
    </row>
    <row r="97" spans="17:22" x14ac:dyDescent="0.15">
      <c r="Q97" s="16" t="str">
        <f t="shared" si="3"/>
        <v/>
      </c>
      <c r="T97" s="16" t="str">
        <f t="shared" si="4"/>
        <v/>
      </c>
      <c r="V97" s="16" t="str">
        <f t="shared" si="5"/>
        <v/>
      </c>
    </row>
    <row r="98" spans="17:22" x14ac:dyDescent="0.15">
      <c r="Q98" s="16" t="str">
        <f t="shared" si="3"/>
        <v/>
      </c>
      <c r="T98" s="16" t="str">
        <f t="shared" si="4"/>
        <v/>
      </c>
      <c r="V98" s="16" t="str">
        <f t="shared" si="5"/>
        <v/>
      </c>
    </row>
    <row r="99" spans="17:22" x14ac:dyDescent="0.15">
      <c r="Q99" s="16" t="str">
        <f t="shared" si="3"/>
        <v/>
      </c>
      <c r="T99" s="16" t="str">
        <f t="shared" si="4"/>
        <v/>
      </c>
      <c r="V99" s="16" t="str">
        <f t="shared" si="5"/>
        <v/>
      </c>
    </row>
    <row r="100" spans="17:22" x14ac:dyDescent="0.15">
      <c r="Q100" s="16" t="str">
        <f t="shared" si="3"/>
        <v/>
      </c>
      <c r="T100" s="16" t="str">
        <f t="shared" si="4"/>
        <v/>
      </c>
      <c r="V100" s="16" t="str">
        <f t="shared" si="5"/>
        <v/>
      </c>
    </row>
    <row r="101" spans="17:22" x14ac:dyDescent="0.15">
      <c r="Q101" s="16" t="str">
        <f t="shared" si="3"/>
        <v/>
      </c>
      <c r="T101" s="16" t="str">
        <f t="shared" si="4"/>
        <v/>
      </c>
      <c r="V101" s="16" t="str">
        <f t="shared" si="5"/>
        <v/>
      </c>
    </row>
    <row r="102" spans="17:22" x14ac:dyDescent="0.15">
      <c r="Q102" s="16" t="str">
        <f t="shared" si="3"/>
        <v/>
      </c>
      <c r="T102" s="16" t="str">
        <f t="shared" si="4"/>
        <v/>
      </c>
      <c r="V102" s="16" t="str">
        <f t="shared" si="5"/>
        <v/>
      </c>
    </row>
    <row r="103" spans="17:22" x14ac:dyDescent="0.15">
      <c r="Q103" s="16" t="str">
        <f t="shared" si="3"/>
        <v/>
      </c>
      <c r="T103" s="16" t="str">
        <f t="shared" si="4"/>
        <v/>
      </c>
      <c r="V103" s="16" t="str">
        <f t="shared" si="5"/>
        <v/>
      </c>
    </row>
    <row r="104" spans="17:22" x14ac:dyDescent="0.15">
      <c r="Q104" s="16" t="str">
        <f t="shared" si="3"/>
        <v/>
      </c>
      <c r="T104" s="16" t="str">
        <f t="shared" si="4"/>
        <v/>
      </c>
      <c r="V104" s="16" t="str">
        <f t="shared" si="5"/>
        <v/>
      </c>
    </row>
    <row r="105" spans="17:22" x14ac:dyDescent="0.15">
      <c r="Q105" s="16" t="str">
        <f t="shared" si="3"/>
        <v/>
      </c>
      <c r="T105" s="16" t="str">
        <f t="shared" si="4"/>
        <v/>
      </c>
      <c r="V105" s="16" t="str">
        <f t="shared" si="5"/>
        <v/>
      </c>
    </row>
    <row r="106" spans="17:22" x14ac:dyDescent="0.15">
      <c r="Q106" s="16" t="str">
        <f t="shared" si="3"/>
        <v/>
      </c>
      <c r="T106" s="16" t="str">
        <f t="shared" si="4"/>
        <v/>
      </c>
      <c r="V106" s="16" t="str">
        <f t="shared" si="5"/>
        <v/>
      </c>
    </row>
    <row r="107" spans="17:22" x14ac:dyDescent="0.15">
      <c r="Q107" s="16" t="str">
        <f t="shared" si="3"/>
        <v/>
      </c>
      <c r="T107" s="16" t="str">
        <f t="shared" si="4"/>
        <v/>
      </c>
      <c r="V107" s="16" t="str">
        <f t="shared" si="5"/>
        <v/>
      </c>
    </row>
    <row r="108" spans="17:22" x14ac:dyDescent="0.15">
      <c r="Q108" s="16" t="str">
        <f t="shared" si="3"/>
        <v/>
      </c>
      <c r="T108" s="16" t="str">
        <f t="shared" si="4"/>
        <v/>
      </c>
      <c r="V108" s="16" t="str">
        <f t="shared" si="5"/>
        <v/>
      </c>
    </row>
    <row r="109" spans="17:22" x14ac:dyDescent="0.15">
      <c r="Q109" s="16" t="str">
        <f t="shared" si="3"/>
        <v/>
      </c>
      <c r="T109" s="16" t="str">
        <f t="shared" si="4"/>
        <v/>
      </c>
      <c r="V109" s="16" t="str">
        <f t="shared" si="5"/>
        <v/>
      </c>
    </row>
    <row r="110" spans="17:22" x14ac:dyDescent="0.15">
      <c r="Q110" s="16" t="str">
        <f t="shared" si="3"/>
        <v/>
      </c>
      <c r="T110" s="16" t="str">
        <f t="shared" si="4"/>
        <v/>
      </c>
      <c r="V110" s="16" t="str">
        <f t="shared" si="5"/>
        <v/>
      </c>
    </row>
    <row r="111" spans="17:22" x14ac:dyDescent="0.15">
      <c r="Q111" s="16" t="str">
        <f t="shared" si="3"/>
        <v/>
      </c>
      <c r="T111" s="16" t="str">
        <f t="shared" si="4"/>
        <v/>
      </c>
      <c r="V111" s="16" t="str">
        <f t="shared" si="5"/>
        <v/>
      </c>
    </row>
    <row r="112" spans="17:22" x14ac:dyDescent="0.15">
      <c r="Q112" s="16" t="str">
        <f t="shared" si="3"/>
        <v/>
      </c>
      <c r="T112" s="16" t="str">
        <f t="shared" si="4"/>
        <v/>
      </c>
      <c r="V112" s="16" t="str">
        <f t="shared" si="5"/>
        <v/>
      </c>
    </row>
    <row r="113" spans="17:22" x14ac:dyDescent="0.15">
      <c r="Q113" s="16" t="str">
        <f t="shared" si="3"/>
        <v/>
      </c>
      <c r="T113" s="16" t="str">
        <f t="shared" si="4"/>
        <v/>
      </c>
      <c r="V113" s="16" t="str">
        <f t="shared" si="5"/>
        <v/>
      </c>
    </row>
    <row r="114" spans="17:22" x14ac:dyDescent="0.15">
      <c r="Q114" s="16" t="str">
        <f t="shared" si="3"/>
        <v/>
      </c>
      <c r="T114" s="16" t="str">
        <f t="shared" si="4"/>
        <v/>
      </c>
      <c r="V114" s="16" t="str">
        <f t="shared" si="5"/>
        <v/>
      </c>
    </row>
    <row r="115" spans="17:22" x14ac:dyDescent="0.15">
      <c r="Q115" s="16" t="str">
        <f t="shared" si="3"/>
        <v/>
      </c>
      <c r="T115" s="16" t="str">
        <f t="shared" si="4"/>
        <v/>
      </c>
      <c r="V115" s="16" t="str">
        <f t="shared" si="5"/>
        <v/>
      </c>
    </row>
    <row r="116" spans="17:22" x14ac:dyDescent="0.15">
      <c r="Q116" s="16" t="str">
        <f t="shared" si="3"/>
        <v/>
      </c>
      <c r="T116" s="16" t="str">
        <f t="shared" si="4"/>
        <v/>
      </c>
      <c r="V116" s="16" t="str">
        <f t="shared" si="5"/>
        <v/>
      </c>
    </row>
    <row r="117" spans="17:22" x14ac:dyDescent="0.15">
      <c r="Q117" s="16" t="str">
        <f t="shared" si="3"/>
        <v/>
      </c>
      <c r="T117" s="16" t="str">
        <f t="shared" si="4"/>
        <v/>
      </c>
      <c r="V117" s="16" t="str">
        <f t="shared" si="5"/>
        <v/>
      </c>
    </row>
    <row r="118" spans="17:22" x14ac:dyDescent="0.15">
      <c r="Q118" s="16" t="str">
        <f t="shared" si="3"/>
        <v/>
      </c>
      <c r="T118" s="16" t="str">
        <f t="shared" si="4"/>
        <v/>
      </c>
      <c r="V118" s="16" t="str">
        <f t="shared" si="5"/>
        <v/>
      </c>
    </row>
    <row r="119" spans="17:22" x14ac:dyDescent="0.15">
      <c r="Q119" s="16" t="str">
        <f t="shared" si="3"/>
        <v/>
      </c>
      <c r="T119" s="16" t="str">
        <f t="shared" si="4"/>
        <v/>
      </c>
      <c r="V119" s="16" t="str">
        <f t="shared" si="5"/>
        <v/>
      </c>
    </row>
    <row r="120" spans="17:22" x14ac:dyDescent="0.15">
      <c r="Q120" s="16" t="str">
        <f t="shared" si="3"/>
        <v/>
      </c>
      <c r="T120" s="16" t="str">
        <f t="shared" si="4"/>
        <v/>
      </c>
      <c r="V120" s="16" t="str">
        <f t="shared" si="5"/>
        <v/>
      </c>
    </row>
    <row r="121" spans="17:22" x14ac:dyDescent="0.15">
      <c r="Q121" s="16" t="str">
        <f t="shared" si="3"/>
        <v/>
      </c>
      <c r="T121" s="16" t="str">
        <f t="shared" si="4"/>
        <v/>
      </c>
      <c r="V121" s="16" t="str">
        <f t="shared" si="5"/>
        <v/>
      </c>
    </row>
    <row r="122" spans="17:22" x14ac:dyDescent="0.15">
      <c r="Q122" s="16" t="str">
        <f t="shared" si="3"/>
        <v/>
      </c>
      <c r="T122" s="16" t="str">
        <f t="shared" si="4"/>
        <v/>
      </c>
      <c r="V122" s="16" t="str">
        <f t="shared" si="5"/>
        <v/>
      </c>
    </row>
    <row r="123" spans="17:22" x14ac:dyDescent="0.15">
      <c r="Q123" s="16" t="str">
        <f t="shared" si="3"/>
        <v/>
      </c>
      <c r="T123" s="16" t="str">
        <f t="shared" si="4"/>
        <v/>
      </c>
      <c r="V123" s="16" t="str">
        <f t="shared" si="5"/>
        <v/>
      </c>
    </row>
    <row r="124" spans="17:22" x14ac:dyDescent="0.15">
      <c r="Q124" s="16" t="str">
        <f t="shared" si="3"/>
        <v/>
      </c>
      <c r="T124" s="16" t="str">
        <f t="shared" si="4"/>
        <v/>
      </c>
      <c r="V124" s="16" t="str">
        <f t="shared" si="5"/>
        <v/>
      </c>
    </row>
    <row r="125" spans="17:22" x14ac:dyDescent="0.15">
      <c r="Q125" s="16" t="str">
        <f t="shared" si="3"/>
        <v/>
      </c>
      <c r="T125" s="16" t="str">
        <f t="shared" si="4"/>
        <v/>
      </c>
      <c r="V125" s="16" t="str">
        <f t="shared" si="5"/>
        <v/>
      </c>
    </row>
    <row r="126" spans="17:22" x14ac:dyDescent="0.15">
      <c r="Q126" s="16" t="str">
        <f t="shared" si="3"/>
        <v/>
      </c>
      <c r="T126" s="16" t="str">
        <f t="shared" si="4"/>
        <v/>
      </c>
      <c r="V126" s="16" t="str">
        <f t="shared" si="5"/>
        <v/>
      </c>
    </row>
    <row r="127" spans="17:22" x14ac:dyDescent="0.15">
      <c r="Q127" s="16" t="str">
        <f t="shared" si="3"/>
        <v/>
      </c>
      <c r="T127" s="16" t="str">
        <f t="shared" si="4"/>
        <v/>
      </c>
      <c r="V127" s="16" t="str">
        <f t="shared" si="5"/>
        <v/>
      </c>
    </row>
    <row r="128" spans="17:22" x14ac:dyDescent="0.15">
      <c r="Q128" s="16" t="str">
        <f t="shared" si="3"/>
        <v/>
      </c>
      <c r="T128" s="16" t="str">
        <f t="shared" si="4"/>
        <v/>
      </c>
      <c r="V128" s="16" t="str">
        <f t="shared" si="5"/>
        <v/>
      </c>
    </row>
    <row r="129" spans="17:22" x14ac:dyDescent="0.15">
      <c r="Q129" s="16" t="str">
        <f t="shared" si="3"/>
        <v/>
      </c>
      <c r="T129" s="16" t="str">
        <f t="shared" si="4"/>
        <v/>
      </c>
      <c r="V129" s="16" t="str">
        <f t="shared" si="5"/>
        <v/>
      </c>
    </row>
    <row r="130" spans="17:22" x14ac:dyDescent="0.15">
      <c r="Q130" s="16" t="str">
        <f t="shared" si="3"/>
        <v/>
      </c>
      <c r="T130" s="16" t="str">
        <f t="shared" si="4"/>
        <v/>
      </c>
      <c r="V130" s="16" t="str">
        <f t="shared" si="5"/>
        <v/>
      </c>
    </row>
    <row r="131" spans="17:22" x14ac:dyDescent="0.15">
      <c r="Q131" s="16" t="str">
        <f t="shared" si="3"/>
        <v/>
      </c>
      <c r="T131" s="16" t="str">
        <f t="shared" si="4"/>
        <v/>
      </c>
      <c r="V131" s="16" t="str">
        <f t="shared" si="5"/>
        <v/>
      </c>
    </row>
    <row r="132" spans="17:22" x14ac:dyDescent="0.15">
      <c r="Q132" s="16" t="str">
        <f t="shared" si="3"/>
        <v/>
      </c>
      <c r="T132" s="16" t="str">
        <f t="shared" si="4"/>
        <v/>
      </c>
      <c r="V132" s="16" t="str">
        <f t="shared" si="5"/>
        <v/>
      </c>
    </row>
    <row r="133" spans="17:22" x14ac:dyDescent="0.15">
      <c r="Q133" s="16" t="str">
        <f t="shared" si="3"/>
        <v/>
      </c>
      <c r="T133" s="16" t="str">
        <f t="shared" si="4"/>
        <v/>
      </c>
      <c r="V133" s="16" t="str">
        <f t="shared" si="5"/>
        <v/>
      </c>
    </row>
    <row r="134" spans="17:22" x14ac:dyDescent="0.15">
      <c r="Q134" s="16" t="str">
        <f t="shared" si="3"/>
        <v/>
      </c>
      <c r="T134" s="16" t="str">
        <f t="shared" si="4"/>
        <v/>
      </c>
      <c r="V134" s="16" t="str">
        <f t="shared" si="5"/>
        <v/>
      </c>
    </row>
    <row r="135" spans="17:22" x14ac:dyDescent="0.15">
      <c r="Q135" s="16" t="str">
        <f t="shared" si="3"/>
        <v/>
      </c>
      <c r="T135" s="16" t="str">
        <f t="shared" si="4"/>
        <v/>
      </c>
      <c r="V135" s="16" t="str">
        <f t="shared" si="5"/>
        <v/>
      </c>
    </row>
    <row r="136" spans="17:22" x14ac:dyDescent="0.15">
      <c r="Q136" s="16" t="str">
        <f t="shared" si="3"/>
        <v/>
      </c>
      <c r="T136" s="16" t="str">
        <f t="shared" si="4"/>
        <v/>
      </c>
      <c r="V136" s="16" t="str">
        <f t="shared" si="5"/>
        <v/>
      </c>
    </row>
    <row r="137" spans="17:22" x14ac:dyDescent="0.15">
      <c r="Q137" s="16" t="str">
        <f t="shared" si="3"/>
        <v/>
      </c>
      <c r="T137" s="16" t="str">
        <f t="shared" si="4"/>
        <v/>
      </c>
      <c r="V137" s="16" t="str">
        <f t="shared" si="5"/>
        <v/>
      </c>
    </row>
    <row r="138" spans="17:22" x14ac:dyDescent="0.15">
      <c r="Q138" s="16" t="str">
        <f t="shared" si="3"/>
        <v/>
      </c>
      <c r="T138" s="16" t="str">
        <f t="shared" si="4"/>
        <v/>
      </c>
      <c r="V138" s="16" t="str">
        <f t="shared" si="5"/>
        <v/>
      </c>
    </row>
    <row r="139" spans="17:22" x14ac:dyDescent="0.15">
      <c r="Q139" s="16" t="str">
        <f t="shared" si="3"/>
        <v/>
      </c>
      <c r="T139" s="16" t="str">
        <f t="shared" si="4"/>
        <v/>
      </c>
      <c r="V139" s="16" t="str">
        <f t="shared" si="5"/>
        <v/>
      </c>
    </row>
    <row r="140" spans="17:22" x14ac:dyDescent="0.15">
      <c r="Q140" s="16" t="str">
        <f t="shared" si="3"/>
        <v/>
      </c>
      <c r="T140" s="16" t="str">
        <f t="shared" si="4"/>
        <v/>
      </c>
      <c r="V140" s="16" t="str">
        <f t="shared" si="5"/>
        <v/>
      </c>
    </row>
    <row r="141" spans="17:22" x14ac:dyDescent="0.15">
      <c r="Q141" s="16" t="str">
        <f t="shared" si="3"/>
        <v/>
      </c>
      <c r="T141" s="16" t="str">
        <f t="shared" si="4"/>
        <v/>
      </c>
      <c r="V141" s="16" t="str">
        <f t="shared" si="5"/>
        <v/>
      </c>
    </row>
    <row r="142" spans="17:22" x14ac:dyDescent="0.15">
      <c r="Q142" s="16" t="str">
        <f t="shared" si="3"/>
        <v/>
      </c>
      <c r="T142" s="16" t="str">
        <f t="shared" si="4"/>
        <v/>
      </c>
      <c r="V142" s="16" t="str">
        <f t="shared" si="5"/>
        <v/>
      </c>
    </row>
    <row r="143" spans="17:22" x14ac:dyDescent="0.15">
      <c r="Q143" s="16" t="str">
        <f t="shared" si="3"/>
        <v/>
      </c>
      <c r="T143" s="16" t="str">
        <f t="shared" si="4"/>
        <v/>
      </c>
      <c r="V143" s="16" t="str">
        <f t="shared" si="5"/>
        <v/>
      </c>
    </row>
    <row r="144" spans="17:22" x14ac:dyDescent="0.15">
      <c r="Q144" s="16" t="str">
        <f t="shared" si="3"/>
        <v/>
      </c>
      <c r="T144" s="16" t="str">
        <f t="shared" si="4"/>
        <v/>
      </c>
      <c r="V144" s="16" t="str">
        <f t="shared" si="5"/>
        <v/>
      </c>
    </row>
    <row r="145" spans="17:22" x14ac:dyDescent="0.15">
      <c r="Q145" s="16" t="str">
        <f t="shared" si="3"/>
        <v/>
      </c>
      <c r="T145" s="16" t="str">
        <f t="shared" si="4"/>
        <v/>
      </c>
      <c r="V145" s="16" t="str">
        <f t="shared" si="5"/>
        <v/>
      </c>
    </row>
  </sheetData>
  <autoFilter ref="A1:BA145" xr:uid="{00000000-0009-0000-0000-000000000000}"/>
  <phoneticPr fontId="3"/>
  <dataValidations count="19">
    <dataValidation type="list" allowBlank="1" showInputMessage="1" showErrorMessage="1" sqref="K2:K427" xr:uid="{003EE355-F67D-4088-BE1F-6CE9624BA0B9}">
      <formula1>$AR$2:$AR$27</formula1>
    </dataValidation>
    <dataValidation type="list" allowBlank="1" showInputMessage="1" showErrorMessage="1" sqref="E2:E485" xr:uid="{3837C1AE-B687-4DC7-9497-3E34DC042A56}">
      <formula1>$AG$2:$AG$11</formula1>
    </dataValidation>
    <dataValidation type="list" allowBlank="1" showInputMessage="1" showErrorMessage="1" sqref="H2:H485" xr:uid="{2A6D5560-996C-4F07-AC9D-2F0EB194DA62}">
      <formula1>$AL$2:$AL$8</formula1>
    </dataValidation>
    <dataValidation type="decimal" allowBlank="1" showInputMessage="1" showErrorMessage="1" error="硬度を正しく入力して下さい。" sqref="O2:P485" xr:uid="{0EC586E1-EA82-4A67-A498-8FC366E72726}">
      <formula1>0</formula1>
      <formula2>7</formula2>
    </dataValidation>
    <dataValidation type="list" allowBlank="1" showInputMessage="1" showErrorMessage="1" sqref="F2:F1439" xr:uid="{48872D11-BEF2-4100-BA89-DE31A0CF17AF}">
      <formula1>$AH$2:$AH$11</formula1>
    </dataValidation>
    <dataValidation type="list" allowBlank="1" showInputMessage="1" showErrorMessage="1" sqref="Y2:AA576" xr:uid="{0118D021-AD22-43A5-AF49-8219D4F6AF19}">
      <formula1>$AV$2:$AV$38</formula1>
    </dataValidation>
    <dataValidation type="list" allowBlank="1" showInputMessage="1" showErrorMessage="1" sqref="J2:J72" xr:uid="{0B69AEDC-E641-4104-9981-8CA34B9FA812}">
      <formula1>$AP$2:$AP$38</formula1>
    </dataValidation>
    <dataValidation type="list" allowBlank="1" showInputMessage="1" showErrorMessage="1" sqref="WVS983027:WVS983092 K65523:K65588 JG65523:JG65588 TC65523:TC65588 ACY65523:ACY65588 AMU65523:AMU65588 AWQ65523:AWQ65588 BGM65523:BGM65588 BQI65523:BQI65588 CAE65523:CAE65588 CKA65523:CKA65588 CTW65523:CTW65588 DDS65523:DDS65588 DNO65523:DNO65588 DXK65523:DXK65588 EHG65523:EHG65588 ERC65523:ERC65588 FAY65523:FAY65588 FKU65523:FKU65588 FUQ65523:FUQ65588 GEM65523:GEM65588 GOI65523:GOI65588 GYE65523:GYE65588 HIA65523:HIA65588 HRW65523:HRW65588 IBS65523:IBS65588 ILO65523:ILO65588 IVK65523:IVK65588 JFG65523:JFG65588 JPC65523:JPC65588 JYY65523:JYY65588 KIU65523:KIU65588 KSQ65523:KSQ65588 LCM65523:LCM65588 LMI65523:LMI65588 LWE65523:LWE65588 MGA65523:MGA65588 MPW65523:MPW65588 MZS65523:MZS65588 NJO65523:NJO65588 NTK65523:NTK65588 ODG65523:ODG65588 ONC65523:ONC65588 OWY65523:OWY65588 PGU65523:PGU65588 PQQ65523:PQQ65588 QAM65523:QAM65588 QKI65523:QKI65588 QUE65523:QUE65588 REA65523:REA65588 RNW65523:RNW65588 RXS65523:RXS65588 SHO65523:SHO65588 SRK65523:SRK65588 TBG65523:TBG65588 TLC65523:TLC65588 TUY65523:TUY65588 UEU65523:UEU65588 UOQ65523:UOQ65588 UYM65523:UYM65588 VII65523:VII65588 VSE65523:VSE65588 WCA65523:WCA65588 WLW65523:WLW65588 WVS65523:WVS65588 K131059:K131124 JG131059:JG131124 TC131059:TC131124 ACY131059:ACY131124 AMU131059:AMU131124 AWQ131059:AWQ131124 BGM131059:BGM131124 BQI131059:BQI131124 CAE131059:CAE131124 CKA131059:CKA131124 CTW131059:CTW131124 DDS131059:DDS131124 DNO131059:DNO131124 DXK131059:DXK131124 EHG131059:EHG131124 ERC131059:ERC131124 FAY131059:FAY131124 FKU131059:FKU131124 FUQ131059:FUQ131124 GEM131059:GEM131124 GOI131059:GOI131124 GYE131059:GYE131124 HIA131059:HIA131124 HRW131059:HRW131124 IBS131059:IBS131124 ILO131059:ILO131124 IVK131059:IVK131124 JFG131059:JFG131124 JPC131059:JPC131124 JYY131059:JYY131124 KIU131059:KIU131124 KSQ131059:KSQ131124 LCM131059:LCM131124 LMI131059:LMI131124 LWE131059:LWE131124 MGA131059:MGA131124 MPW131059:MPW131124 MZS131059:MZS131124 NJO131059:NJO131124 NTK131059:NTK131124 ODG131059:ODG131124 ONC131059:ONC131124 OWY131059:OWY131124 PGU131059:PGU131124 PQQ131059:PQQ131124 QAM131059:QAM131124 QKI131059:QKI131124 QUE131059:QUE131124 REA131059:REA131124 RNW131059:RNW131124 RXS131059:RXS131124 SHO131059:SHO131124 SRK131059:SRK131124 TBG131059:TBG131124 TLC131059:TLC131124 TUY131059:TUY131124 UEU131059:UEU131124 UOQ131059:UOQ131124 UYM131059:UYM131124 VII131059:VII131124 VSE131059:VSE131124 WCA131059:WCA131124 WLW131059:WLW131124 WVS131059:WVS131124 K196595:K196660 JG196595:JG196660 TC196595:TC196660 ACY196595:ACY196660 AMU196595:AMU196660 AWQ196595:AWQ196660 BGM196595:BGM196660 BQI196595:BQI196660 CAE196595:CAE196660 CKA196595:CKA196660 CTW196595:CTW196660 DDS196595:DDS196660 DNO196595:DNO196660 DXK196595:DXK196660 EHG196595:EHG196660 ERC196595:ERC196660 FAY196595:FAY196660 FKU196595:FKU196660 FUQ196595:FUQ196660 GEM196595:GEM196660 GOI196595:GOI196660 GYE196595:GYE196660 HIA196595:HIA196660 HRW196595:HRW196660 IBS196595:IBS196660 ILO196595:ILO196660 IVK196595:IVK196660 JFG196595:JFG196660 JPC196595:JPC196660 JYY196595:JYY196660 KIU196595:KIU196660 KSQ196595:KSQ196660 LCM196595:LCM196660 LMI196595:LMI196660 LWE196595:LWE196660 MGA196595:MGA196660 MPW196595:MPW196660 MZS196595:MZS196660 NJO196595:NJO196660 NTK196595:NTK196660 ODG196595:ODG196660 ONC196595:ONC196660 OWY196595:OWY196660 PGU196595:PGU196660 PQQ196595:PQQ196660 QAM196595:QAM196660 QKI196595:QKI196660 QUE196595:QUE196660 REA196595:REA196660 RNW196595:RNW196660 RXS196595:RXS196660 SHO196595:SHO196660 SRK196595:SRK196660 TBG196595:TBG196660 TLC196595:TLC196660 TUY196595:TUY196660 UEU196595:UEU196660 UOQ196595:UOQ196660 UYM196595:UYM196660 VII196595:VII196660 VSE196595:VSE196660 WCA196595:WCA196660 WLW196595:WLW196660 WVS196595:WVS196660 K262131:K262196 JG262131:JG262196 TC262131:TC262196 ACY262131:ACY262196 AMU262131:AMU262196 AWQ262131:AWQ262196 BGM262131:BGM262196 BQI262131:BQI262196 CAE262131:CAE262196 CKA262131:CKA262196 CTW262131:CTW262196 DDS262131:DDS262196 DNO262131:DNO262196 DXK262131:DXK262196 EHG262131:EHG262196 ERC262131:ERC262196 FAY262131:FAY262196 FKU262131:FKU262196 FUQ262131:FUQ262196 GEM262131:GEM262196 GOI262131:GOI262196 GYE262131:GYE262196 HIA262131:HIA262196 HRW262131:HRW262196 IBS262131:IBS262196 ILO262131:ILO262196 IVK262131:IVK262196 JFG262131:JFG262196 JPC262131:JPC262196 JYY262131:JYY262196 KIU262131:KIU262196 KSQ262131:KSQ262196 LCM262131:LCM262196 LMI262131:LMI262196 LWE262131:LWE262196 MGA262131:MGA262196 MPW262131:MPW262196 MZS262131:MZS262196 NJO262131:NJO262196 NTK262131:NTK262196 ODG262131:ODG262196 ONC262131:ONC262196 OWY262131:OWY262196 PGU262131:PGU262196 PQQ262131:PQQ262196 QAM262131:QAM262196 QKI262131:QKI262196 QUE262131:QUE262196 REA262131:REA262196 RNW262131:RNW262196 RXS262131:RXS262196 SHO262131:SHO262196 SRK262131:SRK262196 TBG262131:TBG262196 TLC262131:TLC262196 TUY262131:TUY262196 UEU262131:UEU262196 UOQ262131:UOQ262196 UYM262131:UYM262196 VII262131:VII262196 VSE262131:VSE262196 WCA262131:WCA262196 WLW262131:WLW262196 WVS262131:WVS262196 K327667:K327732 JG327667:JG327732 TC327667:TC327732 ACY327667:ACY327732 AMU327667:AMU327732 AWQ327667:AWQ327732 BGM327667:BGM327732 BQI327667:BQI327732 CAE327667:CAE327732 CKA327667:CKA327732 CTW327667:CTW327732 DDS327667:DDS327732 DNO327667:DNO327732 DXK327667:DXK327732 EHG327667:EHG327732 ERC327667:ERC327732 FAY327667:FAY327732 FKU327667:FKU327732 FUQ327667:FUQ327732 GEM327667:GEM327732 GOI327667:GOI327732 GYE327667:GYE327732 HIA327667:HIA327732 HRW327667:HRW327732 IBS327667:IBS327732 ILO327667:ILO327732 IVK327667:IVK327732 JFG327667:JFG327732 JPC327667:JPC327732 JYY327667:JYY327732 KIU327667:KIU327732 KSQ327667:KSQ327732 LCM327667:LCM327732 LMI327667:LMI327732 LWE327667:LWE327732 MGA327667:MGA327732 MPW327667:MPW327732 MZS327667:MZS327732 NJO327667:NJO327732 NTK327667:NTK327732 ODG327667:ODG327732 ONC327667:ONC327732 OWY327667:OWY327732 PGU327667:PGU327732 PQQ327667:PQQ327732 QAM327667:QAM327732 QKI327667:QKI327732 QUE327667:QUE327732 REA327667:REA327732 RNW327667:RNW327732 RXS327667:RXS327732 SHO327667:SHO327732 SRK327667:SRK327732 TBG327667:TBG327732 TLC327667:TLC327732 TUY327667:TUY327732 UEU327667:UEU327732 UOQ327667:UOQ327732 UYM327667:UYM327732 VII327667:VII327732 VSE327667:VSE327732 WCA327667:WCA327732 WLW327667:WLW327732 WVS327667:WVS327732 K393203:K393268 JG393203:JG393268 TC393203:TC393268 ACY393203:ACY393268 AMU393203:AMU393268 AWQ393203:AWQ393268 BGM393203:BGM393268 BQI393203:BQI393268 CAE393203:CAE393268 CKA393203:CKA393268 CTW393203:CTW393268 DDS393203:DDS393268 DNO393203:DNO393268 DXK393203:DXK393268 EHG393203:EHG393268 ERC393203:ERC393268 FAY393203:FAY393268 FKU393203:FKU393268 FUQ393203:FUQ393268 GEM393203:GEM393268 GOI393203:GOI393268 GYE393203:GYE393268 HIA393203:HIA393268 HRW393203:HRW393268 IBS393203:IBS393268 ILO393203:ILO393268 IVK393203:IVK393268 JFG393203:JFG393268 JPC393203:JPC393268 JYY393203:JYY393268 KIU393203:KIU393268 KSQ393203:KSQ393268 LCM393203:LCM393268 LMI393203:LMI393268 LWE393203:LWE393268 MGA393203:MGA393268 MPW393203:MPW393268 MZS393203:MZS393268 NJO393203:NJO393268 NTK393203:NTK393268 ODG393203:ODG393268 ONC393203:ONC393268 OWY393203:OWY393268 PGU393203:PGU393268 PQQ393203:PQQ393268 QAM393203:QAM393268 QKI393203:QKI393268 QUE393203:QUE393268 REA393203:REA393268 RNW393203:RNW393268 RXS393203:RXS393268 SHO393203:SHO393268 SRK393203:SRK393268 TBG393203:TBG393268 TLC393203:TLC393268 TUY393203:TUY393268 UEU393203:UEU393268 UOQ393203:UOQ393268 UYM393203:UYM393268 VII393203:VII393268 VSE393203:VSE393268 WCA393203:WCA393268 WLW393203:WLW393268 WVS393203:WVS393268 K458739:K458804 JG458739:JG458804 TC458739:TC458804 ACY458739:ACY458804 AMU458739:AMU458804 AWQ458739:AWQ458804 BGM458739:BGM458804 BQI458739:BQI458804 CAE458739:CAE458804 CKA458739:CKA458804 CTW458739:CTW458804 DDS458739:DDS458804 DNO458739:DNO458804 DXK458739:DXK458804 EHG458739:EHG458804 ERC458739:ERC458804 FAY458739:FAY458804 FKU458739:FKU458804 FUQ458739:FUQ458804 GEM458739:GEM458804 GOI458739:GOI458804 GYE458739:GYE458804 HIA458739:HIA458804 HRW458739:HRW458804 IBS458739:IBS458804 ILO458739:ILO458804 IVK458739:IVK458804 JFG458739:JFG458804 JPC458739:JPC458804 JYY458739:JYY458804 KIU458739:KIU458804 KSQ458739:KSQ458804 LCM458739:LCM458804 LMI458739:LMI458804 LWE458739:LWE458804 MGA458739:MGA458804 MPW458739:MPW458804 MZS458739:MZS458804 NJO458739:NJO458804 NTK458739:NTK458804 ODG458739:ODG458804 ONC458739:ONC458804 OWY458739:OWY458804 PGU458739:PGU458804 PQQ458739:PQQ458804 QAM458739:QAM458804 QKI458739:QKI458804 QUE458739:QUE458804 REA458739:REA458804 RNW458739:RNW458804 RXS458739:RXS458804 SHO458739:SHO458804 SRK458739:SRK458804 TBG458739:TBG458804 TLC458739:TLC458804 TUY458739:TUY458804 UEU458739:UEU458804 UOQ458739:UOQ458804 UYM458739:UYM458804 VII458739:VII458804 VSE458739:VSE458804 WCA458739:WCA458804 WLW458739:WLW458804 WVS458739:WVS458804 K524275:K524340 JG524275:JG524340 TC524275:TC524340 ACY524275:ACY524340 AMU524275:AMU524340 AWQ524275:AWQ524340 BGM524275:BGM524340 BQI524275:BQI524340 CAE524275:CAE524340 CKA524275:CKA524340 CTW524275:CTW524340 DDS524275:DDS524340 DNO524275:DNO524340 DXK524275:DXK524340 EHG524275:EHG524340 ERC524275:ERC524340 FAY524275:FAY524340 FKU524275:FKU524340 FUQ524275:FUQ524340 GEM524275:GEM524340 GOI524275:GOI524340 GYE524275:GYE524340 HIA524275:HIA524340 HRW524275:HRW524340 IBS524275:IBS524340 ILO524275:ILO524340 IVK524275:IVK524340 JFG524275:JFG524340 JPC524275:JPC524340 JYY524275:JYY524340 KIU524275:KIU524340 KSQ524275:KSQ524340 LCM524275:LCM524340 LMI524275:LMI524340 LWE524275:LWE524340 MGA524275:MGA524340 MPW524275:MPW524340 MZS524275:MZS524340 NJO524275:NJO524340 NTK524275:NTK524340 ODG524275:ODG524340 ONC524275:ONC524340 OWY524275:OWY524340 PGU524275:PGU524340 PQQ524275:PQQ524340 QAM524275:QAM524340 QKI524275:QKI524340 QUE524275:QUE524340 REA524275:REA524340 RNW524275:RNW524340 RXS524275:RXS524340 SHO524275:SHO524340 SRK524275:SRK524340 TBG524275:TBG524340 TLC524275:TLC524340 TUY524275:TUY524340 UEU524275:UEU524340 UOQ524275:UOQ524340 UYM524275:UYM524340 VII524275:VII524340 VSE524275:VSE524340 WCA524275:WCA524340 WLW524275:WLW524340 WVS524275:WVS524340 K589811:K589876 JG589811:JG589876 TC589811:TC589876 ACY589811:ACY589876 AMU589811:AMU589876 AWQ589811:AWQ589876 BGM589811:BGM589876 BQI589811:BQI589876 CAE589811:CAE589876 CKA589811:CKA589876 CTW589811:CTW589876 DDS589811:DDS589876 DNO589811:DNO589876 DXK589811:DXK589876 EHG589811:EHG589876 ERC589811:ERC589876 FAY589811:FAY589876 FKU589811:FKU589876 FUQ589811:FUQ589876 GEM589811:GEM589876 GOI589811:GOI589876 GYE589811:GYE589876 HIA589811:HIA589876 HRW589811:HRW589876 IBS589811:IBS589876 ILO589811:ILO589876 IVK589811:IVK589876 JFG589811:JFG589876 JPC589811:JPC589876 JYY589811:JYY589876 KIU589811:KIU589876 KSQ589811:KSQ589876 LCM589811:LCM589876 LMI589811:LMI589876 LWE589811:LWE589876 MGA589811:MGA589876 MPW589811:MPW589876 MZS589811:MZS589876 NJO589811:NJO589876 NTK589811:NTK589876 ODG589811:ODG589876 ONC589811:ONC589876 OWY589811:OWY589876 PGU589811:PGU589876 PQQ589811:PQQ589876 QAM589811:QAM589876 QKI589811:QKI589876 QUE589811:QUE589876 REA589811:REA589876 RNW589811:RNW589876 RXS589811:RXS589876 SHO589811:SHO589876 SRK589811:SRK589876 TBG589811:TBG589876 TLC589811:TLC589876 TUY589811:TUY589876 UEU589811:UEU589876 UOQ589811:UOQ589876 UYM589811:UYM589876 VII589811:VII589876 VSE589811:VSE589876 WCA589811:WCA589876 WLW589811:WLW589876 WVS589811:WVS589876 K655347:K655412 JG655347:JG655412 TC655347:TC655412 ACY655347:ACY655412 AMU655347:AMU655412 AWQ655347:AWQ655412 BGM655347:BGM655412 BQI655347:BQI655412 CAE655347:CAE655412 CKA655347:CKA655412 CTW655347:CTW655412 DDS655347:DDS655412 DNO655347:DNO655412 DXK655347:DXK655412 EHG655347:EHG655412 ERC655347:ERC655412 FAY655347:FAY655412 FKU655347:FKU655412 FUQ655347:FUQ655412 GEM655347:GEM655412 GOI655347:GOI655412 GYE655347:GYE655412 HIA655347:HIA655412 HRW655347:HRW655412 IBS655347:IBS655412 ILO655347:ILO655412 IVK655347:IVK655412 JFG655347:JFG655412 JPC655347:JPC655412 JYY655347:JYY655412 KIU655347:KIU655412 KSQ655347:KSQ655412 LCM655347:LCM655412 LMI655347:LMI655412 LWE655347:LWE655412 MGA655347:MGA655412 MPW655347:MPW655412 MZS655347:MZS655412 NJO655347:NJO655412 NTK655347:NTK655412 ODG655347:ODG655412 ONC655347:ONC655412 OWY655347:OWY655412 PGU655347:PGU655412 PQQ655347:PQQ655412 QAM655347:QAM655412 QKI655347:QKI655412 QUE655347:QUE655412 REA655347:REA655412 RNW655347:RNW655412 RXS655347:RXS655412 SHO655347:SHO655412 SRK655347:SRK655412 TBG655347:TBG655412 TLC655347:TLC655412 TUY655347:TUY655412 UEU655347:UEU655412 UOQ655347:UOQ655412 UYM655347:UYM655412 VII655347:VII655412 VSE655347:VSE655412 WCA655347:WCA655412 WLW655347:WLW655412 WVS655347:WVS655412 K720883:K720948 JG720883:JG720948 TC720883:TC720948 ACY720883:ACY720948 AMU720883:AMU720948 AWQ720883:AWQ720948 BGM720883:BGM720948 BQI720883:BQI720948 CAE720883:CAE720948 CKA720883:CKA720948 CTW720883:CTW720948 DDS720883:DDS720948 DNO720883:DNO720948 DXK720883:DXK720948 EHG720883:EHG720948 ERC720883:ERC720948 FAY720883:FAY720948 FKU720883:FKU720948 FUQ720883:FUQ720948 GEM720883:GEM720948 GOI720883:GOI720948 GYE720883:GYE720948 HIA720883:HIA720948 HRW720883:HRW720948 IBS720883:IBS720948 ILO720883:ILO720948 IVK720883:IVK720948 JFG720883:JFG720948 JPC720883:JPC720948 JYY720883:JYY720948 KIU720883:KIU720948 KSQ720883:KSQ720948 LCM720883:LCM720948 LMI720883:LMI720948 LWE720883:LWE720948 MGA720883:MGA720948 MPW720883:MPW720948 MZS720883:MZS720948 NJO720883:NJO720948 NTK720883:NTK720948 ODG720883:ODG720948 ONC720883:ONC720948 OWY720883:OWY720948 PGU720883:PGU720948 PQQ720883:PQQ720948 QAM720883:QAM720948 QKI720883:QKI720948 QUE720883:QUE720948 REA720883:REA720948 RNW720883:RNW720948 RXS720883:RXS720948 SHO720883:SHO720948 SRK720883:SRK720948 TBG720883:TBG720948 TLC720883:TLC720948 TUY720883:TUY720948 UEU720883:UEU720948 UOQ720883:UOQ720948 UYM720883:UYM720948 VII720883:VII720948 VSE720883:VSE720948 WCA720883:WCA720948 WLW720883:WLW720948 WVS720883:WVS720948 K786419:K786484 JG786419:JG786484 TC786419:TC786484 ACY786419:ACY786484 AMU786419:AMU786484 AWQ786419:AWQ786484 BGM786419:BGM786484 BQI786419:BQI786484 CAE786419:CAE786484 CKA786419:CKA786484 CTW786419:CTW786484 DDS786419:DDS786484 DNO786419:DNO786484 DXK786419:DXK786484 EHG786419:EHG786484 ERC786419:ERC786484 FAY786419:FAY786484 FKU786419:FKU786484 FUQ786419:FUQ786484 GEM786419:GEM786484 GOI786419:GOI786484 GYE786419:GYE786484 HIA786419:HIA786484 HRW786419:HRW786484 IBS786419:IBS786484 ILO786419:ILO786484 IVK786419:IVK786484 JFG786419:JFG786484 JPC786419:JPC786484 JYY786419:JYY786484 KIU786419:KIU786484 KSQ786419:KSQ786484 LCM786419:LCM786484 LMI786419:LMI786484 LWE786419:LWE786484 MGA786419:MGA786484 MPW786419:MPW786484 MZS786419:MZS786484 NJO786419:NJO786484 NTK786419:NTK786484 ODG786419:ODG786484 ONC786419:ONC786484 OWY786419:OWY786484 PGU786419:PGU786484 PQQ786419:PQQ786484 QAM786419:QAM786484 QKI786419:QKI786484 QUE786419:QUE786484 REA786419:REA786484 RNW786419:RNW786484 RXS786419:RXS786484 SHO786419:SHO786484 SRK786419:SRK786484 TBG786419:TBG786484 TLC786419:TLC786484 TUY786419:TUY786484 UEU786419:UEU786484 UOQ786419:UOQ786484 UYM786419:UYM786484 VII786419:VII786484 VSE786419:VSE786484 WCA786419:WCA786484 WLW786419:WLW786484 WVS786419:WVS786484 K851955:K852020 JG851955:JG852020 TC851955:TC852020 ACY851955:ACY852020 AMU851955:AMU852020 AWQ851955:AWQ852020 BGM851955:BGM852020 BQI851955:BQI852020 CAE851955:CAE852020 CKA851955:CKA852020 CTW851955:CTW852020 DDS851955:DDS852020 DNO851955:DNO852020 DXK851955:DXK852020 EHG851955:EHG852020 ERC851955:ERC852020 FAY851955:FAY852020 FKU851955:FKU852020 FUQ851955:FUQ852020 GEM851955:GEM852020 GOI851955:GOI852020 GYE851955:GYE852020 HIA851955:HIA852020 HRW851955:HRW852020 IBS851955:IBS852020 ILO851955:ILO852020 IVK851955:IVK852020 JFG851955:JFG852020 JPC851955:JPC852020 JYY851955:JYY852020 KIU851955:KIU852020 KSQ851955:KSQ852020 LCM851955:LCM852020 LMI851955:LMI852020 LWE851955:LWE852020 MGA851955:MGA852020 MPW851955:MPW852020 MZS851955:MZS852020 NJO851955:NJO852020 NTK851955:NTK852020 ODG851955:ODG852020 ONC851955:ONC852020 OWY851955:OWY852020 PGU851955:PGU852020 PQQ851955:PQQ852020 QAM851955:QAM852020 QKI851955:QKI852020 QUE851955:QUE852020 REA851955:REA852020 RNW851955:RNW852020 RXS851955:RXS852020 SHO851955:SHO852020 SRK851955:SRK852020 TBG851955:TBG852020 TLC851955:TLC852020 TUY851955:TUY852020 UEU851955:UEU852020 UOQ851955:UOQ852020 UYM851955:UYM852020 VII851955:VII852020 VSE851955:VSE852020 WCA851955:WCA852020 WLW851955:WLW852020 WVS851955:WVS852020 K917491:K917556 JG917491:JG917556 TC917491:TC917556 ACY917491:ACY917556 AMU917491:AMU917556 AWQ917491:AWQ917556 BGM917491:BGM917556 BQI917491:BQI917556 CAE917491:CAE917556 CKA917491:CKA917556 CTW917491:CTW917556 DDS917491:DDS917556 DNO917491:DNO917556 DXK917491:DXK917556 EHG917491:EHG917556 ERC917491:ERC917556 FAY917491:FAY917556 FKU917491:FKU917556 FUQ917491:FUQ917556 GEM917491:GEM917556 GOI917491:GOI917556 GYE917491:GYE917556 HIA917491:HIA917556 HRW917491:HRW917556 IBS917491:IBS917556 ILO917491:ILO917556 IVK917491:IVK917556 JFG917491:JFG917556 JPC917491:JPC917556 JYY917491:JYY917556 KIU917491:KIU917556 KSQ917491:KSQ917556 LCM917491:LCM917556 LMI917491:LMI917556 LWE917491:LWE917556 MGA917491:MGA917556 MPW917491:MPW917556 MZS917491:MZS917556 NJO917491:NJO917556 NTK917491:NTK917556 ODG917491:ODG917556 ONC917491:ONC917556 OWY917491:OWY917556 PGU917491:PGU917556 PQQ917491:PQQ917556 QAM917491:QAM917556 QKI917491:QKI917556 QUE917491:QUE917556 REA917491:REA917556 RNW917491:RNW917556 RXS917491:RXS917556 SHO917491:SHO917556 SRK917491:SRK917556 TBG917491:TBG917556 TLC917491:TLC917556 TUY917491:TUY917556 UEU917491:UEU917556 UOQ917491:UOQ917556 UYM917491:UYM917556 VII917491:VII917556 VSE917491:VSE917556 WCA917491:WCA917556 WLW917491:WLW917556 WVS917491:WVS917556 K983027:K983092 JG983027:JG983092 TC983027:TC983092 ACY983027:ACY983092 AMU983027:AMU983092 AWQ983027:AWQ983092 BGM983027:BGM983092 BQI983027:BQI983092 CAE983027:CAE983092 CKA983027:CKA983092 CTW983027:CTW983092 DDS983027:DDS983092 DNO983027:DNO983092 DXK983027:DXK983092 EHG983027:EHG983092 ERC983027:ERC983092 FAY983027:FAY983092 FKU983027:FKU983092 FUQ983027:FUQ983092 GEM983027:GEM983092 GOI983027:GOI983092 GYE983027:GYE983092 HIA983027:HIA983092 HRW983027:HRW983092 IBS983027:IBS983092 ILO983027:ILO983092 IVK983027:IVK983092 JFG983027:JFG983092 JPC983027:JPC983092 JYY983027:JYY983092 KIU983027:KIU983092 KSQ983027:KSQ983092 LCM983027:LCM983092 LMI983027:LMI983092 LWE983027:LWE983092 MGA983027:MGA983092 MPW983027:MPW983092 MZS983027:MZS983092 NJO983027:NJO983092 NTK983027:NTK983092 ODG983027:ODG983092 ONC983027:ONC983092 OWY983027:OWY983092 PGU983027:PGU983092 PQQ983027:PQQ983092 QAM983027:QAM983092 QKI983027:QKI983092 QUE983027:QUE983092 REA983027:REA983092 RNW983027:RNW983092 RXS983027:RXS983092 SHO983027:SHO983092 SRK983027:SRK983092 TBG983027:TBG983092 TLC983027:TLC983092 TUY983027:TUY983092 UEU983027:UEU983092 UOQ983027:UOQ983092 UYM983027:UYM983092 VII983027:VII983092 VSE983027:VSE983092 WCA983027:WCA983092 WLW983027:WLW983092 K428:K485 JG2:JG72 TC2:TC72 ACY2:ACY72 AMU2:AMU72 AWQ2:AWQ72 BGM2:BGM72 BQI2:BQI72 CAE2:CAE72 CKA2:CKA72 CTW2:CTW72 DDS2:DDS72 DNO2:DNO72 DXK2:DXK72 EHG2:EHG72 ERC2:ERC72 FAY2:FAY72 FKU2:FKU72 FUQ2:FUQ72 GEM2:GEM72 GOI2:GOI72 GYE2:GYE72 HIA2:HIA72 HRW2:HRW72 IBS2:IBS72 ILO2:ILO72 IVK2:IVK72 JFG2:JFG72 JPC2:JPC72 JYY2:JYY72 KIU2:KIU72 KSQ2:KSQ72 LCM2:LCM72 LMI2:LMI72 LWE2:LWE72 MGA2:MGA72 MPW2:MPW72 MZS2:MZS72 NJO2:NJO72 NTK2:NTK72 ODG2:ODG72 ONC2:ONC72 OWY2:OWY72 PGU2:PGU72 PQQ2:PQQ72 QAM2:QAM72 QKI2:QKI72 QUE2:QUE72 REA2:REA72 RNW2:RNW72 RXS2:RXS72 SHO2:SHO72 SRK2:SRK72 TBG2:TBG72 TLC2:TLC72 TUY2:TUY72 UEU2:UEU72 UOQ2:UOQ72 UYM2:UYM72 VII2:VII72 VSE2:VSE72 WCA2:WCA72 WLW2:WLW72 WVS2:WVS72" xr:uid="{8C0E38AB-DB44-4CF0-A3B1-D5FC29D6B495}">
      <formula1>$AR$2:$AR$25</formula1>
    </dataValidation>
    <dataValidation type="list" allowBlank="1" showInputMessage="1" showErrorMessage="1" sqref="WVR983027:WVR983092 J65523:J65588 JF65523:JF65588 TB65523:TB65588 ACX65523:ACX65588 AMT65523:AMT65588 AWP65523:AWP65588 BGL65523:BGL65588 BQH65523:BQH65588 CAD65523:CAD65588 CJZ65523:CJZ65588 CTV65523:CTV65588 DDR65523:DDR65588 DNN65523:DNN65588 DXJ65523:DXJ65588 EHF65523:EHF65588 ERB65523:ERB65588 FAX65523:FAX65588 FKT65523:FKT65588 FUP65523:FUP65588 GEL65523:GEL65588 GOH65523:GOH65588 GYD65523:GYD65588 HHZ65523:HHZ65588 HRV65523:HRV65588 IBR65523:IBR65588 ILN65523:ILN65588 IVJ65523:IVJ65588 JFF65523:JFF65588 JPB65523:JPB65588 JYX65523:JYX65588 KIT65523:KIT65588 KSP65523:KSP65588 LCL65523:LCL65588 LMH65523:LMH65588 LWD65523:LWD65588 MFZ65523:MFZ65588 MPV65523:MPV65588 MZR65523:MZR65588 NJN65523:NJN65588 NTJ65523:NTJ65588 ODF65523:ODF65588 ONB65523:ONB65588 OWX65523:OWX65588 PGT65523:PGT65588 PQP65523:PQP65588 QAL65523:QAL65588 QKH65523:QKH65588 QUD65523:QUD65588 RDZ65523:RDZ65588 RNV65523:RNV65588 RXR65523:RXR65588 SHN65523:SHN65588 SRJ65523:SRJ65588 TBF65523:TBF65588 TLB65523:TLB65588 TUX65523:TUX65588 UET65523:UET65588 UOP65523:UOP65588 UYL65523:UYL65588 VIH65523:VIH65588 VSD65523:VSD65588 WBZ65523:WBZ65588 WLV65523:WLV65588 WVR65523:WVR65588 J131059:J131124 JF131059:JF131124 TB131059:TB131124 ACX131059:ACX131124 AMT131059:AMT131124 AWP131059:AWP131124 BGL131059:BGL131124 BQH131059:BQH131124 CAD131059:CAD131124 CJZ131059:CJZ131124 CTV131059:CTV131124 DDR131059:DDR131124 DNN131059:DNN131124 DXJ131059:DXJ131124 EHF131059:EHF131124 ERB131059:ERB131124 FAX131059:FAX131124 FKT131059:FKT131124 FUP131059:FUP131124 GEL131059:GEL131124 GOH131059:GOH131124 GYD131059:GYD131124 HHZ131059:HHZ131124 HRV131059:HRV131124 IBR131059:IBR131124 ILN131059:ILN131124 IVJ131059:IVJ131124 JFF131059:JFF131124 JPB131059:JPB131124 JYX131059:JYX131124 KIT131059:KIT131124 KSP131059:KSP131124 LCL131059:LCL131124 LMH131059:LMH131124 LWD131059:LWD131124 MFZ131059:MFZ131124 MPV131059:MPV131124 MZR131059:MZR131124 NJN131059:NJN131124 NTJ131059:NTJ131124 ODF131059:ODF131124 ONB131059:ONB131124 OWX131059:OWX131124 PGT131059:PGT131124 PQP131059:PQP131124 QAL131059:QAL131124 QKH131059:QKH131124 QUD131059:QUD131124 RDZ131059:RDZ131124 RNV131059:RNV131124 RXR131059:RXR131124 SHN131059:SHN131124 SRJ131059:SRJ131124 TBF131059:TBF131124 TLB131059:TLB131124 TUX131059:TUX131124 UET131059:UET131124 UOP131059:UOP131124 UYL131059:UYL131124 VIH131059:VIH131124 VSD131059:VSD131124 WBZ131059:WBZ131124 WLV131059:WLV131124 WVR131059:WVR131124 J196595:J196660 JF196595:JF196660 TB196595:TB196660 ACX196595:ACX196660 AMT196595:AMT196660 AWP196595:AWP196660 BGL196595:BGL196660 BQH196595:BQH196660 CAD196595:CAD196660 CJZ196595:CJZ196660 CTV196595:CTV196660 DDR196595:DDR196660 DNN196595:DNN196660 DXJ196595:DXJ196660 EHF196595:EHF196660 ERB196595:ERB196660 FAX196595:FAX196660 FKT196595:FKT196660 FUP196595:FUP196660 GEL196595:GEL196660 GOH196595:GOH196660 GYD196595:GYD196660 HHZ196595:HHZ196660 HRV196595:HRV196660 IBR196595:IBR196660 ILN196595:ILN196660 IVJ196595:IVJ196660 JFF196595:JFF196660 JPB196595:JPB196660 JYX196595:JYX196660 KIT196595:KIT196660 KSP196595:KSP196660 LCL196595:LCL196660 LMH196595:LMH196660 LWD196595:LWD196660 MFZ196595:MFZ196660 MPV196595:MPV196660 MZR196595:MZR196660 NJN196595:NJN196660 NTJ196595:NTJ196660 ODF196595:ODF196660 ONB196595:ONB196660 OWX196595:OWX196660 PGT196595:PGT196660 PQP196595:PQP196660 QAL196595:QAL196660 QKH196595:QKH196660 QUD196595:QUD196660 RDZ196595:RDZ196660 RNV196595:RNV196660 RXR196595:RXR196660 SHN196595:SHN196660 SRJ196595:SRJ196660 TBF196595:TBF196660 TLB196595:TLB196660 TUX196595:TUX196660 UET196595:UET196660 UOP196595:UOP196660 UYL196595:UYL196660 VIH196595:VIH196660 VSD196595:VSD196660 WBZ196595:WBZ196660 WLV196595:WLV196660 WVR196595:WVR196660 J262131:J262196 JF262131:JF262196 TB262131:TB262196 ACX262131:ACX262196 AMT262131:AMT262196 AWP262131:AWP262196 BGL262131:BGL262196 BQH262131:BQH262196 CAD262131:CAD262196 CJZ262131:CJZ262196 CTV262131:CTV262196 DDR262131:DDR262196 DNN262131:DNN262196 DXJ262131:DXJ262196 EHF262131:EHF262196 ERB262131:ERB262196 FAX262131:FAX262196 FKT262131:FKT262196 FUP262131:FUP262196 GEL262131:GEL262196 GOH262131:GOH262196 GYD262131:GYD262196 HHZ262131:HHZ262196 HRV262131:HRV262196 IBR262131:IBR262196 ILN262131:ILN262196 IVJ262131:IVJ262196 JFF262131:JFF262196 JPB262131:JPB262196 JYX262131:JYX262196 KIT262131:KIT262196 KSP262131:KSP262196 LCL262131:LCL262196 LMH262131:LMH262196 LWD262131:LWD262196 MFZ262131:MFZ262196 MPV262131:MPV262196 MZR262131:MZR262196 NJN262131:NJN262196 NTJ262131:NTJ262196 ODF262131:ODF262196 ONB262131:ONB262196 OWX262131:OWX262196 PGT262131:PGT262196 PQP262131:PQP262196 QAL262131:QAL262196 QKH262131:QKH262196 QUD262131:QUD262196 RDZ262131:RDZ262196 RNV262131:RNV262196 RXR262131:RXR262196 SHN262131:SHN262196 SRJ262131:SRJ262196 TBF262131:TBF262196 TLB262131:TLB262196 TUX262131:TUX262196 UET262131:UET262196 UOP262131:UOP262196 UYL262131:UYL262196 VIH262131:VIH262196 VSD262131:VSD262196 WBZ262131:WBZ262196 WLV262131:WLV262196 WVR262131:WVR262196 J327667:J327732 JF327667:JF327732 TB327667:TB327732 ACX327667:ACX327732 AMT327667:AMT327732 AWP327667:AWP327732 BGL327667:BGL327732 BQH327667:BQH327732 CAD327667:CAD327732 CJZ327667:CJZ327732 CTV327667:CTV327732 DDR327667:DDR327732 DNN327667:DNN327732 DXJ327667:DXJ327732 EHF327667:EHF327732 ERB327667:ERB327732 FAX327667:FAX327732 FKT327667:FKT327732 FUP327667:FUP327732 GEL327667:GEL327732 GOH327667:GOH327732 GYD327667:GYD327732 HHZ327667:HHZ327732 HRV327667:HRV327732 IBR327667:IBR327732 ILN327667:ILN327732 IVJ327667:IVJ327732 JFF327667:JFF327732 JPB327667:JPB327732 JYX327667:JYX327732 KIT327667:KIT327732 KSP327667:KSP327732 LCL327667:LCL327732 LMH327667:LMH327732 LWD327667:LWD327732 MFZ327667:MFZ327732 MPV327667:MPV327732 MZR327667:MZR327732 NJN327667:NJN327732 NTJ327667:NTJ327732 ODF327667:ODF327732 ONB327667:ONB327732 OWX327667:OWX327732 PGT327667:PGT327732 PQP327667:PQP327732 QAL327667:QAL327732 QKH327667:QKH327732 QUD327667:QUD327732 RDZ327667:RDZ327732 RNV327667:RNV327732 RXR327667:RXR327732 SHN327667:SHN327732 SRJ327667:SRJ327732 TBF327667:TBF327732 TLB327667:TLB327732 TUX327667:TUX327732 UET327667:UET327732 UOP327667:UOP327732 UYL327667:UYL327732 VIH327667:VIH327732 VSD327667:VSD327732 WBZ327667:WBZ327732 WLV327667:WLV327732 WVR327667:WVR327732 J393203:J393268 JF393203:JF393268 TB393203:TB393268 ACX393203:ACX393268 AMT393203:AMT393268 AWP393203:AWP393268 BGL393203:BGL393268 BQH393203:BQH393268 CAD393203:CAD393268 CJZ393203:CJZ393268 CTV393203:CTV393268 DDR393203:DDR393268 DNN393203:DNN393268 DXJ393203:DXJ393268 EHF393203:EHF393268 ERB393203:ERB393268 FAX393203:FAX393268 FKT393203:FKT393268 FUP393203:FUP393268 GEL393203:GEL393268 GOH393203:GOH393268 GYD393203:GYD393268 HHZ393203:HHZ393268 HRV393203:HRV393268 IBR393203:IBR393268 ILN393203:ILN393268 IVJ393203:IVJ393268 JFF393203:JFF393268 JPB393203:JPB393268 JYX393203:JYX393268 KIT393203:KIT393268 KSP393203:KSP393268 LCL393203:LCL393268 LMH393203:LMH393268 LWD393203:LWD393268 MFZ393203:MFZ393268 MPV393203:MPV393268 MZR393203:MZR393268 NJN393203:NJN393268 NTJ393203:NTJ393268 ODF393203:ODF393268 ONB393203:ONB393268 OWX393203:OWX393268 PGT393203:PGT393268 PQP393203:PQP393268 QAL393203:QAL393268 QKH393203:QKH393268 QUD393203:QUD393268 RDZ393203:RDZ393268 RNV393203:RNV393268 RXR393203:RXR393268 SHN393203:SHN393268 SRJ393203:SRJ393268 TBF393203:TBF393268 TLB393203:TLB393268 TUX393203:TUX393268 UET393203:UET393268 UOP393203:UOP393268 UYL393203:UYL393268 VIH393203:VIH393268 VSD393203:VSD393268 WBZ393203:WBZ393268 WLV393203:WLV393268 WVR393203:WVR393268 J458739:J458804 JF458739:JF458804 TB458739:TB458804 ACX458739:ACX458804 AMT458739:AMT458804 AWP458739:AWP458804 BGL458739:BGL458804 BQH458739:BQH458804 CAD458739:CAD458804 CJZ458739:CJZ458804 CTV458739:CTV458804 DDR458739:DDR458804 DNN458739:DNN458804 DXJ458739:DXJ458804 EHF458739:EHF458804 ERB458739:ERB458804 FAX458739:FAX458804 FKT458739:FKT458804 FUP458739:FUP458804 GEL458739:GEL458804 GOH458739:GOH458804 GYD458739:GYD458804 HHZ458739:HHZ458804 HRV458739:HRV458804 IBR458739:IBR458804 ILN458739:ILN458804 IVJ458739:IVJ458804 JFF458739:JFF458804 JPB458739:JPB458804 JYX458739:JYX458804 KIT458739:KIT458804 KSP458739:KSP458804 LCL458739:LCL458804 LMH458739:LMH458804 LWD458739:LWD458804 MFZ458739:MFZ458804 MPV458739:MPV458804 MZR458739:MZR458804 NJN458739:NJN458804 NTJ458739:NTJ458804 ODF458739:ODF458804 ONB458739:ONB458804 OWX458739:OWX458804 PGT458739:PGT458804 PQP458739:PQP458804 QAL458739:QAL458804 QKH458739:QKH458804 QUD458739:QUD458804 RDZ458739:RDZ458804 RNV458739:RNV458804 RXR458739:RXR458804 SHN458739:SHN458804 SRJ458739:SRJ458804 TBF458739:TBF458804 TLB458739:TLB458804 TUX458739:TUX458804 UET458739:UET458804 UOP458739:UOP458804 UYL458739:UYL458804 VIH458739:VIH458804 VSD458739:VSD458804 WBZ458739:WBZ458804 WLV458739:WLV458804 WVR458739:WVR458804 J524275:J524340 JF524275:JF524340 TB524275:TB524340 ACX524275:ACX524340 AMT524275:AMT524340 AWP524275:AWP524340 BGL524275:BGL524340 BQH524275:BQH524340 CAD524275:CAD524340 CJZ524275:CJZ524340 CTV524275:CTV524340 DDR524275:DDR524340 DNN524275:DNN524340 DXJ524275:DXJ524340 EHF524275:EHF524340 ERB524275:ERB524340 FAX524275:FAX524340 FKT524275:FKT524340 FUP524275:FUP524340 GEL524275:GEL524340 GOH524275:GOH524340 GYD524275:GYD524340 HHZ524275:HHZ524340 HRV524275:HRV524340 IBR524275:IBR524340 ILN524275:ILN524340 IVJ524275:IVJ524340 JFF524275:JFF524340 JPB524275:JPB524340 JYX524275:JYX524340 KIT524275:KIT524340 KSP524275:KSP524340 LCL524275:LCL524340 LMH524275:LMH524340 LWD524275:LWD524340 MFZ524275:MFZ524340 MPV524275:MPV524340 MZR524275:MZR524340 NJN524275:NJN524340 NTJ524275:NTJ524340 ODF524275:ODF524340 ONB524275:ONB524340 OWX524275:OWX524340 PGT524275:PGT524340 PQP524275:PQP524340 QAL524275:QAL524340 QKH524275:QKH524340 QUD524275:QUD524340 RDZ524275:RDZ524340 RNV524275:RNV524340 RXR524275:RXR524340 SHN524275:SHN524340 SRJ524275:SRJ524340 TBF524275:TBF524340 TLB524275:TLB524340 TUX524275:TUX524340 UET524275:UET524340 UOP524275:UOP524340 UYL524275:UYL524340 VIH524275:VIH524340 VSD524275:VSD524340 WBZ524275:WBZ524340 WLV524275:WLV524340 WVR524275:WVR524340 J589811:J589876 JF589811:JF589876 TB589811:TB589876 ACX589811:ACX589876 AMT589811:AMT589876 AWP589811:AWP589876 BGL589811:BGL589876 BQH589811:BQH589876 CAD589811:CAD589876 CJZ589811:CJZ589876 CTV589811:CTV589876 DDR589811:DDR589876 DNN589811:DNN589876 DXJ589811:DXJ589876 EHF589811:EHF589876 ERB589811:ERB589876 FAX589811:FAX589876 FKT589811:FKT589876 FUP589811:FUP589876 GEL589811:GEL589876 GOH589811:GOH589876 GYD589811:GYD589876 HHZ589811:HHZ589876 HRV589811:HRV589876 IBR589811:IBR589876 ILN589811:ILN589876 IVJ589811:IVJ589876 JFF589811:JFF589876 JPB589811:JPB589876 JYX589811:JYX589876 KIT589811:KIT589876 KSP589811:KSP589876 LCL589811:LCL589876 LMH589811:LMH589876 LWD589811:LWD589876 MFZ589811:MFZ589876 MPV589811:MPV589876 MZR589811:MZR589876 NJN589811:NJN589876 NTJ589811:NTJ589876 ODF589811:ODF589876 ONB589811:ONB589876 OWX589811:OWX589876 PGT589811:PGT589876 PQP589811:PQP589876 QAL589811:QAL589876 QKH589811:QKH589876 QUD589811:QUD589876 RDZ589811:RDZ589876 RNV589811:RNV589876 RXR589811:RXR589876 SHN589811:SHN589876 SRJ589811:SRJ589876 TBF589811:TBF589876 TLB589811:TLB589876 TUX589811:TUX589876 UET589811:UET589876 UOP589811:UOP589876 UYL589811:UYL589876 VIH589811:VIH589876 VSD589811:VSD589876 WBZ589811:WBZ589876 WLV589811:WLV589876 WVR589811:WVR589876 J655347:J655412 JF655347:JF655412 TB655347:TB655412 ACX655347:ACX655412 AMT655347:AMT655412 AWP655347:AWP655412 BGL655347:BGL655412 BQH655347:BQH655412 CAD655347:CAD655412 CJZ655347:CJZ655412 CTV655347:CTV655412 DDR655347:DDR655412 DNN655347:DNN655412 DXJ655347:DXJ655412 EHF655347:EHF655412 ERB655347:ERB655412 FAX655347:FAX655412 FKT655347:FKT655412 FUP655347:FUP655412 GEL655347:GEL655412 GOH655347:GOH655412 GYD655347:GYD655412 HHZ655347:HHZ655412 HRV655347:HRV655412 IBR655347:IBR655412 ILN655347:ILN655412 IVJ655347:IVJ655412 JFF655347:JFF655412 JPB655347:JPB655412 JYX655347:JYX655412 KIT655347:KIT655412 KSP655347:KSP655412 LCL655347:LCL655412 LMH655347:LMH655412 LWD655347:LWD655412 MFZ655347:MFZ655412 MPV655347:MPV655412 MZR655347:MZR655412 NJN655347:NJN655412 NTJ655347:NTJ655412 ODF655347:ODF655412 ONB655347:ONB655412 OWX655347:OWX655412 PGT655347:PGT655412 PQP655347:PQP655412 QAL655347:QAL655412 QKH655347:QKH655412 QUD655347:QUD655412 RDZ655347:RDZ655412 RNV655347:RNV655412 RXR655347:RXR655412 SHN655347:SHN655412 SRJ655347:SRJ655412 TBF655347:TBF655412 TLB655347:TLB655412 TUX655347:TUX655412 UET655347:UET655412 UOP655347:UOP655412 UYL655347:UYL655412 VIH655347:VIH655412 VSD655347:VSD655412 WBZ655347:WBZ655412 WLV655347:WLV655412 WVR655347:WVR655412 J720883:J720948 JF720883:JF720948 TB720883:TB720948 ACX720883:ACX720948 AMT720883:AMT720948 AWP720883:AWP720948 BGL720883:BGL720948 BQH720883:BQH720948 CAD720883:CAD720948 CJZ720883:CJZ720948 CTV720883:CTV720948 DDR720883:DDR720948 DNN720883:DNN720948 DXJ720883:DXJ720948 EHF720883:EHF720948 ERB720883:ERB720948 FAX720883:FAX720948 FKT720883:FKT720948 FUP720883:FUP720948 GEL720883:GEL720948 GOH720883:GOH720948 GYD720883:GYD720948 HHZ720883:HHZ720948 HRV720883:HRV720948 IBR720883:IBR720948 ILN720883:ILN720948 IVJ720883:IVJ720948 JFF720883:JFF720948 JPB720883:JPB720948 JYX720883:JYX720948 KIT720883:KIT720948 KSP720883:KSP720948 LCL720883:LCL720948 LMH720883:LMH720948 LWD720883:LWD720948 MFZ720883:MFZ720948 MPV720883:MPV720948 MZR720883:MZR720948 NJN720883:NJN720948 NTJ720883:NTJ720948 ODF720883:ODF720948 ONB720883:ONB720948 OWX720883:OWX720948 PGT720883:PGT720948 PQP720883:PQP720948 QAL720883:QAL720948 QKH720883:QKH720948 QUD720883:QUD720948 RDZ720883:RDZ720948 RNV720883:RNV720948 RXR720883:RXR720948 SHN720883:SHN720948 SRJ720883:SRJ720948 TBF720883:TBF720948 TLB720883:TLB720948 TUX720883:TUX720948 UET720883:UET720948 UOP720883:UOP720948 UYL720883:UYL720948 VIH720883:VIH720948 VSD720883:VSD720948 WBZ720883:WBZ720948 WLV720883:WLV720948 WVR720883:WVR720948 J786419:J786484 JF786419:JF786484 TB786419:TB786484 ACX786419:ACX786484 AMT786419:AMT786484 AWP786419:AWP786484 BGL786419:BGL786484 BQH786419:BQH786484 CAD786419:CAD786484 CJZ786419:CJZ786484 CTV786419:CTV786484 DDR786419:DDR786484 DNN786419:DNN786484 DXJ786419:DXJ786484 EHF786419:EHF786484 ERB786419:ERB786484 FAX786419:FAX786484 FKT786419:FKT786484 FUP786419:FUP786484 GEL786419:GEL786484 GOH786419:GOH786484 GYD786419:GYD786484 HHZ786419:HHZ786484 HRV786419:HRV786484 IBR786419:IBR786484 ILN786419:ILN786484 IVJ786419:IVJ786484 JFF786419:JFF786484 JPB786419:JPB786484 JYX786419:JYX786484 KIT786419:KIT786484 KSP786419:KSP786484 LCL786419:LCL786484 LMH786419:LMH786484 LWD786419:LWD786484 MFZ786419:MFZ786484 MPV786419:MPV786484 MZR786419:MZR786484 NJN786419:NJN786484 NTJ786419:NTJ786484 ODF786419:ODF786484 ONB786419:ONB786484 OWX786419:OWX786484 PGT786419:PGT786484 PQP786419:PQP786484 QAL786419:QAL786484 QKH786419:QKH786484 QUD786419:QUD786484 RDZ786419:RDZ786484 RNV786419:RNV786484 RXR786419:RXR786484 SHN786419:SHN786484 SRJ786419:SRJ786484 TBF786419:TBF786484 TLB786419:TLB786484 TUX786419:TUX786484 UET786419:UET786484 UOP786419:UOP786484 UYL786419:UYL786484 VIH786419:VIH786484 VSD786419:VSD786484 WBZ786419:WBZ786484 WLV786419:WLV786484 WVR786419:WVR786484 J851955:J852020 JF851955:JF852020 TB851955:TB852020 ACX851955:ACX852020 AMT851955:AMT852020 AWP851955:AWP852020 BGL851955:BGL852020 BQH851955:BQH852020 CAD851955:CAD852020 CJZ851955:CJZ852020 CTV851955:CTV852020 DDR851955:DDR852020 DNN851955:DNN852020 DXJ851955:DXJ852020 EHF851955:EHF852020 ERB851955:ERB852020 FAX851955:FAX852020 FKT851955:FKT852020 FUP851955:FUP852020 GEL851955:GEL852020 GOH851955:GOH852020 GYD851955:GYD852020 HHZ851955:HHZ852020 HRV851955:HRV852020 IBR851955:IBR852020 ILN851955:ILN852020 IVJ851955:IVJ852020 JFF851955:JFF852020 JPB851955:JPB852020 JYX851955:JYX852020 KIT851955:KIT852020 KSP851955:KSP852020 LCL851955:LCL852020 LMH851955:LMH852020 LWD851955:LWD852020 MFZ851955:MFZ852020 MPV851955:MPV852020 MZR851955:MZR852020 NJN851955:NJN852020 NTJ851955:NTJ852020 ODF851955:ODF852020 ONB851955:ONB852020 OWX851955:OWX852020 PGT851955:PGT852020 PQP851955:PQP852020 QAL851955:QAL852020 QKH851955:QKH852020 QUD851955:QUD852020 RDZ851955:RDZ852020 RNV851955:RNV852020 RXR851955:RXR852020 SHN851955:SHN852020 SRJ851955:SRJ852020 TBF851955:TBF852020 TLB851955:TLB852020 TUX851955:TUX852020 UET851955:UET852020 UOP851955:UOP852020 UYL851955:UYL852020 VIH851955:VIH852020 VSD851955:VSD852020 WBZ851955:WBZ852020 WLV851955:WLV852020 WVR851955:WVR852020 J917491:J917556 JF917491:JF917556 TB917491:TB917556 ACX917491:ACX917556 AMT917491:AMT917556 AWP917491:AWP917556 BGL917491:BGL917556 BQH917491:BQH917556 CAD917491:CAD917556 CJZ917491:CJZ917556 CTV917491:CTV917556 DDR917491:DDR917556 DNN917491:DNN917556 DXJ917491:DXJ917556 EHF917491:EHF917556 ERB917491:ERB917556 FAX917491:FAX917556 FKT917491:FKT917556 FUP917491:FUP917556 GEL917491:GEL917556 GOH917491:GOH917556 GYD917491:GYD917556 HHZ917491:HHZ917556 HRV917491:HRV917556 IBR917491:IBR917556 ILN917491:ILN917556 IVJ917491:IVJ917556 JFF917491:JFF917556 JPB917491:JPB917556 JYX917491:JYX917556 KIT917491:KIT917556 KSP917491:KSP917556 LCL917491:LCL917556 LMH917491:LMH917556 LWD917491:LWD917556 MFZ917491:MFZ917556 MPV917491:MPV917556 MZR917491:MZR917556 NJN917491:NJN917556 NTJ917491:NTJ917556 ODF917491:ODF917556 ONB917491:ONB917556 OWX917491:OWX917556 PGT917491:PGT917556 PQP917491:PQP917556 QAL917491:QAL917556 QKH917491:QKH917556 QUD917491:QUD917556 RDZ917491:RDZ917556 RNV917491:RNV917556 RXR917491:RXR917556 SHN917491:SHN917556 SRJ917491:SRJ917556 TBF917491:TBF917556 TLB917491:TLB917556 TUX917491:TUX917556 UET917491:UET917556 UOP917491:UOP917556 UYL917491:UYL917556 VIH917491:VIH917556 VSD917491:VSD917556 WBZ917491:WBZ917556 WLV917491:WLV917556 WVR917491:WVR917556 J983027:J983092 JF983027:JF983092 TB983027:TB983092 ACX983027:ACX983092 AMT983027:AMT983092 AWP983027:AWP983092 BGL983027:BGL983092 BQH983027:BQH983092 CAD983027:CAD983092 CJZ983027:CJZ983092 CTV983027:CTV983092 DDR983027:DDR983092 DNN983027:DNN983092 DXJ983027:DXJ983092 EHF983027:EHF983092 ERB983027:ERB983092 FAX983027:FAX983092 FKT983027:FKT983092 FUP983027:FUP983092 GEL983027:GEL983092 GOH983027:GOH983092 GYD983027:GYD983092 HHZ983027:HHZ983092 HRV983027:HRV983092 IBR983027:IBR983092 ILN983027:ILN983092 IVJ983027:IVJ983092 JFF983027:JFF983092 JPB983027:JPB983092 JYX983027:JYX983092 KIT983027:KIT983092 KSP983027:KSP983092 LCL983027:LCL983092 LMH983027:LMH983092 LWD983027:LWD983092 MFZ983027:MFZ983092 MPV983027:MPV983092 MZR983027:MZR983092 NJN983027:NJN983092 NTJ983027:NTJ983092 ODF983027:ODF983092 ONB983027:ONB983092 OWX983027:OWX983092 PGT983027:PGT983092 PQP983027:PQP983092 QAL983027:QAL983092 QKH983027:QKH983092 QUD983027:QUD983092 RDZ983027:RDZ983092 RNV983027:RNV983092 RXR983027:RXR983092 SHN983027:SHN983092 SRJ983027:SRJ983092 TBF983027:TBF983092 TLB983027:TLB983092 TUX983027:TUX983092 UET983027:UET983092 UOP983027:UOP983092 UYL983027:UYL983092 VIH983027:VIH983092 VSD983027:VSD983092 WBZ983027:WBZ983092 WLV983027:WLV983092 J73:J485 WVR2:WVR72 JF2:JF72 TB2:TB72 ACX2:ACX72 AMT2:AMT72 AWP2:AWP72 BGL2:BGL72 BQH2:BQH72 CAD2:CAD72 CJZ2:CJZ72 CTV2:CTV72 DDR2:DDR72 DNN2:DNN72 DXJ2:DXJ72 EHF2:EHF72 ERB2:ERB72 FAX2:FAX72 FKT2:FKT72 FUP2:FUP72 GEL2:GEL72 GOH2:GOH72 GYD2:GYD72 HHZ2:HHZ72 HRV2:HRV72 IBR2:IBR72 ILN2:ILN72 IVJ2:IVJ72 JFF2:JFF72 JPB2:JPB72 JYX2:JYX72 KIT2:KIT72 KSP2:KSP72 LCL2:LCL72 LMH2:LMH72 LWD2:LWD72 MFZ2:MFZ72 MPV2:MPV72 MZR2:MZR72 NJN2:NJN72 NTJ2:NTJ72 ODF2:ODF72 ONB2:ONB72 OWX2:OWX72 PGT2:PGT72 PQP2:PQP72 QAL2:QAL72 QKH2:QKH72 QUD2:QUD72 RDZ2:RDZ72 RNV2:RNV72 RXR2:RXR72 SHN2:SHN72 SRJ2:SRJ72 TBF2:TBF72 TLB2:TLB72 TUX2:TUX72 UET2:UET72 UOP2:UOP72 UYL2:UYL72 VIH2:VIH72 VSD2:VSD72 WBZ2:WBZ72 WLV2:WLV72" xr:uid="{B4439FA8-15C9-4F9D-A0A7-39B91B2A2A12}">
      <formula1>$AP$2:$AP$27</formula1>
    </dataValidation>
    <dataValidation type="list" allowBlank="1" showInputMessage="1" showErrorMessage="1" sqref="WVP983027:WVP983092 H65523:H65588 JD65523:JD65588 SZ65523:SZ65588 ACV65523:ACV65588 AMR65523:AMR65588 AWN65523:AWN65588 BGJ65523:BGJ65588 BQF65523:BQF65588 CAB65523:CAB65588 CJX65523:CJX65588 CTT65523:CTT65588 DDP65523:DDP65588 DNL65523:DNL65588 DXH65523:DXH65588 EHD65523:EHD65588 EQZ65523:EQZ65588 FAV65523:FAV65588 FKR65523:FKR65588 FUN65523:FUN65588 GEJ65523:GEJ65588 GOF65523:GOF65588 GYB65523:GYB65588 HHX65523:HHX65588 HRT65523:HRT65588 IBP65523:IBP65588 ILL65523:ILL65588 IVH65523:IVH65588 JFD65523:JFD65588 JOZ65523:JOZ65588 JYV65523:JYV65588 KIR65523:KIR65588 KSN65523:KSN65588 LCJ65523:LCJ65588 LMF65523:LMF65588 LWB65523:LWB65588 MFX65523:MFX65588 MPT65523:MPT65588 MZP65523:MZP65588 NJL65523:NJL65588 NTH65523:NTH65588 ODD65523:ODD65588 OMZ65523:OMZ65588 OWV65523:OWV65588 PGR65523:PGR65588 PQN65523:PQN65588 QAJ65523:QAJ65588 QKF65523:QKF65588 QUB65523:QUB65588 RDX65523:RDX65588 RNT65523:RNT65588 RXP65523:RXP65588 SHL65523:SHL65588 SRH65523:SRH65588 TBD65523:TBD65588 TKZ65523:TKZ65588 TUV65523:TUV65588 UER65523:UER65588 UON65523:UON65588 UYJ65523:UYJ65588 VIF65523:VIF65588 VSB65523:VSB65588 WBX65523:WBX65588 WLT65523:WLT65588 WVP65523:WVP65588 H131059:H131124 JD131059:JD131124 SZ131059:SZ131124 ACV131059:ACV131124 AMR131059:AMR131124 AWN131059:AWN131124 BGJ131059:BGJ131124 BQF131059:BQF131124 CAB131059:CAB131124 CJX131059:CJX131124 CTT131059:CTT131124 DDP131059:DDP131124 DNL131059:DNL131124 DXH131059:DXH131124 EHD131059:EHD131124 EQZ131059:EQZ131124 FAV131059:FAV131124 FKR131059:FKR131124 FUN131059:FUN131124 GEJ131059:GEJ131124 GOF131059:GOF131124 GYB131059:GYB131124 HHX131059:HHX131124 HRT131059:HRT131124 IBP131059:IBP131124 ILL131059:ILL131124 IVH131059:IVH131124 JFD131059:JFD131124 JOZ131059:JOZ131124 JYV131059:JYV131124 KIR131059:KIR131124 KSN131059:KSN131124 LCJ131059:LCJ131124 LMF131059:LMF131124 LWB131059:LWB131124 MFX131059:MFX131124 MPT131059:MPT131124 MZP131059:MZP131124 NJL131059:NJL131124 NTH131059:NTH131124 ODD131059:ODD131124 OMZ131059:OMZ131124 OWV131059:OWV131124 PGR131059:PGR131124 PQN131059:PQN131124 QAJ131059:QAJ131124 QKF131059:QKF131124 QUB131059:QUB131124 RDX131059:RDX131124 RNT131059:RNT131124 RXP131059:RXP131124 SHL131059:SHL131124 SRH131059:SRH131124 TBD131059:TBD131124 TKZ131059:TKZ131124 TUV131059:TUV131124 UER131059:UER131124 UON131059:UON131124 UYJ131059:UYJ131124 VIF131059:VIF131124 VSB131059:VSB131124 WBX131059:WBX131124 WLT131059:WLT131124 WVP131059:WVP131124 H196595:H196660 JD196595:JD196660 SZ196595:SZ196660 ACV196595:ACV196660 AMR196595:AMR196660 AWN196595:AWN196660 BGJ196595:BGJ196660 BQF196595:BQF196660 CAB196595:CAB196660 CJX196595:CJX196660 CTT196595:CTT196660 DDP196595:DDP196660 DNL196595:DNL196660 DXH196595:DXH196660 EHD196595:EHD196660 EQZ196595:EQZ196660 FAV196595:FAV196660 FKR196595:FKR196660 FUN196595:FUN196660 GEJ196595:GEJ196660 GOF196595:GOF196660 GYB196595:GYB196660 HHX196595:HHX196660 HRT196595:HRT196660 IBP196595:IBP196660 ILL196595:ILL196660 IVH196595:IVH196660 JFD196595:JFD196660 JOZ196595:JOZ196660 JYV196595:JYV196660 KIR196595:KIR196660 KSN196595:KSN196660 LCJ196595:LCJ196660 LMF196595:LMF196660 LWB196595:LWB196660 MFX196595:MFX196660 MPT196595:MPT196660 MZP196595:MZP196660 NJL196595:NJL196660 NTH196595:NTH196660 ODD196595:ODD196660 OMZ196595:OMZ196660 OWV196595:OWV196660 PGR196595:PGR196660 PQN196595:PQN196660 QAJ196595:QAJ196660 QKF196595:QKF196660 QUB196595:QUB196660 RDX196595:RDX196660 RNT196595:RNT196660 RXP196595:RXP196660 SHL196595:SHL196660 SRH196595:SRH196660 TBD196595:TBD196660 TKZ196595:TKZ196660 TUV196595:TUV196660 UER196595:UER196660 UON196595:UON196660 UYJ196595:UYJ196660 VIF196595:VIF196660 VSB196595:VSB196660 WBX196595:WBX196660 WLT196595:WLT196660 WVP196595:WVP196660 H262131:H262196 JD262131:JD262196 SZ262131:SZ262196 ACV262131:ACV262196 AMR262131:AMR262196 AWN262131:AWN262196 BGJ262131:BGJ262196 BQF262131:BQF262196 CAB262131:CAB262196 CJX262131:CJX262196 CTT262131:CTT262196 DDP262131:DDP262196 DNL262131:DNL262196 DXH262131:DXH262196 EHD262131:EHD262196 EQZ262131:EQZ262196 FAV262131:FAV262196 FKR262131:FKR262196 FUN262131:FUN262196 GEJ262131:GEJ262196 GOF262131:GOF262196 GYB262131:GYB262196 HHX262131:HHX262196 HRT262131:HRT262196 IBP262131:IBP262196 ILL262131:ILL262196 IVH262131:IVH262196 JFD262131:JFD262196 JOZ262131:JOZ262196 JYV262131:JYV262196 KIR262131:KIR262196 KSN262131:KSN262196 LCJ262131:LCJ262196 LMF262131:LMF262196 LWB262131:LWB262196 MFX262131:MFX262196 MPT262131:MPT262196 MZP262131:MZP262196 NJL262131:NJL262196 NTH262131:NTH262196 ODD262131:ODD262196 OMZ262131:OMZ262196 OWV262131:OWV262196 PGR262131:PGR262196 PQN262131:PQN262196 QAJ262131:QAJ262196 QKF262131:QKF262196 QUB262131:QUB262196 RDX262131:RDX262196 RNT262131:RNT262196 RXP262131:RXP262196 SHL262131:SHL262196 SRH262131:SRH262196 TBD262131:TBD262196 TKZ262131:TKZ262196 TUV262131:TUV262196 UER262131:UER262196 UON262131:UON262196 UYJ262131:UYJ262196 VIF262131:VIF262196 VSB262131:VSB262196 WBX262131:WBX262196 WLT262131:WLT262196 WVP262131:WVP262196 H327667:H327732 JD327667:JD327732 SZ327667:SZ327732 ACV327667:ACV327732 AMR327667:AMR327732 AWN327667:AWN327732 BGJ327667:BGJ327732 BQF327667:BQF327732 CAB327667:CAB327732 CJX327667:CJX327732 CTT327667:CTT327732 DDP327667:DDP327732 DNL327667:DNL327732 DXH327667:DXH327732 EHD327667:EHD327732 EQZ327667:EQZ327732 FAV327667:FAV327732 FKR327667:FKR327732 FUN327667:FUN327732 GEJ327667:GEJ327732 GOF327667:GOF327732 GYB327667:GYB327732 HHX327667:HHX327732 HRT327667:HRT327732 IBP327667:IBP327732 ILL327667:ILL327732 IVH327667:IVH327732 JFD327667:JFD327732 JOZ327667:JOZ327732 JYV327667:JYV327732 KIR327667:KIR327732 KSN327667:KSN327732 LCJ327667:LCJ327732 LMF327667:LMF327732 LWB327667:LWB327732 MFX327667:MFX327732 MPT327667:MPT327732 MZP327667:MZP327732 NJL327667:NJL327732 NTH327667:NTH327732 ODD327667:ODD327732 OMZ327667:OMZ327732 OWV327667:OWV327732 PGR327667:PGR327732 PQN327667:PQN327732 QAJ327667:QAJ327732 QKF327667:QKF327732 QUB327667:QUB327732 RDX327667:RDX327732 RNT327667:RNT327732 RXP327667:RXP327732 SHL327667:SHL327732 SRH327667:SRH327732 TBD327667:TBD327732 TKZ327667:TKZ327732 TUV327667:TUV327732 UER327667:UER327732 UON327667:UON327732 UYJ327667:UYJ327732 VIF327667:VIF327732 VSB327667:VSB327732 WBX327667:WBX327732 WLT327667:WLT327732 WVP327667:WVP327732 H393203:H393268 JD393203:JD393268 SZ393203:SZ393268 ACV393203:ACV393268 AMR393203:AMR393268 AWN393203:AWN393268 BGJ393203:BGJ393268 BQF393203:BQF393268 CAB393203:CAB393268 CJX393203:CJX393268 CTT393203:CTT393268 DDP393203:DDP393268 DNL393203:DNL393268 DXH393203:DXH393268 EHD393203:EHD393268 EQZ393203:EQZ393268 FAV393203:FAV393268 FKR393203:FKR393268 FUN393203:FUN393268 GEJ393203:GEJ393268 GOF393203:GOF393268 GYB393203:GYB393268 HHX393203:HHX393268 HRT393203:HRT393268 IBP393203:IBP393268 ILL393203:ILL393268 IVH393203:IVH393268 JFD393203:JFD393268 JOZ393203:JOZ393268 JYV393203:JYV393268 KIR393203:KIR393268 KSN393203:KSN393268 LCJ393203:LCJ393268 LMF393203:LMF393268 LWB393203:LWB393268 MFX393203:MFX393268 MPT393203:MPT393268 MZP393203:MZP393268 NJL393203:NJL393268 NTH393203:NTH393268 ODD393203:ODD393268 OMZ393203:OMZ393268 OWV393203:OWV393268 PGR393203:PGR393268 PQN393203:PQN393268 QAJ393203:QAJ393268 QKF393203:QKF393268 QUB393203:QUB393268 RDX393203:RDX393268 RNT393203:RNT393268 RXP393203:RXP393268 SHL393203:SHL393268 SRH393203:SRH393268 TBD393203:TBD393268 TKZ393203:TKZ393268 TUV393203:TUV393268 UER393203:UER393268 UON393203:UON393268 UYJ393203:UYJ393268 VIF393203:VIF393268 VSB393203:VSB393268 WBX393203:WBX393268 WLT393203:WLT393268 WVP393203:WVP393268 H458739:H458804 JD458739:JD458804 SZ458739:SZ458804 ACV458739:ACV458804 AMR458739:AMR458804 AWN458739:AWN458804 BGJ458739:BGJ458804 BQF458739:BQF458804 CAB458739:CAB458804 CJX458739:CJX458804 CTT458739:CTT458804 DDP458739:DDP458804 DNL458739:DNL458804 DXH458739:DXH458804 EHD458739:EHD458804 EQZ458739:EQZ458804 FAV458739:FAV458804 FKR458739:FKR458804 FUN458739:FUN458804 GEJ458739:GEJ458804 GOF458739:GOF458804 GYB458739:GYB458804 HHX458739:HHX458804 HRT458739:HRT458804 IBP458739:IBP458804 ILL458739:ILL458804 IVH458739:IVH458804 JFD458739:JFD458804 JOZ458739:JOZ458804 JYV458739:JYV458804 KIR458739:KIR458804 KSN458739:KSN458804 LCJ458739:LCJ458804 LMF458739:LMF458804 LWB458739:LWB458804 MFX458739:MFX458804 MPT458739:MPT458804 MZP458739:MZP458804 NJL458739:NJL458804 NTH458739:NTH458804 ODD458739:ODD458804 OMZ458739:OMZ458804 OWV458739:OWV458804 PGR458739:PGR458804 PQN458739:PQN458804 QAJ458739:QAJ458804 QKF458739:QKF458804 QUB458739:QUB458804 RDX458739:RDX458804 RNT458739:RNT458804 RXP458739:RXP458804 SHL458739:SHL458804 SRH458739:SRH458804 TBD458739:TBD458804 TKZ458739:TKZ458804 TUV458739:TUV458804 UER458739:UER458804 UON458739:UON458804 UYJ458739:UYJ458804 VIF458739:VIF458804 VSB458739:VSB458804 WBX458739:WBX458804 WLT458739:WLT458804 WVP458739:WVP458804 H524275:H524340 JD524275:JD524340 SZ524275:SZ524340 ACV524275:ACV524340 AMR524275:AMR524340 AWN524275:AWN524340 BGJ524275:BGJ524340 BQF524275:BQF524340 CAB524275:CAB524340 CJX524275:CJX524340 CTT524275:CTT524340 DDP524275:DDP524340 DNL524275:DNL524340 DXH524275:DXH524340 EHD524275:EHD524340 EQZ524275:EQZ524340 FAV524275:FAV524340 FKR524275:FKR524340 FUN524275:FUN524340 GEJ524275:GEJ524340 GOF524275:GOF524340 GYB524275:GYB524340 HHX524275:HHX524340 HRT524275:HRT524340 IBP524275:IBP524340 ILL524275:ILL524340 IVH524275:IVH524340 JFD524275:JFD524340 JOZ524275:JOZ524340 JYV524275:JYV524340 KIR524275:KIR524340 KSN524275:KSN524340 LCJ524275:LCJ524340 LMF524275:LMF524340 LWB524275:LWB524340 MFX524275:MFX524340 MPT524275:MPT524340 MZP524275:MZP524340 NJL524275:NJL524340 NTH524275:NTH524340 ODD524275:ODD524340 OMZ524275:OMZ524340 OWV524275:OWV524340 PGR524275:PGR524340 PQN524275:PQN524340 QAJ524275:QAJ524340 QKF524275:QKF524340 QUB524275:QUB524340 RDX524275:RDX524340 RNT524275:RNT524340 RXP524275:RXP524340 SHL524275:SHL524340 SRH524275:SRH524340 TBD524275:TBD524340 TKZ524275:TKZ524340 TUV524275:TUV524340 UER524275:UER524340 UON524275:UON524340 UYJ524275:UYJ524340 VIF524275:VIF524340 VSB524275:VSB524340 WBX524275:WBX524340 WLT524275:WLT524340 WVP524275:WVP524340 H589811:H589876 JD589811:JD589876 SZ589811:SZ589876 ACV589811:ACV589876 AMR589811:AMR589876 AWN589811:AWN589876 BGJ589811:BGJ589876 BQF589811:BQF589876 CAB589811:CAB589876 CJX589811:CJX589876 CTT589811:CTT589876 DDP589811:DDP589876 DNL589811:DNL589876 DXH589811:DXH589876 EHD589811:EHD589876 EQZ589811:EQZ589876 FAV589811:FAV589876 FKR589811:FKR589876 FUN589811:FUN589876 GEJ589811:GEJ589876 GOF589811:GOF589876 GYB589811:GYB589876 HHX589811:HHX589876 HRT589811:HRT589876 IBP589811:IBP589876 ILL589811:ILL589876 IVH589811:IVH589876 JFD589811:JFD589876 JOZ589811:JOZ589876 JYV589811:JYV589876 KIR589811:KIR589876 KSN589811:KSN589876 LCJ589811:LCJ589876 LMF589811:LMF589876 LWB589811:LWB589876 MFX589811:MFX589876 MPT589811:MPT589876 MZP589811:MZP589876 NJL589811:NJL589876 NTH589811:NTH589876 ODD589811:ODD589876 OMZ589811:OMZ589876 OWV589811:OWV589876 PGR589811:PGR589876 PQN589811:PQN589876 QAJ589811:QAJ589876 QKF589811:QKF589876 QUB589811:QUB589876 RDX589811:RDX589876 RNT589811:RNT589876 RXP589811:RXP589876 SHL589811:SHL589876 SRH589811:SRH589876 TBD589811:TBD589876 TKZ589811:TKZ589876 TUV589811:TUV589876 UER589811:UER589876 UON589811:UON589876 UYJ589811:UYJ589876 VIF589811:VIF589876 VSB589811:VSB589876 WBX589811:WBX589876 WLT589811:WLT589876 WVP589811:WVP589876 H655347:H655412 JD655347:JD655412 SZ655347:SZ655412 ACV655347:ACV655412 AMR655347:AMR655412 AWN655347:AWN655412 BGJ655347:BGJ655412 BQF655347:BQF655412 CAB655347:CAB655412 CJX655347:CJX655412 CTT655347:CTT655412 DDP655347:DDP655412 DNL655347:DNL655412 DXH655347:DXH655412 EHD655347:EHD655412 EQZ655347:EQZ655412 FAV655347:FAV655412 FKR655347:FKR655412 FUN655347:FUN655412 GEJ655347:GEJ655412 GOF655347:GOF655412 GYB655347:GYB655412 HHX655347:HHX655412 HRT655347:HRT655412 IBP655347:IBP655412 ILL655347:ILL655412 IVH655347:IVH655412 JFD655347:JFD655412 JOZ655347:JOZ655412 JYV655347:JYV655412 KIR655347:KIR655412 KSN655347:KSN655412 LCJ655347:LCJ655412 LMF655347:LMF655412 LWB655347:LWB655412 MFX655347:MFX655412 MPT655347:MPT655412 MZP655347:MZP655412 NJL655347:NJL655412 NTH655347:NTH655412 ODD655347:ODD655412 OMZ655347:OMZ655412 OWV655347:OWV655412 PGR655347:PGR655412 PQN655347:PQN655412 QAJ655347:QAJ655412 QKF655347:QKF655412 QUB655347:QUB655412 RDX655347:RDX655412 RNT655347:RNT655412 RXP655347:RXP655412 SHL655347:SHL655412 SRH655347:SRH655412 TBD655347:TBD655412 TKZ655347:TKZ655412 TUV655347:TUV655412 UER655347:UER655412 UON655347:UON655412 UYJ655347:UYJ655412 VIF655347:VIF655412 VSB655347:VSB655412 WBX655347:WBX655412 WLT655347:WLT655412 WVP655347:WVP655412 H720883:H720948 JD720883:JD720948 SZ720883:SZ720948 ACV720883:ACV720948 AMR720883:AMR720948 AWN720883:AWN720948 BGJ720883:BGJ720948 BQF720883:BQF720948 CAB720883:CAB720948 CJX720883:CJX720948 CTT720883:CTT720948 DDP720883:DDP720948 DNL720883:DNL720948 DXH720883:DXH720948 EHD720883:EHD720948 EQZ720883:EQZ720948 FAV720883:FAV720948 FKR720883:FKR720948 FUN720883:FUN720948 GEJ720883:GEJ720948 GOF720883:GOF720948 GYB720883:GYB720948 HHX720883:HHX720948 HRT720883:HRT720948 IBP720883:IBP720948 ILL720883:ILL720948 IVH720883:IVH720948 JFD720883:JFD720948 JOZ720883:JOZ720948 JYV720883:JYV720948 KIR720883:KIR720948 KSN720883:KSN720948 LCJ720883:LCJ720948 LMF720883:LMF720948 LWB720883:LWB720948 MFX720883:MFX720948 MPT720883:MPT720948 MZP720883:MZP720948 NJL720883:NJL720948 NTH720883:NTH720948 ODD720883:ODD720948 OMZ720883:OMZ720948 OWV720883:OWV720948 PGR720883:PGR720948 PQN720883:PQN720948 QAJ720883:QAJ720948 QKF720883:QKF720948 QUB720883:QUB720948 RDX720883:RDX720948 RNT720883:RNT720948 RXP720883:RXP720948 SHL720883:SHL720948 SRH720883:SRH720948 TBD720883:TBD720948 TKZ720883:TKZ720948 TUV720883:TUV720948 UER720883:UER720948 UON720883:UON720948 UYJ720883:UYJ720948 VIF720883:VIF720948 VSB720883:VSB720948 WBX720883:WBX720948 WLT720883:WLT720948 WVP720883:WVP720948 H786419:H786484 JD786419:JD786484 SZ786419:SZ786484 ACV786419:ACV786484 AMR786419:AMR786484 AWN786419:AWN786484 BGJ786419:BGJ786484 BQF786419:BQF786484 CAB786419:CAB786484 CJX786419:CJX786484 CTT786419:CTT786484 DDP786419:DDP786484 DNL786419:DNL786484 DXH786419:DXH786484 EHD786419:EHD786484 EQZ786419:EQZ786484 FAV786419:FAV786484 FKR786419:FKR786484 FUN786419:FUN786484 GEJ786419:GEJ786484 GOF786419:GOF786484 GYB786419:GYB786484 HHX786419:HHX786484 HRT786419:HRT786484 IBP786419:IBP786484 ILL786419:ILL786484 IVH786419:IVH786484 JFD786419:JFD786484 JOZ786419:JOZ786484 JYV786419:JYV786484 KIR786419:KIR786484 KSN786419:KSN786484 LCJ786419:LCJ786484 LMF786419:LMF786484 LWB786419:LWB786484 MFX786419:MFX786484 MPT786419:MPT786484 MZP786419:MZP786484 NJL786419:NJL786484 NTH786419:NTH786484 ODD786419:ODD786484 OMZ786419:OMZ786484 OWV786419:OWV786484 PGR786419:PGR786484 PQN786419:PQN786484 QAJ786419:QAJ786484 QKF786419:QKF786484 QUB786419:QUB786484 RDX786419:RDX786484 RNT786419:RNT786484 RXP786419:RXP786484 SHL786419:SHL786484 SRH786419:SRH786484 TBD786419:TBD786484 TKZ786419:TKZ786484 TUV786419:TUV786484 UER786419:UER786484 UON786419:UON786484 UYJ786419:UYJ786484 VIF786419:VIF786484 VSB786419:VSB786484 WBX786419:WBX786484 WLT786419:WLT786484 WVP786419:WVP786484 H851955:H852020 JD851955:JD852020 SZ851955:SZ852020 ACV851955:ACV852020 AMR851955:AMR852020 AWN851955:AWN852020 BGJ851955:BGJ852020 BQF851955:BQF852020 CAB851955:CAB852020 CJX851955:CJX852020 CTT851955:CTT852020 DDP851955:DDP852020 DNL851955:DNL852020 DXH851955:DXH852020 EHD851955:EHD852020 EQZ851955:EQZ852020 FAV851955:FAV852020 FKR851955:FKR852020 FUN851955:FUN852020 GEJ851955:GEJ852020 GOF851955:GOF852020 GYB851955:GYB852020 HHX851955:HHX852020 HRT851955:HRT852020 IBP851955:IBP852020 ILL851955:ILL852020 IVH851955:IVH852020 JFD851955:JFD852020 JOZ851955:JOZ852020 JYV851955:JYV852020 KIR851955:KIR852020 KSN851955:KSN852020 LCJ851955:LCJ852020 LMF851955:LMF852020 LWB851955:LWB852020 MFX851955:MFX852020 MPT851955:MPT852020 MZP851955:MZP852020 NJL851955:NJL852020 NTH851955:NTH852020 ODD851955:ODD852020 OMZ851955:OMZ852020 OWV851955:OWV852020 PGR851955:PGR852020 PQN851955:PQN852020 QAJ851955:QAJ852020 QKF851955:QKF852020 QUB851955:QUB852020 RDX851955:RDX852020 RNT851955:RNT852020 RXP851955:RXP852020 SHL851955:SHL852020 SRH851955:SRH852020 TBD851955:TBD852020 TKZ851955:TKZ852020 TUV851955:TUV852020 UER851955:UER852020 UON851955:UON852020 UYJ851955:UYJ852020 VIF851955:VIF852020 VSB851955:VSB852020 WBX851955:WBX852020 WLT851955:WLT852020 WVP851955:WVP852020 H917491:H917556 JD917491:JD917556 SZ917491:SZ917556 ACV917491:ACV917556 AMR917491:AMR917556 AWN917491:AWN917556 BGJ917491:BGJ917556 BQF917491:BQF917556 CAB917491:CAB917556 CJX917491:CJX917556 CTT917491:CTT917556 DDP917491:DDP917556 DNL917491:DNL917556 DXH917491:DXH917556 EHD917491:EHD917556 EQZ917491:EQZ917556 FAV917491:FAV917556 FKR917491:FKR917556 FUN917491:FUN917556 GEJ917491:GEJ917556 GOF917491:GOF917556 GYB917491:GYB917556 HHX917491:HHX917556 HRT917491:HRT917556 IBP917491:IBP917556 ILL917491:ILL917556 IVH917491:IVH917556 JFD917491:JFD917556 JOZ917491:JOZ917556 JYV917491:JYV917556 KIR917491:KIR917556 KSN917491:KSN917556 LCJ917491:LCJ917556 LMF917491:LMF917556 LWB917491:LWB917556 MFX917491:MFX917556 MPT917491:MPT917556 MZP917491:MZP917556 NJL917491:NJL917556 NTH917491:NTH917556 ODD917491:ODD917556 OMZ917491:OMZ917556 OWV917491:OWV917556 PGR917491:PGR917556 PQN917491:PQN917556 QAJ917491:QAJ917556 QKF917491:QKF917556 QUB917491:QUB917556 RDX917491:RDX917556 RNT917491:RNT917556 RXP917491:RXP917556 SHL917491:SHL917556 SRH917491:SRH917556 TBD917491:TBD917556 TKZ917491:TKZ917556 TUV917491:TUV917556 UER917491:UER917556 UON917491:UON917556 UYJ917491:UYJ917556 VIF917491:VIF917556 VSB917491:VSB917556 WBX917491:WBX917556 WLT917491:WLT917556 WVP917491:WVP917556 H983027:H983092 JD983027:JD983092 SZ983027:SZ983092 ACV983027:ACV983092 AMR983027:AMR983092 AWN983027:AWN983092 BGJ983027:BGJ983092 BQF983027:BQF983092 CAB983027:CAB983092 CJX983027:CJX983092 CTT983027:CTT983092 DDP983027:DDP983092 DNL983027:DNL983092 DXH983027:DXH983092 EHD983027:EHD983092 EQZ983027:EQZ983092 FAV983027:FAV983092 FKR983027:FKR983092 FUN983027:FUN983092 GEJ983027:GEJ983092 GOF983027:GOF983092 GYB983027:GYB983092 HHX983027:HHX983092 HRT983027:HRT983092 IBP983027:IBP983092 ILL983027:ILL983092 IVH983027:IVH983092 JFD983027:JFD983092 JOZ983027:JOZ983092 JYV983027:JYV983092 KIR983027:KIR983092 KSN983027:KSN983092 LCJ983027:LCJ983092 LMF983027:LMF983092 LWB983027:LWB983092 MFX983027:MFX983092 MPT983027:MPT983092 MZP983027:MZP983092 NJL983027:NJL983092 NTH983027:NTH983092 ODD983027:ODD983092 OMZ983027:OMZ983092 OWV983027:OWV983092 PGR983027:PGR983092 PQN983027:PQN983092 QAJ983027:QAJ983092 QKF983027:QKF983092 QUB983027:QUB983092 RDX983027:RDX983092 RNT983027:RNT983092 RXP983027:RXP983092 SHL983027:SHL983092 SRH983027:SRH983092 TBD983027:TBD983092 TKZ983027:TKZ983092 TUV983027:TUV983092 UER983027:UER983092 UON983027:UON983092 UYJ983027:UYJ983092 VIF983027:VIF983092 VSB983027:VSB983092 WBX983027:WBX983092 WLT983027:WLT983092 WVP2:WVP72 JD2:JD72 SZ2:SZ72 ACV2:ACV72 AMR2:AMR72 AWN2:AWN72 BGJ2:BGJ72 BQF2:BQF72 CAB2:CAB72 CJX2:CJX72 CTT2:CTT72 DDP2:DDP72 DNL2:DNL72 DXH2:DXH72 EHD2:EHD72 EQZ2:EQZ72 FAV2:FAV72 FKR2:FKR72 FUN2:FUN72 GEJ2:GEJ72 GOF2:GOF72 GYB2:GYB72 HHX2:HHX72 HRT2:HRT72 IBP2:IBP72 ILL2:ILL72 IVH2:IVH72 JFD2:JFD72 JOZ2:JOZ72 JYV2:JYV72 KIR2:KIR72 KSN2:KSN72 LCJ2:LCJ72 LMF2:LMF72 LWB2:LWB72 MFX2:MFX72 MPT2:MPT72 MZP2:MZP72 NJL2:NJL72 NTH2:NTH72 ODD2:ODD72 OMZ2:OMZ72 OWV2:OWV72 PGR2:PGR72 PQN2:PQN72 QAJ2:QAJ72 QKF2:QKF72 QUB2:QUB72 RDX2:RDX72 RNT2:RNT72 RXP2:RXP72 SHL2:SHL72 SRH2:SRH72 TBD2:TBD72 TKZ2:TKZ72 TUV2:TUV72 UER2:UER72 UON2:UON72 UYJ2:UYJ72 VIF2:VIF72 VSB2:VSB72 WBX2:WBX72 WLT2:WLT72" xr:uid="{2FD65540-DA9E-4BC3-B6EF-98FC0B611689}">
      <formula1>$AL$4:$AL$12</formula1>
    </dataValidation>
    <dataValidation type="list" allowBlank="1" showInputMessage="1" showErrorMessage="1" sqref="A64348:A64413 IW64348:IW64413 SS64348:SS64413 ACO64348:ACO64413 AMK64348:AMK64413 AWG64348:AWG64413 BGC64348:BGC64413 BPY64348:BPY64413 BZU64348:BZU64413 CJQ64348:CJQ64413 CTM64348:CTM64413 DDI64348:DDI64413 DNE64348:DNE64413 DXA64348:DXA64413 EGW64348:EGW64413 EQS64348:EQS64413 FAO64348:FAO64413 FKK64348:FKK64413 FUG64348:FUG64413 GEC64348:GEC64413 GNY64348:GNY64413 GXU64348:GXU64413 HHQ64348:HHQ64413 HRM64348:HRM64413 IBI64348:IBI64413 ILE64348:ILE64413 IVA64348:IVA64413 JEW64348:JEW64413 JOS64348:JOS64413 JYO64348:JYO64413 KIK64348:KIK64413 KSG64348:KSG64413 LCC64348:LCC64413 LLY64348:LLY64413 LVU64348:LVU64413 MFQ64348:MFQ64413 MPM64348:MPM64413 MZI64348:MZI64413 NJE64348:NJE64413 NTA64348:NTA64413 OCW64348:OCW64413 OMS64348:OMS64413 OWO64348:OWO64413 PGK64348:PGK64413 PQG64348:PQG64413 QAC64348:QAC64413 QJY64348:QJY64413 QTU64348:QTU64413 RDQ64348:RDQ64413 RNM64348:RNM64413 RXI64348:RXI64413 SHE64348:SHE64413 SRA64348:SRA64413 TAW64348:TAW64413 TKS64348:TKS64413 TUO64348:TUO64413 UEK64348:UEK64413 UOG64348:UOG64413 UYC64348:UYC64413 VHY64348:VHY64413 VRU64348:VRU64413 WBQ64348:WBQ64413 WLM64348:WLM64413 WVI64348:WVI64413 A129884:A129949 IW129884:IW129949 SS129884:SS129949 ACO129884:ACO129949 AMK129884:AMK129949 AWG129884:AWG129949 BGC129884:BGC129949 BPY129884:BPY129949 BZU129884:BZU129949 CJQ129884:CJQ129949 CTM129884:CTM129949 DDI129884:DDI129949 DNE129884:DNE129949 DXA129884:DXA129949 EGW129884:EGW129949 EQS129884:EQS129949 FAO129884:FAO129949 FKK129884:FKK129949 FUG129884:FUG129949 GEC129884:GEC129949 GNY129884:GNY129949 GXU129884:GXU129949 HHQ129884:HHQ129949 HRM129884:HRM129949 IBI129884:IBI129949 ILE129884:ILE129949 IVA129884:IVA129949 JEW129884:JEW129949 JOS129884:JOS129949 JYO129884:JYO129949 KIK129884:KIK129949 KSG129884:KSG129949 LCC129884:LCC129949 LLY129884:LLY129949 LVU129884:LVU129949 MFQ129884:MFQ129949 MPM129884:MPM129949 MZI129884:MZI129949 NJE129884:NJE129949 NTA129884:NTA129949 OCW129884:OCW129949 OMS129884:OMS129949 OWO129884:OWO129949 PGK129884:PGK129949 PQG129884:PQG129949 QAC129884:QAC129949 QJY129884:QJY129949 QTU129884:QTU129949 RDQ129884:RDQ129949 RNM129884:RNM129949 RXI129884:RXI129949 SHE129884:SHE129949 SRA129884:SRA129949 TAW129884:TAW129949 TKS129884:TKS129949 TUO129884:TUO129949 UEK129884:UEK129949 UOG129884:UOG129949 UYC129884:UYC129949 VHY129884:VHY129949 VRU129884:VRU129949 WBQ129884:WBQ129949 WLM129884:WLM129949 WVI129884:WVI129949 A195420:A195485 IW195420:IW195485 SS195420:SS195485 ACO195420:ACO195485 AMK195420:AMK195485 AWG195420:AWG195485 BGC195420:BGC195485 BPY195420:BPY195485 BZU195420:BZU195485 CJQ195420:CJQ195485 CTM195420:CTM195485 DDI195420:DDI195485 DNE195420:DNE195485 DXA195420:DXA195485 EGW195420:EGW195485 EQS195420:EQS195485 FAO195420:FAO195485 FKK195420:FKK195485 FUG195420:FUG195485 GEC195420:GEC195485 GNY195420:GNY195485 GXU195420:GXU195485 HHQ195420:HHQ195485 HRM195420:HRM195485 IBI195420:IBI195485 ILE195420:ILE195485 IVA195420:IVA195485 JEW195420:JEW195485 JOS195420:JOS195485 JYO195420:JYO195485 KIK195420:KIK195485 KSG195420:KSG195485 LCC195420:LCC195485 LLY195420:LLY195485 LVU195420:LVU195485 MFQ195420:MFQ195485 MPM195420:MPM195485 MZI195420:MZI195485 NJE195420:NJE195485 NTA195420:NTA195485 OCW195420:OCW195485 OMS195420:OMS195485 OWO195420:OWO195485 PGK195420:PGK195485 PQG195420:PQG195485 QAC195420:QAC195485 QJY195420:QJY195485 QTU195420:QTU195485 RDQ195420:RDQ195485 RNM195420:RNM195485 RXI195420:RXI195485 SHE195420:SHE195485 SRA195420:SRA195485 TAW195420:TAW195485 TKS195420:TKS195485 TUO195420:TUO195485 UEK195420:UEK195485 UOG195420:UOG195485 UYC195420:UYC195485 VHY195420:VHY195485 VRU195420:VRU195485 WBQ195420:WBQ195485 WLM195420:WLM195485 WVI195420:WVI195485 A260956:A261021 IW260956:IW261021 SS260956:SS261021 ACO260956:ACO261021 AMK260956:AMK261021 AWG260956:AWG261021 BGC260956:BGC261021 BPY260956:BPY261021 BZU260956:BZU261021 CJQ260956:CJQ261021 CTM260956:CTM261021 DDI260956:DDI261021 DNE260956:DNE261021 DXA260956:DXA261021 EGW260956:EGW261021 EQS260956:EQS261021 FAO260956:FAO261021 FKK260956:FKK261021 FUG260956:FUG261021 GEC260956:GEC261021 GNY260956:GNY261021 GXU260956:GXU261021 HHQ260956:HHQ261021 HRM260956:HRM261021 IBI260956:IBI261021 ILE260956:ILE261021 IVA260956:IVA261021 JEW260956:JEW261021 JOS260956:JOS261021 JYO260956:JYO261021 KIK260956:KIK261021 KSG260956:KSG261021 LCC260956:LCC261021 LLY260956:LLY261021 LVU260956:LVU261021 MFQ260956:MFQ261021 MPM260956:MPM261021 MZI260956:MZI261021 NJE260956:NJE261021 NTA260956:NTA261021 OCW260956:OCW261021 OMS260956:OMS261021 OWO260956:OWO261021 PGK260956:PGK261021 PQG260956:PQG261021 QAC260956:QAC261021 QJY260956:QJY261021 QTU260956:QTU261021 RDQ260956:RDQ261021 RNM260956:RNM261021 RXI260956:RXI261021 SHE260956:SHE261021 SRA260956:SRA261021 TAW260956:TAW261021 TKS260956:TKS261021 TUO260956:TUO261021 UEK260956:UEK261021 UOG260956:UOG261021 UYC260956:UYC261021 VHY260956:VHY261021 VRU260956:VRU261021 WBQ260956:WBQ261021 WLM260956:WLM261021 WVI260956:WVI261021 A326492:A326557 IW326492:IW326557 SS326492:SS326557 ACO326492:ACO326557 AMK326492:AMK326557 AWG326492:AWG326557 BGC326492:BGC326557 BPY326492:BPY326557 BZU326492:BZU326557 CJQ326492:CJQ326557 CTM326492:CTM326557 DDI326492:DDI326557 DNE326492:DNE326557 DXA326492:DXA326557 EGW326492:EGW326557 EQS326492:EQS326557 FAO326492:FAO326557 FKK326492:FKK326557 FUG326492:FUG326557 GEC326492:GEC326557 GNY326492:GNY326557 GXU326492:GXU326557 HHQ326492:HHQ326557 HRM326492:HRM326557 IBI326492:IBI326557 ILE326492:ILE326557 IVA326492:IVA326557 JEW326492:JEW326557 JOS326492:JOS326557 JYO326492:JYO326557 KIK326492:KIK326557 KSG326492:KSG326557 LCC326492:LCC326557 LLY326492:LLY326557 LVU326492:LVU326557 MFQ326492:MFQ326557 MPM326492:MPM326557 MZI326492:MZI326557 NJE326492:NJE326557 NTA326492:NTA326557 OCW326492:OCW326557 OMS326492:OMS326557 OWO326492:OWO326557 PGK326492:PGK326557 PQG326492:PQG326557 QAC326492:QAC326557 QJY326492:QJY326557 QTU326492:QTU326557 RDQ326492:RDQ326557 RNM326492:RNM326557 RXI326492:RXI326557 SHE326492:SHE326557 SRA326492:SRA326557 TAW326492:TAW326557 TKS326492:TKS326557 TUO326492:TUO326557 UEK326492:UEK326557 UOG326492:UOG326557 UYC326492:UYC326557 VHY326492:VHY326557 VRU326492:VRU326557 WBQ326492:WBQ326557 WLM326492:WLM326557 WVI326492:WVI326557 A392028:A392093 IW392028:IW392093 SS392028:SS392093 ACO392028:ACO392093 AMK392028:AMK392093 AWG392028:AWG392093 BGC392028:BGC392093 BPY392028:BPY392093 BZU392028:BZU392093 CJQ392028:CJQ392093 CTM392028:CTM392093 DDI392028:DDI392093 DNE392028:DNE392093 DXA392028:DXA392093 EGW392028:EGW392093 EQS392028:EQS392093 FAO392028:FAO392093 FKK392028:FKK392093 FUG392028:FUG392093 GEC392028:GEC392093 GNY392028:GNY392093 GXU392028:GXU392093 HHQ392028:HHQ392093 HRM392028:HRM392093 IBI392028:IBI392093 ILE392028:ILE392093 IVA392028:IVA392093 JEW392028:JEW392093 JOS392028:JOS392093 JYO392028:JYO392093 KIK392028:KIK392093 KSG392028:KSG392093 LCC392028:LCC392093 LLY392028:LLY392093 LVU392028:LVU392093 MFQ392028:MFQ392093 MPM392028:MPM392093 MZI392028:MZI392093 NJE392028:NJE392093 NTA392028:NTA392093 OCW392028:OCW392093 OMS392028:OMS392093 OWO392028:OWO392093 PGK392028:PGK392093 PQG392028:PQG392093 QAC392028:QAC392093 QJY392028:QJY392093 QTU392028:QTU392093 RDQ392028:RDQ392093 RNM392028:RNM392093 RXI392028:RXI392093 SHE392028:SHE392093 SRA392028:SRA392093 TAW392028:TAW392093 TKS392028:TKS392093 TUO392028:TUO392093 UEK392028:UEK392093 UOG392028:UOG392093 UYC392028:UYC392093 VHY392028:VHY392093 VRU392028:VRU392093 WBQ392028:WBQ392093 WLM392028:WLM392093 WVI392028:WVI392093 A457564:A457629 IW457564:IW457629 SS457564:SS457629 ACO457564:ACO457629 AMK457564:AMK457629 AWG457564:AWG457629 BGC457564:BGC457629 BPY457564:BPY457629 BZU457564:BZU457629 CJQ457564:CJQ457629 CTM457564:CTM457629 DDI457564:DDI457629 DNE457564:DNE457629 DXA457564:DXA457629 EGW457564:EGW457629 EQS457564:EQS457629 FAO457564:FAO457629 FKK457564:FKK457629 FUG457564:FUG457629 GEC457564:GEC457629 GNY457564:GNY457629 GXU457564:GXU457629 HHQ457564:HHQ457629 HRM457564:HRM457629 IBI457564:IBI457629 ILE457564:ILE457629 IVA457564:IVA457629 JEW457564:JEW457629 JOS457564:JOS457629 JYO457564:JYO457629 KIK457564:KIK457629 KSG457564:KSG457629 LCC457564:LCC457629 LLY457564:LLY457629 LVU457564:LVU457629 MFQ457564:MFQ457629 MPM457564:MPM457629 MZI457564:MZI457629 NJE457564:NJE457629 NTA457564:NTA457629 OCW457564:OCW457629 OMS457564:OMS457629 OWO457564:OWO457629 PGK457564:PGK457629 PQG457564:PQG457629 QAC457564:QAC457629 QJY457564:QJY457629 QTU457564:QTU457629 RDQ457564:RDQ457629 RNM457564:RNM457629 RXI457564:RXI457629 SHE457564:SHE457629 SRA457564:SRA457629 TAW457564:TAW457629 TKS457564:TKS457629 TUO457564:TUO457629 UEK457564:UEK457629 UOG457564:UOG457629 UYC457564:UYC457629 VHY457564:VHY457629 VRU457564:VRU457629 WBQ457564:WBQ457629 WLM457564:WLM457629 WVI457564:WVI457629 A523100:A523165 IW523100:IW523165 SS523100:SS523165 ACO523100:ACO523165 AMK523100:AMK523165 AWG523100:AWG523165 BGC523100:BGC523165 BPY523100:BPY523165 BZU523100:BZU523165 CJQ523100:CJQ523165 CTM523100:CTM523165 DDI523100:DDI523165 DNE523100:DNE523165 DXA523100:DXA523165 EGW523100:EGW523165 EQS523100:EQS523165 FAO523100:FAO523165 FKK523100:FKK523165 FUG523100:FUG523165 GEC523100:GEC523165 GNY523100:GNY523165 GXU523100:GXU523165 HHQ523100:HHQ523165 HRM523100:HRM523165 IBI523100:IBI523165 ILE523100:ILE523165 IVA523100:IVA523165 JEW523100:JEW523165 JOS523100:JOS523165 JYO523100:JYO523165 KIK523100:KIK523165 KSG523100:KSG523165 LCC523100:LCC523165 LLY523100:LLY523165 LVU523100:LVU523165 MFQ523100:MFQ523165 MPM523100:MPM523165 MZI523100:MZI523165 NJE523100:NJE523165 NTA523100:NTA523165 OCW523100:OCW523165 OMS523100:OMS523165 OWO523100:OWO523165 PGK523100:PGK523165 PQG523100:PQG523165 QAC523100:QAC523165 QJY523100:QJY523165 QTU523100:QTU523165 RDQ523100:RDQ523165 RNM523100:RNM523165 RXI523100:RXI523165 SHE523100:SHE523165 SRA523100:SRA523165 TAW523100:TAW523165 TKS523100:TKS523165 TUO523100:TUO523165 UEK523100:UEK523165 UOG523100:UOG523165 UYC523100:UYC523165 VHY523100:VHY523165 VRU523100:VRU523165 WBQ523100:WBQ523165 WLM523100:WLM523165 WVI523100:WVI523165 A588636:A588701 IW588636:IW588701 SS588636:SS588701 ACO588636:ACO588701 AMK588636:AMK588701 AWG588636:AWG588701 BGC588636:BGC588701 BPY588636:BPY588701 BZU588636:BZU588701 CJQ588636:CJQ588701 CTM588636:CTM588701 DDI588636:DDI588701 DNE588636:DNE588701 DXA588636:DXA588701 EGW588636:EGW588701 EQS588636:EQS588701 FAO588636:FAO588701 FKK588636:FKK588701 FUG588636:FUG588701 GEC588636:GEC588701 GNY588636:GNY588701 GXU588636:GXU588701 HHQ588636:HHQ588701 HRM588636:HRM588701 IBI588636:IBI588701 ILE588636:ILE588701 IVA588636:IVA588701 JEW588636:JEW588701 JOS588636:JOS588701 JYO588636:JYO588701 KIK588636:KIK588701 KSG588636:KSG588701 LCC588636:LCC588701 LLY588636:LLY588701 LVU588636:LVU588701 MFQ588636:MFQ588701 MPM588636:MPM588701 MZI588636:MZI588701 NJE588636:NJE588701 NTA588636:NTA588701 OCW588636:OCW588701 OMS588636:OMS588701 OWO588636:OWO588701 PGK588636:PGK588701 PQG588636:PQG588701 QAC588636:QAC588701 QJY588636:QJY588701 QTU588636:QTU588701 RDQ588636:RDQ588701 RNM588636:RNM588701 RXI588636:RXI588701 SHE588636:SHE588701 SRA588636:SRA588701 TAW588636:TAW588701 TKS588636:TKS588701 TUO588636:TUO588701 UEK588636:UEK588701 UOG588636:UOG588701 UYC588636:UYC588701 VHY588636:VHY588701 VRU588636:VRU588701 WBQ588636:WBQ588701 WLM588636:WLM588701 WVI588636:WVI588701 A654172:A654237 IW654172:IW654237 SS654172:SS654237 ACO654172:ACO654237 AMK654172:AMK654237 AWG654172:AWG654237 BGC654172:BGC654237 BPY654172:BPY654237 BZU654172:BZU654237 CJQ654172:CJQ654237 CTM654172:CTM654237 DDI654172:DDI654237 DNE654172:DNE654237 DXA654172:DXA654237 EGW654172:EGW654237 EQS654172:EQS654237 FAO654172:FAO654237 FKK654172:FKK654237 FUG654172:FUG654237 GEC654172:GEC654237 GNY654172:GNY654237 GXU654172:GXU654237 HHQ654172:HHQ654237 HRM654172:HRM654237 IBI654172:IBI654237 ILE654172:ILE654237 IVA654172:IVA654237 JEW654172:JEW654237 JOS654172:JOS654237 JYO654172:JYO654237 KIK654172:KIK654237 KSG654172:KSG654237 LCC654172:LCC654237 LLY654172:LLY654237 LVU654172:LVU654237 MFQ654172:MFQ654237 MPM654172:MPM654237 MZI654172:MZI654237 NJE654172:NJE654237 NTA654172:NTA654237 OCW654172:OCW654237 OMS654172:OMS654237 OWO654172:OWO654237 PGK654172:PGK654237 PQG654172:PQG654237 QAC654172:QAC654237 QJY654172:QJY654237 QTU654172:QTU654237 RDQ654172:RDQ654237 RNM654172:RNM654237 RXI654172:RXI654237 SHE654172:SHE654237 SRA654172:SRA654237 TAW654172:TAW654237 TKS654172:TKS654237 TUO654172:TUO654237 UEK654172:UEK654237 UOG654172:UOG654237 UYC654172:UYC654237 VHY654172:VHY654237 VRU654172:VRU654237 WBQ654172:WBQ654237 WLM654172:WLM654237 WVI654172:WVI654237 A719708:A719773 IW719708:IW719773 SS719708:SS719773 ACO719708:ACO719773 AMK719708:AMK719773 AWG719708:AWG719773 BGC719708:BGC719773 BPY719708:BPY719773 BZU719708:BZU719773 CJQ719708:CJQ719773 CTM719708:CTM719773 DDI719708:DDI719773 DNE719708:DNE719773 DXA719708:DXA719773 EGW719708:EGW719773 EQS719708:EQS719773 FAO719708:FAO719773 FKK719708:FKK719773 FUG719708:FUG719773 GEC719708:GEC719773 GNY719708:GNY719773 GXU719708:GXU719773 HHQ719708:HHQ719773 HRM719708:HRM719773 IBI719708:IBI719773 ILE719708:ILE719773 IVA719708:IVA719773 JEW719708:JEW719773 JOS719708:JOS719773 JYO719708:JYO719773 KIK719708:KIK719773 KSG719708:KSG719773 LCC719708:LCC719773 LLY719708:LLY719773 LVU719708:LVU719773 MFQ719708:MFQ719773 MPM719708:MPM719773 MZI719708:MZI719773 NJE719708:NJE719773 NTA719708:NTA719773 OCW719708:OCW719773 OMS719708:OMS719773 OWO719708:OWO719773 PGK719708:PGK719773 PQG719708:PQG719773 QAC719708:QAC719773 QJY719708:QJY719773 QTU719708:QTU719773 RDQ719708:RDQ719773 RNM719708:RNM719773 RXI719708:RXI719773 SHE719708:SHE719773 SRA719708:SRA719773 TAW719708:TAW719773 TKS719708:TKS719773 TUO719708:TUO719773 UEK719708:UEK719773 UOG719708:UOG719773 UYC719708:UYC719773 VHY719708:VHY719773 VRU719708:VRU719773 WBQ719708:WBQ719773 WLM719708:WLM719773 WVI719708:WVI719773 A785244:A785309 IW785244:IW785309 SS785244:SS785309 ACO785244:ACO785309 AMK785244:AMK785309 AWG785244:AWG785309 BGC785244:BGC785309 BPY785244:BPY785309 BZU785244:BZU785309 CJQ785244:CJQ785309 CTM785244:CTM785309 DDI785244:DDI785309 DNE785244:DNE785309 DXA785244:DXA785309 EGW785244:EGW785309 EQS785244:EQS785309 FAO785244:FAO785309 FKK785244:FKK785309 FUG785244:FUG785309 GEC785244:GEC785309 GNY785244:GNY785309 GXU785244:GXU785309 HHQ785244:HHQ785309 HRM785244:HRM785309 IBI785244:IBI785309 ILE785244:ILE785309 IVA785244:IVA785309 JEW785244:JEW785309 JOS785244:JOS785309 JYO785244:JYO785309 KIK785244:KIK785309 KSG785244:KSG785309 LCC785244:LCC785309 LLY785244:LLY785309 LVU785244:LVU785309 MFQ785244:MFQ785309 MPM785244:MPM785309 MZI785244:MZI785309 NJE785244:NJE785309 NTA785244:NTA785309 OCW785244:OCW785309 OMS785244:OMS785309 OWO785244:OWO785309 PGK785244:PGK785309 PQG785244:PQG785309 QAC785244:QAC785309 QJY785244:QJY785309 QTU785244:QTU785309 RDQ785244:RDQ785309 RNM785244:RNM785309 RXI785244:RXI785309 SHE785244:SHE785309 SRA785244:SRA785309 TAW785244:TAW785309 TKS785244:TKS785309 TUO785244:TUO785309 UEK785244:UEK785309 UOG785244:UOG785309 UYC785244:UYC785309 VHY785244:VHY785309 VRU785244:VRU785309 WBQ785244:WBQ785309 WLM785244:WLM785309 WVI785244:WVI785309 A850780:A850845 IW850780:IW850845 SS850780:SS850845 ACO850780:ACO850845 AMK850780:AMK850845 AWG850780:AWG850845 BGC850780:BGC850845 BPY850780:BPY850845 BZU850780:BZU850845 CJQ850780:CJQ850845 CTM850780:CTM850845 DDI850780:DDI850845 DNE850780:DNE850845 DXA850780:DXA850845 EGW850780:EGW850845 EQS850780:EQS850845 FAO850780:FAO850845 FKK850780:FKK850845 FUG850780:FUG850845 GEC850780:GEC850845 GNY850780:GNY850845 GXU850780:GXU850845 HHQ850780:HHQ850845 HRM850780:HRM850845 IBI850780:IBI850845 ILE850780:ILE850845 IVA850780:IVA850845 JEW850780:JEW850845 JOS850780:JOS850845 JYO850780:JYO850845 KIK850780:KIK850845 KSG850780:KSG850845 LCC850780:LCC850845 LLY850780:LLY850845 LVU850780:LVU850845 MFQ850780:MFQ850845 MPM850780:MPM850845 MZI850780:MZI850845 NJE850780:NJE850845 NTA850780:NTA850845 OCW850780:OCW850845 OMS850780:OMS850845 OWO850780:OWO850845 PGK850780:PGK850845 PQG850780:PQG850845 QAC850780:QAC850845 QJY850780:QJY850845 QTU850780:QTU850845 RDQ850780:RDQ850845 RNM850780:RNM850845 RXI850780:RXI850845 SHE850780:SHE850845 SRA850780:SRA850845 TAW850780:TAW850845 TKS850780:TKS850845 TUO850780:TUO850845 UEK850780:UEK850845 UOG850780:UOG850845 UYC850780:UYC850845 VHY850780:VHY850845 VRU850780:VRU850845 WBQ850780:WBQ850845 WLM850780:WLM850845 WVI850780:WVI850845 A916316:A916381 IW916316:IW916381 SS916316:SS916381 ACO916316:ACO916381 AMK916316:AMK916381 AWG916316:AWG916381 BGC916316:BGC916381 BPY916316:BPY916381 BZU916316:BZU916381 CJQ916316:CJQ916381 CTM916316:CTM916381 DDI916316:DDI916381 DNE916316:DNE916381 DXA916316:DXA916381 EGW916316:EGW916381 EQS916316:EQS916381 FAO916316:FAO916381 FKK916316:FKK916381 FUG916316:FUG916381 GEC916316:GEC916381 GNY916316:GNY916381 GXU916316:GXU916381 HHQ916316:HHQ916381 HRM916316:HRM916381 IBI916316:IBI916381 ILE916316:ILE916381 IVA916316:IVA916381 JEW916316:JEW916381 JOS916316:JOS916381 JYO916316:JYO916381 KIK916316:KIK916381 KSG916316:KSG916381 LCC916316:LCC916381 LLY916316:LLY916381 LVU916316:LVU916381 MFQ916316:MFQ916381 MPM916316:MPM916381 MZI916316:MZI916381 NJE916316:NJE916381 NTA916316:NTA916381 OCW916316:OCW916381 OMS916316:OMS916381 OWO916316:OWO916381 PGK916316:PGK916381 PQG916316:PQG916381 QAC916316:QAC916381 QJY916316:QJY916381 QTU916316:QTU916381 RDQ916316:RDQ916381 RNM916316:RNM916381 RXI916316:RXI916381 SHE916316:SHE916381 SRA916316:SRA916381 TAW916316:TAW916381 TKS916316:TKS916381 TUO916316:TUO916381 UEK916316:UEK916381 UOG916316:UOG916381 UYC916316:UYC916381 VHY916316:VHY916381 VRU916316:VRU916381 WBQ916316:WBQ916381 WLM916316:WLM916381 WVI916316:WVI916381 A981852:A981917 IW981852:IW981917 SS981852:SS981917 ACO981852:ACO981917 AMK981852:AMK981917 AWG981852:AWG981917 BGC981852:BGC981917 BPY981852:BPY981917 BZU981852:BZU981917 CJQ981852:CJQ981917 CTM981852:CTM981917 DDI981852:DDI981917 DNE981852:DNE981917 DXA981852:DXA981917 EGW981852:EGW981917 EQS981852:EQS981917 FAO981852:FAO981917 FKK981852:FKK981917 FUG981852:FUG981917 GEC981852:GEC981917 GNY981852:GNY981917 GXU981852:GXU981917 HHQ981852:HHQ981917 HRM981852:HRM981917 IBI981852:IBI981917 ILE981852:ILE981917 IVA981852:IVA981917 JEW981852:JEW981917 JOS981852:JOS981917 JYO981852:JYO981917 KIK981852:KIK981917 KSG981852:KSG981917 LCC981852:LCC981917 LLY981852:LLY981917 LVU981852:LVU981917 MFQ981852:MFQ981917 MPM981852:MPM981917 MZI981852:MZI981917 NJE981852:NJE981917 NTA981852:NTA981917 OCW981852:OCW981917 OMS981852:OMS981917 OWO981852:OWO981917 PGK981852:PGK981917 PQG981852:PQG981917 QAC981852:QAC981917 QJY981852:QJY981917 QTU981852:QTU981917 RDQ981852:RDQ981917 RNM981852:RNM981917 RXI981852:RXI981917 SHE981852:SHE981917 SRA981852:SRA981917 TAW981852:TAW981917 TKS981852:TKS981917 TUO981852:TUO981917 UEK981852:UEK981917 UOG981852:UOG981917 UYC981852:UYC981917 VHY981852:VHY981917 VRU981852:VRU981917 WBQ981852:WBQ981917 WLM981852:WLM981917 WVI981852:WVI981917 A1047388:A1047453 IW1047388:IW1047453 SS1047388:SS1047453 ACO1047388:ACO1047453 AMK1047388:AMK1047453 AWG1047388:AWG1047453 BGC1047388:BGC1047453 BPY1047388:BPY1047453 BZU1047388:BZU1047453 CJQ1047388:CJQ1047453 CTM1047388:CTM1047453 DDI1047388:DDI1047453 DNE1047388:DNE1047453 DXA1047388:DXA1047453 EGW1047388:EGW1047453 EQS1047388:EQS1047453 FAO1047388:FAO1047453 FKK1047388:FKK1047453 FUG1047388:FUG1047453 GEC1047388:GEC1047453 GNY1047388:GNY1047453 GXU1047388:GXU1047453 HHQ1047388:HHQ1047453 HRM1047388:HRM1047453 IBI1047388:IBI1047453 ILE1047388:ILE1047453 IVA1047388:IVA1047453 JEW1047388:JEW1047453 JOS1047388:JOS1047453 JYO1047388:JYO1047453 KIK1047388:KIK1047453 KSG1047388:KSG1047453 LCC1047388:LCC1047453 LLY1047388:LLY1047453 LVU1047388:LVU1047453 MFQ1047388:MFQ1047453 MPM1047388:MPM1047453 MZI1047388:MZI1047453 NJE1047388:NJE1047453 NTA1047388:NTA1047453 OCW1047388:OCW1047453 OMS1047388:OMS1047453 OWO1047388:OWO1047453 PGK1047388:PGK1047453 PQG1047388:PQG1047453 QAC1047388:QAC1047453 QJY1047388:QJY1047453 QTU1047388:QTU1047453 RDQ1047388:RDQ1047453 RNM1047388:RNM1047453 RXI1047388:RXI1047453 SHE1047388:SHE1047453 SRA1047388:SRA1047453 TAW1047388:TAW1047453 TKS1047388:TKS1047453 TUO1047388:TUO1047453 UEK1047388:UEK1047453 UOG1047388:UOG1047453 UYC1047388:UYC1047453 VHY1047388:VHY1047453 VRU1047388:VRU1047453 WBQ1047388:WBQ1047453 WLM1047388:WLM1047453 WVI1047388:WVI1047453 WVI983027:WVI983098 A65523:A65594 IW65523:IW65594 SS65523:SS65594 ACO65523:ACO65594 AMK65523:AMK65594 AWG65523:AWG65594 BGC65523:BGC65594 BPY65523:BPY65594 BZU65523:BZU65594 CJQ65523:CJQ65594 CTM65523:CTM65594 DDI65523:DDI65594 DNE65523:DNE65594 DXA65523:DXA65594 EGW65523:EGW65594 EQS65523:EQS65594 FAO65523:FAO65594 FKK65523:FKK65594 FUG65523:FUG65594 GEC65523:GEC65594 GNY65523:GNY65594 GXU65523:GXU65594 HHQ65523:HHQ65594 HRM65523:HRM65594 IBI65523:IBI65594 ILE65523:ILE65594 IVA65523:IVA65594 JEW65523:JEW65594 JOS65523:JOS65594 JYO65523:JYO65594 KIK65523:KIK65594 KSG65523:KSG65594 LCC65523:LCC65594 LLY65523:LLY65594 LVU65523:LVU65594 MFQ65523:MFQ65594 MPM65523:MPM65594 MZI65523:MZI65594 NJE65523:NJE65594 NTA65523:NTA65594 OCW65523:OCW65594 OMS65523:OMS65594 OWO65523:OWO65594 PGK65523:PGK65594 PQG65523:PQG65594 QAC65523:QAC65594 QJY65523:QJY65594 QTU65523:QTU65594 RDQ65523:RDQ65594 RNM65523:RNM65594 RXI65523:RXI65594 SHE65523:SHE65594 SRA65523:SRA65594 TAW65523:TAW65594 TKS65523:TKS65594 TUO65523:TUO65594 UEK65523:UEK65594 UOG65523:UOG65594 UYC65523:UYC65594 VHY65523:VHY65594 VRU65523:VRU65594 WBQ65523:WBQ65594 WLM65523:WLM65594 WVI65523:WVI65594 A131059:A131130 IW131059:IW131130 SS131059:SS131130 ACO131059:ACO131130 AMK131059:AMK131130 AWG131059:AWG131130 BGC131059:BGC131130 BPY131059:BPY131130 BZU131059:BZU131130 CJQ131059:CJQ131130 CTM131059:CTM131130 DDI131059:DDI131130 DNE131059:DNE131130 DXA131059:DXA131130 EGW131059:EGW131130 EQS131059:EQS131130 FAO131059:FAO131130 FKK131059:FKK131130 FUG131059:FUG131130 GEC131059:GEC131130 GNY131059:GNY131130 GXU131059:GXU131130 HHQ131059:HHQ131130 HRM131059:HRM131130 IBI131059:IBI131130 ILE131059:ILE131130 IVA131059:IVA131130 JEW131059:JEW131130 JOS131059:JOS131130 JYO131059:JYO131130 KIK131059:KIK131130 KSG131059:KSG131130 LCC131059:LCC131130 LLY131059:LLY131130 LVU131059:LVU131130 MFQ131059:MFQ131130 MPM131059:MPM131130 MZI131059:MZI131130 NJE131059:NJE131130 NTA131059:NTA131130 OCW131059:OCW131130 OMS131059:OMS131130 OWO131059:OWO131130 PGK131059:PGK131130 PQG131059:PQG131130 QAC131059:QAC131130 QJY131059:QJY131130 QTU131059:QTU131130 RDQ131059:RDQ131130 RNM131059:RNM131130 RXI131059:RXI131130 SHE131059:SHE131130 SRA131059:SRA131130 TAW131059:TAW131130 TKS131059:TKS131130 TUO131059:TUO131130 UEK131059:UEK131130 UOG131059:UOG131130 UYC131059:UYC131130 VHY131059:VHY131130 VRU131059:VRU131130 WBQ131059:WBQ131130 WLM131059:WLM131130 WVI131059:WVI131130 A196595:A196666 IW196595:IW196666 SS196595:SS196666 ACO196595:ACO196666 AMK196595:AMK196666 AWG196595:AWG196666 BGC196595:BGC196666 BPY196595:BPY196666 BZU196595:BZU196666 CJQ196595:CJQ196666 CTM196595:CTM196666 DDI196595:DDI196666 DNE196595:DNE196666 DXA196595:DXA196666 EGW196595:EGW196666 EQS196595:EQS196666 FAO196595:FAO196666 FKK196595:FKK196666 FUG196595:FUG196666 GEC196595:GEC196666 GNY196595:GNY196666 GXU196595:GXU196666 HHQ196595:HHQ196666 HRM196595:HRM196666 IBI196595:IBI196666 ILE196595:ILE196666 IVA196595:IVA196666 JEW196595:JEW196666 JOS196595:JOS196666 JYO196595:JYO196666 KIK196595:KIK196666 KSG196595:KSG196666 LCC196595:LCC196666 LLY196595:LLY196666 LVU196595:LVU196666 MFQ196595:MFQ196666 MPM196595:MPM196666 MZI196595:MZI196666 NJE196595:NJE196666 NTA196595:NTA196666 OCW196595:OCW196666 OMS196595:OMS196666 OWO196595:OWO196666 PGK196595:PGK196666 PQG196595:PQG196666 QAC196595:QAC196666 QJY196595:QJY196666 QTU196595:QTU196666 RDQ196595:RDQ196666 RNM196595:RNM196666 RXI196595:RXI196666 SHE196595:SHE196666 SRA196595:SRA196666 TAW196595:TAW196666 TKS196595:TKS196666 TUO196595:TUO196666 UEK196595:UEK196666 UOG196595:UOG196666 UYC196595:UYC196666 VHY196595:VHY196666 VRU196595:VRU196666 WBQ196595:WBQ196666 WLM196595:WLM196666 WVI196595:WVI196666 A262131:A262202 IW262131:IW262202 SS262131:SS262202 ACO262131:ACO262202 AMK262131:AMK262202 AWG262131:AWG262202 BGC262131:BGC262202 BPY262131:BPY262202 BZU262131:BZU262202 CJQ262131:CJQ262202 CTM262131:CTM262202 DDI262131:DDI262202 DNE262131:DNE262202 DXA262131:DXA262202 EGW262131:EGW262202 EQS262131:EQS262202 FAO262131:FAO262202 FKK262131:FKK262202 FUG262131:FUG262202 GEC262131:GEC262202 GNY262131:GNY262202 GXU262131:GXU262202 HHQ262131:HHQ262202 HRM262131:HRM262202 IBI262131:IBI262202 ILE262131:ILE262202 IVA262131:IVA262202 JEW262131:JEW262202 JOS262131:JOS262202 JYO262131:JYO262202 KIK262131:KIK262202 KSG262131:KSG262202 LCC262131:LCC262202 LLY262131:LLY262202 LVU262131:LVU262202 MFQ262131:MFQ262202 MPM262131:MPM262202 MZI262131:MZI262202 NJE262131:NJE262202 NTA262131:NTA262202 OCW262131:OCW262202 OMS262131:OMS262202 OWO262131:OWO262202 PGK262131:PGK262202 PQG262131:PQG262202 QAC262131:QAC262202 QJY262131:QJY262202 QTU262131:QTU262202 RDQ262131:RDQ262202 RNM262131:RNM262202 RXI262131:RXI262202 SHE262131:SHE262202 SRA262131:SRA262202 TAW262131:TAW262202 TKS262131:TKS262202 TUO262131:TUO262202 UEK262131:UEK262202 UOG262131:UOG262202 UYC262131:UYC262202 VHY262131:VHY262202 VRU262131:VRU262202 WBQ262131:WBQ262202 WLM262131:WLM262202 WVI262131:WVI262202 A327667:A327738 IW327667:IW327738 SS327667:SS327738 ACO327667:ACO327738 AMK327667:AMK327738 AWG327667:AWG327738 BGC327667:BGC327738 BPY327667:BPY327738 BZU327667:BZU327738 CJQ327667:CJQ327738 CTM327667:CTM327738 DDI327667:DDI327738 DNE327667:DNE327738 DXA327667:DXA327738 EGW327667:EGW327738 EQS327667:EQS327738 FAO327667:FAO327738 FKK327667:FKK327738 FUG327667:FUG327738 GEC327667:GEC327738 GNY327667:GNY327738 GXU327667:GXU327738 HHQ327667:HHQ327738 HRM327667:HRM327738 IBI327667:IBI327738 ILE327667:ILE327738 IVA327667:IVA327738 JEW327667:JEW327738 JOS327667:JOS327738 JYO327667:JYO327738 KIK327667:KIK327738 KSG327667:KSG327738 LCC327667:LCC327738 LLY327667:LLY327738 LVU327667:LVU327738 MFQ327667:MFQ327738 MPM327667:MPM327738 MZI327667:MZI327738 NJE327667:NJE327738 NTA327667:NTA327738 OCW327667:OCW327738 OMS327667:OMS327738 OWO327667:OWO327738 PGK327667:PGK327738 PQG327667:PQG327738 QAC327667:QAC327738 QJY327667:QJY327738 QTU327667:QTU327738 RDQ327667:RDQ327738 RNM327667:RNM327738 RXI327667:RXI327738 SHE327667:SHE327738 SRA327667:SRA327738 TAW327667:TAW327738 TKS327667:TKS327738 TUO327667:TUO327738 UEK327667:UEK327738 UOG327667:UOG327738 UYC327667:UYC327738 VHY327667:VHY327738 VRU327667:VRU327738 WBQ327667:WBQ327738 WLM327667:WLM327738 WVI327667:WVI327738 A393203:A393274 IW393203:IW393274 SS393203:SS393274 ACO393203:ACO393274 AMK393203:AMK393274 AWG393203:AWG393274 BGC393203:BGC393274 BPY393203:BPY393274 BZU393203:BZU393274 CJQ393203:CJQ393274 CTM393203:CTM393274 DDI393203:DDI393274 DNE393203:DNE393274 DXA393203:DXA393274 EGW393203:EGW393274 EQS393203:EQS393274 FAO393203:FAO393274 FKK393203:FKK393274 FUG393203:FUG393274 GEC393203:GEC393274 GNY393203:GNY393274 GXU393203:GXU393274 HHQ393203:HHQ393274 HRM393203:HRM393274 IBI393203:IBI393274 ILE393203:ILE393274 IVA393203:IVA393274 JEW393203:JEW393274 JOS393203:JOS393274 JYO393203:JYO393274 KIK393203:KIK393274 KSG393203:KSG393274 LCC393203:LCC393274 LLY393203:LLY393274 LVU393203:LVU393274 MFQ393203:MFQ393274 MPM393203:MPM393274 MZI393203:MZI393274 NJE393203:NJE393274 NTA393203:NTA393274 OCW393203:OCW393274 OMS393203:OMS393274 OWO393203:OWO393274 PGK393203:PGK393274 PQG393203:PQG393274 QAC393203:QAC393274 QJY393203:QJY393274 QTU393203:QTU393274 RDQ393203:RDQ393274 RNM393203:RNM393274 RXI393203:RXI393274 SHE393203:SHE393274 SRA393203:SRA393274 TAW393203:TAW393274 TKS393203:TKS393274 TUO393203:TUO393274 UEK393203:UEK393274 UOG393203:UOG393274 UYC393203:UYC393274 VHY393203:VHY393274 VRU393203:VRU393274 WBQ393203:WBQ393274 WLM393203:WLM393274 WVI393203:WVI393274 A458739:A458810 IW458739:IW458810 SS458739:SS458810 ACO458739:ACO458810 AMK458739:AMK458810 AWG458739:AWG458810 BGC458739:BGC458810 BPY458739:BPY458810 BZU458739:BZU458810 CJQ458739:CJQ458810 CTM458739:CTM458810 DDI458739:DDI458810 DNE458739:DNE458810 DXA458739:DXA458810 EGW458739:EGW458810 EQS458739:EQS458810 FAO458739:FAO458810 FKK458739:FKK458810 FUG458739:FUG458810 GEC458739:GEC458810 GNY458739:GNY458810 GXU458739:GXU458810 HHQ458739:HHQ458810 HRM458739:HRM458810 IBI458739:IBI458810 ILE458739:ILE458810 IVA458739:IVA458810 JEW458739:JEW458810 JOS458739:JOS458810 JYO458739:JYO458810 KIK458739:KIK458810 KSG458739:KSG458810 LCC458739:LCC458810 LLY458739:LLY458810 LVU458739:LVU458810 MFQ458739:MFQ458810 MPM458739:MPM458810 MZI458739:MZI458810 NJE458739:NJE458810 NTA458739:NTA458810 OCW458739:OCW458810 OMS458739:OMS458810 OWO458739:OWO458810 PGK458739:PGK458810 PQG458739:PQG458810 QAC458739:QAC458810 QJY458739:QJY458810 QTU458739:QTU458810 RDQ458739:RDQ458810 RNM458739:RNM458810 RXI458739:RXI458810 SHE458739:SHE458810 SRA458739:SRA458810 TAW458739:TAW458810 TKS458739:TKS458810 TUO458739:TUO458810 UEK458739:UEK458810 UOG458739:UOG458810 UYC458739:UYC458810 VHY458739:VHY458810 VRU458739:VRU458810 WBQ458739:WBQ458810 WLM458739:WLM458810 WVI458739:WVI458810 A524275:A524346 IW524275:IW524346 SS524275:SS524346 ACO524275:ACO524346 AMK524275:AMK524346 AWG524275:AWG524346 BGC524275:BGC524346 BPY524275:BPY524346 BZU524275:BZU524346 CJQ524275:CJQ524346 CTM524275:CTM524346 DDI524275:DDI524346 DNE524275:DNE524346 DXA524275:DXA524346 EGW524275:EGW524346 EQS524275:EQS524346 FAO524275:FAO524346 FKK524275:FKK524346 FUG524275:FUG524346 GEC524275:GEC524346 GNY524275:GNY524346 GXU524275:GXU524346 HHQ524275:HHQ524346 HRM524275:HRM524346 IBI524275:IBI524346 ILE524275:ILE524346 IVA524275:IVA524346 JEW524275:JEW524346 JOS524275:JOS524346 JYO524275:JYO524346 KIK524275:KIK524346 KSG524275:KSG524346 LCC524275:LCC524346 LLY524275:LLY524346 LVU524275:LVU524346 MFQ524275:MFQ524346 MPM524275:MPM524346 MZI524275:MZI524346 NJE524275:NJE524346 NTA524275:NTA524346 OCW524275:OCW524346 OMS524275:OMS524346 OWO524275:OWO524346 PGK524275:PGK524346 PQG524275:PQG524346 QAC524275:QAC524346 QJY524275:QJY524346 QTU524275:QTU524346 RDQ524275:RDQ524346 RNM524275:RNM524346 RXI524275:RXI524346 SHE524275:SHE524346 SRA524275:SRA524346 TAW524275:TAW524346 TKS524275:TKS524346 TUO524275:TUO524346 UEK524275:UEK524346 UOG524275:UOG524346 UYC524275:UYC524346 VHY524275:VHY524346 VRU524275:VRU524346 WBQ524275:WBQ524346 WLM524275:WLM524346 WVI524275:WVI524346 A589811:A589882 IW589811:IW589882 SS589811:SS589882 ACO589811:ACO589882 AMK589811:AMK589882 AWG589811:AWG589882 BGC589811:BGC589882 BPY589811:BPY589882 BZU589811:BZU589882 CJQ589811:CJQ589882 CTM589811:CTM589882 DDI589811:DDI589882 DNE589811:DNE589882 DXA589811:DXA589882 EGW589811:EGW589882 EQS589811:EQS589882 FAO589811:FAO589882 FKK589811:FKK589882 FUG589811:FUG589882 GEC589811:GEC589882 GNY589811:GNY589882 GXU589811:GXU589882 HHQ589811:HHQ589882 HRM589811:HRM589882 IBI589811:IBI589882 ILE589811:ILE589882 IVA589811:IVA589882 JEW589811:JEW589882 JOS589811:JOS589882 JYO589811:JYO589882 KIK589811:KIK589882 KSG589811:KSG589882 LCC589811:LCC589882 LLY589811:LLY589882 LVU589811:LVU589882 MFQ589811:MFQ589882 MPM589811:MPM589882 MZI589811:MZI589882 NJE589811:NJE589882 NTA589811:NTA589882 OCW589811:OCW589882 OMS589811:OMS589882 OWO589811:OWO589882 PGK589811:PGK589882 PQG589811:PQG589882 QAC589811:QAC589882 QJY589811:QJY589882 QTU589811:QTU589882 RDQ589811:RDQ589882 RNM589811:RNM589882 RXI589811:RXI589882 SHE589811:SHE589882 SRA589811:SRA589882 TAW589811:TAW589882 TKS589811:TKS589882 TUO589811:TUO589882 UEK589811:UEK589882 UOG589811:UOG589882 UYC589811:UYC589882 VHY589811:VHY589882 VRU589811:VRU589882 WBQ589811:WBQ589882 WLM589811:WLM589882 WVI589811:WVI589882 A655347:A655418 IW655347:IW655418 SS655347:SS655418 ACO655347:ACO655418 AMK655347:AMK655418 AWG655347:AWG655418 BGC655347:BGC655418 BPY655347:BPY655418 BZU655347:BZU655418 CJQ655347:CJQ655418 CTM655347:CTM655418 DDI655347:DDI655418 DNE655347:DNE655418 DXA655347:DXA655418 EGW655347:EGW655418 EQS655347:EQS655418 FAO655347:FAO655418 FKK655347:FKK655418 FUG655347:FUG655418 GEC655347:GEC655418 GNY655347:GNY655418 GXU655347:GXU655418 HHQ655347:HHQ655418 HRM655347:HRM655418 IBI655347:IBI655418 ILE655347:ILE655418 IVA655347:IVA655418 JEW655347:JEW655418 JOS655347:JOS655418 JYO655347:JYO655418 KIK655347:KIK655418 KSG655347:KSG655418 LCC655347:LCC655418 LLY655347:LLY655418 LVU655347:LVU655418 MFQ655347:MFQ655418 MPM655347:MPM655418 MZI655347:MZI655418 NJE655347:NJE655418 NTA655347:NTA655418 OCW655347:OCW655418 OMS655347:OMS655418 OWO655347:OWO655418 PGK655347:PGK655418 PQG655347:PQG655418 QAC655347:QAC655418 QJY655347:QJY655418 QTU655347:QTU655418 RDQ655347:RDQ655418 RNM655347:RNM655418 RXI655347:RXI655418 SHE655347:SHE655418 SRA655347:SRA655418 TAW655347:TAW655418 TKS655347:TKS655418 TUO655347:TUO655418 UEK655347:UEK655418 UOG655347:UOG655418 UYC655347:UYC655418 VHY655347:VHY655418 VRU655347:VRU655418 WBQ655347:WBQ655418 WLM655347:WLM655418 WVI655347:WVI655418 A720883:A720954 IW720883:IW720954 SS720883:SS720954 ACO720883:ACO720954 AMK720883:AMK720954 AWG720883:AWG720954 BGC720883:BGC720954 BPY720883:BPY720954 BZU720883:BZU720954 CJQ720883:CJQ720954 CTM720883:CTM720954 DDI720883:DDI720954 DNE720883:DNE720954 DXA720883:DXA720954 EGW720883:EGW720954 EQS720883:EQS720954 FAO720883:FAO720954 FKK720883:FKK720954 FUG720883:FUG720954 GEC720883:GEC720954 GNY720883:GNY720954 GXU720883:GXU720954 HHQ720883:HHQ720954 HRM720883:HRM720954 IBI720883:IBI720954 ILE720883:ILE720954 IVA720883:IVA720954 JEW720883:JEW720954 JOS720883:JOS720954 JYO720883:JYO720954 KIK720883:KIK720954 KSG720883:KSG720954 LCC720883:LCC720954 LLY720883:LLY720954 LVU720883:LVU720954 MFQ720883:MFQ720954 MPM720883:MPM720954 MZI720883:MZI720954 NJE720883:NJE720954 NTA720883:NTA720954 OCW720883:OCW720954 OMS720883:OMS720954 OWO720883:OWO720954 PGK720883:PGK720954 PQG720883:PQG720954 QAC720883:QAC720954 QJY720883:QJY720954 QTU720883:QTU720954 RDQ720883:RDQ720954 RNM720883:RNM720954 RXI720883:RXI720954 SHE720883:SHE720954 SRA720883:SRA720954 TAW720883:TAW720954 TKS720883:TKS720954 TUO720883:TUO720954 UEK720883:UEK720954 UOG720883:UOG720954 UYC720883:UYC720954 VHY720883:VHY720954 VRU720883:VRU720954 WBQ720883:WBQ720954 WLM720883:WLM720954 WVI720883:WVI720954 A786419:A786490 IW786419:IW786490 SS786419:SS786490 ACO786419:ACO786490 AMK786419:AMK786490 AWG786419:AWG786490 BGC786419:BGC786490 BPY786419:BPY786490 BZU786419:BZU786490 CJQ786419:CJQ786490 CTM786419:CTM786490 DDI786419:DDI786490 DNE786419:DNE786490 DXA786419:DXA786490 EGW786419:EGW786490 EQS786419:EQS786490 FAO786419:FAO786490 FKK786419:FKK786490 FUG786419:FUG786490 GEC786419:GEC786490 GNY786419:GNY786490 GXU786419:GXU786490 HHQ786419:HHQ786490 HRM786419:HRM786490 IBI786419:IBI786490 ILE786419:ILE786490 IVA786419:IVA786490 JEW786419:JEW786490 JOS786419:JOS786490 JYO786419:JYO786490 KIK786419:KIK786490 KSG786419:KSG786490 LCC786419:LCC786490 LLY786419:LLY786490 LVU786419:LVU786490 MFQ786419:MFQ786490 MPM786419:MPM786490 MZI786419:MZI786490 NJE786419:NJE786490 NTA786419:NTA786490 OCW786419:OCW786490 OMS786419:OMS786490 OWO786419:OWO786490 PGK786419:PGK786490 PQG786419:PQG786490 QAC786419:QAC786490 QJY786419:QJY786490 QTU786419:QTU786490 RDQ786419:RDQ786490 RNM786419:RNM786490 RXI786419:RXI786490 SHE786419:SHE786490 SRA786419:SRA786490 TAW786419:TAW786490 TKS786419:TKS786490 TUO786419:TUO786490 UEK786419:UEK786490 UOG786419:UOG786490 UYC786419:UYC786490 VHY786419:VHY786490 VRU786419:VRU786490 WBQ786419:WBQ786490 WLM786419:WLM786490 WVI786419:WVI786490 A851955:A852026 IW851955:IW852026 SS851955:SS852026 ACO851955:ACO852026 AMK851955:AMK852026 AWG851955:AWG852026 BGC851955:BGC852026 BPY851955:BPY852026 BZU851955:BZU852026 CJQ851955:CJQ852026 CTM851955:CTM852026 DDI851955:DDI852026 DNE851955:DNE852026 DXA851955:DXA852026 EGW851955:EGW852026 EQS851955:EQS852026 FAO851955:FAO852026 FKK851955:FKK852026 FUG851955:FUG852026 GEC851955:GEC852026 GNY851955:GNY852026 GXU851955:GXU852026 HHQ851955:HHQ852026 HRM851955:HRM852026 IBI851955:IBI852026 ILE851955:ILE852026 IVA851955:IVA852026 JEW851955:JEW852026 JOS851955:JOS852026 JYO851955:JYO852026 KIK851955:KIK852026 KSG851955:KSG852026 LCC851955:LCC852026 LLY851955:LLY852026 LVU851955:LVU852026 MFQ851955:MFQ852026 MPM851955:MPM852026 MZI851955:MZI852026 NJE851955:NJE852026 NTA851955:NTA852026 OCW851955:OCW852026 OMS851955:OMS852026 OWO851955:OWO852026 PGK851955:PGK852026 PQG851955:PQG852026 QAC851955:QAC852026 QJY851955:QJY852026 QTU851955:QTU852026 RDQ851955:RDQ852026 RNM851955:RNM852026 RXI851955:RXI852026 SHE851955:SHE852026 SRA851955:SRA852026 TAW851955:TAW852026 TKS851955:TKS852026 TUO851955:TUO852026 UEK851955:UEK852026 UOG851955:UOG852026 UYC851955:UYC852026 VHY851955:VHY852026 VRU851955:VRU852026 WBQ851955:WBQ852026 WLM851955:WLM852026 WVI851955:WVI852026 A917491:A917562 IW917491:IW917562 SS917491:SS917562 ACO917491:ACO917562 AMK917491:AMK917562 AWG917491:AWG917562 BGC917491:BGC917562 BPY917491:BPY917562 BZU917491:BZU917562 CJQ917491:CJQ917562 CTM917491:CTM917562 DDI917491:DDI917562 DNE917491:DNE917562 DXA917491:DXA917562 EGW917491:EGW917562 EQS917491:EQS917562 FAO917491:FAO917562 FKK917491:FKK917562 FUG917491:FUG917562 GEC917491:GEC917562 GNY917491:GNY917562 GXU917491:GXU917562 HHQ917491:HHQ917562 HRM917491:HRM917562 IBI917491:IBI917562 ILE917491:ILE917562 IVA917491:IVA917562 JEW917491:JEW917562 JOS917491:JOS917562 JYO917491:JYO917562 KIK917491:KIK917562 KSG917491:KSG917562 LCC917491:LCC917562 LLY917491:LLY917562 LVU917491:LVU917562 MFQ917491:MFQ917562 MPM917491:MPM917562 MZI917491:MZI917562 NJE917491:NJE917562 NTA917491:NTA917562 OCW917491:OCW917562 OMS917491:OMS917562 OWO917491:OWO917562 PGK917491:PGK917562 PQG917491:PQG917562 QAC917491:QAC917562 QJY917491:QJY917562 QTU917491:QTU917562 RDQ917491:RDQ917562 RNM917491:RNM917562 RXI917491:RXI917562 SHE917491:SHE917562 SRA917491:SRA917562 TAW917491:TAW917562 TKS917491:TKS917562 TUO917491:TUO917562 UEK917491:UEK917562 UOG917491:UOG917562 UYC917491:UYC917562 VHY917491:VHY917562 VRU917491:VRU917562 WBQ917491:WBQ917562 WLM917491:WLM917562 WVI917491:WVI917562 A983027:A983098 IW983027:IW983098 SS983027:SS983098 ACO983027:ACO983098 AMK983027:AMK983098 AWG983027:AWG983098 BGC983027:BGC983098 BPY983027:BPY983098 BZU983027:BZU983098 CJQ983027:CJQ983098 CTM983027:CTM983098 DDI983027:DDI983098 DNE983027:DNE983098 DXA983027:DXA983098 EGW983027:EGW983098 EQS983027:EQS983098 FAO983027:FAO983098 FKK983027:FKK983098 FUG983027:FUG983098 GEC983027:GEC983098 GNY983027:GNY983098 GXU983027:GXU983098 HHQ983027:HHQ983098 HRM983027:HRM983098 IBI983027:IBI983098 ILE983027:ILE983098 IVA983027:IVA983098 JEW983027:JEW983098 JOS983027:JOS983098 JYO983027:JYO983098 KIK983027:KIK983098 KSG983027:KSG983098 LCC983027:LCC983098 LLY983027:LLY983098 LVU983027:LVU983098 MFQ983027:MFQ983098 MPM983027:MPM983098 MZI983027:MZI983098 NJE983027:NJE983098 NTA983027:NTA983098 OCW983027:OCW983098 OMS983027:OMS983098 OWO983027:OWO983098 PGK983027:PGK983098 PQG983027:PQG983098 QAC983027:QAC983098 QJY983027:QJY983098 QTU983027:QTU983098 RDQ983027:RDQ983098 RNM983027:RNM983098 RXI983027:RXI983098 SHE983027:SHE983098 SRA983027:SRA983098 TAW983027:TAW983098 TKS983027:TKS983098 TUO983027:TUO983098 UEK983027:UEK983098 UOG983027:UOG983098 UYC983027:UYC983098 VHY983027:VHY983098 VRU983027:VRU983098 WBQ983027:WBQ983098 WLM983027:WLM983098 A2:A485 IW2:IW72 WVI2:WVI72 WLM2:WLM72 WBQ2:WBQ72 VRU2:VRU72 VHY2:VHY72 UYC2:UYC72 UOG2:UOG72 UEK2:UEK72 TUO2:TUO72 TKS2:TKS72 TAW2:TAW72 SRA2:SRA72 SHE2:SHE72 RXI2:RXI72 RNM2:RNM72 RDQ2:RDQ72 QTU2:QTU72 QJY2:QJY72 QAC2:QAC72 PQG2:PQG72 PGK2:PGK72 OWO2:OWO72 OMS2:OMS72 OCW2:OCW72 NTA2:NTA72 NJE2:NJE72 MZI2:MZI72 MPM2:MPM72 MFQ2:MFQ72 LVU2:LVU72 LLY2:LLY72 LCC2:LCC72 KSG2:KSG72 KIK2:KIK72 JYO2:JYO72 JOS2:JOS72 JEW2:JEW72 IVA2:IVA72 ILE2:ILE72 IBI2:IBI72 HRM2:HRM72 HHQ2:HHQ72 GXU2:GXU72 GNY2:GNY72 GEC2:GEC72 FUG2:FUG72 FKK2:FKK72 FAO2:FAO72 EQS2:EQS72 EGW2:EGW72 DXA2:DXA72 DNE2:DNE72 DDI2:DDI72 CTM2:CTM72 CJQ2:CJQ72 BZU2:BZU72 BPY2:BPY72 BGC2:BGC72 AWG2:AWG72 AMK2:AMK72 ACO2:ACO72 SS2:SS72" xr:uid="{D3A91CEB-3AF8-4745-9950-D1FF296A4C4C}">
      <formula1>$AE$2:$AE$19</formula1>
    </dataValidation>
    <dataValidation type="list" allowBlank="1" showInputMessage="1" showErrorMessage="1" sqref="X64348:X64413 JT64348:JT64413 TP64348:TP64413 ADL64348:ADL64413 ANH64348:ANH64413 AXD64348:AXD64413 BGZ64348:BGZ64413 BQV64348:BQV64413 CAR64348:CAR64413 CKN64348:CKN64413 CUJ64348:CUJ64413 DEF64348:DEF64413 DOB64348:DOB64413 DXX64348:DXX64413 EHT64348:EHT64413 ERP64348:ERP64413 FBL64348:FBL64413 FLH64348:FLH64413 FVD64348:FVD64413 GEZ64348:GEZ64413 GOV64348:GOV64413 GYR64348:GYR64413 HIN64348:HIN64413 HSJ64348:HSJ64413 ICF64348:ICF64413 IMB64348:IMB64413 IVX64348:IVX64413 JFT64348:JFT64413 JPP64348:JPP64413 JZL64348:JZL64413 KJH64348:KJH64413 KTD64348:KTD64413 LCZ64348:LCZ64413 LMV64348:LMV64413 LWR64348:LWR64413 MGN64348:MGN64413 MQJ64348:MQJ64413 NAF64348:NAF64413 NKB64348:NKB64413 NTX64348:NTX64413 ODT64348:ODT64413 ONP64348:ONP64413 OXL64348:OXL64413 PHH64348:PHH64413 PRD64348:PRD64413 QAZ64348:QAZ64413 QKV64348:QKV64413 QUR64348:QUR64413 REN64348:REN64413 ROJ64348:ROJ64413 RYF64348:RYF64413 SIB64348:SIB64413 SRX64348:SRX64413 TBT64348:TBT64413 TLP64348:TLP64413 TVL64348:TVL64413 UFH64348:UFH64413 UPD64348:UPD64413 UYZ64348:UYZ64413 VIV64348:VIV64413 VSR64348:VSR64413 WCN64348:WCN64413 WMJ64348:WMJ64413 WWF64348:WWF64413 X129884:X129949 JT129884:JT129949 TP129884:TP129949 ADL129884:ADL129949 ANH129884:ANH129949 AXD129884:AXD129949 BGZ129884:BGZ129949 BQV129884:BQV129949 CAR129884:CAR129949 CKN129884:CKN129949 CUJ129884:CUJ129949 DEF129884:DEF129949 DOB129884:DOB129949 DXX129884:DXX129949 EHT129884:EHT129949 ERP129884:ERP129949 FBL129884:FBL129949 FLH129884:FLH129949 FVD129884:FVD129949 GEZ129884:GEZ129949 GOV129884:GOV129949 GYR129884:GYR129949 HIN129884:HIN129949 HSJ129884:HSJ129949 ICF129884:ICF129949 IMB129884:IMB129949 IVX129884:IVX129949 JFT129884:JFT129949 JPP129884:JPP129949 JZL129884:JZL129949 KJH129884:KJH129949 KTD129884:KTD129949 LCZ129884:LCZ129949 LMV129884:LMV129949 LWR129884:LWR129949 MGN129884:MGN129949 MQJ129884:MQJ129949 NAF129884:NAF129949 NKB129884:NKB129949 NTX129884:NTX129949 ODT129884:ODT129949 ONP129884:ONP129949 OXL129884:OXL129949 PHH129884:PHH129949 PRD129884:PRD129949 QAZ129884:QAZ129949 QKV129884:QKV129949 QUR129884:QUR129949 REN129884:REN129949 ROJ129884:ROJ129949 RYF129884:RYF129949 SIB129884:SIB129949 SRX129884:SRX129949 TBT129884:TBT129949 TLP129884:TLP129949 TVL129884:TVL129949 UFH129884:UFH129949 UPD129884:UPD129949 UYZ129884:UYZ129949 VIV129884:VIV129949 VSR129884:VSR129949 WCN129884:WCN129949 WMJ129884:WMJ129949 WWF129884:WWF129949 X195420:X195485 JT195420:JT195485 TP195420:TP195485 ADL195420:ADL195485 ANH195420:ANH195485 AXD195420:AXD195485 BGZ195420:BGZ195485 BQV195420:BQV195485 CAR195420:CAR195485 CKN195420:CKN195485 CUJ195420:CUJ195485 DEF195420:DEF195485 DOB195420:DOB195485 DXX195420:DXX195485 EHT195420:EHT195485 ERP195420:ERP195485 FBL195420:FBL195485 FLH195420:FLH195485 FVD195420:FVD195485 GEZ195420:GEZ195485 GOV195420:GOV195485 GYR195420:GYR195485 HIN195420:HIN195485 HSJ195420:HSJ195485 ICF195420:ICF195485 IMB195420:IMB195485 IVX195420:IVX195485 JFT195420:JFT195485 JPP195420:JPP195485 JZL195420:JZL195485 KJH195420:KJH195485 KTD195420:KTD195485 LCZ195420:LCZ195485 LMV195420:LMV195485 LWR195420:LWR195485 MGN195420:MGN195485 MQJ195420:MQJ195485 NAF195420:NAF195485 NKB195420:NKB195485 NTX195420:NTX195485 ODT195420:ODT195485 ONP195420:ONP195485 OXL195420:OXL195485 PHH195420:PHH195485 PRD195420:PRD195485 QAZ195420:QAZ195485 QKV195420:QKV195485 QUR195420:QUR195485 REN195420:REN195485 ROJ195420:ROJ195485 RYF195420:RYF195485 SIB195420:SIB195485 SRX195420:SRX195485 TBT195420:TBT195485 TLP195420:TLP195485 TVL195420:TVL195485 UFH195420:UFH195485 UPD195420:UPD195485 UYZ195420:UYZ195485 VIV195420:VIV195485 VSR195420:VSR195485 WCN195420:WCN195485 WMJ195420:WMJ195485 WWF195420:WWF195485 X260956:X261021 JT260956:JT261021 TP260956:TP261021 ADL260956:ADL261021 ANH260956:ANH261021 AXD260956:AXD261021 BGZ260956:BGZ261021 BQV260956:BQV261021 CAR260956:CAR261021 CKN260956:CKN261021 CUJ260956:CUJ261021 DEF260956:DEF261021 DOB260956:DOB261021 DXX260956:DXX261021 EHT260956:EHT261021 ERP260956:ERP261021 FBL260956:FBL261021 FLH260956:FLH261021 FVD260956:FVD261021 GEZ260956:GEZ261021 GOV260956:GOV261021 GYR260956:GYR261021 HIN260956:HIN261021 HSJ260956:HSJ261021 ICF260956:ICF261021 IMB260956:IMB261021 IVX260956:IVX261021 JFT260956:JFT261021 JPP260956:JPP261021 JZL260956:JZL261021 KJH260956:KJH261021 KTD260956:KTD261021 LCZ260956:LCZ261021 LMV260956:LMV261021 LWR260956:LWR261021 MGN260956:MGN261021 MQJ260956:MQJ261021 NAF260956:NAF261021 NKB260956:NKB261021 NTX260956:NTX261021 ODT260956:ODT261021 ONP260956:ONP261021 OXL260956:OXL261021 PHH260956:PHH261021 PRD260956:PRD261021 QAZ260956:QAZ261021 QKV260956:QKV261021 QUR260956:QUR261021 REN260956:REN261021 ROJ260956:ROJ261021 RYF260956:RYF261021 SIB260956:SIB261021 SRX260956:SRX261021 TBT260956:TBT261021 TLP260956:TLP261021 TVL260956:TVL261021 UFH260956:UFH261021 UPD260956:UPD261021 UYZ260956:UYZ261021 VIV260956:VIV261021 VSR260956:VSR261021 WCN260956:WCN261021 WMJ260956:WMJ261021 WWF260956:WWF261021 X326492:X326557 JT326492:JT326557 TP326492:TP326557 ADL326492:ADL326557 ANH326492:ANH326557 AXD326492:AXD326557 BGZ326492:BGZ326557 BQV326492:BQV326557 CAR326492:CAR326557 CKN326492:CKN326557 CUJ326492:CUJ326557 DEF326492:DEF326557 DOB326492:DOB326557 DXX326492:DXX326557 EHT326492:EHT326557 ERP326492:ERP326557 FBL326492:FBL326557 FLH326492:FLH326557 FVD326492:FVD326557 GEZ326492:GEZ326557 GOV326492:GOV326557 GYR326492:GYR326557 HIN326492:HIN326557 HSJ326492:HSJ326557 ICF326492:ICF326557 IMB326492:IMB326557 IVX326492:IVX326557 JFT326492:JFT326557 JPP326492:JPP326557 JZL326492:JZL326557 KJH326492:KJH326557 KTD326492:KTD326557 LCZ326492:LCZ326557 LMV326492:LMV326557 LWR326492:LWR326557 MGN326492:MGN326557 MQJ326492:MQJ326557 NAF326492:NAF326557 NKB326492:NKB326557 NTX326492:NTX326557 ODT326492:ODT326557 ONP326492:ONP326557 OXL326492:OXL326557 PHH326492:PHH326557 PRD326492:PRD326557 QAZ326492:QAZ326557 QKV326492:QKV326557 QUR326492:QUR326557 REN326492:REN326557 ROJ326492:ROJ326557 RYF326492:RYF326557 SIB326492:SIB326557 SRX326492:SRX326557 TBT326492:TBT326557 TLP326492:TLP326557 TVL326492:TVL326557 UFH326492:UFH326557 UPD326492:UPD326557 UYZ326492:UYZ326557 VIV326492:VIV326557 VSR326492:VSR326557 WCN326492:WCN326557 WMJ326492:WMJ326557 WWF326492:WWF326557 X392028:X392093 JT392028:JT392093 TP392028:TP392093 ADL392028:ADL392093 ANH392028:ANH392093 AXD392028:AXD392093 BGZ392028:BGZ392093 BQV392028:BQV392093 CAR392028:CAR392093 CKN392028:CKN392093 CUJ392028:CUJ392093 DEF392028:DEF392093 DOB392028:DOB392093 DXX392028:DXX392093 EHT392028:EHT392093 ERP392028:ERP392093 FBL392028:FBL392093 FLH392028:FLH392093 FVD392028:FVD392093 GEZ392028:GEZ392093 GOV392028:GOV392093 GYR392028:GYR392093 HIN392028:HIN392093 HSJ392028:HSJ392093 ICF392028:ICF392093 IMB392028:IMB392093 IVX392028:IVX392093 JFT392028:JFT392093 JPP392028:JPP392093 JZL392028:JZL392093 KJH392028:KJH392093 KTD392028:KTD392093 LCZ392028:LCZ392093 LMV392028:LMV392093 LWR392028:LWR392093 MGN392028:MGN392093 MQJ392028:MQJ392093 NAF392028:NAF392093 NKB392028:NKB392093 NTX392028:NTX392093 ODT392028:ODT392093 ONP392028:ONP392093 OXL392028:OXL392093 PHH392028:PHH392093 PRD392028:PRD392093 QAZ392028:QAZ392093 QKV392028:QKV392093 QUR392028:QUR392093 REN392028:REN392093 ROJ392028:ROJ392093 RYF392028:RYF392093 SIB392028:SIB392093 SRX392028:SRX392093 TBT392028:TBT392093 TLP392028:TLP392093 TVL392028:TVL392093 UFH392028:UFH392093 UPD392028:UPD392093 UYZ392028:UYZ392093 VIV392028:VIV392093 VSR392028:VSR392093 WCN392028:WCN392093 WMJ392028:WMJ392093 WWF392028:WWF392093 X457564:X457629 JT457564:JT457629 TP457564:TP457629 ADL457564:ADL457629 ANH457564:ANH457629 AXD457564:AXD457629 BGZ457564:BGZ457629 BQV457564:BQV457629 CAR457564:CAR457629 CKN457564:CKN457629 CUJ457564:CUJ457629 DEF457564:DEF457629 DOB457564:DOB457629 DXX457564:DXX457629 EHT457564:EHT457629 ERP457564:ERP457629 FBL457564:FBL457629 FLH457564:FLH457629 FVD457564:FVD457629 GEZ457564:GEZ457629 GOV457564:GOV457629 GYR457564:GYR457629 HIN457564:HIN457629 HSJ457564:HSJ457629 ICF457564:ICF457629 IMB457564:IMB457629 IVX457564:IVX457629 JFT457564:JFT457629 JPP457564:JPP457629 JZL457564:JZL457629 KJH457564:KJH457629 KTD457564:KTD457629 LCZ457564:LCZ457629 LMV457564:LMV457629 LWR457564:LWR457629 MGN457564:MGN457629 MQJ457564:MQJ457629 NAF457564:NAF457629 NKB457564:NKB457629 NTX457564:NTX457629 ODT457564:ODT457629 ONP457564:ONP457629 OXL457564:OXL457629 PHH457564:PHH457629 PRD457564:PRD457629 QAZ457564:QAZ457629 QKV457564:QKV457629 QUR457564:QUR457629 REN457564:REN457629 ROJ457564:ROJ457629 RYF457564:RYF457629 SIB457564:SIB457629 SRX457564:SRX457629 TBT457564:TBT457629 TLP457564:TLP457629 TVL457564:TVL457629 UFH457564:UFH457629 UPD457564:UPD457629 UYZ457564:UYZ457629 VIV457564:VIV457629 VSR457564:VSR457629 WCN457564:WCN457629 WMJ457564:WMJ457629 WWF457564:WWF457629 X523100:X523165 JT523100:JT523165 TP523100:TP523165 ADL523100:ADL523165 ANH523100:ANH523165 AXD523100:AXD523165 BGZ523100:BGZ523165 BQV523100:BQV523165 CAR523100:CAR523165 CKN523100:CKN523165 CUJ523100:CUJ523165 DEF523100:DEF523165 DOB523100:DOB523165 DXX523100:DXX523165 EHT523100:EHT523165 ERP523100:ERP523165 FBL523100:FBL523165 FLH523100:FLH523165 FVD523100:FVD523165 GEZ523100:GEZ523165 GOV523100:GOV523165 GYR523100:GYR523165 HIN523100:HIN523165 HSJ523100:HSJ523165 ICF523100:ICF523165 IMB523100:IMB523165 IVX523100:IVX523165 JFT523100:JFT523165 JPP523100:JPP523165 JZL523100:JZL523165 KJH523100:KJH523165 KTD523100:KTD523165 LCZ523100:LCZ523165 LMV523100:LMV523165 LWR523100:LWR523165 MGN523100:MGN523165 MQJ523100:MQJ523165 NAF523100:NAF523165 NKB523100:NKB523165 NTX523100:NTX523165 ODT523100:ODT523165 ONP523100:ONP523165 OXL523100:OXL523165 PHH523100:PHH523165 PRD523100:PRD523165 QAZ523100:QAZ523165 QKV523100:QKV523165 QUR523100:QUR523165 REN523100:REN523165 ROJ523100:ROJ523165 RYF523100:RYF523165 SIB523100:SIB523165 SRX523100:SRX523165 TBT523100:TBT523165 TLP523100:TLP523165 TVL523100:TVL523165 UFH523100:UFH523165 UPD523100:UPD523165 UYZ523100:UYZ523165 VIV523100:VIV523165 VSR523100:VSR523165 WCN523100:WCN523165 WMJ523100:WMJ523165 WWF523100:WWF523165 X588636:X588701 JT588636:JT588701 TP588636:TP588701 ADL588636:ADL588701 ANH588636:ANH588701 AXD588636:AXD588701 BGZ588636:BGZ588701 BQV588636:BQV588701 CAR588636:CAR588701 CKN588636:CKN588701 CUJ588636:CUJ588701 DEF588636:DEF588701 DOB588636:DOB588701 DXX588636:DXX588701 EHT588636:EHT588701 ERP588636:ERP588701 FBL588636:FBL588701 FLH588636:FLH588701 FVD588636:FVD588701 GEZ588636:GEZ588701 GOV588636:GOV588701 GYR588636:GYR588701 HIN588636:HIN588701 HSJ588636:HSJ588701 ICF588636:ICF588701 IMB588636:IMB588701 IVX588636:IVX588701 JFT588636:JFT588701 JPP588636:JPP588701 JZL588636:JZL588701 KJH588636:KJH588701 KTD588636:KTD588701 LCZ588636:LCZ588701 LMV588636:LMV588701 LWR588636:LWR588701 MGN588636:MGN588701 MQJ588636:MQJ588701 NAF588636:NAF588701 NKB588636:NKB588701 NTX588636:NTX588701 ODT588636:ODT588701 ONP588636:ONP588701 OXL588636:OXL588701 PHH588636:PHH588701 PRD588636:PRD588701 QAZ588636:QAZ588701 QKV588636:QKV588701 QUR588636:QUR588701 REN588636:REN588701 ROJ588636:ROJ588701 RYF588636:RYF588701 SIB588636:SIB588701 SRX588636:SRX588701 TBT588636:TBT588701 TLP588636:TLP588701 TVL588636:TVL588701 UFH588636:UFH588701 UPD588636:UPD588701 UYZ588636:UYZ588701 VIV588636:VIV588701 VSR588636:VSR588701 WCN588636:WCN588701 WMJ588636:WMJ588701 WWF588636:WWF588701 X654172:X654237 JT654172:JT654237 TP654172:TP654237 ADL654172:ADL654237 ANH654172:ANH654237 AXD654172:AXD654237 BGZ654172:BGZ654237 BQV654172:BQV654237 CAR654172:CAR654237 CKN654172:CKN654237 CUJ654172:CUJ654237 DEF654172:DEF654237 DOB654172:DOB654237 DXX654172:DXX654237 EHT654172:EHT654237 ERP654172:ERP654237 FBL654172:FBL654237 FLH654172:FLH654237 FVD654172:FVD654237 GEZ654172:GEZ654237 GOV654172:GOV654237 GYR654172:GYR654237 HIN654172:HIN654237 HSJ654172:HSJ654237 ICF654172:ICF654237 IMB654172:IMB654237 IVX654172:IVX654237 JFT654172:JFT654237 JPP654172:JPP654237 JZL654172:JZL654237 KJH654172:KJH654237 KTD654172:KTD654237 LCZ654172:LCZ654237 LMV654172:LMV654237 LWR654172:LWR654237 MGN654172:MGN654237 MQJ654172:MQJ654237 NAF654172:NAF654237 NKB654172:NKB654237 NTX654172:NTX654237 ODT654172:ODT654237 ONP654172:ONP654237 OXL654172:OXL654237 PHH654172:PHH654237 PRD654172:PRD654237 QAZ654172:QAZ654237 QKV654172:QKV654237 QUR654172:QUR654237 REN654172:REN654237 ROJ654172:ROJ654237 RYF654172:RYF654237 SIB654172:SIB654237 SRX654172:SRX654237 TBT654172:TBT654237 TLP654172:TLP654237 TVL654172:TVL654237 UFH654172:UFH654237 UPD654172:UPD654237 UYZ654172:UYZ654237 VIV654172:VIV654237 VSR654172:VSR654237 WCN654172:WCN654237 WMJ654172:WMJ654237 WWF654172:WWF654237 X719708:X719773 JT719708:JT719773 TP719708:TP719773 ADL719708:ADL719773 ANH719708:ANH719773 AXD719708:AXD719773 BGZ719708:BGZ719773 BQV719708:BQV719773 CAR719708:CAR719773 CKN719708:CKN719773 CUJ719708:CUJ719773 DEF719708:DEF719773 DOB719708:DOB719773 DXX719708:DXX719773 EHT719708:EHT719773 ERP719708:ERP719773 FBL719708:FBL719773 FLH719708:FLH719773 FVD719708:FVD719773 GEZ719708:GEZ719773 GOV719708:GOV719773 GYR719708:GYR719773 HIN719708:HIN719773 HSJ719708:HSJ719773 ICF719708:ICF719773 IMB719708:IMB719773 IVX719708:IVX719773 JFT719708:JFT719773 JPP719708:JPP719773 JZL719708:JZL719773 KJH719708:KJH719773 KTD719708:KTD719773 LCZ719708:LCZ719773 LMV719708:LMV719773 LWR719708:LWR719773 MGN719708:MGN719773 MQJ719708:MQJ719773 NAF719708:NAF719773 NKB719708:NKB719773 NTX719708:NTX719773 ODT719708:ODT719773 ONP719708:ONP719773 OXL719708:OXL719773 PHH719708:PHH719773 PRD719708:PRD719773 QAZ719708:QAZ719773 QKV719708:QKV719773 QUR719708:QUR719773 REN719708:REN719773 ROJ719708:ROJ719773 RYF719708:RYF719773 SIB719708:SIB719773 SRX719708:SRX719773 TBT719708:TBT719773 TLP719708:TLP719773 TVL719708:TVL719773 UFH719708:UFH719773 UPD719708:UPD719773 UYZ719708:UYZ719773 VIV719708:VIV719773 VSR719708:VSR719773 WCN719708:WCN719773 WMJ719708:WMJ719773 WWF719708:WWF719773 X785244:X785309 JT785244:JT785309 TP785244:TP785309 ADL785244:ADL785309 ANH785244:ANH785309 AXD785244:AXD785309 BGZ785244:BGZ785309 BQV785244:BQV785309 CAR785244:CAR785309 CKN785244:CKN785309 CUJ785244:CUJ785309 DEF785244:DEF785309 DOB785244:DOB785309 DXX785244:DXX785309 EHT785244:EHT785309 ERP785244:ERP785309 FBL785244:FBL785309 FLH785244:FLH785309 FVD785244:FVD785309 GEZ785244:GEZ785309 GOV785244:GOV785309 GYR785244:GYR785309 HIN785244:HIN785309 HSJ785244:HSJ785309 ICF785244:ICF785309 IMB785244:IMB785309 IVX785244:IVX785309 JFT785244:JFT785309 JPP785244:JPP785309 JZL785244:JZL785309 KJH785244:KJH785309 KTD785244:KTD785309 LCZ785244:LCZ785309 LMV785244:LMV785309 LWR785244:LWR785309 MGN785244:MGN785309 MQJ785244:MQJ785309 NAF785244:NAF785309 NKB785244:NKB785309 NTX785244:NTX785309 ODT785244:ODT785309 ONP785244:ONP785309 OXL785244:OXL785309 PHH785244:PHH785309 PRD785244:PRD785309 QAZ785244:QAZ785309 QKV785244:QKV785309 QUR785244:QUR785309 REN785244:REN785309 ROJ785244:ROJ785309 RYF785244:RYF785309 SIB785244:SIB785309 SRX785244:SRX785309 TBT785244:TBT785309 TLP785244:TLP785309 TVL785244:TVL785309 UFH785244:UFH785309 UPD785244:UPD785309 UYZ785244:UYZ785309 VIV785244:VIV785309 VSR785244:VSR785309 WCN785244:WCN785309 WMJ785244:WMJ785309 WWF785244:WWF785309 X850780:X850845 JT850780:JT850845 TP850780:TP850845 ADL850780:ADL850845 ANH850780:ANH850845 AXD850780:AXD850845 BGZ850780:BGZ850845 BQV850780:BQV850845 CAR850780:CAR850845 CKN850780:CKN850845 CUJ850780:CUJ850845 DEF850780:DEF850845 DOB850780:DOB850845 DXX850780:DXX850845 EHT850780:EHT850845 ERP850780:ERP850845 FBL850780:FBL850845 FLH850780:FLH850845 FVD850780:FVD850845 GEZ850780:GEZ850845 GOV850780:GOV850845 GYR850780:GYR850845 HIN850780:HIN850845 HSJ850780:HSJ850845 ICF850780:ICF850845 IMB850780:IMB850845 IVX850780:IVX850845 JFT850780:JFT850845 JPP850780:JPP850845 JZL850780:JZL850845 KJH850780:KJH850845 KTD850780:KTD850845 LCZ850780:LCZ850845 LMV850780:LMV850845 LWR850780:LWR850845 MGN850780:MGN850845 MQJ850780:MQJ850845 NAF850780:NAF850845 NKB850780:NKB850845 NTX850780:NTX850845 ODT850780:ODT850845 ONP850780:ONP850845 OXL850780:OXL850845 PHH850780:PHH850845 PRD850780:PRD850845 QAZ850780:QAZ850845 QKV850780:QKV850845 QUR850780:QUR850845 REN850780:REN850845 ROJ850780:ROJ850845 RYF850780:RYF850845 SIB850780:SIB850845 SRX850780:SRX850845 TBT850780:TBT850845 TLP850780:TLP850845 TVL850780:TVL850845 UFH850780:UFH850845 UPD850780:UPD850845 UYZ850780:UYZ850845 VIV850780:VIV850845 VSR850780:VSR850845 WCN850780:WCN850845 WMJ850780:WMJ850845 WWF850780:WWF850845 X916316:X916381 JT916316:JT916381 TP916316:TP916381 ADL916316:ADL916381 ANH916316:ANH916381 AXD916316:AXD916381 BGZ916316:BGZ916381 BQV916316:BQV916381 CAR916316:CAR916381 CKN916316:CKN916381 CUJ916316:CUJ916381 DEF916316:DEF916381 DOB916316:DOB916381 DXX916316:DXX916381 EHT916316:EHT916381 ERP916316:ERP916381 FBL916316:FBL916381 FLH916316:FLH916381 FVD916316:FVD916381 GEZ916316:GEZ916381 GOV916316:GOV916381 GYR916316:GYR916381 HIN916316:HIN916381 HSJ916316:HSJ916381 ICF916316:ICF916381 IMB916316:IMB916381 IVX916316:IVX916381 JFT916316:JFT916381 JPP916316:JPP916381 JZL916316:JZL916381 KJH916316:KJH916381 KTD916316:KTD916381 LCZ916316:LCZ916381 LMV916316:LMV916381 LWR916316:LWR916381 MGN916316:MGN916381 MQJ916316:MQJ916381 NAF916316:NAF916381 NKB916316:NKB916381 NTX916316:NTX916381 ODT916316:ODT916381 ONP916316:ONP916381 OXL916316:OXL916381 PHH916316:PHH916381 PRD916316:PRD916381 QAZ916316:QAZ916381 QKV916316:QKV916381 QUR916316:QUR916381 REN916316:REN916381 ROJ916316:ROJ916381 RYF916316:RYF916381 SIB916316:SIB916381 SRX916316:SRX916381 TBT916316:TBT916381 TLP916316:TLP916381 TVL916316:TVL916381 UFH916316:UFH916381 UPD916316:UPD916381 UYZ916316:UYZ916381 VIV916316:VIV916381 VSR916316:VSR916381 WCN916316:WCN916381 WMJ916316:WMJ916381 WWF916316:WWF916381 X981852:X981917 JT981852:JT981917 TP981852:TP981917 ADL981852:ADL981917 ANH981852:ANH981917 AXD981852:AXD981917 BGZ981852:BGZ981917 BQV981852:BQV981917 CAR981852:CAR981917 CKN981852:CKN981917 CUJ981852:CUJ981917 DEF981852:DEF981917 DOB981852:DOB981917 DXX981852:DXX981917 EHT981852:EHT981917 ERP981852:ERP981917 FBL981852:FBL981917 FLH981852:FLH981917 FVD981852:FVD981917 GEZ981852:GEZ981917 GOV981852:GOV981917 GYR981852:GYR981917 HIN981852:HIN981917 HSJ981852:HSJ981917 ICF981852:ICF981917 IMB981852:IMB981917 IVX981852:IVX981917 JFT981852:JFT981917 JPP981852:JPP981917 JZL981852:JZL981917 KJH981852:KJH981917 KTD981852:KTD981917 LCZ981852:LCZ981917 LMV981852:LMV981917 LWR981852:LWR981917 MGN981852:MGN981917 MQJ981852:MQJ981917 NAF981852:NAF981917 NKB981852:NKB981917 NTX981852:NTX981917 ODT981852:ODT981917 ONP981852:ONP981917 OXL981852:OXL981917 PHH981852:PHH981917 PRD981852:PRD981917 QAZ981852:QAZ981917 QKV981852:QKV981917 QUR981852:QUR981917 REN981852:REN981917 ROJ981852:ROJ981917 RYF981852:RYF981917 SIB981852:SIB981917 SRX981852:SRX981917 TBT981852:TBT981917 TLP981852:TLP981917 TVL981852:TVL981917 UFH981852:UFH981917 UPD981852:UPD981917 UYZ981852:UYZ981917 VIV981852:VIV981917 VSR981852:VSR981917 WCN981852:WCN981917 WMJ981852:WMJ981917 WWF981852:WWF981917 X1047388:X1047453 JT1047388:JT1047453 TP1047388:TP1047453 ADL1047388:ADL1047453 ANH1047388:ANH1047453 AXD1047388:AXD1047453 BGZ1047388:BGZ1047453 BQV1047388:BQV1047453 CAR1047388:CAR1047453 CKN1047388:CKN1047453 CUJ1047388:CUJ1047453 DEF1047388:DEF1047453 DOB1047388:DOB1047453 DXX1047388:DXX1047453 EHT1047388:EHT1047453 ERP1047388:ERP1047453 FBL1047388:FBL1047453 FLH1047388:FLH1047453 FVD1047388:FVD1047453 GEZ1047388:GEZ1047453 GOV1047388:GOV1047453 GYR1047388:GYR1047453 HIN1047388:HIN1047453 HSJ1047388:HSJ1047453 ICF1047388:ICF1047453 IMB1047388:IMB1047453 IVX1047388:IVX1047453 JFT1047388:JFT1047453 JPP1047388:JPP1047453 JZL1047388:JZL1047453 KJH1047388:KJH1047453 KTD1047388:KTD1047453 LCZ1047388:LCZ1047453 LMV1047388:LMV1047453 LWR1047388:LWR1047453 MGN1047388:MGN1047453 MQJ1047388:MQJ1047453 NAF1047388:NAF1047453 NKB1047388:NKB1047453 NTX1047388:NTX1047453 ODT1047388:ODT1047453 ONP1047388:ONP1047453 OXL1047388:OXL1047453 PHH1047388:PHH1047453 PRD1047388:PRD1047453 QAZ1047388:QAZ1047453 QKV1047388:QKV1047453 QUR1047388:QUR1047453 REN1047388:REN1047453 ROJ1047388:ROJ1047453 RYF1047388:RYF1047453 SIB1047388:SIB1047453 SRX1047388:SRX1047453 TBT1047388:TBT1047453 TLP1047388:TLP1047453 TVL1047388:TVL1047453 UFH1047388:UFH1047453 UPD1047388:UPD1047453 UYZ1047388:UYZ1047453 VIV1047388:VIV1047453 VSR1047388:VSR1047453 WCN1047388:WCN1047453 WMJ1047388:WMJ1047453 WWF1047388:WWF1047453 WWF983027:WWF983092 X65523:X65588 JT65523:JT65588 TP65523:TP65588 ADL65523:ADL65588 ANH65523:ANH65588 AXD65523:AXD65588 BGZ65523:BGZ65588 BQV65523:BQV65588 CAR65523:CAR65588 CKN65523:CKN65588 CUJ65523:CUJ65588 DEF65523:DEF65588 DOB65523:DOB65588 DXX65523:DXX65588 EHT65523:EHT65588 ERP65523:ERP65588 FBL65523:FBL65588 FLH65523:FLH65588 FVD65523:FVD65588 GEZ65523:GEZ65588 GOV65523:GOV65588 GYR65523:GYR65588 HIN65523:HIN65588 HSJ65523:HSJ65588 ICF65523:ICF65588 IMB65523:IMB65588 IVX65523:IVX65588 JFT65523:JFT65588 JPP65523:JPP65588 JZL65523:JZL65588 KJH65523:KJH65588 KTD65523:KTD65588 LCZ65523:LCZ65588 LMV65523:LMV65588 LWR65523:LWR65588 MGN65523:MGN65588 MQJ65523:MQJ65588 NAF65523:NAF65588 NKB65523:NKB65588 NTX65523:NTX65588 ODT65523:ODT65588 ONP65523:ONP65588 OXL65523:OXL65588 PHH65523:PHH65588 PRD65523:PRD65588 QAZ65523:QAZ65588 QKV65523:QKV65588 QUR65523:QUR65588 REN65523:REN65588 ROJ65523:ROJ65588 RYF65523:RYF65588 SIB65523:SIB65588 SRX65523:SRX65588 TBT65523:TBT65588 TLP65523:TLP65588 TVL65523:TVL65588 UFH65523:UFH65588 UPD65523:UPD65588 UYZ65523:UYZ65588 VIV65523:VIV65588 VSR65523:VSR65588 WCN65523:WCN65588 WMJ65523:WMJ65588 WWF65523:WWF65588 X131059:X131124 JT131059:JT131124 TP131059:TP131124 ADL131059:ADL131124 ANH131059:ANH131124 AXD131059:AXD131124 BGZ131059:BGZ131124 BQV131059:BQV131124 CAR131059:CAR131124 CKN131059:CKN131124 CUJ131059:CUJ131124 DEF131059:DEF131124 DOB131059:DOB131124 DXX131059:DXX131124 EHT131059:EHT131124 ERP131059:ERP131124 FBL131059:FBL131124 FLH131059:FLH131124 FVD131059:FVD131124 GEZ131059:GEZ131124 GOV131059:GOV131124 GYR131059:GYR131124 HIN131059:HIN131124 HSJ131059:HSJ131124 ICF131059:ICF131124 IMB131059:IMB131124 IVX131059:IVX131124 JFT131059:JFT131124 JPP131059:JPP131124 JZL131059:JZL131124 KJH131059:KJH131124 KTD131059:KTD131124 LCZ131059:LCZ131124 LMV131059:LMV131124 LWR131059:LWR131124 MGN131059:MGN131124 MQJ131059:MQJ131124 NAF131059:NAF131124 NKB131059:NKB131124 NTX131059:NTX131124 ODT131059:ODT131124 ONP131059:ONP131124 OXL131059:OXL131124 PHH131059:PHH131124 PRD131059:PRD131124 QAZ131059:QAZ131124 QKV131059:QKV131124 QUR131059:QUR131124 REN131059:REN131124 ROJ131059:ROJ131124 RYF131059:RYF131124 SIB131059:SIB131124 SRX131059:SRX131124 TBT131059:TBT131124 TLP131059:TLP131124 TVL131059:TVL131124 UFH131059:UFH131124 UPD131059:UPD131124 UYZ131059:UYZ131124 VIV131059:VIV131124 VSR131059:VSR131124 WCN131059:WCN131124 WMJ131059:WMJ131124 WWF131059:WWF131124 X196595:X196660 JT196595:JT196660 TP196595:TP196660 ADL196595:ADL196660 ANH196595:ANH196660 AXD196595:AXD196660 BGZ196595:BGZ196660 BQV196595:BQV196660 CAR196595:CAR196660 CKN196595:CKN196660 CUJ196595:CUJ196660 DEF196595:DEF196660 DOB196595:DOB196660 DXX196595:DXX196660 EHT196595:EHT196660 ERP196595:ERP196660 FBL196595:FBL196660 FLH196595:FLH196660 FVD196595:FVD196660 GEZ196595:GEZ196660 GOV196595:GOV196660 GYR196595:GYR196660 HIN196595:HIN196660 HSJ196595:HSJ196660 ICF196595:ICF196660 IMB196595:IMB196660 IVX196595:IVX196660 JFT196595:JFT196660 JPP196595:JPP196660 JZL196595:JZL196660 KJH196595:KJH196660 KTD196595:KTD196660 LCZ196595:LCZ196660 LMV196595:LMV196660 LWR196595:LWR196660 MGN196595:MGN196660 MQJ196595:MQJ196660 NAF196595:NAF196660 NKB196595:NKB196660 NTX196595:NTX196660 ODT196595:ODT196660 ONP196595:ONP196660 OXL196595:OXL196660 PHH196595:PHH196660 PRD196595:PRD196660 QAZ196595:QAZ196660 QKV196595:QKV196660 QUR196595:QUR196660 REN196595:REN196660 ROJ196595:ROJ196660 RYF196595:RYF196660 SIB196595:SIB196660 SRX196595:SRX196660 TBT196595:TBT196660 TLP196595:TLP196660 TVL196595:TVL196660 UFH196595:UFH196660 UPD196595:UPD196660 UYZ196595:UYZ196660 VIV196595:VIV196660 VSR196595:VSR196660 WCN196595:WCN196660 WMJ196595:WMJ196660 WWF196595:WWF196660 X262131:X262196 JT262131:JT262196 TP262131:TP262196 ADL262131:ADL262196 ANH262131:ANH262196 AXD262131:AXD262196 BGZ262131:BGZ262196 BQV262131:BQV262196 CAR262131:CAR262196 CKN262131:CKN262196 CUJ262131:CUJ262196 DEF262131:DEF262196 DOB262131:DOB262196 DXX262131:DXX262196 EHT262131:EHT262196 ERP262131:ERP262196 FBL262131:FBL262196 FLH262131:FLH262196 FVD262131:FVD262196 GEZ262131:GEZ262196 GOV262131:GOV262196 GYR262131:GYR262196 HIN262131:HIN262196 HSJ262131:HSJ262196 ICF262131:ICF262196 IMB262131:IMB262196 IVX262131:IVX262196 JFT262131:JFT262196 JPP262131:JPP262196 JZL262131:JZL262196 KJH262131:KJH262196 KTD262131:KTD262196 LCZ262131:LCZ262196 LMV262131:LMV262196 LWR262131:LWR262196 MGN262131:MGN262196 MQJ262131:MQJ262196 NAF262131:NAF262196 NKB262131:NKB262196 NTX262131:NTX262196 ODT262131:ODT262196 ONP262131:ONP262196 OXL262131:OXL262196 PHH262131:PHH262196 PRD262131:PRD262196 QAZ262131:QAZ262196 QKV262131:QKV262196 QUR262131:QUR262196 REN262131:REN262196 ROJ262131:ROJ262196 RYF262131:RYF262196 SIB262131:SIB262196 SRX262131:SRX262196 TBT262131:TBT262196 TLP262131:TLP262196 TVL262131:TVL262196 UFH262131:UFH262196 UPD262131:UPD262196 UYZ262131:UYZ262196 VIV262131:VIV262196 VSR262131:VSR262196 WCN262131:WCN262196 WMJ262131:WMJ262196 WWF262131:WWF262196 X327667:X327732 JT327667:JT327732 TP327667:TP327732 ADL327667:ADL327732 ANH327667:ANH327732 AXD327667:AXD327732 BGZ327667:BGZ327732 BQV327667:BQV327732 CAR327667:CAR327732 CKN327667:CKN327732 CUJ327667:CUJ327732 DEF327667:DEF327732 DOB327667:DOB327732 DXX327667:DXX327732 EHT327667:EHT327732 ERP327667:ERP327732 FBL327667:FBL327732 FLH327667:FLH327732 FVD327667:FVD327732 GEZ327667:GEZ327732 GOV327667:GOV327732 GYR327667:GYR327732 HIN327667:HIN327732 HSJ327667:HSJ327732 ICF327667:ICF327732 IMB327667:IMB327732 IVX327667:IVX327732 JFT327667:JFT327732 JPP327667:JPP327732 JZL327667:JZL327732 KJH327667:KJH327732 KTD327667:KTD327732 LCZ327667:LCZ327732 LMV327667:LMV327732 LWR327667:LWR327732 MGN327667:MGN327732 MQJ327667:MQJ327732 NAF327667:NAF327732 NKB327667:NKB327732 NTX327667:NTX327732 ODT327667:ODT327732 ONP327667:ONP327732 OXL327667:OXL327732 PHH327667:PHH327732 PRD327667:PRD327732 QAZ327667:QAZ327732 QKV327667:QKV327732 QUR327667:QUR327732 REN327667:REN327732 ROJ327667:ROJ327732 RYF327667:RYF327732 SIB327667:SIB327732 SRX327667:SRX327732 TBT327667:TBT327732 TLP327667:TLP327732 TVL327667:TVL327732 UFH327667:UFH327732 UPD327667:UPD327732 UYZ327667:UYZ327732 VIV327667:VIV327732 VSR327667:VSR327732 WCN327667:WCN327732 WMJ327667:WMJ327732 WWF327667:WWF327732 X393203:X393268 JT393203:JT393268 TP393203:TP393268 ADL393203:ADL393268 ANH393203:ANH393268 AXD393203:AXD393268 BGZ393203:BGZ393268 BQV393203:BQV393268 CAR393203:CAR393268 CKN393203:CKN393268 CUJ393203:CUJ393268 DEF393203:DEF393268 DOB393203:DOB393268 DXX393203:DXX393268 EHT393203:EHT393268 ERP393203:ERP393268 FBL393203:FBL393268 FLH393203:FLH393268 FVD393203:FVD393268 GEZ393203:GEZ393268 GOV393203:GOV393268 GYR393203:GYR393268 HIN393203:HIN393268 HSJ393203:HSJ393268 ICF393203:ICF393268 IMB393203:IMB393268 IVX393203:IVX393268 JFT393203:JFT393268 JPP393203:JPP393268 JZL393203:JZL393268 KJH393203:KJH393268 KTD393203:KTD393268 LCZ393203:LCZ393268 LMV393203:LMV393268 LWR393203:LWR393268 MGN393203:MGN393268 MQJ393203:MQJ393268 NAF393203:NAF393268 NKB393203:NKB393268 NTX393203:NTX393268 ODT393203:ODT393268 ONP393203:ONP393268 OXL393203:OXL393268 PHH393203:PHH393268 PRD393203:PRD393268 QAZ393203:QAZ393268 QKV393203:QKV393268 QUR393203:QUR393268 REN393203:REN393268 ROJ393203:ROJ393268 RYF393203:RYF393268 SIB393203:SIB393268 SRX393203:SRX393268 TBT393203:TBT393268 TLP393203:TLP393268 TVL393203:TVL393268 UFH393203:UFH393268 UPD393203:UPD393268 UYZ393203:UYZ393268 VIV393203:VIV393268 VSR393203:VSR393268 WCN393203:WCN393268 WMJ393203:WMJ393268 WWF393203:WWF393268 X458739:X458804 JT458739:JT458804 TP458739:TP458804 ADL458739:ADL458804 ANH458739:ANH458804 AXD458739:AXD458804 BGZ458739:BGZ458804 BQV458739:BQV458804 CAR458739:CAR458804 CKN458739:CKN458804 CUJ458739:CUJ458804 DEF458739:DEF458804 DOB458739:DOB458804 DXX458739:DXX458804 EHT458739:EHT458804 ERP458739:ERP458804 FBL458739:FBL458804 FLH458739:FLH458804 FVD458739:FVD458804 GEZ458739:GEZ458804 GOV458739:GOV458804 GYR458739:GYR458804 HIN458739:HIN458804 HSJ458739:HSJ458804 ICF458739:ICF458804 IMB458739:IMB458804 IVX458739:IVX458804 JFT458739:JFT458804 JPP458739:JPP458804 JZL458739:JZL458804 KJH458739:KJH458804 KTD458739:KTD458804 LCZ458739:LCZ458804 LMV458739:LMV458804 LWR458739:LWR458804 MGN458739:MGN458804 MQJ458739:MQJ458804 NAF458739:NAF458804 NKB458739:NKB458804 NTX458739:NTX458804 ODT458739:ODT458804 ONP458739:ONP458804 OXL458739:OXL458804 PHH458739:PHH458804 PRD458739:PRD458804 QAZ458739:QAZ458804 QKV458739:QKV458804 QUR458739:QUR458804 REN458739:REN458804 ROJ458739:ROJ458804 RYF458739:RYF458804 SIB458739:SIB458804 SRX458739:SRX458804 TBT458739:TBT458804 TLP458739:TLP458804 TVL458739:TVL458804 UFH458739:UFH458804 UPD458739:UPD458804 UYZ458739:UYZ458804 VIV458739:VIV458804 VSR458739:VSR458804 WCN458739:WCN458804 WMJ458739:WMJ458804 WWF458739:WWF458804 X524275:X524340 JT524275:JT524340 TP524275:TP524340 ADL524275:ADL524340 ANH524275:ANH524340 AXD524275:AXD524340 BGZ524275:BGZ524340 BQV524275:BQV524340 CAR524275:CAR524340 CKN524275:CKN524340 CUJ524275:CUJ524340 DEF524275:DEF524340 DOB524275:DOB524340 DXX524275:DXX524340 EHT524275:EHT524340 ERP524275:ERP524340 FBL524275:FBL524340 FLH524275:FLH524340 FVD524275:FVD524340 GEZ524275:GEZ524340 GOV524275:GOV524340 GYR524275:GYR524340 HIN524275:HIN524340 HSJ524275:HSJ524340 ICF524275:ICF524340 IMB524275:IMB524340 IVX524275:IVX524340 JFT524275:JFT524340 JPP524275:JPP524340 JZL524275:JZL524340 KJH524275:KJH524340 KTD524275:KTD524340 LCZ524275:LCZ524340 LMV524275:LMV524340 LWR524275:LWR524340 MGN524275:MGN524340 MQJ524275:MQJ524340 NAF524275:NAF524340 NKB524275:NKB524340 NTX524275:NTX524340 ODT524275:ODT524340 ONP524275:ONP524340 OXL524275:OXL524340 PHH524275:PHH524340 PRD524275:PRD524340 QAZ524275:QAZ524340 QKV524275:QKV524340 QUR524275:QUR524340 REN524275:REN524340 ROJ524275:ROJ524340 RYF524275:RYF524340 SIB524275:SIB524340 SRX524275:SRX524340 TBT524275:TBT524340 TLP524275:TLP524340 TVL524275:TVL524340 UFH524275:UFH524340 UPD524275:UPD524340 UYZ524275:UYZ524340 VIV524275:VIV524340 VSR524275:VSR524340 WCN524275:WCN524340 WMJ524275:WMJ524340 WWF524275:WWF524340 X589811:X589876 JT589811:JT589876 TP589811:TP589876 ADL589811:ADL589876 ANH589811:ANH589876 AXD589811:AXD589876 BGZ589811:BGZ589876 BQV589811:BQV589876 CAR589811:CAR589876 CKN589811:CKN589876 CUJ589811:CUJ589876 DEF589811:DEF589876 DOB589811:DOB589876 DXX589811:DXX589876 EHT589811:EHT589876 ERP589811:ERP589876 FBL589811:FBL589876 FLH589811:FLH589876 FVD589811:FVD589876 GEZ589811:GEZ589876 GOV589811:GOV589876 GYR589811:GYR589876 HIN589811:HIN589876 HSJ589811:HSJ589876 ICF589811:ICF589876 IMB589811:IMB589876 IVX589811:IVX589876 JFT589811:JFT589876 JPP589811:JPP589876 JZL589811:JZL589876 KJH589811:KJH589876 KTD589811:KTD589876 LCZ589811:LCZ589876 LMV589811:LMV589876 LWR589811:LWR589876 MGN589811:MGN589876 MQJ589811:MQJ589876 NAF589811:NAF589876 NKB589811:NKB589876 NTX589811:NTX589876 ODT589811:ODT589876 ONP589811:ONP589876 OXL589811:OXL589876 PHH589811:PHH589876 PRD589811:PRD589876 QAZ589811:QAZ589876 QKV589811:QKV589876 QUR589811:QUR589876 REN589811:REN589876 ROJ589811:ROJ589876 RYF589811:RYF589876 SIB589811:SIB589876 SRX589811:SRX589876 TBT589811:TBT589876 TLP589811:TLP589876 TVL589811:TVL589876 UFH589811:UFH589876 UPD589811:UPD589876 UYZ589811:UYZ589876 VIV589811:VIV589876 VSR589811:VSR589876 WCN589811:WCN589876 WMJ589811:WMJ589876 WWF589811:WWF589876 X655347:X655412 JT655347:JT655412 TP655347:TP655412 ADL655347:ADL655412 ANH655347:ANH655412 AXD655347:AXD655412 BGZ655347:BGZ655412 BQV655347:BQV655412 CAR655347:CAR655412 CKN655347:CKN655412 CUJ655347:CUJ655412 DEF655347:DEF655412 DOB655347:DOB655412 DXX655347:DXX655412 EHT655347:EHT655412 ERP655347:ERP655412 FBL655347:FBL655412 FLH655347:FLH655412 FVD655347:FVD655412 GEZ655347:GEZ655412 GOV655347:GOV655412 GYR655347:GYR655412 HIN655347:HIN655412 HSJ655347:HSJ655412 ICF655347:ICF655412 IMB655347:IMB655412 IVX655347:IVX655412 JFT655347:JFT655412 JPP655347:JPP655412 JZL655347:JZL655412 KJH655347:KJH655412 KTD655347:KTD655412 LCZ655347:LCZ655412 LMV655347:LMV655412 LWR655347:LWR655412 MGN655347:MGN655412 MQJ655347:MQJ655412 NAF655347:NAF655412 NKB655347:NKB655412 NTX655347:NTX655412 ODT655347:ODT655412 ONP655347:ONP655412 OXL655347:OXL655412 PHH655347:PHH655412 PRD655347:PRD655412 QAZ655347:QAZ655412 QKV655347:QKV655412 QUR655347:QUR655412 REN655347:REN655412 ROJ655347:ROJ655412 RYF655347:RYF655412 SIB655347:SIB655412 SRX655347:SRX655412 TBT655347:TBT655412 TLP655347:TLP655412 TVL655347:TVL655412 UFH655347:UFH655412 UPD655347:UPD655412 UYZ655347:UYZ655412 VIV655347:VIV655412 VSR655347:VSR655412 WCN655347:WCN655412 WMJ655347:WMJ655412 WWF655347:WWF655412 X720883:X720948 JT720883:JT720948 TP720883:TP720948 ADL720883:ADL720948 ANH720883:ANH720948 AXD720883:AXD720948 BGZ720883:BGZ720948 BQV720883:BQV720948 CAR720883:CAR720948 CKN720883:CKN720948 CUJ720883:CUJ720948 DEF720883:DEF720948 DOB720883:DOB720948 DXX720883:DXX720948 EHT720883:EHT720948 ERP720883:ERP720948 FBL720883:FBL720948 FLH720883:FLH720948 FVD720883:FVD720948 GEZ720883:GEZ720948 GOV720883:GOV720948 GYR720883:GYR720948 HIN720883:HIN720948 HSJ720883:HSJ720948 ICF720883:ICF720948 IMB720883:IMB720948 IVX720883:IVX720948 JFT720883:JFT720948 JPP720883:JPP720948 JZL720883:JZL720948 KJH720883:KJH720948 KTD720883:KTD720948 LCZ720883:LCZ720948 LMV720883:LMV720948 LWR720883:LWR720948 MGN720883:MGN720948 MQJ720883:MQJ720948 NAF720883:NAF720948 NKB720883:NKB720948 NTX720883:NTX720948 ODT720883:ODT720948 ONP720883:ONP720948 OXL720883:OXL720948 PHH720883:PHH720948 PRD720883:PRD720948 QAZ720883:QAZ720948 QKV720883:QKV720948 QUR720883:QUR720948 REN720883:REN720948 ROJ720883:ROJ720948 RYF720883:RYF720948 SIB720883:SIB720948 SRX720883:SRX720948 TBT720883:TBT720948 TLP720883:TLP720948 TVL720883:TVL720948 UFH720883:UFH720948 UPD720883:UPD720948 UYZ720883:UYZ720948 VIV720883:VIV720948 VSR720883:VSR720948 WCN720883:WCN720948 WMJ720883:WMJ720948 WWF720883:WWF720948 X786419:X786484 JT786419:JT786484 TP786419:TP786484 ADL786419:ADL786484 ANH786419:ANH786484 AXD786419:AXD786484 BGZ786419:BGZ786484 BQV786419:BQV786484 CAR786419:CAR786484 CKN786419:CKN786484 CUJ786419:CUJ786484 DEF786419:DEF786484 DOB786419:DOB786484 DXX786419:DXX786484 EHT786419:EHT786484 ERP786419:ERP786484 FBL786419:FBL786484 FLH786419:FLH786484 FVD786419:FVD786484 GEZ786419:GEZ786484 GOV786419:GOV786484 GYR786419:GYR786484 HIN786419:HIN786484 HSJ786419:HSJ786484 ICF786419:ICF786484 IMB786419:IMB786484 IVX786419:IVX786484 JFT786419:JFT786484 JPP786419:JPP786484 JZL786419:JZL786484 KJH786419:KJH786484 KTD786419:KTD786484 LCZ786419:LCZ786484 LMV786419:LMV786484 LWR786419:LWR786484 MGN786419:MGN786484 MQJ786419:MQJ786484 NAF786419:NAF786484 NKB786419:NKB786484 NTX786419:NTX786484 ODT786419:ODT786484 ONP786419:ONP786484 OXL786419:OXL786484 PHH786419:PHH786484 PRD786419:PRD786484 QAZ786419:QAZ786484 QKV786419:QKV786484 QUR786419:QUR786484 REN786419:REN786484 ROJ786419:ROJ786484 RYF786419:RYF786484 SIB786419:SIB786484 SRX786419:SRX786484 TBT786419:TBT786484 TLP786419:TLP786484 TVL786419:TVL786484 UFH786419:UFH786484 UPD786419:UPD786484 UYZ786419:UYZ786484 VIV786419:VIV786484 VSR786419:VSR786484 WCN786419:WCN786484 WMJ786419:WMJ786484 WWF786419:WWF786484 X851955:X852020 JT851955:JT852020 TP851955:TP852020 ADL851955:ADL852020 ANH851955:ANH852020 AXD851955:AXD852020 BGZ851955:BGZ852020 BQV851955:BQV852020 CAR851955:CAR852020 CKN851955:CKN852020 CUJ851955:CUJ852020 DEF851955:DEF852020 DOB851955:DOB852020 DXX851955:DXX852020 EHT851955:EHT852020 ERP851955:ERP852020 FBL851955:FBL852020 FLH851955:FLH852020 FVD851955:FVD852020 GEZ851955:GEZ852020 GOV851955:GOV852020 GYR851955:GYR852020 HIN851955:HIN852020 HSJ851955:HSJ852020 ICF851955:ICF852020 IMB851955:IMB852020 IVX851955:IVX852020 JFT851955:JFT852020 JPP851955:JPP852020 JZL851955:JZL852020 KJH851955:KJH852020 KTD851955:KTD852020 LCZ851955:LCZ852020 LMV851955:LMV852020 LWR851955:LWR852020 MGN851955:MGN852020 MQJ851955:MQJ852020 NAF851955:NAF852020 NKB851955:NKB852020 NTX851955:NTX852020 ODT851955:ODT852020 ONP851955:ONP852020 OXL851955:OXL852020 PHH851955:PHH852020 PRD851955:PRD852020 QAZ851955:QAZ852020 QKV851955:QKV852020 QUR851955:QUR852020 REN851955:REN852020 ROJ851955:ROJ852020 RYF851955:RYF852020 SIB851955:SIB852020 SRX851955:SRX852020 TBT851955:TBT852020 TLP851955:TLP852020 TVL851955:TVL852020 UFH851955:UFH852020 UPD851955:UPD852020 UYZ851955:UYZ852020 VIV851955:VIV852020 VSR851955:VSR852020 WCN851955:WCN852020 WMJ851955:WMJ852020 WWF851955:WWF852020 X917491:X917556 JT917491:JT917556 TP917491:TP917556 ADL917491:ADL917556 ANH917491:ANH917556 AXD917491:AXD917556 BGZ917491:BGZ917556 BQV917491:BQV917556 CAR917491:CAR917556 CKN917491:CKN917556 CUJ917491:CUJ917556 DEF917491:DEF917556 DOB917491:DOB917556 DXX917491:DXX917556 EHT917491:EHT917556 ERP917491:ERP917556 FBL917491:FBL917556 FLH917491:FLH917556 FVD917491:FVD917556 GEZ917491:GEZ917556 GOV917491:GOV917556 GYR917491:GYR917556 HIN917491:HIN917556 HSJ917491:HSJ917556 ICF917491:ICF917556 IMB917491:IMB917556 IVX917491:IVX917556 JFT917491:JFT917556 JPP917491:JPP917556 JZL917491:JZL917556 KJH917491:KJH917556 KTD917491:KTD917556 LCZ917491:LCZ917556 LMV917491:LMV917556 LWR917491:LWR917556 MGN917491:MGN917556 MQJ917491:MQJ917556 NAF917491:NAF917556 NKB917491:NKB917556 NTX917491:NTX917556 ODT917491:ODT917556 ONP917491:ONP917556 OXL917491:OXL917556 PHH917491:PHH917556 PRD917491:PRD917556 QAZ917491:QAZ917556 QKV917491:QKV917556 QUR917491:QUR917556 REN917491:REN917556 ROJ917491:ROJ917556 RYF917491:RYF917556 SIB917491:SIB917556 SRX917491:SRX917556 TBT917491:TBT917556 TLP917491:TLP917556 TVL917491:TVL917556 UFH917491:UFH917556 UPD917491:UPD917556 UYZ917491:UYZ917556 VIV917491:VIV917556 VSR917491:VSR917556 WCN917491:WCN917556 WMJ917491:WMJ917556 WWF917491:WWF917556 X983027:X983092 JT983027:JT983092 TP983027:TP983092 ADL983027:ADL983092 ANH983027:ANH983092 AXD983027:AXD983092 BGZ983027:BGZ983092 BQV983027:BQV983092 CAR983027:CAR983092 CKN983027:CKN983092 CUJ983027:CUJ983092 DEF983027:DEF983092 DOB983027:DOB983092 DXX983027:DXX983092 EHT983027:EHT983092 ERP983027:ERP983092 FBL983027:FBL983092 FLH983027:FLH983092 FVD983027:FVD983092 GEZ983027:GEZ983092 GOV983027:GOV983092 GYR983027:GYR983092 HIN983027:HIN983092 HSJ983027:HSJ983092 ICF983027:ICF983092 IMB983027:IMB983092 IVX983027:IVX983092 JFT983027:JFT983092 JPP983027:JPP983092 JZL983027:JZL983092 KJH983027:KJH983092 KTD983027:KTD983092 LCZ983027:LCZ983092 LMV983027:LMV983092 LWR983027:LWR983092 MGN983027:MGN983092 MQJ983027:MQJ983092 NAF983027:NAF983092 NKB983027:NKB983092 NTX983027:NTX983092 ODT983027:ODT983092 ONP983027:ONP983092 OXL983027:OXL983092 PHH983027:PHH983092 PRD983027:PRD983092 QAZ983027:QAZ983092 QKV983027:QKV983092 QUR983027:QUR983092 REN983027:REN983092 ROJ983027:ROJ983092 RYF983027:RYF983092 SIB983027:SIB983092 SRX983027:SRX983092 TBT983027:TBT983092 TLP983027:TLP983092 TVL983027:TVL983092 UFH983027:UFH983092 UPD983027:UPD983092 UYZ983027:UYZ983092 VIV983027:VIV983092 VSR983027:VSR983092 WCN983027:WCN983092 WMJ983027:WMJ983092 WWF2:WWF72 JT2:JT72 TP2:TP72 ADL2:ADL72 ANH2:ANH72 AXD2:AXD72 BGZ2:BGZ72 BQV2:BQV72 CAR2:CAR72 CKN2:CKN72 CUJ2:CUJ72 DEF2:DEF72 DOB2:DOB72 DXX2:DXX72 EHT2:EHT72 ERP2:ERP72 FBL2:FBL72 FLH2:FLH72 FVD2:FVD72 GEZ2:GEZ72 GOV2:GOV72 GYR2:GYR72 HIN2:HIN72 HSJ2:HSJ72 ICF2:ICF72 IMB2:IMB72 IVX2:IVX72 JFT2:JFT72 JPP2:JPP72 JZL2:JZL72 KJH2:KJH72 KTD2:KTD72 LCZ2:LCZ72 LMV2:LMV72 LWR2:LWR72 MGN2:MGN72 MQJ2:MQJ72 NAF2:NAF72 NKB2:NKB72 NTX2:NTX72 ODT2:ODT72 ONP2:ONP72 OXL2:OXL72 PHH2:PHH72 PRD2:PRD72 QAZ2:QAZ72 QKV2:QKV72 QUR2:QUR72 REN2:REN72 ROJ2:ROJ72 RYF2:RYF72 SIB2:SIB72 SRX2:SRX72 TBT2:TBT72 TLP2:TLP72 TVL2:TVL72 UFH2:UFH72 UPD2:UPD72 UYZ2:UYZ72 VIV2:VIV72 VSR2:VSR72 WCN2:WCN72 WMJ2:WMJ72 X2:X485" xr:uid="{5823353C-1F5E-4CA3-97B3-9E2B3DEB4A90}">
      <formula1>$AT$2:$AT$3</formula1>
    </dataValidation>
    <dataValidation type="list" allowBlank="1" showInputMessage="1" showErrorMessage="1" sqref="G64348:G64415 JC64348:JC64415 SY64348:SY64415 ACU64348:ACU64415 AMQ64348:AMQ64415 AWM64348:AWM64415 BGI64348:BGI64415 BQE64348:BQE64415 CAA64348:CAA64415 CJW64348:CJW64415 CTS64348:CTS64415 DDO64348:DDO64415 DNK64348:DNK64415 DXG64348:DXG64415 EHC64348:EHC64415 EQY64348:EQY64415 FAU64348:FAU64415 FKQ64348:FKQ64415 FUM64348:FUM64415 GEI64348:GEI64415 GOE64348:GOE64415 GYA64348:GYA64415 HHW64348:HHW64415 HRS64348:HRS64415 IBO64348:IBO64415 ILK64348:ILK64415 IVG64348:IVG64415 JFC64348:JFC64415 JOY64348:JOY64415 JYU64348:JYU64415 KIQ64348:KIQ64415 KSM64348:KSM64415 LCI64348:LCI64415 LME64348:LME64415 LWA64348:LWA64415 MFW64348:MFW64415 MPS64348:MPS64415 MZO64348:MZO64415 NJK64348:NJK64415 NTG64348:NTG64415 ODC64348:ODC64415 OMY64348:OMY64415 OWU64348:OWU64415 PGQ64348:PGQ64415 PQM64348:PQM64415 QAI64348:QAI64415 QKE64348:QKE64415 QUA64348:QUA64415 RDW64348:RDW64415 RNS64348:RNS64415 RXO64348:RXO64415 SHK64348:SHK64415 SRG64348:SRG64415 TBC64348:TBC64415 TKY64348:TKY64415 TUU64348:TUU64415 UEQ64348:UEQ64415 UOM64348:UOM64415 UYI64348:UYI64415 VIE64348:VIE64415 VSA64348:VSA64415 WBW64348:WBW64415 WLS64348:WLS64415 WVO64348:WVO64415 G129884:G129951 JC129884:JC129951 SY129884:SY129951 ACU129884:ACU129951 AMQ129884:AMQ129951 AWM129884:AWM129951 BGI129884:BGI129951 BQE129884:BQE129951 CAA129884:CAA129951 CJW129884:CJW129951 CTS129884:CTS129951 DDO129884:DDO129951 DNK129884:DNK129951 DXG129884:DXG129951 EHC129884:EHC129951 EQY129884:EQY129951 FAU129884:FAU129951 FKQ129884:FKQ129951 FUM129884:FUM129951 GEI129884:GEI129951 GOE129884:GOE129951 GYA129884:GYA129951 HHW129884:HHW129951 HRS129884:HRS129951 IBO129884:IBO129951 ILK129884:ILK129951 IVG129884:IVG129951 JFC129884:JFC129951 JOY129884:JOY129951 JYU129884:JYU129951 KIQ129884:KIQ129951 KSM129884:KSM129951 LCI129884:LCI129951 LME129884:LME129951 LWA129884:LWA129951 MFW129884:MFW129951 MPS129884:MPS129951 MZO129884:MZO129951 NJK129884:NJK129951 NTG129884:NTG129951 ODC129884:ODC129951 OMY129884:OMY129951 OWU129884:OWU129951 PGQ129884:PGQ129951 PQM129884:PQM129951 QAI129884:QAI129951 QKE129884:QKE129951 QUA129884:QUA129951 RDW129884:RDW129951 RNS129884:RNS129951 RXO129884:RXO129951 SHK129884:SHK129951 SRG129884:SRG129951 TBC129884:TBC129951 TKY129884:TKY129951 TUU129884:TUU129951 UEQ129884:UEQ129951 UOM129884:UOM129951 UYI129884:UYI129951 VIE129884:VIE129951 VSA129884:VSA129951 WBW129884:WBW129951 WLS129884:WLS129951 WVO129884:WVO129951 G195420:G195487 JC195420:JC195487 SY195420:SY195487 ACU195420:ACU195487 AMQ195420:AMQ195487 AWM195420:AWM195487 BGI195420:BGI195487 BQE195420:BQE195487 CAA195420:CAA195487 CJW195420:CJW195487 CTS195420:CTS195487 DDO195420:DDO195487 DNK195420:DNK195487 DXG195420:DXG195487 EHC195420:EHC195487 EQY195420:EQY195487 FAU195420:FAU195487 FKQ195420:FKQ195487 FUM195420:FUM195487 GEI195420:GEI195487 GOE195420:GOE195487 GYA195420:GYA195487 HHW195420:HHW195487 HRS195420:HRS195487 IBO195420:IBO195487 ILK195420:ILK195487 IVG195420:IVG195487 JFC195420:JFC195487 JOY195420:JOY195487 JYU195420:JYU195487 KIQ195420:KIQ195487 KSM195420:KSM195487 LCI195420:LCI195487 LME195420:LME195487 LWA195420:LWA195487 MFW195420:MFW195487 MPS195420:MPS195487 MZO195420:MZO195487 NJK195420:NJK195487 NTG195420:NTG195487 ODC195420:ODC195487 OMY195420:OMY195487 OWU195420:OWU195487 PGQ195420:PGQ195487 PQM195420:PQM195487 QAI195420:QAI195487 QKE195420:QKE195487 QUA195420:QUA195487 RDW195420:RDW195487 RNS195420:RNS195487 RXO195420:RXO195487 SHK195420:SHK195487 SRG195420:SRG195487 TBC195420:TBC195487 TKY195420:TKY195487 TUU195420:TUU195487 UEQ195420:UEQ195487 UOM195420:UOM195487 UYI195420:UYI195487 VIE195420:VIE195487 VSA195420:VSA195487 WBW195420:WBW195487 WLS195420:WLS195487 WVO195420:WVO195487 G260956:G261023 JC260956:JC261023 SY260956:SY261023 ACU260956:ACU261023 AMQ260956:AMQ261023 AWM260956:AWM261023 BGI260956:BGI261023 BQE260956:BQE261023 CAA260956:CAA261023 CJW260956:CJW261023 CTS260956:CTS261023 DDO260956:DDO261023 DNK260956:DNK261023 DXG260956:DXG261023 EHC260956:EHC261023 EQY260956:EQY261023 FAU260956:FAU261023 FKQ260956:FKQ261023 FUM260956:FUM261023 GEI260956:GEI261023 GOE260956:GOE261023 GYA260956:GYA261023 HHW260956:HHW261023 HRS260956:HRS261023 IBO260956:IBO261023 ILK260956:ILK261023 IVG260956:IVG261023 JFC260956:JFC261023 JOY260956:JOY261023 JYU260956:JYU261023 KIQ260956:KIQ261023 KSM260956:KSM261023 LCI260956:LCI261023 LME260956:LME261023 LWA260956:LWA261023 MFW260956:MFW261023 MPS260956:MPS261023 MZO260956:MZO261023 NJK260956:NJK261023 NTG260956:NTG261023 ODC260956:ODC261023 OMY260956:OMY261023 OWU260956:OWU261023 PGQ260956:PGQ261023 PQM260956:PQM261023 QAI260956:QAI261023 QKE260956:QKE261023 QUA260956:QUA261023 RDW260956:RDW261023 RNS260956:RNS261023 RXO260956:RXO261023 SHK260956:SHK261023 SRG260956:SRG261023 TBC260956:TBC261023 TKY260956:TKY261023 TUU260956:TUU261023 UEQ260956:UEQ261023 UOM260956:UOM261023 UYI260956:UYI261023 VIE260956:VIE261023 VSA260956:VSA261023 WBW260956:WBW261023 WLS260956:WLS261023 WVO260956:WVO261023 G326492:G326559 JC326492:JC326559 SY326492:SY326559 ACU326492:ACU326559 AMQ326492:AMQ326559 AWM326492:AWM326559 BGI326492:BGI326559 BQE326492:BQE326559 CAA326492:CAA326559 CJW326492:CJW326559 CTS326492:CTS326559 DDO326492:DDO326559 DNK326492:DNK326559 DXG326492:DXG326559 EHC326492:EHC326559 EQY326492:EQY326559 FAU326492:FAU326559 FKQ326492:FKQ326559 FUM326492:FUM326559 GEI326492:GEI326559 GOE326492:GOE326559 GYA326492:GYA326559 HHW326492:HHW326559 HRS326492:HRS326559 IBO326492:IBO326559 ILK326492:ILK326559 IVG326492:IVG326559 JFC326492:JFC326559 JOY326492:JOY326559 JYU326492:JYU326559 KIQ326492:KIQ326559 KSM326492:KSM326559 LCI326492:LCI326559 LME326492:LME326559 LWA326492:LWA326559 MFW326492:MFW326559 MPS326492:MPS326559 MZO326492:MZO326559 NJK326492:NJK326559 NTG326492:NTG326559 ODC326492:ODC326559 OMY326492:OMY326559 OWU326492:OWU326559 PGQ326492:PGQ326559 PQM326492:PQM326559 QAI326492:QAI326559 QKE326492:QKE326559 QUA326492:QUA326559 RDW326492:RDW326559 RNS326492:RNS326559 RXO326492:RXO326559 SHK326492:SHK326559 SRG326492:SRG326559 TBC326492:TBC326559 TKY326492:TKY326559 TUU326492:TUU326559 UEQ326492:UEQ326559 UOM326492:UOM326559 UYI326492:UYI326559 VIE326492:VIE326559 VSA326492:VSA326559 WBW326492:WBW326559 WLS326492:WLS326559 WVO326492:WVO326559 G392028:G392095 JC392028:JC392095 SY392028:SY392095 ACU392028:ACU392095 AMQ392028:AMQ392095 AWM392028:AWM392095 BGI392028:BGI392095 BQE392028:BQE392095 CAA392028:CAA392095 CJW392028:CJW392095 CTS392028:CTS392095 DDO392028:DDO392095 DNK392028:DNK392095 DXG392028:DXG392095 EHC392028:EHC392095 EQY392028:EQY392095 FAU392028:FAU392095 FKQ392028:FKQ392095 FUM392028:FUM392095 GEI392028:GEI392095 GOE392028:GOE392095 GYA392028:GYA392095 HHW392028:HHW392095 HRS392028:HRS392095 IBO392028:IBO392095 ILK392028:ILK392095 IVG392028:IVG392095 JFC392028:JFC392095 JOY392028:JOY392095 JYU392028:JYU392095 KIQ392028:KIQ392095 KSM392028:KSM392095 LCI392028:LCI392095 LME392028:LME392095 LWA392028:LWA392095 MFW392028:MFW392095 MPS392028:MPS392095 MZO392028:MZO392095 NJK392028:NJK392095 NTG392028:NTG392095 ODC392028:ODC392095 OMY392028:OMY392095 OWU392028:OWU392095 PGQ392028:PGQ392095 PQM392028:PQM392095 QAI392028:QAI392095 QKE392028:QKE392095 QUA392028:QUA392095 RDW392028:RDW392095 RNS392028:RNS392095 RXO392028:RXO392095 SHK392028:SHK392095 SRG392028:SRG392095 TBC392028:TBC392095 TKY392028:TKY392095 TUU392028:TUU392095 UEQ392028:UEQ392095 UOM392028:UOM392095 UYI392028:UYI392095 VIE392028:VIE392095 VSA392028:VSA392095 WBW392028:WBW392095 WLS392028:WLS392095 WVO392028:WVO392095 G457564:G457631 JC457564:JC457631 SY457564:SY457631 ACU457564:ACU457631 AMQ457564:AMQ457631 AWM457564:AWM457631 BGI457564:BGI457631 BQE457564:BQE457631 CAA457564:CAA457631 CJW457564:CJW457631 CTS457564:CTS457631 DDO457564:DDO457631 DNK457564:DNK457631 DXG457564:DXG457631 EHC457564:EHC457631 EQY457564:EQY457631 FAU457564:FAU457631 FKQ457564:FKQ457631 FUM457564:FUM457631 GEI457564:GEI457631 GOE457564:GOE457631 GYA457564:GYA457631 HHW457564:HHW457631 HRS457564:HRS457631 IBO457564:IBO457631 ILK457564:ILK457631 IVG457564:IVG457631 JFC457564:JFC457631 JOY457564:JOY457631 JYU457564:JYU457631 KIQ457564:KIQ457631 KSM457564:KSM457631 LCI457564:LCI457631 LME457564:LME457631 LWA457564:LWA457631 MFW457564:MFW457631 MPS457564:MPS457631 MZO457564:MZO457631 NJK457564:NJK457631 NTG457564:NTG457631 ODC457564:ODC457631 OMY457564:OMY457631 OWU457564:OWU457631 PGQ457564:PGQ457631 PQM457564:PQM457631 QAI457564:QAI457631 QKE457564:QKE457631 QUA457564:QUA457631 RDW457564:RDW457631 RNS457564:RNS457631 RXO457564:RXO457631 SHK457564:SHK457631 SRG457564:SRG457631 TBC457564:TBC457631 TKY457564:TKY457631 TUU457564:TUU457631 UEQ457564:UEQ457631 UOM457564:UOM457631 UYI457564:UYI457631 VIE457564:VIE457631 VSA457564:VSA457631 WBW457564:WBW457631 WLS457564:WLS457631 WVO457564:WVO457631 G523100:G523167 JC523100:JC523167 SY523100:SY523167 ACU523100:ACU523167 AMQ523100:AMQ523167 AWM523100:AWM523167 BGI523100:BGI523167 BQE523100:BQE523167 CAA523100:CAA523167 CJW523100:CJW523167 CTS523100:CTS523167 DDO523100:DDO523167 DNK523100:DNK523167 DXG523100:DXG523167 EHC523100:EHC523167 EQY523100:EQY523167 FAU523100:FAU523167 FKQ523100:FKQ523167 FUM523100:FUM523167 GEI523100:GEI523167 GOE523100:GOE523167 GYA523100:GYA523167 HHW523100:HHW523167 HRS523100:HRS523167 IBO523100:IBO523167 ILK523100:ILK523167 IVG523100:IVG523167 JFC523100:JFC523167 JOY523100:JOY523167 JYU523100:JYU523167 KIQ523100:KIQ523167 KSM523100:KSM523167 LCI523100:LCI523167 LME523100:LME523167 LWA523100:LWA523167 MFW523100:MFW523167 MPS523100:MPS523167 MZO523100:MZO523167 NJK523100:NJK523167 NTG523100:NTG523167 ODC523100:ODC523167 OMY523100:OMY523167 OWU523100:OWU523167 PGQ523100:PGQ523167 PQM523100:PQM523167 QAI523100:QAI523167 QKE523100:QKE523167 QUA523100:QUA523167 RDW523100:RDW523167 RNS523100:RNS523167 RXO523100:RXO523167 SHK523100:SHK523167 SRG523100:SRG523167 TBC523100:TBC523167 TKY523100:TKY523167 TUU523100:TUU523167 UEQ523100:UEQ523167 UOM523100:UOM523167 UYI523100:UYI523167 VIE523100:VIE523167 VSA523100:VSA523167 WBW523100:WBW523167 WLS523100:WLS523167 WVO523100:WVO523167 G588636:G588703 JC588636:JC588703 SY588636:SY588703 ACU588636:ACU588703 AMQ588636:AMQ588703 AWM588636:AWM588703 BGI588636:BGI588703 BQE588636:BQE588703 CAA588636:CAA588703 CJW588636:CJW588703 CTS588636:CTS588703 DDO588636:DDO588703 DNK588636:DNK588703 DXG588636:DXG588703 EHC588636:EHC588703 EQY588636:EQY588703 FAU588636:FAU588703 FKQ588636:FKQ588703 FUM588636:FUM588703 GEI588636:GEI588703 GOE588636:GOE588703 GYA588636:GYA588703 HHW588636:HHW588703 HRS588636:HRS588703 IBO588636:IBO588703 ILK588636:ILK588703 IVG588636:IVG588703 JFC588636:JFC588703 JOY588636:JOY588703 JYU588636:JYU588703 KIQ588636:KIQ588703 KSM588636:KSM588703 LCI588636:LCI588703 LME588636:LME588703 LWA588636:LWA588703 MFW588636:MFW588703 MPS588636:MPS588703 MZO588636:MZO588703 NJK588636:NJK588703 NTG588636:NTG588703 ODC588636:ODC588703 OMY588636:OMY588703 OWU588636:OWU588703 PGQ588636:PGQ588703 PQM588636:PQM588703 QAI588636:QAI588703 QKE588636:QKE588703 QUA588636:QUA588703 RDW588636:RDW588703 RNS588636:RNS588703 RXO588636:RXO588703 SHK588636:SHK588703 SRG588636:SRG588703 TBC588636:TBC588703 TKY588636:TKY588703 TUU588636:TUU588703 UEQ588636:UEQ588703 UOM588636:UOM588703 UYI588636:UYI588703 VIE588636:VIE588703 VSA588636:VSA588703 WBW588636:WBW588703 WLS588636:WLS588703 WVO588636:WVO588703 G654172:G654239 JC654172:JC654239 SY654172:SY654239 ACU654172:ACU654239 AMQ654172:AMQ654239 AWM654172:AWM654239 BGI654172:BGI654239 BQE654172:BQE654239 CAA654172:CAA654239 CJW654172:CJW654239 CTS654172:CTS654239 DDO654172:DDO654239 DNK654172:DNK654239 DXG654172:DXG654239 EHC654172:EHC654239 EQY654172:EQY654239 FAU654172:FAU654239 FKQ654172:FKQ654239 FUM654172:FUM654239 GEI654172:GEI654239 GOE654172:GOE654239 GYA654172:GYA654239 HHW654172:HHW654239 HRS654172:HRS654239 IBO654172:IBO654239 ILK654172:ILK654239 IVG654172:IVG654239 JFC654172:JFC654239 JOY654172:JOY654239 JYU654172:JYU654239 KIQ654172:KIQ654239 KSM654172:KSM654239 LCI654172:LCI654239 LME654172:LME654239 LWA654172:LWA654239 MFW654172:MFW654239 MPS654172:MPS654239 MZO654172:MZO654239 NJK654172:NJK654239 NTG654172:NTG654239 ODC654172:ODC654239 OMY654172:OMY654239 OWU654172:OWU654239 PGQ654172:PGQ654239 PQM654172:PQM654239 QAI654172:QAI654239 QKE654172:QKE654239 QUA654172:QUA654239 RDW654172:RDW654239 RNS654172:RNS654239 RXO654172:RXO654239 SHK654172:SHK654239 SRG654172:SRG654239 TBC654172:TBC654239 TKY654172:TKY654239 TUU654172:TUU654239 UEQ654172:UEQ654239 UOM654172:UOM654239 UYI654172:UYI654239 VIE654172:VIE654239 VSA654172:VSA654239 WBW654172:WBW654239 WLS654172:WLS654239 WVO654172:WVO654239 G719708:G719775 JC719708:JC719775 SY719708:SY719775 ACU719708:ACU719775 AMQ719708:AMQ719775 AWM719708:AWM719775 BGI719708:BGI719775 BQE719708:BQE719775 CAA719708:CAA719775 CJW719708:CJW719775 CTS719708:CTS719775 DDO719708:DDO719775 DNK719708:DNK719775 DXG719708:DXG719775 EHC719708:EHC719775 EQY719708:EQY719775 FAU719708:FAU719775 FKQ719708:FKQ719775 FUM719708:FUM719775 GEI719708:GEI719775 GOE719708:GOE719775 GYA719708:GYA719775 HHW719708:HHW719775 HRS719708:HRS719775 IBO719708:IBO719775 ILK719708:ILK719775 IVG719708:IVG719775 JFC719708:JFC719775 JOY719708:JOY719775 JYU719708:JYU719775 KIQ719708:KIQ719775 KSM719708:KSM719775 LCI719708:LCI719775 LME719708:LME719775 LWA719708:LWA719775 MFW719708:MFW719775 MPS719708:MPS719775 MZO719708:MZO719775 NJK719708:NJK719775 NTG719708:NTG719775 ODC719708:ODC719775 OMY719708:OMY719775 OWU719708:OWU719775 PGQ719708:PGQ719775 PQM719708:PQM719775 QAI719708:QAI719775 QKE719708:QKE719775 QUA719708:QUA719775 RDW719708:RDW719775 RNS719708:RNS719775 RXO719708:RXO719775 SHK719708:SHK719775 SRG719708:SRG719775 TBC719708:TBC719775 TKY719708:TKY719775 TUU719708:TUU719775 UEQ719708:UEQ719775 UOM719708:UOM719775 UYI719708:UYI719775 VIE719708:VIE719775 VSA719708:VSA719775 WBW719708:WBW719775 WLS719708:WLS719775 WVO719708:WVO719775 G785244:G785311 JC785244:JC785311 SY785244:SY785311 ACU785244:ACU785311 AMQ785244:AMQ785311 AWM785244:AWM785311 BGI785244:BGI785311 BQE785244:BQE785311 CAA785244:CAA785311 CJW785244:CJW785311 CTS785244:CTS785311 DDO785244:DDO785311 DNK785244:DNK785311 DXG785244:DXG785311 EHC785244:EHC785311 EQY785244:EQY785311 FAU785244:FAU785311 FKQ785244:FKQ785311 FUM785244:FUM785311 GEI785244:GEI785311 GOE785244:GOE785311 GYA785244:GYA785311 HHW785244:HHW785311 HRS785244:HRS785311 IBO785244:IBO785311 ILK785244:ILK785311 IVG785244:IVG785311 JFC785244:JFC785311 JOY785244:JOY785311 JYU785244:JYU785311 KIQ785244:KIQ785311 KSM785244:KSM785311 LCI785244:LCI785311 LME785244:LME785311 LWA785244:LWA785311 MFW785244:MFW785311 MPS785244:MPS785311 MZO785244:MZO785311 NJK785244:NJK785311 NTG785244:NTG785311 ODC785244:ODC785311 OMY785244:OMY785311 OWU785244:OWU785311 PGQ785244:PGQ785311 PQM785244:PQM785311 QAI785244:QAI785311 QKE785244:QKE785311 QUA785244:QUA785311 RDW785244:RDW785311 RNS785244:RNS785311 RXO785244:RXO785311 SHK785244:SHK785311 SRG785244:SRG785311 TBC785244:TBC785311 TKY785244:TKY785311 TUU785244:TUU785311 UEQ785244:UEQ785311 UOM785244:UOM785311 UYI785244:UYI785311 VIE785244:VIE785311 VSA785244:VSA785311 WBW785244:WBW785311 WLS785244:WLS785311 WVO785244:WVO785311 G850780:G850847 JC850780:JC850847 SY850780:SY850847 ACU850780:ACU850847 AMQ850780:AMQ850847 AWM850780:AWM850847 BGI850780:BGI850847 BQE850780:BQE850847 CAA850780:CAA850847 CJW850780:CJW850847 CTS850780:CTS850847 DDO850780:DDO850847 DNK850780:DNK850847 DXG850780:DXG850847 EHC850780:EHC850847 EQY850780:EQY850847 FAU850780:FAU850847 FKQ850780:FKQ850847 FUM850780:FUM850847 GEI850780:GEI850847 GOE850780:GOE850847 GYA850780:GYA850847 HHW850780:HHW850847 HRS850780:HRS850847 IBO850780:IBO850847 ILK850780:ILK850847 IVG850780:IVG850847 JFC850780:JFC850847 JOY850780:JOY850847 JYU850780:JYU850847 KIQ850780:KIQ850847 KSM850780:KSM850847 LCI850780:LCI850847 LME850780:LME850847 LWA850780:LWA850847 MFW850780:MFW850847 MPS850780:MPS850847 MZO850780:MZO850847 NJK850780:NJK850847 NTG850780:NTG850847 ODC850780:ODC850847 OMY850780:OMY850847 OWU850780:OWU850847 PGQ850780:PGQ850847 PQM850780:PQM850847 QAI850780:QAI850847 QKE850780:QKE850847 QUA850780:QUA850847 RDW850780:RDW850847 RNS850780:RNS850847 RXO850780:RXO850847 SHK850780:SHK850847 SRG850780:SRG850847 TBC850780:TBC850847 TKY850780:TKY850847 TUU850780:TUU850847 UEQ850780:UEQ850847 UOM850780:UOM850847 UYI850780:UYI850847 VIE850780:VIE850847 VSA850780:VSA850847 WBW850780:WBW850847 WLS850780:WLS850847 WVO850780:WVO850847 G916316:G916383 JC916316:JC916383 SY916316:SY916383 ACU916316:ACU916383 AMQ916316:AMQ916383 AWM916316:AWM916383 BGI916316:BGI916383 BQE916316:BQE916383 CAA916316:CAA916383 CJW916316:CJW916383 CTS916316:CTS916383 DDO916316:DDO916383 DNK916316:DNK916383 DXG916316:DXG916383 EHC916316:EHC916383 EQY916316:EQY916383 FAU916316:FAU916383 FKQ916316:FKQ916383 FUM916316:FUM916383 GEI916316:GEI916383 GOE916316:GOE916383 GYA916316:GYA916383 HHW916316:HHW916383 HRS916316:HRS916383 IBO916316:IBO916383 ILK916316:ILK916383 IVG916316:IVG916383 JFC916316:JFC916383 JOY916316:JOY916383 JYU916316:JYU916383 KIQ916316:KIQ916383 KSM916316:KSM916383 LCI916316:LCI916383 LME916316:LME916383 LWA916316:LWA916383 MFW916316:MFW916383 MPS916316:MPS916383 MZO916316:MZO916383 NJK916316:NJK916383 NTG916316:NTG916383 ODC916316:ODC916383 OMY916316:OMY916383 OWU916316:OWU916383 PGQ916316:PGQ916383 PQM916316:PQM916383 QAI916316:QAI916383 QKE916316:QKE916383 QUA916316:QUA916383 RDW916316:RDW916383 RNS916316:RNS916383 RXO916316:RXO916383 SHK916316:SHK916383 SRG916316:SRG916383 TBC916316:TBC916383 TKY916316:TKY916383 TUU916316:TUU916383 UEQ916316:UEQ916383 UOM916316:UOM916383 UYI916316:UYI916383 VIE916316:VIE916383 VSA916316:VSA916383 WBW916316:WBW916383 WLS916316:WLS916383 WVO916316:WVO916383 G981852:G981919 JC981852:JC981919 SY981852:SY981919 ACU981852:ACU981919 AMQ981852:AMQ981919 AWM981852:AWM981919 BGI981852:BGI981919 BQE981852:BQE981919 CAA981852:CAA981919 CJW981852:CJW981919 CTS981852:CTS981919 DDO981852:DDO981919 DNK981852:DNK981919 DXG981852:DXG981919 EHC981852:EHC981919 EQY981852:EQY981919 FAU981852:FAU981919 FKQ981852:FKQ981919 FUM981852:FUM981919 GEI981852:GEI981919 GOE981852:GOE981919 GYA981852:GYA981919 HHW981852:HHW981919 HRS981852:HRS981919 IBO981852:IBO981919 ILK981852:ILK981919 IVG981852:IVG981919 JFC981852:JFC981919 JOY981852:JOY981919 JYU981852:JYU981919 KIQ981852:KIQ981919 KSM981852:KSM981919 LCI981852:LCI981919 LME981852:LME981919 LWA981852:LWA981919 MFW981852:MFW981919 MPS981852:MPS981919 MZO981852:MZO981919 NJK981852:NJK981919 NTG981852:NTG981919 ODC981852:ODC981919 OMY981852:OMY981919 OWU981852:OWU981919 PGQ981852:PGQ981919 PQM981852:PQM981919 QAI981852:QAI981919 QKE981852:QKE981919 QUA981852:QUA981919 RDW981852:RDW981919 RNS981852:RNS981919 RXO981852:RXO981919 SHK981852:SHK981919 SRG981852:SRG981919 TBC981852:TBC981919 TKY981852:TKY981919 TUU981852:TUU981919 UEQ981852:UEQ981919 UOM981852:UOM981919 UYI981852:UYI981919 VIE981852:VIE981919 VSA981852:VSA981919 WBW981852:WBW981919 WLS981852:WLS981919 WVO981852:WVO981919 G1047388:G1047455 JC1047388:JC1047455 SY1047388:SY1047455 ACU1047388:ACU1047455 AMQ1047388:AMQ1047455 AWM1047388:AWM1047455 BGI1047388:BGI1047455 BQE1047388:BQE1047455 CAA1047388:CAA1047455 CJW1047388:CJW1047455 CTS1047388:CTS1047455 DDO1047388:DDO1047455 DNK1047388:DNK1047455 DXG1047388:DXG1047455 EHC1047388:EHC1047455 EQY1047388:EQY1047455 FAU1047388:FAU1047455 FKQ1047388:FKQ1047455 FUM1047388:FUM1047455 GEI1047388:GEI1047455 GOE1047388:GOE1047455 GYA1047388:GYA1047455 HHW1047388:HHW1047455 HRS1047388:HRS1047455 IBO1047388:IBO1047455 ILK1047388:ILK1047455 IVG1047388:IVG1047455 JFC1047388:JFC1047455 JOY1047388:JOY1047455 JYU1047388:JYU1047455 KIQ1047388:KIQ1047455 KSM1047388:KSM1047455 LCI1047388:LCI1047455 LME1047388:LME1047455 LWA1047388:LWA1047455 MFW1047388:MFW1047455 MPS1047388:MPS1047455 MZO1047388:MZO1047455 NJK1047388:NJK1047455 NTG1047388:NTG1047455 ODC1047388:ODC1047455 OMY1047388:OMY1047455 OWU1047388:OWU1047455 PGQ1047388:PGQ1047455 PQM1047388:PQM1047455 QAI1047388:QAI1047455 QKE1047388:QKE1047455 QUA1047388:QUA1047455 RDW1047388:RDW1047455 RNS1047388:RNS1047455 RXO1047388:RXO1047455 SHK1047388:SHK1047455 SRG1047388:SRG1047455 TBC1047388:TBC1047455 TKY1047388:TKY1047455 TUU1047388:TUU1047455 UEQ1047388:UEQ1047455 UOM1047388:UOM1047455 UYI1047388:UYI1047455 VIE1047388:VIE1047455 VSA1047388:VSA1047455 WBW1047388:WBW1047455 WLS1047388:WLS1047455 WVO1047388:WVO1047455 WVO983027:WVO983098 G65523:G65594 JC65523:JC65594 SY65523:SY65594 ACU65523:ACU65594 AMQ65523:AMQ65594 AWM65523:AWM65594 BGI65523:BGI65594 BQE65523:BQE65594 CAA65523:CAA65594 CJW65523:CJW65594 CTS65523:CTS65594 DDO65523:DDO65594 DNK65523:DNK65594 DXG65523:DXG65594 EHC65523:EHC65594 EQY65523:EQY65594 FAU65523:FAU65594 FKQ65523:FKQ65594 FUM65523:FUM65594 GEI65523:GEI65594 GOE65523:GOE65594 GYA65523:GYA65594 HHW65523:HHW65594 HRS65523:HRS65594 IBO65523:IBO65594 ILK65523:ILK65594 IVG65523:IVG65594 JFC65523:JFC65594 JOY65523:JOY65594 JYU65523:JYU65594 KIQ65523:KIQ65594 KSM65523:KSM65594 LCI65523:LCI65594 LME65523:LME65594 LWA65523:LWA65594 MFW65523:MFW65594 MPS65523:MPS65594 MZO65523:MZO65594 NJK65523:NJK65594 NTG65523:NTG65594 ODC65523:ODC65594 OMY65523:OMY65594 OWU65523:OWU65594 PGQ65523:PGQ65594 PQM65523:PQM65594 QAI65523:QAI65594 QKE65523:QKE65594 QUA65523:QUA65594 RDW65523:RDW65594 RNS65523:RNS65594 RXO65523:RXO65594 SHK65523:SHK65594 SRG65523:SRG65594 TBC65523:TBC65594 TKY65523:TKY65594 TUU65523:TUU65594 UEQ65523:UEQ65594 UOM65523:UOM65594 UYI65523:UYI65594 VIE65523:VIE65594 VSA65523:VSA65594 WBW65523:WBW65594 WLS65523:WLS65594 WVO65523:WVO65594 G131059:G131130 JC131059:JC131130 SY131059:SY131130 ACU131059:ACU131130 AMQ131059:AMQ131130 AWM131059:AWM131130 BGI131059:BGI131130 BQE131059:BQE131130 CAA131059:CAA131130 CJW131059:CJW131130 CTS131059:CTS131130 DDO131059:DDO131130 DNK131059:DNK131130 DXG131059:DXG131130 EHC131059:EHC131130 EQY131059:EQY131130 FAU131059:FAU131130 FKQ131059:FKQ131130 FUM131059:FUM131130 GEI131059:GEI131130 GOE131059:GOE131130 GYA131059:GYA131130 HHW131059:HHW131130 HRS131059:HRS131130 IBO131059:IBO131130 ILK131059:ILK131130 IVG131059:IVG131130 JFC131059:JFC131130 JOY131059:JOY131130 JYU131059:JYU131130 KIQ131059:KIQ131130 KSM131059:KSM131130 LCI131059:LCI131130 LME131059:LME131130 LWA131059:LWA131130 MFW131059:MFW131130 MPS131059:MPS131130 MZO131059:MZO131130 NJK131059:NJK131130 NTG131059:NTG131130 ODC131059:ODC131130 OMY131059:OMY131130 OWU131059:OWU131130 PGQ131059:PGQ131130 PQM131059:PQM131130 QAI131059:QAI131130 QKE131059:QKE131130 QUA131059:QUA131130 RDW131059:RDW131130 RNS131059:RNS131130 RXO131059:RXO131130 SHK131059:SHK131130 SRG131059:SRG131130 TBC131059:TBC131130 TKY131059:TKY131130 TUU131059:TUU131130 UEQ131059:UEQ131130 UOM131059:UOM131130 UYI131059:UYI131130 VIE131059:VIE131130 VSA131059:VSA131130 WBW131059:WBW131130 WLS131059:WLS131130 WVO131059:WVO131130 G196595:G196666 JC196595:JC196666 SY196595:SY196666 ACU196595:ACU196666 AMQ196595:AMQ196666 AWM196595:AWM196666 BGI196595:BGI196666 BQE196595:BQE196666 CAA196595:CAA196666 CJW196595:CJW196666 CTS196595:CTS196666 DDO196595:DDO196666 DNK196595:DNK196666 DXG196595:DXG196666 EHC196595:EHC196666 EQY196595:EQY196666 FAU196595:FAU196666 FKQ196595:FKQ196666 FUM196595:FUM196666 GEI196595:GEI196666 GOE196595:GOE196666 GYA196595:GYA196666 HHW196595:HHW196666 HRS196595:HRS196666 IBO196595:IBO196666 ILK196595:ILK196666 IVG196595:IVG196666 JFC196595:JFC196666 JOY196595:JOY196666 JYU196595:JYU196666 KIQ196595:KIQ196666 KSM196595:KSM196666 LCI196595:LCI196666 LME196595:LME196666 LWA196595:LWA196666 MFW196595:MFW196666 MPS196595:MPS196666 MZO196595:MZO196666 NJK196595:NJK196666 NTG196595:NTG196666 ODC196595:ODC196666 OMY196595:OMY196666 OWU196595:OWU196666 PGQ196595:PGQ196666 PQM196595:PQM196666 QAI196595:QAI196666 QKE196595:QKE196666 QUA196595:QUA196666 RDW196595:RDW196666 RNS196595:RNS196666 RXO196595:RXO196666 SHK196595:SHK196666 SRG196595:SRG196666 TBC196595:TBC196666 TKY196595:TKY196666 TUU196595:TUU196666 UEQ196595:UEQ196666 UOM196595:UOM196666 UYI196595:UYI196666 VIE196595:VIE196666 VSA196595:VSA196666 WBW196595:WBW196666 WLS196595:WLS196666 WVO196595:WVO196666 G262131:G262202 JC262131:JC262202 SY262131:SY262202 ACU262131:ACU262202 AMQ262131:AMQ262202 AWM262131:AWM262202 BGI262131:BGI262202 BQE262131:BQE262202 CAA262131:CAA262202 CJW262131:CJW262202 CTS262131:CTS262202 DDO262131:DDO262202 DNK262131:DNK262202 DXG262131:DXG262202 EHC262131:EHC262202 EQY262131:EQY262202 FAU262131:FAU262202 FKQ262131:FKQ262202 FUM262131:FUM262202 GEI262131:GEI262202 GOE262131:GOE262202 GYA262131:GYA262202 HHW262131:HHW262202 HRS262131:HRS262202 IBO262131:IBO262202 ILK262131:ILK262202 IVG262131:IVG262202 JFC262131:JFC262202 JOY262131:JOY262202 JYU262131:JYU262202 KIQ262131:KIQ262202 KSM262131:KSM262202 LCI262131:LCI262202 LME262131:LME262202 LWA262131:LWA262202 MFW262131:MFW262202 MPS262131:MPS262202 MZO262131:MZO262202 NJK262131:NJK262202 NTG262131:NTG262202 ODC262131:ODC262202 OMY262131:OMY262202 OWU262131:OWU262202 PGQ262131:PGQ262202 PQM262131:PQM262202 QAI262131:QAI262202 QKE262131:QKE262202 QUA262131:QUA262202 RDW262131:RDW262202 RNS262131:RNS262202 RXO262131:RXO262202 SHK262131:SHK262202 SRG262131:SRG262202 TBC262131:TBC262202 TKY262131:TKY262202 TUU262131:TUU262202 UEQ262131:UEQ262202 UOM262131:UOM262202 UYI262131:UYI262202 VIE262131:VIE262202 VSA262131:VSA262202 WBW262131:WBW262202 WLS262131:WLS262202 WVO262131:WVO262202 G327667:G327738 JC327667:JC327738 SY327667:SY327738 ACU327667:ACU327738 AMQ327667:AMQ327738 AWM327667:AWM327738 BGI327667:BGI327738 BQE327667:BQE327738 CAA327667:CAA327738 CJW327667:CJW327738 CTS327667:CTS327738 DDO327667:DDO327738 DNK327667:DNK327738 DXG327667:DXG327738 EHC327667:EHC327738 EQY327667:EQY327738 FAU327667:FAU327738 FKQ327667:FKQ327738 FUM327667:FUM327738 GEI327667:GEI327738 GOE327667:GOE327738 GYA327667:GYA327738 HHW327667:HHW327738 HRS327667:HRS327738 IBO327667:IBO327738 ILK327667:ILK327738 IVG327667:IVG327738 JFC327667:JFC327738 JOY327667:JOY327738 JYU327667:JYU327738 KIQ327667:KIQ327738 KSM327667:KSM327738 LCI327667:LCI327738 LME327667:LME327738 LWA327667:LWA327738 MFW327667:MFW327738 MPS327667:MPS327738 MZO327667:MZO327738 NJK327667:NJK327738 NTG327667:NTG327738 ODC327667:ODC327738 OMY327667:OMY327738 OWU327667:OWU327738 PGQ327667:PGQ327738 PQM327667:PQM327738 QAI327667:QAI327738 QKE327667:QKE327738 QUA327667:QUA327738 RDW327667:RDW327738 RNS327667:RNS327738 RXO327667:RXO327738 SHK327667:SHK327738 SRG327667:SRG327738 TBC327667:TBC327738 TKY327667:TKY327738 TUU327667:TUU327738 UEQ327667:UEQ327738 UOM327667:UOM327738 UYI327667:UYI327738 VIE327667:VIE327738 VSA327667:VSA327738 WBW327667:WBW327738 WLS327667:WLS327738 WVO327667:WVO327738 G393203:G393274 JC393203:JC393274 SY393203:SY393274 ACU393203:ACU393274 AMQ393203:AMQ393274 AWM393203:AWM393274 BGI393203:BGI393274 BQE393203:BQE393274 CAA393203:CAA393274 CJW393203:CJW393274 CTS393203:CTS393274 DDO393203:DDO393274 DNK393203:DNK393274 DXG393203:DXG393274 EHC393203:EHC393274 EQY393203:EQY393274 FAU393203:FAU393274 FKQ393203:FKQ393274 FUM393203:FUM393274 GEI393203:GEI393274 GOE393203:GOE393274 GYA393203:GYA393274 HHW393203:HHW393274 HRS393203:HRS393274 IBO393203:IBO393274 ILK393203:ILK393274 IVG393203:IVG393274 JFC393203:JFC393274 JOY393203:JOY393274 JYU393203:JYU393274 KIQ393203:KIQ393274 KSM393203:KSM393274 LCI393203:LCI393274 LME393203:LME393274 LWA393203:LWA393274 MFW393203:MFW393274 MPS393203:MPS393274 MZO393203:MZO393274 NJK393203:NJK393274 NTG393203:NTG393274 ODC393203:ODC393274 OMY393203:OMY393274 OWU393203:OWU393274 PGQ393203:PGQ393274 PQM393203:PQM393274 QAI393203:QAI393274 QKE393203:QKE393274 QUA393203:QUA393274 RDW393203:RDW393274 RNS393203:RNS393274 RXO393203:RXO393274 SHK393203:SHK393274 SRG393203:SRG393274 TBC393203:TBC393274 TKY393203:TKY393274 TUU393203:TUU393274 UEQ393203:UEQ393274 UOM393203:UOM393274 UYI393203:UYI393274 VIE393203:VIE393274 VSA393203:VSA393274 WBW393203:WBW393274 WLS393203:WLS393274 WVO393203:WVO393274 G458739:G458810 JC458739:JC458810 SY458739:SY458810 ACU458739:ACU458810 AMQ458739:AMQ458810 AWM458739:AWM458810 BGI458739:BGI458810 BQE458739:BQE458810 CAA458739:CAA458810 CJW458739:CJW458810 CTS458739:CTS458810 DDO458739:DDO458810 DNK458739:DNK458810 DXG458739:DXG458810 EHC458739:EHC458810 EQY458739:EQY458810 FAU458739:FAU458810 FKQ458739:FKQ458810 FUM458739:FUM458810 GEI458739:GEI458810 GOE458739:GOE458810 GYA458739:GYA458810 HHW458739:HHW458810 HRS458739:HRS458810 IBO458739:IBO458810 ILK458739:ILK458810 IVG458739:IVG458810 JFC458739:JFC458810 JOY458739:JOY458810 JYU458739:JYU458810 KIQ458739:KIQ458810 KSM458739:KSM458810 LCI458739:LCI458810 LME458739:LME458810 LWA458739:LWA458810 MFW458739:MFW458810 MPS458739:MPS458810 MZO458739:MZO458810 NJK458739:NJK458810 NTG458739:NTG458810 ODC458739:ODC458810 OMY458739:OMY458810 OWU458739:OWU458810 PGQ458739:PGQ458810 PQM458739:PQM458810 QAI458739:QAI458810 QKE458739:QKE458810 QUA458739:QUA458810 RDW458739:RDW458810 RNS458739:RNS458810 RXO458739:RXO458810 SHK458739:SHK458810 SRG458739:SRG458810 TBC458739:TBC458810 TKY458739:TKY458810 TUU458739:TUU458810 UEQ458739:UEQ458810 UOM458739:UOM458810 UYI458739:UYI458810 VIE458739:VIE458810 VSA458739:VSA458810 WBW458739:WBW458810 WLS458739:WLS458810 WVO458739:WVO458810 G524275:G524346 JC524275:JC524346 SY524275:SY524346 ACU524275:ACU524346 AMQ524275:AMQ524346 AWM524275:AWM524346 BGI524275:BGI524346 BQE524275:BQE524346 CAA524275:CAA524346 CJW524275:CJW524346 CTS524275:CTS524346 DDO524275:DDO524346 DNK524275:DNK524346 DXG524275:DXG524346 EHC524275:EHC524346 EQY524275:EQY524346 FAU524275:FAU524346 FKQ524275:FKQ524346 FUM524275:FUM524346 GEI524275:GEI524346 GOE524275:GOE524346 GYA524275:GYA524346 HHW524275:HHW524346 HRS524275:HRS524346 IBO524275:IBO524346 ILK524275:ILK524346 IVG524275:IVG524346 JFC524275:JFC524346 JOY524275:JOY524346 JYU524275:JYU524346 KIQ524275:KIQ524346 KSM524275:KSM524346 LCI524275:LCI524346 LME524275:LME524346 LWA524275:LWA524346 MFW524275:MFW524346 MPS524275:MPS524346 MZO524275:MZO524346 NJK524275:NJK524346 NTG524275:NTG524346 ODC524275:ODC524346 OMY524275:OMY524346 OWU524275:OWU524346 PGQ524275:PGQ524346 PQM524275:PQM524346 QAI524275:QAI524346 QKE524275:QKE524346 QUA524275:QUA524346 RDW524275:RDW524346 RNS524275:RNS524346 RXO524275:RXO524346 SHK524275:SHK524346 SRG524275:SRG524346 TBC524275:TBC524346 TKY524275:TKY524346 TUU524275:TUU524346 UEQ524275:UEQ524346 UOM524275:UOM524346 UYI524275:UYI524346 VIE524275:VIE524346 VSA524275:VSA524346 WBW524275:WBW524346 WLS524275:WLS524346 WVO524275:WVO524346 G589811:G589882 JC589811:JC589882 SY589811:SY589882 ACU589811:ACU589882 AMQ589811:AMQ589882 AWM589811:AWM589882 BGI589811:BGI589882 BQE589811:BQE589882 CAA589811:CAA589882 CJW589811:CJW589882 CTS589811:CTS589882 DDO589811:DDO589882 DNK589811:DNK589882 DXG589811:DXG589882 EHC589811:EHC589882 EQY589811:EQY589882 FAU589811:FAU589882 FKQ589811:FKQ589882 FUM589811:FUM589882 GEI589811:GEI589882 GOE589811:GOE589882 GYA589811:GYA589882 HHW589811:HHW589882 HRS589811:HRS589882 IBO589811:IBO589882 ILK589811:ILK589882 IVG589811:IVG589882 JFC589811:JFC589882 JOY589811:JOY589882 JYU589811:JYU589882 KIQ589811:KIQ589882 KSM589811:KSM589882 LCI589811:LCI589882 LME589811:LME589882 LWA589811:LWA589882 MFW589811:MFW589882 MPS589811:MPS589882 MZO589811:MZO589882 NJK589811:NJK589882 NTG589811:NTG589882 ODC589811:ODC589882 OMY589811:OMY589882 OWU589811:OWU589882 PGQ589811:PGQ589882 PQM589811:PQM589882 QAI589811:QAI589882 QKE589811:QKE589882 QUA589811:QUA589882 RDW589811:RDW589882 RNS589811:RNS589882 RXO589811:RXO589882 SHK589811:SHK589882 SRG589811:SRG589882 TBC589811:TBC589882 TKY589811:TKY589882 TUU589811:TUU589882 UEQ589811:UEQ589882 UOM589811:UOM589882 UYI589811:UYI589882 VIE589811:VIE589882 VSA589811:VSA589882 WBW589811:WBW589882 WLS589811:WLS589882 WVO589811:WVO589882 G655347:G655418 JC655347:JC655418 SY655347:SY655418 ACU655347:ACU655418 AMQ655347:AMQ655418 AWM655347:AWM655418 BGI655347:BGI655418 BQE655347:BQE655418 CAA655347:CAA655418 CJW655347:CJW655418 CTS655347:CTS655418 DDO655347:DDO655418 DNK655347:DNK655418 DXG655347:DXG655418 EHC655347:EHC655418 EQY655347:EQY655418 FAU655347:FAU655418 FKQ655347:FKQ655418 FUM655347:FUM655418 GEI655347:GEI655418 GOE655347:GOE655418 GYA655347:GYA655418 HHW655347:HHW655418 HRS655347:HRS655418 IBO655347:IBO655418 ILK655347:ILK655418 IVG655347:IVG655418 JFC655347:JFC655418 JOY655347:JOY655418 JYU655347:JYU655418 KIQ655347:KIQ655418 KSM655347:KSM655418 LCI655347:LCI655418 LME655347:LME655418 LWA655347:LWA655418 MFW655347:MFW655418 MPS655347:MPS655418 MZO655347:MZO655418 NJK655347:NJK655418 NTG655347:NTG655418 ODC655347:ODC655418 OMY655347:OMY655418 OWU655347:OWU655418 PGQ655347:PGQ655418 PQM655347:PQM655418 QAI655347:QAI655418 QKE655347:QKE655418 QUA655347:QUA655418 RDW655347:RDW655418 RNS655347:RNS655418 RXO655347:RXO655418 SHK655347:SHK655418 SRG655347:SRG655418 TBC655347:TBC655418 TKY655347:TKY655418 TUU655347:TUU655418 UEQ655347:UEQ655418 UOM655347:UOM655418 UYI655347:UYI655418 VIE655347:VIE655418 VSA655347:VSA655418 WBW655347:WBW655418 WLS655347:WLS655418 WVO655347:WVO655418 G720883:G720954 JC720883:JC720954 SY720883:SY720954 ACU720883:ACU720954 AMQ720883:AMQ720954 AWM720883:AWM720954 BGI720883:BGI720954 BQE720883:BQE720954 CAA720883:CAA720954 CJW720883:CJW720954 CTS720883:CTS720954 DDO720883:DDO720954 DNK720883:DNK720954 DXG720883:DXG720954 EHC720883:EHC720954 EQY720883:EQY720954 FAU720883:FAU720954 FKQ720883:FKQ720954 FUM720883:FUM720954 GEI720883:GEI720954 GOE720883:GOE720954 GYA720883:GYA720954 HHW720883:HHW720954 HRS720883:HRS720954 IBO720883:IBO720954 ILK720883:ILK720954 IVG720883:IVG720954 JFC720883:JFC720954 JOY720883:JOY720954 JYU720883:JYU720954 KIQ720883:KIQ720954 KSM720883:KSM720954 LCI720883:LCI720954 LME720883:LME720954 LWA720883:LWA720954 MFW720883:MFW720954 MPS720883:MPS720954 MZO720883:MZO720954 NJK720883:NJK720954 NTG720883:NTG720954 ODC720883:ODC720954 OMY720883:OMY720954 OWU720883:OWU720954 PGQ720883:PGQ720954 PQM720883:PQM720954 QAI720883:QAI720954 QKE720883:QKE720954 QUA720883:QUA720954 RDW720883:RDW720954 RNS720883:RNS720954 RXO720883:RXO720954 SHK720883:SHK720954 SRG720883:SRG720954 TBC720883:TBC720954 TKY720883:TKY720954 TUU720883:TUU720954 UEQ720883:UEQ720954 UOM720883:UOM720954 UYI720883:UYI720954 VIE720883:VIE720954 VSA720883:VSA720954 WBW720883:WBW720954 WLS720883:WLS720954 WVO720883:WVO720954 G786419:G786490 JC786419:JC786490 SY786419:SY786490 ACU786419:ACU786490 AMQ786419:AMQ786490 AWM786419:AWM786490 BGI786419:BGI786490 BQE786419:BQE786490 CAA786419:CAA786490 CJW786419:CJW786490 CTS786419:CTS786490 DDO786419:DDO786490 DNK786419:DNK786490 DXG786419:DXG786490 EHC786419:EHC786490 EQY786419:EQY786490 FAU786419:FAU786490 FKQ786419:FKQ786490 FUM786419:FUM786490 GEI786419:GEI786490 GOE786419:GOE786490 GYA786419:GYA786490 HHW786419:HHW786490 HRS786419:HRS786490 IBO786419:IBO786490 ILK786419:ILK786490 IVG786419:IVG786490 JFC786419:JFC786490 JOY786419:JOY786490 JYU786419:JYU786490 KIQ786419:KIQ786490 KSM786419:KSM786490 LCI786419:LCI786490 LME786419:LME786490 LWA786419:LWA786490 MFW786419:MFW786490 MPS786419:MPS786490 MZO786419:MZO786490 NJK786419:NJK786490 NTG786419:NTG786490 ODC786419:ODC786490 OMY786419:OMY786490 OWU786419:OWU786490 PGQ786419:PGQ786490 PQM786419:PQM786490 QAI786419:QAI786490 QKE786419:QKE786490 QUA786419:QUA786490 RDW786419:RDW786490 RNS786419:RNS786490 RXO786419:RXO786490 SHK786419:SHK786490 SRG786419:SRG786490 TBC786419:TBC786490 TKY786419:TKY786490 TUU786419:TUU786490 UEQ786419:UEQ786490 UOM786419:UOM786490 UYI786419:UYI786490 VIE786419:VIE786490 VSA786419:VSA786490 WBW786419:WBW786490 WLS786419:WLS786490 WVO786419:WVO786490 G851955:G852026 JC851955:JC852026 SY851955:SY852026 ACU851955:ACU852026 AMQ851955:AMQ852026 AWM851955:AWM852026 BGI851955:BGI852026 BQE851955:BQE852026 CAA851955:CAA852026 CJW851955:CJW852026 CTS851955:CTS852026 DDO851955:DDO852026 DNK851955:DNK852026 DXG851955:DXG852026 EHC851955:EHC852026 EQY851955:EQY852026 FAU851955:FAU852026 FKQ851955:FKQ852026 FUM851955:FUM852026 GEI851955:GEI852026 GOE851955:GOE852026 GYA851955:GYA852026 HHW851955:HHW852026 HRS851955:HRS852026 IBO851955:IBO852026 ILK851955:ILK852026 IVG851955:IVG852026 JFC851955:JFC852026 JOY851955:JOY852026 JYU851955:JYU852026 KIQ851955:KIQ852026 KSM851955:KSM852026 LCI851955:LCI852026 LME851955:LME852026 LWA851955:LWA852026 MFW851955:MFW852026 MPS851955:MPS852026 MZO851955:MZO852026 NJK851955:NJK852026 NTG851955:NTG852026 ODC851955:ODC852026 OMY851955:OMY852026 OWU851955:OWU852026 PGQ851955:PGQ852026 PQM851955:PQM852026 QAI851955:QAI852026 QKE851955:QKE852026 QUA851955:QUA852026 RDW851955:RDW852026 RNS851955:RNS852026 RXO851955:RXO852026 SHK851955:SHK852026 SRG851955:SRG852026 TBC851955:TBC852026 TKY851955:TKY852026 TUU851955:TUU852026 UEQ851955:UEQ852026 UOM851955:UOM852026 UYI851955:UYI852026 VIE851955:VIE852026 VSA851955:VSA852026 WBW851955:WBW852026 WLS851955:WLS852026 WVO851955:WVO852026 G917491:G917562 JC917491:JC917562 SY917491:SY917562 ACU917491:ACU917562 AMQ917491:AMQ917562 AWM917491:AWM917562 BGI917491:BGI917562 BQE917491:BQE917562 CAA917491:CAA917562 CJW917491:CJW917562 CTS917491:CTS917562 DDO917491:DDO917562 DNK917491:DNK917562 DXG917491:DXG917562 EHC917491:EHC917562 EQY917491:EQY917562 FAU917491:FAU917562 FKQ917491:FKQ917562 FUM917491:FUM917562 GEI917491:GEI917562 GOE917491:GOE917562 GYA917491:GYA917562 HHW917491:HHW917562 HRS917491:HRS917562 IBO917491:IBO917562 ILK917491:ILK917562 IVG917491:IVG917562 JFC917491:JFC917562 JOY917491:JOY917562 JYU917491:JYU917562 KIQ917491:KIQ917562 KSM917491:KSM917562 LCI917491:LCI917562 LME917491:LME917562 LWA917491:LWA917562 MFW917491:MFW917562 MPS917491:MPS917562 MZO917491:MZO917562 NJK917491:NJK917562 NTG917491:NTG917562 ODC917491:ODC917562 OMY917491:OMY917562 OWU917491:OWU917562 PGQ917491:PGQ917562 PQM917491:PQM917562 QAI917491:QAI917562 QKE917491:QKE917562 QUA917491:QUA917562 RDW917491:RDW917562 RNS917491:RNS917562 RXO917491:RXO917562 SHK917491:SHK917562 SRG917491:SRG917562 TBC917491:TBC917562 TKY917491:TKY917562 TUU917491:TUU917562 UEQ917491:UEQ917562 UOM917491:UOM917562 UYI917491:UYI917562 VIE917491:VIE917562 VSA917491:VSA917562 WBW917491:WBW917562 WLS917491:WLS917562 WVO917491:WVO917562 G983027:G983098 JC983027:JC983098 SY983027:SY983098 ACU983027:ACU983098 AMQ983027:AMQ983098 AWM983027:AWM983098 BGI983027:BGI983098 BQE983027:BQE983098 CAA983027:CAA983098 CJW983027:CJW983098 CTS983027:CTS983098 DDO983027:DDO983098 DNK983027:DNK983098 DXG983027:DXG983098 EHC983027:EHC983098 EQY983027:EQY983098 FAU983027:FAU983098 FKQ983027:FKQ983098 FUM983027:FUM983098 GEI983027:GEI983098 GOE983027:GOE983098 GYA983027:GYA983098 HHW983027:HHW983098 HRS983027:HRS983098 IBO983027:IBO983098 ILK983027:ILK983098 IVG983027:IVG983098 JFC983027:JFC983098 JOY983027:JOY983098 JYU983027:JYU983098 KIQ983027:KIQ983098 KSM983027:KSM983098 LCI983027:LCI983098 LME983027:LME983098 LWA983027:LWA983098 MFW983027:MFW983098 MPS983027:MPS983098 MZO983027:MZO983098 NJK983027:NJK983098 NTG983027:NTG983098 ODC983027:ODC983098 OMY983027:OMY983098 OWU983027:OWU983098 PGQ983027:PGQ983098 PQM983027:PQM983098 QAI983027:QAI983098 QKE983027:QKE983098 QUA983027:QUA983098 RDW983027:RDW983098 RNS983027:RNS983098 RXO983027:RXO983098 SHK983027:SHK983098 SRG983027:SRG983098 TBC983027:TBC983098 TKY983027:TKY983098 TUU983027:TUU983098 UEQ983027:UEQ983098 UOM983027:UOM983098 UYI983027:UYI983098 VIE983027:VIE983098 VSA983027:VSA983098 WBW983027:WBW983098 WLS983027:WLS983098 G2:G485 JC2:JC72 WVO2:WVO72 WLS2:WLS72 WBW2:WBW72 VSA2:VSA72 VIE2:VIE72 UYI2:UYI72 UOM2:UOM72 UEQ2:UEQ72 TUU2:TUU72 TKY2:TKY72 TBC2:TBC72 SRG2:SRG72 SHK2:SHK72 RXO2:RXO72 RNS2:RNS72 RDW2:RDW72 QUA2:QUA72 QKE2:QKE72 QAI2:QAI72 PQM2:PQM72 PGQ2:PGQ72 OWU2:OWU72 OMY2:OMY72 ODC2:ODC72 NTG2:NTG72 NJK2:NJK72 MZO2:MZO72 MPS2:MPS72 MFW2:MFW72 LWA2:LWA72 LME2:LME72 LCI2:LCI72 KSM2:KSM72 KIQ2:KIQ72 JYU2:JYU72 JOY2:JOY72 JFC2:JFC72 IVG2:IVG72 ILK2:ILK72 IBO2:IBO72 HRS2:HRS72 HHW2:HHW72 GYA2:GYA72 GOE2:GOE72 GEI2:GEI72 FUM2:FUM72 FKQ2:FKQ72 FAU2:FAU72 EQY2:EQY72 EHC2:EHC72 DXG2:DXG72 DNK2:DNK72 DDO2:DDO72 CTS2:CTS72 CJW2:CJW72 CAA2:CAA72 BQE2:BQE72 BGI2:BGI72 AWM2:AWM72 AMQ2:AMQ72 ACU2:ACU72 SY2:SY72" xr:uid="{F712CD90-93E8-4823-B4B9-CB81FF3A19E3}">
      <formula1>$AJ$2:$AJ$4</formula1>
    </dataValidation>
    <dataValidation type="list" allowBlank="1" showInputMessage="1" showErrorMessage="1" sqref="I64348:I64413 JE64348:JE64413 TA64348:TA64413 ACW64348:ACW64413 AMS64348:AMS64413 AWO64348:AWO64413 BGK64348:BGK64413 BQG64348:BQG64413 CAC64348:CAC64413 CJY64348:CJY64413 CTU64348:CTU64413 DDQ64348:DDQ64413 DNM64348:DNM64413 DXI64348:DXI64413 EHE64348:EHE64413 ERA64348:ERA64413 FAW64348:FAW64413 FKS64348:FKS64413 FUO64348:FUO64413 GEK64348:GEK64413 GOG64348:GOG64413 GYC64348:GYC64413 HHY64348:HHY64413 HRU64348:HRU64413 IBQ64348:IBQ64413 ILM64348:ILM64413 IVI64348:IVI64413 JFE64348:JFE64413 JPA64348:JPA64413 JYW64348:JYW64413 KIS64348:KIS64413 KSO64348:KSO64413 LCK64348:LCK64413 LMG64348:LMG64413 LWC64348:LWC64413 MFY64348:MFY64413 MPU64348:MPU64413 MZQ64348:MZQ64413 NJM64348:NJM64413 NTI64348:NTI64413 ODE64348:ODE64413 ONA64348:ONA64413 OWW64348:OWW64413 PGS64348:PGS64413 PQO64348:PQO64413 QAK64348:QAK64413 QKG64348:QKG64413 QUC64348:QUC64413 RDY64348:RDY64413 RNU64348:RNU64413 RXQ64348:RXQ64413 SHM64348:SHM64413 SRI64348:SRI64413 TBE64348:TBE64413 TLA64348:TLA64413 TUW64348:TUW64413 UES64348:UES64413 UOO64348:UOO64413 UYK64348:UYK64413 VIG64348:VIG64413 VSC64348:VSC64413 WBY64348:WBY64413 WLU64348:WLU64413 WVQ64348:WVQ64413 I129884:I129949 JE129884:JE129949 TA129884:TA129949 ACW129884:ACW129949 AMS129884:AMS129949 AWO129884:AWO129949 BGK129884:BGK129949 BQG129884:BQG129949 CAC129884:CAC129949 CJY129884:CJY129949 CTU129884:CTU129949 DDQ129884:DDQ129949 DNM129884:DNM129949 DXI129884:DXI129949 EHE129884:EHE129949 ERA129884:ERA129949 FAW129884:FAW129949 FKS129884:FKS129949 FUO129884:FUO129949 GEK129884:GEK129949 GOG129884:GOG129949 GYC129884:GYC129949 HHY129884:HHY129949 HRU129884:HRU129949 IBQ129884:IBQ129949 ILM129884:ILM129949 IVI129884:IVI129949 JFE129884:JFE129949 JPA129884:JPA129949 JYW129884:JYW129949 KIS129884:KIS129949 KSO129884:KSO129949 LCK129884:LCK129949 LMG129884:LMG129949 LWC129884:LWC129949 MFY129884:MFY129949 MPU129884:MPU129949 MZQ129884:MZQ129949 NJM129884:NJM129949 NTI129884:NTI129949 ODE129884:ODE129949 ONA129884:ONA129949 OWW129884:OWW129949 PGS129884:PGS129949 PQO129884:PQO129949 QAK129884:QAK129949 QKG129884:QKG129949 QUC129884:QUC129949 RDY129884:RDY129949 RNU129884:RNU129949 RXQ129884:RXQ129949 SHM129884:SHM129949 SRI129884:SRI129949 TBE129884:TBE129949 TLA129884:TLA129949 TUW129884:TUW129949 UES129884:UES129949 UOO129884:UOO129949 UYK129884:UYK129949 VIG129884:VIG129949 VSC129884:VSC129949 WBY129884:WBY129949 WLU129884:WLU129949 WVQ129884:WVQ129949 I195420:I195485 JE195420:JE195485 TA195420:TA195485 ACW195420:ACW195485 AMS195420:AMS195485 AWO195420:AWO195485 BGK195420:BGK195485 BQG195420:BQG195485 CAC195420:CAC195485 CJY195420:CJY195485 CTU195420:CTU195485 DDQ195420:DDQ195485 DNM195420:DNM195485 DXI195420:DXI195485 EHE195420:EHE195485 ERA195420:ERA195485 FAW195420:FAW195485 FKS195420:FKS195485 FUO195420:FUO195485 GEK195420:GEK195485 GOG195420:GOG195485 GYC195420:GYC195485 HHY195420:HHY195485 HRU195420:HRU195485 IBQ195420:IBQ195485 ILM195420:ILM195485 IVI195420:IVI195485 JFE195420:JFE195485 JPA195420:JPA195485 JYW195420:JYW195485 KIS195420:KIS195485 KSO195420:KSO195485 LCK195420:LCK195485 LMG195420:LMG195485 LWC195420:LWC195485 MFY195420:MFY195485 MPU195420:MPU195485 MZQ195420:MZQ195485 NJM195420:NJM195485 NTI195420:NTI195485 ODE195420:ODE195485 ONA195420:ONA195485 OWW195420:OWW195485 PGS195420:PGS195485 PQO195420:PQO195485 QAK195420:QAK195485 QKG195420:QKG195485 QUC195420:QUC195485 RDY195420:RDY195485 RNU195420:RNU195485 RXQ195420:RXQ195485 SHM195420:SHM195485 SRI195420:SRI195485 TBE195420:TBE195485 TLA195420:TLA195485 TUW195420:TUW195485 UES195420:UES195485 UOO195420:UOO195485 UYK195420:UYK195485 VIG195420:VIG195485 VSC195420:VSC195485 WBY195420:WBY195485 WLU195420:WLU195485 WVQ195420:WVQ195485 I260956:I261021 JE260956:JE261021 TA260956:TA261021 ACW260956:ACW261021 AMS260956:AMS261021 AWO260956:AWO261021 BGK260956:BGK261021 BQG260956:BQG261021 CAC260956:CAC261021 CJY260956:CJY261021 CTU260956:CTU261021 DDQ260956:DDQ261021 DNM260956:DNM261021 DXI260956:DXI261021 EHE260956:EHE261021 ERA260956:ERA261021 FAW260956:FAW261021 FKS260956:FKS261021 FUO260956:FUO261021 GEK260956:GEK261021 GOG260956:GOG261021 GYC260956:GYC261021 HHY260956:HHY261021 HRU260956:HRU261021 IBQ260956:IBQ261021 ILM260956:ILM261021 IVI260956:IVI261021 JFE260956:JFE261021 JPA260956:JPA261021 JYW260956:JYW261021 KIS260956:KIS261021 KSO260956:KSO261021 LCK260956:LCK261021 LMG260956:LMG261021 LWC260956:LWC261021 MFY260956:MFY261021 MPU260956:MPU261021 MZQ260956:MZQ261021 NJM260956:NJM261021 NTI260956:NTI261021 ODE260956:ODE261021 ONA260956:ONA261021 OWW260956:OWW261021 PGS260956:PGS261021 PQO260956:PQO261021 QAK260956:QAK261021 QKG260956:QKG261021 QUC260956:QUC261021 RDY260956:RDY261021 RNU260956:RNU261021 RXQ260956:RXQ261021 SHM260956:SHM261021 SRI260956:SRI261021 TBE260956:TBE261021 TLA260956:TLA261021 TUW260956:TUW261021 UES260956:UES261021 UOO260956:UOO261021 UYK260956:UYK261021 VIG260956:VIG261021 VSC260956:VSC261021 WBY260956:WBY261021 WLU260956:WLU261021 WVQ260956:WVQ261021 I326492:I326557 JE326492:JE326557 TA326492:TA326557 ACW326492:ACW326557 AMS326492:AMS326557 AWO326492:AWO326557 BGK326492:BGK326557 BQG326492:BQG326557 CAC326492:CAC326557 CJY326492:CJY326557 CTU326492:CTU326557 DDQ326492:DDQ326557 DNM326492:DNM326557 DXI326492:DXI326557 EHE326492:EHE326557 ERA326492:ERA326557 FAW326492:FAW326557 FKS326492:FKS326557 FUO326492:FUO326557 GEK326492:GEK326557 GOG326492:GOG326557 GYC326492:GYC326557 HHY326492:HHY326557 HRU326492:HRU326557 IBQ326492:IBQ326557 ILM326492:ILM326557 IVI326492:IVI326557 JFE326492:JFE326557 JPA326492:JPA326557 JYW326492:JYW326557 KIS326492:KIS326557 KSO326492:KSO326557 LCK326492:LCK326557 LMG326492:LMG326557 LWC326492:LWC326557 MFY326492:MFY326557 MPU326492:MPU326557 MZQ326492:MZQ326557 NJM326492:NJM326557 NTI326492:NTI326557 ODE326492:ODE326557 ONA326492:ONA326557 OWW326492:OWW326557 PGS326492:PGS326557 PQO326492:PQO326557 QAK326492:QAK326557 QKG326492:QKG326557 QUC326492:QUC326557 RDY326492:RDY326557 RNU326492:RNU326557 RXQ326492:RXQ326557 SHM326492:SHM326557 SRI326492:SRI326557 TBE326492:TBE326557 TLA326492:TLA326557 TUW326492:TUW326557 UES326492:UES326557 UOO326492:UOO326557 UYK326492:UYK326557 VIG326492:VIG326557 VSC326492:VSC326557 WBY326492:WBY326557 WLU326492:WLU326557 WVQ326492:WVQ326557 I392028:I392093 JE392028:JE392093 TA392028:TA392093 ACW392028:ACW392093 AMS392028:AMS392093 AWO392028:AWO392093 BGK392028:BGK392093 BQG392028:BQG392093 CAC392028:CAC392093 CJY392028:CJY392093 CTU392028:CTU392093 DDQ392028:DDQ392093 DNM392028:DNM392093 DXI392028:DXI392093 EHE392028:EHE392093 ERA392028:ERA392093 FAW392028:FAW392093 FKS392028:FKS392093 FUO392028:FUO392093 GEK392028:GEK392093 GOG392028:GOG392093 GYC392028:GYC392093 HHY392028:HHY392093 HRU392028:HRU392093 IBQ392028:IBQ392093 ILM392028:ILM392093 IVI392028:IVI392093 JFE392028:JFE392093 JPA392028:JPA392093 JYW392028:JYW392093 KIS392028:KIS392093 KSO392028:KSO392093 LCK392028:LCK392093 LMG392028:LMG392093 LWC392028:LWC392093 MFY392028:MFY392093 MPU392028:MPU392093 MZQ392028:MZQ392093 NJM392028:NJM392093 NTI392028:NTI392093 ODE392028:ODE392093 ONA392028:ONA392093 OWW392028:OWW392093 PGS392028:PGS392093 PQO392028:PQO392093 QAK392028:QAK392093 QKG392028:QKG392093 QUC392028:QUC392093 RDY392028:RDY392093 RNU392028:RNU392093 RXQ392028:RXQ392093 SHM392028:SHM392093 SRI392028:SRI392093 TBE392028:TBE392093 TLA392028:TLA392093 TUW392028:TUW392093 UES392028:UES392093 UOO392028:UOO392093 UYK392028:UYK392093 VIG392028:VIG392093 VSC392028:VSC392093 WBY392028:WBY392093 WLU392028:WLU392093 WVQ392028:WVQ392093 I457564:I457629 JE457564:JE457629 TA457564:TA457629 ACW457564:ACW457629 AMS457564:AMS457629 AWO457564:AWO457629 BGK457564:BGK457629 BQG457564:BQG457629 CAC457564:CAC457629 CJY457564:CJY457629 CTU457564:CTU457629 DDQ457564:DDQ457629 DNM457564:DNM457629 DXI457564:DXI457629 EHE457564:EHE457629 ERA457564:ERA457629 FAW457564:FAW457629 FKS457564:FKS457629 FUO457564:FUO457629 GEK457564:GEK457629 GOG457564:GOG457629 GYC457564:GYC457629 HHY457564:HHY457629 HRU457564:HRU457629 IBQ457564:IBQ457629 ILM457564:ILM457629 IVI457564:IVI457629 JFE457564:JFE457629 JPA457564:JPA457629 JYW457564:JYW457629 KIS457564:KIS457629 KSO457564:KSO457629 LCK457564:LCK457629 LMG457564:LMG457629 LWC457564:LWC457629 MFY457564:MFY457629 MPU457564:MPU457629 MZQ457564:MZQ457629 NJM457564:NJM457629 NTI457564:NTI457629 ODE457564:ODE457629 ONA457564:ONA457629 OWW457564:OWW457629 PGS457564:PGS457629 PQO457564:PQO457629 QAK457564:QAK457629 QKG457564:QKG457629 QUC457564:QUC457629 RDY457564:RDY457629 RNU457564:RNU457629 RXQ457564:RXQ457629 SHM457564:SHM457629 SRI457564:SRI457629 TBE457564:TBE457629 TLA457564:TLA457629 TUW457564:TUW457629 UES457564:UES457629 UOO457564:UOO457629 UYK457564:UYK457629 VIG457564:VIG457629 VSC457564:VSC457629 WBY457564:WBY457629 WLU457564:WLU457629 WVQ457564:WVQ457629 I523100:I523165 JE523100:JE523165 TA523100:TA523165 ACW523100:ACW523165 AMS523100:AMS523165 AWO523100:AWO523165 BGK523100:BGK523165 BQG523100:BQG523165 CAC523100:CAC523165 CJY523100:CJY523165 CTU523100:CTU523165 DDQ523100:DDQ523165 DNM523100:DNM523165 DXI523100:DXI523165 EHE523100:EHE523165 ERA523100:ERA523165 FAW523100:FAW523165 FKS523100:FKS523165 FUO523100:FUO523165 GEK523100:GEK523165 GOG523100:GOG523165 GYC523100:GYC523165 HHY523100:HHY523165 HRU523100:HRU523165 IBQ523100:IBQ523165 ILM523100:ILM523165 IVI523100:IVI523165 JFE523100:JFE523165 JPA523100:JPA523165 JYW523100:JYW523165 KIS523100:KIS523165 KSO523100:KSO523165 LCK523100:LCK523165 LMG523100:LMG523165 LWC523100:LWC523165 MFY523100:MFY523165 MPU523100:MPU523165 MZQ523100:MZQ523165 NJM523100:NJM523165 NTI523100:NTI523165 ODE523100:ODE523165 ONA523100:ONA523165 OWW523100:OWW523165 PGS523100:PGS523165 PQO523100:PQO523165 QAK523100:QAK523165 QKG523100:QKG523165 QUC523100:QUC523165 RDY523100:RDY523165 RNU523100:RNU523165 RXQ523100:RXQ523165 SHM523100:SHM523165 SRI523100:SRI523165 TBE523100:TBE523165 TLA523100:TLA523165 TUW523100:TUW523165 UES523100:UES523165 UOO523100:UOO523165 UYK523100:UYK523165 VIG523100:VIG523165 VSC523100:VSC523165 WBY523100:WBY523165 WLU523100:WLU523165 WVQ523100:WVQ523165 I588636:I588701 JE588636:JE588701 TA588636:TA588701 ACW588636:ACW588701 AMS588636:AMS588701 AWO588636:AWO588701 BGK588636:BGK588701 BQG588636:BQG588701 CAC588636:CAC588701 CJY588636:CJY588701 CTU588636:CTU588701 DDQ588636:DDQ588701 DNM588636:DNM588701 DXI588636:DXI588701 EHE588636:EHE588701 ERA588636:ERA588701 FAW588636:FAW588701 FKS588636:FKS588701 FUO588636:FUO588701 GEK588636:GEK588701 GOG588636:GOG588701 GYC588636:GYC588701 HHY588636:HHY588701 HRU588636:HRU588701 IBQ588636:IBQ588701 ILM588636:ILM588701 IVI588636:IVI588701 JFE588636:JFE588701 JPA588636:JPA588701 JYW588636:JYW588701 KIS588636:KIS588701 KSO588636:KSO588701 LCK588636:LCK588701 LMG588636:LMG588701 LWC588636:LWC588701 MFY588636:MFY588701 MPU588636:MPU588701 MZQ588636:MZQ588701 NJM588636:NJM588701 NTI588636:NTI588701 ODE588636:ODE588701 ONA588636:ONA588701 OWW588636:OWW588701 PGS588636:PGS588701 PQO588636:PQO588701 QAK588636:QAK588701 QKG588636:QKG588701 QUC588636:QUC588701 RDY588636:RDY588701 RNU588636:RNU588701 RXQ588636:RXQ588701 SHM588636:SHM588701 SRI588636:SRI588701 TBE588636:TBE588701 TLA588636:TLA588701 TUW588636:TUW588701 UES588636:UES588701 UOO588636:UOO588701 UYK588636:UYK588701 VIG588636:VIG588701 VSC588636:VSC588701 WBY588636:WBY588701 WLU588636:WLU588701 WVQ588636:WVQ588701 I654172:I654237 JE654172:JE654237 TA654172:TA654237 ACW654172:ACW654237 AMS654172:AMS654237 AWO654172:AWO654237 BGK654172:BGK654237 BQG654172:BQG654237 CAC654172:CAC654237 CJY654172:CJY654237 CTU654172:CTU654237 DDQ654172:DDQ654237 DNM654172:DNM654237 DXI654172:DXI654237 EHE654172:EHE654237 ERA654172:ERA654237 FAW654172:FAW654237 FKS654172:FKS654237 FUO654172:FUO654237 GEK654172:GEK654237 GOG654172:GOG654237 GYC654172:GYC654237 HHY654172:HHY654237 HRU654172:HRU654237 IBQ654172:IBQ654237 ILM654172:ILM654237 IVI654172:IVI654237 JFE654172:JFE654237 JPA654172:JPA654237 JYW654172:JYW654237 KIS654172:KIS654237 KSO654172:KSO654237 LCK654172:LCK654237 LMG654172:LMG654237 LWC654172:LWC654237 MFY654172:MFY654237 MPU654172:MPU654237 MZQ654172:MZQ654237 NJM654172:NJM654237 NTI654172:NTI654237 ODE654172:ODE654237 ONA654172:ONA654237 OWW654172:OWW654237 PGS654172:PGS654237 PQO654172:PQO654237 QAK654172:QAK654237 QKG654172:QKG654237 QUC654172:QUC654237 RDY654172:RDY654237 RNU654172:RNU654237 RXQ654172:RXQ654237 SHM654172:SHM654237 SRI654172:SRI654237 TBE654172:TBE654237 TLA654172:TLA654237 TUW654172:TUW654237 UES654172:UES654237 UOO654172:UOO654237 UYK654172:UYK654237 VIG654172:VIG654237 VSC654172:VSC654237 WBY654172:WBY654237 WLU654172:WLU654237 WVQ654172:WVQ654237 I719708:I719773 JE719708:JE719773 TA719708:TA719773 ACW719708:ACW719773 AMS719708:AMS719773 AWO719708:AWO719773 BGK719708:BGK719773 BQG719708:BQG719773 CAC719708:CAC719773 CJY719708:CJY719773 CTU719708:CTU719773 DDQ719708:DDQ719773 DNM719708:DNM719773 DXI719708:DXI719773 EHE719708:EHE719773 ERA719708:ERA719773 FAW719708:FAW719773 FKS719708:FKS719773 FUO719708:FUO719773 GEK719708:GEK719773 GOG719708:GOG719773 GYC719708:GYC719773 HHY719708:HHY719773 HRU719708:HRU719773 IBQ719708:IBQ719773 ILM719708:ILM719773 IVI719708:IVI719773 JFE719708:JFE719773 JPA719708:JPA719773 JYW719708:JYW719773 KIS719708:KIS719773 KSO719708:KSO719773 LCK719708:LCK719773 LMG719708:LMG719773 LWC719708:LWC719773 MFY719708:MFY719773 MPU719708:MPU719773 MZQ719708:MZQ719773 NJM719708:NJM719773 NTI719708:NTI719773 ODE719708:ODE719773 ONA719708:ONA719773 OWW719708:OWW719773 PGS719708:PGS719773 PQO719708:PQO719773 QAK719708:QAK719773 QKG719708:QKG719773 QUC719708:QUC719773 RDY719708:RDY719773 RNU719708:RNU719773 RXQ719708:RXQ719773 SHM719708:SHM719773 SRI719708:SRI719773 TBE719708:TBE719773 TLA719708:TLA719773 TUW719708:TUW719773 UES719708:UES719773 UOO719708:UOO719773 UYK719708:UYK719773 VIG719708:VIG719773 VSC719708:VSC719773 WBY719708:WBY719773 WLU719708:WLU719773 WVQ719708:WVQ719773 I785244:I785309 JE785244:JE785309 TA785244:TA785309 ACW785244:ACW785309 AMS785244:AMS785309 AWO785244:AWO785309 BGK785244:BGK785309 BQG785244:BQG785309 CAC785244:CAC785309 CJY785244:CJY785309 CTU785244:CTU785309 DDQ785244:DDQ785309 DNM785244:DNM785309 DXI785244:DXI785309 EHE785244:EHE785309 ERA785244:ERA785309 FAW785244:FAW785309 FKS785244:FKS785309 FUO785244:FUO785309 GEK785244:GEK785309 GOG785244:GOG785309 GYC785244:GYC785309 HHY785244:HHY785309 HRU785244:HRU785309 IBQ785244:IBQ785309 ILM785244:ILM785309 IVI785244:IVI785309 JFE785244:JFE785309 JPA785244:JPA785309 JYW785244:JYW785309 KIS785244:KIS785309 KSO785244:KSO785309 LCK785244:LCK785309 LMG785244:LMG785309 LWC785244:LWC785309 MFY785244:MFY785309 MPU785244:MPU785309 MZQ785244:MZQ785309 NJM785244:NJM785309 NTI785244:NTI785309 ODE785244:ODE785309 ONA785244:ONA785309 OWW785244:OWW785309 PGS785244:PGS785309 PQO785244:PQO785309 QAK785244:QAK785309 QKG785244:QKG785309 QUC785244:QUC785309 RDY785244:RDY785309 RNU785244:RNU785309 RXQ785244:RXQ785309 SHM785244:SHM785309 SRI785244:SRI785309 TBE785244:TBE785309 TLA785244:TLA785309 TUW785244:TUW785309 UES785244:UES785309 UOO785244:UOO785309 UYK785244:UYK785309 VIG785244:VIG785309 VSC785244:VSC785309 WBY785244:WBY785309 WLU785244:WLU785309 WVQ785244:WVQ785309 I850780:I850845 JE850780:JE850845 TA850780:TA850845 ACW850780:ACW850845 AMS850780:AMS850845 AWO850780:AWO850845 BGK850780:BGK850845 BQG850780:BQG850845 CAC850780:CAC850845 CJY850780:CJY850845 CTU850780:CTU850845 DDQ850780:DDQ850845 DNM850780:DNM850845 DXI850780:DXI850845 EHE850780:EHE850845 ERA850780:ERA850845 FAW850780:FAW850845 FKS850780:FKS850845 FUO850780:FUO850845 GEK850780:GEK850845 GOG850780:GOG850845 GYC850780:GYC850845 HHY850780:HHY850845 HRU850780:HRU850845 IBQ850780:IBQ850845 ILM850780:ILM850845 IVI850780:IVI850845 JFE850780:JFE850845 JPA850780:JPA850845 JYW850780:JYW850845 KIS850780:KIS850845 KSO850780:KSO850845 LCK850780:LCK850845 LMG850780:LMG850845 LWC850780:LWC850845 MFY850780:MFY850845 MPU850780:MPU850845 MZQ850780:MZQ850845 NJM850780:NJM850845 NTI850780:NTI850845 ODE850780:ODE850845 ONA850780:ONA850845 OWW850780:OWW850845 PGS850780:PGS850845 PQO850780:PQO850845 QAK850780:QAK850845 QKG850780:QKG850845 QUC850780:QUC850845 RDY850780:RDY850845 RNU850780:RNU850845 RXQ850780:RXQ850845 SHM850780:SHM850845 SRI850780:SRI850845 TBE850780:TBE850845 TLA850780:TLA850845 TUW850780:TUW850845 UES850780:UES850845 UOO850780:UOO850845 UYK850780:UYK850845 VIG850780:VIG850845 VSC850780:VSC850845 WBY850780:WBY850845 WLU850780:WLU850845 WVQ850780:WVQ850845 I916316:I916381 JE916316:JE916381 TA916316:TA916381 ACW916316:ACW916381 AMS916316:AMS916381 AWO916316:AWO916381 BGK916316:BGK916381 BQG916316:BQG916381 CAC916316:CAC916381 CJY916316:CJY916381 CTU916316:CTU916381 DDQ916316:DDQ916381 DNM916316:DNM916381 DXI916316:DXI916381 EHE916316:EHE916381 ERA916316:ERA916381 FAW916316:FAW916381 FKS916316:FKS916381 FUO916316:FUO916381 GEK916316:GEK916381 GOG916316:GOG916381 GYC916316:GYC916381 HHY916316:HHY916381 HRU916316:HRU916381 IBQ916316:IBQ916381 ILM916316:ILM916381 IVI916316:IVI916381 JFE916316:JFE916381 JPA916316:JPA916381 JYW916316:JYW916381 KIS916316:KIS916381 KSO916316:KSO916381 LCK916316:LCK916381 LMG916316:LMG916381 LWC916316:LWC916381 MFY916316:MFY916381 MPU916316:MPU916381 MZQ916316:MZQ916381 NJM916316:NJM916381 NTI916316:NTI916381 ODE916316:ODE916381 ONA916316:ONA916381 OWW916316:OWW916381 PGS916316:PGS916381 PQO916316:PQO916381 QAK916316:QAK916381 QKG916316:QKG916381 QUC916316:QUC916381 RDY916316:RDY916381 RNU916316:RNU916381 RXQ916316:RXQ916381 SHM916316:SHM916381 SRI916316:SRI916381 TBE916316:TBE916381 TLA916316:TLA916381 TUW916316:TUW916381 UES916316:UES916381 UOO916316:UOO916381 UYK916316:UYK916381 VIG916316:VIG916381 VSC916316:VSC916381 WBY916316:WBY916381 WLU916316:WLU916381 WVQ916316:WVQ916381 I981852:I981917 JE981852:JE981917 TA981852:TA981917 ACW981852:ACW981917 AMS981852:AMS981917 AWO981852:AWO981917 BGK981852:BGK981917 BQG981852:BQG981917 CAC981852:CAC981917 CJY981852:CJY981917 CTU981852:CTU981917 DDQ981852:DDQ981917 DNM981852:DNM981917 DXI981852:DXI981917 EHE981852:EHE981917 ERA981852:ERA981917 FAW981852:FAW981917 FKS981852:FKS981917 FUO981852:FUO981917 GEK981852:GEK981917 GOG981852:GOG981917 GYC981852:GYC981917 HHY981852:HHY981917 HRU981852:HRU981917 IBQ981852:IBQ981917 ILM981852:ILM981917 IVI981852:IVI981917 JFE981852:JFE981917 JPA981852:JPA981917 JYW981852:JYW981917 KIS981852:KIS981917 KSO981852:KSO981917 LCK981852:LCK981917 LMG981852:LMG981917 LWC981852:LWC981917 MFY981852:MFY981917 MPU981852:MPU981917 MZQ981852:MZQ981917 NJM981852:NJM981917 NTI981852:NTI981917 ODE981852:ODE981917 ONA981852:ONA981917 OWW981852:OWW981917 PGS981852:PGS981917 PQO981852:PQO981917 QAK981852:QAK981917 QKG981852:QKG981917 QUC981852:QUC981917 RDY981852:RDY981917 RNU981852:RNU981917 RXQ981852:RXQ981917 SHM981852:SHM981917 SRI981852:SRI981917 TBE981852:TBE981917 TLA981852:TLA981917 TUW981852:TUW981917 UES981852:UES981917 UOO981852:UOO981917 UYK981852:UYK981917 VIG981852:VIG981917 VSC981852:VSC981917 WBY981852:WBY981917 WLU981852:WLU981917 WVQ981852:WVQ981917 I1047388:I1047453 JE1047388:JE1047453 TA1047388:TA1047453 ACW1047388:ACW1047453 AMS1047388:AMS1047453 AWO1047388:AWO1047453 BGK1047388:BGK1047453 BQG1047388:BQG1047453 CAC1047388:CAC1047453 CJY1047388:CJY1047453 CTU1047388:CTU1047453 DDQ1047388:DDQ1047453 DNM1047388:DNM1047453 DXI1047388:DXI1047453 EHE1047388:EHE1047453 ERA1047388:ERA1047453 FAW1047388:FAW1047453 FKS1047388:FKS1047453 FUO1047388:FUO1047453 GEK1047388:GEK1047453 GOG1047388:GOG1047453 GYC1047388:GYC1047453 HHY1047388:HHY1047453 HRU1047388:HRU1047453 IBQ1047388:IBQ1047453 ILM1047388:ILM1047453 IVI1047388:IVI1047453 JFE1047388:JFE1047453 JPA1047388:JPA1047453 JYW1047388:JYW1047453 KIS1047388:KIS1047453 KSO1047388:KSO1047453 LCK1047388:LCK1047453 LMG1047388:LMG1047453 LWC1047388:LWC1047453 MFY1047388:MFY1047453 MPU1047388:MPU1047453 MZQ1047388:MZQ1047453 NJM1047388:NJM1047453 NTI1047388:NTI1047453 ODE1047388:ODE1047453 ONA1047388:ONA1047453 OWW1047388:OWW1047453 PGS1047388:PGS1047453 PQO1047388:PQO1047453 QAK1047388:QAK1047453 QKG1047388:QKG1047453 QUC1047388:QUC1047453 RDY1047388:RDY1047453 RNU1047388:RNU1047453 RXQ1047388:RXQ1047453 SHM1047388:SHM1047453 SRI1047388:SRI1047453 TBE1047388:TBE1047453 TLA1047388:TLA1047453 TUW1047388:TUW1047453 UES1047388:UES1047453 UOO1047388:UOO1047453 UYK1047388:UYK1047453 VIG1047388:VIG1047453 VSC1047388:VSC1047453 WBY1047388:WBY1047453 WLU1047388:WLU1047453 WVQ1047388:WVQ1047453 WVQ983027:WVQ983092 I65523:I65588 JE65523:JE65588 TA65523:TA65588 ACW65523:ACW65588 AMS65523:AMS65588 AWO65523:AWO65588 BGK65523:BGK65588 BQG65523:BQG65588 CAC65523:CAC65588 CJY65523:CJY65588 CTU65523:CTU65588 DDQ65523:DDQ65588 DNM65523:DNM65588 DXI65523:DXI65588 EHE65523:EHE65588 ERA65523:ERA65588 FAW65523:FAW65588 FKS65523:FKS65588 FUO65523:FUO65588 GEK65523:GEK65588 GOG65523:GOG65588 GYC65523:GYC65588 HHY65523:HHY65588 HRU65523:HRU65588 IBQ65523:IBQ65588 ILM65523:ILM65588 IVI65523:IVI65588 JFE65523:JFE65588 JPA65523:JPA65588 JYW65523:JYW65588 KIS65523:KIS65588 KSO65523:KSO65588 LCK65523:LCK65588 LMG65523:LMG65588 LWC65523:LWC65588 MFY65523:MFY65588 MPU65523:MPU65588 MZQ65523:MZQ65588 NJM65523:NJM65588 NTI65523:NTI65588 ODE65523:ODE65588 ONA65523:ONA65588 OWW65523:OWW65588 PGS65523:PGS65588 PQO65523:PQO65588 QAK65523:QAK65588 QKG65523:QKG65588 QUC65523:QUC65588 RDY65523:RDY65588 RNU65523:RNU65588 RXQ65523:RXQ65588 SHM65523:SHM65588 SRI65523:SRI65588 TBE65523:TBE65588 TLA65523:TLA65588 TUW65523:TUW65588 UES65523:UES65588 UOO65523:UOO65588 UYK65523:UYK65588 VIG65523:VIG65588 VSC65523:VSC65588 WBY65523:WBY65588 WLU65523:WLU65588 WVQ65523:WVQ65588 I131059:I131124 JE131059:JE131124 TA131059:TA131124 ACW131059:ACW131124 AMS131059:AMS131124 AWO131059:AWO131124 BGK131059:BGK131124 BQG131059:BQG131124 CAC131059:CAC131124 CJY131059:CJY131124 CTU131059:CTU131124 DDQ131059:DDQ131124 DNM131059:DNM131124 DXI131059:DXI131124 EHE131059:EHE131124 ERA131059:ERA131124 FAW131059:FAW131124 FKS131059:FKS131124 FUO131059:FUO131124 GEK131059:GEK131124 GOG131059:GOG131124 GYC131059:GYC131124 HHY131059:HHY131124 HRU131059:HRU131124 IBQ131059:IBQ131124 ILM131059:ILM131124 IVI131059:IVI131124 JFE131059:JFE131124 JPA131059:JPA131124 JYW131059:JYW131124 KIS131059:KIS131124 KSO131059:KSO131124 LCK131059:LCK131124 LMG131059:LMG131124 LWC131059:LWC131124 MFY131059:MFY131124 MPU131059:MPU131124 MZQ131059:MZQ131124 NJM131059:NJM131124 NTI131059:NTI131124 ODE131059:ODE131124 ONA131059:ONA131124 OWW131059:OWW131124 PGS131059:PGS131124 PQO131059:PQO131124 QAK131059:QAK131124 QKG131059:QKG131124 QUC131059:QUC131124 RDY131059:RDY131124 RNU131059:RNU131124 RXQ131059:RXQ131124 SHM131059:SHM131124 SRI131059:SRI131124 TBE131059:TBE131124 TLA131059:TLA131124 TUW131059:TUW131124 UES131059:UES131124 UOO131059:UOO131124 UYK131059:UYK131124 VIG131059:VIG131124 VSC131059:VSC131124 WBY131059:WBY131124 WLU131059:WLU131124 WVQ131059:WVQ131124 I196595:I196660 JE196595:JE196660 TA196595:TA196660 ACW196595:ACW196660 AMS196595:AMS196660 AWO196595:AWO196660 BGK196595:BGK196660 BQG196595:BQG196660 CAC196595:CAC196660 CJY196595:CJY196660 CTU196595:CTU196660 DDQ196595:DDQ196660 DNM196595:DNM196660 DXI196595:DXI196660 EHE196595:EHE196660 ERA196595:ERA196660 FAW196595:FAW196660 FKS196595:FKS196660 FUO196595:FUO196660 GEK196595:GEK196660 GOG196595:GOG196660 GYC196595:GYC196660 HHY196595:HHY196660 HRU196595:HRU196660 IBQ196595:IBQ196660 ILM196595:ILM196660 IVI196595:IVI196660 JFE196595:JFE196660 JPA196595:JPA196660 JYW196595:JYW196660 KIS196595:KIS196660 KSO196595:KSO196660 LCK196595:LCK196660 LMG196595:LMG196660 LWC196595:LWC196660 MFY196595:MFY196660 MPU196595:MPU196660 MZQ196595:MZQ196660 NJM196595:NJM196660 NTI196595:NTI196660 ODE196595:ODE196660 ONA196595:ONA196660 OWW196595:OWW196660 PGS196595:PGS196660 PQO196595:PQO196660 QAK196595:QAK196660 QKG196595:QKG196660 QUC196595:QUC196660 RDY196595:RDY196660 RNU196595:RNU196660 RXQ196595:RXQ196660 SHM196595:SHM196660 SRI196595:SRI196660 TBE196595:TBE196660 TLA196595:TLA196660 TUW196595:TUW196660 UES196595:UES196660 UOO196595:UOO196660 UYK196595:UYK196660 VIG196595:VIG196660 VSC196595:VSC196660 WBY196595:WBY196660 WLU196595:WLU196660 WVQ196595:WVQ196660 I262131:I262196 JE262131:JE262196 TA262131:TA262196 ACW262131:ACW262196 AMS262131:AMS262196 AWO262131:AWO262196 BGK262131:BGK262196 BQG262131:BQG262196 CAC262131:CAC262196 CJY262131:CJY262196 CTU262131:CTU262196 DDQ262131:DDQ262196 DNM262131:DNM262196 DXI262131:DXI262196 EHE262131:EHE262196 ERA262131:ERA262196 FAW262131:FAW262196 FKS262131:FKS262196 FUO262131:FUO262196 GEK262131:GEK262196 GOG262131:GOG262196 GYC262131:GYC262196 HHY262131:HHY262196 HRU262131:HRU262196 IBQ262131:IBQ262196 ILM262131:ILM262196 IVI262131:IVI262196 JFE262131:JFE262196 JPA262131:JPA262196 JYW262131:JYW262196 KIS262131:KIS262196 KSO262131:KSO262196 LCK262131:LCK262196 LMG262131:LMG262196 LWC262131:LWC262196 MFY262131:MFY262196 MPU262131:MPU262196 MZQ262131:MZQ262196 NJM262131:NJM262196 NTI262131:NTI262196 ODE262131:ODE262196 ONA262131:ONA262196 OWW262131:OWW262196 PGS262131:PGS262196 PQO262131:PQO262196 QAK262131:QAK262196 QKG262131:QKG262196 QUC262131:QUC262196 RDY262131:RDY262196 RNU262131:RNU262196 RXQ262131:RXQ262196 SHM262131:SHM262196 SRI262131:SRI262196 TBE262131:TBE262196 TLA262131:TLA262196 TUW262131:TUW262196 UES262131:UES262196 UOO262131:UOO262196 UYK262131:UYK262196 VIG262131:VIG262196 VSC262131:VSC262196 WBY262131:WBY262196 WLU262131:WLU262196 WVQ262131:WVQ262196 I327667:I327732 JE327667:JE327732 TA327667:TA327732 ACW327667:ACW327732 AMS327667:AMS327732 AWO327667:AWO327732 BGK327667:BGK327732 BQG327667:BQG327732 CAC327667:CAC327732 CJY327667:CJY327732 CTU327667:CTU327732 DDQ327667:DDQ327732 DNM327667:DNM327732 DXI327667:DXI327732 EHE327667:EHE327732 ERA327667:ERA327732 FAW327667:FAW327732 FKS327667:FKS327732 FUO327667:FUO327732 GEK327667:GEK327732 GOG327667:GOG327732 GYC327667:GYC327732 HHY327667:HHY327732 HRU327667:HRU327732 IBQ327667:IBQ327732 ILM327667:ILM327732 IVI327667:IVI327732 JFE327667:JFE327732 JPA327667:JPA327732 JYW327667:JYW327732 KIS327667:KIS327732 KSO327667:KSO327732 LCK327667:LCK327732 LMG327667:LMG327732 LWC327667:LWC327732 MFY327667:MFY327732 MPU327667:MPU327732 MZQ327667:MZQ327732 NJM327667:NJM327732 NTI327667:NTI327732 ODE327667:ODE327732 ONA327667:ONA327732 OWW327667:OWW327732 PGS327667:PGS327732 PQO327667:PQO327732 QAK327667:QAK327732 QKG327667:QKG327732 QUC327667:QUC327732 RDY327667:RDY327732 RNU327667:RNU327732 RXQ327667:RXQ327732 SHM327667:SHM327732 SRI327667:SRI327732 TBE327667:TBE327732 TLA327667:TLA327732 TUW327667:TUW327732 UES327667:UES327732 UOO327667:UOO327732 UYK327667:UYK327732 VIG327667:VIG327732 VSC327667:VSC327732 WBY327667:WBY327732 WLU327667:WLU327732 WVQ327667:WVQ327732 I393203:I393268 JE393203:JE393268 TA393203:TA393268 ACW393203:ACW393268 AMS393203:AMS393268 AWO393203:AWO393268 BGK393203:BGK393268 BQG393203:BQG393268 CAC393203:CAC393268 CJY393203:CJY393268 CTU393203:CTU393268 DDQ393203:DDQ393268 DNM393203:DNM393268 DXI393203:DXI393268 EHE393203:EHE393268 ERA393203:ERA393268 FAW393203:FAW393268 FKS393203:FKS393268 FUO393203:FUO393268 GEK393203:GEK393268 GOG393203:GOG393268 GYC393203:GYC393268 HHY393203:HHY393268 HRU393203:HRU393268 IBQ393203:IBQ393268 ILM393203:ILM393268 IVI393203:IVI393268 JFE393203:JFE393268 JPA393203:JPA393268 JYW393203:JYW393268 KIS393203:KIS393268 KSO393203:KSO393268 LCK393203:LCK393268 LMG393203:LMG393268 LWC393203:LWC393268 MFY393203:MFY393268 MPU393203:MPU393268 MZQ393203:MZQ393268 NJM393203:NJM393268 NTI393203:NTI393268 ODE393203:ODE393268 ONA393203:ONA393268 OWW393203:OWW393268 PGS393203:PGS393268 PQO393203:PQO393268 QAK393203:QAK393268 QKG393203:QKG393268 QUC393203:QUC393268 RDY393203:RDY393268 RNU393203:RNU393268 RXQ393203:RXQ393268 SHM393203:SHM393268 SRI393203:SRI393268 TBE393203:TBE393268 TLA393203:TLA393268 TUW393203:TUW393268 UES393203:UES393268 UOO393203:UOO393268 UYK393203:UYK393268 VIG393203:VIG393268 VSC393203:VSC393268 WBY393203:WBY393268 WLU393203:WLU393268 WVQ393203:WVQ393268 I458739:I458804 JE458739:JE458804 TA458739:TA458804 ACW458739:ACW458804 AMS458739:AMS458804 AWO458739:AWO458804 BGK458739:BGK458804 BQG458739:BQG458804 CAC458739:CAC458804 CJY458739:CJY458804 CTU458739:CTU458804 DDQ458739:DDQ458804 DNM458739:DNM458804 DXI458739:DXI458804 EHE458739:EHE458804 ERA458739:ERA458804 FAW458739:FAW458804 FKS458739:FKS458804 FUO458739:FUO458804 GEK458739:GEK458804 GOG458739:GOG458804 GYC458739:GYC458804 HHY458739:HHY458804 HRU458739:HRU458804 IBQ458739:IBQ458804 ILM458739:ILM458804 IVI458739:IVI458804 JFE458739:JFE458804 JPA458739:JPA458804 JYW458739:JYW458804 KIS458739:KIS458804 KSO458739:KSO458804 LCK458739:LCK458804 LMG458739:LMG458804 LWC458739:LWC458804 MFY458739:MFY458804 MPU458739:MPU458804 MZQ458739:MZQ458804 NJM458739:NJM458804 NTI458739:NTI458804 ODE458739:ODE458804 ONA458739:ONA458804 OWW458739:OWW458804 PGS458739:PGS458804 PQO458739:PQO458804 QAK458739:QAK458804 QKG458739:QKG458804 QUC458739:QUC458804 RDY458739:RDY458804 RNU458739:RNU458804 RXQ458739:RXQ458804 SHM458739:SHM458804 SRI458739:SRI458804 TBE458739:TBE458804 TLA458739:TLA458804 TUW458739:TUW458804 UES458739:UES458804 UOO458739:UOO458804 UYK458739:UYK458804 VIG458739:VIG458804 VSC458739:VSC458804 WBY458739:WBY458804 WLU458739:WLU458804 WVQ458739:WVQ458804 I524275:I524340 JE524275:JE524340 TA524275:TA524340 ACW524275:ACW524340 AMS524275:AMS524340 AWO524275:AWO524340 BGK524275:BGK524340 BQG524275:BQG524340 CAC524275:CAC524340 CJY524275:CJY524340 CTU524275:CTU524340 DDQ524275:DDQ524340 DNM524275:DNM524340 DXI524275:DXI524340 EHE524275:EHE524340 ERA524275:ERA524340 FAW524275:FAW524340 FKS524275:FKS524340 FUO524275:FUO524340 GEK524275:GEK524340 GOG524275:GOG524340 GYC524275:GYC524340 HHY524275:HHY524340 HRU524275:HRU524340 IBQ524275:IBQ524340 ILM524275:ILM524340 IVI524275:IVI524340 JFE524275:JFE524340 JPA524275:JPA524340 JYW524275:JYW524340 KIS524275:KIS524340 KSO524275:KSO524340 LCK524275:LCK524340 LMG524275:LMG524340 LWC524275:LWC524340 MFY524275:MFY524340 MPU524275:MPU524340 MZQ524275:MZQ524340 NJM524275:NJM524340 NTI524275:NTI524340 ODE524275:ODE524340 ONA524275:ONA524340 OWW524275:OWW524340 PGS524275:PGS524340 PQO524275:PQO524340 QAK524275:QAK524340 QKG524275:QKG524340 QUC524275:QUC524340 RDY524275:RDY524340 RNU524275:RNU524340 RXQ524275:RXQ524340 SHM524275:SHM524340 SRI524275:SRI524340 TBE524275:TBE524340 TLA524275:TLA524340 TUW524275:TUW524340 UES524275:UES524340 UOO524275:UOO524340 UYK524275:UYK524340 VIG524275:VIG524340 VSC524275:VSC524340 WBY524275:WBY524340 WLU524275:WLU524340 WVQ524275:WVQ524340 I589811:I589876 JE589811:JE589876 TA589811:TA589876 ACW589811:ACW589876 AMS589811:AMS589876 AWO589811:AWO589876 BGK589811:BGK589876 BQG589811:BQG589876 CAC589811:CAC589876 CJY589811:CJY589876 CTU589811:CTU589876 DDQ589811:DDQ589876 DNM589811:DNM589876 DXI589811:DXI589876 EHE589811:EHE589876 ERA589811:ERA589876 FAW589811:FAW589876 FKS589811:FKS589876 FUO589811:FUO589876 GEK589811:GEK589876 GOG589811:GOG589876 GYC589811:GYC589876 HHY589811:HHY589876 HRU589811:HRU589876 IBQ589811:IBQ589876 ILM589811:ILM589876 IVI589811:IVI589876 JFE589811:JFE589876 JPA589811:JPA589876 JYW589811:JYW589876 KIS589811:KIS589876 KSO589811:KSO589876 LCK589811:LCK589876 LMG589811:LMG589876 LWC589811:LWC589876 MFY589811:MFY589876 MPU589811:MPU589876 MZQ589811:MZQ589876 NJM589811:NJM589876 NTI589811:NTI589876 ODE589811:ODE589876 ONA589811:ONA589876 OWW589811:OWW589876 PGS589811:PGS589876 PQO589811:PQO589876 QAK589811:QAK589876 QKG589811:QKG589876 QUC589811:QUC589876 RDY589811:RDY589876 RNU589811:RNU589876 RXQ589811:RXQ589876 SHM589811:SHM589876 SRI589811:SRI589876 TBE589811:TBE589876 TLA589811:TLA589876 TUW589811:TUW589876 UES589811:UES589876 UOO589811:UOO589876 UYK589811:UYK589876 VIG589811:VIG589876 VSC589811:VSC589876 WBY589811:WBY589876 WLU589811:WLU589876 WVQ589811:WVQ589876 I655347:I655412 JE655347:JE655412 TA655347:TA655412 ACW655347:ACW655412 AMS655347:AMS655412 AWO655347:AWO655412 BGK655347:BGK655412 BQG655347:BQG655412 CAC655347:CAC655412 CJY655347:CJY655412 CTU655347:CTU655412 DDQ655347:DDQ655412 DNM655347:DNM655412 DXI655347:DXI655412 EHE655347:EHE655412 ERA655347:ERA655412 FAW655347:FAW655412 FKS655347:FKS655412 FUO655347:FUO655412 GEK655347:GEK655412 GOG655347:GOG655412 GYC655347:GYC655412 HHY655347:HHY655412 HRU655347:HRU655412 IBQ655347:IBQ655412 ILM655347:ILM655412 IVI655347:IVI655412 JFE655347:JFE655412 JPA655347:JPA655412 JYW655347:JYW655412 KIS655347:KIS655412 KSO655347:KSO655412 LCK655347:LCK655412 LMG655347:LMG655412 LWC655347:LWC655412 MFY655347:MFY655412 MPU655347:MPU655412 MZQ655347:MZQ655412 NJM655347:NJM655412 NTI655347:NTI655412 ODE655347:ODE655412 ONA655347:ONA655412 OWW655347:OWW655412 PGS655347:PGS655412 PQO655347:PQO655412 QAK655347:QAK655412 QKG655347:QKG655412 QUC655347:QUC655412 RDY655347:RDY655412 RNU655347:RNU655412 RXQ655347:RXQ655412 SHM655347:SHM655412 SRI655347:SRI655412 TBE655347:TBE655412 TLA655347:TLA655412 TUW655347:TUW655412 UES655347:UES655412 UOO655347:UOO655412 UYK655347:UYK655412 VIG655347:VIG655412 VSC655347:VSC655412 WBY655347:WBY655412 WLU655347:WLU655412 WVQ655347:WVQ655412 I720883:I720948 JE720883:JE720948 TA720883:TA720948 ACW720883:ACW720948 AMS720883:AMS720948 AWO720883:AWO720948 BGK720883:BGK720948 BQG720883:BQG720948 CAC720883:CAC720948 CJY720883:CJY720948 CTU720883:CTU720948 DDQ720883:DDQ720948 DNM720883:DNM720948 DXI720883:DXI720948 EHE720883:EHE720948 ERA720883:ERA720948 FAW720883:FAW720948 FKS720883:FKS720948 FUO720883:FUO720948 GEK720883:GEK720948 GOG720883:GOG720948 GYC720883:GYC720948 HHY720883:HHY720948 HRU720883:HRU720948 IBQ720883:IBQ720948 ILM720883:ILM720948 IVI720883:IVI720948 JFE720883:JFE720948 JPA720883:JPA720948 JYW720883:JYW720948 KIS720883:KIS720948 KSO720883:KSO720948 LCK720883:LCK720948 LMG720883:LMG720948 LWC720883:LWC720948 MFY720883:MFY720948 MPU720883:MPU720948 MZQ720883:MZQ720948 NJM720883:NJM720948 NTI720883:NTI720948 ODE720883:ODE720948 ONA720883:ONA720948 OWW720883:OWW720948 PGS720883:PGS720948 PQO720883:PQO720948 QAK720883:QAK720948 QKG720883:QKG720948 QUC720883:QUC720948 RDY720883:RDY720948 RNU720883:RNU720948 RXQ720883:RXQ720948 SHM720883:SHM720948 SRI720883:SRI720948 TBE720883:TBE720948 TLA720883:TLA720948 TUW720883:TUW720948 UES720883:UES720948 UOO720883:UOO720948 UYK720883:UYK720948 VIG720883:VIG720948 VSC720883:VSC720948 WBY720883:WBY720948 WLU720883:WLU720948 WVQ720883:WVQ720948 I786419:I786484 JE786419:JE786484 TA786419:TA786484 ACW786419:ACW786484 AMS786419:AMS786484 AWO786419:AWO786484 BGK786419:BGK786484 BQG786419:BQG786484 CAC786419:CAC786484 CJY786419:CJY786484 CTU786419:CTU786484 DDQ786419:DDQ786484 DNM786419:DNM786484 DXI786419:DXI786484 EHE786419:EHE786484 ERA786419:ERA786484 FAW786419:FAW786484 FKS786419:FKS786484 FUO786419:FUO786484 GEK786419:GEK786484 GOG786419:GOG786484 GYC786419:GYC786484 HHY786419:HHY786484 HRU786419:HRU786484 IBQ786419:IBQ786484 ILM786419:ILM786484 IVI786419:IVI786484 JFE786419:JFE786484 JPA786419:JPA786484 JYW786419:JYW786484 KIS786419:KIS786484 KSO786419:KSO786484 LCK786419:LCK786484 LMG786419:LMG786484 LWC786419:LWC786484 MFY786419:MFY786484 MPU786419:MPU786484 MZQ786419:MZQ786484 NJM786419:NJM786484 NTI786419:NTI786484 ODE786419:ODE786484 ONA786419:ONA786484 OWW786419:OWW786484 PGS786419:PGS786484 PQO786419:PQO786484 QAK786419:QAK786484 QKG786419:QKG786484 QUC786419:QUC786484 RDY786419:RDY786484 RNU786419:RNU786484 RXQ786419:RXQ786484 SHM786419:SHM786484 SRI786419:SRI786484 TBE786419:TBE786484 TLA786419:TLA786484 TUW786419:TUW786484 UES786419:UES786484 UOO786419:UOO786484 UYK786419:UYK786484 VIG786419:VIG786484 VSC786419:VSC786484 WBY786419:WBY786484 WLU786419:WLU786484 WVQ786419:WVQ786484 I851955:I852020 JE851955:JE852020 TA851955:TA852020 ACW851955:ACW852020 AMS851955:AMS852020 AWO851955:AWO852020 BGK851955:BGK852020 BQG851955:BQG852020 CAC851955:CAC852020 CJY851955:CJY852020 CTU851955:CTU852020 DDQ851955:DDQ852020 DNM851955:DNM852020 DXI851955:DXI852020 EHE851955:EHE852020 ERA851955:ERA852020 FAW851955:FAW852020 FKS851955:FKS852020 FUO851955:FUO852020 GEK851955:GEK852020 GOG851955:GOG852020 GYC851955:GYC852020 HHY851955:HHY852020 HRU851955:HRU852020 IBQ851955:IBQ852020 ILM851955:ILM852020 IVI851955:IVI852020 JFE851955:JFE852020 JPA851955:JPA852020 JYW851955:JYW852020 KIS851955:KIS852020 KSO851955:KSO852020 LCK851955:LCK852020 LMG851955:LMG852020 LWC851955:LWC852020 MFY851955:MFY852020 MPU851955:MPU852020 MZQ851955:MZQ852020 NJM851955:NJM852020 NTI851955:NTI852020 ODE851955:ODE852020 ONA851955:ONA852020 OWW851955:OWW852020 PGS851955:PGS852020 PQO851955:PQO852020 QAK851955:QAK852020 QKG851955:QKG852020 QUC851955:QUC852020 RDY851955:RDY852020 RNU851955:RNU852020 RXQ851955:RXQ852020 SHM851955:SHM852020 SRI851955:SRI852020 TBE851955:TBE852020 TLA851955:TLA852020 TUW851955:TUW852020 UES851955:UES852020 UOO851955:UOO852020 UYK851955:UYK852020 VIG851955:VIG852020 VSC851955:VSC852020 WBY851955:WBY852020 WLU851955:WLU852020 WVQ851955:WVQ852020 I917491:I917556 JE917491:JE917556 TA917491:TA917556 ACW917491:ACW917556 AMS917491:AMS917556 AWO917491:AWO917556 BGK917491:BGK917556 BQG917491:BQG917556 CAC917491:CAC917556 CJY917491:CJY917556 CTU917491:CTU917556 DDQ917491:DDQ917556 DNM917491:DNM917556 DXI917491:DXI917556 EHE917491:EHE917556 ERA917491:ERA917556 FAW917491:FAW917556 FKS917491:FKS917556 FUO917491:FUO917556 GEK917491:GEK917556 GOG917491:GOG917556 GYC917491:GYC917556 HHY917491:HHY917556 HRU917491:HRU917556 IBQ917491:IBQ917556 ILM917491:ILM917556 IVI917491:IVI917556 JFE917491:JFE917556 JPA917491:JPA917556 JYW917491:JYW917556 KIS917491:KIS917556 KSO917491:KSO917556 LCK917491:LCK917556 LMG917491:LMG917556 LWC917491:LWC917556 MFY917491:MFY917556 MPU917491:MPU917556 MZQ917491:MZQ917556 NJM917491:NJM917556 NTI917491:NTI917556 ODE917491:ODE917556 ONA917491:ONA917556 OWW917491:OWW917556 PGS917491:PGS917556 PQO917491:PQO917556 QAK917491:QAK917556 QKG917491:QKG917556 QUC917491:QUC917556 RDY917491:RDY917556 RNU917491:RNU917556 RXQ917491:RXQ917556 SHM917491:SHM917556 SRI917491:SRI917556 TBE917491:TBE917556 TLA917491:TLA917556 TUW917491:TUW917556 UES917491:UES917556 UOO917491:UOO917556 UYK917491:UYK917556 VIG917491:VIG917556 VSC917491:VSC917556 WBY917491:WBY917556 WLU917491:WLU917556 WVQ917491:WVQ917556 I983027:I983092 JE983027:JE983092 TA983027:TA983092 ACW983027:ACW983092 AMS983027:AMS983092 AWO983027:AWO983092 BGK983027:BGK983092 BQG983027:BQG983092 CAC983027:CAC983092 CJY983027:CJY983092 CTU983027:CTU983092 DDQ983027:DDQ983092 DNM983027:DNM983092 DXI983027:DXI983092 EHE983027:EHE983092 ERA983027:ERA983092 FAW983027:FAW983092 FKS983027:FKS983092 FUO983027:FUO983092 GEK983027:GEK983092 GOG983027:GOG983092 GYC983027:GYC983092 HHY983027:HHY983092 HRU983027:HRU983092 IBQ983027:IBQ983092 ILM983027:ILM983092 IVI983027:IVI983092 JFE983027:JFE983092 JPA983027:JPA983092 JYW983027:JYW983092 KIS983027:KIS983092 KSO983027:KSO983092 LCK983027:LCK983092 LMG983027:LMG983092 LWC983027:LWC983092 MFY983027:MFY983092 MPU983027:MPU983092 MZQ983027:MZQ983092 NJM983027:NJM983092 NTI983027:NTI983092 ODE983027:ODE983092 ONA983027:ONA983092 OWW983027:OWW983092 PGS983027:PGS983092 PQO983027:PQO983092 QAK983027:QAK983092 QKG983027:QKG983092 QUC983027:QUC983092 RDY983027:RDY983092 RNU983027:RNU983092 RXQ983027:RXQ983092 SHM983027:SHM983092 SRI983027:SRI983092 TBE983027:TBE983092 TLA983027:TLA983092 TUW983027:TUW983092 UES983027:UES983092 UOO983027:UOO983092 UYK983027:UYK983092 VIG983027:VIG983092 VSC983027:VSC983092 WBY983027:WBY983092 WLU983027:WLU983092 I2:I485 JE2:JE72 TA2:TA72 ACW2:ACW72 AMS2:AMS72 AWO2:AWO72 BGK2:BGK72 BQG2:BQG72 CAC2:CAC72 CJY2:CJY72 CTU2:CTU72 DDQ2:DDQ72 DNM2:DNM72 DXI2:DXI72 EHE2:EHE72 ERA2:ERA72 FAW2:FAW72 FKS2:FKS72 FUO2:FUO72 GEK2:GEK72 GOG2:GOG72 GYC2:GYC72 HHY2:HHY72 HRU2:HRU72 IBQ2:IBQ72 ILM2:ILM72 IVI2:IVI72 JFE2:JFE72 JPA2:JPA72 JYW2:JYW72 KIS2:KIS72 KSO2:KSO72 LCK2:LCK72 LMG2:LMG72 LWC2:LWC72 MFY2:MFY72 MPU2:MPU72 MZQ2:MZQ72 NJM2:NJM72 NTI2:NTI72 ODE2:ODE72 ONA2:ONA72 OWW2:OWW72 PGS2:PGS72 PQO2:PQO72 QAK2:QAK72 QKG2:QKG72 QUC2:QUC72 RDY2:RDY72 RNU2:RNU72 RXQ2:RXQ72 SHM2:SHM72 SRI2:SRI72 TBE2:TBE72 TLA2:TLA72 TUW2:TUW72 UES2:UES72 UOO2:UOO72 UYK2:UYK72 VIG2:VIG72 VSC2:VSC72 WBY2:WBY72 WLU2:WLU72 WVQ2:WVQ72" xr:uid="{E159508B-19B6-4A34-8260-DBD30386E85A}">
      <formula1>$AN$5:$AN$6</formula1>
    </dataValidation>
    <dataValidation type="list" allowBlank="1" showInputMessage="1" showErrorMessage="1" sqref="J64348:J64413 JF64348:JF64413 TB64348:TB64413 ACX64348:ACX64413 AMT64348:AMT64413 AWP64348:AWP64413 BGL64348:BGL64413 BQH64348:BQH64413 CAD64348:CAD64413 CJZ64348:CJZ64413 CTV64348:CTV64413 DDR64348:DDR64413 DNN64348:DNN64413 DXJ64348:DXJ64413 EHF64348:EHF64413 ERB64348:ERB64413 FAX64348:FAX64413 FKT64348:FKT64413 FUP64348:FUP64413 GEL64348:GEL64413 GOH64348:GOH64413 GYD64348:GYD64413 HHZ64348:HHZ64413 HRV64348:HRV64413 IBR64348:IBR64413 ILN64348:ILN64413 IVJ64348:IVJ64413 JFF64348:JFF64413 JPB64348:JPB64413 JYX64348:JYX64413 KIT64348:KIT64413 KSP64348:KSP64413 LCL64348:LCL64413 LMH64348:LMH64413 LWD64348:LWD64413 MFZ64348:MFZ64413 MPV64348:MPV64413 MZR64348:MZR64413 NJN64348:NJN64413 NTJ64348:NTJ64413 ODF64348:ODF64413 ONB64348:ONB64413 OWX64348:OWX64413 PGT64348:PGT64413 PQP64348:PQP64413 QAL64348:QAL64413 QKH64348:QKH64413 QUD64348:QUD64413 RDZ64348:RDZ64413 RNV64348:RNV64413 RXR64348:RXR64413 SHN64348:SHN64413 SRJ64348:SRJ64413 TBF64348:TBF64413 TLB64348:TLB64413 TUX64348:TUX64413 UET64348:UET64413 UOP64348:UOP64413 UYL64348:UYL64413 VIH64348:VIH64413 VSD64348:VSD64413 WBZ64348:WBZ64413 WLV64348:WLV64413 WVR64348:WVR64413 J129884:J129949 JF129884:JF129949 TB129884:TB129949 ACX129884:ACX129949 AMT129884:AMT129949 AWP129884:AWP129949 BGL129884:BGL129949 BQH129884:BQH129949 CAD129884:CAD129949 CJZ129884:CJZ129949 CTV129884:CTV129949 DDR129884:DDR129949 DNN129884:DNN129949 DXJ129884:DXJ129949 EHF129884:EHF129949 ERB129884:ERB129949 FAX129884:FAX129949 FKT129884:FKT129949 FUP129884:FUP129949 GEL129884:GEL129949 GOH129884:GOH129949 GYD129884:GYD129949 HHZ129884:HHZ129949 HRV129884:HRV129949 IBR129884:IBR129949 ILN129884:ILN129949 IVJ129884:IVJ129949 JFF129884:JFF129949 JPB129884:JPB129949 JYX129884:JYX129949 KIT129884:KIT129949 KSP129884:KSP129949 LCL129884:LCL129949 LMH129884:LMH129949 LWD129884:LWD129949 MFZ129884:MFZ129949 MPV129884:MPV129949 MZR129884:MZR129949 NJN129884:NJN129949 NTJ129884:NTJ129949 ODF129884:ODF129949 ONB129884:ONB129949 OWX129884:OWX129949 PGT129884:PGT129949 PQP129884:PQP129949 QAL129884:QAL129949 QKH129884:QKH129949 QUD129884:QUD129949 RDZ129884:RDZ129949 RNV129884:RNV129949 RXR129884:RXR129949 SHN129884:SHN129949 SRJ129884:SRJ129949 TBF129884:TBF129949 TLB129884:TLB129949 TUX129884:TUX129949 UET129884:UET129949 UOP129884:UOP129949 UYL129884:UYL129949 VIH129884:VIH129949 VSD129884:VSD129949 WBZ129884:WBZ129949 WLV129884:WLV129949 WVR129884:WVR129949 J195420:J195485 JF195420:JF195485 TB195420:TB195485 ACX195420:ACX195485 AMT195420:AMT195485 AWP195420:AWP195485 BGL195420:BGL195485 BQH195420:BQH195485 CAD195420:CAD195485 CJZ195420:CJZ195485 CTV195420:CTV195485 DDR195420:DDR195485 DNN195420:DNN195485 DXJ195420:DXJ195485 EHF195420:EHF195485 ERB195420:ERB195485 FAX195420:FAX195485 FKT195420:FKT195485 FUP195420:FUP195485 GEL195420:GEL195485 GOH195420:GOH195485 GYD195420:GYD195485 HHZ195420:HHZ195485 HRV195420:HRV195485 IBR195420:IBR195485 ILN195420:ILN195485 IVJ195420:IVJ195485 JFF195420:JFF195485 JPB195420:JPB195485 JYX195420:JYX195485 KIT195420:KIT195485 KSP195420:KSP195485 LCL195420:LCL195485 LMH195420:LMH195485 LWD195420:LWD195485 MFZ195420:MFZ195485 MPV195420:MPV195485 MZR195420:MZR195485 NJN195420:NJN195485 NTJ195420:NTJ195485 ODF195420:ODF195485 ONB195420:ONB195485 OWX195420:OWX195485 PGT195420:PGT195485 PQP195420:PQP195485 QAL195420:QAL195485 QKH195420:QKH195485 QUD195420:QUD195485 RDZ195420:RDZ195485 RNV195420:RNV195485 RXR195420:RXR195485 SHN195420:SHN195485 SRJ195420:SRJ195485 TBF195420:TBF195485 TLB195420:TLB195485 TUX195420:TUX195485 UET195420:UET195485 UOP195420:UOP195485 UYL195420:UYL195485 VIH195420:VIH195485 VSD195420:VSD195485 WBZ195420:WBZ195485 WLV195420:WLV195485 WVR195420:WVR195485 J260956:J261021 JF260956:JF261021 TB260956:TB261021 ACX260956:ACX261021 AMT260956:AMT261021 AWP260956:AWP261021 BGL260956:BGL261021 BQH260956:BQH261021 CAD260956:CAD261021 CJZ260956:CJZ261021 CTV260956:CTV261021 DDR260956:DDR261021 DNN260956:DNN261021 DXJ260956:DXJ261021 EHF260956:EHF261021 ERB260956:ERB261021 FAX260956:FAX261021 FKT260956:FKT261021 FUP260956:FUP261021 GEL260956:GEL261021 GOH260956:GOH261021 GYD260956:GYD261021 HHZ260956:HHZ261021 HRV260956:HRV261021 IBR260956:IBR261021 ILN260956:ILN261021 IVJ260956:IVJ261021 JFF260956:JFF261021 JPB260956:JPB261021 JYX260956:JYX261021 KIT260956:KIT261021 KSP260956:KSP261021 LCL260956:LCL261021 LMH260956:LMH261021 LWD260956:LWD261021 MFZ260956:MFZ261021 MPV260956:MPV261021 MZR260956:MZR261021 NJN260956:NJN261021 NTJ260956:NTJ261021 ODF260956:ODF261021 ONB260956:ONB261021 OWX260956:OWX261021 PGT260956:PGT261021 PQP260956:PQP261021 QAL260956:QAL261021 QKH260956:QKH261021 QUD260956:QUD261021 RDZ260956:RDZ261021 RNV260956:RNV261021 RXR260956:RXR261021 SHN260956:SHN261021 SRJ260956:SRJ261021 TBF260956:TBF261021 TLB260956:TLB261021 TUX260956:TUX261021 UET260956:UET261021 UOP260956:UOP261021 UYL260956:UYL261021 VIH260956:VIH261021 VSD260956:VSD261021 WBZ260956:WBZ261021 WLV260956:WLV261021 WVR260956:WVR261021 J326492:J326557 JF326492:JF326557 TB326492:TB326557 ACX326492:ACX326557 AMT326492:AMT326557 AWP326492:AWP326557 BGL326492:BGL326557 BQH326492:BQH326557 CAD326492:CAD326557 CJZ326492:CJZ326557 CTV326492:CTV326557 DDR326492:DDR326557 DNN326492:DNN326557 DXJ326492:DXJ326557 EHF326492:EHF326557 ERB326492:ERB326557 FAX326492:FAX326557 FKT326492:FKT326557 FUP326492:FUP326557 GEL326492:GEL326557 GOH326492:GOH326557 GYD326492:GYD326557 HHZ326492:HHZ326557 HRV326492:HRV326557 IBR326492:IBR326557 ILN326492:ILN326557 IVJ326492:IVJ326557 JFF326492:JFF326557 JPB326492:JPB326557 JYX326492:JYX326557 KIT326492:KIT326557 KSP326492:KSP326557 LCL326492:LCL326557 LMH326492:LMH326557 LWD326492:LWD326557 MFZ326492:MFZ326557 MPV326492:MPV326557 MZR326492:MZR326557 NJN326492:NJN326557 NTJ326492:NTJ326557 ODF326492:ODF326557 ONB326492:ONB326557 OWX326492:OWX326557 PGT326492:PGT326557 PQP326492:PQP326557 QAL326492:QAL326557 QKH326492:QKH326557 QUD326492:QUD326557 RDZ326492:RDZ326557 RNV326492:RNV326557 RXR326492:RXR326557 SHN326492:SHN326557 SRJ326492:SRJ326557 TBF326492:TBF326557 TLB326492:TLB326557 TUX326492:TUX326557 UET326492:UET326557 UOP326492:UOP326557 UYL326492:UYL326557 VIH326492:VIH326557 VSD326492:VSD326557 WBZ326492:WBZ326557 WLV326492:WLV326557 WVR326492:WVR326557 J392028:J392093 JF392028:JF392093 TB392028:TB392093 ACX392028:ACX392093 AMT392028:AMT392093 AWP392028:AWP392093 BGL392028:BGL392093 BQH392028:BQH392093 CAD392028:CAD392093 CJZ392028:CJZ392093 CTV392028:CTV392093 DDR392028:DDR392093 DNN392028:DNN392093 DXJ392028:DXJ392093 EHF392028:EHF392093 ERB392028:ERB392093 FAX392028:FAX392093 FKT392028:FKT392093 FUP392028:FUP392093 GEL392028:GEL392093 GOH392028:GOH392093 GYD392028:GYD392093 HHZ392028:HHZ392093 HRV392028:HRV392093 IBR392028:IBR392093 ILN392028:ILN392093 IVJ392028:IVJ392093 JFF392028:JFF392093 JPB392028:JPB392093 JYX392028:JYX392093 KIT392028:KIT392093 KSP392028:KSP392093 LCL392028:LCL392093 LMH392028:LMH392093 LWD392028:LWD392093 MFZ392028:MFZ392093 MPV392028:MPV392093 MZR392028:MZR392093 NJN392028:NJN392093 NTJ392028:NTJ392093 ODF392028:ODF392093 ONB392028:ONB392093 OWX392028:OWX392093 PGT392028:PGT392093 PQP392028:PQP392093 QAL392028:QAL392093 QKH392028:QKH392093 QUD392028:QUD392093 RDZ392028:RDZ392093 RNV392028:RNV392093 RXR392028:RXR392093 SHN392028:SHN392093 SRJ392028:SRJ392093 TBF392028:TBF392093 TLB392028:TLB392093 TUX392028:TUX392093 UET392028:UET392093 UOP392028:UOP392093 UYL392028:UYL392093 VIH392028:VIH392093 VSD392028:VSD392093 WBZ392028:WBZ392093 WLV392028:WLV392093 WVR392028:WVR392093 J457564:J457629 JF457564:JF457629 TB457564:TB457629 ACX457564:ACX457629 AMT457564:AMT457629 AWP457564:AWP457629 BGL457564:BGL457629 BQH457564:BQH457629 CAD457564:CAD457629 CJZ457564:CJZ457629 CTV457564:CTV457629 DDR457564:DDR457629 DNN457564:DNN457629 DXJ457564:DXJ457629 EHF457564:EHF457629 ERB457564:ERB457629 FAX457564:FAX457629 FKT457564:FKT457629 FUP457564:FUP457629 GEL457564:GEL457629 GOH457564:GOH457629 GYD457564:GYD457629 HHZ457564:HHZ457629 HRV457564:HRV457629 IBR457564:IBR457629 ILN457564:ILN457629 IVJ457564:IVJ457629 JFF457564:JFF457629 JPB457564:JPB457629 JYX457564:JYX457629 KIT457564:KIT457629 KSP457564:KSP457629 LCL457564:LCL457629 LMH457564:LMH457629 LWD457564:LWD457629 MFZ457564:MFZ457629 MPV457564:MPV457629 MZR457564:MZR457629 NJN457564:NJN457629 NTJ457564:NTJ457629 ODF457564:ODF457629 ONB457564:ONB457629 OWX457564:OWX457629 PGT457564:PGT457629 PQP457564:PQP457629 QAL457564:QAL457629 QKH457564:QKH457629 QUD457564:QUD457629 RDZ457564:RDZ457629 RNV457564:RNV457629 RXR457564:RXR457629 SHN457564:SHN457629 SRJ457564:SRJ457629 TBF457564:TBF457629 TLB457564:TLB457629 TUX457564:TUX457629 UET457564:UET457629 UOP457564:UOP457629 UYL457564:UYL457629 VIH457564:VIH457629 VSD457564:VSD457629 WBZ457564:WBZ457629 WLV457564:WLV457629 WVR457564:WVR457629 J523100:J523165 JF523100:JF523165 TB523100:TB523165 ACX523100:ACX523165 AMT523100:AMT523165 AWP523100:AWP523165 BGL523100:BGL523165 BQH523100:BQH523165 CAD523100:CAD523165 CJZ523100:CJZ523165 CTV523100:CTV523165 DDR523100:DDR523165 DNN523100:DNN523165 DXJ523100:DXJ523165 EHF523100:EHF523165 ERB523100:ERB523165 FAX523100:FAX523165 FKT523100:FKT523165 FUP523100:FUP523165 GEL523100:GEL523165 GOH523100:GOH523165 GYD523100:GYD523165 HHZ523100:HHZ523165 HRV523100:HRV523165 IBR523100:IBR523165 ILN523100:ILN523165 IVJ523100:IVJ523165 JFF523100:JFF523165 JPB523100:JPB523165 JYX523100:JYX523165 KIT523100:KIT523165 KSP523100:KSP523165 LCL523100:LCL523165 LMH523100:LMH523165 LWD523100:LWD523165 MFZ523100:MFZ523165 MPV523100:MPV523165 MZR523100:MZR523165 NJN523100:NJN523165 NTJ523100:NTJ523165 ODF523100:ODF523165 ONB523100:ONB523165 OWX523100:OWX523165 PGT523100:PGT523165 PQP523100:PQP523165 QAL523100:QAL523165 QKH523100:QKH523165 QUD523100:QUD523165 RDZ523100:RDZ523165 RNV523100:RNV523165 RXR523100:RXR523165 SHN523100:SHN523165 SRJ523100:SRJ523165 TBF523100:TBF523165 TLB523100:TLB523165 TUX523100:TUX523165 UET523100:UET523165 UOP523100:UOP523165 UYL523100:UYL523165 VIH523100:VIH523165 VSD523100:VSD523165 WBZ523100:WBZ523165 WLV523100:WLV523165 WVR523100:WVR523165 J588636:J588701 JF588636:JF588701 TB588636:TB588701 ACX588636:ACX588701 AMT588636:AMT588701 AWP588636:AWP588701 BGL588636:BGL588701 BQH588636:BQH588701 CAD588636:CAD588701 CJZ588636:CJZ588701 CTV588636:CTV588701 DDR588636:DDR588701 DNN588636:DNN588701 DXJ588636:DXJ588701 EHF588636:EHF588701 ERB588636:ERB588701 FAX588636:FAX588701 FKT588636:FKT588701 FUP588636:FUP588701 GEL588636:GEL588701 GOH588636:GOH588701 GYD588636:GYD588701 HHZ588636:HHZ588701 HRV588636:HRV588701 IBR588636:IBR588701 ILN588636:ILN588701 IVJ588636:IVJ588701 JFF588636:JFF588701 JPB588636:JPB588701 JYX588636:JYX588701 KIT588636:KIT588701 KSP588636:KSP588701 LCL588636:LCL588701 LMH588636:LMH588701 LWD588636:LWD588701 MFZ588636:MFZ588701 MPV588636:MPV588701 MZR588636:MZR588701 NJN588636:NJN588701 NTJ588636:NTJ588701 ODF588636:ODF588701 ONB588636:ONB588701 OWX588636:OWX588701 PGT588636:PGT588701 PQP588636:PQP588701 QAL588636:QAL588701 QKH588636:QKH588701 QUD588636:QUD588701 RDZ588636:RDZ588701 RNV588636:RNV588701 RXR588636:RXR588701 SHN588636:SHN588701 SRJ588636:SRJ588701 TBF588636:TBF588701 TLB588636:TLB588701 TUX588636:TUX588701 UET588636:UET588701 UOP588636:UOP588701 UYL588636:UYL588701 VIH588636:VIH588701 VSD588636:VSD588701 WBZ588636:WBZ588701 WLV588636:WLV588701 WVR588636:WVR588701 J654172:J654237 JF654172:JF654237 TB654172:TB654237 ACX654172:ACX654237 AMT654172:AMT654237 AWP654172:AWP654237 BGL654172:BGL654237 BQH654172:BQH654237 CAD654172:CAD654237 CJZ654172:CJZ654237 CTV654172:CTV654237 DDR654172:DDR654237 DNN654172:DNN654237 DXJ654172:DXJ654237 EHF654172:EHF654237 ERB654172:ERB654237 FAX654172:FAX654237 FKT654172:FKT654237 FUP654172:FUP654237 GEL654172:GEL654237 GOH654172:GOH654237 GYD654172:GYD654237 HHZ654172:HHZ654237 HRV654172:HRV654237 IBR654172:IBR654237 ILN654172:ILN654237 IVJ654172:IVJ654237 JFF654172:JFF654237 JPB654172:JPB654237 JYX654172:JYX654237 KIT654172:KIT654237 KSP654172:KSP654237 LCL654172:LCL654237 LMH654172:LMH654237 LWD654172:LWD654237 MFZ654172:MFZ654237 MPV654172:MPV654237 MZR654172:MZR654237 NJN654172:NJN654237 NTJ654172:NTJ654237 ODF654172:ODF654237 ONB654172:ONB654237 OWX654172:OWX654237 PGT654172:PGT654237 PQP654172:PQP654237 QAL654172:QAL654237 QKH654172:QKH654237 QUD654172:QUD654237 RDZ654172:RDZ654237 RNV654172:RNV654237 RXR654172:RXR654237 SHN654172:SHN654237 SRJ654172:SRJ654237 TBF654172:TBF654237 TLB654172:TLB654237 TUX654172:TUX654237 UET654172:UET654237 UOP654172:UOP654237 UYL654172:UYL654237 VIH654172:VIH654237 VSD654172:VSD654237 WBZ654172:WBZ654237 WLV654172:WLV654237 WVR654172:WVR654237 J719708:J719773 JF719708:JF719773 TB719708:TB719773 ACX719708:ACX719773 AMT719708:AMT719773 AWP719708:AWP719773 BGL719708:BGL719773 BQH719708:BQH719773 CAD719708:CAD719773 CJZ719708:CJZ719773 CTV719708:CTV719773 DDR719708:DDR719773 DNN719708:DNN719773 DXJ719708:DXJ719773 EHF719708:EHF719773 ERB719708:ERB719773 FAX719708:FAX719773 FKT719708:FKT719773 FUP719708:FUP719773 GEL719708:GEL719773 GOH719708:GOH719773 GYD719708:GYD719773 HHZ719708:HHZ719773 HRV719708:HRV719773 IBR719708:IBR719773 ILN719708:ILN719773 IVJ719708:IVJ719773 JFF719708:JFF719773 JPB719708:JPB719773 JYX719708:JYX719773 KIT719708:KIT719773 KSP719708:KSP719773 LCL719708:LCL719773 LMH719708:LMH719773 LWD719708:LWD719773 MFZ719708:MFZ719773 MPV719708:MPV719773 MZR719708:MZR719773 NJN719708:NJN719773 NTJ719708:NTJ719773 ODF719708:ODF719773 ONB719708:ONB719773 OWX719708:OWX719773 PGT719708:PGT719773 PQP719708:PQP719773 QAL719708:QAL719773 QKH719708:QKH719773 QUD719708:QUD719773 RDZ719708:RDZ719773 RNV719708:RNV719773 RXR719708:RXR719773 SHN719708:SHN719773 SRJ719708:SRJ719773 TBF719708:TBF719773 TLB719708:TLB719773 TUX719708:TUX719773 UET719708:UET719773 UOP719708:UOP719773 UYL719708:UYL719773 VIH719708:VIH719773 VSD719708:VSD719773 WBZ719708:WBZ719773 WLV719708:WLV719773 WVR719708:WVR719773 J785244:J785309 JF785244:JF785309 TB785244:TB785309 ACX785244:ACX785309 AMT785244:AMT785309 AWP785244:AWP785309 BGL785244:BGL785309 BQH785244:BQH785309 CAD785244:CAD785309 CJZ785244:CJZ785309 CTV785244:CTV785309 DDR785244:DDR785309 DNN785244:DNN785309 DXJ785244:DXJ785309 EHF785244:EHF785309 ERB785244:ERB785309 FAX785244:FAX785309 FKT785244:FKT785309 FUP785244:FUP785309 GEL785244:GEL785309 GOH785244:GOH785309 GYD785244:GYD785309 HHZ785244:HHZ785309 HRV785244:HRV785309 IBR785244:IBR785309 ILN785244:ILN785309 IVJ785244:IVJ785309 JFF785244:JFF785309 JPB785244:JPB785309 JYX785244:JYX785309 KIT785244:KIT785309 KSP785244:KSP785309 LCL785244:LCL785309 LMH785244:LMH785309 LWD785244:LWD785309 MFZ785244:MFZ785309 MPV785244:MPV785309 MZR785244:MZR785309 NJN785244:NJN785309 NTJ785244:NTJ785309 ODF785244:ODF785309 ONB785244:ONB785309 OWX785244:OWX785309 PGT785244:PGT785309 PQP785244:PQP785309 QAL785244:QAL785309 QKH785244:QKH785309 QUD785244:QUD785309 RDZ785244:RDZ785309 RNV785244:RNV785309 RXR785244:RXR785309 SHN785244:SHN785309 SRJ785244:SRJ785309 TBF785244:TBF785309 TLB785244:TLB785309 TUX785244:TUX785309 UET785244:UET785309 UOP785244:UOP785309 UYL785244:UYL785309 VIH785244:VIH785309 VSD785244:VSD785309 WBZ785244:WBZ785309 WLV785244:WLV785309 WVR785244:WVR785309 J850780:J850845 JF850780:JF850845 TB850780:TB850845 ACX850780:ACX850845 AMT850780:AMT850845 AWP850780:AWP850845 BGL850780:BGL850845 BQH850780:BQH850845 CAD850780:CAD850845 CJZ850780:CJZ850845 CTV850780:CTV850845 DDR850780:DDR850845 DNN850780:DNN850845 DXJ850780:DXJ850845 EHF850780:EHF850845 ERB850780:ERB850845 FAX850780:FAX850845 FKT850780:FKT850845 FUP850780:FUP850845 GEL850780:GEL850845 GOH850780:GOH850845 GYD850780:GYD850845 HHZ850780:HHZ850845 HRV850780:HRV850845 IBR850780:IBR850845 ILN850780:ILN850845 IVJ850780:IVJ850845 JFF850780:JFF850845 JPB850780:JPB850845 JYX850780:JYX850845 KIT850780:KIT850845 KSP850780:KSP850845 LCL850780:LCL850845 LMH850780:LMH850845 LWD850780:LWD850845 MFZ850780:MFZ850845 MPV850780:MPV850845 MZR850780:MZR850845 NJN850780:NJN850845 NTJ850780:NTJ850845 ODF850780:ODF850845 ONB850780:ONB850845 OWX850780:OWX850845 PGT850780:PGT850845 PQP850780:PQP850845 QAL850780:QAL850845 QKH850780:QKH850845 QUD850780:QUD850845 RDZ850780:RDZ850845 RNV850780:RNV850845 RXR850780:RXR850845 SHN850780:SHN850845 SRJ850780:SRJ850845 TBF850780:TBF850845 TLB850780:TLB850845 TUX850780:TUX850845 UET850780:UET850845 UOP850780:UOP850845 UYL850780:UYL850845 VIH850780:VIH850845 VSD850780:VSD850845 WBZ850780:WBZ850845 WLV850780:WLV850845 WVR850780:WVR850845 J916316:J916381 JF916316:JF916381 TB916316:TB916381 ACX916316:ACX916381 AMT916316:AMT916381 AWP916316:AWP916381 BGL916316:BGL916381 BQH916316:BQH916381 CAD916316:CAD916381 CJZ916316:CJZ916381 CTV916316:CTV916381 DDR916316:DDR916381 DNN916316:DNN916381 DXJ916316:DXJ916381 EHF916316:EHF916381 ERB916316:ERB916381 FAX916316:FAX916381 FKT916316:FKT916381 FUP916316:FUP916381 GEL916316:GEL916381 GOH916316:GOH916381 GYD916316:GYD916381 HHZ916316:HHZ916381 HRV916316:HRV916381 IBR916316:IBR916381 ILN916316:ILN916381 IVJ916316:IVJ916381 JFF916316:JFF916381 JPB916316:JPB916381 JYX916316:JYX916381 KIT916316:KIT916381 KSP916316:KSP916381 LCL916316:LCL916381 LMH916316:LMH916381 LWD916316:LWD916381 MFZ916316:MFZ916381 MPV916316:MPV916381 MZR916316:MZR916381 NJN916316:NJN916381 NTJ916316:NTJ916381 ODF916316:ODF916381 ONB916316:ONB916381 OWX916316:OWX916381 PGT916316:PGT916381 PQP916316:PQP916381 QAL916316:QAL916381 QKH916316:QKH916381 QUD916316:QUD916381 RDZ916316:RDZ916381 RNV916316:RNV916381 RXR916316:RXR916381 SHN916316:SHN916381 SRJ916316:SRJ916381 TBF916316:TBF916381 TLB916316:TLB916381 TUX916316:TUX916381 UET916316:UET916381 UOP916316:UOP916381 UYL916316:UYL916381 VIH916316:VIH916381 VSD916316:VSD916381 WBZ916316:WBZ916381 WLV916316:WLV916381 WVR916316:WVR916381 J981852:J981917 JF981852:JF981917 TB981852:TB981917 ACX981852:ACX981917 AMT981852:AMT981917 AWP981852:AWP981917 BGL981852:BGL981917 BQH981852:BQH981917 CAD981852:CAD981917 CJZ981852:CJZ981917 CTV981852:CTV981917 DDR981852:DDR981917 DNN981852:DNN981917 DXJ981852:DXJ981917 EHF981852:EHF981917 ERB981852:ERB981917 FAX981852:FAX981917 FKT981852:FKT981917 FUP981852:FUP981917 GEL981852:GEL981917 GOH981852:GOH981917 GYD981852:GYD981917 HHZ981852:HHZ981917 HRV981852:HRV981917 IBR981852:IBR981917 ILN981852:ILN981917 IVJ981852:IVJ981917 JFF981852:JFF981917 JPB981852:JPB981917 JYX981852:JYX981917 KIT981852:KIT981917 KSP981852:KSP981917 LCL981852:LCL981917 LMH981852:LMH981917 LWD981852:LWD981917 MFZ981852:MFZ981917 MPV981852:MPV981917 MZR981852:MZR981917 NJN981852:NJN981917 NTJ981852:NTJ981917 ODF981852:ODF981917 ONB981852:ONB981917 OWX981852:OWX981917 PGT981852:PGT981917 PQP981852:PQP981917 QAL981852:QAL981917 QKH981852:QKH981917 QUD981852:QUD981917 RDZ981852:RDZ981917 RNV981852:RNV981917 RXR981852:RXR981917 SHN981852:SHN981917 SRJ981852:SRJ981917 TBF981852:TBF981917 TLB981852:TLB981917 TUX981852:TUX981917 UET981852:UET981917 UOP981852:UOP981917 UYL981852:UYL981917 VIH981852:VIH981917 VSD981852:VSD981917 WBZ981852:WBZ981917 WLV981852:WLV981917 WVR981852:WVR981917 J1047388:J1047453 JF1047388:JF1047453 TB1047388:TB1047453 ACX1047388:ACX1047453 AMT1047388:AMT1047453 AWP1047388:AWP1047453 BGL1047388:BGL1047453 BQH1047388:BQH1047453 CAD1047388:CAD1047453 CJZ1047388:CJZ1047453 CTV1047388:CTV1047453 DDR1047388:DDR1047453 DNN1047388:DNN1047453 DXJ1047388:DXJ1047453 EHF1047388:EHF1047453 ERB1047388:ERB1047453 FAX1047388:FAX1047453 FKT1047388:FKT1047453 FUP1047388:FUP1047453 GEL1047388:GEL1047453 GOH1047388:GOH1047453 GYD1047388:GYD1047453 HHZ1047388:HHZ1047453 HRV1047388:HRV1047453 IBR1047388:IBR1047453 ILN1047388:ILN1047453 IVJ1047388:IVJ1047453 JFF1047388:JFF1047453 JPB1047388:JPB1047453 JYX1047388:JYX1047453 KIT1047388:KIT1047453 KSP1047388:KSP1047453 LCL1047388:LCL1047453 LMH1047388:LMH1047453 LWD1047388:LWD1047453 MFZ1047388:MFZ1047453 MPV1047388:MPV1047453 MZR1047388:MZR1047453 NJN1047388:NJN1047453 NTJ1047388:NTJ1047453 ODF1047388:ODF1047453 ONB1047388:ONB1047453 OWX1047388:OWX1047453 PGT1047388:PGT1047453 PQP1047388:PQP1047453 QAL1047388:QAL1047453 QKH1047388:QKH1047453 QUD1047388:QUD1047453 RDZ1047388:RDZ1047453 RNV1047388:RNV1047453 RXR1047388:RXR1047453 SHN1047388:SHN1047453 SRJ1047388:SRJ1047453 TBF1047388:TBF1047453 TLB1047388:TLB1047453 TUX1047388:TUX1047453 UET1047388:UET1047453 UOP1047388:UOP1047453 UYL1047388:UYL1047453 VIH1047388:VIH1047453 VSD1047388:VSD1047453 WBZ1047388:WBZ1047453 WLV1047388:WLV1047453 WVR1047388:WVR1047453" xr:uid="{9FFA6F71-8697-4D72-9D29-38CBF9FE9CA4}">
      <formula1>$AP$2:$AP$15</formula1>
    </dataValidation>
    <dataValidation type="list" allowBlank="1" showInputMessage="1" showErrorMessage="1" sqref="K64348:K64413 JG64348:JG64413 TC64348:TC64413 ACY64348:ACY64413 AMU64348:AMU64413 AWQ64348:AWQ64413 BGM64348:BGM64413 BQI64348:BQI64413 CAE64348:CAE64413 CKA64348:CKA64413 CTW64348:CTW64413 DDS64348:DDS64413 DNO64348:DNO64413 DXK64348:DXK64413 EHG64348:EHG64413 ERC64348:ERC64413 FAY64348:FAY64413 FKU64348:FKU64413 FUQ64348:FUQ64413 GEM64348:GEM64413 GOI64348:GOI64413 GYE64348:GYE64413 HIA64348:HIA64413 HRW64348:HRW64413 IBS64348:IBS64413 ILO64348:ILO64413 IVK64348:IVK64413 JFG64348:JFG64413 JPC64348:JPC64413 JYY64348:JYY64413 KIU64348:KIU64413 KSQ64348:KSQ64413 LCM64348:LCM64413 LMI64348:LMI64413 LWE64348:LWE64413 MGA64348:MGA64413 MPW64348:MPW64413 MZS64348:MZS64413 NJO64348:NJO64413 NTK64348:NTK64413 ODG64348:ODG64413 ONC64348:ONC64413 OWY64348:OWY64413 PGU64348:PGU64413 PQQ64348:PQQ64413 QAM64348:QAM64413 QKI64348:QKI64413 QUE64348:QUE64413 REA64348:REA64413 RNW64348:RNW64413 RXS64348:RXS64413 SHO64348:SHO64413 SRK64348:SRK64413 TBG64348:TBG64413 TLC64348:TLC64413 TUY64348:TUY64413 UEU64348:UEU64413 UOQ64348:UOQ64413 UYM64348:UYM64413 VII64348:VII64413 VSE64348:VSE64413 WCA64348:WCA64413 WLW64348:WLW64413 WVS64348:WVS64413 K129884:K129949 JG129884:JG129949 TC129884:TC129949 ACY129884:ACY129949 AMU129884:AMU129949 AWQ129884:AWQ129949 BGM129884:BGM129949 BQI129884:BQI129949 CAE129884:CAE129949 CKA129884:CKA129949 CTW129884:CTW129949 DDS129884:DDS129949 DNO129884:DNO129949 DXK129884:DXK129949 EHG129884:EHG129949 ERC129884:ERC129949 FAY129884:FAY129949 FKU129884:FKU129949 FUQ129884:FUQ129949 GEM129884:GEM129949 GOI129884:GOI129949 GYE129884:GYE129949 HIA129884:HIA129949 HRW129884:HRW129949 IBS129884:IBS129949 ILO129884:ILO129949 IVK129884:IVK129949 JFG129884:JFG129949 JPC129884:JPC129949 JYY129884:JYY129949 KIU129884:KIU129949 KSQ129884:KSQ129949 LCM129884:LCM129949 LMI129884:LMI129949 LWE129884:LWE129949 MGA129884:MGA129949 MPW129884:MPW129949 MZS129884:MZS129949 NJO129884:NJO129949 NTK129884:NTK129949 ODG129884:ODG129949 ONC129884:ONC129949 OWY129884:OWY129949 PGU129884:PGU129949 PQQ129884:PQQ129949 QAM129884:QAM129949 QKI129884:QKI129949 QUE129884:QUE129949 REA129884:REA129949 RNW129884:RNW129949 RXS129884:RXS129949 SHO129884:SHO129949 SRK129884:SRK129949 TBG129884:TBG129949 TLC129884:TLC129949 TUY129884:TUY129949 UEU129884:UEU129949 UOQ129884:UOQ129949 UYM129884:UYM129949 VII129884:VII129949 VSE129884:VSE129949 WCA129884:WCA129949 WLW129884:WLW129949 WVS129884:WVS129949 K195420:K195485 JG195420:JG195485 TC195420:TC195485 ACY195420:ACY195485 AMU195420:AMU195485 AWQ195420:AWQ195485 BGM195420:BGM195485 BQI195420:BQI195485 CAE195420:CAE195485 CKA195420:CKA195485 CTW195420:CTW195485 DDS195420:DDS195485 DNO195420:DNO195485 DXK195420:DXK195485 EHG195420:EHG195485 ERC195420:ERC195485 FAY195420:FAY195485 FKU195420:FKU195485 FUQ195420:FUQ195485 GEM195420:GEM195485 GOI195420:GOI195485 GYE195420:GYE195485 HIA195420:HIA195485 HRW195420:HRW195485 IBS195420:IBS195485 ILO195420:ILO195485 IVK195420:IVK195485 JFG195420:JFG195485 JPC195420:JPC195485 JYY195420:JYY195485 KIU195420:KIU195485 KSQ195420:KSQ195485 LCM195420:LCM195485 LMI195420:LMI195485 LWE195420:LWE195485 MGA195420:MGA195485 MPW195420:MPW195485 MZS195420:MZS195485 NJO195420:NJO195485 NTK195420:NTK195485 ODG195420:ODG195485 ONC195420:ONC195485 OWY195420:OWY195485 PGU195420:PGU195485 PQQ195420:PQQ195485 QAM195420:QAM195485 QKI195420:QKI195485 QUE195420:QUE195485 REA195420:REA195485 RNW195420:RNW195485 RXS195420:RXS195485 SHO195420:SHO195485 SRK195420:SRK195485 TBG195420:TBG195485 TLC195420:TLC195485 TUY195420:TUY195485 UEU195420:UEU195485 UOQ195420:UOQ195485 UYM195420:UYM195485 VII195420:VII195485 VSE195420:VSE195485 WCA195420:WCA195485 WLW195420:WLW195485 WVS195420:WVS195485 K260956:K261021 JG260956:JG261021 TC260956:TC261021 ACY260956:ACY261021 AMU260956:AMU261021 AWQ260956:AWQ261021 BGM260956:BGM261021 BQI260956:BQI261021 CAE260956:CAE261021 CKA260956:CKA261021 CTW260956:CTW261021 DDS260956:DDS261021 DNO260956:DNO261021 DXK260956:DXK261021 EHG260956:EHG261021 ERC260956:ERC261021 FAY260956:FAY261021 FKU260956:FKU261021 FUQ260956:FUQ261021 GEM260956:GEM261021 GOI260956:GOI261021 GYE260956:GYE261021 HIA260956:HIA261021 HRW260956:HRW261021 IBS260956:IBS261021 ILO260956:ILO261021 IVK260956:IVK261021 JFG260956:JFG261021 JPC260956:JPC261021 JYY260956:JYY261021 KIU260956:KIU261021 KSQ260956:KSQ261021 LCM260956:LCM261021 LMI260956:LMI261021 LWE260956:LWE261021 MGA260956:MGA261021 MPW260956:MPW261021 MZS260956:MZS261021 NJO260956:NJO261021 NTK260956:NTK261021 ODG260956:ODG261021 ONC260956:ONC261021 OWY260956:OWY261021 PGU260956:PGU261021 PQQ260956:PQQ261021 QAM260956:QAM261021 QKI260956:QKI261021 QUE260956:QUE261021 REA260956:REA261021 RNW260956:RNW261021 RXS260956:RXS261021 SHO260956:SHO261021 SRK260956:SRK261021 TBG260956:TBG261021 TLC260956:TLC261021 TUY260956:TUY261021 UEU260956:UEU261021 UOQ260956:UOQ261021 UYM260956:UYM261021 VII260956:VII261021 VSE260956:VSE261021 WCA260956:WCA261021 WLW260956:WLW261021 WVS260956:WVS261021 K326492:K326557 JG326492:JG326557 TC326492:TC326557 ACY326492:ACY326557 AMU326492:AMU326557 AWQ326492:AWQ326557 BGM326492:BGM326557 BQI326492:BQI326557 CAE326492:CAE326557 CKA326492:CKA326557 CTW326492:CTW326557 DDS326492:DDS326557 DNO326492:DNO326557 DXK326492:DXK326557 EHG326492:EHG326557 ERC326492:ERC326557 FAY326492:FAY326557 FKU326492:FKU326557 FUQ326492:FUQ326557 GEM326492:GEM326557 GOI326492:GOI326557 GYE326492:GYE326557 HIA326492:HIA326557 HRW326492:HRW326557 IBS326492:IBS326557 ILO326492:ILO326557 IVK326492:IVK326557 JFG326492:JFG326557 JPC326492:JPC326557 JYY326492:JYY326557 KIU326492:KIU326557 KSQ326492:KSQ326557 LCM326492:LCM326557 LMI326492:LMI326557 LWE326492:LWE326557 MGA326492:MGA326557 MPW326492:MPW326557 MZS326492:MZS326557 NJO326492:NJO326557 NTK326492:NTK326557 ODG326492:ODG326557 ONC326492:ONC326557 OWY326492:OWY326557 PGU326492:PGU326557 PQQ326492:PQQ326557 QAM326492:QAM326557 QKI326492:QKI326557 QUE326492:QUE326557 REA326492:REA326557 RNW326492:RNW326557 RXS326492:RXS326557 SHO326492:SHO326557 SRK326492:SRK326557 TBG326492:TBG326557 TLC326492:TLC326557 TUY326492:TUY326557 UEU326492:UEU326557 UOQ326492:UOQ326557 UYM326492:UYM326557 VII326492:VII326557 VSE326492:VSE326557 WCA326492:WCA326557 WLW326492:WLW326557 WVS326492:WVS326557 K392028:K392093 JG392028:JG392093 TC392028:TC392093 ACY392028:ACY392093 AMU392028:AMU392093 AWQ392028:AWQ392093 BGM392028:BGM392093 BQI392028:BQI392093 CAE392028:CAE392093 CKA392028:CKA392093 CTW392028:CTW392093 DDS392028:DDS392093 DNO392028:DNO392093 DXK392028:DXK392093 EHG392028:EHG392093 ERC392028:ERC392093 FAY392028:FAY392093 FKU392028:FKU392093 FUQ392028:FUQ392093 GEM392028:GEM392093 GOI392028:GOI392093 GYE392028:GYE392093 HIA392028:HIA392093 HRW392028:HRW392093 IBS392028:IBS392093 ILO392028:ILO392093 IVK392028:IVK392093 JFG392028:JFG392093 JPC392028:JPC392093 JYY392028:JYY392093 KIU392028:KIU392093 KSQ392028:KSQ392093 LCM392028:LCM392093 LMI392028:LMI392093 LWE392028:LWE392093 MGA392028:MGA392093 MPW392028:MPW392093 MZS392028:MZS392093 NJO392028:NJO392093 NTK392028:NTK392093 ODG392028:ODG392093 ONC392028:ONC392093 OWY392028:OWY392093 PGU392028:PGU392093 PQQ392028:PQQ392093 QAM392028:QAM392093 QKI392028:QKI392093 QUE392028:QUE392093 REA392028:REA392093 RNW392028:RNW392093 RXS392028:RXS392093 SHO392028:SHO392093 SRK392028:SRK392093 TBG392028:TBG392093 TLC392028:TLC392093 TUY392028:TUY392093 UEU392028:UEU392093 UOQ392028:UOQ392093 UYM392028:UYM392093 VII392028:VII392093 VSE392028:VSE392093 WCA392028:WCA392093 WLW392028:WLW392093 WVS392028:WVS392093 K457564:K457629 JG457564:JG457629 TC457564:TC457629 ACY457564:ACY457629 AMU457564:AMU457629 AWQ457564:AWQ457629 BGM457564:BGM457629 BQI457564:BQI457629 CAE457564:CAE457629 CKA457564:CKA457629 CTW457564:CTW457629 DDS457564:DDS457629 DNO457564:DNO457629 DXK457564:DXK457629 EHG457564:EHG457629 ERC457564:ERC457629 FAY457564:FAY457629 FKU457564:FKU457629 FUQ457564:FUQ457629 GEM457564:GEM457629 GOI457564:GOI457629 GYE457564:GYE457629 HIA457564:HIA457629 HRW457564:HRW457629 IBS457564:IBS457629 ILO457564:ILO457629 IVK457564:IVK457629 JFG457564:JFG457629 JPC457564:JPC457629 JYY457564:JYY457629 KIU457564:KIU457629 KSQ457564:KSQ457629 LCM457564:LCM457629 LMI457564:LMI457629 LWE457564:LWE457629 MGA457564:MGA457629 MPW457564:MPW457629 MZS457564:MZS457629 NJO457564:NJO457629 NTK457564:NTK457629 ODG457564:ODG457629 ONC457564:ONC457629 OWY457564:OWY457629 PGU457564:PGU457629 PQQ457564:PQQ457629 QAM457564:QAM457629 QKI457564:QKI457629 QUE457564:QUE457629 REA457564:REA457629 RNW457564:RNW457629 RXS457564:RXS457629 SHO457564:SHO457629 SRK457564:SRK457629 TBG457564:TBG457629 TLC457564:TLC457629 TUY457564:TUY457629 UEU457564:UEU457629 UOQ457564:UOQ457629 UYM457564:UYM457629 VII457564:VII457629 VSE457564:VSE457629 WCA457564:WCA457629 WLW457564:WLW457629 WVS457564:WVS457629 K523100:K523165 JG523100:JG523165 TC523100:TC523165 ACY523100:ACY523165 AMU523100:AMU523165 AWQ523100:AWQ523165 BGM523100:BGM523165 BQI523100:BQI523165 CAE523100:CAE523165 CKA523100:CKA523165 CTW523100:CTW523165 DDS523100:DDS523165 DNO523100:DNO523165 DXK523100:DXK523165 EHG523100:EHG523165 ERC523100:ERC523165 FAY523100:FAY523165 FKU523100:FKU523165 FUQ523100:FUQ523165 GEM523100:GEM523165 GOI523100:GOI523165 GYE523100:GYE523165 HIA523100:HIA523165 HRW523100:HRW523165 IBS523100:IBS523165 ILO523100:ILO523165 IVK523100:IVK523165 JFG523100:JFG523165 JPC523100:JPC523165 JYY523100:JYY523165 KIU523100:KIU523165 KSQ523100:KSQ523165 LCM523100:LCM523165 LMI523100:LMI523165 LWE523100:LWE523165 MGA523100:MGA523165 MPW523100:MPW523165 MZS523100:MZS523165 NJO523100:NJO523165 NTK523100:NTK523165 ODG523100:ODG523165 ONC523100:ONC523165 OWY523100:OWY523165 PGU523100:PGU523165 PQQ523100:PQQ523165 QAM523100:QAM523165 QKI523100:QKI523165 QUE523100:QUE523165 REA523100:REA523165 RNW523100:RNW523165 RXS523100:RXS523165 SHO523100:SHO523165 SRK523100:SRK523165 TBG523100:TBG523165 TLC523100:TLC523165 TUY523100:TUY523165 UEU523100:UEU523165 UOQ523100:UOQ523165 UYM523100:UYM523165 VII523100:VII523165 VSE523100:VSE523165 WCA523100:WCA523165 WLW523100:WLW523165 WVS523100:WVS523165 K588636:K588701 JG588636:JG588701 TC588636:TC588701 ACY588636:ACY588701 AMU588636:AMU588701 AWQ588636:AWQ588701 BGM588636:BGM588701 BQI588636:BQI588701 CAE588636:CAE588701 CKA588636:CKA588701 CTW588636:CTW588701 DDS588636:DDS588701 DNO588636:DNO588701 DXK588636:DXK588701 EHG588636:EHG588701 ERC588636:ERC588701 FAY588636:FAY588701 FKU588636:FKU588701 FUQ588636:FUQ588701 GEM588636:GEM588701 GOI588636:GOI588701 GYE588636:GYE588701 HIA588636:HIA588701 HRW588636:HRW588701 IBS588636:IBS588701 ILO588636:ILO588701 IVK588636:IVK588701 JFG588636:JFG588701 JPC588636:JPC588701 JYY588636:JYY588701 KIU588636:KIU588701 KSQ588636:KSQ588701 LCM588636:LCM588701 LMI588636:LMI588701 LWE588636:LWE588701 MGA588636:MGA588701 MPW588636:MPW588701 MZS588636:MZS588701 NJO588636:NJO588701 NTK588636:NTK588701 ODG588636:ODG588701 ONC588636:ONC588701 OWY588636:OWY588701 PGU588636:PGU588701 PQQ588636:PQQ588701 QAM588636:QAM588701 QKI588636:QKI588701 QUE588636:QUE588701 REA588636:REA588701 RNW588636:RNW588701 RXS588636:RXS588701 SHO588636:SHO588701 SRK588636:SRK588701 TBG588636:TBG588701 TLC588636:TLC588701 TUY588636:TUY588701 UEU588636:UEU588701 UOQ588636:UOQ588701 UYM588636:UYM588701 VII588636:VII588701 VSE588636:VSE588701 WCA588636:WCA588701 WLW588636:WLW588701 WVS588636:WVS588701 K654172:K654237 JG654172:JG654237 TC654172:TC654237 ACY654172:ACY654237 AMU654172:AMU654237 AWQ654172:AWQ654237 BGM654172:BGM654237 BQI654172:BQI654237 CAE654172:CAE654237 CKA654172:CKA654237 CTW654172:CTW654237 DDS654172:DDS654237 DNO654172:DNO654237 DXK654172:DXK654237 EHG654172:EHG654237 ERC654172:ERC654237 FAY654172:FAY654237 FKU654172:FKU654237 FUQ654172:FUQ654237 GEM654172:GEM654237 GOI654172:GOI654237 GYE654172:GYE654237 HIA654172:HIA654237 HRW654172:HRW654237 IBS654172:IBS654237 ILO654172:ILO654237 IVK654172:IVK654237 JFG654172:JFG654237 JPC654172:JPC654237 JYY654172:JYY654237 KIU654172:KIU654237 KSQ654172:KSQ654237 LCM654172:LCM654237 LMI654172:LMI654237 LWE654172:LWE654237 MGA654172:MGA654237 MPW654172:MPW654237 MZS654172:MZS654237 NJO654172:NJO654237 NTK654172:NTK654237 ODG654172:ODG654237 ONC654172:ONC654237 OWY654172:OWY654237 PGU654172:PGU654237 PQQ654172:PQQ654237 QAM654172:QAM654237 QKI654172:QKI654237 QUE654172:QUE654237 REA654172:REA654237 RNW654172:RNW654237 RXS654172:RXS654237 SHO654172:SHO654237 SRK654172:SRK654237 TBG654172:TBG654237 TLC654172:TLC654237 TUY654172:TUY654237 UEU654172:UEU654237 UOQ654172:UOQ654237 UYM654172:UYM654237 VII654172:VII654237 VSE654172:VSE654237 WCA654172:WCA654237 WLW654172:WLW654237 WVS654172:WVS654237 K719708:K719773 JG719708:JG719773 TC719708:TC719773 ACY719708:ACY719773 AMU719708:AMU719773 AWQ719708:AWQ719773 BGM719708:BGM719773 BQI719708:BQI719773 CAE719708:CAE719773 CKA719708:CKA719773 CTW719708:CTW719773 DDS719708:DDS719773 DNO719708:DNO719773 DXK719708:DXK719773 EHG719708:EHG719773 ERC719708:ERC719773 FAY719708:FAY719773 FKU719708:FKU719773 FUQ719708:FUQ719773 GEM719708:GEM719773 GOI719708:GOI719773 GYE719708:GYE719773 HIA719708:HIA719773 HRW719708:HRW719773 IBS719708:IBS719773 ILO719708:ILO719773 IVK719708:IVK719773 JFG719708:JFG719773 JPC719708:JPC719773 JYY719708:JYY719773 KIU719708:KIU719773 KSQ719708:KSQ719773 LCM719708:LCM719773 LMI719708:LMI719773 LWE719708:LWE719773 MGA719708:MGA719773 MPW719708:MPW719773 MZS719708:MZS719773 NJO719708:NJO719773 NTK719708:NTK719773 ODG719708:ODG719773 ONC719708:ONC719773 OWY719708:OWY719773 PGU719708:PGU719773 PQQ719708:PQQ719773 QAM719708:QAM719773 QKI719708:QKI719773 QUE719708:QUE719773 REA719708:REA719773 RNW719708:RNW719773 RXS719708:RXS719773 SHO719708:SHO719773 SRK719708:SRK719773 TBG719708:TBG719773 TLC719708:TLC719773 TUY719708:TUY719773 UEU719708:UEU719773 UOQ719708:UOQ719773 UYM719708:UYM719773 VII719708:VII719773 VSE719708:VSE719773 WCA719708:WCA719773 WLW719708:WLW719773 WVS719708:WVS719773 K785244:K785309 JG785244:JG785309 TC785244:TC785309 ACY785244:ACY785309 AMU785244:AMU785309 AWQ785244:AWQ785309 BGM785244:BGM785309 BQI785244:BQI785309 CAE785244:CAE785309 CKA785244:CKA785309 CTW785244:CTW785309 DDS785244:DDS785309 DNO785244:DNO785309 DXK785244:DXK785309 EHG785244:EHG785309 ERC785244:ERC785309 FAY785244:FAY785309 FKU785244:FKU785309 FUQ785244:FUQ785309 GEM785244:GEM785309 GOI785244:GOI785309 GYE785244:GYE785309 HIA785244:HIA785309 HRW785244:HRW785309 IBS785244:IBS785309 ILO785244:ILO785309 IVK785244:IVK785309 JFG785244:JFG785309 JPC785244:JPC785309 JYY785244:JYY785309 KIU785244:KIU785309 KSQ785244:KSQ785309 LCM785244:LCM785309 LMI785244:LMI785309 LWE785244:LWE785309 MGA785244:MGA785309 MPW785244:MPW785309 MZS785244:MZS785309 NJO785244:NJO785309 NTK785244:NTK785309 ODG785244:ODG785309 ONC785244:ONC785309 OWY785244:OWY785309 PGU785244:PGU785309 PQQ785244:PQQ785309 QAM785244:QAM785309 QKI785244:QKI785309 QUE785244:QUE785309 REA785244:REA785309 RNW785244:RNW785309 RXS785244:RXS785309 SHO785244:SHO785309 SRK785244:SRK785309 TBG785244:TBG785309 TLC785244:TLC785309 TUY785244:TUY785309 UEU785244:UEU785309 UOQ785244:UOQ785309 UYM785244:UYM785309 VII785244:VII785309 VSE785244:VSE785309 WCA785244:WCA785309 WLW785244:WLW785309 WVS785244:WVS785309 K850780:K850845 JG850780:JG850845 TC850780:TC850845 ACY850780:ACY850845 AMU850780:AMU850845 AWQ850780:AWQ850845 BGM850780:BGM850845 BQI850780:BQI850845 CAE850780:CAE850845 CKA850780:CKA850845 CTW850780:CTW850845 DDS850780:DDS850845 DNO850780:DNO850845 DXK850780:DXK850845 EHG850780:EHG850845 ERC850780:ERC850845 FAY850780:FAY850845 FKU850780:FKU850845 FUQ850780:FUQ850845 GEM850780:GEM850845 GOI850780:GOI850845 GYE850780:GYE850845 HIA850780:HIA850845 HRW850780:HRW850845 IBS850780:IBS850845 ILO850780:ILO850845 IVK850780:IVK850845 JFG850780:JFG850845 JPC850780:JPC850845 JYY850780:JYY850845 KIU850780:KIU850845 KSQ850780:KSQ850845 LCM850780:LCM850845 LMI850780:LMI850845 LWE850780:LWE850845 MGA850780:MGA850845 MPW850780:MPW850845 MZS850780:MZS850845 NJO850780:NJO850845 NTK850780:NTK850845 ODG850780:ODG850845 ONC850780:ONC850845 OWY850780:OWY850845 PGU850780:PGU850845 PQQ850780:PQQ850845 QAM850780:QAM850845 QKI850780:QKI850845 QUE850780:QUE850845 REA850780:REA850845 RNW850780:RNW850845 RXS850780:RXS850845 SHO850780:SHO850845 SRK850780:SRK850845 TBG850780:TBG850845 TLC850780:TLC850845 TUY850780:TUY850845 UEU850780:UEU850845 UOQ850780:UOQ850845 UYM850780:UYM850845 VII850780:VII850845 VSE850780:VSE850845 WCA850780:WCA850845 WLW850780:WLW850845 WVS850780:WVS850845 K916316:K916381 JG916316:JG916381 TC916316:TC916381 ACY916316:ACY916381 AMU916316:AMU916381 AWQ916316:AWQ916381 BGM916316:BGM916381 BQI916316:BQI916381 CAE916316:CAE916381 CKA916316:CKA916381 CTW916316:CTW916381 DDS916316:DDS916381 DNO916316:DNO916381 DXK916316:DXK916381 EHG916316:EHG916381 ERC916316:ERC916381 FAY916316:FAY916381 FKU916316:FKU916381 FUQ916316:FUQ916381 GEM916316:GEM916381 GOI916316:GOI916381 GYE916316:GYE916381 HIA916316:HIA916381 HRW916316:HRW916381 IBS916316:IBS916381 ILO916316:ILO916381 IVK916316:IVK916381 JFG916316:JFG916381 JPC916316:JPC916381 JYY916316:JYY916381 KIU916316:KIU916381 KSQ916316:KSQ916381 LCM916316:LCM916381 LMI916316:LMI916381 LWE916316:LWE916381 MGA916316:MGA916381 MPW916316:MPW916381 MZS916316:MZS916381 NJO916316:NJO916381 NTK916316:NTK916381 ODG916316:ODG916381 ONC916316:ONC916381 OWY916316:OWY916381 PGU916316:PGU916381 PQQ916316:PQQ916381 QAM916316:QAM916381 QKI916316:QKI916381 QUE916316:QUE916381 REA916316:REA916381 RNW916316:RNW916381 RXS916316:RXS916381 SHO916316:SHO916381 SRK916316:SRK916381 TBG916316:TBG916381 TLC916316:TLC916381 TUY916316:TUY916381 UEU916316:UEU916381 UOQ916316:UOQ916381 UYM916316:UYM916381 VII916316:VII916381 VSE916316:VSE916381 WCA916316:WCA916381 WLW916316:WLW916381 WVS916316:WVS916381 K981852:K981917 JG981852:JG981917 TC981852:TC981917 ACY981852:ACY981917 AMU981852:AMU981917 AWQ981852:AWQ981917 BGM981852:BGM981917 BQI981852:BQI981917 CAE981852:CAE981917 CKA981852:CKA981917 CTW981852:CTW981917 DDS981852:DDS981917 DNO981852:DNO981917 DXK981852:DXK981917 EHG981852:EHG981917 ERC981852:ERC981917 FAY981852:FAY981917 FKU981852:FKU981917 FUQ981852:FUQ981917 GEM981852:GEM981917 GOI981852:GOI981917 GYE981852:GYE981917 HIA981852:HIA981917 HRW981852:HRW981917 IBS981852:IBS981917 ILO981852:ILO981917 IVK981852:IVK981917 JFG981852:JFG981917 JPC981852:JPC981917 JYY981852:JYY981917 KIU981852:KIU981917 KSQ981852:KSQ981917 LCM981852:LCM981917 LMI981852:LMI981917 LWE981852:LWE981917 MGA981852:MGA981917 MPW981852:MPW981917 MZS981852:MZS981917 NJO981852:NJO981917 NTK981852:NTK981917 ODG981852:ODG981917 ONC981852:ONC981917 OWY981852:OWY981917 PGU981852:PGU981917 PQQ981852:PQQ981917 QAM981852:QAM981917 QKI981852:QKI981917 QUE981852:QUE981917 REA981852:REA981917 RNW981852:RNW981917 RXS981852:RXS981917 SHO981852:SHO981917 SRK981852:SRK981917 TBG981852:TBG981917 TLC981852:TLC981917 TUY981852:TUY981917 UEU981852:UEU981917 UOQ981852:UOQ981917 UYM981852:UYM981917 VII981852:VII981917 VSE981852:VSE981917 WCA981852:WCA981917 WLW981852:WLW981917 WVS981852:WVS981917 K1047388:K1047453 JG1047388:JG1047453 TC1047388:TC1047453 ACY1047388:ACY1047453 AMU1047388:AMU1047453 AWQ1047388:AWQ1047453 BGM1047388:BGM1047453 BQI1047388:BQI1047453 CAE1047388:CAE1047453 CKA1047388:CKA1047453 CTW1047388:CTW1047453 DDS1047388:DDS1047453 DNO1047388:DNO1047453 DXK1047388:DXK1047453 EHG1047388:EHG1047453 ERC1047388:ERC1047453 FAY1047388:FAY1047453 FKU1047388:FKU1047453 FUQ1047388:FUQ1047453 GEM1047388:GEM1047453 GOI1047388:GOI1047453 GYE1047388:GYE1047453 HIA1047388:HIA1047453 HRW1047388:HRW1047453 IBS1047388:IBS1047453 ILO1047388:ILO1047453 IVK1047388:IVK1047453 JFG1047388:JFG1047453 JPC1047388:JPC1047453 JYY1047388:JYY1047453 KIU1047388:KIU1047453 KSQ1047388:KSQ1047453 LCM1047388:LCM1047453 LMI1047388:LMI1047453 LWE1047388:LWE1047453 MGA1047388:MGA1047453 MPW1047388:MPW1047453 MZS1047388:MZS1047453 NJO1047388:NJO1047453 NTK1047388:NTK1047453 ODG1047388:ODG1047453 ONC1047388:ONC1047453 OWY1047388:OWY1047453 PGU1047388:PGU1047453 PQQ1047388:PQQ1047453 QAM1047388:QAM1047453 QKI1047388:QKI1047453 QUE1047388:QUE1047453 REA1047388:REA1047453 RNW1047388:RNW1047453 RXS1047388:RXS1047453 SHO1047388:SHO1047453 SRK1047388:SRK1047453 TBG1047388:TBG1047453 TLC1047388:TLC1047453 TUY1047388:TUY1047453 UEU1047388:UEU1047453 UOQ1047388:UOQ1047453 UYM1047388:UYM1047453 VII1047388:VII1047453 VSE1047388:VSE1047453 WCA1047388:WCA1047453 WLW1047388:WLW1047453 WVS1047388:WVS1047453" xr:uid="{2E04E383-A202-4357-8212-9C992EF57E08}">
      <formula1>$AR$2:$AR$24</formula1>
    </dataValidation>
    <dataValidation type="list" allowBlank="1" showInputMessage="1" showErrorMessage="1" sqref="Y64348:AA64413 JU64348:JW64413 TQ64348:TS64413 ADM64348:ADO64413 ANI64348:ANK64413 AXE64348:AXG64413 BHA64348:BHC64413 BQW64348:BQY64413 CAS64348:CAU64413 CKO64348:CKQ64413 CUK64348:CUM64413 DEG64348:DEI64413 DOC64348:DOE64413 DXY64348:DYA64413 EHU64348:EHW64413 ERQ64348:ERS64413 FBM64348:FBO64413 FLI64348:FLK64413 FVE64348:FVG64413 GFA64348:GFC64413 GOW64348:GOY64413 GYS64348:GYU64413 HIO64348:HIQ64413 HSK64348:HSM64413 ICG64348:ICI64413 IMC64348:IME64413 IVY64348:IWA64413 JFU64348:JFW64413 JPQ64348:JPS64413 JZM64348:JZO64413 KJI64348:KJK64413 KTE64348:KTG64413 LDA64348:LDC64413 LMW64348:LMY64413 LWS64348:LWU64413 MGO64348:MGQ64413 MQK64348:MQM64413 NAG64348:NAI64413 NKC64348:NKE64413 NTY64348:NUA64413 ODU64348:ODW64413 ONQ64348:ONS64413 OXM64348:OXO64413 PHI64348:PHK64413 PRE64348:PRG64413 QBA64348:QBC64413 QKW64348:QKY64413 QUS64348:QUU64413 REO64348:REQ64413 ROK64348:ROM64413 RYG64348:RYI64413 SIC64348:SIE64413 SRY64348:SSA64413 TBU64348:TBW64413 TLQ64348:TLS64413 TVM64348:TVO64413 UFI64348:UFK64413 UPE64348:UPG64413 UZA64348:UZC64413 VIW64348:VIY64413 VSS64348:VSU64413 WCO64348:WCQ64413 WMK64348:WMM64413 WWG64348:WWI64413 Y129884:AA129949 JU129884:JW129949 TQ129884:TS129949 ADM129884:ADO129949 ANI129884:ANK129949 AXE129884:AXG129949 BHA129884:BHC129949 BQW129884:BQY129949 CAS129884:CAU129949 CKO129884:CKQ129949 CUK129884:CUM129949 DEG129884:DEI129949 DOC129884:DOE129949 DXY129884:DYA129949 EHU129884:EHW129949 ERQ129884:ERS129949 FBM129884:FBO129949 FLI129884:FLK129949 FVE129884:FVG129949 GFA129884:GFC129949 GOW129884:GOY129949 GYS129884:GYU129949 HIO129884:HIQ129949 HSK129884:HSM129949 ICG129884:ICI129949 IMC129884:IME129949 IVY129884:IWA129949 JFU129884:JFW129949 JPQ129884:JPS129949 JZM129884:JZO129949 KJI129884:KJK129949 KTE129884:KTG129949 LDA129884:LDC129949 LMW129884:LMY129949 LWS129884:LWU129949 MGO129884:MGQ129949 MQK129884:MQM129949 NAG129884:NAI129949 NKC129884:NKE129949 NTY129884:NUA129949 ODU129884:ODW129949 ONQ129884:ONS129949 OXM129884:OXO129949 PHI129884:PHK129949 PRE129884:PRG129949 QBA129884:QBC129949 QKW129884:QKY129949 QUS129884:QUU129949 REO129884:REQ129949 ROK129884:ROM129949 RYG129884:RYI129949 SIC129884:SIE129949 SRY129884:SSA129949 TBU129884:TBW129949 TLQ129884:TLS129949 TVM129884:TVO129949 UFI129884:UFK129949 UPE129884:UPG129949 UZA129884:UZC129949 VIW129884:VIY129949 VSS129884:VSU129949 WCO129884:WCQ129949 WMK129884:WMM129949 WWG129884:WWI129949 Y195420:AA195485 JU195420:JW195485 TQ195420:TS195485 ADM195420:ADO195485 ANI195420:ANK195485 AXE195420:AXG195485 BHA195420:BHC195485 BQW195420:BQY195485 CAS195420:CAU195485 CKO195420:CKQ195485 CUK195420:CUM195485 DEG195420:DEI195485 DOC195420:DOE195485 DXY195420:DYA195485 EHU195420:EHW195485 ERQ195420:ERS195485 FBM195420:FBO195485 FLI195420:FLK195485 FVE195420:FVG195485 GFA195420:GFC195485 GOW195420:GOY195485 GYS195420:GYU195485 HIO195420:HIQ195485 HSK195420:HSM195485 ICG195420:ICI195485 IMC195420:IME195485 IVY195420:IWA195485 JFU195420:JFW195485 JPQ195420:JPS195485 JZM195420:JZO195485 KJI195420:KJK195485 KTE195420:KTG195485 LDA195420:LDC195485 LMW195420:LMY195485 LWS195420:LWU195485 MGO195420:MGQ195485 MQK195420:MQM195485 NAG195420:NAI195485 NKC195420:NKE195485 NTY195420:NUA195485 ODU195420:ODW195485 ONQ195420:ONS195485 OXM195420:OXO195485 PHI195420:PHK195485 PRE195420:PRG195485 QBA195420:QBC195485 QKW195420:QKY195485 QUS195420:QUU195485 REO195420:REQ195485 ROK195420:ROM195485 RYG195420:RYI195485 SIC195420:SIE195485 SRY195420:SSA195485 TBU195420:TBW195485 TLQ195420:TLS195485 TVM195420:TVO195485 UFI195420:UFK195485 UPE195420:UPG195485 UZA195420:UZC195485 VIW195420:VIY195485 VSS195420:VSU195485 WCO195420:WCQ195485 WMK195420:WMM195485 WWG195420:WWI195485 Y260956:AA261021 JU260956:JW261021 TQ260956:TS261021 ADM260956:ADO261021 ANI260956:ANK261021 AXE260956:AXG261021 BHA260956:BHC261021 BQW260956:BQY261021 CAS260956:CAU261021 CKO260956:CKQ261021 CUK260956:CUM261021 DEG260956:DEI261021 DOC260956:DOE261021 DXY260956:DYA261021 EHU260956:EHW261021 ERQ260956:ERS261021 FBM260956:FBO261021 FLI260956:FLK261021 FVE260956:FVG261021 GFA260956:GFC261021 GOW260956:GOY261021 GYS260956:GYU261021 HIO260956:HIQ261021 HSK260956:HSM261021 ICG260956:ICI261021 IMC260956:IME261021 IVY260956:IWA261021 JFU260956:JFW261021 JPQ260956:JPS261021 JZM260956:JZO261021 KJI260956:KJK261021 KTE260956:KTG261021 LDA260956:LDC261021 LMW260956:LMY261021 LWS260956:LWU261021 MGO260956:MGQ261021 MQK260956:MQM261021 NAG260956:NAI261021 NKC260956:NKE261021 NTY260956:NUA261021 ODU260956:ODW261021 ONQ260956:ONS261021 OXM260956:OXO261021 PHI260956:PHK261021 PRE260956:PRG261021 QBA260956:QBC261021 QKW260956:QKY261021 QUS260956:QUU261021 REO260956:REQ261021 ROK260956:ROM261021 RYG260956:RYI261021 SIC260956:SIE261021 SRY260956:SSA261021 TBU260956:TBW261021 TLQ260956:TLS261021 TVM260956:TVO261021 UFI260956:UFK261021 UPE260956:UPG261021 UZA260956:UZC261021 VIW260956:VIY261021 VSS260956:VSU261021 WCO260956:WCQ261021 WMK260956:WMM261021 WWG260956:WWI261021 Y326492:AA326557 JU326492:JW326557 TQ326492:TS326557 ADM326492:ADO326557 ANI326492:ANK326557 AXE326492:AXG326557 BHA326492:BHC326557 BQW326492:BQY326557 CAS326492:CAU326557 CKO326492:CKQ326557 CUK326492:CUM326557 DEG326492:DEI326557 DOC326492:DOE326557 DXY326492:DYA326557 EHU326492:EHW326557 ERQ326492:ERS326557 FBM326492:FBO326557 FLI326492:FLK326557 FVE326492:FVG326557 GFA326492:GFC326557 GOW326492:GOY326557 GYS326492:GYU326557 HIO326492:HIQ326557 HSK326492:HSM326557 ICG326492:ICI326557 IMC326492:IME326557 IVY326492:IWA326557 JFU326492:JFW326557 JPQ326492:JPS326557 JZM326492:JZO326557 KJI326492:KJK326557 KTE326492:KTG326557 LDA326492:LDC326557 LMW326492:LMY326557 LWS326492:LWU326557 MGO326492:MGQ326557 MQK326492:MQM326557 NAG326492:NAI326557 NKC326492:NKE326557 NTY326492:NUA326557 ODU326492:ODW326557 ONQ326492:ONS326557 OXM326492:OXO326557 PHI326492:PHK326557 PRE326492:PRG326557 QBA326492:QBC326557 QKW326492:QKY326557 QUS326492:QUU326557 REO326492:REQ326557 ROK326492:ROM326557 RYG326492:RYI326557 SIC326492:SIE326557 SRY326492:SSA326557 TBU326492:TBW326557 TLQ326492:TLS326557 TVM326492:TVO326557 UFI326492:UFK326557 UPE326492:UPG326557 UZA326492:UZC326557 VIW326492:VIY326557 VSS326492:VSU326557 WCO326492:WCQ326557 WMK326492:WMM326557 WWG326492:WWI326557 Y392028:AA392093 JU392028:JW392093 TQ392028:TS392093 ADM392028:ADO392093 ANI392028:ANK392093 AXE392028:AXG392093 BHA392028:BHC392093 BQW392028:BQY392093 CAS392028:CAU392093 CKO392028:CKQ392093 CUK392028:CUM392093 DEG392028:DEI392093 DOC392028:DOE392093 DXY392028:DYA392093 EHU392028:EHW392093 ERQ392028:ERS392093 FBM392028:FBO392093 FLI392028:FLK392093 FVE392028:FVG392093 GFA392028:GFC392093 GOW392028:GOY392093 GYS392028:GYU392093 HIO392028:HIQ392093 HSK392028:HSM392093 ICG392028:ICI392093 IMC392028:IME392093 IVY392028:IWA392093 JFU392028:JFW392093 JPQ392028:JPS392093 JZM392028:JZO392093 KJI392028:KJK392093 KTE392028:KTG392093 LDA392028:LDC392093 LMW392028:LMY392093 LWS392028:LWU392093 MGO392028:MGQ392093 MQK392028:MQM392093 NAG392028:NAI392093 NKC392028:NKE392093 NTY392028:NUA392093 ODU392028:ODW392093 ONQ392028:ONS392093 OXM392028:OXO392093 PHI392028:PHK392093 PRE392028:PRG392093 QBA392028:QBC392093 QKW392028:QKY392093 QUS392028:QUU392093 REO392028:REQ392093 ROK392028:ROM392093 RYG392028:RYI392093 SIC392028:SIE392093 SRY392028:SSA392093 TBU392028:TBW392093 TLQ392028:TLS392093 TVM392028:TVO392093 UFI392028:UFK392093 UPE392028:UPG392093 UZA392028:UZC392093 VIW392028:VIY392093 VSS392028:VSU392093 WCO392028:WCQ392093 WMK392028:WMM392093 WWG392028:WWI392093 Y457564:AA457629 JU457564:JW457629 TQ457564:TS457629 ADM457564:ADO457629 ANI457564:ANK457629 AXE457564:AXG457629 BHA457564:BHC457629 BQW457564:BQY457629 CAS457564:CAU457629 CKO457564:CKQ457629 CUK457564:CUM457629 DEG457564:DEI457629 DOC457564:DOE457629 DXY457564:DYA457629 EHU457564:EHW457629 ERQ457564:ERS457629 FBM457564:FBO457629 FLI457564:FLK457629 FVE457564:FVG457629 GFA457564:GFC457629 GOW457564:GOY457629 GYS457564:GYU457629 HIO457564:HIQ457629 HSK457564:HSM457629 ICG457564:ICI457629 IMC457564:IME457629 IVY457564:IWA457629 JFU457564:JFW457629 JPQ457564:JPS457629 JZM457564:JZO457629 KJI457564:KJK457629 KTE457564:KTG457629 LDA457564:LDC457629 LMW457564:LMY457629 LWS457564:LWU457629 MGO457564:MGQ457629 MQK457564:MQM457629 NAG457564:NAI457629 NKC457564:NKE457629 NTY457564:NUA457629 ODU457564:ODW457629 ONQ457564:ONS457629 OXM457564:OXO457629 PHI457564:PHK457629 PRE457564:PRG457629 QBA457564:QBC457629 QKW457564:QKY457629 QUS457564:QUU457629 REO457564:REQ457629 ROK457564:ROM457629 RYG457564:RYI457629 SIC457564:SIE457629 SRY457564:SSA457629 TBU457564:TBW457629 TLQ457564:TLS457629 TVM457564:TVO457629 UFI457564:UFK457629 UPE457564:UPG457629 UZA457564:UZC457629 VIW457564:VIY457629 VSS457564:VSU457629 WCO457564:WCQ457629 WMK457564:WMM457629 WWG457564:WWI457629 Y523100:AA523165 JU523100:JW523165 TQ523100:TS523165 ADM523100:ADO523165 ANI523100:ANK523165 AXE523100:AXG523165 BHA523100:BHC523165 BQW523100:BQY523165 CAS523100:CAU523165 CKO523100:CKQ523165 CUK523100:CUM523165 DEG523100:DEI523165 DOC523100:DOE523165 DXY523100:DYA523165 EHU523100:EHW523165 ERQ523100:ERS523165 FBM523100:FBO523165 FLI523100:FLK523165 FVE523100:FVG523165 GFA523100:GFC523165 GOW523100:GOY523165 GYS523100:GYU523165 HIO523100:HIQ523165 HSK523100:HSM523165 ICG523100:ICI523165 IMC523100:IME523165 IVY523100:IWA523165 JFU523100:JFW523165 JPQ523100:JPS523165 JZM523100:JZO523165 KJI523100:KJK523165 KTE523100:KTG523165 LDA523100:LDC523165 LMW523100:LMY523165 LWS523100:LWU523165 MGO523100:MGQ523165 MQK523100:MQM523165 NAG523100:NAI523165 NKC523100:NKE523165 NTY523100:NUA523165 ODU523100:ODW523165 ONQ523100:ONS523165 OXM523100:OXO523165 PHI523100:PHK523165 PRE523100:PRG523165 QBA523100:QBC523165 QKW523100:QKY523165 QUS523100:QUU523165 REO523100:REQ523165 ROK523100:ROM523165 RYG523100:RYI523165 SIC523100:SIE523165 SRY523100:SSA523165 TBU523100:TBW523165 TLQ523100:TLS523165 TVM523100:TVO523165 UFI523100:UFK523165 UPE523100:UPG523165 UZA523100:UZC523165 VIW523100:VIY523165 VSS523100:VSU523165 WCO523100:WCQ523165 WMK523100:WMM523165 WWG523100:WWI523165 Y588636:AA588701 JU588636:JW588701 TQ588636:TS588701 ADM588636:ADO588701 ANI588636:ANK588701 AXE588636:AXG588701 BHA588636:BHC588701 BQW588636:BQY588701 CAS588636:CAU588701 CKO588636:CKQ588701 CUK588636:CUM588701 DEG588636:DEI588701 DOC588636:DOE588701 DXY588636:DYA588701 EHU588636:EHW588701 ERQ588636:ERS588701 FBM588636:FBO588701 FLI588636:FLK588701 FVE588636:FVG588701 GFA588636:GFC588701 GOW588636:GOY588701 GYS588636:GYU588701 HIO588636:HIQ588701 HSK588636:HSM588701 ICG588636:ICI588701 IMC588636:IME588701 IVY588636:IWA588701 JFU588636:JFW588701 JPQ588636:JPS588701 JZM588636:JZO588701 KJI588636:KJK588701 KTE588636:KTG588701 LDA588636:LDC588701 LMW588636:LMY588701 LWS588636:LWU588701 MGO588636:MGQ588701 MQK588636:MQM588701 NAG588636:NAI588701 NKC588636:NKE588701 NTY588636:NUA588701 ODU588636:ODW588701 ONQ588636:ONS588701 OXM588636:OXO588701 PHI588636:PHK588701 PRE588636:PRG588701 QBA588636:QBC588701 QKW588636:QKY588701 QUS588636:QUU588701 REO588636:REQ588701 ROK588636:ROM588701 RYG588636:RYI588701 SIC588636:SIE588701 SRY588636:SSA588701 TBU588636:TBW588701 TLQ588636:TLS588701 TVM588636:TVO588701 UFI588636:UFK588701 UPE588636:UPG588701 UZA588636:UZC588701 VIW588636:VIY588701 VSS588636:VSU588701 WCO588636:WCQ588701 WMK588636:WMM588701 WWG588636:WWI588701 Y654172:AA654237 JU654172:JW654237 TQ654172:TS654237 ADM654172:ADO654237 ANI654172:ANK654237 AXE654172:AXG654237 BHA654172:BHC654237 BQW654172:BQY654237 CAS654172:CAU654237 CKO654172:CKQ654237 CUK654172:CUM654237 DEG654172:DEI654237 DOC654172:DOE654237 DXY654172:DYA654237 EHU654172:EHW654237 ERQ654172:ERS654237 FBM654172:FBO654237 FLI654172:FLK654237 FVE654172:FVG654237 GFA654172:GFC654237 GOW654172:GOY654237 GYS654172:GYU654237 HIO654172:HIQ654237 HSK654172:HSM654237 ICG654172:ICI654237 IMC654172:IME654237 IVY654172:IWA654237 JFU654172:JFW654237 JPQ654172:JPS654237 JZM654172:JZO654237 KJI654172:KJK654237 KTE654172:KTG654237 LDA654172:LDC654237 LMW654172:LMY654237 LWS654172:LWU654237 MGO654172:MGQ654237 MQK654172:MQM654237 NAG654172:NAI654237 NKC654172:NKE654237 NTY654172:NUA654237 ODU654172:ODW654237 ONQ654172:ONS654237 OXM654172:OXO654237 PHI654172:PHK654237 PRE654172:PRG654237 QBA654172:QBC654237 QKW654172:QKY654237 QUS654172:QUU654237 REO654172:REQ654237 ROK654172:ROM654237 RYG654172:RYI654237 SIC654172:SIE654237 SRY654172:SSA654237 TBU654172:TBW654237 TLQ654172:TLS654237 TVM654172:TVO654237 UFI654172:UFK654237 UPE654172:UPG654237 UZA654172:UZC654237 VIW654172:VIY654237 VSS654172:VSU654237 WCO654172:WCQ654237 WMK654172:WMM654237 WWG654172:WWI654237 Y719708:AA719773 JU719708:JW719773 TQ719708:TS719773 ADM719708:ADO719773 ANI719708:ANK719773 AXE719708:AXG719773 BHA719708:BHC719773 BQW719708:BQY719773 CAS719708:CAU719773 CKO719708:CKQ719773 CUK719708:CUM719773 DEG719708:DEI719773 DOC719708:DOE719773 DXY719708:DYA719773 EHU719708:EHW719773 ERQ719708:ERS719773 FBM719708:FBO719773 FLI719708:FLK719773 FVE719708:FVG719773 GFA719708:GFC719773 GOW719708:GOY719773 GYS719708:GYU719773 HIO719708:HIQ719773 HSK719708:HSM719773 ICG719708:ICI719773 IMC719708:IME719773 IVY719708:IWA719773 JFU719708:JFW719773 JPQ719708:JPS719773 JZM719708:JZO719773 KJI719708:KJK719773 KTE719708:KTG719773 LDA719708:LDC719773 LMW719708:LMY719773 LWS719708:LWU719773 MGO719708:MGQ719773 MQK719708:MQM719773 NAG719708:NAI719773 NKC719708:NKE719773 NTY719708:NUA719773 ODU719708:ODW719773 ONQ719708:ONS719773 OXM719708:OXO719773 PHI719708:PHK719773 PRE719708:PRG719773 QBA719708:QBC719773 QKW719708:QKY719773 QUS719708:QUU719773 REO719708:REQ719773 ROK719708:ROM719773 RYG719708:RYI719773 SIC719708:SIE719773 SRY719708:SSA719773 TBU719708:TBW719773 TLQ719708:TLS719773 TVM719708:TVO719773 UFI719708:UFK719773 UPE719708:UPG719773 UZA719708:UZC719773 VIW719708:VIY719773 VSS719708:VSU719773 WCO719708:WCQ719773 WMK719708:WMM719773 WWG719708:WWI719773 Y785244:AA785309 JU785244:JW785309 TQ785244:TS785309 ADM785244:ADO785309 ANI785244:ANK785309 AXE785244:AXG785309 BHA785244:BHC785309 BQW785244:BQY785309 CAS785244:CAU785309 CKO785244:CKQ785309 CUK785244:CUM785309 DEG785244:DEI785309 DOC785244:DOE785309 DXY785244:DYA785309 EHU785244:EHW785309 ERQ785244:ERS785309 FBM785244:FBO785309 FLI785244:FLK785309 FVE785244:FVG785309 GFA785244:GFC785309 GOW785244:GOY785309 GYS785244:GYU785309 HIO785244:HIQ785309 HSK785244:HSM785309 ICG785244:ICI785309 IMC785244:IME785309 IVY785244:IWA785309 JFU785244:JFW785309 JPQ785244:JPS785309 JZM785244:JZO785309 KJI785244:KJK785309 KTE785244:KTG785309 LDA785244:LDC785309 LMW785244:LMY785309 LWS785244:LWU785309 MGO785244:MGQ785309 MQK785244:MQM785309 NAG785244:NAI785309 NKC785244:NKE785309 NTY785244:NUA785309 ODU785244:ODW785309 ONQ785244:ONS785309 OXM785244:OXO785309 PHI785244:PHK785309 PRE785244:PRG785309 QBA785244:QBC785309 QKW785244:QKY785309 QUS785244:QUU785309 REO785244:REQ785309 ROK785244:ROM785309 RYG785244:RYI785309 SIC785244:SIE785309 SRY785244:SSA785309 TBU785244:TBW785309 TLQ785244:TLS785309 TVM785244:TVO785309 UFI785244:UFK785309 UPE785244:UPG785309 UZA785244:UZC785309 VIW785244:VIY785309 VSS785244:VSU785309 WCO785244:WCQ785309 WMK785244:WMM785309 WWG785244:WWI785309 Y850780:AA850845 JU850780:JW850845 TQ850780:TS850845 ADM850780:ADO850845 ANI850780:ANK850845 AXE850780:AXG850845 BHA850780:BHC850845 BQW850780:BQY850845 CAS850780:CAU850845 CKO850780:CKQ850845 CUK850780:CUM850845 DEG850780:DEI850845 DOC850780:DOE850845 DXY850780:DYA850845 EHU850780:EHW850845 ERQ850780:ERS850845 FBM850780:FBO850845 FLI850780:FLK850845 FVE850780:FVG850845 GFA850780:GFC850845 GOW850780:GOY850845 GYS850780:GYU850845 HIO850780:HIQ850845 HSK850780:HSM850845 ICG850780:ICI850845 IMC850780:IME850845 IVY850780:IWA850845 JFU850780:JFW850845 JPQ850780:JPS850845 JZM850780:JZO850845 KJI850780:KJK850845 KTE850780:KTG850845 LDA850780:LDC850845 LMW850780:LMY850845 LWS850780:LWU850845 MGO850780:MGQ850845 MQK850780:MQM850845 NAG850780:NAI850845 NKC850780:NKE850845 NTY850780:NUA850845 ODU850780:ODW850845 ONQ850780:ONS850845 OXM850780:OXO850845 PHI850780:PHK850845 PRE850780:PRG850845 QBA850780:QBC850845 QKW850780:QKY850845 QUS850780:QUU850845 REO850780:REQ850845 ROK850780:ROM850845 RYG850780:RYI850845 SIC850780:SIE850845 SRY850780:SSA850845 TBU850780:TBW850845 TLQ850780:TLS850845 TVM850780:TVO850845 UFI850780:UFK850845 UPE850780:UPG850845 UZA850780:UZC850845 VIW850780:VIY850845 VSS850780:VSU850845 WCO850780:WCQ850845 WMK850780:WMM850845 WWG850780:WWI850845 Y916316:AA916381 JU916316:JW916381 TQ916316:TS916381 ADM916316:ADO916381 ANI916316:ANK916381 AXE916316:AXG916381 BHA916316:BHC916381 BQW916316:BQY916381 CAS916316:CAU916381 CKO916316:CKQ916381 CUK916316:CUM916381 DEG916316:DEI916381 DOC916316:DOE916381 DXY916316:DYA916381 EHU916316:EHW916381 ERQ916316:ERS916381 FBM916316:FBO916381 FLI916316:FLK916381 FVE916316:FVG916381 GFA916316:GFC916381 GOW916316:GOY916381 GYS916316:GYU916381 HIO916316:HIQ916381 HSK916316:HSM916381 ICG916316:ICI916381 IMC916316:IME916381 IVY916316:IWA916381 JFU916316:JFW916381 JPQ916316:JPS916381 JZM916316:JZO916381 KJI916316:KJK916381 KTE916316:KTG916381 LDA916316:LDC916381 LMW916316:LMY916381 LWS916316:LWU916381 MGO916316:MGQ916381 MQK916316:MQM916381 NAG916316:NAI916381 NKC916316:NKE916381 NTY916316:NUA916381 ODU916316:ODW916381 ONQ916316:ONS916381 OXM916316:OXO916381 PHI916316:PHK916381 PRE916316:PRG916381 QBA916316:QBC916381 QKW916316:QKY916381 QUS916316:QUU916381 REO916316:REQ916381 ROK916316:ROM916381 RYG916316:RYI916381 SIC916316:SIE916381 SRY916316:SSA916381 TBU916316:TBW916381 TLQ916316:TLS916381 TVM916316:TVO916381 UFI916316:UFK916381 UPE916316:UPG916381 UZA916316:UZC916381 VIW916316:VIY916381 VSS916316:VSU916381 WCO916316:WCQ916381 WMK916316:WMM916381 WWG916316:WWI916381 Y981852:AA981917 JU981852:JW981917 TQ981852:TS981917 ADM981852:ADO981917 ANI981852:ANK981917 AXE981852:AXG981917 BHA981852:BHC981917 BQW981852:BQY981917 CAS981852:CAU981917 CKO981852:CKQ981917 CUK981852:CUM981917 DEG981852:DEI981917 DOC981852:DOE981917 DXY981852:DYA981917 EHU981852:EHW981917 ERQ981852:ERS981917 FBM981852:FBO981917 FLI981852:FLK981917 FVE981852:FVG981917 GFA981852:GFC981917 GOW981852:GOY981917 GYS981852:GYU981917 HIO981852:HIQ981917 HSK981852:HSM981917 ICG981852:ICI981917 IMC981852:IME981917 IVY981852:IWA981917 JFU981852:JFW981917 JPQ981852:JPS981917 JZM981852:JZO981917 KJI981852:KJK981917 KTE981852:KTG981917 LDA981852:LDC981917 LMW981852:LMY981917 LWS981852:LWU981917 MGO981852:MGQ981917 MQK981852:MQM981917 NAG981852:NAI981917 NKC981852:NKE981917 NTY981852:NUA981917 ODU981852:ODW981917 ONQ981852:ONS981917 OXM981852:OXO981917 PHI981852:PHK981917 PRE981852:PRG981917 QBA981852:QBC981917 QKW981852:QKY981917 QUS981852:QUU981917 REO981852:REQ981917 ROK981852:ROM981917 RYG981852:RYI981917 SIC981852:SIE981917 SRY981852:SSA981917 TBU981852:TBW981917 TLQ981852:TLS981917 TVM981852:TVO981917 UFI981852:UFK981917 UPE981852:UPG981917 UZA981852:UZC981917 VIW981852:VIY981917 VSS981852:VSU981917 WCO981852:WCQ981917 WMK981852:WMM981917 WWG981852:WWI981917 Y1047388:AA1047453 JU1047388:JW1047453 TQ1047388:TS1047453 ADM1047388:ADO1047453 ANI1047388:ANK1047453 AXE1047388:AXG1047453 BHA1047388:BHC1047453 BQW1047388:BQY1047453 CAS1047388:CAU1047453 CKO1047388:CKQ1047453 CUK1047388:CUM1047453 DEG1047388:DEI1047453 DOC1047388:DOE1047453 DXY1047388:DYA1047453 EHU1047388:EHW1047453 ERQ1047388:ERS1047453 FBM1047388:FBO1047453 FLI1047388:FLK1047453 FVE1047388:FVG1047453 GFA1047388:GFC1047453 GOW1047388:GOY1047453 GYS1047388:GYU1047453 HIO1047388:HIQ1047453 HSK1047388:HSM1047453 ICG1047388:ICI1047453 IMC1047388:IME1047453 IVY1047388:IWA1047453 JFU1047388:JFW1047453 JPQ1047388:JPS1047453 JZM1047388:JZO1047453 KJI1047388:KJK1047453 KTE1047388:KTG1047453 LDA1047388:LDC1047453 LMW1047388:LMY1047453 LWS1047388:LWU1047453 MGO1047388:MGQ1047453 MQK1047388:MQM1047453 NAG1047388:NAI1047453 NKC1047388:NKE1047453 NTY1047388:NUA1047453 ODU1047388:ODW1047453 ONQ1047388:ONS1047453 OXM1047388:OXO1047453 PHI1047388:PHK1047453 PRE1047388:PRG1047453 QBA1047388:QBC1047453 QKW1047388:QKY1047453 QUS1047388:QUU1047453 REO1047388:REQ1047453 ROK1047388:ROM1047453 RYG1047388:RYI1047453 SIC1047388:SIE1047453 SRY1047388:SSA1047453 TBU1047388:TBW1047453 TLQ1047388:TLS1047453 TVM1047388:TVO1047453 UFI1047388:UFK1047453 UPE1047388:UPG1047453 UZA1047388:UZC1047453 VIW1047388:VIY1047453 VSS1047388:VSU1047453 WCO1047388:WCQ1047453 WMK1047388:WMM1047453 WWG1047388:WWI1047453 WWG983027:WWI983092 Y65523:AA65588 JU65523:JW65588 TQ65523:TS65588 ADM65523:ADO65588 ANI65523:ANK65588 AXE65523:AXG65588 BHA65523:BHC65588 BQW65523:BQY65588 CAS65523:CAU65588 CKO65523:CKQ65588 CUK65523:CUM65588 DEG65523:DEI65588 DOC65523:DOE65588 DXY65523:DYA65588 EHU65523:EHW65588 ERQ65523:ERS65588 FBM65523:FBO65588 FLI65523:FLK65588 FVE65523:FVG65588 GFA65523:GFC65588 GOW65523:GOY65588 GYS65523:GYU65588 HIO65523:HIQ65588 HSK65523:HSM65588 ICG65523:ICI65588 IMC65523:IME65588 IVY65523:IWA65588 JFU65523:JFW65588 JPQ65523:JPS65588 JZM65523:JZO65588 KJI65523:KJK65588 KTE65523:KTG65588 LDA65523:LDC65588 LMW65523:LMY65588 LWS65523:LWU65588 MGO65523:MGQ65588 MQK65523:MQM65588 NAG65523:NAI65588 NKC65523:NKE65588 NTY65523:NUA65588 ODU65523:ODW65588 ONQ65523:ONS65588 OXM65523:OXO65588 PHI65523:PHK65588 PRE65523:PRG65588 QBA65523:QBC65588 QKW65523:QKY65588 QUS65523:QUU65588 REO65523:REQ65588 ROK65523:ROM65588 RYG65523:RYI65588 SIC65523:SIE65588 SRY65523:SSA65588 TBU65523:TBW65588 TLQ65523:TLS65588 TVM65523:TVO65588 UFI65523:UFK65588 UPE65523:UPG65588 UZA65523:UZC65588 VIW65523:VIY65588 VSS65523:VSU65588 WCO65523:WCQ65588 WMK65523:WMM65588 WWG65523:WWI65588 Y131059:AA131124 JU131059:JW131124 TQ131059:TS131124 ADM131059:ADO131124 ANI131059:ANK131124 AXE131059:AXG131124 BHA131059:BHC131124 BQW131059:BQY131124 CAS131059:CAU131124 CKO131059:CKQ131124 CUK131059:CUM131124 DEG131059:DEI131124 DOC131059:DOE131124 DXY131059:DYA131124 EHU131059:EHW131124 ERQ131059:ERS131124 FBM131059:FBO131124 FLI131059:FLK131124 FVE131059:FVG131124 GFA131059:GFC131124 GOW131059:GOY131124 GYS131059:GYU131124 HIO131059:HIQ131124 HSK131059:HSM131124 ICG131059:ICI131124 IMC131059:IME131124 IVY131059:IWA131124 JFU131059:JFW131124 JPQ131059:JPS131124 JZM131059:JZO131124 KJI131059:KJK131124 KTE131059:KTG131124 LDA131059:LDC131124 LMW131059:LMY131124 LWS131059:LWU131124 MGO131059:MGQ131124 MQK131059:MQM131124 NAG131059:NAI131124 NKC131059:NKE131124 NTY131059:NUA131124 ODU131059:ODW131124 ONQ131059:ONS131124 OXM131059:OXO131124 PHI131059:PHK131124 PRE131059:PRG131124 QBA131059:QBC131124 QKW131059:QKY131124 QUS131059:QUU131124 REO131059:REQ131124 ROK131059:ROM131124 RYG131059:RYI131124 SIC131059:SIE131124 SRY131059:SSA131124 TBU131059:TBW131124 TLQ131059:TLS131124 TVM131059:TVO131124 UFI131059:UFK131124 UPE131059:UPG131124 UZA131059:UZC131124 VIW131059:VIY131124 VSS131059:VSU131124 WCO131059:WCQ131124 WMK131059:WMM131124 WWG131059:WWI131124 Y196595:AA196660 JU196595:JW196660 TQ196595:TS196660 ADM196595:ADO196660 ANI196595:ANK196660 AXE196595:AXG196660 BHA196595:BHC196660 BQW196595:BQY196660 CAS196595:CAU196660 CKO196595:CKQ196660 CUK196595:CUM196660 DEG196595:DEI196660 DOC196595:DOE196660 DXY196595:DYA196660 EHU196595:EHW196660 ERQ196595:ERS196660 FBM196595:FBO196660 FLI196595:FLK196660 FVE196595:FVG196660 GFA196595:GFC196660 GOW196595:GOY196660 GYS196595:GYU196660 HIO196595:HIQ196660 HSK196595:HSM196660 ICG196595:ICI196660 IMC196595:IME196660 IVY196595:IWA196660 JFU196595:JFW196660 JPQ196595:JPS196660 JZM196595:JZO196660 KJI196595:KJK196660 KTE196595:KTG196660 LDA196595:LDC196660 LMW196595:LMY196660 LWS196595:LWU196660 MGO196595:MGQ196660 MQK196595:MQM196660 NAG196595:NAI196660 NKC196595:NKE196660 NTY196595:NUA196660 ODU196595:ODW196660 ONQ196595:ONS196660 OXM196595:OXO196660 PHI196595:PHK196660 PRE196595:PRG196660 QBA196595:QBC196660 QKW196595:QKY196660 QUS196595:QUU196660 REO196595:REQ196660 ROK196595:ROM196660 RYG196595:RYI196660 SIC196595:SIE196660 SRY196595:SSA196660 TBU196595:TBW196660 TLQ196595:TLS196660 TVM196595:TVO196660 UFI196595:UFK196660 UPE196595:UPG196660 UZA196595:UZC196660 VIW196595:VIY196660 VSS196595:VSU196660 WCO196595:WCQ196660 WMK196595:WMM196660 WWG196595:WWI196660 Y262131:AA262196 JU262131:JW262196 TQ262131:TS262196 ADM262131:ADO262196 ANI262131:ANK262196 AXE262131:AXG262196 BHA262131:BHC262196 BQW262131:BQY262196 CAS262131:CAU262196 CKO262131:CKQ262196 CUK262131:CUM262196 DEG262131:DEI262196 DOC262131:DOE262196 DXY262131:DYA262196 EHU262131:EHW262196 ERQ262131:ERS262196 FBM262131:FBO262196 FLI262131:FLK262196 FVE262131:FVG262196 GFA262131:GFC262196 GOW262131:GOY262196 GYS262131:GYU262196 HIO262131:HIQ262196 HSK262131:HSM262196 ICG262131:ICI262196 IMC262131:IME262196 IVY262131:IWA262196 JFU262131:JFW262196 JPQ262131:JPS262196 JZM262131:JZO262196 KJI262131:KJK262196 KTE262131:KTG262196 LDA262131:LDC262196 LMW262131:LMY262196 LWS262131:LWU262196 MGO262131:MGQ262196 MQK262131:MQM262196 NAG262131:NAI262196 NKC262131:NKE262196 NTY262131:NUA262196 ODU262131:ODW262196 ONQ262131:ONS262196 OXM262131:OXO262196 PHI262131:PHK262196 PRE262131:PRG262196 QBA262131:QBC262196 QKW262131:QKY262196 QUS262131:QUU262196 REO262131:REQ262196 ROK262131:ROM262196 RYG262131:RYI262196 SIC262131:SIE262196 SRY262131:SSA262196 TBU262131:TBW262196 TLQ262131:TLS262196 TVM262131:TVO262196 UFI262131:UFK262196 UPE262131:UPG262196 UZA262131:UZC262196 VIW262131:VIY262196 VSS262131:VSU262196 WCO262131:WCQ262196 WMK262131:WMM262196 WWG262131:WWI262196 Y327667:AA327732 JU327667:JW327732 TQ327667:TS327732 ADM327667:ADO327732 ANI327667:ANK327732 AXE327667:AXG327732 BHA327667:BHC327732 BQW327667:BQY327732 CAS327667:CAU327732 CKO327667:CKQ327732 CUK327667:CUM327732 DEG327667:DEI327732 DOC327667:DOE327732 DXY327667:DYA327732 EHU327667:EHW327732 ERQ327667:ERS327732 FBM327667:FBO327732 FLI327667:FLK327732 FVE327667:FVG327732 GFA327667:GFC327732 GOW327667:GOY327732 GYS327667:GYU327732 HIO327667:HIQ327732 HSK327667:HSM327732 ICG327667:ICI327732 IMC327667:IME327732 IVY327667:IWA327732 JFU327667:JFW327732 JPQ327667:JPS327732 JZM327667:JZO327732 KJI327667:KJK327732 KTE327667:KTG327732 LDA327667:LDC327732 LMW327667:LMY327732 LWS327667:LWU327732 MGO327667:MGQ327732 MQK327667:MQM327732 NAG327667:NAI327732 NKC327667:NKE327732 NTY327667:NUA327732 ODU327667:ODW327732 ONQ327667:ONS327732 OXM327667:OXO327732 PHI327667:PHK327732 PRE327667:PRG327732 QBA327667:QBC327732 QKW327667:QKY327732 QUS327667:QUU327732 REO327667:REQ327732 ROK327667:ROM327732 RYG327667:RYI327732 SIC327667:SIE327732 SRY327667:SSA327732 TBU327667:TBW327732 TLQ327667:TLS327732 TVM327667:TVO327732 UFI327667:UFK327732 UPE327667:UPG327732 UZA327667:UZC327732 VIW327667:VIY327732 VSS327667:VSU327732 WCO327667:WCQ327732 WMK327667:WMM327732 WWG327667:WWI327732 Y393203:AA393268 JU393203:JW393268 TQ393203:TS393268 ADM393203:ADO393268 ANI393203:ANK393268 AXE393203:AXG393268 BHA393203:BHC393268 BQW393203:BQY393268 CAS393203:CAU393268 CKO393203:CKQ393268 CUK393203:CUM393268 DEG393203:DEI393268 DOC393203:DOE393268 DXY393203:DYA393268 EHU393203:EHW393268 ERQ393203:ERS393268 FBM393203:FBO393268 FLI393203:FLK393268 FVE393203:FVG393268 GFA393203:GFC393268 GOW393203:GOY393268 GYS393203:GYU393268 HIO393203:HIQ393268 HSK393203:HSM393268 ICG393203:ICI393268 IMC393203:IME393268 IVY393203:IWA393268 JFU393203:JFW393268 JPQ393203:JPS393268 JZM393203:JZO393268 KJI393203:KJK393268 KTE393203:KTG393268 LDA393203:LDC393268 LMW393203:LMY393268 LWS393203:LWU393268 MGO393203:MGQ393268 MQK393203:MQM393268 NAG393203:NAI393268 NKC393203:NKE393268 NTY393203:NUA393268 ODU393203:ODW393268 ONQ393203:ONS393268 OXM393203:OXO393268 PHI393203:PHK393268 PRE393203:PRG393268 QBA393203:QBC393268 QKW393203:QKY393268 QUS393203:QUU393268 REO393203:REQ393268 ROK393203:ROM393268 RYG393203:RYI393268 SIC393203:SIE393268 SRY393203:SSA393268 TBU393203:TBW393268 TLQ393203:TLS393268 TVM393203:TVO393268 UFI393203:UFK393268 UPE393203:UPG393268 UZA393203:UZC393268 VIW393203:VIY393268 VSS393203:VSU393268 WCO393203:WCQ393268 WMK393203:WMM393268 WWG393203:WWI393268 Y458739:AA458804 JU458739:JW458804 TQ458739:TS458804 ADM458739:ADO458804 ANI458739:ANK458804 AXE458739:AXG458804 BHA458739:BHC458804 BQW458739:BQY458804 CAS458739:CAU458804 CKO458739:CKQ458804 CUK458739:CUM458804 DEG458739:DEI458804 DOC458739:DOE458804 DXY458739:DYA458804 EHU458739:EHW458804 ERQ458739:ERS458804 FBM458739:FBO458804 FLI458739:FLK458804 FVE458739:FVG458804 GFA458739:GFC458804 GOW458739:GOY458804 GYS458739:GYU458804 HIO458739:HIQ458804 HSK458739:HSM458804 ICG458739:ICI458804 IMC458739:IME458804 IVY458739:IWA458804 JFU458739:JFW458804 JPQ458739:JPS458804 JZM458739:JZO458804 KJI458739:KJK458804 KTE458739:KTG458804 LDA458739:LDC458804 LMW458739:LMY458804 LWS458739:LWU458804 MGO458739:MGQ458804 MQK458739:MQM458804 NAG458739:NAI458804 NKC458739:NKE458804 NTY458739:NUA458804 ODU458739:ODW458804 ONQ458739:ONS458804 OXM458739:OXO458804 PHI458739:PHK458804 PRE458739:PRG458804 QBA458739:QBC458804 QKW458739:QKY458804 QUS458739:QUU458804 REO458739:REQ458804 ROK458739:ROM458804 RYG458739:RYI458804 SIC458739:SIE458804 SRY458739:SSA458804 TBU458739:TBW458804 TLQ458739:TLS458804 TVM458739:TVO458804 UFI458739:UFK458804 UPE458739:UPG458804 UZA458739:UZC458804 VIW458739:VIY458804 VSS458739:VSU458804 WCO458739:WCQ458804 WMK458739:WMM458804 WWG458739:WWI458804 Y524275:AA524340 JU524275:JW524340 TQ524275:TS524340 ADM524275:ADO524340 ANI524275:ANK524340 AXE524275:AXG524340 BHA524275:BHC524340 BQW524275:BQY524340 CAS524275:CAU524340 CKO524275:CKQ524340 CUK524275:CUM524340 DEG524275:DEI524340 DOC524275:DOE524340 DXY524275:DYA524340 EHU524275:EHW524340 ERQ524275:ERS524340 FBM524275:FBO524340 FLI524275:FLK524340 FVE524275:FVG524340 GFA524275:GFC524340 GOW524275:GOY524340 GYS524275:GYU524340 HIO524275:HIQ524340 HSK524275:HSM524340 ICG524275:ICI524340 IMC524275:IME524340 IVY524275:IWA524340 JFU524275:JFW524340 JPQ524275:JPS524340 JZM524275:JZO524340 KJI524275:KJK524340 KTE524275:KTG524340 LDA524275:LDC524340 LMW524275:LMY524340 LWS524275:LWU524340 MGO524275:MGQ524340 MQK524275:MQM524340 NAG524275:NAI524340 NKC524275:NKE524340 NTY524275:NUA524340 ODU524275:ODW524340 ONQ524275:ONS524340 OXM524275:OXO524340 PHI524275:PHK524340 PRE524275:PRG524340 QBA524275:QBC524340 QKW524275:QKY524340 QUS524275:QUU524340 REO524275:REQ524340 ROK524275:ROM524340 RYG524275:RYI524340 SIC524275:SIE524340 SRY524275:SSA524340 TBU524275:TBW524340 TLQ524275:TLS524340 TVM524275:TVO524340 UFI524275:UFK524340 UPE524275:UPG524340 UZA524275:UZC524340 VIW524275:VIY524340 VSS524275:VSU524340 WCO524275:WCQ524340 WMK524275:WMM524340 WWG524275:WWI524340 Y589811:AA589876 JU589811:JW589876 TQ589811:TS589876 ADM589811:ADO589876 ANI589811:ANK589876 AXE589811:AXG589876 BHA589811:BHC589876 BQW589811:BQY589876 CAS589811:CAU589876 CKO589811:CKQ589876 CUK589811:CUM589876 DEG589811:DEI589876 DOC589811:DOE589876 DXY589811:DYA589876 EHU589811:EHW589876 ERQ589811:ERS589876 FBM589811:FBO589876 FLI589811:FLK589876 FVE589811:FVG589876 GFA589811:GFC589876 GOW589811:GOY589876 GYS589811:GYU589876 HIO589811:HIQ589876 HSK589811:HSM589876 ICG589811:ICI589876 IMC589811:IME589876 IVY589811:IWA589876 JFU589811:JFW589876 JPQ589811:JPS589876 JZM589811:JZO589876 KJI589811:KJK589876 KTE589811:KTG589876 LDA589811:LDC589876 LMW589811:LMY589876 LWS589811:LWU589876 MGO589811:MGQ589876 MQK589811:MQM589876 NAG589811:NAI589876 NKC589811:NKE589876 NTY589811:NUA589876 ODU589811:ODW589876 ONQ589811:ONS589876 OXM589811:OXO589876 PHI589811:PHK589876 PRE589811:PRG589876 QBA589811:QBC589876 QKW589811:QKY589876 QUS589811:QUU589876 REO589811:REQ589876 ROK589811:ROM589876 RYG589811:RYI589876 SIC589811:SIE589876 SRY589811:SSA589876 TBU589811:TBW589876 TLQ589811:TLS589876 TVM589811:TVO589876 UFI589811:UFK589876 UPE589811:UPG589876 UZA589811:UZC589876 VIW589811:VIY589876 VSS589811:VSU589876 WCO589811:WCQ589876 WMK589811:WMM589876 WWG589811:WWI589876 Y655347:AA655412 JU655347:JW655412 TQ655347:TS655412 ADM655347:ADO655412 ANI655347:ANK655412 AXE655347:AXG655412 BHA655347:BHC655412 BQW655347:BQY655412 CAS655347:CAU655412 CKO655347:CKQ655412 CUK655347:CUM655412 DEG655347:DEI655412 DOC655347:DOE655412 DXY655347:DYA655412 EHU655347:EHW655412 ERQ655347:ERS655412 FBM655347:FBO655412 FLI655347:FLK655412 FVE655347:FVG655412 GFA655347:GFC655412 GOW655347:GOY655412 GYS655347:GYU655412 HIO655347:HIQ655412 HSK655347:HSM655412 ICG655347:ICI655412 IMC655347:IME655412 IVY655347:IWA655412 JFU655347:JFW655412 JPQ655347:JPS655412 JZM655347:JZO655412 KJI655347:KJK655412 KTE655347:KTG655412 LDA655347:LDC655412 LMW655347:LMY655412 LWS655347:LWU655412 MGO655347:MGQ655412 MQK655347:MQM655412 NAG655347:NAI655412 NKC655347:NKE655412 NTY655347:NUA655412 ODU655347:ODW655412 ONQ655347:ONS655412 OXM655347:OXO655412 PHI655347:PHK655412 PRE655347:PRG655412 QBA655347:QBC655412 QKW655347:QKY655412 QUS655347:QUU655412 REO655347:REQ655412 ROK655347:ROM655412 RYG655347:RYI655412 SIC655347:SIE655412 SRY655347:SSA655412 TBU655347:TBW655412 TLQ655347:TLS655412 TVM655347:TVO655412 UFI655347:UFK655412 UPE655347:UPG655412 UZA655347:UZC655412 VIW655347:VIY655412 VSS655347:VSU655412 WCO655347:WCQ655412 WMK655347:WMM655412 WWG655347:WWI655412 Y720883:AA720948 JU720883:JW720948 TQ720883:TS720948 ADM720883:ADO720948 ANI720883:ANK720948 AXE720883:AXG720948 BHA720883:BHC720948 BQW720883:BQY720948 CAS720883:CAU720948 CKO720883:CKQ720948 CUK720883:CUM720948 DEG720883:DEI720948 DOC720883:DOE720948 DXY720883:DYA720948 EHU720883:EHW720948 ERQ720883:ERS720948 FBM720883:FBO720948 FLI720883:FLK720948 FVE720883:FVG720948 GFA720883:GFC720948 GOW720883:GOY720948 GYS720883:GYU720948 HIO720883:HIQ720948 HSK720883:HSM720948 ICG720883:ICI720948 IMC720883:IME720948 IVY720883:IWA720948 JFU720883:JFW720948 JPQ720883:JPS720948 JZM720883:JZO720948 KJI720883:KJK720948 KTE720883:KTG720948 LDA720883:LDC720948 LMW720883:LMY720948 LWS720883:LWU720948 MGO720883:MGQ720948 MQK720883:MQM720948 NAG720883:NAI720948 NKC720883:NKE720948 NTY720883:NUA720948 ODU720883:ODW720948 ONQ720883:ONS720948 OXM720883:OXO720948 PHI720883:PHK720948 PRE720883:PRG720948 QBA720883:QBC720948 QKW720883:QKY720948 QUS720883:QUU720948 REO720883:REQ720948 ROK720883:ROM720948 RYG720883:RYI720948 SIC720883:SIE720948 SRY720883:SSA720948 TBU720883:TBW720948 TLQ720883:TLS720948 TVM720883:TVO720948 UFI720883:UFK720948 UPE720883:UPG720948 UZA720883:UZC720948 VIW720883:VIY720948 VSS720883:VSU720948 WCO720883:WCQ720948 WMK720883:WMM720948 WWG720883:WWI720948 Y786419:AA786484 JU786419:JW786484 TQ786419:TS786484 ADM786419:ADO786484 ANI786419:ANK786484 AXE786419:AXG786484 BHA786419:BHC786484 BQW786419:BQY786484 CAS786419:CAU786484 CKO786419:CKQ786484 CUK786419:CUM786484 DEG786419:DEI786484 DOC786419:DOE786484 DXY786419:DYA786484 EHU786419:EHW786484 ERQ786419:ERS786484 FBM786419:FBO786484 FLI786419:FLK786484 FVE786419:FVG786484 GFA786419:GFC786484 GOW786419:GOY786484 GYS786419:GYU786484 HIO786419:HIQ786484 HSK786419:HSM786484 ICG786419:ICI786484 IMC786419:IME786484 IVY786419:IWA786484 JFU786419:JFW786484 JPQ786419:JPS786484 JZM786419:JZO786484 KJI786419:KJK786484 KTE786419:KTG786484 LDA786419:LDC786484 LMW786419:LMY786484 LWS786419:LWU786484 MGO786419:MGQ786484 MQK786419:MQM786484 NAG786419:NAI786484 NKC786419:NKE786484 NTY786419:NUA786484 ODU786419:ODW786484 ONQ786419:ONS786484 OXM786419:OXO786484 PHI786419:PHK786484 PRE786419:PRG786484 QBA786419:QBC786484 QKW786419:QKY786484 QUS786419:QUU786484 REO786419:REQ786484 ROK786419:ROM786484 RYG786419:RYI786484 SIC786419:SIE786484 SRY786419:SSA786484 TBU786419:TBW786484 TLQ786419:TLS786484 TVM786419:TVO786484 UFI786419:UFK786484 UPE786419:UPG786484 UZA786419:UZC786484 VIW786419:VIY786484 VSS786419:VSU786484 WCO786419:WCQ786484 WMK786419:WMM786484 WWG786419:WWI786484 Y851955:AA852020 JU851955:JW852020 TQ851955:TS852020 ADM851955:ADO852020 ANI851955:ANK852020 AXE851955:AXG852020 BHA851955:BHC852020 BQW851955:BQY852020 CAS851955:CAU852020 CKO851955:CKQ852020 CUK851955:CUM852020 DEG851955:DEI852020 DOC851955:DOE852020 DXY851955:DYA852020 EHU851955:EHW852020 ERQ851955:ERS852020 FBM851955:FBO852020 FLI851955:FLK852020 FVE851955:FVG852020 GFA851955:GFC852020 GOW851955:GOY852020 GYS851955:GYU852020 HIO851955:HIQ852020 HSK851955:HSM852020 ICG851955:ICI852020 IMC851955:IME852020 IVY851955:IWA852020 JFU851955:JFW852020 JPQ851955:JPS852020 JZM851955:JZO852020 KJI851955:KJK852020 KTE851955:KTG852020 LDA851955:LDC852020 LMW851955:LMY852020 LWS851955:LWU852020 MGO851955:MGQ852020 MQK851955:MQM852020 NAG851955:NAI852020 NKC851955:NKE852020 NTY851955:NUA852020 ODU851955:ODW852020 ONQ851955:ONS852020 OXM851955:OXO852020 PHI851955:PHK852020 PRE851955:PRG852020 QBA851955:QBC852020 QKW851955:QKY852020 QUS851955:QUU852020 REO851955:REQ852020 ROK851955:ROM852020 RYG851955:RYI852020 SIC851955:SIE852020 SRY851955:SSA852020 TBU851955:TBW852020 TLQ851955:TLS852020 TVM851955:TVO852020 UFI851955:UFK852020 UPE851955:UPG852020 UZA851955:UZC852020 VIW851955:VIY852020 VSS851955:VSU852020 WCO851955:WCQ852020 WMK851955:WMM852020 WWG851955:WWI852020 Y917491:AA917556 JU917491:JW917556 TQ917491:TS917556 ADM917491:ADO917556 ANI917491:ANK917556 AXE917491:AXG917556 BHA917491:BHC917556 BQW917491:BQY917556 CAS917491:CAU917556 CKO917491:CKQ917556 CUK917491:CUM917556 DEG917491:DEI917556 DOC917491:DOE917556 DXY917491:DYA917556 EHU917491:EHW917556 ERQ917491:ERS917556 FBM917491:FBO917556 FLI917491:FLK917556 FVE917491:FVG917556 GFA917491:GFC917556 GOW917491:GOY917556 GYS917491:GYU917556 HIO917491:HIQ917556 HSK917491:HSM917556 ICG917491:ICI917556 IMC917491:IME917556 IVY917491:IWA917556 JFU917491:JFW917556 JPQ917491:JPS917556 JZM917491:JZO917556 KJI917491:KJK917556 KTE917491:KTG917556 LDA917491:LDC917556 LMW917491:LMY917556 LWS917491:LWU917556 MGO917491:MGQ917556 MQK917491:MQM917556 NAG917491:NAI917556 NKC917491:NKE917556 NTY917491:NUA917556 ODU917491:ODW917556 ONQ917491:ONS917556 OXM917491:OXO917556 PHI917491:PHK917556 PRE917491:PRG917556 QBA917491:QBC917556 QKW917491:QKY917556 QUS917491:QUU917556 REO917491:REQ917556 ROK917491:ROM917556 RYG917491:RYI917556 SIC917491:SIE917556 SRY917491:SSA917556 TBU917491:TBW917556 TLQ917491:TLS917556 TVM917491:TVO917556 UFI917491:UFK917556 UPE917491:UPG917556 UZA917491:UZC917556 VIW917491:VIY917556 VSS917491:VSU917556 WCO917491:WCQ917556 WMK917491:WMM917556 WWG917491:WWI917556 Y983027:AA983092 JU983027:JW983092 TQ983027:TS983092 ADM983027:ADO983092 ANI983027:ANK983092 AXE983027:AXG983092 BHA983027:BHC983092 BQW983027:BQY983092 CAS983027:CAU983092 CKO983027:CKQ983092 CUK983027:CUM983092 DEG983027:DEI983092 DOC983027:DOE983092 DXY983027:DYA983092 EHU983027:EHW983092 ERQ983027:ERS983092 FBM983027:FBO983092 FLI983027:FLK983092 FVE983027:FVG983092 GFA983027:GFC983092 GOW983027:GOY983092 GYS983027:GYU983092 HIO983027:HIQ983092 HSK983027:HSM983092 ICG983027:ICI983092 IMC983027:IME983092 IVY983027:IWA983092 JFU983027:JFW983092 JPQ983027:JPS983092 JZM983027:JZO983092 KJI983027:KJK983092 KTE983027:KTG983092 LDA983027:LDC983092 LMW983027:LMY983092 LWS983027:LWU983092 MGO983027:MGQ983092 MQK983027:MQM983092 NAG983027:NAI983092 NKC983027:NKE983092 NTY983027:NUA983092 ODU983027:ODW983092 ONQ983027:ONS983092 OXM983027:OXO983092 PHI983027:PHK983092 PRE983027:PRG983092 QBA983027:QBC983092 QKW983027:QKY983092 QUS983027:QUU983092 REO983027:REQ983092 ROK983027:ROM983092 RYG983027:RYI983092 SIC983027:SIE983092 SRY983027:SSA983092 TBU983027:TBW983092 TLQ983027:TLS983092 TVM983027:TVO983092 UFI983027:UFK983092 UPE983027:UPG983092 UZA983027:UZC983092 VIW983027:VIY983092 VSS983027:VSU983092 WCO983027:WCQ983092 WMK983027:WMM983092 WWG2:WWI72 JU2:JW72 TQ2:TS72 ADM2:ADO72 ANI2:ANK72 AXE2:AXG72 BHA2:BHC72 BQW2:BQY72 CAS2:CAU72 CKO2:CKQ72 CUK2:CUM72 DEG2:DEI72 DOC2:DOE72 DXY2:DYA72 EHU2:EHW72 ERQ2:ERS72 FBM2:FBO72 FLI2:FLK72 FVE2:FVG72 GFA2:GFC72 GOW2:GOY72 GYS2:GYU72 HIO2:HIQ72 HSK2:HSM72 ICG2:ICI72 IMC2:IME72 IVY2:IWA72 JFU2:JFW72 JPQ2:JPS72 JZM2:JZO72 KJI2:KJK72 KTE2:KTG72 LDA2:LDC72 LMW2:LMY72 LWS2:LWU72 MGO2:MGQ72 MQK2:MQM72 NAG2:NAI72 NKC2:NKE72 NTY2:NUA72 ODU2:ODW72 ONQ2:ONS72 OXM2:OXO72 PHI2:PHK72 PRE2:PRG72 QBA2:QBC72 QKW2:QKY72 QUS2:QUU72 REO2:REQ72 ROK2:ROM72 RYG2:RYI72 SIC2:SIE72 SRY2:SSA72 TBU2:TBW72 TLQ2:TLS72 TVM2:TVO72 UFI2:UFK72 UPE2:UPG72 UZA2:UZC72 VIW2:VIY72 VSS2:VSU72 WCO2:WCQ72 WMK2:WMM72" xr:uid="{B1033776-4340-47AE-B5F1-033A075BEE8E}">
      <formula1>$AV$2:$AV$20</formula1>
    </dataValidation>
    <dataValidation type="list" allowBlank="1" showInputMessage="1" showErrorMessage="1" sqref="H64348:H64413 JD64348:JD64413 SZ64348:SZ64413 ACV64348:ACV64413 AMR64348:AMR64413 AWN64348:AWN64413 BGJ64348:BGJ64413 BQF64348:BQF64413 CAB64348:CAB64413 CJX64348:CJX64413 CTT64348:CTT64413 DDP64348:DDP64413 DNL64348:DNL64413 DXH64348:DXH64413 EHD64348:EHD64413 EQZ64348:EQZ64413 FAV64348:FAV64413 FKR64348:FKR64413 FUN64348:FUN64413 GEJ64348:GEJ64413 GOF64348:GOF64413 GYB64348:GYB64413 HHX64348:HHX64413 HRT64348:HRT64413 IBP64348:IBP64413 ILL64348:ILL64413 IVH64348:IVH64413 JFD64348:JFD64413 JOZ64348:JOZ64413 JYV64348:JYV64413 KIR64348:KIR64413 KSN64348:KSN64413 LCJ64348:LCJ64413 LMF64348:LMF64413 LWB64348:LWB64413 MFX64348:MFX64413 MPT64348:MPT64413 MZP64348:MZP64413 NJL64348:NJL64413 NTH64348:NTH64413 ODD64348:ODD64413 OMZ64348:OMZ64413 OWV64348:OWV64413 PGR64348:PGR64413 PQN64348:PQN64413 QAJ64348:QAJ64413 QKF64348:QKF64413 QUB64348:QUB64413 RDX64348:RDX64413 RNT64348:RNT64413 RXP64348:RXP64413 SHL64348:SHL64413 SRH64348:SRH64413 TBD64348:TBD64413 TKZ64348:TKZ64413 TUV64348:TUV64413 UER64348:UER64413 UON64348:UON64413 UYJ64348:UYJ64413 VIF64348:VIF64413 VSB64348:VSB64413 WBX64348:WBX64413 WLT64348:WLT64413 WVP64348:WVP64413 H129884:H129949 JD129884:JD129949 SZ129884:SZ129949 ACV129884:ACV129949 AMR129884:AMR129949 AWN129884:AWN129949 BGJ129884:BGJ129949 BQF129884:BQF129949 CAB129884:CAB129949 CJX129884:CJX129949 CTT129884:CTT129949 DDP129884:DDP129949 DNL129884:DNL129949 DXH129884:DXH129949 EHD129884:EHD129949 EQZ129884:EQZ129949 FAV129884:FAV129949 FKR129884:FKR129949 FUN129884:FUN129949 GEJ129884:GEJ129949 GOF129884:GOF129949 GYB129884:GYB129949 HHX129884:HHX129949 HRT129884:HRT129949 IBP129884:IBP129949 ILL129884:ILL129949 IVH129884:IVH129949 JFD129884:JFD129949 JOZ129884:JOZ129949 JYV129884:JYV129949 KIR129884:KIR129949 KSN129884:KSN129949 LCJ129884:LCJ129949 LMF129884:LMF129949 LWB129884:LWB129949 MFX129884:MFX129949 MPT129884:MPT129949 MZP129884:MZP129949 NJL129884:NJL129949 NTH129884:NTH129949 ODD129884:ODD129949 OMZ129884:OMZ129949 OWV129884:OWV129949 PGR129884:PGR129949 PQN129884:PQN129949 QAJ129884:QAJ129949 QKF129884:QKF129949 QUB129884:QUB129949 RDX129884:RDX129949 RNT129884:RNT129949 RXP129884:RXP129949 SHL129884:SHL129949 SRH129884:SRH129949 TBD129884:TBD129949 TKZ129884:TKZ129949 TUV129884:TUV129949 UER129884:UER129949 UON129884:UON129949 UYJ129884:UYJ129949 VIF129884:VIF129949 VSB129884:VSB129949 WBX129884:WBX129949 WLT129884:WLT129949 WVP129884:WVP129949 H195420:H195485 JD195420:JD195485 SZ195420:SZ195485 ACV195420:ACV195485 AMR195420:AMR195485 AWN195420:AWN195485 BGJ195420:BGJ195485 BQF195420:BQF195485 CAB195420:CAB195485 CJX195420:CJX195485 CTT195420:CTT195485 DDP195420:DDP195485 DNL195420:DNL195485 DXH195420:DXH195485 EHD195420:EHD195485 EQZ195420:EQZ195485 FAV195420:FAV195485 FKR195420:FKR195485 FUN195420:FUN195485 GEJ195420:GEJ195485 GOF195420:GOF195485 GYB195420:GYB195485 HHX195420:HHX195485 HRT195420:HRT195485 IBP195420:IBP195485 ILL195420:ILL195485 IVH195420:IVH195485 JFD195420:JFD195485 JOZ195420:JOZ195485 JYV195420:JYV195485 KIR195420:KIR195485 KSN195420:KSN195485 LCJ195420:LCJ195485 LMF195420:LMF195485 LWB195420:LWB195485 MFX195420:MFX195485 MPT195420:MPT195485 MZP195420:MZP195485 NJL195420:NJL195485 NTH195420:NTH195485 ODD195420:ODD195485 OMZ195420:OMZ195485 OWV195420:OWV195485 PGR195420:PGR195485 PQN195420:PQN195485 QAJ195420:QAJ195485 QKF195420:QKF195485 QUB195420:QUB195485 RDX195420:RDX195485 RNT195420:RNT195485 RXP195420:RXP195485 SHL195420:SHL195485 SRH195420:SRH195485 TBD195420:TBD195485 TKZ195420:TKZ195485 TUV195420:TUV195485 UER195420:UER195485 UON195420:UON195485 UYJ195420:UYJ195485 VIF195420:VIF195485 VSB195420:VSB195485 WBX195420:WBX195485 WLT195420:WLT195485 WVP195420:WVP195485 H260956:H261021 JD260956:JD261021 SZ260956:SZ261021 ACV260956:ACV261021 AMR260956:AMR261021 AWN260956:AWN261021 BGJ260956:BGJ261021 BQF260956:BQF261021 CAB260956:CAB261021 CJX260956:CJX261021 CTT260956:CTT261021 DDP260956:DDP261021 DNL260956:DNL261021 DXH260956:DXH261021 EHD260956:EHD261021 EQZ260956:EQZ261021 FAV260956:FAV261021 FKR260956:FKR261021 FUN260956:FUN261021 GEJ260956:GEJ261021 GOF260956:GOF261021 GYB260956:GYB261021 HHX260956:HHX261021 HRT260956:HRT261021 IBP260956:IBP261021 ILL260956:ILL261021 IVH260956:IVH261021 JFD260956:JFD261021 JOZ260956:JOZ261021 JYV260956:JYV261021 KIR260956:KIR261021 KSN260956:KSN261021 LCJ260956:LCJ261021 LMF260956:LMF261021 LWB260956:LWB261021 MFX260956:MFX261021 MPT260956:MPT261021 MZP260956:MZP261021 NJL260956:NJL261021 NTH260956:NTH261021 ODD260956:ODD261021 OMZ260956:OMZ261021 OWV260956:OWV261021 PGR260956:PGR261021 PQN260956:PQN261021 QAJ260956:QAJ261021 QKF260956:QKF261021 QUB260956:QUB261021 RDX260956:RDX261021 RNT260956:RNT261021 RXP260956:RXP261021 SHL260956:SHL261021 SRH260956:SRH261021 TBD260956:TBD261021 TKZ260956:TKZ261021 TUV260956:TUV261021 UER260956:UER261021 UON260956:UON261021 UYJ260956:UYJ261021 VIF260956:VIF261021 VSB260956:VSB261021 WBX260956:WBX261021 WLT260956:WLT261021 WVP260956:WVP261021 H326492:H326557 JD326492:JD326557 SZ326492:SZ326557 ACV326492:ACV326557 AMR326492:AMR326557 AWN326492:AWN326557 BGJ326492:BGJ326557 BQF326492:BQF326557 CAB326492:CAB326557 CJX326492:CJX326557 CTT326492:CTT326557 DDP326492:DDP326557 DNL326492:DNL326557 DXH326492:DXH326557 EHD326492:EHD326557 EQZ326492:EQZ326557 FAV326492:FAV326557 FKR326492:FKR326557 FUN326492:FUN326557 GEJ326492:GEJ326557 GOF326492:GOF326557 GYB326492:GYB326557 HHX326492:HHX326557 HRT326492:HRT326557 IBP326492:IBP326557 ILL326492:ILL326557 IVH326492:IVH326557 JFD326492:JFD326557 JOZ326492:JOZ326557 JYV326492:JYV326557 KIR326492:KIR326557 KSN326492:KSN326557 LCJ326492:LCJ326557 LMF326492:LMF326557 LWB326492:LWB326557 MFX326492:MFX326557 MPT326492:MPT326557 MZP326492:MZP326557 NJL326492:NJL326557 NTH326492:NTH326557 ODD326492:ODD326557 OMZ326492:OMZ326557 OWV326492:OWV326557 PGR326492:PGR326557 PQN326492:PQN326557 QAJ326492:QAJ326557 QKF326492:QKF326557 QUB326492:QUB326557 RDX326492:RDX326557 RNT326492:RNT326557 RXP326492:RXP326557 SHL326492:SHL326557 SRH326492:SRH326557 TBD326492:TBD326557 TKZ326492:TKZ326557 TUV326492:TUV326557 UER326492:UER326557 UON326492:UON326557 UYJ326492:UYJ326557 VIF326492:VIF326557 VSB326492:VSB326557 WBX326492:WBX326557 WLT326492:WLT326557 WVP326492:WVP326557 H392028:H392093 JD392028:JD392093 SZ392028:SZ392093 ACV392028:ACV392093 AMR392028:AMR392093 AWN392028:AWN392093 BGJ392028:BGJ392093 BQF392028:BQF392093 CAB392028:CAB392093 CJX392028:CJX392093 CTT392028:CTT392093 DDP392028:DDP392093 DNL392028:DNL392093 DXH392028:DXH392093 EHD392028:EHD392093 EQZ392028:EQZ392093 FAV392028:FAV392093 FKR392028:FKR392093 FUN392028:FUN392093 GEJ392028:GEJ392093 GOF392028:GOF392093 GYB392028:GYB392093 HHX392028:HHX392093 HRT392028:HRT392093 IBP392028:IBP392093 ILL392028:ILL392093 IVH392028:IVH392093 JFD392028:JFD392093 JOZ392028:JOZ392093 JYV392028:JYV392093 KIR392028:KIR392093 KSN392028:KSN392093 LCJ392028:LCJ392093 LMF392028:LMF392093 LWB392028:LWB392093 MFX392028:MFX392093 MPT392028:MPT392093 MZP392028:MZP392093 NJL392028:NJL392093 NTH392028:NTH392093 ODD392028:ODD392093 OMZ392028:OMZ392093 OWV392028:OWV392093 PGR392028:PGR392093 PQN392028:PQN392093 QAJ392028:QAJ392093 QKF392028:QKF392093 QUB392028:QUB392093 RDX392028:RDX392093 RNT392028:RNT392093 RXP392028:RXP392093 SHL392028:SHL392093 SRH392028:SRH392093 TBD392028:TBD392093 TKZ392028:TKZ392093 TUV392028:TUV392093 UER392028:UER392093 UON392028:UON392093 UYJ392028:UYJ392093 VIF392028:VIF392093 VSB392028:VSB392093 WBX392028:WBX392093 WLT392028:WLT392093 WVP392028:WVP392093 H457564:H457629 JD457564:JD457629 SZ457564:SZ457629 ACV457564:ACV457629 AMR457564:AMR457629 AWN457564:AWN457629 BGJ457564:BGJ457629 BQF457564:BQF457629 CAB457564:CAB457629 CJX457564:CJX457629 CTT457564:CTT457629 DDP457564:DDP457629 DNL457564:DNL457629 DXH457564:DXH457629 EHD457564:EHD457629 EQZ457564:EQZ457629 FAV457564:FAV457629 FKR457564:FKR457629 FUN457564:FUN457629 GEJ457564:GEJ457629 GOF457564:GOF457629 GYB457564:GYB457629 HHX457564:HHX457629 HRT457564:HRT457629 IBP457564:IBP457629 ILL457564:ILL457629 IVH457564:IVH457629 JFD457564:JFD457629 JOZ457564:JOZ457629 JYV457564:JYV457629 KIR457564:KIR457629 KSN457564:KSN457629 LCJ457564:LCJ457629 LMF457564:LMF457629 LWB457564:LWB457629 MFX457564:MFX457629 MPT457564:MPT457629 MZP457564:MZP457629 NJL457564:NJL457629 NTH457564:NTH457629 ODD457564:ODD457629 OMZ457564:OMZ457629 OWV457564:OWV457629 PGR457564:PGR457629 PQN457564:PQN457629 QAJ457564:QAJ457629 QKF457564:QKF457629 QUB457564:QUB457629 RDX457564:RDX457629 RNT457564:RNT457629 RXP457564:RXP457629 SHL457564:SHL457629 SRH457564:SRH457629 TBD457564:TBD457629 TKZ457564:TKZ457629 TUV457564:TUV457629 UER457564:UER457629 UON457564:UON457629 UYJ457564:UYJ457629 VIF457564:VIF457629 VSB457564:VSB457629 WBX457564:WBX457629 WLT457564:WLT457629 WVP457564:WVP457629 H523100:H523165 JD523100:JD523165 SZ523100:SZ523165 ACV523100:ACV523165 AMR523100:AMR523165 AWN523100:AWN523165 BGJ523100:BGJ523165 BQF523100:BQF523165 CAB523100:CAB523165 CJX523100:CJX523165 CTT523100:CTT523165 DDP523100:DDP523165 DNL523100:DNL523165 DXH523100:DXH523165 EHD523100:EHD523165 EQZ523100:EQZ523165 FAV523100:FAV523165 FKR523100:FKR523165 FUN523100:FUN523165 GEJ523100:GEJ523165 GOF523100:GOF523165 GYB523100:GYB523165 HHX523100:HHX523165 HRT523100:HRT523165 IBP523100:IBP523165 ILL523100:ILL523165 IVH523100:IVH523165 JFD523100:JFD523165 JOZ523100:JOZ523165 JYV523100:JYV523165 KIR523100:KIR523165 KSN523100:KSN523165 LCJ523100:LCJ523165 LMF523100:LMF523165 LWB523100:LWB523165 MFX523100:MFX523165 MPT523100:MPT523165 MZP523100:MZP523165 NJL523100:NJL523165 NTH523100:NTH523165 ODD523100:ODD523165 OMZ523100:OMZ523165 OWV523100:OWV523165 PGR523100:PGR523165 PQN523100:PQN523165 QAJ523100:QAJ523165 QKF523100:QKF523165 QUB523100:QUB523165 RDX523100:RDX523165 RNT523100:RNT523165 RXP523100:RXP523165 SHL523100:SHL523165 SRH523100:SRH523165 TBD523100:TBD523165 TKZ523100:TKZ523165 TUV523100:TUV523165 UER523100:UER523165 UON523100:UON523165 UYJ523100:UYJ523165 VIF523100:VIF523165 VSB523100:VSB523165 WBX523100:WBX523165 WLT523100:WLT523165 WVP523100:WVP523165 H588636:H588701 JD588636:JD588701 SZ588636:SZ588701 ACV588636:ACV588701 AMR588636:AMR588701 AWN588636:AWN588701 BGJ588636:BGJ588701 BQF588636:BQF588701 CAB588636:CAB588701 CJX588636:CJX588701 CTT588636:CTT588701 DDP588636:DDP588701 DNL588636:DNL588701 DXH588636:DXH588701 EHD588636:EHD588701 EQZ588636:EQZ588701 FAV588636:FAV588701 FKR588636:FKR588701 FUN588636:FUN588701 GEJ588636:GEJ588701 GOF588636:GOF588701 GYB588636:GYB588701 HHX588636:HHX588701 HRT588636:HRT588701 IBP588636:IBP588701 ILL588636:ILL588701 IVH588636:IVH588701 JFD588636:JFD588701 JOZ588636:JOZ588701 JYV588636:JYV588701 KIR588636:KIR588701 KSN588636:KSN588701 LCJ588636:LCJ588701 LMF588636:LMF588701 LWB588636:LWB588701 MFX588636:MFX588701 MPT588636:MPT588701 MZP588636:MZP588701 NJL588636:NJL588701 NTH588636:NTH588701 ODD588636:ODD588701 OMZ588636:OMZ588701 OWV588636:OWV588701 PGR588636:PGR588701 PQN588636:PQN588701 QAJ588636:QAJ588701 QKF588636:QKF588701 QUB588636:QUB588701 RDX588636:RDX588701 RNT588636:RNT588701 RXP588636:RXP588701 SHL588636:SHL588701 SRH588636:SRH588701 TBD588636:TBD588701 TKZ588636:TKZ588701 TUV588636:TUV588701 UER588636:UER588701 UON588636:UON588701 UYJ588636:UYJ588701 VIF588636:VIF588701 VSB588636:VSB588701 WBX588636:WBX588701 WLT588636:WLT588701 WVP588636:WVP588701 H654172:H654237 JD654172:JD654237 SZ654172:SZ654237 ACV654172:ACV654237 AMR654172:AMR654237 AWN654172:AWN654237 BGJ654172:BGJ654237 BQF654172:BQF654237 CAB654172:CAB654237 CJX654172:CJX654237 CTT654172:CTT654237 DDP654172:DDP654237 DNL654172:DNL654237 DXH654172:DXH654237 EHD654172:EHD654237 EQZ654172:EQZ654237 FAV654172:FAV654237 FKR654172:FKR654237 FUN654172:FUN654237 GEJ654172:GEJ654237 GOF654172:GOF654237 GYB654172:GYB654237 HHX654172:HHX654237 HRT654172:HRT654237 IBP654172:IBP654237 ILL654172:ILL654237 IVH654172:IVH654237 JFD654172:JFD654237 JOZ654172:JOZ654237 JYV654172:JYV654237 KIR654172:KIR654237 KSN654172:KSN654237 LCJ654172:LCJ654237 LMF654172:LMF654237 LWB654172:LWB654237 MFX654172:MFX654237 MPT654172:MPT654237 MZP654172:MZP654237 NJL654172:NJL654237 NTH654172:NTH654237 ODD654172:ODD654237 OMZ654172:OMZ654237 OWV654172:OWV654237 PGR654172:PGR654237 PQN654172:PQN654237 QAJ654172:QAJ654237 QKF654172:QKF654237 QUB654172:QUB654237 RDX654172:RDX654237 RNT654172:RNT654237 RXP654172:RXP654237 SHL654172:SHL654237 SRH654172:SRH654237 TBD654172:TBD654237 TKZ654172:TKZ654237 TUV654172:TUV654237 UER654172:UER654237 UON654172:UON654237 UYJ654172:UYJ654237 VIF654172:VIF654237 VSB654172:VSB654237 WBX654172:WBX654237 WLT654172:WLT654237 WVP654172:WVP654237 H719708:H719773 JD719708:JD719773 SZ719708:SZ719773 ACV719708:ACV719773 AMR719708:AMR719773 AWN719708:AWN719773 BGJ719708:BGJ719773 BQF719708:BQF719773 CAB719708:CAB719773 CJX719708:CJX719773 CTT719708:CTT719773 DDP719708:DDP719773 DNL719708:DNL719773 DXH719708:DXH719773 EHD719708:EHD719773 EQZ719708:EQZ719773 FAV719708:FAV719773 FKR719708:FKR719773 FUN719708:FUN719773 GEJ719708:GEJ719773 GOF719708:GOF719773 GYB719708:GYB719773 HHX719708:HHX719773 HRT719708:HRT719773 IBP719708:IBP719773 ILL719708:ILL719773 IVH719708:IVH719773 JFD719708:JFD719773 JOZ719708:JOZ719773 JYV719708:JYV719773 KIR719708:KIR719773 KSN719708:KSN719773 LCJ719708:LCJ719773 LMF719708:LMF719773 LWB719708:LWB719773 MFX719708:MFX719773 MPT719708:MPT719773 MZP719708:MZP719773 NJL719708:NJL719773 NTH719708:NTH719773 ODD719708:ODD719773 OMZ719708:OMZ719773 OWV719708:OWV719773 PGR719708:PGR719773 PQN719708:PQN719773 QAJ719708:QAJ719773 QKF719708:QKF719773 QUB719708:QUB719773 RDX719708:RDX719773 RNT719708:RNT719773 RXP719708:RXP719773 SHL719708:SHL719773 SRH719708:SRH719773 TBD719708:TBD719773 TKZ719708:TKZ719773 TUV719708:TUV719773 UER719708:UER719773 UON719708:UON719773 UYJ719708:UYJ719773 VIF719708:VIF719773 VSB719708:VSB719773 WBX719708:WBX719773 WLT719708:WLT719773 WVP719708:WVP719773 H785244:H785309 JD785244:JD785309 SZ785244:SZ785309 ACV785244:ACV785309 AMR785244:AMR785309 AWN785244:AWN785309 BGJ785244:BGJ785309 BQF785244:BQF785309 CAB785244:CAB785309 CJX785244:CJX785309 CTT785244:CTT785309 DDP785244:DDP785309 DNL785244:DNL785309 DXH785244:DXH785309 EHD785244:EHD785309 EQZ785244:EQZ785309 FAV785244:FAV785309 FKR785244:FKR785309 FUN785244:FUN785309 GEJ785244:GEJ785309 GOF785244:GOF785309 GYB785244:GYB785309 HHX785244:HHX785309 HRT785244:HRT785309 IBP785244:IBP785309 ILL785244:ILL785309 IVH785244:IVH785309 JFD785244:JFD785309 JOZ785244:JOZ785309 JYV785244:JYV785309 KIR785244:KIR785309 KSN785244:KSN785309 LCJ785244:LCJ785309 LMF785244:LMF785309 LWB785244:LWB785309 MFX785244:MFX785309 MPT785244:MPT785309 MZP785244:MZP785309 NJL785244:NJL785309 NTH785244:NTH785309 ODD785244:ODD785309 OMZ785244:OMZ785309 OWV785244:OWV785309 PGR785244:PGR785309 PQN785244:PQN785309 QAJ785244:QAJ785309 QKF785244:QKF785309 QUB785244:QUB785309 RDX785244:RDX785309 RNT785244:RNT785309 RXP785244:RXP785309 SHL785244:SHL785309 SRH785244:SRH785309 TBD785244:TBD785309 TKZ785244:TKZ785309 TUV785244:TUV785309 UER785244:UER785309 UON785244:UON785309 UYJ785244:UYJ785309 VIF785244:VIF785309 VSB785244:VSB785309 WBX785244:WBX785309 WLT785244:WLT785309 WVP785244:WVP785309 H850780:H850845 JD850780:JD850845 SZ850780:SZ850845 ACV850780:ACV850845 AMR850780:AMR850845 AWN850780:AWN850845 BGJ850780:BGJ850845 BQF850780:BQF850845 CAB850780:CAB850845 CJX850780:CJX850845 CTT850780:CTT850845 DDP850780:DDP850845 DNL850780:DNL850845 DXH850780:DXH850845 EHD850780:EHD850845 EQZ850780:EQZ850845 FAV850780:FAV850845 FKR850780:FKR850845 FUN850780:FUN850845 GEJ850780:GEJ850845 GOF850780:GOF850845 GYB850780:GYB850845 HHX850780:HHX850845 HRT850780:HRT850845 IBP850780:IBP850845 ILL850780:ILL850845 IVH850780:IVH850845 JFD850780:JFD850845 JOZ850780:JOZ850845 JYV850780:JYV850845 KIR850780:KIR850845 KSN850780:KSN850845 LCJ850780:LCJ850845 LMF850780:LMF850845 LWB850780:LWB850845 MFX850780:MFX850845 MPT850780:MPT850845 MZP850780:MZP850845 NJL850780:NJL850845 NTH850780:NTH850845 ODD850780:ODD850845 OMZ850780:OMZ850845 OWV850780:OWV850845 PGR850780:PGR850845 PQN850780:PQN850845 QAJ850780:QAJ850845 QKF850780:QKF850845 QUB850780:QUB850845 RDX850780:RDX850845 RNT850780:RNT850845 RXP850780:RXP850845 SHL850780:SHL850845 SRH850780:SRH850845 TBD850780:TBD850845 TKZ850780:TKZ850845 TUV850780:TUV850845 UER850780:UER850845 UON850780:UON850845 UYJ850780:UYJ850845 VIF850780:VIF850845 VSB850780:VSB850845 WBX850780:WBX850845 WLT850780:WLT850845 WVP850780:WVP850845 H916316:H916381 JD916316:JD916381 SZ916316:SZ916381 ACV916316:ACV916381 AMR916316:AMR916381 AWN916316:AWN916381 BGJ916316:BGJ916381 BQF916316:BQF916381 CAB916316:CAB916381 CJX916316:CJX916381 CTT916316:CTT916381 DDP916316:DDP916381 DNL916316:DNL916381 DXH916316:DXH916381 EHD916316:EHD916381 EQZ916316:EQZ916381 FAV916316:FAV916381 FKR916316:FKR916381 FUN916316:FUN916381 GEJ916316:GEJ916381 GOF916316:GOF916381 GYB916316:GYB916381 HHX916316:HHX916381 HRT916316:HRT916381 IBP916316:IBP916381 ILL916316:ILL916381 IVH916316:IVH916381 JFD916316:JFD916381 JOZ916316:JOZ916381 JYV916316:JYV916381 KIR916316:KIR916381 KSN916316:KSN916381 LCJ916316:LCJ916381 LMF916316:LMF916381 LWB916316:LWB916381 MFX916316:MFX916381 MPT916316:MPT916381 MZP916316:MZP916381 NJL916316:NJL916381 NTH916316:NTH916381 ODD916316:ODD916381 OMZ916316:OMZ916381 OWV916316:OWV916381 PGR916316:PGR916381 PQN916316:PQN916381 QAJ916316:QAJ916381 QKF916316:QKF916381 QUB916316:QUB916381 RDX916316:RDX916381 RNT916316:RNT916381 RXP916316:RXP916381 SHL916316:SHL916381 SRH916316:SRH916381 TBD916316:TBD916381 TKZ916316:TKZ916381 TUV916316:TUV916381 UER916316:UER916381 UON916316:UON916381 UYJ916316:UYJ916381 VIF916316:VIF916381 VSB916316:VSB916381 WBX916316:WBX916381 WLT916316:WLT916381 WVP916316:WVP916381 H981852:H981917 JD981852:JD981917 SZ981852:SZ981917 ACV981852:ACV981917 AMR981852:AMR981917 AWN981852:AWN981917 BGJ981852:BGJ981917 BQF981852:BQF981917 CAB981852:CAB981917 CJX981852:CJX981917 CTT981852:CTT981917 DDP981852:DDP981917 DNL981852:DNL981917 DXH981852:DXH981917 EHD981852:EHD981917 EQZ981852:EQZ981917 FAV981852:FAV981917 FKR981852:FKR981917 FUN981852:FUN981917 GEJ981852:GEJ981917 GOF981852:GOF981917 GYB981852:GYB981917 HHX981852:HHX981917 HRT981852:HRT981917 IBP981852:IBP981917 ILL981852:ILL981917 IVH981852:IVH981917 JFD981852:JFD981917 JOZ981852:JOZ981917 JYV981852:JYV981917 KIR981852:KIR981917 KSN981852:KSN981917 LCJ981852:LCJ981917 LMF981852:LMF981917 LWB981852:LWB981917 MFX981852:MFX981917 MPT981852:MPT981917 MZP981852:MZP981917 NJL981852:NJL981917 NTH981852:NTH981917 ODD981852:ODD981917 OMZ981852:OMZ981917 OWV981852:OWV981917 PGR981852:PGR981917 PQN981852:PQN981917 QAJ981852:QAJ981917 QKF981852:QKF981917 QUB981852:QUB981917 RDX981852:RDX981917 RNT981852:RNT981917 RXP981852:RXP981917 SHL981852:SHL981917 SRH981852:SRH981917 TBD981852:TBD981917 TKZ981852:TKZ981917 TUV981852:TUV981917 UER981852:UER981917 UON981852:UON981917 UYJ981852:UYJ981917 VIF981852:VIF981917 VSB981852:VSB981917 WBX981852:WBX981917 WLT981852:WLT981917 WVP981852:WVP981917 H1047388:H1047453 JD1047388:JD1047453 SZ1047388:SZ1047453 ACV1047388:ACV1047453 AMR1047388:AMR1047453 AWN1047388:AWN1047453 BGJ1047388:BGJ1047453 BQF1047388:BQF1047453 CAB1047388:CAB1047453 CJX1047388:CJX1047453 CTT1047388:CTT1047453 DDP1047388:DDP1047453 DNL1047388:DNL1047453 DXH1047388:DXH1047453 EHD1047388:EHD1047453 EQZ1047388:EQZ1047453 FAV1047388:FAV1047453 FKR1047388:FKR1047453 FUN1047388:FUN1047453 GEJ1047388:GEJ1047453 GOF1047388:GOF1047453 GYB1047388:GYB1047453 HHX1047388:HHX1047453 HRT1047388:HRT1047453 IBP1047388:IBP1047453 ILL1047388:ILL1047453 IVH1047388:IVH1047453 JFD1047388:JFD1047453 JOZ1047388:JOZ1047453 JYV1047388:JYV1047453 KIR1047388:KIR1047453 KSN1047388:KSN1047453 LCJ1047388:LCJ1047453 LMF1047388:LMF1047453 LWB1047388:LWB1047453 MFX1047388:MFX1047453 MPT1047388:MPT1047453 MZP1047388:MZP1047453 NJL1047388:NJL1047453 NTH1047388:NTH1047453 ODD1047388:ODD1047453 OMZ1047388:OMZ1047453 OWV1047388:OWV1047453 PGR1047388:PGR1047453 PQN1047388:PQN1047453 QAJ1047388:QAJ1047453 QKF1047388:QKF1047453 QUB1047388:QUB1047453 RDX1047388:RDX1047453 RNT1047388:RNT1047453 RXP1047388:RXP1047453 SHL1047388:SHL1047453 SRH1047388:SRH1047453 TBD1047388:TBD1047453 TKZ1047388:TKZ1047453 TUV1047388:TUV1047453 UER1047388:UER1047453 UON1047388:UON1047453 UYJ1047388:UYJ1047453 VIF1047388:VIF1047453 VSB1047388:VSB1047453 WBX1047388:WBX1047453 WLT1047388:WLT1047453 WVP1047388:WVP1047453" xr:uid="{12471E1D-69C1-47E4-971F-08BDE12A2E05}">
      <formula1>$AL$5:$AL$12</formula1>
    </dataValidation>
    <dataValidation type="list" allowBlank="1" showInputMessage="1" showErrorMessage="1" sqref="E64348:F64413 WVM983027:WVN983098 WLQ983027:WLR983098 WBU983027:WBV983098 VRY983027:VRZ983098 VIC983027:VID983098 UYG983027:UYH983098 UOK983027:UOL983098 UEO983027:UEP983098 TUS983027:TUT983098 TKW983027:TKX983098 TBA983027:TBB983098 SRE983027:SRF983098 SHI983027:SHJ983098 RXM983027:RXN983098 RNQ983027:RNR983098 RDU983027:RDV983098 QTY983027:QTZ983098 QKC983027:QKD983098 QAG983027:QAH983098 PQK983027:PQL983098 PGO983027:PGP983098 OWS983027:OWT983098 OMW983027:OMX983098 ODA983027:ODB983098 NTE983027:NTF983098 NJI983027:NJJ983098 MZM983027:MZN983098 MPQ983027:MPR983098 MFU983027:MFV983098 LVY983027:LVZ983098 LMC983027:LMD983098 LCG983027:LCH983098 KSK983027:KSL983098 KIO983027:KIP983098 JYS983027:JYT983098 JOW983027:JOX983098 JFA983027:JFB983098 IVE983027:IVF983098 ILI983027:ILJ983098 IBM983027:IBN983098 HRQ983027:HRR983098 HHU983027:HHV983098 GXY983027:GXZ983098 GOC983027:GOD983098 GEG983027:GEH983098 FUK983027:FUL983098 FKO983027:FKP983098 FAS983027:FAT983098 EQW983027:EQX983098 EHA983027:EHB983098 DXE983027:DXF983098 DNI983027:DNJ983098 DDM983027:DDN983098 CTQ983027:CTR983098 CJU983027:CJV983098 BZY983027:BZZ983098 BQC983027:BQD983098 BGG983027:BGH983098 AWK983027:AWL983098 AMO983027:AMP983098 ACS983027:ACT983098 SW983027:SX983098 JA983027:JB983098 E983027:F983098 WVM917491:WVN917562 WLQ917491:WLR917562 WBU917491:WBV917562 VRY917491:VRZ917562 VIC917491:VID917562 UYG917491:UYH917562 UOK917491:UOL917562 UEO917491:UEP917562 TUS917491:TUT917562 TKW917491:TKX917562 TBA917491:TBB917562 SRE917491:SRF917562 SHI917491:SHJ917562 RXM917491:RXN917562 RNQ917491:RNR917562 RDU917491:RDV917562 QTY917491:QTZ917562 QKC917491:QKD917562 QAG917491:QAH917562 PQK917491:PQL917562 PGO917491:PGP917562 OWS917491:OWT917562 OMW917491:OMX917562 ODA917491:ODB917562 NTE917491:NTF917562 NJI917491:NJJ917562 MZM917491:MZN917562 MPQ917491:MPR917562 MFU917491:MFV917562 LVY917491:LVZ917562 LMC917491:LMD917562 LCG917491:LCH917562 KSK917491:KSL917562 KIO917491:KIP917562 JYS917491:JYT917562 JOW917491:JOX917562 JFA917491:JFB917562 IVE917491:IVF917562 ILI917491:ILJ917562 IBM917491:IBN917562 HRQ917491:HRR917562 HHU917491:HHV917562 GXY917491:GXZ917562 GOC917491:GOD917562 GEG917491:GEH917562 FUK917491:FUL917562 FKO917491:FKP917562 FAS917491:FAT917562 EQW917491:EQX917562 EHA917491:EHB917562 DXE917491:DXF917562 DNI917491:DNJ917562 DDM917491:DDN917562 CTQ917491:CTR917562 CJU917491:CJV917562 BZY917491:BZZ917562 BQC917491:BQD917562 BGG917491:BGH917562 AWK917491:AWL917562 AMO917491:AMP917562 ACS917491:ACT917562 SW917491:SX917562 JA917491:JB917562 E917491:F917562 WVM851955:WVN852026 WLQ851955:WLR852026 WBU851955:WBV852026 VRY851955:VRZ852026 VIC851955:VID852026 UYG851955:UYH852026 UOK851955:UOL852026 UEO851955:UEP852026 TUS851955:TUT852026 TKW851955:TKX852026 TBA851955:TBB852026 SRE851955:SRF852026 SHI851955:SHJ852026 RXM851955:RXN852026 RNQ851955:RNR852026 RDU851955:RDV852026 QTY851955:QTZ852026 QKC851955:QKD852026 QAG851955:QAH852026 PQK851955:PQL852026 PGO851955:PGP852026 OWS851955:OWT852026 OMW851955:OMX852026 ODA851955:ODB852026 NTE851955:NTF852026 NJI851955:NJJ852026 MZM851955:MZN852026 MPQ851955:MPR852026 MFU851955:MFV852026 LVY851955:LVZ852026 LMC851955:LMD852026 LCG851955:LCH852026 KSK851955:KSL852026 KIO851955:KIP852026 JYS851955:JYT852026 JOW851955:JOX852026 JFA851955:JFB852026 IVE851955:IVF852026 ILI851955:ILJ852026 IBM851955:IBN852026 HRQ851955:HRR852026 HHU851955:HHV852026 GXY851955:GXZ852026 GOC851955:GOD852026 GEG851955:GEH852026 FUK851955:FUL852026 FKO851955:FKP852026 FAS851955:FAT852026 EQW851955:EQX852026 EHA851955:EHB852026 DXE851955:DXF852026 DNI851955:DNJ852026 DDM851955:DDN852026 CTQ851955:CTR852026 CJU851955:CJV852026 BZY851955:BZZ852026 BQC851955:BQD852026 BGG851955:BGH852026 AWK851955:AWL852026 AMO851955:AMP852026 ACS851955:ACT852026 SW851955:SX852026 JA851955:JB852026 E851955:F852026 WVM786419:WVN786490 WLQ786419:WLR786490 WBU786419:WBV786490 VRY786419:VRZ786490 VIC786419:VID786490 UYG786419:UYH786490 UOK786419:UOL786490 UEO786419:UEP786490 TUS786419:TUT786490 TKW786419:TKX786490 TBA786419:TBB786490 SRE786419:SRF786490 SHI786419:SHJ786490 RXM786419:RXN786490 RNQ786419:RNR786490 RDU786419:RDV786490 QTY786419:QTZ786490 QKC786419:QKD786490 QAG786419:QAH786490 PQK786419:PQL786490 PGO786419:PGP786490 OWS786419:OWT786490 OMW786419:OMX786490 ODA786419:ODB786490 NTE786419:NTF786490 NJI786419:NJJ786490 MZM786419:MZN786490 MPQ786419:MPR786490 MFU786419:MFV786490 LVY786419:LVZ786490 LMC786419:LMD786490 LCG786419:LCH786490 KSK786419:KSL786490 KIO786419:KIP786490 JYS786419:JYT786490 JOW786419:JOX786490 JFA786419:JFB786490 IVE786419:IVF786490 ILI786419:ILJ786490 IBM786419:IBN786490 HRQ786419:HRR786490 HHU786419:HHV786490 GXY786419:GXZ786490 GOC786419:GOD786490 GEG786419:GEH786490 FUK786419:FUL786490 FKO786419:FKP786490 FAS786419:FAT786490 EQW786419:EQX786490 EHA786419:EHB786490 DXE786419:DXF786490 DNI786419:DNJ786490 DDM786419:DDN786490 CTQ786419:CTR786490 CJU786419:CJV786490 BZY786419:BZZ786490 BQC786419:BQD786490 BGG786419:BGH786490 AWK786419:AWL786490 AMO786419:AMP786490 ACS786419:ACT786490 SW786419:SX786490 JA786419:JB786490 E786419:F786490 WVM720883:WVN720954 WLQ720883:WLR720954 WBU720883:WBV720954 VRY720883:VRZ720954 VIC720883:VID720954 UYG720883:UYH720954 UOK720883:UOL720954 UEO720883:UEP720954 TUS720883:TUT720954 TKW720883:TKX720954 TBA720883:TBB720954 SRE720883:SRF720954 SHI720883:SHJ720954 RXM720883:RXN720954 RNQ720883:RNR720954 RDU720883:RDV720954 QTY720883:QTZ720954 QKC720883:QKD720954 QAG720883:QAH720954 PQK720883:PQL720954 PGO720883:PGP720954 OWS720883:OWT720954 OMW720883:OMX720954 ODA720883:ODB720954 NTE720883:NTF720954 NJI720883:NJJ720954 MZM720883:MZN720954 MPQ720883:MPR720954 MFU720883:MFV720954 LVY720883:LVZ720954 LMC720883:LMD720954 LCG720883:LCH720954 KSK720883:KSL720954 KIO720883:KIP720954 JYS720883:JYT720954 JOW720883:JOX720954 JFA720883:JFB720954 IVE720883:IVF720954 ILI720883:ILJ720954 IBM720883:IBN720954 HRQ720883:HRR720954 HHU720883:HHV720954 GXY720883:GXZ720954 GOC720883:GOD720954 GEG720883:GEH720954 FUK720883:FUL720954 FKO720883:FKP720954 FAS720883:FAT720954 EQW720883:EQX720954 EHA720883:EHB720954 DXE720883:DXF720954 DNI720883:DNJ720954 DDM720883:DDN720954 CTQ720883:CTR720954 CJU720883:CJV720954 BZY720883:BZZ720954 BQC720883:BQD720954 BGG720883:BGH720954 AWK720883:AWL720954 AMO720883:AMP720954 ACS720883:ACT720954 SW720883:SX720954 JA720883:JB720954 E720883:F720954 WVM655347:WVN655418 WLQ655347:WLR655418 WBU655347:WBV655418 VRY655347:VRZ655418 VIC655347:VID655418 UYG655347:UYH655418 UOK655347:UOL655418 UEO655347:UEP655418 TUS655347:TUT655418 TKW655347:TKX655418 TBA655347:TBB655418 SRE655347:SRF655418 SHI655347:SHJ655418 RXM655347:RXN655418 RNQ655347:RNR655418 RDU655347:RDV655418 QTY655347:QTZ655418 QKC655347:QKD655418 QAG655347:QAH655418 PQK655347:PQL655418 PGO655347:PGP655418 OWS655347:OWT655418 OMW655347:OMX655418 ODA655347:ODB655418 NTE655347:NTF655418 NJI655347:NJJ655418 MZM655347:MZN655418 MPQ655347:MPR655418 MFU655347:MFV655418 LVY655347:LVZ655418 LMC655347:LMD655418 LCG655347:LCH655418 KSK655347:KSL655418 KIO655347:KIP655418 JYS655347:JYT655418 JOW655347:JOX655418 JFA655347:JFB655418 IVE655347:IVF655418 ILI655347:ILJ655418 IBM655347:IBN655418 HRQ655347:HRR655418 HHU655347:HHV655418 GXY655347:GXZ655418 GOC655347:GOD655418 GEG655347:GEH655418 FUK655347:FUL655418 FKO655347:FKP655418 FAS655347:FAT655418 EQW655347:EQX655418 EHA655347:EHB655418 DXE655347:DXF655418 DNI655347:DNJ655418 DDM655347:DDN655418 CTQ655347:CTR655418 CJU655347:CJV655418 BZY655347:BZZ655418 BQC655347:BQD655418 BGG655347:BGH655418 AWK655347:AWL655418 AMO655347:AMP655418 ACS655347:ACT655418 SW655347:SX655418 JA655347:JB655418 E655347:F655418 WVM589811:WVN589882 WLQ589811:WLR589882 WBU589811:WBV589882 VRY589811:VRZ589882 VIC589811:VID589882 UYG589811:UYH589882 UOK589811:UOL589882 UEO589811:UEP589882 TUS589811:TUT589882 TKW589811:TKX589882 TBA589811:TBB589882 SRE589811:SRF589882 SHI589811:SHJ589882 RXM589811:RXN589882 RNQ589811:RNR589882 RDU589811:RDV589882 QTY589811:QTZ589882 QKC589811:QKD589882 QAG589811:QAH589882 PQK589811:PQL589882 PGO589811:PGP589882 OWS589811:OWT589882 OMW589811:OMX589882 ODA589811:ODB589882 NTE589811:NTF589882 NJI589811:NJJ589882 MZM589811:MZN589882 MPQ589811:MPR589882 MFU589811:MFV589882 LVY589811:LVZ589882 LMC589811:LMD589882 LCG589811:LCH589882 KSK589811:KSL589882 KIO589811:KIP589882 JYS589811:JYT589882 JOW589811:JOX589882 JFA589811:JFB589882 IVE589811:IVF589882 ILI589811:ILJ589882 IBM589811:IBN589882 HRQ589811:HRR589882 HHU589811:HHV589882 GXY589811:GXZ589882 GOC589811:GOD589882 GEG589811:GEH589882 FUK589811:FUL589882 FKO589811:FKP589882 FAS589811:FAT589882 EQW589811:EQX589882 EHA589811:EHB589882 DXE589811:DXF589882 DNI589811:DNJ589882 DDM589811:DDN589882 CTQ589811:CTR589882 CJU589811:CJV589882 BZY589811:BZZ589882 BQC589811:BQD589882 BGG589811:BGH589882 AWK589811:AWL589882 AMO589811:AMP589882 ACS589811:ACT589882 SW589811:SX589882 JA589811:JB589882 E589811:F589882 WVM524275:WVN524346 WLQ524275:WLR524346 WBU524275:WBV524346 VRY524275:VRZ524346 VIC524275:VID524346 UYG524275:UYH524346 UOK524275:UOL524346 UEO524275:UEP524346 TUS524275:TUT524346 TKW524275:TKX524346 TBA524275:TBB524346 SRE524275:SRF524346 SHI524275:SHJ524346 RXM524275:RXN524346 RNQ524275:RNR524346 RDU524275:RDV524346 QTY524275:QTZ524346 QKC524275:QKD524346 QAG524275:QAH524346 PQK524275:PQL524346 PGO524275:PGP524346 OWS524275:OWT524346 OMW524275:OMX524346 ODA524275:ODB524346 NTE524275:NTF524346 NJI524275:NJJ524346 MZM524275:MZN524346 MPQ524275:MPR524346 MFU524275:MFV524346 LVY524275:LVZ524346 LMC524275:LMD524346 LCG524275:LCH524346 KSK524275:KSL524346 KIO524275:KIP524346 JYS524275:JYT524346 JOW524275:JOX524346 JFA524275:JFB524346 IVE524275:IVF524346 ILI524275:ILJ524346 IBM524275:IBN524346 HRQ524275:HRR524346 HHU524275:HHV524346 GXY524275:GXZ524346 GOC524275:GOD524346 GEG524275:GEH524346 FUK524275:FUL524346 FKO524275:FKP524346 FAS524275:FAT524346 EQW524275:EQX524346 EHA524275:EHB524346 DXE524275:DXF524346 DNI524275:DNJ524346 DDM524275:DDN524346 CTQ524275:CTR524346 CJU524275:CJV524346 BZY524275:BZZ524346 BQC524275:BQD524346 BGG524275:BGH524346 AWK524275:AWL524346 AMO524275:AMP524346 ACS524275:ACT524346 SW524275:SX524346 JA524275:JB524346 E524275:F524346 WVM458739:WVN458810 WLQ458739:WLR458810 WBU458739:WBV458810 VRY458739:VRZ458810 VIC458739:VID458810 UYG458739:UYH458810 UOK458739:UOL458810 UEO458739:UEP458810 TUS458739:TUT458810 TKW458739:TKX458810 TBA458739:TBB458810 SRE458739:SRF458810 SHI458739:SHJ458810 RXM458739:RXN458810 RNQ458739:RNR458810 RDU458739:RDV458810 QTY458739:QTZ458810 QKC458739:QKD458810 QAG458739:QAH458810 PQK458739:PQL458810 PGO458739:PGP458810 OWS458739:OWT458810 OMW458739:OMX458810 ODA458739:ODB458810 NTE458739:NTF458810 NJI458739:NJJ458810 MZM458739:MZN458810 MPQ458739:MPR458810 MFU458739:MFV458810 LVY458739:LVZ458810 LMC458739:LMD458810 LCG458739:LCH458810 KSK458739:KSL458810 KIO458739:KIP458810 JYS458739:JYT458810 JOW458739:JOX458810 JFA458739:JFB458810 IVE458739:IVF458810 ILI458739:ILJ458810 IBM458739:IBN458810 HRQ458739:HRR458810 HHU458739:HHV458810 GXY458739:GXZ458810 GOC458739:GOD458810 GEG458739:GEH458810 FUK458739:FUL458810 FKO458739:FKP458810 FAS458739:FAT458810 EQW458739:EQX458810 EHA458739:EHB458810 DXE458739:DXF458810 DNI458739:DNJ458810 DDM458739:DDN458810 CTQ458739:CTR458810 CJU458739:CJV458810 BZY458739:BZZ458810 BQC458739:BQD458810 BGG458739:BGH458810 AWK458739:AWL458810 AMO458739:AMP458810 ACS458739:ACT458810 SW458739:SX458810 JA458739:JB458810 E458739:F458810 WVM393203:WVN393274 WLQ393203:WLR393274 WBU393203:WBV393274 VRY393203:VRZ393274 VIC393203:VID393274 UYG393203:UYH393274 UOK393203:UOL393274 UEO393203:UEP393274 TUS393203:TUT393274 TKW393203:TKX393274 TBA393203:TBB393274 SRE393203:SRF393274 SHI393203:SHJ393274 RXM393203:RXN393274 RNQ393203:RNR393274 RDU393203:RDV393274 QTY393203:QTZ393274 QKC393203:QKD393274 QAG393203:QAH393274 PQK393203:PQL393274 PGO393203:PGP393274 OWS393203:OWT393274 OMW393203:OMX393274 ODA393203:ODB393274 NTE393203:NTF393274 NJI393203:NJJ393274 MZM393203:MZN393274 MPQ393203:MPR393274 MFU393203:MFV393274 LVY393203:LVZ393274 LMC393203:LMD393274 LCG393203:LCH393274 KSK393203:KSL393274 KIO393203:KIP393274 JYS393203:JYT393274 JOW393203:JOX393274 JFA393203:JFB393274 IVE393203:IVF393274 ILI393203:ILJ393274 IBM393203:IBN393274 HRQ393203:HRR393274 HHU393203:HHV393274 GXY393203:GXZ393274 GOC393203:GOD393274 GEG393203:GEH393274 FUK393203:FUL393274 FKO393203:FKP393274 FAS393203:FAT393274 EQW393203:EQX393274 EHA393203:EHB393274 DXE393203:DXF393274 DNI393203:DNJ393274 DDM393203:DDN393274 CTQ393203:CTR393274 CJU393203:CJV393274 BZY393203:BZZ393274 BQC393203:BQD393274 BGG393203:BGH393274 AWK393203:AWL393274 AMO393203:AMP393274 ACS393203:ACT393274 SW393203:SX393274 JA393203:JB393274 E393203:F393274 WVM327667:WVN327738 WLQ327667:WLR327738 WBU327667:WBV327738 VRY327667:VRZ327738 VIC327667:VID327738 UYG327667:UYH327738 UOK327667:UOL327738 UEO327667:UEP327738 TUS327667:TUT327738 TKW327667:TKX327738 TBA327667:TBB327738 SRE327667:SRF327738 SHI327667:SHJ327738 RXM327667:RXN327738 RNQ327667:RNR327738 RDU327667:RDV327738 QTY327667:QTZ327738 QKC327667:QKD327738 QAG327667:QAH327738 PQK327667:PQL327738 PGO327667:PGP327738 OWS327667:OWT327738 OMW327667:OMX327738 ODA327667:ODB327738 NTE327667:NTF327738 NJI327667:NJJ327738 MZM327667:MZN327738 MPQ327667:MPR327738 MFU327667:MFV327738 LVY327667:LVZ327738 LMC327667:LMD327738 LCG327667:LCH327738 KSK327667:KSL327738 KIO327667:KIP327738 JYS327667:JYT327738 JOW327667:JOX327738 JFA327667:JFB327738 IVE327667:IVF327738 ILI327667:ILJ327738 IBM327667:IBN327738 HRQ327667:HRR327738 HHU327667:HHV327738 GXY327667:GXZ327738 GOC327667:GOD327738 GEG327667:GEH327738 FUK327667:FUL327738 FKO327667:FKP327738 FAS327667:FAT327738 EQW327667:EQX327738 EHA327667:EHB327738 DXE327667:DXF327738 DNI327667:DNJ327738 DDM327667:DDN327738 CTQ327667:CTR327738 CJU327667:CJV327738 BZY327667:BZZ327738 BQC327667:BQD327738 BGG327667:BGH327738 AWK327667:AWL327738 AMO327667:AMP327738 ACS327667:ACT327738 SW327667:SX327738 JA327667:JB327738 E327667:F327738 WVM262131:WVN262202 WLQ262131:WLR262202 WBU262131:WBV262202 VRY262131:VRZ262202 VIC262131:VID262202 UYG262131:UYH262202 UOK262131:UOL262202 UEO262131:UEP262202 TUS262131:TUT262202 TKW262131:TKX262202 TBA262131:TBB262202 SRE262131:SRF262202 SHI262131:SHJ262202 RXM262131:RXN262202 RNQ262131:RNR262202 RDU262131:RDV262202 QTY262131:QTZ262202 QKC262131:QKD262202 QAG262131:QAH262202 PQK262131:PQL262202 PGO262131:PGP262202 OWS262131:OWT262202 OMW262131:OMX262202 ODA262131:ODB262202 NTE262131:NTF262202 NJI262131:NJJ262202 MZM262131:MZN262202 MPQ262131:MPR262202 MFU262131:MFV262202 LVY262131:LVZ262202 LMC262131:LMD262202 LCG262131:LCH262202 KSK262131:KSL262202 KIO262131:KIP262202 JYS262131:JYT262202 JOW262131:JOX262202 JFA262131:JFB262202 IVE262131:IVF262202 ILI262131:ILJ262202 IBM262131:IBN262202 HRQ262131:HRR262202 HHU262131:HHV262202 GXY262131:GXZ262202 GOC262131:GOD262202 GEG262131:GEH262202 FUK262131:FUL262202 FKO262131:FKP262202 FAS262131:FAT262202 EQW262131:EQX262202 EHA262131:EHB262202 DXE262131:DXF262202 DNI262131:DNJ262202 DDM262131:DDN262202 CTQ262131:CTR262202 CJU262131:CJV262202 BZY262131:BZZ262202 BQC262131:BQD262202 BGG262131:BGH262202 AWK262131:AWL262202 AMO262131:AMP262202 ACS262131:ACT262202 SW262131:SX262202 JA262131:JB262202 E262131:F262202 WVM196595:WVN196666 WLQ196595:WLR196666 WBU196595:WBV196666 VRY196595:VRZ196666 VIC196595:VID196666 UYG196595:UYH196666 UOK196595:UOL196666 UEO196595:UEP196666 TUS196595:TUT196666 TKW196595:TKX196666 TBA196595:TBB196666 SRE196595:SRF196666 SHI196595:SHJ196666 RXM196595:RXN196666 RNQ196595:RNR196666 RDU196595:RDV196666 QTY196595:QTZ196666 QKC196595:QKD196666 QAG196595:QAH196666 PQK196595:PQL196666 PGO196595:PGP196666 OWS196595:OWT196666 OMW196595:OMX196666 ODA196595:ODB196666 NTE196595:NTF196666 NJI196595:NJJ196666 MZM196595:MZN196666 MPQ196595:MPR196666 MFU196595:MFV196666 LVY196595:LVZ196666 LMC196595:LMD196666 LCG196595:LCH196666 KSK196595:KSL196666 KIO196595:KIP196666 JYS196595:JYT196666 JOW196595:JOX196666 JFA196595:JFB196666 IVE196595:IVF196666 ILI196595:ILJ196666 IBM196595:IBN196666 HRQ196595:HRR196666 HHU196595:HHV196666 GXY196595:GXZ196666 GOC196595:GOD196666 GEG196595:GEH196666 FUK196595:FUL196666 FKO196595:FKP196666 FAS196595:FAT196666 EQW196595:EQX196666 EHA196595:EHB196666 DXE196595:DXF196666 DNI196595:DNJ196666 DDM196595:DDN196666 CTQ196595:CTR196666 CJU196595:CJV196666 BZY196595:BZZ196666 BQC196595:BQD196666 BGG196595:BGH196666 AWK196595:AWL196666 AMO196595:AMP196666 ACS196595:ACT196666 SW196595:SX196666 JA196595:JB196666 E196595:F196666 WVM131059:WVN131130 WLQ131059:WLR131130 WBU131059:WBV131130 VRY131059:VRZ131130 VIC131059:VID131130 UYG131059:UYH131130 UOK131059:UOL131130 UEO131059:UEP131130 TUS131059:TUT131130 TKW131059:TKX131130 TBA131059:TBB131130 SRE131059:SRF131130 SHI131059:SHJ131130 RXM131059:RXN131130 RNQ131059:RNR131130 RDU131059:RDV131130 QTY131059:QTZ131130 QKC131059:QKD131130 QAG131059:QAH131130 PQK131059:PQL131130 PGO131059:PGP131130 OWS131059:OWT131130 OMW131059:OMX131130 ODA131059:ODB131130 NTE131059:NTF131130 NJI131059:NJJ131130 MZM131059:MZN131130 MPQ131059:MPR131130 MFU131059:MFV131130 LVY131059:LVZ131130 LMC131059:LMD131130 LCG131059:LCH131130 KSK131059:KSL131130 KIO131059:KIP131130 JYS131059:JYT131130 JOW131059:JOX131130 JFA131059:JFB131130 IVE131059:IVF131130 ILI131059:ILJ131130 IBM131059:IBN131130 HRQ131059:HRR131130 HHU131059:HHV131130 GXY131059:GXZ131130 GOC131059:GOD131130 GEG131059:GEH131130 FUK131059:FUL131130 FKO131059:FKP131130 FAS131059:FAT131130 EQW131059:EQX131130 EHA131059:EHB131130 DXE131059:DXF131130 DNI131059:DNJ131130 DDM131059:DDN131130 CTQ131059:CTR131130 CJU131059:CJV131130 BZY131059:BZZ131130 BQC131059:BQD131130 BGG131059:BGH131130 AWK131059:AWL131130 AMO131059:AMP131130 ACS131059:ACT131130 SW131059:SX131130 JA131059:JB131130 E131059:F131130 WVM65523:WVN65594 WLQ65523:WLR65594 WBU65523:WBV65594 VRY65523:VRZ65594 VIC65523:VID65594 UYG65523:UYH65594 UOK65523:UOL65594 UEO65523:UEP65594 TUS65523:TUT65594 TKW65523:TKX65594 TBA65523:TBB65594 SRE65523:SRF65594 SHI65523:SHJ65594 RXM65523:RXN65594 RNQ65523:RNR65594 RDU65523:RDV65594 QTY65523:QTZ65594 QKC65523:QKD65594 QAG65523:QAH65594 PQK65523:PQL65594 PGO65523:PGP65594 OWS65523:OWT65594 OMW65523:OMX65594 ODA65523:ODB65594 NTE65523:NTF65594 NJI65523:NJJ65594 MZM65523:MZN65594 MPQ65523:MPR65594 MFU65523:MFV65594 LVY65523:LVZ65594 LMC65523:LMD65594 LCG65523:LCH65594 KSK65523:KSL65594 KIO65523:KIP65594 JYS65523:JYT65594 JOW65523:JOX65594 JFA65523:JFB65594 IVE65523:IVF65594 ILI65523:ILJ65594 IBM65523:IBN65594 HRQ65523:HRR65594 HHU65523:HHV65594 GXY65523:GXZ65594 GOC65523:GOD65594 GEG65523:GEH65594 FUK65523:FUL65594 FKO65523:FKP65594 FAS65523:FAT65594 EQW65523:EQX65594 EHA65523:EHB65594 DXE65523:DXF65594 DNI65523:DNJ65594 DDM65523:DDN65594 CTQ65523:CTR65594 CJU65523:CJV65594 BZY65523:BZZ65594 BQC65523:BQD65594 BGG65523:BGH65594 AWK65523:AWL65594 AMO65523:AMP65594 ACS65523:ACT65594 SW65523:SX65594 JA65523:JB65594 E65523:F65594 JA64348:JB64413 WVM1047388:WVN1047453 WLQ1047388:WLR1047453 WBU1047388:WBV1047453 VRY1047388:VRZ1047453 VIC1047388:VID1047453 UYG1047388:UYH1047453 UOK1047388:UOL1047453 UEO1047388:UEP1047453 TUS1047388:TUT1047453 TKW1047388:TKX1047453 TBA1047388:TBB1047453 SRE1047388:SRF1047453 SHI1047388:SHJ1047453 RXM1047388:RXN1047453 RNQ1047388:RNR1047453 RDU1047388:RDV1047453 QTY1047388:QTZ1047453 QKC1047388:QKD1047453 QAG1047388:QAH1047453 PQK1047388:PQL1047453 PGO1047388:PGP1047453 OWS1047388:OWT1047453 OMW1047388:OMX1047453 ODA1047388:ODB1047453 NTE1047388:NTF1047453 NJI1047388:NJJ1047453 MZM1047388:MZN1047453 MPQ1047388:MPR1047453 MFU1047388:MFV1047453 LVY1047388:LVZ1047453 LMC1047388:LMD1047453 LCG1047388:LCH1047453 KSK1047388:KSL1047453 KIO1047388:KIP1047453 JYS1047388:JYT1047453 JOW1047388:JOX1047453 JFA1047388:JFB1047453 IVE1047388:IVF1047453 ILI1047388:ILJ1047453 IBM1047388:IBN1047453 HRQ1047388:HRR1047453 HHU1047388:HHV1047453 GXY1047388:GXZ1047453 GOC1047388:GOD1047453 GEG1047388:GEH1047453 FUK1047388:FUL1047453 FKO1047388:FKP1047453 FAS1047388:FAT1047453 EQW1047388:EQX1047453 EHA1047388:EHB1047453 DXE1047388:DXF1047453 DNI1047388:DNJ1047453 DDM1047388:DDN1047453 CTQ1047388:CTR1047453 CJU1047388:CJV1047453 BZY1047388:BZZ1047453 BQC1047388:BQD1047453 BGG1047388:BGH1047453 AWK1047388:AWL1047453 AMO1047388:AMP1047453 ACS1047388:ACT1047453 SW1047388:SX1047453 JA1047388:JB1047453 E1047388:F1047453 WVM981852:WVN981917 WLQ981852:WLR981917 WBU981852:WBV981917 VRY981852:VRZ981917 VIC981852:VID981917 UYG981852:UYH981917 UOK981852:UOL981917 UEO981852:UEP981917 TUS981852:TUT981917 TKW981852:TKX981917 TBA981852:TBB981917 SRE981852:SRF981917 SHI981852:SHJ981917 RXM981852:RXN981917 RNQ981852:RNR981917 RDU981852:RDV981917 QTY981852:QTZ981917 QKC981852:QKD981917 QAG981852:QAH981917 PQK981852:PQL981917 PGO981852:PGP981917 OWS981852:OWT981917 OMW981852:OMX981917 ODA981852:ODB981917 NTE981852:NTF981917 NJI981852:NJJ981917 MZM981852:MZN981917 MPQ981852:MPR981917 MFU981852:MFV981917 LVY981852:LVZ981917 LMC981852:LMD981917 LCG981852:LCH981917 KSK981852:KSL981917 KIO981852:KIP981917 JYS981852:JYT981917 JOW981852:JOX981917 JFA981852:JFB981917 IVE981852:IVF981917 ILI981852:ILJ981917 IBM981852:IBN981917 HRQ981852:HRR981917 HHU981852:HHV981917 GXY981852:GXZ981917 GOC981852:GOD981917 GEG981852:GEH981917 FUK981852:FUL981917 FKO981852:FKP981917 FAS981852:FAT981917 EQW981852:EQX981917 EHA981852:EHB981917 DXE981852:DXF981917 DNI981852:DNJ981917 DDM981852:DDN981917 CTQ981852:CTR981917 CJU981852:CJV981917 BZY981852:BZZ981917 BQC981852:BQD981917 BGG981852:BGH981917 AWK981852:AWL981917 AMO981852:AMP981917 ACS981852:ACT981917 SW981852:SX981917 JA981852:JB981917 E981852:F981917 WVM916316:WVN916381 WLQ916316:WLR916381 WBU916316:WBV916381 VRY916316:VRZ916381 VIC916316:VID916381 UYG916316:UYH916381 UOK916316:UOL916381 UEO916316:UEP916381 TUS916316:TUT916381 TKW916316:TKX916381 TBA916316:TBB916381 SRE916316:SRF916381 SHI916316:SHJ916381 RXM916316:RXN916381 RNQ916316:RNR916381 RDU916316:RDV916381 QTY916316:QTZ916381 QKC916316:QKD916381 QAG916316:QAH916381 PQK916316:PQL916381 PGO916316:PGP916381 OWS916316:OWT916381 OMW916316:OMX916381 ODA916316:ODB916381 NTE916316:NTF916381 NJI916316:NJJ916381 MZM916316:MZN916381 MPQ916316:MPR916381 MFU916316:MFV916381 LVY916316:LVZ916381 LMC916316:LMD916381 LCG916316:LCH916381 KSK916316:KSL916381 KIO916316:KIP916381 JYS916316:JYT916381 JOW916316:JOX916381 JFA916316:JFB916381 IVE916316:IVF916381 ILI916316:ILJ916381 IBM916316:IBN916381 HRQ916316:HRR916381 HHU916316:HHV916381 GXY916316:GXZ916381 GOC916316:GOD916381 GEG916316:GEH916381 FUK916316:FUL916381 FKO916316:FKP916381 FAS916316:FAT916381 EQW916316:EQX916381 EHA916316:EHB916381 DXE916316:DXF916381 DNI916316:DNJ916381 DDM916316:DDN916381 CTQ916316:CTR916381 CJU916316:CJV916381 BZY916316:BZZ916381 BQC916316:BQD916381 BGG916316:BGH916381 AWK916316:AWL916381 AMO916316:AMP916381 ACS916316:ACT916381 SW916316:SX916381 JA916316:JB916381 E916316:F916381 WVM850780:WVN850845 WLQ850780:WLR850845 WBU850780:WBV850845 VRY850780:VRZ850845 VIC850780:VID850845 UYG850780:UYH850845 UOK850780:UOL850845 UEO850780:UEP850845 TUS850780:TUT850845 TKW850780:TKX850845 TBA850780:TBB850845 SRE850780:SRF850845 SHI850780:SHJ850845 RXM850780:RXN850845 RNQ850780:RNR850845 RDU850780:RDV850845 QTY850780:QTZ850845 QKC850780:QKD850845 QAG850780:QAH850845 PQK850780:PQL850845 PGO850780:PGP850845 OWS850780:OWT850845 OMW850780:OMX850845 ODA850780:ODB850845 NTE850780:NTF850845 NJI850780:NJJ850845 MZM850780:MZN850845 MPQ850780:MPR850845 MFU850780:MFV850845 LVY850780:LVZ850845 LMC850780:LMD850845 LCG850780:LCH850845 KSK850780:KSL850845 KIO850780:KIP850845 JYS850780:JYT850845 JOW850780:JOX850845 JFA850780:JFB850845 IVE850780:IVF850845 ILI850780:ILJ850845 IBM850780:IBN850845 HRQ850780:HRR850845 HHU850780:HHV850845 GXY850780:GXZ850845 GOC850780:GOD850845 GEG850780:GEH850845 FUK850780:FUL850845 FKO850780:FKP850845 FAS850780:FAT850845 EQW850780:EQX850845 EHA850780:EHB850845 DXE850780:DXF850845 DNI850780:DNJ850845 DDM850780:DDN850845 CTQ850780:CTR850845 CJU850780:CJV850845 BZY850780:BZZ850845 BQC850780:BQD850845 BGG850780:BGH850845 AWK850780:AWL850845 AMO850780:AMP850845 ACS850780:ACT850845 SW850780:SX850845 JA850780:JB850845 E850780:F850845 WVM785244:WVN785309 WLQ785244:WLR785309 WBU785244:WBV785309 VRY785244:VRZ785309 VIC785244:VID785309 UYG785244:UYH785309 UOK785244:UOL785309 UEO785244:UEP785309 TUS785244:TUT785309 TKW785244:TKX785309 TBA785244:TBB785309 SRE785244:SRF785309 SHI785244:SHJ785309 RXM785244:RXN785309 RNQ785244:RNR785309 RDU785244:RDV785309 QTY785244:QTZ785309 QKC785244:QKD785309 QAG785244:QAH785309 PQK785244:PQL785309 PGO785244:PGP785309 OWS785244:OWT785309 OMW785244:OMX785309 ODA785244:ODB785309 NTE785244:NTF785309 NJI785244:NJJ785309 MZM785244:MZN785309 MPQ785244:MPR785309 MFU785244:MFV785309 LVY785244:LVZ785309 LMC785244:LMD785309 LCG785244:LCH785309 KSK785244:KSL785309 KIO785244:KIP785309 JYS785244:JYT785309 JOW785244:JOX785309 JFA785244:JFB785309 IVE785244:IVF785309 ILI785244:ILJ785309 IBM785244:IBN785309 HRQ785244:HRR785309 HHU785244:HHV785309 GXY785244:GXZ785309 GOC785244:GOD785309 GEG785244:GEH785309 FUK785244:FUL785309 FKO785244:FKP785309 FAS785244:FAT785309 EQW785244:EQX785309 EHA785244:EHB785309 DXE785244:DXF785309 DNI785244:DNJ785309 DDM785244:DDN785309 CTQ785244:CTR785309 CJU785244:CJV785309 BZY785244:BZZ785309 BQC785244:BQD785309 BGG785244:BGH785309 AWK785244:AWL785309 AMO785244:AMP785309 ACS785244:ACT785309 SW785244:SX785309 JA785244:JB785309 E785244:F785309 WVM719708:WVN719773 WLQ719708:WLR719773 WBU719708:WBV719773 VRY719708:VRZ719773 VIC719708:VID719773 UYG719708:UYH719773 UOK719708:UOL719773 UEO719708:UEP719773 TUS719708:TUT719773 TKW719708:TKX719773 TBA719708:TBB719773 SRE719708:SRF719773 SHI719708:SHJ719773 RXM719708:RXN719773 RNQ719708:RNR719773 RDU719708:RDV719773 QTY719708:QTZ719773 QKC719708:QKD719773 QAG719708:QAH719773 PQK719708:PQL719773 PGO719708:PGP719773 OWS719708:OWT719773 OMW719708:OMX719773 ODA719708:ODB719773 NTE719708:NTF719773 NJI719708:NJJ719773 MZM719708:MZN719773 MPQ719708:MPR719773 MFU719708:MFV719773 LVY719708:LVZ719773 LMC719708:LMD719773 LCG719708:LCH719773 KSK719708:KSL719773 KIO719708:KIP719773 JYS719708:JYT719773 JOW719708:JOX719773 JFA719708:JFB719773 IVE719708:IVF719773 ILI719708:ILJ719773 IBM719708:IBN719773 HRQ719708:HRR719773 HHU719708:HHV719773 GXY719708:GXZ719773 GOC719708:GOD719773 GEG719708:GEH719773 FUK719708:FUL719773 FKO719708:FKP719773 FAS719708:FAT719773 EQW719708:EQX719773 EHA719708:EHB719773 DXE719708:DXF719773 DNI719708:DNJ719773 DDM719708:DDN719773 CTQ719708:CTR719773 CJU719708:CJV719773 BZY719708:BZZ719773 BQC719708:BQD719773 BGG719708:BGH719773 AWK719708:AWL719773 AMO719708:AMP719773 ACS719708:ACT719773 SW719708:SX719773 JA719708:JB719773 E719708:F719773 WVM654172:WVN654237 WLQ654172:WLR654237 WBU654172:WBV654237 VRY654172:VRZ654237 VIC654172:VID654237 UYG654172:UYH654237 UOK654172:UOL654237 UEO654172:UEP654237 TUS654172:TUT654237 TKW654172:TKX654237 TBA654172:TBB654237 SRE654172:SRF654237 SHI654172:SHJ654237 RXM654172:RXN654237 RNQ654172:RNR654237 RDU654172:RDV654237 QTY654172:QTZ654237 QKC654172:QKD654237 QAG654172:QAH654237 PQK654172:PQL654237 PGO654172:PGP654237 OWS654172:OWT654237 OMW654172:OMX654237 ODA654172:ODB654237 NTE654172:NTF654237 NJI654172:NJJ654237 MZM654172:MZN654237 MPQ654172:MPR654237 MFU654172:MFV654237 LVY654172:LVZ654237 LMC654172:LMD654237 LCG654172:LCH654237 KSK654172:KSL654237 KIO654172:KIP654237 JYS654172:JYT654237 JOW654172:JOX654237 JFA654172:JFB654237 IVE654172:IVF654237 ILI654172:ILJ654237 IBM654172:IBN654237 HRQ654172:HRR654237 HHU654172:HHV654237 GXY654172:GXZ654237 GOC654172:GOD654237 GEG654172:GEH654237 FUK654172:FUL654237 FKO654172:FKP654237 FAS654172:FAT654237 EQW654172:EQX654237 EHA654172:EHB654237 DXE654172:DXF654237 DNI654172:DNJ654237 DDM654172:DDN654237 CTQ654172:CTR654237 CJU654172:CJV654237 BZY654172:BZZ654237 BQC654172:BQD654237 BGG654172:BGH654237 AWK654172:AWL654237 AMO654172:AMP654237 ACS654172:ACT654237 SW654172:SX654237 JA654172:JB654237 E654172:F654237 WVM588636:WVN588701 WLQ588636:WLR588701 WBU588636:WBV588701 VRY588636:VRZ588701 VIC588636:VID588701 UYG588636:UYH588701 UOK588636:UOL588701 UEO588636:UEP588701 TUS588636:TUT588701 TKW588636:TKX588701 TBA588636:TBB588701 SRE588636:SRF588701 SHI588636:SHJ588701 RXM588636:RXN588701 RNQ588636:RNR588701 RDU588636:RDV588701 QTY588636:QTZ588701 QKC588636:QKD588701 QAG588636:QAH588701 PQK588636:PQL588701 PGO588636:PGP588701 OWS588636:OWT588701 OMW588636:OMX588701 ODA588636:ODB588701 NTE588636:NTF588701 NJI588636:NJJ588701 MZM588636:MZN588701 MPQ588636:MPR588701 MFU588636:MFV588701 LVY588636:LVZ588701 LMC588636:LMD588701 LCG588636:LCH588701 KSK588636:KSL588701 KIO588636:KIP588701 JYS588636:JYT588701 JOW588636:JOX588701 JFA588636:JFB588701 IVE588636:IVF588701 ILI588636:ILJ588701 IBM588636:IBN588701 HRQ588636:HRR588701 HHU588636:HHV588701 GXY588636:GXZ588701 GOC588636:GOD588701 GEG588636:GEH588701 FUK588636:FUL588701 FKO588636:FKP588701 FAS588636:FAT588701 EQW588636:EQX588701 EHA588636:EHB588701 DXE588636:DXF588701 DNI588636:DNJ588701 DDM588636:DDN588701 CTQ588636:CTR588701 CJU588636:CJV588701 BZY588636:BZZ588701 BQC588636:BQD588701 BGG588636:BGH588701 AWK588636:AWL588701 AMO588636:AMP588701 ACS588636:ACT588701 SW588636:SX588701 JA588636:JB588701 E588636:F588701 WVM523100:WVN523165 WLQ523100:WLR523165 WBU523100:WBV523165 VRY523100:VRZ523165 VIC523100:VID523165 UYG523100:UYH523165 UOK523100:UOL523165 UEO523100:UEP523165 TUS523100:TUT523165 TKW523100:TKX523165 TBA523100:TBB523165 SRE523100:SRF523165 SHI523100:SHJ523165 RXM523100:RXN523165 RNQ523100:RNR523165 RDU523100:RDV523165 QTY523100:QTZ523165 QKC523100:QKD523165 QAG523100:QAH523165 PQK523100:PQL523165 PGO523100:PGP523165 OWS523100:OWT523165 OMW523100:OMX523165 ODA523100:ODB523165 NTE523100:NTF523165 NJI523100:NJJ523165 MZM523100:MZN523165 MPQ523100:MPR523165 MFU523100:MFV523165 LVY523100:LVZ523165 LMC523100:LMD523165 LCG523100:LCH523165 KSK523100:KSL523165 KIO523100:KIP523165 JYS523100:JYT523165 JOW523100:JOX523165 JFA523100:JFB523165 IVE523100:IVF523165 ILI523100:ILJ523165 IBM523100:IBN523165 HRQ523100:HRR523165 HHU523100:HHV523165 GXY523100:GXZ523165 GOC523100:GOD523165 GEG523100:GEH523165 FUK523100:FUL523165 FKO523100:FKP523165 FAS523100:FAT523165 EQW523100:EQX523165 EHA523100:EHB523165 DXE523100:DXF523165 DNI523100:DNJ523165 DDM523100:DDN523165 CTQ523100:CTR523165 CJU523100:CJV523165 BZY523100:BZZ523165 BQC523100:BQD523165 BGG523100:BGH523165 AWK523100:AWL523165 AMO523100:AMP523165 ACS523100:ACT523165 SW523100:SX523165 JA523100:JB523165 E523100:F523165 WVM457564:WVN457629 WLQ457564:WLR457629 WBU457564:WBV457629 VRY457564:VRZ457629 VIC457564:VID457629 UYG457564:UYH457629 UOK457564:UOL457629 UEO457564:UEP457629 TUS457564:TUT457629 TKW457564:TKX457629 TBA457564:TBB457629 SRE457564:SRF457629 SHI457564:SHJ457629 RXM457564:RXN457629 RNQ457564:RNR457629 RDU457564:RDV457629 QTY457564:QTZ457629 QKC457564:QKD457629 QAG457564:QAH457629 PQK457564:PQL457629 PGO457564:PGP457629 OWS457564:OWT457629 OMW457564:OMX457629 ODA457564:ODB457629 NTE457564:NTF457629 NJI457564:NJJ457629 MZM457564:MZN457629 MPQ457564:MPR457629 MFU457564:MFV457629 LVY457564:LVZ457629 LMC457564:LMD457629 LCG457564:LCH457629 KSK457564:KSL457629 KIO457564:KIP457629 JYS457564:JYT457629 JOW457564:JOX457629 JFA457564:JFB457629 IVE457564:IVF457629 ILI457564:ILJ457629 IBM457564:IBN457629 HRQ457564:HRR457629 HHU457564:HHV457629 GXY457564:GXZ457629 GOC457564:GOD457629 GEG457564:GEH457629 FUK457564:FUL457629 FKO457564:FKP457629 FAS457564:FAT457629 EQW457564:EQX457629 EHA457564:EHB457629 DXE457564:DXF457629 DNI457564:DNJ457629 DDM457564:DDN457629 CTQ457564:CTR457629 CJU457564:CJV457629 BZY457564:BZZ457629 BQC457564:BQD457629 BGG457564:BGH457629 AWK457564:AWL457629 AMO457564:AMP457629 ACS457564:ACT457629 SW457564:SX457629 JA457564:JB457629 E457564:F457629 WVM392028:WVN392093 WLQ392028:WLR392093 WBU392028:WBV392093 VRY392028:VRZ392093 VIC392028:VID392093 UYG392028:UYH392093 UOK392028:UOL392093 UEO392028:UEP392093 TUS392028:TUT392093 TKW392028:TKX392093 TBA392028:TBB392093 SRE392028:SRF392093 SHI392028:SHJ392093 RXM392028:RXN392093 RNQ392028:RNR392093 RDU392028:RDV392093 QTY392028:QTZ392093 QKC392028:QKD392093 QAG392028:QAH392093 PQK392028:PQL392093 PGO392028:PGP392093 OWS392028:OWT392093 OMW392028:OMX392093 ODA392028:ODB392093 NTE392028:NTF392093 NJI392028:NJJ392093 MZM392028:MZN392093 MPQ392028:MPR392093 MFU392028:MFV392093 LVY392028:LVZ392093 LMC392028:LMD392093 LCG392028:LCH392093 KSK392028:KSL392093 KIO392028:KIP392093 JYS392028:JYT392093 JOW392028:JOX392093 JFA392028:JFB392093 IVE392028:IVF392093 ILI392028:ILJ392093 IBM392028:IBN392093 HRQ392028:HRR392093 HHU392028:HHV392093 GXY392028:GXZ392093 GOC392028:GOD392093 GEG392028:GEH392093 FUK392028:FUL392093 FKO392028:FKP392093 FAS392028:FAT392093 EQW392028:EQX392093 EHA392028:EHB392093 DXE392028:DXF392093 DNI392028:DNJ392093 DDM392028:DDN392093 CTQ392028:CTR392093 CJU392028:CJV392093 BZY392028:BZZ392093 BQC392028:BQD392093 BGG392028:BGH392093 AWK392028:AWL392093 AMO392028:AMP392093 ACS392028:ACT392093 SW392028:SX392093 JA392028:JB392093 E392028:F392093 WVM326492:WVN326557 WLQ326492:WLR326557 WBU326492:WBV326557 VRY326492:VRZ326557 VIC326492:VID326557 UYG326492:UYH326557 UOK326492:UOL326557 UEO326492:UEP326557 TUS326492:TUT326557 TKW326492:TKX326557 TBA326492:TBB326557 SRE326492:SRF326557 SHI326492:SHJ326557 RXM326492:RXN326557 RNQ326492:RNR326557 RDU326492:RDV326557 QTY326492:QTZ326557 QKC326492:QKD326557 QAG326492:QAH326557 PQK326492:PQL326557 PGO326492:PGP326557 OWS326492:OWT326557 OMW326492:OMX326557 ODA326492:ODB326557 NTE326492:NTF326557 NJI326492:NJJ326557 MZM326492:MZN326557 MPQ326492:MPR326557 MFU326492:MFV326557 LVY326492:LVZ326557 LMC326492:LMD326557 LCG326492:LCH326557 KSK326492:KSL326557 KIO326492:KIP326557 JYS326492:JYT326557 JOW326492:JOX326557 JFA326492:JFB326557 IVE326492:IVF326557 ILI326492:ILJ326557 IBM326492:IBN326557 HRQ326492:HRR326557 HHU326492:HHV326557 GXY326492:GXZ326557 GOC326492:GOD326557 GEG326492:GEH326557 FUK326492:FUL326557 FKO326492:FKP326557 FAS326492:FAT326557 EQW326492:EQX326557 EHA326492:EHB326557 DXE326492:DXF326557 DNI326492:DNJ326557 DDM326492:DDN326557 CTQ326492:CTR326557 CJU326492:CJV326557 BZY326492:BZZ326557 BQC326492:BQD326557 BGG326492:BGH326557 AWK326492:AWL326557 AMO326492:AMP326557 ACS326492:ACT326557 SW326492:SX326557 JA326492:JB326557 E326492:F326557 WVM260956:WVN261021 WLQ260956:WLR261021 WBU260956:WBV261021 VRY260956:VRZ261021 VIC260956:VID261021 UYG260956:UYH261021 UOK260956:UOL261021 UEO260956:UEP261021 TUS260956:TUT261021 TKW260956:TKX261021 TBA260956:TBB261021 SRE260956:SRF261021 SHI260956:SHJ261021 RXM260956:RXN261021 RNQ260956:RNR261021 RDU260956:RDV261021 QTY260956:QTZ261021 QKC260956:QKD261021 QAG260956:QAH261021 PQK260956:PQL261021 PGO260956:PGP261021 OWS260956:OWT261021 OMW260956:OMX261021 ODA260956:ODB261021 NTE260956:NTF261021 NJI260956:NJJ261021 MZM260956:MZN261021 MPQ260956:MPR261021 MFU260956:MFV261021 LVY260956:LVZ261021 LMC260956:LMD261021 LCG260956:LCH261021 KSK260956:KSL261021 KIO260956:KIP261021 JYS260956:JYT261021 JOW260956:JOX261021 JFA260956:JFB261021 IVE260956:IVF261021 ILI260956:ILJ261021 IBM260956:IBN261021 HRQ260956:HRR261021 HHU260956:HHV261021 GXY260956:GXZ261021 GOC260956:GOD261021 GEG260956:GEH261021 FUK260956:FUL261021 FKO260956:FKP261021 FAS260956:FAT261021 EQW260956:EQX261021 EHA260956:EHB261021 DXE260956:DXF261021 DNI260956:DNJ261021 DDM260956:DDN261021 CTQ260956:CTR261021 CJU260956:CJV261021 BZY260956:BZZ261021 BQC260956:BQD261021 BGG260956:BGH261021 AWK260956:AWL261021 AMO260956:AMP261021 ACS260956:ACT261021 SW260956:SX261021 JA260956:JB261021 E260956:F261021 WVM195420:WVN195485 WLQ195420:WLR195485 WBU195420:WBV195485 VRY195420:VRZ195485 VIC195420:VID195485 UYG195420:UYH195485 UOK195420:UOL195485 UEO195420:UEP195485 TUS195420:TUT195485 TKW195420:TKX195485 TBA195420:TBB195485 SRE195420:SRF195485 SHI195420:SHJ195485 RXM195420:RXN195485 RNQ195420:RNR195485 RDU195420:RDV195485 QTY195420:QTZ195485 QKC195420:QKD195485 QAG195420:QAH195485 PQK195420:PQL195485 PGO195420:PGP195485 OWS195420:OWT195485 OMW195420:OMX195485 ODA195420:ODB195485 NTE195420:NTF195485 NJI195420:NJJ195485 MZM195420:MZN195485 MPQ195420:MPR195485 MFU195420:MFV195485 LVY195420:LVZ195485 LMC195420:LMD195485 LCG195420:LCH195485 KSK195420:KSL195485 KIO195420:KIP195485 JYS195420:JYT195485 JOW195420:JOX195485 JFA195420:JFB195485 IVE195420:IVF195485 ILI195420:ILJ195485 IBM195420:IBN195485 HRQ195420:HRR195485 HHU195420:HHV195485 GXY195420:GXZ195485 GOC195420:GOD195485 GEG195420:GEH195485 FUK195420:FUL195485 FKO195420:FKP195485 FAS195420:FAT195485 EQW195420:EQX195485 EHA195420:EHB195485 DXE195420:DXF195485 DNI195420:DNJ195485 DDM195420:DDN195485 CTQ195420:CTR195485 CJU195420:CJV195485 BZY195420:BZZ195485 BQC195420:BQD195485 BGG195420:BGH195485 AWK195420:AWL195485 AMO195420:AMP195485 ACS195420:ACT195485 SW195420:SX195485 JA195420:JB195485 E195420:F195485 WVM129884:WVN129949 WLQ129884:WLR129949 WBU129884:WBV129949 VRY129884:VRZ129949 VIC129884:VID129949 UYG129884:UYH129949 UOK129884:UOL129949 UEO129884:UEP129949 TUS129884:TUT129949 TKW129884:TKX129949 TBA129884:TBB129949 SRE129884:SRF129949 SHI129884:SHJ129949 RXM129884:RXN129949 RNQ129884:RNR129949 RDU129884:RDV129949 QTY129884:QTZ129949 QKC129884:QKD129949 QAG129884:QAH129949 PQK129884:PQL129949 PGO129884:PGP129949 OWS129884:OWT129949 OMW129884:OMX129949 ODA129884:ODB129949 NTE129884:NTF129949 NJI129884:NJJ129949 MZM129884:MZN129949 MPQ129884:MPR129949 MFU129884:MFV129949 LVY129884:LVZ129949 LMC129884:LMD129949 LCG129884:LCH129949 KSK129884:KSL129949 KIO129884:KIP129949 JYS129884:JYT129949 JOW129884:JOX129949 JFA129884:JFB129949 IVE129884:IVF129949 ILI129884:ILJ129949 IBM129884:IBN129949 HRQ129884:HRR129949 HHU129884:HHV129949 GXY129884:GXZ129949 GOC129884:GOD129949 GEG129884:GEH129949 FUK129884:FUL129949 FKO129884:FKP129949 FAS129884:FAT129949 EQW129884:EQX129949 EHA129884:EHB129949 DXE129884:DXF129949 DNI129884:DNJ129949 DDM129884:DDN129949 CTQ129884:CTR129949 CJU129884:CJV129949 BZY129884:BZZ129949 BQC129884:BQD129949 BGG129884:BGH129949 AWK129884:AWL129949 AMO129884:AMP129949 ACS129884:ACT129949 SW129884:SX129949 JA129884:JB129949 E129884:F129949 WVM64348:WVN64413 WLQ64348:WLR64413 WBU64348:WBV64413 VRY64348:VRZ64413 VIC64348:VID64413 UYG64348:UYH64413 UOK64348:UOL64413 UEO64348:UEP64413 TUS64348:TUT64413 TKW64348:TKX64413 TBA64348:TBB64413 SRE64348:SRF64413 SHI64348:SHJ64413 RXM64348:RXN64413 RNQ64348:RNR64413 RDU64348:RDV64413 QTY64348:QTZ64413 QKC64348:QKD64413 QAG64348:QAH64413 PQK64348:PQL64413 PGO64348:PGP64413 OWS64348:OWT64413 OMW64348:OMX64413 ODA64348:ODB64413 NTE64348:NTF64413 NJI64348:NJJ64413 MZM64348:MZN64413 MPQ64348:MPR64413 MFU64348:MFV64413 LVY64348:LVZ64413 LMC64348:LMD64413 LCG64348:LCH64413 KSK64348:KSL64413 KIO64348:KIP64413 JYS64348:JYT64413 JOW64348:JOX64413 JFA64348:JFB64413 IVE64348:IVF64413 ILI64348:ILJ64413 IBM64348:IBN64413 HRQ64348:HRR64413 HHU64348:HHV64413 GXY64348:GXZ64413 GOC64348:GOD64413 GEG64348:GEH64413 FUK64348:FUL64413 FKO64348:FKP64413 FAS64348:FAT64413 EQW64348:EQX64413 EHA64348:EHB64413 DXE64348:DXF64413 DNI64348:DNJ64413 DDM64348:DDN64413 CTQ64348:CTR64413 CJU64348:CJV64413 BZY64348:BZZ64413 BQC64348:BQD64413 BGG64348:BGH64413 AWK64348:AWL64413 AMO64348:AMP64413 ACS64348:ACT64413 SW64348:SX64413 WVM2:WVN72 JA2:JB72 SW2:SX72 ACS2:ACT72 AMO2:AMP72 AWK2:AWL72 BGG2:BGH72 BQC2:BQD72 BZY2:BZZ72 CJU2:CJV72 CTQ2:CTR72 DDM2:DDN72 DNI2:DNJ72 DXE2:DXF72 EHA2:EHB72 EQW2:EQX72 FAS2:FAT72 FKO2:FKP72 FUK2:FUL72 GEG2:GEH72 GOC2:GOD72 GXY2:GXZ72 HHU2:HHV72 HRQ2:HRR72 IBM2:IBN72 ILI2:ILJ72 IVE2:IVF72 JFA2:JFB72 JOW2:JOX72 JYS2:JYT72 KIO2:KIP72 KSK2:KSL72 LCG2:LCH72 LMC2:LMD72 LVY2:LVZ72 MFU2:MFV72 MPQ2:MPR72 MZM2:MZN72 NJI2:NJJ72 NTE2:NTF72 ODA2:ODB72 OMW2:OMX72 OWS2:OWT72 PGO2:PGP72 PQK2:PQL72 QAG2:QAH72 QKC2:QKD72 QTY2:QTZ72 RDU2:RDV72 RNQ2:RNR72 RXM2:RXN72 SHI2:SHJ72 SRE2:SRF72 TBA2:TBB72 TKW2:TKX72 TUS2:TUT72 UEO2:UEP72 UOK2:UOL72 UYG2:UYH72 VIC2:VID72 VRY2:VRZ72 WBU2:WBV72 WLQ2:WLR72" xr:uid="{03DE68BE-1C8C-49A0-94F9-2DF7FABC5E84}">
      <formula1>#REF!</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6714A-C526-42B5-8621-A6C0A8DDBBD5}">
  <dimension ref="A1:BA443"/>
  <sheetViews>
    <sheetView topLeftCell="A28" zoomScale="70" zoomScaleNormal="70" zoomScaleSheetLayoutView="100" workbookViewId="0">
      <selection activeCell="W58" sqref="W58"/>
    </sheetView>
  </sheetViews>
  <sheetFormatPr defaultRowHeight="13.5" x14ac:dyDescent="0.15"/>
  <cols>
    <col min="1" max="3" width="9" style="53"/>
    <col min="4" max="4" width="10.5" style="53" bestFit="1" customWidth="1"/>
    <col min="5" max="16" width="9" style="53"/>
    <col min="17" max="17" width="9" style="16"/>
    <col min="18" max="19" width="9" style="53"/>
    <col min="20" max="20" width="9" style="16"/>
    <col min="21" max="21" width="10.5" style="53" bestFit="1" customWidth="1"/>
    <col min="22" max="22" width="9" style="16"/>
    <col min="23" max="32" width="9" style="53"/>
    <col min="33" max="33" width="16.875" style="53" bestFit="1" customWidth="1"/>
    <col min="34" max="34" width="15.625" style="53" customWidth="1"/>
    <col min="35" max="39" width="9" style="104"/>
    <col min="40" max="16384" width="9" style="53"/>
  </cols>
  <sheetData>
    <row r="1" spans="1:53" ht="45" x14ac:dyDescent="0.15">
      <c r="A1" s="44" t="s">
        <v>0</v>
      </c>
      <c r="B1" s="89" t="s">
        <v>1</v>
      </c>
      <c r="C1" s="89" t="s">
        <v>2</v>
      </c>
      <c r="D1" s="90" t="s">
        <v>3</v>
      </c>
      <c r="E1" s="45" t="s">
        <v>4</v>
      </c>
      <c r="F1" s="45" t="s">
        <v>5</v>
      </c>
      <c r="G1" s="45" t="s">
        <v>6</v>
      </c>
      <c r="H1" s="45" t="s">
        <v>7</v>
      </c>
      <c r="I1" s="45" t="s">
        <v>8</v>
      </c>
      <c r="J1" s="45" t="s">
        <v>9</v>
      </c>
      <c r="K1" s="119" t="s">
        <v>10</v>
      </c>
      <c r="L1" s="90" t="s">
        <v>11</v>
      </c>
      <c r="M1" s="90" t="s">
        <v>12</v>
      </c>
      <c r="N1" s="90" t="s">
        <v>13</v>
      </c>
      <c r="O1" s="90" t="s">
        <v>14</v>
      </c>
      <c r="P1" s="90" t="s">
        <v>15</v>
      </c>
      <c r="Q1" s="3" t="s">
        <v>16</v>
      </c>
      <c r="R1" s="90" t="s">
        <v>17</v>
      </c>
      <c r="S1" s="90" t="s">
        <v>18</v>
      </c>
      <c r="T1" s="3" t="s">
        <v>19</v>
      </c>
      <c r="U1" s="92" t="s">
        <v>108</v>
      </c>
      <c r="V1" s="5" t="s">
        <v>20</v>
      </c>
      <c r="W1" s="90" t="s">
        <v>21</v>
      </c>
      <c r="X1" s="45" t="s">
        <v>22</v>
      </c>
      <c r="Y1" s="45" t="s">
        <v>23</v>
      </c>
      <c r="Z1" s="45" t="s">
        <v>24</v>
      </c>
      <c r="AA1" s="46" t="s">
        <v>25</v>
      </c>
      <c r="AB1" s="94" t="s">
        <v>26</v>
      </c>
      <c r="AE1" s="95" t="s">
        <v>0</v>
      </c>
      <c r="AF1" s="96"/>
      <c r="AG1" s="95" t="s">
        <v>4</v>
      </c>
      <c r="AH1" s="95" t="s">
        <v>5</v>
      </c>
      <c r="AI1" s="120"/>
      <c r="AJ1" s="121" t="s">
        <v>6</v>
      </c>
      <c r="AK1" s="120"/>
      <c r="AL1" s="122" t="s">
        <v>7</v>
      </c>
      <c r="AM1" s="120"/>
      <c r="AN1" s="10" t="s">
        <v>8</v>
      </c>
      <c r="AO1" s="96"/>
      <c r="AP1" s="10" t="s">
        <v>27</v>
      </c>
      <c r="AQ1" s="96"/>
      <c r="AR1" s="10" t="s">
        <v>10</v>
      </c>
      <c r="AS1" s="96"/>
      <c r="AT1" s="11" t="s">
        <v>28</v>
      </c>
      <c r="AU1" s="96"/>
      <c r="AV1" s="10" t="s">
        <v>29</v>
      </c>
      <c r="AX1" s="12" t="s">
        <v>30</v>
      </c>
      <c r="AY1" s="13" t="s">
        <v>31</v>
      </c>
      <c r="AZ1" s="13" t="s">
        <v>32</v>
      </c>
      <c r="BA1" s="14" t="s">
        <v>33</v>
      </c>
    </row>
    <row r="2" spans="1:53" x14ac:dyDescent="0.15">
      <c r="A2" s="123" t="s">
        <v>34</v>
      </c>
      <c r="B2" s="123" t="s">
        <v>232</v>
      </c>
      <c r="C2" s="123">
        <v>2019</v>
      </c>
      <c r="D2" s="124" t="s">
        <v>334</v>
      </c>
      <c r="E2" s="123" t="s">
        <v>335</v>
      </c>
      <c r="F2" s="123" t="s">
        <v>336</v>
      </c>
      <c r="G2" s="125" t="s">
        <v>36</v>
      </c>
      <c r="H2" s="126" t="s">
        <v>164</v>
      </c>
      <c r="I2" s="104" t="s">
        <v>159</v>
      </c>
      <c r="J2" s="127" t="s">
        <v>38</v>
      </c>
      <c r="K2" s="104" t="s">
        <v>161</v>
      </c>
      <c r="L2" s="128">
        <v>1</v>
      </c>
      <c r="M2" s="129"/>
      <c r="N2" s="129">
        <v>1</v>
      </c>
      <c r="O2" s="129">
        <v>0.85</v>
      </c>
      <c r="P2" s="129">
        <v>0.7</v>
      </c>
      <c r="Q2" s="130">
        <f t="shared" ref="Q2:Q65" si="0">IF(OR(O2="",P2=""),"",AVERAGE(O2,P2))</f>
        <v>0.77499999999999991</v>
      </c>
      <c r="R2" s="131">
        <v>15.2</v>
      </c>
      <c r="S2" s="126">
        <v>117</v>
      </c>
      <c r="T2" s="132">
        <f t="shared" ref="T2:T65" si="1">IF(H2="","",IF(OR(H2="GREEN",H2="GK"),IF(S2&gt;=$AX$2,VLOOKUP(S2,$AX$2:$AY$7,2,1),""),IF(S2&gt;=$AZ$2,VLOOKUP(S2,$AZ$2:$BA$7,2,1),"")))</f>
        <v>30</v>
      </c>
      <c r="U2" s="104">
        <v>108</v>
      </c>
      <c r="V2" s="132">
        <f t="shared" ref="V2:V65" si="2">IF(OR(N2="",U2="",T2=""),"",U2/N2*T2)</f>
        <v>3240</v>
      </c>
      <c r="W2" s="133">
        <v>8</v>
      </c>
      <c r="X2" s="134" t="s">
        <v>46</v>
      </c>
      <c r="Y2" s="134" t="s">
        <v>88</v>
      </c>
      <c r="Z2" s="134" t="s">
        <v>78</v>
      </c>
      <c r="AA2" s="134" t="s">
        <v>97</v>
      </c>
      <c r="AB2" s="53" t="s">
        <v>236</v>
      </c>
      <c r="AE2" s="73" t="s">
        <v>35</v>
      </c>
      <c r="AG2" s="76" t="s">
        <v>335</v>
      </c>
      <c r="AH2" s="76" t="s">
        <v>336</v>
      </c>
      <c r="AJ2" s="107" t="s">
        <v>36</v>
      </c>
      <c r="AL2" s="76" t="s">
        <v>127</v>
      </c>
      <c r="AN2" s="76" t="s">
        <v>37</v>
      </c>
      <c r="AP2" s="76" t="s">
        <v>38</v>
      </c>
      <c r="AR2" s="76" t="s">
        <v>120</v>
      </c>
      <c r="AT2" s="76" t="s">
        <v>39</v>
      </c>
      <c r="AV2" s="76" t="s">
        <v>40</v>
      </c>
      <c r="AX2" s="77">
        <v>1</v>
      </c>
      <c r="AY2" s="78">
        <v>50</v>
      </c>
      <c r="AZ2" s="78">
        <v>1</v>
      </c>
      <c r="BA2" s="79">
        <v>50</v>
      </c>
    </row>
    <row r="3" spans="1:53" x14ac:dyDescent="0.15">
      <c r="A3" s="135" t="s">
        <v>34</v>
      </c>
      <c r="B3" s="135" t="s">
        <v>157</v>
      </c>
      <c r="C3" s="136">
        <v>2019</v>
      </c>
      <c r="D3" s="137" t="s">
        <v>337</v>
      </c>
      <c r="E3" s="135" t="s">
        <v>335</v>
      </c>
      <c r="F3" s="135" t="s">
        <v>336</v>
      </c>
      <c r="G3" s="138" t="s">
        <v>36</v>
      </c>
      <c r="H3" s="104" t="s">
        <v>164</v>
      </c>
      <c r="I3" s="104" t="s">
        <v>159</v>
      </c>
      <c r="J3" s="104" t="s">
        <v>38</v>
      </c>
      <c r="K3" s="104" t="s">
        <v>161</v>
      </c>
      <c r="L3" s="53">
        <v>2</v>
      </c>
      <c r="N3" s="53">
        <v>1</v>
      </c>
      <c r="O3" s="53">
        <v>0.7</v>
      </c>
      <c r="P3" s="34">
        <v>0.75</v>
      </c>
      <c r="Q3" s="139">
        <f t="shared" si="0"/>
        <v>0.72499999999999998</v>
      </c>
      <c r="R3" s="140">
        <v>15.3</v>
      </c>
      <c r="S3" s="140">
        <v>116</v>
      </c>
      <c r="T3" s="16">
        <f t="shared" si="1"/>
        <v>30</v>
      </c>
      <c r="U3" s="141">
        <v>108</v>
      </c>
      <c r="V3" s="38">
        <f t="shared" si="2"/>
        <v>3240</v>
      </c>
      <c r="W3" s="142">
        <v>8</v>
      </c>
      <c r="X3" s="143" t="s">
        <v>46</v>
      </c>
      <c r="Y3" s="143" t="s">
        <v>88</v>
      </c>
      <c r="Z3" s="143" t="s">
        <v>78</v>
      </c>
      <c r="AA3" s="134" t="s">
        <v>97</v>
      </c>
      <c r="AB3" s="53" t="s">
        <v>158</v>
      </c>
      <c r="AE3" s="22" t="s">
        <v>41</v>
      </c>
      <c r="AG3" s="76" t="s">
        <v>338</v>
      </c>
      <c r="AH3" s="76" t="s">
        <v>339</v>
      </c>
      <c r="AJ3" s="144" t="s">
        <v>42</v>
      </c>
      <c r="AL3" s="23" t="s">
        <v>128</v>
      </c>
      <c r="AN3" s="23" t="s">
        <v>43</v>
      </c>
      <c r="AP3" s="23" t="s">
        <v>44</v>
      </c>
      <c r="AR3" s="23" t="s">
        <v>45</v>
      </c>
      <c r="AT3" s="23" t="s">
        <v>46</v>
      </c>
      <c r="AV3" s="23" t="s">
        <v>47</v>
      </c>
      <c r="AX3" s="24">
        <v>72</v>
      </c>
      <c r="AY3" s="25">
        <v>46</v>
      </c>
      <c r="AZ3" s="25">
        <v>71</v>
      </c>
      <c r="BA3" s="26">
        <v>42</v>
      </c>
    </row>
    <row r="4" spans="1:53" x14ac:dyDescent="0.15">
      <c r="A4" s="135" t="s">
        <v>34</v>
      </c>
      <c r="B4" s="135" t="s">
        <v>157</v>
      </c>
      <c r="C4" s="135">
        <v>2019</v>
      </c>
      <c r="D4" s="137" t="s">
        <v>337</v>
      </c>
      <c r="E4" s="135" t="s">
        <v>335</v>
      </c>
      <c r="F4" s="135" t="s">
        <v>336</v>
      </c>
      <c r="G4" s="138" t="s">
        <v>36</v>
      </c>
      <c r="H4" s="104" t="s">
        <v>164</v>
      </c>
      <c r="I4" s="104" t="s">
        <v>159</v>
      </c>
      <c r="J4" s="104" t="s">
        <v>38</v>
      </c>
      <c r="K4" s="104" t="s">
        <v>161</v>
      </c>
      <c r="L4" s="53">
        <v>3</v>
      </c>
      <c r="N4" s="53">
        <v>1</v>
      </c>
      <c r="O4" s="53">
        <v>0.8</v>
      </c>
      <c r="P4" s="34">
        <v>0.8</v>
      </c>
      <c r="Q4" s="84">
        <f t="shared" si="0"/>
        <v>0.8</v>
      </c>
      <c r="R4" s="145">
        <v>14.8</v>
      </c>
      <c r="S4" s="145">
        <v>121</v>
      </c>
      <c r="T4" s="16">
        <f t="shared" si="1"/>
        <v>30</v>
      </c>
      <c r="U4" s="146">
        <v>108</v>
      </c>
      <c r="V4" s="38">
        <f t="shared" si="2"/>
        <v>3240</v>
      </c>
      <c r="W4" s="142">
        <v>8</v>
      </c>
      <c r="X4" s="143" t="s">
        <v>46</v>
      </c>
      <c r="Y4" s="143" t="s">
        <v>88</v>
      </c>
      <c r="Z4" s="143" t="s">
        <v>78</v>
      </c>
      <c r="AA4" s="134" t="s">
        <v>97</v>
      </c>
      <c r="AB4" s="53" t="s">
        <v>158</v>
      </c>
      <c r="AE4" s="22" t="s">
        <v>34</v>
      </c>
      <c r="AG4" s="76" t="s">
        <v>340</v>
      </c>
      <c r="AH4" s="76" t="s">
        <v>339</v>
      </c>
      <c r="AJ4" s="147" t="s">
        <v>48</v>
      </c>
      <c r="AL4" s="27" t="s">
        <v>129</v>
      </c>
      <c r="AN4" s="28" t="s">
        <v>49</v>
      </c>
      <c r="AP4" s="23" t="s">
        <v>93</v>
      </c>
      <c r="AR4" s="23" t="s">
        <v>121</v>
      </c>
      <c r="AT4" s="28"/>
      <c r="AV4" s="23" t="s">
        <v>50</v>
      </c>
      <c r="AX4" s="24">
        <v>75</v>
      </c>
      <c r="AY4" s="25">
        <v>42</v>
      </c>
      <c r="AZ4" s="25">
        <v>76</v>
      </c>
      <c r="BA4" s="26">
        <v>39</v>
      </c>
    </row>
    <row r="5" spans="1:53" x14ac:dyDescent="0.15">
      <c r="A5" s="135" t="s">
        <v>34</v>
      </c>
      <c r="B5" s="135" t="s">
        <v>157</v>
      </c>
      <c r="C5" s="136">
        <v>2019</v>
      </c>
      <c r="D5" s="137" t="s">
        <v>337</v>
      </c>
      <c r="E5" s="135" t="s">
        <v>335</v>
      </c>
      <c r="F5" s="135" t="s">
        <v>336</v>
      </c>
      <c r="G5" s="138" t="s">
        <v>36</v>
      </c>
      <c r="H5" s="104" t="s">
        <v>160</v>
      </c>
      <c r="I5" s="104" t="s">
        <v>159</v>
      </c>
      <c r="J5" s="104" t="s">
        <v>38</v>
      </c>
      <c r="K5" s="104" t="s">
        <v>161</v>
      </c>
      <c r="L5" s="53">
        <v>1</v>
      </c>
      <c r="N5" s="53">
        <v>1</v>
      </c>
      <c r="O5" s="53">
        <v>0.7</v>
      </c>
      <c r="P5" s="53">
        <v>0.65</v>
      </c>
      <c r="Q5" s="84">
        <f t="shared" si="0"/>
        <v>0.67500000000000004</v>
      </c>
      <c r="R5" s="145">
        <v>16.3</v>
      </c>
      <c r="S5" s="145">
        <v>121</v>
      </c>
      <c r="T5" s="16">
        <f t="shared" si="1"/>
        <v>30</v>
      </c>
      <c r="U5" s="146">
        <v>138</v>
      </c>
      <c r="V5" s="38">
        <f t="shared" si="2"/>
        <v>4140</v>
      </c>
      <c r="W5" s="142">
        <v>8</v>
      </c>
      <c r="X5" s="143" t="s">
        <v>46</v>
      </c>
      <c r="Y5" s="143" t="s">
        <v>88</v>
      </c>
      <c r="Z5" s="143" t="s">
        <v>78</v>
      </c>
      <c r="AA5" s="134" t="s">
        <v>97</v>
      </c>
      <c r="AB5" s="53" t="s">
        <v>158</v>
      </c>
      <c r="AE5" s="22" t="s">
        <v>51</v>
      </c>
      <c r="AG5" s="76" t="s">
        <v>335</v>
      </c>
      <c r="AH5" s="76" t="s">
        <v>341</v>
      </c>
      <c r="AJ5" s="148"/>
      <c r="AL5" s="82" t="s">
        <v>66</v>
      </c>
      <c r="AN5" s="82" t="s">
        <v>52</v>
      </c>
      <c r="AP5" s="23" t="s">
        <v>119</v>
      </c>
      <c r="AR5" s="23" t="s">
        <v>54</v>
      </c>
      <c r="AV5" s="23" t="s">
        <v>55</v>
      </c>
      <c r="AX5" s="24">
        <v>84</v>
      </c>
      <c r="AY5" s="25">
        <v>39</v>
      </c>
      <c r="AZ5" s="25">
        <v>84</v>
      </c>
      <c r="BA5" s="26">
        <v>36</v>
      </c>
    </row>
    <row r="6" spans="1:53" x14ac:dyDescent="0.15">
      <c r="A6" s="135" t="s">
        <v>34</v>
      </c>
      <c r="B6" s="135" t="s">
        <v>157</v>
      </c>
      <c r="C6" s="135">
        <v>2019</v>
      </c>
      <c r="D6" s="137" t="s">
        <v>337</v>
      </c>
      <c r="E6" s="135" t="s">
        <v>335</v>
      </c>
      <c r="F6" s="135" t="s">
        <v>336</v>
      </c>
      <c r="G6" s="138" t="s">
        <v>36</v>
      </c>
      <c r="H6" s="104" t="s">
        <v>160</v>
      </c>
      <c r="I6" s="104" t="s">
        <v>159</v>
      </c>
      <c r="J6" s="104" t="s">
        <v>38</v>
      </c>
      <c r="K6" s="104" t="s">
        <v>161</v>
      </c>
      <c r="L6" s="53">
        <v>2</v>
      </c>
      <c r="N6" s="53">
        <v>1</v>
      </c>
      <c r="O6" s="53">
        <v>0.8</v>
      </c>
      <c r="P6" s="53">
        <v>0.75</v>
      </c>
      <c r="Q6" s="84">
        <f t="shared" si="0"/>
        <v>0.77500000000000002</v>
      </c>
      <c r="R6" s="145">
        <v>16.8</v>
      </c>
      <c r="S6" s="145">
        <v>121</v>
      </c>
      <c r="T6" s="16">
        <f t="shared" si="1"/>
        <v>30</v>
      </c>
      <c r="U6" s="146">
        <v>138</v>
      </c>
      <c r="V6" s="38">
        <f t="shared" si="2"/>
        <v>4140</v>
      </c>
      <c r="W6" s="142">
        <v>8</v>
      </c>
      <c r="X6" s="143" t="s">
        <v>46</v>
      </c>
      <c r="Y6" s="143" t="s">
        <v>88</v>
      </c>
      <c r="Z6" s="143" t="s">
        <v>78</v>
      </c>
      <c r="AA6" s="134" t="s">
        <v>97</v>
      </c>
      <c r="AB6" s="53" t="s">
        <v>158</v>
      </c>
      <c r="AE6" s="22" t="s">
        <v>56</v>
      </c>
      <c r="AG6" s="76" t="s">
        <v>210</v>
      </c>
      <c r="AH6" s="76" t="s">
        <v>342</v>
      </c>
      <c r="AL6" s="82" t="s">
        <v>99</v>
      </c>
      <c r="AN6" s="82" t="s">
        <v>57</v>
      </c>
      <c r="AP6" s="23" t="s">
        <v>53</v>
      </c>
      <c r="AR6" s="23" t="s">
        <v>59</v>
      </c>
      <c r="AV6" s="23" t="s">
        <v>60</v>
      </c>
      <c r="AX6" s="24">
        <v>97</v>
      </c>
      <c r="AY6" s="25">
        <v>36</v>
      </c>
      <c r="AZ6" s="25">
        <v>99</v>
      </c>
      <c r="BA6" s="26">
        <v>33</v>
      </c>
    </row>
    <row r="7" spans="1:53" x14ac:dyDescent="0.15">
      <c r="A7" s="135" t="s">
        <v>34</v>
      </c>
      <c r="B7" s="135" t="s">
        <v>157</v>
      </c>
      <c r="C7" s="136">
        <v>2019</v>
      </c>
      <c r="D7" s="137" t="s">
        <v>337</v>
      </c>
      <c r="E7" s="135" t="s">
        <v>335</v>
      </c>
      <c r="F7" s="135" t="s">
        <v>336</v>
      </c>
      <c r="G7" s="138" t="s">
        <v>36</v>
      </c>
      <c r="H7" s="104" t="s">
        <v>160</v>
      </c>
      <c r="I7" s="104" t="s">
        <v>159</v>
      </c>
      <c r="J7" s="104" t="s">
        <v>38</v>
      </c>
      <c r="K7" s="104" t="s">
        <v>161</v>
      </c>
      <c r="L7" s="53">
        <v>3</v>
      </c>
      <c r="N7" s="53">
        <v>1</v>
      </c>
      <c r="O7" s="53">
        <v>0.75</v>
      </c>
      <c r="P7" s="53">
        <v>0.8</v>
      </c>
      <c r="Q7" s="84">
        <f t="shared" si="0"/>
        <v>0.77500000000000002</v>
      </c>
      <c r="R7" s="145">
        <v>16.7</v>
      </c>
      <c r="S7" s="145">
        <v>126</v>
      </c>
      <c r="T7" s="16">
        <f t="shared" si="1"/>
        <v>30</v>
      </c>
      <c r="U7" s="146">
        <v>138</v>
      </c>
      <c r="V7" s="38">
        <f t="shared" si="2"/>
        <v>4140</v>
      </c>
      <c r="W7" s="142">
        <v>8</v>
      </c>
      <c r="X7" s="143" t="s">
        <v>46</v>
      </c>
      <c r="Y7" s="143" t="s">
        <v>88</v>
      </c>
      <c r="Z7" s="143" t="s">
        <v>78</v>
      </c>
      <c r="AA7" s="134" t="s">
        <v>97</v>
      </c>
      <c r="AB7" s="53" t="s">
        <v>158</v>
      </c>
      <c r="AE7" s="22" t="s">
        <v>61</v>
      </c>
      <c r="AG7" s="76" t="s">
        <v>343</v>
      </c>
      <c r="AH7" s="76" t="s">
        <v>342</v>
      </c>
      <c r="AL7" s="34" t="s">
        <v>109</v>
      </c>
      <c r="AP7" s="23" t="s">
        <v>58</v>
      </c>
      <c r="AR7" s="23" t="s">
        <v>122</v>
      </c>
      <c r="AV7" s="23" t="s">
        <v>64</v>
      </c>
      <c r="AX7" s="24">
        <v>109</v>
      </c>
      <c r="AY7" s="25">
        <v>33</v>
      </c>
      <c r="AZ7" s="25">
        <v>113</v>
      </c>
      <c r="BA7" s="26">
        <v>30</v>
      </c>
    </row>
    <row r="8" spans="1:53" x14ac:dyDescent="0.15">
      <c r="A8" s="135" t="s">
        <v>34</v>
      </c>
      <c r="B8" s="135" t="s">
        <v>157</v>
      </c>
      <c r="C8" s="135">
        <v>2019</v>
      </c>
      <c r="D8" s="137" t="s">
        <v>337</v>
      </c>
      <c r="E8" s="136" t="s">
        <v>338</v>
      </c>
      <c r="F8" s="135" t="s">
        <v>339</v>
      </c>
      <c r="G8" s="138" t="s">
        <v>36</v>
      </c>
      <c r="H8" s="104" t="s">
        <v>164</v>
      </c>
      <c r="I8" s="104" t="s">
        <v>159</v>
      </c>
      <c r="J8" s="104" t="s">
        <v>38</v>
      </c>
      <c r="K8" s="104" t="s">
        <v>161</v>
      </c>
      <c r="L8" s="53">
        <v>1</v>
      </c>
      <c r="N8" s="53">
        <v>1</v>
      </c>
      <c r="O8" s="53">
        <v>0.8</v>
      </c>
      <c r="P8" s="53">
        <v>0.75</v>
      </c>
      <c r="Q8" s="84">
        <f t="shared" si="0"/>
        <v>0.77500000000000002</v>
      </c>
      <c r="R8" s="145">
        <v>15</v>
      </c>
      <c r="S8" s="145">
        <v>119</v>
      </c>
      <c r="T8" s="16">
        <f t="shared" si="1"/>
        <v>30</v>
      </c>
      <c r="U8" s="141">
        <v>128</v>
      </c>
      <c r="V8" s="38">
        <f t="shared" si="2"/>
        <v>3840</v>
      </c>
      <c r="W8" s="142">
        <v>6</v>
      </c>
      <c r="X8" s="143" t="s">
        <v>46</v>
      </c>
      <c r="Y8" s="149" t="s">
        <v>78</v>
      </c>
      <c r="Z8" s="143" t="s">
        <v>88</v>
      </c>
      <c r="AA8" s="134" t="s">
        <v>60</v>
      </c>
      <c r="AB8" s="53" t="s">
        <v>158</v>
      </c>
      <c r="AE8" s="22" t="s">
        <v>59</v>
      </c>
      <c r="AG8" s="76" t="s">
        <v>210</v>
      </c>
      <c r="AH8" s="76" t="s">
        <v>344</v>
      </c>
      <c r="AL8" s="34" t="s">
        <v>134</v>
      </c>
      <c r="AP8" s="23" t="s">
        <v>62</v>
      </c>
      <c r="AR8" s="23" t="s">
        <v>81</v>
      </c>
      <c r="AV8" s="23" t="s">
        <v>97</v>
      </c>
      <c r="AX8" s="24">
        <v>151</v>
      </c>
      <c r="AY8" s="25">
        <v>22</v>
      </c>
      <c r="AZ8" s="25">
        <v>152</v>
      </c>
      <c r="BA8" s="26">
        <v>18</v>
      </c>
    </row>
    <row r="9" spans="1:53" x14ac:dyDescent="0.15">
      <c r="A9" s="135" t="s">
        <v>34</v>
      </c>
      <c r="B9" s="135" t="s">
        <v>157</v>
      </c>
      <c r="C9" s="136">
        <v>2019</v>
      </c>
      <c r="D9" s="137" t="s">
        <v>337</v>
      </c>
      <c r="E9" s="136" t="s">
        <v>338</v>
      </c>
      <c r="F9" s="135" t="s">
        <v>339</v>
      </c>
      <c r="G9" s="138" t="s">
        <v>36</v>
      </c>
      <c r="H9" s="104" t="s">
        <v>164</v>
      </c>
      <c r="I9" s="104" t="s">
        <v>159</v>
      </c>
      <c r="J9" s="104" t="s">
        <v>38</v>
      </c>
      <c r="K9" s="104" t="s">
        <v>161</v>
      </c>
      <c r="L9" s="53">
        <v>2</v>
      </c>
      <c r="N9" s="53">
        <v>1</v>
      </c>
      <c r="O9" s="53">
        <v>0.7</v>
      </c>
      <c r="P9" s="53">
        <v>0.6</v>
      </c>
      <c r="Q9" s="84">
        <f t="shared" si="0"/>
        <v>0.64999999999999991</v>
      </c>
      <c r="R9" s="145">
        <v>15.4</v>
      </c>
      <c r="S9" s="145">
        <v>125</v>
      </c>
      <c r="T9" s="16">
        <f t="shared" si="1"/>
        <v>30</v>
      </c>
      <c r="U9" s="141">
        <v>128</v>
      </c>
      <c r="V9" s="38">
        <f t="shared" si="2"/>
        <v>3840</v>
      </c>
      <c r="W9" s="142">
        <v>6</v>
      </c>
      <c r="X9" s="143" t="s">
        <v>46</v>
      </c>
      <c r="Y9" s="149" t="s">
        <v>78</v>
      </c>
      <c r="Z9" s="143" t="s">
        <v>88</v>
      </c>
      <c r="AA9" s="134" t="s">
        <v>60</v>
      </c>
      <c r="AB9" s="53" t="s">
        <v>158</v>
      </c>
      <c r="AE9" s="22" t="s">
        <v>98</v>
      </c>
      <c r="AG9" s="76" t="s">
        <v>139</v>
      </c>
      <c r="AH9" s="76" t="s">
        <v>344</v>
      </c>
      <c r="AL9" s="82"/>
      <c r="AP9" s="23" t="s">
        <v>95</v>
      </c>
      <c r="AR9" s="23" t="s">
        <v>89</v>
      </c>
      <c r="AV9" s="23" t="s">
        <v>102</v>
      </c>
      <c r="AX9" s="31">
        <v>180</v>
      </c>
      <c r="AY9" s="32">
        <v>18</v>
      </c>
      <c r="AZ9" s="32">
        <v>181</v>
      </c>
      <c r="BA9" s="33">
        <v>16</v>
      </c>
    </row>
    <row r="10" spans="1:53" x14ac:dyDescent="0.15">
      <c r="A10" s="135" t="s">
        <v>34</v>
      </c>
      <c r="B10" s="135" t="s">
        <v>157</v>
      </c>
      <c r="C10" s="135">
        <v>2019</v>
      </c>
      <c r="D10" s="137" t="s">
        <v>337</v>
      </c>
      <c r="E10" s="136" t="s">
        <v>338</v>
      </c>
      <c r="F10" s="135" t="s">
        <v>339</v>
      </c>
      <c r="G10" s="138" t="s">
        <v>36</v>
      </c>
      <c r="H10" s="104" t="s">
        <v>164</v>
      </c>
      <c r="I10" s="104" t="s">
        <v>159</v>
      </c>
      <c r="J10" s="104" t="s">
        <v>38</v>
      </c>
      <c r="K10" s="104" t="s">
        <v>161</v>
      </c>
      <c r="L10" s="53">
        <v>3</v>
      </c>
      <c r="N10" s="53">
        <v>1</v>
      </c>
      <c r="O10" s="53">
        <v>0.8</v>
      </c>
      <c r="P10" s="53">
        <v>0.7</v>
      </c>
      <c r="Q10" s="84">
        <f t="shared" si="0"/>
        <v>0.75</v>
      </c>
      <c r="R10" s="145">
        <v>14.7</v>
      </c>
      <c r="S10" s="145">
        <v>122</v>
      </c>
      <c r="T10" s="16">
        <f t="shared" si="1"/>
        <v>30</v>
      </c>
      <c r="U10" s="141">
        <v>128</v>
      </c>
      <c r="V10" s="38">
        <f t="shared" si="2"/>
        <v>3840</v>
      </c>
      <c r="W10" s="142">
        <v>6</v>
      </c>
      <c r="X10" s="143" t="s">
        <v>46</v>
      </c>
      <c r="Y10" s="149" t="s">
        <v>78</v>
      </c>
      <c r="Z10" s="143" t="s">
        <v>88</v>
      </c>
      <c r="AA10" s="134" t="s">
        <v>60</v>
      </c>
      <c r="AB10" s="53" t="s">
        <v>158</v>
      </c>
      <c r="AE10" s="22" t="s">
        <v>103</v>
      </c>
      <c r="AG10" s="76" t="s">
        <v>133</v>
      </c>
      <c r="AH10" s="76" t="s">
        <v>345</v>
      </c>
      <c r="AL10" s="34"/>
      <c r="AP10" s="23" t="s">
        <v>100</v>
      </c>
      <c r="AR10" s="23" t="s">
        <v>123</v>
      </c>
      <c r="AV10" s="23" t="s">
        <v>106</v>
      </c>
    </row>
    <row r="11" spans="1:53" x14ac:dyDescent="0.15">
      <c r="A11" s="135" t="s">
        <v>34</v>
      </c>
      <c r="B11" s="135" t="s">
        <v>157</v>
      </c>
      <c r="C11" s="136">
        <v>2019</v>
      </c>
      <c r="D11" s="137" t="s">
        <v>337</v>
      </c>
      <c r="E11" s="136" t="s">
        <v>338</v>
      </c>
      <c r="F11" s="135" t="s">
        <v>339</v>
      </c>
      <c r="G11" s="138" t="s">
        <v>36</v>
      </c>
      <c r="H11" s="104" t="s">
        <v>160</v>
      </c>
      <c r="I11" s="104" t="s">
        <v>159</v>
      </c>
      <c r="J11" s="104" t="s">
        <v>38</v>
      </c>
      <c r="K11" s="104" t="s">
        <v>161</v>
      </c>
      <c r="L11" s="53">
        <v>1</v>
      </c>
      <c r="N11" s="53">
        <v>1</v>
      </c>
      <c r="O11" s="53">
        <v>0.7</v>
      </c>
      <c r="P11" s="53">
        <v>0.6</v>
      </c>
      <c r="Q11" s="84">
        <f t="shared" si="0"/>
        <v>0.64999999999999991</v>
      </c>
      <c r="R11" s="145">
        <v>16.600000000000001</v>
      </c>
      <c r="S11" s="145">
        <v>123</v>
      </c>
      <c r="T11" s="16">
        <f t="shared" si="1"/>
        <v>30</v>
      </c>
      <c r="U11" s="141">
        <v>128</v>
      </c>
      <c r="V11" s="38">
        <f t="shared" si="2"/>
        <v>3840</v>
      </c>
      <c r="W11" s="142">
        <v>6</v>
      </c>
      <c r="X11" s="143" t="s">
        <v>46</v>
      </c>
      <c r="Y11" s="149" t="s">
        <v>78</v>
      </c>
      <c r="Z11" s="143" t="s">
        <v>88</v>
      </c>
      <c r="AA11" s="149" t="s">
        <v>60</v>
      </c>
      <c r="AB11" s="53" t="s">
        <v>158</v>
      </c>
      <c r="AE11" s="22" t="s">
        <v>65</v>
      </c>
      <c r="AG11" s="23" t="s">
        <v>346</v>
      </c>
      <c r="AH11" s="23" t="s">
        <v>347</v>
      </c>
      <c r="AL11" s="34"/>
      <c r="AP11" s="23" t="s">
        <v>104</v>
      </c>
      <c r="AR11" s="23" t="s">
        <v>87</v>
      </c>
      <c r="AV11" s="23" t="s">
        <v>69</v>
      </c>
    </row>
    <row r="12" spans="1:53" x14ac:dyDescent="0.15">
      <c r="A12" s="135" t="s">
        <v>34</v>
      </c>
      <c r="B12" s="135" t="s">
        <v>157</v>
      </c>
      <c r="C12" s="135">
        <v>2019</v>
      </c>
      <c r="D12" s="137" t="s">
        <v>337</v>
      </c>
      <c r="E12" s="136" t="s">
        <v>338</v>
      </c>
      <c r="F12" s="135" t="s">
        <v>339</v>
      </c>
      <c r="G12" s="138" t="s">
        <v>36</v>
      </c>
      <c r="H12" s="104" t="s">
        <v>160</v>
      </c>
      <c r="I12" s="104" t="s">
        <v>159</v>
      </c>
      <c r="J12" s="104" t="s">
        <v>38</v>
      </c>
      <c r="K12" s="104" t="s">
        <v>161</v>
      </c>
      <c r="L12" s="53">
        <v>2</v>
      </c>
      <c r="N12" s="53">
        <v>1</v>
      </c>
      <c r="O12" s="53">
        <v>0.75</v>
      </c>
      <c r="P12" s="53">
        <v>0.7</v>
      </c>
      <c r="Q12" s="84">
        <f t="shared" si="0"/>
        <v>0.72499999999999998</v>
      </c>
      <c r="R12" s="145">
        <v>15.7</v>
      </c>
      <c r="S12" s="145">
        <v>120</v>
      </c>
      <c r="T12" s="16">
        <f t="shared" si="1"/>
        <v>30</v>
      </c>
      <c r="U12" s="141">
        <v>128</v>
      </c>
      <c r="V12" s="38">
        <f t="shared" si="2"/>
        <v>3840</v>
      </c>
      <c r="W12" s="142">
        <v>6</v>
      </c>
      <c r="X12" s="143" t="s">
        <v>46</v>
      </c>
      <c r="Y12" s="149" t="s">
        <v>78</v>
      </c>
      <c r="Z12" s="143" t="s">
        <v>88</v>
      </c>
      <c r="AA12" s="149" t="s">
        <v>60</v>
      </c>
      <c r="AB12" s="53" t="s">
        <v>158</v>
      </c>
      <c r="AE12" s="22" t="s">
        <v>70</v>
      </c>
      <c r="AG12" s="23"/>
      <c r="AH12" s="23"/>
      <c r="AL12" s="34"/>
      <c r="AP12" s="23" t="s">
        <v>67</v>
      </c>
      <c r="AR12" s="23" t="s">
        <v>124</v>
      </c>
      <c r="AV12" s="23" t="s">
        <v>72</v>
      </c>
    </row>
    <row r="13" spans="1:53" x14ac:dyDescent="0.15">
      <c r="A13" s="135" t="s">
        <v>34</v>
      </c>
      <c r="B13" s="135" t="s">
        <v>157</v>
      </c>
      <c r="C13" s="136">
        <v>2019</v>
      </c>
      <c r="D13" s="137" t="s">
        <v>337</v>
      </c>
      <c r="E13" s="136" t="s">
        <v>338</v>
      </c>
      <c r="F13" s="135" t="s">
        <v>339</v>
      </c>
      <c r="G13" s="138" t="s">
        <v>36</v>
      </c>
      <c r="H13" s="104" t="s">
        <v>160</v>
      </c>
      <c r="I13" s="104" t="s">
        <v>159</v>
      </c>
      <c r="J13" s="104" t="s">
        <v>38</v>
      </c>
      <c r="K13" s="104" t="s">
        <v>161</v>
      </c>
      <c r="L13" s="53">
        <v>3</v>
      </c>
      <c r="N13" s="53">
        <v>1</v>
      </c>
      <c r="O13" s="53">
        <v>0.6</v>
      </c>
      <c r="P13" s="53">
        <v>0.7</v>
      </c>
      <c r="Q13" s="84">
        <f t="shared" si="0"/>
        <v>0.64999999999999991</v>
      </c>
      <c r="R13" s="145">
        <v>16.5</v>
      </c>
      <c r="S13" s="145">
        <v>123</v>
      </c>
      <c r="T13" s="16">
        <f t="shared" si="1"/>
        <v>30</v>
      </c>
      <c r="U13" s="141">
        <v>128</v>
      </c>
      <c r="V13" s="38">
        <f t="shared" si="2"/>
        <v>3840</v>
      </c>
      <c r="W13" s="142">
        <v>6</v>
      </c>
      <c r="X13" s="143" t="s">
        <v>46</v>
      </c>
      <c r="Y13" s="149" t="s">
        <v>78</v>
      </c>
      <c r="Z13" s="143" t="s">
        <v>88</v>
      </c>
      <c r="AA13" s="149" t="s">
        <v>60</v>
      </c>
      <c r="AB13" s="53" t="s">
        <v>158</v>
      </c>
      <c r="AE13" s="22" t="s">
        <v>73</v>
      </c>
      <c r="AG13" s="28"/>
      <c r="AH13" s="28"/>
      <c r="AP13" s="23" t="s">
        <v>71</v>
      </c>
      <c r="AR13" s="23" t="s">
        <v>103</v>
      </c>
      <c r="AV13" s="23" t="s">
        <v>75</v>
      </c>
    </row>
    <row r="14" spans="1:53" x14ac:dyDescent="0.15">
      <c r="A14" s="135" t="s">
        <v>34</v>
      </c>
      <c r="B14" s="135" t="s">
        <v>157</v>
      </c>
      <c r="C14" s="135">
        <v>2019</v>
      </c>
      <c r="D14" s="137" t="s">
        <v>337</v>
      </c>
      <c r="E14" s="136" t="s">
        <v>340</v>
      </c>
      <c r="F14" s="135" t="s">
        <v>339</v>
      </c>
      <c r="G14" s="138" t="s">
        <v>36</v>
      </c>
      <c r="H14" s="104" t="s">
        <v>164</v>
      </c>
      <c r="I14" s="104" t="s">
        <v>159</v>
      </c>
      <c r="J14" s="104" t="s">
        <v>38</v>
      </c>
      <c r="K14" s="104" t="s">
        <v>161</v>
      </c>
      <c r="L14" s="53">
        <v>1</v>
      </c>
      <c r="N14" s="53">
        <v>1</v>
      </c>
      <c r="O14" s="53">
        <v>0.9</v>
      </c>
      <c r="P14" s="53">
        <v>0.8</v>
      </c>
      <c r="Q14" s="84">
        <f t="shared" si="0"/>
        <v>0.85000000000000009</v>
      </c>
      <c r="R14" s="145">
        <v>15.1</v>
      </c>
      <c r="S14" s="145">
        <v>131</v>
      </c>
      <c r="T14" s="16">
        <f t="shared" si="1"/>
        <v>30</v>
      </c>
      <c r="U14" s="141">
        <v>98</v>
      </c>
      <c r="V14" s="38">
        <f t="shared" si="2"/>
        <v>2940</v>
      </c>
      <c r="W14" s="142">
        <v>1</v>
      </c>
      <c r="X14" s="143" t="s">
        <v>46</v>
      </c>
      <c r="Y14" s="149" t="s">
        <v>97</v>
      </c>
      <c r="Z14" s="149" t="s">
        <v>88</v>
      </c>
      <c r="AA14" s="149" t="s">
        <v>78</v>
      </c>
      <c r="AB14" s="53" t="s">
        <v>158</v>
      </c>
      <c r="AC14" s="34"/>
      <c r="AE14" s="22" t="s">
        <v>76</v>
      </c>
      <c r="AP14" s="23" t="s">
        <v>74</v>
      </c>
      <c r="AR14" s="23" t="s">
        <v>125</v>
      </c>
      <c r="AV14" s="23" t="s">
        <v>78</v>
      </c>
    </row>
    <row r="15" spans="1:53" x14ac:dyDescent="0.15">
      <c r="A15" s="135" t="s">
        <v>34</v>
      </c>
      <c r="B15" s="135" t="s">
        <v>157</v>
      </c>
      <c r="C15" s="136">
        <v>2019</v>
      </c>
      <c r="D15" s="137" t="s">
        <v>337</v>
      </c>
      <c r="E15" s="136" t="s">
        <v>340</v>
      </c>
      <c r="F15" s="135" t="s">
        <v>339</v>
      </c>
      <c r="G15" s="138" t="s">
        <v>36</v>
      </c>
      <c r="H15" s="104" t="s">
        <v>164</v>
      </c>
      <c r="I15" s="104" t="s">
        <v>159</v>
      </c>
      <c r="J15" s="104" t="s">
        <v>38</v>
      </c>
      <c r="K15" s="104" t="s">
        <v>161</v>
      </c>
      <c r="L15" s="53">
        <v>2</v>
      </c>
      <c r="N15" s="53">
        <v>1</v>
      </c>
      <c r="O15" s="53">
        <v>1</v>
      </c>
      <c r="P15" s="53">
        <v>0.9</v>
      </c>
      <c r="Q15" s="84">
        <f t="shared" si="0"/>
        <v>0.95</v>
      </c>
      <c r="R15" s="145">
        <v>14.4</v>
      </c>
      <c r="S15" s="145">
        <v>128</v>
      </c>
      <c r="T15" s="16">
        <f t="shared" si="1"/>
        <v>30</v>
      </c>
      <c r="U15" s="141">
        <v>98</v>
      </c>
      <c r="V15" s="38">
        <f t="shared" si="2"/>
        <v>2940</v>
      </c>
      <c r="W15" s="142">
        <v>1</v>
      </c>
      <c r="X15" s="143" t="s">
        <v>46</v>
      </c>
      <c r="Y15" s="149" t="s">
        <v>97</v>
      </c>
      <c r="Z15" s="149" t="s">
        <v>88</v>
      </c>
      <c r="AA15" s="149" t="s">
        <v>78</v>
      </c>
      <c r="AB15" s="53" t="s">
        <v>158</v>
      </c>
      <c r="AC15" s="34"/>
      <c r="AE15" s="22" t="s">
        <v>79</v>
      </c>
      <c r="AP15" s="23" t="s">
        <v>77</v>
      </c>
      <c r="AR15" s="23" t="s">
        <v>94</v>
      </c>
      <c r="AV15" s="23" t="s">
        <v>107</v>
      </c>
    </row>
    <row r="16" spans="1:53" x14ac:dyDescent="0.15">
      <c r="A16" s="135" t="s">
        <v>34</v>
      </c>
      <c r="B16" s="135" t="s">
        <v>157</v>
      </c>
      <c r="C16" s="135">
        <v>2019</v>
      </c>
      <c r="D16" s="137" t="s">
        <v>337</v>
      </c>
      <c r="E16" s="136" t="s">
        <v>340</v>
      </c>
      <c r="F16" s="135" t="s">
        <v>339</v>
      </c>
      <c r="G16" s="138" t="s">
        <v>36</v>
      </c>
      <c r="H16" s="104" t="s">
        <v>164</v>
      </c>
      <c r="I16" s="104" t="s">
        <v>159</v>
      </c>
      <c r="J16" s="104" t="s">
        <v>38</v>
      </c>
      <c r="K16" s="104" t="s">
        <v>161</v>
      </c>
      <c r="L16" s="53">
        <v>3</v>
      </c>
      <c r="N16" s="53">
        <v>1</v>
      </c>
      <c r="O16" s="53">
        <v>0.85</v>
      </c>
      <c r="P16" s="53">
        <v>0.9</v>
      </c>
      <c r="Q16" s="84">
        <f t="shared" si="0"/>
        <v>0.875</v>
      </c>
      <c r="R16" s="145">
        <v>15.3</v>
      </c>
      <c r="S16" s="145">
        <v>128</v>
      </c>
      <c r="T16" s="16">
        <f t="shared" si="1"/>
        <v>30</v>
      </c>
      <c r="U16" s="141">
        <v>98</v>
      </c>
      <c r="V16" s="38">
        <f t="shared" si="2"/>
        <v>2940</v>
      </c>
      <c r="W16" s="142">
        <v>1</v>
      </c>
      <c r="X16" s="143" t="s">
        <v>46</v>
      </c>
      <c r="Y16" s="149" t="s">
        <v>97</v>
      </c>
      <c r="Z16" s="149" t="s">
        <v>88</v>
      </c>
      <c r="AA16" s="149" t="s">
        <v>78</v>
      </c>
      <c r="AB16" s="53" t="s">
        <v>158</v>
      </c>
      <c r="AC16" s="34"/>
      <c r="AE16" s="22" t="s">
        <v>82</v>
      </c>
      <c r="AP16" s="23" t="s">
        <v>80</v>
      </c>
      <c r="AR16" s="23" t="s">
        <v>63</v>
      </c>
      <c r="AV16" s="23" t="s">
        <v>84</v>
      </c>
    </row>
    <row r="17" spans="1:48" x14ac:dyDescent="0.15">
      <c r="A17" s="135" t="s">
        <v>34</v>
      </c>
      <c r="B17" s="135" t="s">
        <v>157</v>
      </c>
      <c r="C17" s="136">
        <v>2019</v>
      </c>
      <c r="D17" s="137" t="s">
        <v>337</v>
      </c>
      <c r="E17" s="136" t="s">
        <v>335</v>
      </c>
      <c r="F17" s="135" t="s">
        <v>341</v>
      </c>
      <c r="G17" s="138" t="s">
        <v>36</v>
      </c>
      <c r="H17" s="104" t="s">
        <v>164</v>
      </c>
      <c r="I17" s="104" t="s">
        <v>159</v>
      </c>
      <c r="J17" s="104" t="s">
        <v>38</v>
      </c>
      <c r="K17" s="104" t="s">
        <v>161</v>
      </c>
      <c r="L17" s="53">
        <v>1</v>
      </c>
      <c r="N17" s="53">
        <v>8</v>
      </c>
      <c r="O17" s="53">
        <v>0.8</v>
      </c>
      <c r="P17" s="53">
        <v>0.7</v>
      </c>
      <c r="Q17" s="84">
        <f t="shared" si="0"/>
        <v>0.75</v>
      </c>
      <c r="R17" s="145">
        <v>14.4</v>
      </c>
      <c r="S17" s="145">
        <v>82</v>
      </c>
      <c r="T17" s="16">
        <f t="shared" si="1"/>
        <v>39</v>
      </c>
      <c r="U17" s="141">
        <v>598</v>
      </c>
      <c r="V17" s="38">
        <f t="shared" si="2"/>
        <v>2915.25</v>
      </c>
      <c r="W17" s="142">
        <v>6</v>
      </c>
      <c r="X17" s="143" t="s">
        <v>46</v>
      </c>
      <c r="Y17" s="149" t="s">
        <v>86</v>
      </c>
      <c r="Z17" s="149" t="s">
        <v>107</v>
      </c>
      <c r="AA17" s="149" t="s">
        <v>88</v>
      </c>
      <c r="AB17" s="53" t="s">
        <v>158</v>
      </c>
      <c r="AC17" s="34"/>
      <c r="AE17" s="22" t="s">
        <v>85</v>
      </c>
      <c r="AP17" s="27" t="s">
        <v>110</v>
      </c>
      <c r="AR17" s="23" t="s">
        <v>96</v>
      </c>
      <c r="AV17" s="23" t="s">
        <v>86</v>
      </c>
    </row>
    <row r="18" spans="1:48" x14ac:dyDescent="0.15">
      <c r="A18" s="135" t="s">
        <v>34</v>
      </c>
      <c r="B18" s="135" t="s">
        <v>157</v>
      </c>
      <c r="C18" s="135">
        <v>2019</v>
      </c>
      <c r="D18" s="137" t="s">
        <v>337</v>
      </c>
      <c r="E18" s="136" t="s">
        <v>335</v>
      </c>
      <c r="F18" s="135" t="s">
        <v>341</v>
      </c>
      <c r="G18" s="138" t="s">
        <v>36</v>
      </c>
      <c r="H18" s="104" t="s">
        <v>164</v>
      </c>
      <c r="I18" s="104" t="s">
        <v>159</v>
      </c>
      <c r="J18" s="104" t="s">
        <v>38</v>
      </c>
      <c r="K18" s="104" t="s">
        <v>161</v>
      </c>
      <c r="L18" s="53">
        <v>2</v>
      </c>
      <c r="N18" s="53">
        <v>8</v>
      </c>
      <c r="O18" s="53">
        <v>0.55000000000000004</v>
      </c>
      <c r="P18" s="53">
        <v>0.6</v>
      </c>
      <c r="Q18" s="84">
        <f t="shared" si="0"/>
        <v>0.57499999999999996</v>
      </c>
      <c r="R18" s="145">
        <v>14.7</v>
      </c>
      <c r="S18" s="145">
        <v>88</v>
      </c>
      <c r="T18" s="16">
        <f t="shared" si="1"/>
        <v>36</v>
      </c>
      <c r="U18" s="141">
        <v>598</v>
      </c>
      <c r="V18" s="38">
        <f t="shared" si="2"/>
        <v>2691</v>
      </c>
      <c r="W18" s="142">
        <v>6</v>
      </c>
      <c r="X18" s="143" t="s">
        <v>46</v>
      </c>
      <c r="Y18" s="149" t="s">
        <v>86</v>
      </c>
      <c r="Z18" s="149" t="s">
        <v>107</v>
      </c>
      <c r="AA18" s="149" t="s">
        <v>88</v>
      </c>
      <c r="AB18" s="53" t="s">
        <v>158</v>
      </c>
      <c r="AC18" s="34"/>
      <c r="AE18" s="22" t="s">
        <v>87</v>
      </c>
      <c r="AP18" s="27" t="s">
        <v>111</v>
      </c>
      <c r="AR18" s="23" t="s">
        <v>101</v>
      </c>
      <c r="AV18" s="23" t="s">
        <v>88</v>
      </c>
    </row>
    <row r="19" spans="1:48" x14ac:dyDescent="0.15">
      <c r="A19" s="135" t="s">
        <v>34</v>
      </c>
      <c r="B19" s="135" t="s">
        <v>157</v>
      </c>
      <c r="C19" s="136">
        <v>2019</v>
      </c>
      <c r="D19" s="137" t="s">
        <v>337</v>
      </c>
      <c r="E19" s="136" t="s">
        <v>335</v>
      </c>
      <c r="F19" s="135" t="s">
        <v>341</v>
      </c>
      <c r="G19" s="138" t="s">
        <v>36</v>
      </c>
      <c r="H19" s="104" t="s">
        <v>164</v>
      </c>
      <c r="I19" s="104" t="s">
        <v>159</v>
      </c>
      <c r="J19" s="104" t="s">
        <v>38</v>
      </c>
      <c r="K19" s="104" t="s">
        <v>161</v>
      </c>
      <c r="L19" s="53">
        <v>3</v>
      </c>
      <c r="N19" s="53">
        <v>8</v>
      </c>
      <c r="O19" s="53">
        <v>0.6</v>
      </c>
      <c r="P19" s="53">
        <v>0.55000000000000004</v>
      </c>
      <c r="Q19" s="84">
        <f t="shared" si="0"/>
        <v>0.57499999999999996</v>
      </c>
      <c r="R19" s="145">
        <v>14.3</v>
      </c>
      <c r="S19" s="145">
        <v>93</v>
      </c>
      <c r="T19" s="16">
        <f t="shared" si="1"/>
        <v>36</v>
      </c>
      <c r="U19" s="141">
        <v>598</v>
      </c>
      <c r="V19" s="38">
        <f t="shared" si="2"/>
        <v>2691</v>
      </c>
      <c r="W19" s="142">
        <v>6</v>
      </c>
      <c r="X19" s="143" t="s">
        <v>46</v>
      </c>
      <c r="Y19" s="149" t="s">
        <v>86</v>
      </c>
      <c r="Z19" s="149" t="s">
        <v>107</v>
      </c>
      <c r="AA19" s="149" t="s">
        <v>88</v>
      </c>
      <c r="AB19" s="53" t="s">
        <v>158</v>
      </c>
      <c r="AC19" s="34"/>
      <c r="AE19" s="35" t="s">
        <v>89</v>
      </c>
      <c r="AP19" s="27" t="s">
        <v>112</v>
      </c>
      <c r="AR19" s="23" t="s">
        <v>126</v>
      </c>
      <c r="AV19" s="23" t="s">
        <v>90</v>
      </c>
    </row>
    <row r="20" spans="1:48" x14ac:dyDescent="0.15">
      <c r="A20" s="135" t="s">
        <v>34</v>
      </c>
      <c r="B20" s="135" t="s">
        <v>157</v>
      </c>
      <c r="C20" s="135">
        <v>2019</v>
      </c>
      <c r="D20" s="137" t="s">
        <v>337</v>
      </c>
      <c r="E20" s="136" t="s">
        <v>335</v>
      </c>
      <c r="F20" s="135" t="s">
        <v>341</v>
      </c>
      <c r="G20" s="138" t="s">
        <v>36</v>
      </c>
      <c r="H20" s="104" t="s">
        <v>160</v>
      </c>
      <c r="I20" s="104" t="s">
        <v>159</v>
      </c>
      <c r="J20" s="104" t="s">
        <v>38</v>
      </c>
      <c r="K20" s="104" t="s">
        <v>161</v>
      </c>
      <c r="L20" s="53">
        <v>1</v>
      </c>
      <c r="N20" s="53">
        <v>1</v>
      </c>
      <c r="O20" s="53">
        <v>0.7</v>
      </c>
      <c r="P20" s="53">
        <v>0.75</v>
      </c>
      <c r="Q20" s="84">
        <f t="shared" si="0"/>
        <v>0.72499999999999998</v>
      </c>
      <c r="R20" s="145">
        <v>15.9</v>
      </c>
      <c r="S20" s="145">
        <v>124</v>
      </c>
      <c r="T20" s="16">
        <f t="shared" si="1"/>
        <v>30</v>
      </c>
      <c r="U20" s="141">
        <v>138</v>
      </c>
      <c r="V20" s="38">
        <f t="shared" si="2"/>
        <v>4140</v>
      </c>
      <c r="W20" s="142">
        <v>6</v>
      </c>
      <c r="X20" s="143" t="s">
        <v>46</v>
      </c>
      <c r="Y20" s="149" t="s">
        <v>86</v>
      </c>
      <c r="Z20" s="149" t="s">
        <v>107</v>
      </c>
      <c r="AA20" s="149" t="s">
        <v>88</v>
      </c>
      <c r="AB20" s="53" t="s">
        <v>158</v>
      </c>
      <c r="AE20" s="35"/>
      <c r="AP20" s="27" t="s">
        <v>113</v>
      </c>
      <c r="AR20" s="23" t="s">
        <v>105</v>
      </c>
      <c r="AV20" s="27" t="s">
        <v>135</v>
      </c>
    </row>
    <row r="21" spans="1:48" x14ac:dyDescent="0.15">
      <c r="A21" s="135" t="s">
        <v>34</v>
      </c>
      <c r="B21" s="135" t="s">
        <v>157</v>
      </c>
      <c r="C21" s="136">
        <v>2019</v>
      </c>
      <c r="D21" s="137" t="s">
        <v>337</v>
      </c>
      <c r="E21" s="136" t="s">
        <v>335</v>
      </c>
      <c r="F21" s="135" t="s">
        <v>341</v>
      </c>
      <c r="G21" s="138" t="s">
        <v>36</v>
      </c>
      <c r="H21" s="104" t="s">
        <v>160</v>
      </c>
      <c r="I21" s="104" t="s">
        <v>159</v>
      </c>
      <c r="J21" s="104" t="s">
        <v>38</v>
      </c>
      <c r="K21" s="104" t="s">
        <v>161</v>
      </c>
      <c r="L21" s="53">
        <v>2</v>
      </c>
      <c r="N21" s="53">
        <v>1</v>
      </c>
      <c r="O21" s="53">
        <v>0.65</v>
      </c>
      <c r="P21" s="53">
        <v>0.7</v>
      </c>
      <c r="Q21" s="84">
        <f t="shared" si="0"/>
        <v>0.67500000000000004</v>
      </c>
      <c r="R21" s="145">
        <v>16.2</v>
      </c>
      <c r="S21" s="145">
        <v>126</v>
      </c>
      <c r="T21" s="16">
        <f t="shared" si="1"/>
        <v>30</v>
      </c>
      <c r="U21" s="141">
        <v>138</v>
      </c>
      <c r="V21" s="38">
        <f t="shared" si="2"/>
        <v>4140</v>
      </c>
      <c r="W21" s="142">
        <v>6</v>
      </c>
      <c r="X21" s="143" t="s">
        <v>46</v>
      </c>
      <c r="Y21" s="149" t="s">
        <v>86</v>
      </c>
      <c r="Z21" s="149" t="s">
        <v>107</v>
      </c>
      <c r="AA21" s="149" t="s">
        <v>88</v>
      </c>
      <c r="AB21" s="53" t="s">
        <v>158</v>
      </c>
      <c r="AE21" s="28"/>
      <c r="AP21" s="27" t="s">
        <v>114</v>
      </c>
      <c r="AR21" s="23" t="s">
        <v>68</v>
      </c>
      <c r="AV21" s="27" t="s">
        <v>136</v>
      </c>
    </row>
    <row r="22" spans="1:48" x14ac:dyDescent="0.15">
      <c r="A22" s="135" t="s">
        <v>34</v>
      </c>
      <c r="B22" s="135" t="s">
        <v>157</v>
      </c>
      <c r="C22" s="135">
        <v>2019</v>
      </c>
      <c r="D22" s="137" t="s">
        <v>337</v>
      </c>
      <c r="E22" s="136" t="s">
        <v>335</v>
      </c>
      <c r="F22" s="135" t="s">
        <v>341</v>
      </c>
      <c r="G22" s="138" t="s">
        <v>36</v>
      </c>
      <c r="H22" s="104" t="s">
        <v>160</v>
      </c>
      <c r="I22" s="104" t="s">
        <v>159</v>
      </c>
      <c r="J22" s="104" t="s">
        <v>38</v>
      </c>
      <c r="K22" s="104" t="s">
        <v>161</v>
      </c>
      <c r="L22" s="53">
        <v>3</v>
      </c>
      <c r="N22" s="53">
        <v>1</v>
      </c>
      <c r="O22" s="53">
        <v>0.7</v>
      </c>
      <c r="P22" s="34">
        <v>0.65</v>
      </c>
      <c r="Q22" s="84">
        <f t="shared" si="0"/>
        <v>0.67500000000000004</v>
      </c>
      <c r="R22" s="145">
        <v>16.5</v>
      </c>
      <c r="S22" s="145">
        <v>118</v>
      </c>
      <c r="T22" s="16">
        <f t="shared" si="1"/>
        <v>30</v>
      </c>
      <c r="U22" s="141">
        <v>138</v>
      </c>
      <c r="V22" s="38">
        <f t="shared" si="2"/>
        <v>4140</v>
      </c>
      <c r="W22" s="142">
        <v>6</v>
      </c>
      <c r="X22" s="143" t="s">
        <v>46</v>
      </c>
      <c r="Y22" s="149" t="s">
        <v>86</v>
      </c>
      <c r="Z22" s="149" t="s">
        <v>107</v>
      </c>
      <c r="AA22" s="149" t="s">
        <v>88</v>
      </c>
      <c r="AB22" s="53" t="s">
        <v>158</v>
      </c>
      <c r="AP22" s="27" t="s">
        <v>115</v>
      </c>
      <c r="AR22" s="23" t="s">
        <v>83</v>
      </c>
      <c r="AV22" s="23"/>
    </row>
    <row r="23" spans="1:48" x14ac:dyDescent="0.15">
      <c r="A23" s="135" t="s">
        <v>34</v>
      </c>
      <c r="B23" s="135" t="s">
        <v>157</v>
      </c>
      <c r="C23" s="136">
        <v>2019</v>
      </c>
      <c r="D23" s="137" t="s">
        <v>337</v>
      </c>
      <c r="E23" s="136" t="s">
        <v>210</v>
      </c>
      <c r="F23" s="135" t="s">
        <v>342</v>
      </c>
      <c r="G23" s="138" t="s">
        <v>42</v>
      </c>
      <c r="H23" s="104" t="s">
        <v>160</v>
      </c>
      <c r="I23" s="104" t="s">
        <v>159</v>
      </c>
      <c r="J23" s="104" t="s">
        <v>38</v>
      </c>
      <c r="K23" s="104" t="s">
        <v>161</v>
      </c>
      <c r="L23" s="53">
        <v>1</v>
      </c>
      <c r="N23" s="53">
        <v>1</v>
      </c>
      <c r="O23" s="53">
        <v>0.55000000000000004</v>
      </c>
      <c r="P23" s="34">
        <v>0.55000000000000004</v>
      </c>
      <c r="Q23" s="84">
        <f t="shared" si="0"/>
        <v>0.55000000000000004</v>
      </c>
      <c r="R23" s="145">
        <v>16.3</v>
      </c>
      <c r="S23" s="145">
        <v>122</v>
      </c>
      <c r="T23" s="16">
        <f t="shared" si="1"/>
        <v>30</v>
      </c>
      <c r="U23" s="141">
        <v>89</v>
      </c>
      <c r="V23" s="38">
        <f t="shared" si="2"/>
        <v>2670</v>
      </c>
      <c r="W23" s="142">
        <v>8</v>
      </c>
      <c r="X23" s="143" t="s">
        <v>46</v>
      </c>
      <c r="Y23" s="149" t="s">
        <v>97</v>
      </c>
      <c r="Z23" s="149" t="s">
        <v>88</v>
      </c>
      <c r="AA23" s="149" t="s">
        <v>78</v>
      </c>
      <c r="AB23" s="53" t="s">
        <v>158</v>
      </c>
      <c r="AP23" s="27" t="s">
        <v>137</v>
      </c>
      <c r="AR23" s="23" t="s">
        <v>61</v>
      </c>
      <c r="AV23" s="23"/>
    </row>
    <row r="24" spans="1:48" x14ac:dyDescent="0.15">
      <c r="A24" s="135" t="s">
        <v>34</v>
      </c>
      <c r="B24" s="135" t="s">
        <v>157</v>
      </c>
      <c r="C24" s="135">
        <v>2019</v>
      </c>
      <c r="D24" s="137" t="s">
        <v>337</v>
      </c>
      <c r="E24" s="136" t="s">
        <v>210</v>
      </c>
      <c r="F24" s="135" t="s">
        <v>342</v>
      </c>
      <c r="G24" s="138" t="s">
        <v>42</v>
      </c>
      <c r="H24" s="104" t="s">
        <v>160</v>
      </c>
      <c r="I24" s="104" t="s">
        <v>159</v>
      </c>
      <c r="J24" s="104" t="s">
        <v>38</v>
      </c>
      <c r="K24" s="104" t="s">
        <v>161</v>
      </c>
      <c r="L24" s="53">
        <v>2</v>
      </c>
      <c r="N24" s="53">
        <v>1</v>
      </c>
      <c r="O24" s="53">
        <v>0.4</v>
      </c>
      <c r="P24" s="34">
        <v>0.45</v>
      </c>
      <c r="Q24" s="84">
        <f t="shared" si="0"/>
        <v>0.42500000000000004</v>
      </c>
      <c r="R24" s="145">
        <v>18.100000000000001</v>
      </c>
      <c r="S24" s="145">
        <v>125</v>
      </c>
      <c r="T24" s="16">
        <f t="shared" si="1"/>
        <v>30</v>
      </c>
      <c r="U24" s="141">
        <v>89</v>
      </c>
      <c r="V24" s="38">
        <f t="shared" si="2"/>
        <v>2670</v>
      </c>
      <c r="W24" s="142">
        <v>8</v>
      </c>
      <c r="X24" s="143" t="s">
        <v>46</v>
      </c>
      <c r="Y24" s="149" t="s">
        <v>97</v>
      </c>
      <c r="Z24" s="149" t="s">
        <v>88</v>
      </c>
      <c r="AA24" s="149" t="s">
        <v>78</v>
      </c>
      <c r="AB24" s="53" t="s">
        <v>158</v>
      </c>
      <c r="AP24" s="27" t="s">
        <v>138</v>
      </c>
      <c r="AR24" s="23" t="s">
        <v>91</v>
      </c>
      <c r="AV24" s="23"/>
    </row>
    <row r="25" spans="1:48" x14ac:dyDescent="0.15">
      <c r="A25" s="135" t="s">
        <v>34</v>
      </c>
      <c r="B25" s="135" t="s">
        <v>157</v>
      </c>
      <c r="C25" s="136">
        <v>2019</v>
      </c>
      <c r="D25" s="137" t="s">
        <v>337</v>
      </c>
      <c r="E25" s="136" t="s">
        <v>210</v>
      </c>
      <c r="F25" s="135" t="s">
        <v>342</v>
      </c>
      <c r="G25" s="138" t="s">
        <v>42</v>
      </c>
      <c r="H25" s="104" t="s">
        <v>160</v>
      </c>
      <c r="I25" s="104" t="s">
        <v>159</v>
      </c>
      <c r="J25" s="104" t="s">
        <v>38</v>
      </c>
      <c r="K25" s="104" t="s">
        <v>161</v>
      </c>
      <c r="L25" s="53">
        <v>3</v>
      </c>
      <c r="N25" s="53">
        <v>1</v>
      </c>
      <c r="O25" s="53">
        <v>0.5</v>
      </c>
      <c r="P25" s="34">
        <v>0.45</v>
      </c>
      <c r="Q25" s="84">
        <f t="shared" si="0"/>
        <v>0.47499999999999998</v>
      </c>
      <c r="R25" s="145">
        <v>17.7</v>
      </c>
      <c r="S25" s="145">
        <v>124</v>
      </c>
      <c r="T25" s="16">
        <f t="shared" si="1"/>
        <v>30</v>
      </c>
      <c r="U25" s="141">
        <v>89</v>
      </c>
      <c r="V25" s="38">
        <f t="shared" si="2"/>
        <v>2670</v>
      </c>
      <c r="W25" s="142">
        <v>8</v>
      </c>
      <c r="X25" s="143" t="s">
        <v>46</v>
      </c>
      <c r="Y25" s="149" t="s">
        <v>97</v>
      </c>
      <c r="Z25" s="149" t="s">
        <v>88</v>
      </c>
      <c r="AA25" s="149" t="s">
        <v>78</v>
      </c>
      <c r="AB25" s="53" t="s">
        <v>158</v>
      </c>
      <c r="AP25" s="27" t="s">
        <v>116</v>
      </c>
      <c r="AR25" s="27" t="s">
        <v>92</v>
      </c>
      <c r="AV25" s="23"/>
    </row>
    <row r="26" spans="1:48" x14ac:dyDescent="0.15">
      <c r="A26" s="135" t="s">
        <v>348</v>
      </c>
      <c r="B26" s="135" t="s">
        <v>157</v>
      </c>
      <c r="C26" s="135">
        <v>2019</v>
      </c>
      <c r="D26" s="137" t="s">
        <v>337</v>
      </c>
      <c r="E26" s="136" t="s">
        <v>346</v>
      </c>
      <c r="F26" s="135" t="s">
        <v>342</v>
      </c>
      <c r="G26" s="138" t="s">
        <v>36</v>
      </c>
      <c r="H26" s="104" t="s">
        <v>164</v>
      </c>
      <c r="I26" s="104" t="s">
        <v>159</v>
      </c>
      <c r="J26" s="104" t="s">
        <v>38</v>
      </c>
      <c r="K26" s="104" t="s">
        <v>161</v>
      </c>
      <c r="L26" s="53">
        <v>1</v>
      </c>
      <c r="N26" s="53">
        <v>7</v>
      </c>
      <c r="O26" s="53">
        <v>0.55000000000000004</v>
      </c>
      <c r="P26" s="53">
        <v>0.5</v>
      </c>
      <c r="Q26" s="84">
        <f t="shared" si="0"/>
        <v>0.52500000000000002</v>
      </c>
      <c r="R26" s="145">
        <v>14.4</v>
      </c>
      <c r="S26" s="145">
        <v>82</v>
      </c>
      <c r="T26" s="16">
        <f t="shared" si="1"/>
        <v>39</v>
      </c>
      <c r="U26" s="141">
        <v>298</v>
      </c>
      <c r="V26" s="38">
        <f t="shared" si="2"/>
        <v>1660.2857142857142</v>
      </c>
      <c r="W26" s="142">
        <v>6</v>
      </c>
      <c r="X26" s="143" t="s">
        <v>46</v>
      </c>
      <c r="Y26" s="149" t="s">
        <v>86</v>
      </c>
      <c r="Z26" s="149" t="s">
        <v>107</v>
      </c>
      <c r="AA26" s="149" t="s">
        <v>88</v>
      </c>
      <c r="AB26" s="53" t="s">
        <v>158</v>
      </c>
      <c r="AP26" s="27" t="s">
        <v>117</v>
      </c>
      <c r="AR26" s="23" t="s">
        <v>153</v>
      </c>
      <c r="AV26" s="27"/>
    </row>
    <row r="27" spans="1:48" x14ac:dyDescent="0.15">
      <c r="A27" s="135" t="s">
        <v>34</v>
      </c>
      <c r="B27" s="135" t="s">
        <v>157</v>
      </c>
      <c r="C27" s="136">
        <v>2019</v>
      </c>
      <c r="D27" s="137" t="s">
        <v>337</v>
      </c>
      <c r="E27" s="136" t="s">
        <v>346</v>
      </c>
      <c r="F27" s="135" t="s">
        <v>342</v>
      </c>
      <c r="G27" s="138" t="s">
        <v>36</v>
      </c>
      <c r="H27" s="104" t="s">
        <v>164</v>
      </c>
      <c r="I27" s="104" t="s">
        <v>159</v>
      </c>
      <c r="J27" s="104" t="s">
        <v>38</v>
      </c>
      <c r="K27" s="104" t="s">
        <v>161</v>
      </c>
      <c r="L27" s="53">
        <v>2</v>
      </c>
      <c r="N27" s="53">
        <v>7</v>
      </c>
      <c r="O27" s="34">
        <v>0.5</v>
      </c>
      <c r="P27" s="53">
        <v>0.45</v>
      </c>
      <c r="Q27" s="84">
        <f t="shared" si="0"/>
        <v>0.47499999999999998</v>
      </c>
      <c r="R27" s="145">
        <v>14.8</v>
      </c>
      <c r="S27" s="145">
        <v>80</v>
      </c>
      <c r="T27" s="16">
        <f t="shared" si="1"/>
        <v>39</v>
      </c>
      <c r="U27" s="141">
        <v>298</v>
      </c>
      <c r="V27" s="38">
        <f t="shared" si="2"/>
        <v>1660.2857142857142</v>
      </c>
      <c r="W27" s="142">
        <v>6</v>
      </c>
      <c r="X27" s="143" t="s">
        <v>46</v>
      </c>
      <c r="Y27" s="149" t="s">
        <v>86</v>
      </c>
      <c r="Z27" s="149" t="s">
        <v>107</v>
      </c>
      <c r="AA27" s="149" t="s">
        <v>88</v>
      </c>
      <c r="AB27" s="53" t="s">
        <v>158</v>
      </c>
      <c r="AP27" s="27" t="s">
        <v>118</v>
      </c>
      <c r="AR27" s="23"/>
    </row>
    <row r="28" spans="1:48" x14ac:dyDescent="0.15">
      <c r="A28" s="135" t="s">
        <v>34</v>
      </c>
      <c r="B28" s="135" t="s">
        <v>157</v>
      </c>
      <c r="C28" s="135">
        <v>2019</v>
      </c>
      <c r="D28" s="137" t="s">
        <v>337</v>
      </c>
      <c r="E28" s="136" t="s">
        <v>346</v>
      </c>
      <c r="F28" s="135" t="s">
        <v>342</v>
      </c>
      <c r="G28" s="138" t="s">
        <v>36</v>
      </c>
      <c r="H28" s="104" t="s">
        <v>164</v>
      </c>
      <c r="I28" s="104" t="s">
        <v>159</v>
      </c>
      <c r="J28" s="104" t="s">
        <v>38</v>
      </c>
      <c r="K28" s="104" t="s">
        <v>161</v>
      </c>
      <c r="L28" s="53">
        <v>3</v>
      </c>
      <c r="N28" s="53">
        <v>7</v>
      </c>
      <c r="O28" s="34">
        <v>0.45</v>
      </c>
      <c r="P28" s="53">
        <v>0.5</v>
      </c>
      <c r="Q28" s="84">
        <f t="shared" si="0"/>
        <v>0.47499999999999998</v>
      </c>
      <c r="R28" s="145">
        <v>14.6</v>
      </c>
      <c r="S28" s="145">
        <v>75</v>
      </c>
      <c r="T28" s="16">
        <f t="shared" si="1"/>
        <v>42</v>
      </c>
      <c r="U28" s="141">
        <v>298</v>
      </c>
      <c r="V28" s="38">
        <f t="shared" si="2"/>
        <v>1788</v>
      </c>
      <c r="W28" s="142">
        <v>6</v>
      </c>
      <c r="X28" s="143" t="s">
        <v>46</v>
      </c>
      <c r="Y28" s="149" t="s">
        <v>86</v>
      </c>
      <c r="Z28" s="149" t="s">
        <v>107</v>
      </c>
      <c r="AA28" s="149" t="s">
        <v>88</v>
      </c>
      <c r="AB28" s="53" t="s">
        <v>158</v>
      </c>
      <c r="AR28" s="23"/>
    </row>
    <row r="29" spans="1:48" x14ac:dyDescent="0.15">
      <c r="A29" s="135" t="s">
        <v>34</v>
      </c>
      <c r="B29" s="135" t="s">
        <v>157</v>
      </c>
      <c r="C29" s="135">
        <v>2019</v>
      </c>
      <c r="D29" s="137" t="s">
        <v>337</v>
      </c>
      <c r="E29" s="136" t="s">
        <v>346</v>
      </c>
      <c r="F29" s="135" t="s">
        <v>342</v>
      </c>
      <c r="G29" s="138" t="s">
        <v>36</v>
      </c>
      <c r="H29" s="104" t="s">
        <v>160</v>
      </c>
      <c r="I29" s="104" t="s">
        <v>159</v>
      </c>
      <c r="J29" s="104" t="s">
        <v>38</v>
      </c>
      <c r="K29" s="104" t="s">
        <v>161</v>
      </c>
      <c r="L29" s="53">
        <v>1</v>
      </c>
      <c r="N29" s="53">
        <v>1</v>
      </c>
      <c r="O29" s="53">
        <v>0.55000000000000004</v>
      </c>
      <c r="P29" s="53">
        <v>0.55000000000000004</v>
      </c>
      <c r="Q29" s="84">
        <f t="shared" si="0"/>
        <v>0.55000000000000004</v>
      </c>
      <c r="R29" s="145">
        <v>15.8</v>
      </c>
      <c r="S29" s="145">
        <v>127</v>
      </c>
      <c r="T29" s="16">
        <f t="shared" si="1"/>
        <v>30</v>
      </c>
      <c r="U29" s="141">
        <v>158</v>
      </c>
      <c r="V29" s="38">
        <f t="shared" si="2"/>
        <v>4740</v>
      </c>
      <c r="W29" s="142">
        <v>6</v>
      </c>
      <c r="X29" s="143" t="s">
        <v>39</v>
      </c>
      <c r="Y29" s="149" t="s">
        <v>86</v>
      </c>
      <c r="Z29" s="149" t="s">
        <v>107</v>
      </c>
      <c r="AA29" s="149" t="s">
        <v>88</v>
      </c>
      <c r="AB29" s="53" t="s">
        <v>158</v>
      </c>
      <c r="AR29" s="28"/>
    </row>
    <row r="30" spans="1:48" x14ac:dyDescent="0.15">
      <c r="A30" s="135" t="s">
        <v>34</v>
      </c>
      <c r="B30" s="135" t="s">
        <v>157</v>
      </c>
      <c r="C30" s="136">
        <v>2019</v>
      </c>
      <c r="D30" s="137" t="s">
        <v>337</v>
      </c>
      <c r="E30" s="136" t="s">
        <v>346</v>
      </c>
      <c r="F30" s="135" t="s">
        <v>342</v>
      </c>
      <c r="G30" s="138" t="s">
        <v>36</v>
      </c>
      <c r="H30" s="104" t="s">
        <v>160</v>
      </c>
      <c r="I30" s="104" t="s">
        <v>159</v>
      </c>
      <c r="J30" s="104" t="s">
        <v>38</v>
      </c>
      <c r="K30" s="104" t="s">
        <v>161</v>
      </c>
      <c r="L30" s="53">
        <v>2</v>
      </c>
      <c r="N30" s="53">
        <v>1</v>
      </c>
      <c r="O30" s="53">
        <v>0.6</v>
      </c>
      <c r="P30" s="53">
        <v>0.55000000000000004</v>
      </c>
      <c r="Q30" s="84">
        <f t="shared" si="0"/>
        <v>0.57499999999999996</v>
      </c>
      <c r="R30" s="145">
        <v>16</v>
      </c>
      <c r="S30" s="145">
        <v>132</v>
      </c>
      <c r="T30" s="16">
        <f t="shared" si="1"/>
        <v>30</v>
      </c>
      <c r="U30" s="141">
        <v>158</v>
      </c>
      <c r="V30" s="38">
        <f t="shared" si="2"/>
        <v>4740</v>
      </c>
      <c r="W30" s="142">
        <v>6</v>
      </c>
      <c r="X30" s="143" t="s">
        <v>39</v>
      </c>
      <c r="Y30" s="149" t="s">
        <v>86</v>
      </c>
      <c r="Z30" s="149" t="s">
        <v>107</v>
      </c>
      <c r="AA30" s="149" t="s">
        <v>88</v>
      </c>
      <c r="AB30" s="53" t="s">
        <v>158</v>
      </c>
    </row>
    <row r="31" spans="1:48" x14ac:dyDescent="0.15">
      <c r="A31" s="135" t="s">
        <v>34</v>
      </c>
      <c r="B31" s="135" t="s">
        <v>157</v>
      </c>
      <c r="C31" s="135">
        <v>2019</v>
      </c>
      <c r="D31" s="137" t="s">
        <v>337</v>
      </c>
      <c r="E31" s="136" t="s">
        <v>346</v>
      </c>
      <c r="F31" s="135" t="s">
        <v>342</v>
      </c>
      <c r="G31" s="138" t="s">
        <v>36</v>
      </c>
      <c r="H31" s="104" t="s">
        <v>160</v>
      </c>
      <c r="I31" s="104" t="s">
        <v>159</v>
      </c>
      <c r="J31" s="104" t="s">
        <v>38</v>
      </c>
      <c r="K31" s="104" t="s">
        <v>161</v>
      </c>
      <c r="L31" s="53">
        <v>3</v>
      </c>
      <c r="N31" s="53">
        <v>1</v>
      </c>
      <c r="O31" s="53">
        <v>0.6</v>
      </c>
      <c r="P31" s="53">
        <v>0.55000000000000004</v>
      </c>
      <c r="Q31" s="84">
        <f t="shared" si="0"/>
        <v>0.57499999999999996</v>
      </c>
      <c r="R31" s="145">
        <v>15.7</v>
      </c>
      <c r="S31" s="145">
        <v>131</v>
      </c>
      <c r="T31" s="16">
        <f t="shared" si="1"/>
        <v>30</v>
      </c>
      <c r="U31" s="141">
        <v>158</v>
      </c>
      <c r="V31" s="38">
        <f t="shared" si="2"/>
        <v>4740</v>
      </c>
      <c r="W31" s="142">
        <v>6</v>
      </c>
      <c r="X31" s="143" t="s">
        <v>39</v>
      </c>
      <c r="Y31" s="149" t="s">
        <v>86</v>
      </c>
      <c r="Z31" s="149" t="s">
        <v>107</v>
      </c>
      <c r="AA31" s="149" t="s">
        <v>88</v>
      </c>
      <c r="AB31" s="53" t="s">
        <v>158</v>
      </c>
    </row>
    <row r="32" spans="1:48" ht="14.25" customHeight="1" x14ac:dyDescent="0.15">
      <c r="A32" s="135" t="s">
        <v>34</v>
      </c>
      <c r="B32" s="135" t="s">
        <v>157</v>
      </c>
      <c r="C32" s="136">
        <v>2019</v>
      </c>
      <c r="D32" s="137" t="s">
        <v>337</v>
      </c>
      <c r="E32" s="136" t="s">
        <v>210</v>
      </c>
      <c r="F32" s="135" t="s">
        <v>344</v>
      </c>
      <c r="G32" s="138" t="s">
        <v>42</v>
      </c>
      <c r="H32" s="104" t="s">
        <v>164</v>
      </c>
      <c r="I32" s="104" t="s">
        <v>159</v>
      </c>
      <c r="J32" s="104" t="s">
        <v>38</v>
      </c>
      <c r="K32" s="104" t="s">
        <v>161</v>
      </c>
      <c r="L32" s="53">
        <v>1</v>
      </c>
      <c r="N32" s="53">
        <v>4</v>
      </c>
      <c r="O32" s="53">
        <v>0.55000000000000004</v>
      </c>
      <c r="P32" s="53">
        <v>0.6</v>
      </c>
      <c r="Q32" s="84">
        <f t="shared" si="0"/>
        <v>0.57499999999999996</v>
      </c>
      <c r="R32" s="145">
        <v>14.3</v>
      </c>
      <c r="S32" s="145">
        <v>81</v>
      </c>
      <c r="T32" s="16">
        <f t="shared" si="1"/>
        <v>39</v>
      </c>
      <c r="U32" s="141">
        <v>297</v>
      </c>
      <c r="V32" s="38">
        <f t="shared" si="2"/>
        <v>2895.75</v>
      </c>
      <c r="W32" s="142">
        <v>8</v>
      </c>
      <c r="X32" s="143" t="s">
        <v>39</v>
      </c>
      <c r="Y32" s="149" t="s">
        <v>88</v>
      </c>
      <c r="Z32" s="149" t="s">
        <v>69</v>
      </c>
      <c r="AA32" s="149" t="s">
        <v>86</v>
      </c>
      <c r="AB32" s="53" t="s">
        <v>158</v>
      </c>
    </row>
    <row r="33" spans="1:28" x14ac:dyDescent="0.15">
      <c r="A33" s="135" t="s">
        <v>34</v>
      </c>
      <c r="B33" s="135" t="s">
        <v>157</v>
      </c>
      <c r="C33" s="135">
        <v>2019</v>
      </c>
      <c r="D33" s="137" t="s">
        <v>337</v>
      </c>
      <c r="E33" s="136" t="s">
        <v>210</v>
      </c>
      <c r="F33" s="135" t="s">
        <v>344</v>
      </c>
      <c r="G33" s="138" t="s">
        <v>42</v>
      </c>
      <c r="H33" s="104" t="s">
        <v>164</v>
      </c>
      <c r="I33" s="104" t="s">
        <v>159</v>
      </c>
      <c r="J33" s="104" t="s">
        <v>38</v>
      </c>
      <c r="K33" s="104" t="s">
        <v>161</v>
      </c>
      <c r="L33" s="53">
        <v>2</v>
      </c>
      <c r="N33" s="53">
        <v>4</v>
      </c>
      <c r="O33" s="53">
        <v>0.6</v>
      </c>
      <c r="P33" s="53">
        <v>0.5</v>
      </c>
      <c r="Q33" s="84">
        <f t="shared" si="0"/>
        <v>0.55000000000000004</v>
      </c>
      <c r="R33" s="145">
        <v>14.7</v>
      </c>
      <c r="S33" s="145">
        <v>80</v>
      </c>
      <c r="T33" s="16">
        <f t="shared" si="1"/>
        <v>39</v>
      </c>
      <c r="U33" s="141">
        <v>297</v>
      </c>
      <c r="V33" s="38">
        <f t="shared" si="2"/>
        <v>2895.75</v>
      </c>
      <c r="W33" s="142">
        <v>8</v>
      </c>
      <c r="X33" s="143" t="s">
        <v>39</v>
      </c>
      <c r="Y33" s="149" t="s">
        <v>88</v>
      </c>
      <c r="Z33" s="149" t="s">
        <v>69</v>
      </c>
      <c r="AA33" s="149" t="s">
        <v>86</v>
      </c>
      <c r="AB33" s="53" t="s">
        <v>158</v>
      </c>
    </row>
    <row r="34" spans="1:28" x14ac:dyDescent="0.15">
      <c r="A34" s="135" t="s">
        <v>34</v>
      </c>
      <c r="B34" s="135" t="s">
        <v>157</v>
      </c>
      <c r="C34" s="136">
        <v>2019</v>
      </c>
      <c r="D34" s="137" t="s">
        <v>337</v>
      </c>
      <c r="E34" s="136" t="s">
        <v>210</v>
      </c>
      <c r="F34" s="135" t="s">
        <v>344</v>
      </c>
      <c r="G34" s="138" t="s">
        <v>42</v>
      </c>
      <c r="H34" s="104" t="s">
        <v>164</v>
      </c>
      <c r="I34" s="104" t="s">
        <v>159</v>
      </c>
      <c r="J34" s="104" t="s">
        <v>38</v>
      </c>
      <c r="K34" s="104" t="s">
        <v>161</v>
      </c>
      <c r="L34" s="53">
        <v>3</v>
      </c>
      <c r="N34" s="53">
        <v>4</v>
      </c>
      <c r="O34" s="53">
        <v>0.65</v>
      </c>
      <c r="P34" s="34">
        <v>0.55000000000000004</v>
      </c>
      <c r="Q34" s="84">
        <f t="shared" si="0"/>
        <v>0.60000000000000009</v>
      </c>
      <c r="R34" s="145">
        <v>15.1</v>
      </c>
      <c r="S34" s="145">
        <v>88</v>
      </c>
      <c r="T34" s="16">
        <f t="shared" si="1"/>
        <v>36</v>
      </c>
      <c r="U34" s="141">
        <v>297</v>
      </c>
      <c r="V34" s="38">
        <f t="shared" si="2"/>
        <v>2673</v>
      </c>
      <c r="W34" s="142">
        <v>8</v>
      </c>
      <c r="X34" s="143" t="s">
        <v>39</v>
      </c>
      <c r="Y34" s="149" t="s">
        <v>88</v>
      </c>
      <c r="Z34" s="149" t="s">
        <v>69</v>
      </c>
      <c r="AA34" s="149" t="s">
        <v>86</v>
      </c>
      <c r="AB34" s="53" t="s">
        <v>158</v>
      </c>
    </row>
    <row r="35" spans="1:28" x14ac:dyDescent="0.15">
      <c r="A35" s="135" t="s">
        <v>34</v>
      </c>
      <c r="B35" s="135" t="s">
        <v>157</v>
      </c>
      <c r="C35" s="135">
        <v>2019</v>
      </c>
      <c r="D35" s="137" t="s">
        <v>337</v>
      </c>
      <c r="E35" s="136" t="s">
        <v>210</v>
      </c>
      <c r="F35" s="135" t="s">
        <v>344</v>
      </c>
      <c r="G35" s="138" t="s">
        <v>42</v>
      </c>
      <c r="H35" s="104" t="s">
        <v>160</v>
      </c>
      <c r="I35" s="104" t="s">
        <v>159</v>
      </c>
      <c r="J35" s="104" t="s">
        <v>38</v>
      </c>
      <c r="K35" s="104" t="s">
        <v>161</v>
      </c>
      <c r="L35" s="53">
        <v>1</v>
      </c>
      <c r="N35" s="53">
        <v>1</v>
      </c>
      <c r="O35" s="53">
        <v>0.45</v>
      </c>
      <c r="P35" s="53">
        <v>0.4</v>
      </c>
      <c r="Q35" s="84">
        <f t="shared" si="0"/>
        <v>0.42500000000000004</v>
      </c>
      <c r="R35" s="145">
        <v>16.600000000000001</v>
      </c>
      <c r="S35" s="145">
        <v>127</v>
      </c>
      <c r="T35" s="16">
        <f t="shared" si="1"/>
        <v>30</v>
      </c>
      <c r="U35" s="141">
        <v>89</v>
      </c>
      <c r="V35" s="38">
        <f t="shared" si="2"/>
        <v>2670</v>
      </c>
      <c r="W35" s="142">
        <v>8</v>
      </c>
      <c r="X35" s="143" t="s">
        <v>39</v>
      </c>
      <c r="Y35" s="149" t="s">
        <v>88</v>
      </c>
      <c r="Z35" s="149" t="s">
        <v>69</v>
      </c>
      <c r="AA35" s="149" t="s">
        <v>86</v>
      </c>
      <c r="AB35" s="53" t="s">
        <v>158</v>
      </c>
    </row>
    <row r="36" spans="1:28" x14ac:dyDescent="0.15">
      <c r="A36" s="135" t="s">
        <v>34</v>
      </c>
      <c r="B36" s="135" t="s">
        <v>157</v>
      </c>
      <c r="C36" s="136">
        <v>2019</v>
      </c>
      <c r="D36" s="137" t="s">
        <v>337</v>
      </c>
      <c r="E36" s="136" t="s">
        <v>210</v>
      </c>
      <c r="F36" s="135" t="s">
        <v>344</v>
      </c>
      <c r="G36" s="138" t="s">
        <v>42</v>
      </c>
      <c r="H36" s="104" t="s">
        <v>160</v>
      </c>
      <c r="I36" s="104" t="s">
        <v>159</v>
      </c>
      <c r="J36" s="104" t="s">
        <v>38</v>
      </c>
      <c r="K36" s="104" t="s">
        <v>161</v>
      </c>
      <c r="L36" s="53">
        <v>2</v>
      </c>
      <c r="N36" s="53">
        <v>1</v>
      </c>
      <c r="O36" s="53">
        <v>0.5</v>
      </c>
      <c r="P36" s="53">
        <v>0.45</v>
      </c>
      <c r="Q36" s="84">
        <f t="shared" si="0"/>
        <v>0.47499999999999998</v>
      </c>
      <c r="R36" s="145">
        <v>18.399999999999999</v>
      </c>
      <c r="S36" s="145">
        <v>123</v>
      </c>
      <c r="T36" s="16">
        <f t="shared" si="1"/>
        <v>30</v>
      </c>
      <c r="U36" s="141">
        <v>89</v>
      </c>
      <c r="V36" s="38">
        <f t="shared" si="2"/>
        <v>2670</v>
      </c>
      <c r="W36" s="142">
        <v>8</v>
      </c>
      <c r="X36" s="143" t="s">
        <v>39</v>
      </c>
      <c r="Y36" s="149" t="s">
        <v>88</v>
      </c>
      <c r="Z36" s="149" t="s">
        <v>69</v>
      </c>
      <c r="AA36" s="149" t="s">
        <v>86</v>
      </c>
      <c r="AB36" s="53" t="s">
        <v>158</v>
      </c>
    </row>
    <row r="37" spans="1:28" x14ac:dyDescent="0.15">
      <c r="A37" s="135" t="s">
        <v>34</v>
      </c>
      <c r="B37" s="135" t="s">
        <v>157</v>
      </c>
      <c r="C37" s="135">
        <v>2019</v>
      </c>
      <c r="D37" s="137" t="s">
        <v>337</v>
      </c>
      <c r="E37" s="136" t="s">
        <v>210</v>
      </c>
      <c r="F37" s="135" t="s">
        <v>344</v>
      </c>
      <c r="G37" s="138" t="s">
        <v>42</v>
      </c>
      <c r="H37" s="104" t="s">
        <v>160</v>
      </c>
      <c r="I37" s="104" t="s">
        <v>159</v>
      </c>
      <c r="J37" s="104" t="s">
        <v>38</v>
      </c>
      <c r="K37" s="104" t="s">
        <v>161</v>
      </c>
      <c r="L37" s="53">
        <v>3</v>
      </c>
      <c r="N37" s="53">
        <v>1</v>
      </c>
      <c r="O37" s="53">
        <v>0.5</v>
      </c>
      <c r="P37" s="53">
        <v>0.45</v>
      </c>
      <c r="Q37" s="84">
        <f t="shared" si="0"/>
        <v>0.47499999999999998</v>
      </c>
      <c r="R37" s="145">
        <v>17.2</v>
      </c>
      <c r="S37" s="145">
        <v>117</v>
      </c>
      <c r="T37" s="16">
        <f t="shared" si="1"/>
        <v>30</v>
      </c>
      <c r="U37" s="141">
        <v>89</v>
      </c>
      <c r="V37" s="38">
        <f t="shared" si="2"/>
        <v>2670</v>
      </c>
      <c r="W37" s="142">
        <v>8</v>
      </c>
      <c r="X37" s="143" t="s">
        <v>39</v>
      </c>
      <c r="Y37" s="149" t="s">
        <v>88</v>
      </c>
      <c r="Z37" s="149" t="s">
        <v>69</v>
      </c>
      <c r="AA37" s="149" t="s">
        <v>86</v>
      </c>
      <c r="AB37" s="53" t="s">
        <v>158</v>
      </c>
    </row>
    <row r="38" spans="1:28" x14ac:dyDescent="0.15">
      <c r="A38" s="135" t="s">
        <v>34</v>
      </c>
      <c r="B38" s="135" t="s">
        <v>157</v>
      </c>
      <c r="C38" s="136">
        <v>2019</v>
      </c>
      <c r="D38" s="137" t="s">
        <v>337</v>
      </c>
      <c r="E38" s="136" t="s">
        <v>139</v>
      </c>
      <c r="F38" s="135" t="s">
        <v>344</v>
      </c>
      <c r="G38" s="138" t="s">
        <v>36</v>
      </c>
      <c r="H38" s="104" t="s">
        <v>164</v>
      </c>
      <c r="I38" s="104" t="s">
        <v>159</v>
      </c>
      <c r="J38" s="104" t="s">
        <v>38</v>
      </c>
      <c r="K38" s="104" t="s">
        <v>161</v>
      </c>
      <c r="L38" s="53">
        <v>1</v>
      </c>
      <c r="N38" s="53">
        <v>5</v>
      </c>
      <c r="O38" s="53">
        <v>0.5</v>
      </c>
      <c r="P38" s="53">
        <v>0.55000000000000004</v>
      </c>
      <c r="Q38" s="84">
        <f t="shared" si="0"/>
        <v>0.52500000000000002</v>
      </c>
      <c r="R38" s="145">
        <v>14.2</v>
      </c>
      <c r="S38" s="145">
        <v>94</v>
      </c>
      <c r="T38" s="16">
        <f t="shared" si="1"/>
        <v>36</v>
      </c>
      <c r="U38" s="141">
        <v>430</v>
      </c>
      <c r="V38" s="38">
        <f t="shared" si="2"/>
        <v>3096</v>
      </c>
      <c r="W38" s="142">
        <v>12</v>
      </c>
      <c r="X38" s="143" t="s">
        <v>46</v>
      </c>
      <c r="Y38" s="149" t="s">
        <v>88</v>
      </c>
      <c r="Z38" s="149" t="s">
        <v>97</v>
      </c>
      <c r="AA38" s="149" t="s">
        <v>47</v>
      </c>
      <c r="AB38" s="53" t="s">
        <v>158</v>
      </c>
    </row>
    <row r="39" spans="1:28" x14ac:dyDescent="0.15">
      <c r="A39" s="135" t="s">
        <v>34</v>
      </c>
      <c r="B39" s="135" t="s">
        <v>157</v>
      </c>
      <c r="C39" s="135">
        <v>2019</v>
      </c>
      <c r="D39" s="137" t="s">
        <v>337</v>
      </c>
      <c r="E39" s="136" t="s">
        <v>139</v>
      </c>
      <c r="F39" s="135" t="s">
        <v>344</v>
      </c>
      <c r="G39" s="138" t="s">
        <v>36</v>
      </c>
      <c r="H39" s="104" t="s">
        <v>164</v>
      </c>
      <c r="I39" s="104" t="s">
        <v>159</v>
      </c>
      <c r="J39" s="104" t="s">
        <v>38</v>
      </c>
      <c r="K39" s="104" t="s">
        <v>161</v>
      </c>
      <c r="L39" s="53">
        <v>2</v>
      </c>
      <c r="N39" s="53">
        <v>5</v>
      </c>
      <c r="O39" s="53">
        <v>0.6</v>
      </c>
      <c r="P39" s="53">
        <v>0.5</v>
      </c>
      <c r="Q39" s="84">
        <f t="shared" si="0"/>
        <v>0.55000000000000004</v>
      </c>
      <c r="R39" s="145">
        <v>13.9</v>
      </c>
      <c r="S39" s="145">
        <v>99</v>
      </c>
      <c r="T39" s="16">
        <f t="shared" si="1"/>
        <v>33</v>
      </c>
      <c r="U39" s="141">
        <v>430</v>
      </c>
      <c r="V39" s="38">
        <f t="shared" si="2"/>
        <v>2838</v>
      </c>
      <c r="W39" s="142">
        <v>12</v>
      </c>
      <c r="X39" s="143" t="s">
        <v>46</v>
      </c>
      <c r="Y39" s="149" t="s">
        <v>88</v>
      </c>
      <c r="Z39" s="149" t="s">
        <v>97</v>
      </c>
      <c r="AA39" s="149" t="s">
        <v>47</v>
      </c>
      <c r="AB39" s="53" t="s">
        <v>158</v>
      </c>
    </row>
    <row r="40" spans="1:28" ht="12.75" customHeight="1" x14ac:dyDescent="0.15">
      <c r="A40" s="135" t="s">
        <v>34</v>
      </c>
      <c r="B40" s="135" t="s">
        <v>157</v>
      </c>
      <c r="C40" s="136">
        <v>2019</v>
      </c>
      <c r="D40" s="137" t="s">
        <v>337</v>
      </c>
      <c r="E40" s="136" t="s">
        <v>139</v>
      </c>
      <c r="F40" s="135" t="s">
        <v>344</v>
      </c>
      <c r="G40" s="138" t="s">
        <v>36</v>
      </c>
      <c r="H40" s="104" t="s">
        <v>164</v>
      </c>
      <c r="I40" s="104" t="s">
        <v>159</v>
      </c>
      <c r="J40" s="104" t="s">
        <v>38</v>
      </c>
      <c r="K40" s="104" t="s">
        <v>161</v>
      </c>
      <c r="L40" s="53">
        <v>3</v>
      </c>
      <c r="N40" s="53">
        <v>5</v>
      </c>
      <c r="O40" s="53">
        <v>0.6</v>
      </c>
      <c r="P40" s="53">
        <v>0.55000000000000004</v>
      </c>
      <c r="Q40" s="84">
        <f t="shared" si="0"/>
        <v>0.57499999999999996</v>
      </c>
      <c r="R40" s="145">
        <v>14.5</v>
      </c>
      <c r="S40" s="145">
        <v>92</v>
      </c>
      <c r="T40" s="16">
        <f t="shared" si="1"/>
        <v>36</v>
      </c>
      <c r="U40" s="141">
        <v>430</v>
      </c>
      <c r="V40" s="38">
        <f t="shared" si="2"/>
        <v>3096</v>
      </c>
      <c r="W40" s="142">
        <v>12</v>
      </c>
      <c r="X40" s="143" t="s">
        <v>46</v>
      </c>
      <c r="Y40" s="149" t="s">
        <v>88</v>
      </c>
      <c r="Z40" s="149" t="s">
        <v>97</v>
      </c>
      <c r="AA40" s="149" t="s">
        <v>47</v>
      </c>
      <c r="AB40" s="53" t="s">
        <v>158</v>
      </c>
    </row>
    <row r="41" spans="1:28" ht="12.75" customHeight="1" x14ac:dyDescent="0.15">
      <c r="A41" s="104" t="s">
        <v>34</v>
      </c>
      <c r="B41" s="135" t="s">
        <v>157</v>
      </c>
      <c r="C41" s="136">
        <v>2019</v>
      </c>
      <c r="D41" s="137" t="s">
        <v>337</v>
      </c>
      <c r="E41" s="136" t="s">
        <v>139</v>
      </c>
      <c r="F41" s="135" t="s">
        <v>344</v>
      </c>
      <c r="G41" s="138" t="s">
        <v>36</v>
      </c>
      <c r="H41" s="104" t="s">
        <v>160</v>
      </c>
      <c r="I41" s="104" t="s">
        <v>159</v>
      </c>
      <c r="J41" s="104" t="s">
        <v>38</v>
      </c>
      <c r="K41" s="104" t="s">
        <v>161</v>
      </c>
      <c r="L41" s="53">
        <v>1</v>
      </c>
      <c r="N41" s="53">
        <v>1</v>
      </c>
      <c r="O41" s="53">
        <v>0.65</v>
      </c>
      <c r="P41" s="53">
        <v>0.6</v>
      </c>
      <c r="Q41" s="84">
        <f t="shared" si="0"/>
        <v>0.625</v>
      </c>
      <c r="R41" s="145">
        <v>16.600000000000001</v>
      </c>
      <c r="S41" s="145">
        <v>112</v>
      </c>
      <c r="T41" s="16">
        <f t="shared" si="1"/>
        <v>33</v>
      </c>
      <c r="U41" s="141">
        <v>105</v>
      </c>
      <c r="V41" s="38">
        <f t="shared" si="2"/>
        <v>3465</v>
      </c>
      <c r="W41" s="53">
        <v>12</v>
      </c>
      <c r="X41" s="143" t="s">
        <v>46</v>
      </c>
      <c r="Y41" s="150" t="s">
        <v>88</v>
      </c>
      <c r="Z41" s="150" t="s">
        <v>97</v>
      </c>
      <c r="AA41" s="150" t="s">
        <v>47</v>
      </c>
      <c r="AB41" s="53" t="s">
        <v>158</v>
      </c>
    </row>
    <row r="42" spans="1:28" ht="12.75" customHeight="1" x14ac:dyDescent="0.15">
      <c r="A42" s="104" t="s">
        <v>34</v>
      </c>
      <c r="B42" s="135" t="s">
        <v>157</v>
      </c>
      <c r="C42" s="136">
        <v>2019</v>
      </c>
      <c r="D42" s="137" t="s">
        <v>337</v>
      </c>
      <c r="E42" s="136" t="s">
        <v>139</v>
      </c>
      <c r="F42" s="135" t="s">
        <v>344</v>
      </c>
      <c r="G42" s="138" t="s">
        <v>36</v>
      </c>
      <c r="H42" s="104" t="s">
        <v>160</v>
      </c>
      <c r="I42" s="104" t="s">
        <v>159</v>
      </c>
      <c r="J42" s="104" t="s">
        <v>38</v>
      </c>
      <c r="K42" s="104" t="s">
        <v>161</v>
      </c>
      <c r="L42" s="53">
        <v>2</v>
      </c>
      <c r="N42" s="53">
        <v>1</v>
      </c>
      <c r="O42" s="53">
        <v>0.6</v>
      </c>
      <c r="P42" s="53">
        <v>0.6</v>
      </c>
      <c r="Q42" s="84">
        <f t="shared" si="0"/>
        <v>0.6</v>
      </c>
      <c r="R42" s="145">
        <v>16.8</v>
      </c>
      <c r="S42" s="145">
        <v>112</v>
      </c>
      <c r="T42" s="16">
        <f t="shared" si="1"/>
        <v>33</v>
      </c>
      <c r="U42" s="141">
        <v>105</v>
      </c>
      <c r="V42" s="38">
        <f t="shared" si="2"/>
        <v>3465</v>
      </c>
      <c r="W42" s="53">
        <v>12</v>
      </c>
      <c r="X42" s="143" t="s">
        <v>46</v>
      </c>
      <c r="Y42" s="150" t="s">
        <v>88</v>
      </c>
      <c r="Z42" s="150" t="s">
        <v>97</v>
      </c>
      <c r="AA42" s="150" t="s">
        <v>47</v>
      </c>
      <c r="AB42" s="53" t="s">
        <v>158</v>
      </c>
    </row>
    <row r="43" spans="1:28" ht="12.75" customHeight="1" x14ac:dyDescent="0.15">
      <c r="A43" s="104" t="s">
        <v>34</v>
      </c>
      <c r="B43" s="135" t="s">
        <v>157</v>
      </c>
      <c r="C43" s="136">
        <v>2019</v>
      </c>
      <c r="D43" s="137" t="s">
        <v>337</v>
      </c>
      <c r="E43" s="136" t="s">
        <v>139</v>
      </c>
      <c r="F43" s="135" t="s">
        <v>344</v>
      </c>
      <c r="G43" s="138" t="s">
        <v>36</v>
      </c>
      <c r="H43" s="104" t="s">
        <v>160</v>
      </c>
      <c r="I43" s="104" t="s">
        <v>159</v>
      </c>
      <c r="J43" s="104" t="s">
        <v>38</v>
      </c>
      <c r="K43" s="104" t="s">
        <v>161</v>
      </c>
      <c r="L43" s="53">
        <v>3</v>
      </c>
      <c r="N43" s="53">
        <v>1</v>
      </c>
      <c r="O43" s="53">
        <v>0.6</v>
      </c>
      <c r="P43" s="53">
        <v>0.55000000000000004</v>
      </c>
      <c r="Q43" s="84">
        <f t="shared" si="0"/>
        <v>0.57499999999999996</v>
      </c>
      <c r="R43" s="145">
        <v>16.3</v>
      </c>
      <c r="S43" s="145">
        <v>109</v>
      </c>
      <c r="T43" s="16">
        <f t="shared" si="1"/>
        <v>33</v>
      </c>
      <c r="U43" s="141">
        <v>105</v>
      </c>
      <c r="V43" s="38">
        <f t="shared" si="2"/>
        <v>3465</v>
      </c>
      <c r="W43" s="53">
        <v>12</v>
      </c>
      <c r="X43" s="143" t="s">
        <v>46</v>
      </c>
      <c r="Y43" s="150" t="s">
        <v>88</v>
      </c>
      <c r="Z43" s="150" t="s">
        <v>97</v>
      </c>
      <c r="AA43" s="150" t="s">
        <v>47</v>
      </c>
      <c r="AB43" s="53" t="s">
        <v>158</v>
      </c>
    </row>
    <row r="44" spans="1:28" x14ac:dyDescent="0.15">
      <c r="A44" s="53" t="s">
        <v>34</v>
      </c>
      <c r="B44" s="135" t="s">
        <v>157</v>
      </c>
      <c r="C44" s="136">
        <v>2019</v>
      </c>
      <c r="D44" s="137" t="s">
        <v>337</v>
      </c>
      <c r="E44" s="136" t="s">
        <v>133</v>
      </c>
      <c r="F44" s="135" t="s">
        <v>345</v>
      </c>
      <c r="G44" s="138" t="s">
        <v>36</v>
      </c>
      <c r="H44" s="104" t="s">
        <v>164</v>
      </c>
      <c r="I44" s="104" t="s">
        <v>159</v>
      </c>
      <c r="J44" s="53" t="s">
        <v>38</v>
      </c>
      <c r="K44" s="104" t="s">
        <v>161</v>
      </c>
      <c r="L44" s="53">
        <v>1</v>
      </c>
      <c r="N44" s="53">
        <v>1</v>
      </c>
      <c r="O44" s="53">
        <v>0.7</v>
      </c>
      <c r="P44" s="53">
        <v>0.65</v>
      </c>
      <c r="Q44" s="84">
        <f t="shared" si="0"/>
        <v>0.67500000000000004</v>
      </c>
      <c r="R44" s="145">
        <v>14.9</v>
      </c>
      <c r="S44" s="145">
        <v>105</v>
      </c>
      <c r="T44" s="16">
        <f t="shared" si="1"/>
        <v>33</v>
      </c>
      <c r="U44" s="141">
        <v>78</v>
      </c>
      <c r="V44" s="16">
        <f t="shared" si="2"/>
        <v>2574</v>
      </c>
      <c r="W44" s="53">
        <v>28</v>
      </c>
      <c r="X44" s="143" t="s">
        <v>46</v>
      </c>
      <c r="Y44" s="150" t="s">
        <v>47</v>
      </c>
      <c r="Z44" s="150" t="s">
        <v>97</v>
      </c>
      <c r="AA44" s="150" t="s">
        <v>106</v>
      </c>
      <c r="AB44" s="53" t="s">
        <v>158</v>
      </c>
    </row>
    <row r="45" spans="1:28" x14ac:dyDescent="0.15">
      <c r="A45" s="53" t="s">
        <v>34</v>
      </c>
      <c r="B45" s="135" t="s">
        <v>157</v>
      </c>
      <c r="C45" s="135">
        <v>2019</v>
      </c>
      <c r="D45" s="137" t="s">
        <v>337</v>
      </c>
      <c r="E45" s="136" t="s">
        <v>133</v>
      </c>
      <c r="F45" s="135" t="s">
        <v>345</v>
      </c>
      <c r="G45" s="138" t="s">
        <v>36</v>
      </c>
      <c r="H45" s="104" t="s">
        <v>164</v>
      </c>
      <c r="I45" s="104" t="s">
        <v>159</v>
      </c>
      <c r="J45" s="53" t="s">
        <v>38</v>
      </c>
      <c r="K45" s="104" t="s">
        <v>161</v>
      </c>
      <c r="L45" s="53">
        <v>2</v>
      </c>
      <c r="N45" s="53">
        <v>1</v>
      </c>
      <c r="O45" s="53">
        <v>0.65</v>
      </c>
      <c r="P45" s="53">
        <v>0.6</v>
      </c>
      <c r="Q45" s="84">
        <f t="shared" si="0"/>
        <v>0.625</v>
      </c>
      <c r="R45" s="145">
        <v>14.3</v>
      </c>
      <c r="S45" s="145">
        <v>96</v>
      </c>
      <c r="T45" s="16">
        <f t="shared" si="1"/>
        <v>36</v>
      </c>
      <c r="U45" s="141">
        <v>78</v>
      </c>
      <c r="V45" s="16">
        <f t="shared" si="2"/>
        <v>2808</v>
      </c>
      <c r="W45" s="53">
        <v>28</v>
      </c>
      <c r="X45" s="143" t="s">
        <v>46</v>
      </c>
      <c r="Y45" s="150" t="s">
        <v>47</v>
      </c>
      <c r="Z45" s="150" t="s">
        <v>97</v>
      </c>
      <c r="AA45" s="150" t="s">
        <v>106</v>
      </c>
      <c r="AB45" s="53" t="s">
        <v>158</v>
      </c>
    </row>
    <row r="46" spans="1:28" x14ac:dyDescent="0.15">
      <c r="A46" s="53" t="s">
        <v>34</v>
      </c>
      <c r="B46" s="135" t="s">
        <v>157</v>
      </c>
      <c r="C46" s="136">
        <v>2019</v>
      </c>
      <c r="D46" s="137" t="s">
        <v>337</v>
      </c>
      <c r="E46" s="136" t="s">
        <v>133</v>
      </c>
      <c r="F46" s="135" t="s">
        <v>345</v>
      </c>
      <c r="G46" s="138" t="s">
        <v>36</v>
      </c>
      <c r="H46" s="104" t="s">
        <v>164</v>
      </c>
      <c r="I46" s="104" t="s">
        <v>159</v>
      </c>
      <c r="J46" s="53" t="s">
        <v>38</v>
      </c>
      <c r="K46" s="104" t="s">
        <v>161</v>
      </c>
      <c r="L46" s="53">
        <v>3</v>
      </c>
      <c r="N46" s="53">
        <v>1</v>
      </c>
      <c r="O46" s="53">
        <v>0.7</v>
      </c>
      <c r="P46" s="53">
        <v>0.7</v>
      </c>
      <c r="Q46" s="84">
        <f t="shared" si="0"/>
        <v>0.7</v>
      </c>
      <c r="R46" s="145">
        <v>14.1</v>
      </c>
      <c r="S46" s="145">
        <v>115</v>
      </c>
      <c r="T46" s="16">
        <f t="shared" si="1"/>
        <v>30</v>
      </c>
      <c r="U46" s="141">
        <v>78</v>
      </c>
      <c r="V46" s="16">
        <f t="shared" si="2"/>
        <v>2340</v>
      </c>
      <c r="W46" s="53">
        <v>28</v>
      </c>
      <c r="X46" s="143" t="s">
        <v>46</v>
      </c>
      <c r="Y46" s="150" t="s">
        <v>47</v>
      </c>
      <c r="Z46" s="150" t="s">
        <v>97</v>
      </c>
      <c r="AA46" s="150" t="s">
        <v>106</v>
      </c>
      <c r="AB46" s="53" t="s">
        <v>158</v>
      </c>
    </row>
    <row r="47" spans="1:28" x14ac:dyDescent="0.15">
      <c r="A47" s="53" t="s">
        <v>34</v>
      </c>
      <c r="B47" s="34" t="s">
        <v>157</v>
      </c>
      <c r="C47" s="53">
        <v>2019</v>
      </c>
      <c r="D47" s="151" t="s">
        <v>337</v>
      </c>
      <c r="E47" s="53" t="s">
        <v>133</v>
      </c>
      <c r="F47" s="135" t="s">
        <v>345</v>
      </c>
      <c r="G47" s="138" t="s">
        <v>36</v>
      </c>
      <c r="H47" s="104" t="s">
        <v>160</v>
      </c>
      <c r="I47" s="104" t="s">
        <v>159</v>
      </c>
      <c r="J47" s="53" t="s">
        <v>38</v>
      </c>
      <c r="K47" s="104" t="s">
        <v>161</v>
      </c>
      <c r="L47" s="53">
        <v>1</v>
      </c>
      <c r="N47" s="53">
        <v>1</v>
      </c>
      <c r="O47" s="53">
        <v>0.55000000000000004</v>
      </c>
      <c r="P47" s="53">
        <v>0.6</v>
      </c>
      <c r="Q47" s="84">
        <f t="shared" si="0"/>
        <v>0.57499999999999996</v>
      </c>
      <c r="R47" s="145">
        <v>16.399999999999999</v>
      </c>
      <c r="S47" s="145">
        <v>105</v>
      </c>
      <c r="T47" s="16">
        <f t="shared" si="1"/>
        <v>33</v>
      </c>
      <c r="U47" s="53">
        <v>78</v>
      </c>
      <c r="V47" s="16">
        <f t="shared" si="2"/>
        <v>2574</v>
      </c>
      <c r="W47" s="53">
        <v>28</v>
      </c>
      <c r="X47" s="143" t="s">
        <v>46</v>
      </c>
      <c r="Y47" s="53" t="s">
        <v>47</v>
      </c>
      <c r="Z47" s="53" t="s">
        <v>97</v>
      </c>
      <c r="AA47" s="53" t="s">
        <v>106</v>
      </c>
      <c r="AB47" s="53" t="s">
        <v>158</v>
      </c>
    </row>
    <row r="48" spans="1:28" x14ac:dyDescent="0.15">
      <c r="A48" s="53" t="s">
        <v>34</v>
      </c>
      <c r="B48" s="34" t="s">
        <v>157</v>
      </c>
      <c r="C48" s="53">
        <v>2019</v>
      </c>
      <c r="D48" s="151" t="s">
        <v>337</v>
      </c>
      <c r="E48" s="53" t="s">
        <v>133</v>
      </c>
      <c r="F48" s="135" t="s">
        <v>345</v>
      </c>
      <c r="G48" s="138" t="s">
        <v>36</v>
      </c>
      <c r="H48" s="104" t="s">
        <v>160</v>
      </c>
      <c r="I48" s="104" t="s">
        <v>159</v>
      </c>
      <c r="J48" s="53" t="s">
        <v>38</v>
      </c>
      <c r="K48" s="104" t="s">
        <v>161</v>
      </c>
      <c r="L48" s="53">
        <v>2</v>
      </c>
      <c r="N48" s="53">
        <v>1</v>
      </c>
      <c r="O48" s="53">
        <v>0.6</v>
      </c>
      <c r="P48" s="53">
        <v>0.6</v>
      </c>
      <c r="Q48" s="84">
        <f t="shared" si="0"/>
        <v>0.6</v>
      </c>
      <c r="R48" s="145">
        <v>17.100000000000001</v>
      </c>
      <c r="S48" s="145">
        <v>108</v>
      </c>
      <c r="T48" s="16">
        <f t="shared" si="1"/>
        <v>33</v>
      </c>
      <c r="U48" s="53">
        <v>78</v>
      </c>
      <c r="V48" s="16">
        <f t="shared" si="2"/>
        <v>2574</v>
      </c>
      <c r="W48" s="53">
        <v>28</v>
      </c>
      <c r="X48" s="143" t="s">
        <v>46</v>
      </c>
      <c r="Y48" s="53" t="s">
        <v>47</v>
      </c>
      <c r="Z48" s="53" t="s">
        <v>97</v>
      </c>
      <c r="AA48" s="53" t="s">
        <v>106</v>
      </c>
      <c r="AB48" s="53" t="s">
        <v>158</v>
      </c>
    </row>
    <row r="49" spans="1:28" x14ac:dyDescent="0.15">
      <c r="A49" s="53" t="s">
        <v>34</v>
      </c>
      <c r="B49" s="34" t="s">
        <v>157</v>
      </c>
      <c r="C49" s="53">
        <v>2019</v>
      </c>
      <c r="D49" s="151" t="s">
        <v>337</v>
      </c>
      <c r="E49" s="53" t="s">
        <v>133</v>
      </c>
      <c r="F49" s="135" t="s">
        <v>345</v>
      </c>
      <c r="G49" s="138" t="s">
        <v>36</v>
      </c>
      <c r="H49" s="104" t="s">
        <v>160</v>
      </c>
      <c r="I49" s="104" t="s">
        <v>159</v>
      </c>
      <c r="J49" s="53" t="s">
        <v>38</v>
      </c>
      <c r="K49" s="104" t="s">
        <v>161</v>
      </c>
      <c r="L49" s="53">
        <v>3</v>
      </c>
      <c r="N49" s="53">
        <v>1</v>
      </c>
      <c r="O49" s="53">
        <v>0.6</v>
      </c>
      <c r="P49" s="53">
        <v>0.55000000000000004</v>
      </c>
      <c r="Q49" s="84">
        <f t="shared" si="0"/>
        <v>0.57499999999999996</v>
      </c>
      <c r="R49" s="145">
        <v>16.600000000000001</v>
      </c>
      <c r="S49" s="145">
        <v>91</v>
      </c>
      <c r="T49" s="16">
        <f t="shared" si="1"/>
        <v>36</v>
      </c>
      <c r="U49" s="53">
        <v>78</v>
      </c>
      <c r="V49" s="16">
        <f t="shared" si="2"/>
        <v>2808</v>
      </c>
      <c r="W49" s="53">
        <v>28</v>
      </c>
      <c r="X49" s="143" t="s">
        <v>46</v>
      </c>
      <c r="Y49" s="53" t="s">
        <v>47</v>
      </c>
      <c r="Z49" s="53" t="s">
        <v>97</v>
      </c>
      <c r="AA49" s="53" t="s">
        <v>106</v>
      </c>
      <c r="AB49" s="53" t="s">
        <v>158</v>
      </c>
    </row>
    <row r="50" spans="1:28" x14ac:dyDescent="0.15">
      <c r="A50" s="53" t="s">
        <v>34</v>
      </c>
      <c r="B50" s="53" t="s">
        <v>157</v>
      </c>
      <c r="C50" s="53">
        <v>2019</v>
      </c>
      <c r="D50" s="151" t="s">
        <v>337</v>
      </c>
      <c r="E50" s="53" t="s">
        <v>346</v>
      </c>
      <c r="F50" s="135" t="s">
        <v>347</v>
      </c>
      <c r="G50" s="138" t="s">
        <v>36</v>
      </c>
      <c r="H50" s="53" t="s">
        <v>164</v>
      </c>
      <c r="I50" s="53" t="s">
        <v>159</v>
      </c>
      <c r="J50" s="53" t="s">
        <v>38</v>
      </c>
      <c r="K50" s="104" t="s">
        <v>161</v>
      </c>
      <c r="L50" s="53">
        <v>1</v>
      </c>
      <c r="N50" s="53">
        <v>7</v>
      </c>
      <c r="O50" s="53">
        <v>0.9</v>
      </c>
      <c r="P50" s="53">
        <v>1</v>
      </c>
      <c r="Q50" s="84">
        <f t="shared" si="0"/>
        <v>0.95</v>
      </c>
      <c r="R50" s="53">
        <v>13.3</v>
      </c>
      <c r="S50" s="53">
        <v>77</v>
      </c>
      <c r="T50" s="16">
        <f t="shared" si="1"/>
        <v>39</v>
      </c>
      <c r="U50" s="53">
        <v>298</v>
      </c>
      <c r="V50" s="16">
        <f t="shared" si="2"/>
        <v>1660.2857142857142</v>
      </c>
      <c r="W50" s="53">
        <v>4</v>
      </c>
      <c r="X50" s="143" t="s">
        <v>46</v>
      </c>
      <c r="Y50" s="53" t="s">
        <v>69</v>
      </c>
      <c r="Z50" s="53" t="s">
        <v>78</v>
      </c>
      <c r="AA50" s="53" t="s">
        <v>88</v>
      </c>
      <c r="AB50" s="53" t="s">
        <v>158</v>
      </c>
    </row>
    <row r="51" spans="1:28" x14ac:dyDescent="0.15">
      <c r="A51" s="53" t="s">
        <v>34</v>
      </c>
      <c r="B51" s="53" t="s">
        <v>157</v>
      </c>
      <c r="C51" s="53">
        <v>2019</v>
      </c>
      <c r="D51" s="151" t="s">
        <v>337</v>
      </c>
      <c r="E51" s="53" t="s">
        <v>346</v>
      </c>
      <c r="F51" s="135" t="s">
        <v>347</v>
      </c>
      <c r="G51" s="138" t="s">
        <v>36</v>
      </c>
      <c r="H51" s="53" t="s">
        <v>164</v>
      </c>
      <c r="I51" s="53" t="s">
        <v>159</v>
      </c>
      <c r="J51" s="53" t="s">
        <v>38</v>
      </c>
      <c r="K51" s="104" t="s">
        <v>161</v>
      </c>
      <c r="L51" s="53">
        <v>2</v>
      </c>
      <c r="N51" s="53">
        <v>7</v>
      </c>
      <c r="O51" s="53">
        <v>1.1000000000000001</v>
      </c>
      <c r="P51" s="53">
        <v>0.85</v>
      </c>
      <c r="Q51" s="84">
        <f t="shared" si="0"/>
        <v>0.97500000000000009</v>
      </c>
      <c r="R51" s="53">
        <v>13.2</v>
      </c>
      <c r="S51" s="53">
        <v>81</v>
      </c>
      <c r="T51" s="16">
        <f t="shared" si="1"/>
        <v>39</v>
      </c>
      <c r="U51" s="53">
        <v>298</v>
      </c>
      <c r="V51" s="16">
        <f t="shared" si="2"/>
        <v>1660.2857142857142</v>
      </c>
      <c r="W51" s="53">
        <v>4</v>
      </c>
      <c r="X51" s="143" t="s">
        <v>46</v>
      </c>
      <c r="Y51" s="53" t="s">
        <v>69</v>
      </c>
      <c r="Z51" s="53" t="s">
        <v>78</v>
      </c>
      <c r="AA51" s="53" t="s">
        <v>88</v>
      </c>
      <c r="AB51" s="53" t="s">
        <v>158</v>
      </c>
    </row>
    <row r="52" spans="1:28" x14ac:dyDescent="0.15">
      <c r="A52" s="53" t="s">
        <v>34</v>
      </c>
      <c r="B52" s="53" t="s">
        <v>157</v>
      </c>
      <c r="C52" s="53">
        <v>2019</v>
      </c>
      <c r="D52" s="151" t="s">
        <v>337</v>
      </c>
      <c r="E52" s="53" t="s">
        <v>346</v>
      </c>
      <c r="F52" s="135" t="s">
        <v>347</v>
      </c>
      <c r="G52" s="138" t="s">
        <v>36</v>
      </c>
      <c r="H52" s="53" t="s">
        <v>164</v>
      </c>
      <c r="I52" s="53" t="s">
        <v>159</v>
      </c>
      <c r="J52" s="53" t="s">
        <v>38</v>
      </c>
      <c r="K52" s="104" t="s">
        <v>161</v>
      </c>
      <c r="L52" s="53">
        <v>3</v>
      </c>
      <c r="N52" s="53">
        <v>7</v>
      </c>
      <c r="O52" s="53">
        <v>0.8</v>
      </c>
      <c r="P52" s="53">
        <v>0.8</v>
      </c>
      <c r="Q52" s="84">
        <f t="shared" si="0"/>
        <v>0.8</v>
      </c>
      <c r="R52" s="53">
        <v>13.8</v>
      </c>
      <c r="S52" s="53">
        <v>74</v>
      </c>
      <c r="T52" s="16">
        <f t="shared" si="1"/>
        <v>42</v>
      </c>
      <c r="U52" s="53">
        <v>298</v>
      </c>
      <c r="V52" s="16">
        <f t="shared" si="2"/>
        <v>1788</v>
      </c>
      <c r="W52" s="53">
        <v>4</v>
      </c>
      <c r="X52" s="143" t="s">
        <v>46</v>
      </c>
      <c r="Y52" s="53" t="s">
        <v>69</v>
      </c>
      <c r="Z52" s="53" t="s">
        <v>78</v>
      </c>
      <c r="AA52" s="53" t="s">
        <v>88</v>
      </c>
      <c r="AB52" s="53" t="s">
        <v>158</v>
      </c>
    </row>
    <row r="53" spans="1:28" x14ac:dyDescent="0.15">
      <c r="A53" s="53" t="s">
        <v>34</v>
      </c>
      <c r="B53" s="53" t="s">
        <v>157</v>
      </c>
      <c r="C53" s="53">
        <v>2019</v>
      </c>
      <c r="D53" s="151" t="s">
        <v>337</v>
      </c>
      <c r="E53" s="53" t="s">
        <v>346</v>
      </c>
      <c r="F53" s="135" t="s">
        <v>347</v>
      </c>
      <c r="G53" s="138" t="s">
        <v>36</v>
      </c>
      <c r="H53" s="53" t="s">
        <v>160</v>
      </c>
      <c r="I53" s="53" t="s">
        <v>159</v>
      </c>
      <c r="J53" s="53" t="s">
        <v>38</v>
      </c>
      <c r="K53" s="104" t="s">
        <v>161</v>
      </c>
      <c r="L53" s="53">
        <v>1</v>
      </c>
      <c r="N53" s="53">
        <v>4</v>
      </c>
      <c r="O53" s="53">
        <v>0.4</v>
      </c>
      <c r="P53" s="53">
        <v>0.45</v>
      </c>
      <c r="Q53" s="84">
        <f t="shared" si="0"/>
        <v>0.42500000000000004</v>
      </c>
      <c r="R53" s="53">
        <v>16.399999999999999</v>
      </c>
      <c r="S53" s="53">
        <v>86</v>
      </c>
      <c r="T53" s="16">
        <f t="shared" si="1"/>
        <v>36</v>
      </c>
      <c r="U53" s="53">
        <v>388</v>
      </c>
      <c r="V53" s="16">
        <f t="shared" si="2"/>
        <v>3492</v>
      </c>
      <c r="W53" s="53">
        <v>4</v>
      </c>
      <c r="X53" s="143" t="s">
        <v>46</v>
      </c>
      <c r="Y53" s="53" t="s">
        <v>69</v>
      </c>
      <c r="Z53" s="53" t="s">
        <v>78</v>
      </c>
      <c r="AA53" s="53" t="s">
        <v>88</v>
      </c>
      <c r="AB53" s="53" t="s">
        <v>158</v>
      </c>
    </row>
    <row r="54" spans="1:28" x14ac:dyDescent="0.15">
      <c r="A54" s="53" t="s">
        <v>34</v>
      </c>
      <c r="B54" s="53" t="s">
        <v>157</v>
      </c>
      <c r="C54" s="53">
        <v>2019</v>
      </c>
      <c r="D54" s="151" t="s">
        <v>337</v>
      </c>
      <c r="E54" s="53" t="s">
        <v>346</v>
      </c>
      <c r="F54" s="135" t="s">
        <v>347</v>
      </c>
      <c r="G54" s="138" t="s">
        <v>36</v>
      </c>
      <c r="H54" s="53" t="s">
        <v>160</v>
      </c>
      <c r="I54" s="53" t="s">
        <v>159</v>
      </c>
      <c r="J54" s="53" t="s">
        <v>38</v>
      </c>
      <c r="K54" s="104" t="s">
        <v>161</v>
      </c>
      <c r="L54" s="53">
        <v>2</v>
      </c>
      <c r="N54" s="53">
        <v>4</v>
      </c>
      <c r="O54" s="53">
        <v>0.45</v>
      </c>
      <c r="P54" s="53">
        <v>0.4</v>
      </c>
      <c r="Q54" s="84">
        <f t="shared" si="0"/>
        <v>0.42500000000000004</v>
      </c>
      <c r="R54" s="53">
        <v>16.600000000000001</v>
      </c>
      <c r="S54" s="53">
        <v>87</v>
      </c>
      <c r="T54" s="16">
        <f t="shared" si="1"/>
        <v>36</v>
      </c>
      <c r="U54" s="53">
        <v>388</v>
      </c>
      <c r="V54" s="16">
        <f t="shared" si="2"/>
        <v>3492</v>
      </c>
      <c r="W54" s="53">
        <v>4</v>
      </c>
      <c r="X54" s="143" t="s">
        <v>46</v>
      </c>
      <c r="Y54" s="53" t="s">
        <v>69</v>
      </c>
      <c r="Z54" s="53" t="s">
        <v>78</v>
      </c>
      <c r="AA54" s="53" t="s">
        <v>88</v>
      </c>
      <c r="AB54" s="53" t="s">
        <v>158</v>
      </c>
    </row>
    <row r="55" spans="1:28" x14ac:dyDescent="0.15">
      <c r="A55" s="53" t="s">
        <v>34</v>
      </c>
      <c r="B55" s="53" t="s">
        <v>157</v>
      </c>
      <c r="C55" s="53">
        <v>2019</v>
      </c>
      <c r="D55" s="151" t="s">
        <v>337</v>
      </c>
      <c r="E55" s="53" t="s">
        <v>346</v>
      </c>
      <c r="F55" s="135" t="s">
        <v>347</v>
      </c>
      <c r="G55" s="138" t="s">
        <v>36</v>
      </c>
      <c r="H55" s="53" t="s">
        <v>160</v>
      </c>
      <c r="I55" s="53" t="s">
        <v>159</v>
      </c>
      <c r="J55" s="53" t="s">
        <v>38</v>
      </c>
      <c r="K55" s="104" t="s">
        <v>161</v>
      </c>
      <c r="L55" s="53">
        <v>3</v>
      </c>
      <c r="N55" s="53">
        <v>4</v>
      </c>
      <c r="O55" s="53">
        <v>0.4</v>
      </c>
      <c r="P55" s="53">
        <v>0.45</v>
      </c>
      <c r="Q55" s="84">
        <f t="shared" si="0"/>
        <v>0.42500000000000004</v>
      </c>
      <c r="R55" s="53">
        <v>16.3</v>
      </c>
      <c r="S55" s="53">
        <v>84</v>
      </c>
      <c r="T55" s="16">
        <f t="shared" si="1"/>
        <v>36</v>
      </c>
      <c r="U55" s="53">
        <v>388</v>
      </c>
      <c r="V55" s="16">
        <f t="shared" si="2"/>
        <v>3492</v>
      </c>
      <c r="W55" s="53">
        <v>4</v>
      </c>
      <c r="X55" s="143" t="s">
        <v>46</v>
      </c>
      <c r="Y55" s="53" t="s">
        <v>69</v>
      </c>
      <c r="Z55" s="53" t="s">
        <v>78</v>
      </c>
      <c r="AA55" s="53" t="s">
        <v>88</v>
      </c>
      <c r="AB55" s="53" t="s">
        <v>158</v>
      </c>
    </row>
    <row r="56" spans="1:28" x14ac:dyDescent="0.15">
      <c r="D56" s="151"/>
      <c r="F56" s="135"/>
      <c r="G56" s="138"/>
      <c r="K56" s="104"/>
      <c r="Q56" s="84"/>
      <c r="X56" s="143"/>
    </row>
    <row r="57" spans="1:28" x14ac:dyDescent="0.15">
      <c r="D57" s="151"/>
      <c r="F57" s="135"/>
      <c r="G57" s="138"/>
      <c r="K57" s="104"/>
      <c r="Q57" s="84"/>
      <c r="X57" s="143"/>
    </row>
    <row r="58" spans="1:28" x14ac:dyDescent="0.15">
      <c r="D58" s="151"/>
      <c r="F58" s="135"/>
      <c r="G58" s="138"/>
      <c r="K58" s="104"/>
      <c r="Q58" s="84"/>
      <c r="X58" s="143"/>
    </row>
    <row r="59" spans="1:28" x14ac:dyDescent="0.15">
      <c r="D59" s="151"/>
      <c r="F59" s="135"/>
      <c r="G59" s="138"/>
      <c r="K59" s="104"/>
      <c r="Q59" s="84"/>
      <c r="X59" s="143"/>
    </row>
    <row r="60" spans="1:28" x14ac:dyDescent="0.15">
      <c r="D60" s="151"/>
      <c r="F60" s="135"/>
      <c r="G60" s="138"/>
      <c r="K60" s="104"/>
      <c r="Q60" s="84"/>
      <c r="X60" s="143"/>
    </row>
    <row r="61" spans="1:28" x14ac:dyDescent="0.15">
      <c r="D61" s="151"/>
      <c r="F61" s="135"/>
      <c r="G61" s="138"/>
      <c r="K61" s="104"/>
      <c r="Q61" s="84"/>
      <c r="X61" s="143"/>
    </row>
    <row r="62" spans="1:28" x14ac:dyDescent="0.15">
      <c r="D62" s="151"/>
      <c r="F62" s="135"/>
      <c r="G62" s="138"/>
      <c r="K62" s="104"/>
      <c r="Q62" s="84" t="str">
        <f t="shared" si="0"/>
        <v/>
      </c>
      <c r="T62" s="16" t="str">
        <f t="shared" si="1"/>
        <v/>
      </c>
      <c r="V62" s="16" t="str">
        <f t="shared" si="2"/>
        <v/>
      </c>
      <c r="X62" s="143"/>
    </row>
    <row r="63" spans="1:28" x14ac:dyDescent="0.15">
      <c r="D63" s="151"/>
      <c r="F63" s="135"/>
      <c r="G63" s="138"/>
      <c r="K63" s="104"/>
      <c r="Q63" s="84" t="str">
        <f t="shared" si="0"/>
        <v/>
      </c>
      <c r="T63" s="16" t="str">
        <f t="shared" si="1"/>
        <v/>
      </c>
      <c r="V63" s="16" t="str">
        <f t="shared" si="2"/>
        <v/>
      </c>
      <c r="X63" s="143"/>
    </row>
    <row r="64" spans="1:28" x14ac:dyDescent="0.15">
      <c r="D64" s="151"/>
      <c r="F64" s="135"/>
      <c r="G64" s="138"/>
      <c r="K64" s="104"/>
      <c r="Q64" s="84" t="str">
        <f t="shared" si="0"/>
        <v/>
      </c>
      <c r="T64" s="16" t="str">
        <f t="shared" si="1"/>
        <v/>
      </c>
      <c r="V64" s="16" t="str">
        <f t="shared" si="2"/>
        <v/>
      </c>
      <c r="X64" s="143"/>
    </row>
    <row r="65" spans="4:24" x14ac:dyDescent="0.15">
      <c r="D65" s="151"/>
      <c r="F65" s="135"/>
      <c r="G65" s="138"/>
      <c r="K65" s="104"/>
      <c r="Q65" s="84" t="str">
        <f t="shared" si="0"/>
        <v/>
      </c>
      <c r="T65" s="16" t="str">
        <f t="shared" si="1"/>
        <v/>
      </c>
      <c r="V65" s="16" t="str">
        <f t="shared" si="2"/>
        <v/>
      </c>
      <c r="X65" s="143"/>
    </row>
    <row r="66" spans="4:24" x14ac:dyDescent="0.15">
      <c r="D66" s="151"/>
      <c r="F66" s="135"/>
      <c r="G66" s="138"/>
      <c r="K66" s="104"/>
      <c r="Q66" s="84" t="str">
        <f t="shared" ref="Q66:Q91" si="3">IF(OR(O66="",P66=""),"",AVERAGE(O66,P66))</f>
        <v/>
      </c>
      <c r="T66" s="16" t="str">
        <f t="shared" ref="T66:T91" si="4">IF(H66="","",IF(OR(H66="GREEN",H66="GK"),IF(S66&gt;=$AX$2,VLOOKUP(S66,$AX$2:$AY$7,2,1),""),IF(S66&gt;=$AZ$2,VLOOKUP(S66,$AZ$2:$BA$7,2,1),"")))</f>
        <v/>
      </c>
      <c r="V66" s="16" t="str">
        <f t="shared" ref="V66:V91" si="5">IF(OR(N66="",U66="",T66=""),"",U66/N66*T66)</f>
        <v/>
      </c>
      <c r="X66" s="143"/>
    </row>
    <row r="67" spans="4:24" x14ac:dyDescent="0.15">
      <c r="D67" s="151"/>
      <c r="F67" s="135"/>
      <c r="G67" s="138"/>
      <c r="K67" s="104"/>
      <c r="Q67" s="84" t="str">
        <f t="shared" si="3"/>
        <v/>
      </c>
      <c r="T67" s="16" t="str">
        <f t="shared" si="4"/>
        <v/>
      </c>
      <c r="V67" s="16" t="str">
        <f t="shared" si="5"/>
        <v/>
      </c>
      <c r="X67" s="143"/>
    </row>
    <row r="68" spans="4:24" x14ac:dyDescent="0.15">
      <c r="D68" s="151"/>
      <c r="F68" s="135"/>
      <c r="G68" s="138"/>
      <c r="K68" s="104"/>
      <c r="Q68" s="84" t="str">
        <f t="shared" si="3"/>
        <v/>
      </c>
      <c r="T68" s="16" t="str">
        <f t="shared" si="4"/>
        <v/>
      </c>
      <c r="V68" s="16" t="str">
        <f t="shared" si="5"/>
        <v/>
      </c>
      <c r="X68" s="143"/>
    </row>
    <row r="69" spans="4:24" x14ac:dyDescent="0.15">
      <c r="D69" s="151"/>
      <c r="F69" s="135"/>
      <c r="G69" s="138"/>
      <c r="K69" s="104"/>
      <c r="Q69" s="84" t="str">
        <f t="shared" si="3"/>
        <v/>
      </c>
      <c r="T69" s="16" t="str">
        <f t="shared" si="4"/>
        <v/>
      </c>
      <c r="V69" s="16" t="str">
        <f t="shared" si="5"/>
        <v/>
      </c>
      <c r="X69" s="143"/>
    </row>
    <row r="70" spans="4:24" x14ac:dyDescent="0.15">
      <c r="D70" s="151"/>
      <c r="F70" s="135"/>
      <c r="G70" s="138"/>
      <c r="K70" s="104"/>
      <c r="Q70" s="84" t="str">
        <f t="shared" si="3"/>
        <v/>
      </c>
      <c r="T70" s="16" t="str">
        <f t="shared" si="4"/>
        <v/>
      </c>
      <c r="V70" s="16" t="str">
        <f t="shared" si="5"/>
        <v/>
      </c>
      <c r="X70" s="143"/>
    </row>
    <row r="71" spans="4:24" x14ac:dyDescent="0.15">
      <c r="D71" s="151"/>
      <c r="F71" s="135"/>
      <c r="G71" s="138"/>
      <c r="K71" s="104"/>
      <c r="Q71" s="84" t="str">
        <f t="shared" si="3"/>
        <v/>
      </c>
      <c r="T71" s="16" t="str">
        <f t="shared" si="4"/>
        <v/>
      </c>
      <c r="V71" s="16" t="str">
        <f t="shared" si="5"/>
        <v/>
      </c>
      <c r="X71" s="143"/>
    </row>
    <row r="72" spans="4:24" x14ac:dyDescent="0.15">
      <c r="D72" s="151"/>
      <c r="F72" s="135"/>
      <c r="G72" s="138"/>
      <c r="K72" s="104"/>
      <c r="Q72" s="84" t="str">
        <f t="shared" si="3"/>
        <v/>
      </c>
      <c r="T72" s="16" t="str">
        <f t="shared" si="4"/>
        <v/>
      </c>
      <c r="V72" s="16" t="str">
        <f t="shared" si="5"/>
        <v/>
      </c>
      <c r="X72" s="143"/>
    </row>
    <row r="73" spans="4:24" x14ac:dyDescent="0.15">
      <c r="D73" s="151"/>
      <c r="F73" s="135"/>
      <c r="G73" s="138"/>
      <c r="K73" s="104"/>
      <c r="Q73" s="84" t="str">
        <f t="shared" si="3"/>
        <v/>
      </c>
      <c r="T73" s="16" t="str">
        <f t="shared" si="4"/>
        <v/>
      </c>
      <c r="V73" s="16" t="str">
        <f t="shared" si="5"/>
        <v/>
      </c>
      <c r="X73" s="143"/>
    </row>
    <row r="74" spans="4:24" x14ac:dyDescent="0.15">
      <c r="D74" s="151"/>
      <c r="F74" s="135"/>
      <c r="G74" s="138"/>
      <c r="K74" s="104"/>
      <c r="Q74" s="84" t="str">
        <f t="shared" si="3"/>
        <v/>
      </c>
      <c r="T74" s="16" t="str">
        <f t="shared" si="4"/>
        <v/>
      </c>
      <c r="V74" s="16" t="str">
        <f t="shared" si="5"/>
        <v/>
      </c>
      <c r="X74" s="143"/>
    </row>
    <row r="75" spans="4:24" x14ac:dyDescent="0.15">
      <c r="D75" s="151"/>
      <c r="F75" s="135"/>
      <c r="G75" s="138"/>
      <c r="K75" s="104"/>
      <c r="Q75" s="84" t="str">
        <f t="shared" si="3"/>
        <v/>
      </c>
      <c r="T75" s="16" t="str">
        <f t="shared" si="4"/>
        <v/>
      </c>
      <c r="V75" s="16" t="str">
        <f t="shared" si="5"/>
        <v/>
      </c>
      <c r="X75" s="143"/>
    </row>
    <row r="76" spans="4:24" x14ac:dyDescent="0.15">
      <c r="D76" s="151"/>
      <c r="F76" s="135"/>
      <c r="G76" s="138"/>
      <c r="K76" s="104"/>
      <c r="Q76" s="84" t="str">
        <f t="shared" si="3"/>
        <v/>
      </c>
      <c r="T76" s="16" t="str">
        <f t="shared" si="4"/>
        <v/>
      </c>
      <c r="V76" s="16" t="str">
        <f t="shared" si="5"/>
        <v/>
      </c>
      <c r="X76" s="143"/>
    </row>
    <row r="77" spans="4:24" x14ac:dyDescent="0.15">
      <c r="D77" s="151"/>
      <c r="F77" s="135"/>
      <c r="G77" s="138"/>
      <c r="K77" s="104"/>
      <c r="Q77" s="84" t="str">
        <f t="shared" si="3"/>
        <v/>
      </c>
      <c r="T77" s="16" t="str">
        <f t="shared" si="4"/>
        <v/>
      </c>
      <c r="V77" s="16" t="str">
        <f t="shared" si="5"/>
        <v/>
      </c>
      <c r="X77" s="143"/>
    </row>
    <row r="78" spans="4:24" x14ac:dyDescent="0.15">
      <c r="D78" s="151"/>
      <c r="F78" s="135"/>
      <c r="G78" s="138"/>
      <c r="K78" s="104"/>
      <c r="Q78" s="84" t="str">
        <f t="shared" si="3"/>
        <v/>
      </c>
      <c r="T78" s="16" t="str">
        <f t="shared" si="4"/>
        <v/>
      </c>
      <c r="V78" s="16" t="str">
        <f t="shared" si="5"/>
        <v/>
      </c>
      <c r="X78" s="143"/>
    </row>
    <row r="79" spans="4:24" x14ac:dyDescent="0.15">
      <c r="D79" s="151"/>
      <c r="F79" s="135"/>
      <c r="G79" s="138"/>
      <c r="K79" s="104"/>
      <c r="Q79" s="84" t="str">
        <f t="shared" si="3"/>
        <v/>
      </c>
      <c r="T79" s="16" t="str">
        <f t="shared" si="4"/>
        <v/>
      </c>
      <c r="V79" s="16" t="str">
        <f t="shared" si="5"/>
        <v/>
      </c>
      <c r="X79" s="143"/>
    </row>
    <row r="80" spans="4:24" x14ac:dyDescent="0.15">
      <c r="K80" s="104"/>
      <c r="Q80" s="84" t="str">
        <f t="shared" si="3"/>
        <v/>
      </c>
      <c r="T80" s="16" t="str">
        <f t="shared" si="4"/>
        <v/>
      </c>
      <c r="V80" s="16" t="str">
        <f t="shared" si="5"/>
        <v/>
      </c>
    </row>
    <row r="81" spans="11:22" x14ac:dyDescent="0.15">
      <c r="K81" s="104"/>
      <c r="Q81" s="84" t="str">
        <f t="shared" si="3"/>
        <v/>
      </c>
      <c r="T81" s="16" t="str">
        <f t="shared" si="4"/>
        <v/>
      </c>
      <c r="V81" s="16" t="str">
        <f t="shared" si="5"/>
        <v/>
      </c>
    </row>
    <row r="82" spans="11:22" x14ac:dyDescent="0.15">
      <c r="K82" s="104"/>
      <c r="Q82" s="84" t="str">
        <f t="shared" si="3"/>
        <v/>
      </c>
      <c r="T82" s="16" t="str">
        <f t="shared" si="4"/>
        <v/>
      </c>
      <c r="V82" s="16" t="str">
        <f t="shared" si="5"/>
        <v/>
      </c>
    </row>
    <row r="83" spans="11:22" x14ac:dyDescent="0.15">
      <c r="K83" s="104"/>
      <c r="Q83" s="84" t="str">
        <f t="shared" si="3"/>
        <v/>
      </c>
      <c r="T83" s="16" t="str">
        <f t="shared" si="4"/>
        <v/>
      </c>
      <c r="V83" s="16" t="str">
        <f t="shared" si="5"/>
        <v/>
      </c>
    </row>
    <row r="84" spans="11:22" x14ac:dyDescent="0.15">
      <c r="K84" s="104"/>
      <c r="Q84" s="84" t="str">
        <f t="shared" si="3"/>
        <v/>
      </c>
      <c r="T84" s="16" t="str">
        <f t="shared" si="4"/>
        <v/>
      </c>
      <c r="V84" s="16" t="str">
        <f t="shared" si="5"/>
        <v/>
      </c>
    </row>
    <row r="85" spans="11:22" x14ac:dyDescent="0.15">
      <c r="K85" s="104"/>
      <c r="Q85" s="84" t="str">
        <f t="shared" si="3"/>
        <v/>
      </c>
      <c r="T85" s="16" t="str">
        <f t="shared" si="4"/>
        <v/>
      </c>
      <c r="V85" s="16" t="str">
        <f t="shared" si="5"/>
        <v/>
      </c>
    </row>
    <row r="86" spans="11:22" x14ac:dyDescent="0.15">
      <c r="K86" s="104"/>
      <c r="Q86" s="84" t="str">
        <f t="shared" si="3"/>
        <v/>
      </c>
      <c r="T86" s="16" t="str">
        <f t="shared" si="4"/>
        <v/>
      </c>
      <c r="V86" s="16" t="str">
        <f t="shared" si="5"/>
        <v/>
      </c>
    </row>
    <row r="87" spans="11:22" x14ac:dyDescent="0.15">
      <c r="K87" s="104"/>
      <c r="Q87" s="84" t="str">
        <f t="shared" si="3"/>
        <v/>
      </c>
      <c r="T87" s="16" t="str">
        <f t="shared" si="4"/>
        <v/>
      </c>
      <c r="V87" s="16" t="str">
        <f t="shared" si="5"/>
        <v/>
      </c>
    </row>
    <row r="88" spans="11:22" x14ac:dyDescent="0.15">
      <c r="K88" s="104"/>
      <c r="Q88" s="84" t="str">
        <f t="shared" si="3"/>
        <v/>
      </c>
      <c r="T88" s="16" t="str">
        <f t="shared" si="4"/>
        <v/>
      </c>
      <c r="V88" s="16" t="str">
        <f t="shared" si="5"/>
        <v/>
      </c>
    </row>
    <row r="89" spans="11:22" x14ac:dyDescent="0.15">
      <c r="K89" s="104"/>
      <c r="Q89" s="84" t="str">
        <f t="shared" si="3"/>
        <v/>
      </c>
      <c r="T89" s="16" t="str">
        <f t="shared" si="4"/>
        <v/>
      </c>
      <c r="V89" s="16" t="str">
        <f t="shared" si="5"/>
        <v/>
      </c>
    </row>
    <row r="90" spans="11:22" x14ac:dyDescent="0.15">
      <c r="K90" s="104"/>
      <c r="Q90" s="84" t="str">
        <f t="shared" si="3"/>
        <v/>
      </c>
      <c r="T90" s="16" t="str">
        <f t="shared" si="4"/>
        <v/>
      </c>
      <c r="V90" s="16" t="str">
        <f t="shared" si="5"/>
        <v/>
      </c>
    </row>
    <row r="91" spans="11:22" x14ac:dyDescent="0.15">
      <c r="K91" s="104"/>
      <c r="Q91" s="84" t="str">
        <f t="shared" si="3"/>
        <v/>
      </c>
      <c r="T91" s="16" t="str">
        <f t="shared" si="4"/>
        <v/>
      </c>
      <c r="V91" s="16" t="str">
        <f t="shared" si="5"/>
        <v/>
      </c>
    </row>
    <row r="92" spans="11:22" x14ac:dyDescent="0.15">
      <c r="K92" s="104"/>
      <c r="Q92" s="84"/>
    </row>
    <row r="93" spans="11:22" x14ac:dyDescent="0.15">
      <c r="K93" s="104"/>
      <c r="Q93" s="84"/>
    </row>
    <row r="94" spans="11:22" x14ac:dyDescent="0.15">
      <c r="K94" s="104"/>
      <c r="Q94" s="84"/>
    </row>
    <row r="95" spans="11:22" x14ac:dyDescent="0.15">
      <c r="K95" s="104"/>
      <c r="Q95" s="84"/>
    </row>
    <row r="96" spans="11:22" x14ac:dyDescent="0.15">
      <c r="K96" s="104"/>
      <c r="Q96" s="84"/>
    </row>
    <row r="97" spans="11:17" x14ac:dyDescent="0.15">
      <c r="K97" s="104"/>
      <c r="Q97" s="84"/>
    </row>
    <row r="98" spans="11:17" x14ac:dyDescent="0.15">
      <c r="K98" s="104"/>
      <c r="Q98" s="84"/>
    </row>
    <row r="99" spans="11:17" x14ac:dyDescent="0.15">
      <c r="K99" s="104"/>
      <c r="Q99" s="84"/>
    </row>
    <row r="100" spans="11:17" x14ac:dyDescent="0.15">
      <c r="K100" s="104"/>
      <c r="Q100" s="84"/>
    </row>
    <row r="101" spans="11:17" x14ac:dyDescent="0.15">
      <c r="K101" s="104"/>
      <c r="Q101" s="84"/>
    </row>
    <row r="102" spans="11:17" x14ac:dyDescent="0.15">
      <c r="K102" s="104"/>
      <c r="Q102" s="84"/>
    </row>
    <row r="103" spans="11:17" x14ac:dyDescent="0.15">
      <c r="K103" s="104"/>
      <c r="Q103" s="84"/>
    </row>
    <row r="104" spans="11:17" x14ac:dyDescent="0.15">
      <c r="K104" s="104"/>
      <c r="Q104" s="84"/>
    </row>
    <row r="105" spans="11:17" x14ac:dyDescent="0.15">
      <c r="K105" s="104"/>
      <c r="Q105" s="84"/>
    </row>
    <row r="106" spans="11:17" x14ac:dyDescent="0.15">
      <c r="K106" s="104"/>
      <c r="Q106" s="84"/>
    </row>
    <row r="107" spans="11:17" x14ac:dyDescent="0.15">
      <c r="K107" s="104"/>
      <c r="Q107" s="84"/>
    </row>
    <row r="108" spans="11:17" x14ac:dyDescent="0.15">
      <c r="K108" s="104"/>
      <c r="Q108" s="84"/>
    </row>
    <row r="109" spans="11:17" x14ac:dyDescent="0.15">
      <c r="K109" s="104"/>
      <c r="Q109" s="84"/>
    </row>
    <row r="110" spans="11:17" x14ac:dyDescent="0.15">
      <c r="K110" s="104"/>
      <c r="Q110" s="84"/>
    </row>
    <row r="111" spans="11:17" x14ac:dyDescent="0.15">
      <c r="K111" s="104"/>
      <c r="Q111" s="84"/>
    </row>
    <row r="112" spans="11:17" x14ac:dyDescent="0.15">
      <c r="K112" s="104"/>
      <c r="Q112" s="84"/>
    </row>
    <row r="113" spans="11:17" x14ac:dyDescent="0.15">
      <c r="K113" s="104"/>
      <c r="Q113" s="84"/>
    </row>
    <row r="114" spans="11:17" x14ac:dyDescent="0.15">
      <c r="K114" s="104"/>
      <c r="Q114" s="84"/>
    </row>
    <row r="115" spans="11:17" x14ac:dyDescent="0.15">
      <c r="K115" s="104"/>
      <c r="Q115" s="84"/>
    </row>
    <row r="116" spans="11:17" x14ac:dyDescent="0.15">
      <c r="K116" s="104"/>
      <c r="Q116" s="84"/>
    </row>
    <row r="117" spans="11:17" x14ac:dyDescent="0.15">
      <c r="K117" s="104"/>
      <c r="Q117" s="84"/>
    </row>
    <row r="118" spans="11:17" x14ac:dyDescent="0.15">
      <c r="K118" s="104"/>
      <c r="Q118" s="84"/>
    </row>
    <row r="119" spans="11:17" x14ac:dyDescent="0.15">
      <c r="K119" s="104"/>
      <c r="Q119" s="84"/>
    </row>
    <row r="120" spans="11:17" x14ac:dyDescent="0.15">
      <c r="K120" s="104"/>
      <c r="Q120" s="84"/>
    </row>
    <row r="121" spans="11:17" x14ac:dyDescent="0.15">
      <c r="K121" s="104"/>
      <c r="Q121" s="84"/>
    </row>
    <row r="122" spans="11:17" x14ac:dyDescent="0.15">
      <c r="K122" s="104"/>
      <c r="Q122" s="84"/>
    </row>
    <row r="123" spans="11:17" x14ac:dyDescent="0.15">
      <c r="K123" s="104"/>
      <c r="Q123" s="84"/>
    </row>
    <row r="124" spans="11:17" x14ac:dyDescent="0.15">
      <c r="K124" s="104"/>
      <c r="Q124" s="84"/>
    </row>
    <row r="125" spans="11:17" x14ac:dyDescent="0.15">
      <c r="K125" s="104"/>
      <c r="Q125" s="84"/>
    </row>
    <row r="126" spans="11:17" x14ac:dyDescent="0.15">
      <c r="K126" s="104"/>
      <c r="Q126" s="84"/>
    </row>
    <row r="127" spans="11:17" x14ac:dyDescent="0.15">
      <c r="K127" s="104"/>
      <c r="Q127" s="84"/>
    </row>
    <row r="128" spans="11:17" x14ac:dyDescent="0.15">
      <c r="K128" s="104"/>
      <c r="Q128" s="84"/>
    </row>
    <row r="129" spans="11:17" x14ac:dyDescent="0.15">
      <c r="K129" s="104"/>
      <c r="Q129" s="84"/>
    </row>
    <row r="130" spans="11:17" x14ac:dyDescent="0.15">
      <c r="K130" s="104"/>
      <c r="Q130" s="84"/>
    </row>
    <row r="131" spans="11:17" x14ac:dyDescent="0.15">
      <c r="K131" s="104"/>
      <c r="Q131" s="84"/>
    </row>
    <row r="132" spans="11:17" x14ac:dyDescent="0.15">
      <c r="K132" s="104"/>
      <c r="Q132" s="84"/>
    </row>
    <row r="133" spans="11:17" x14ac:dyDescent="0.15">
      <c r="K133" s="104"/>
      <c r="Q133" s="84"/>
    </row>
    <row r="134" spans="11:17" x14ac:dyDescent="0.15">
      <c r="K134" s="104"/>
      <c r="Q134" s="84"/>
    </row>
    <row r="135" spans="11:17" x14ac:dyDescent="0.15">
      <c r="K135" s="104"/>
      <c r="Q135" s="84"/>
    </row>
    <row r="136" spans="11:17" x14ac:dyDescent="0.15">
      <c r="K136" s="104"/>
      <c r="Q136" s="84"/>
    </row>
    <row r="137" spans="11:17" x14ac:dyDescent="0.15">
      <c r="K137" s="104"/>
      <c r="Q137" s="84"/>
    </row>
    <row r="138" spans="11:17" x14ac:dyDescent="0.15">
      <c r="K138" s="104"/>
      <c r="Q138" s="84"/>
    </row>
    <row r="139" spans="11:17" x14ac:dyDescent="0.15">
      <c r="K139" s="104"/>
      <c r="Q139" s="84"/>
    </row>
    <row r="140" spans="11:17" x14ac:dyDescent="0.15">
      <c r="K140" s="104"/>
      <c r="Q140" s="84"/>
    </row>
    <row r="141" spans="11:17" x14ac:dyDescent="0.15">
      <c r="K141" s="104"/>
      <c r="Q141" s="84"/>
    </row>
    <row r="142" spans="11:17" x14ac:dyDescent="0.15">
      <c r="K142" s="104"/>
      <c r="Q142" s="84"/>
    </row>
    <row r="143" spans="11:17" x14ac:dyDescent="0.15">
      <c r="K143" s="104"/>
      <c r="Q143" s="84"/>
    </row>
    <row r="144" spans="11:17" x14ac:dyDescent="0.15">
      <c r="K144" s="104"/>
      <c r="Q144" s="84"/>
    </row>
    <row r="145" spans="11:17" x14ac:dyDescent="0.15">
      <c r="K145" s="104"/>
      <c r="Q145" s="84"/>
    </row>
    <row r="146" spans="11:17" x14ac:dyDescent="0.15">
      <c r="K146" s="104"/>
      <c r="Q146" s="84"/>
    </row>
    <row r="147" spans="11:17" x14ac:dyDescent="0.15">
      <c r="K147" s="104"/>
      <c r="Q147" s="84"/>
    </row>
    <row r="148" spans="11:17" x14ac:dyDescent="0.15">
      <c r="K148" s="104"/>
      <c r="Q148" s="84"/>
    </row>
    <row r="149" spans="11:17" x14ac:dyDescent="0.15">
      <c r="K149" s="104"/>
      <c r="Q149" s="84"/>
    </row>
    <row r="150" spans="11:17" x14ac:dyDescent="0.15">
      <c r="K150" s="104"/>
      <c r="Q150" s="84"/>
    </row>
    <row r="151" spans="11:17" x14ac:dyDescent="0.15">
      <c r="K151" s="104"/>
      <c r="Q151" s="84"/>
    </row>
    <row r="152" spans="11:17" x14ac:dyDescent="0.15">
      <c r="K152" s="104"/>
      <c r="Q152" s="84"/>
    </row>
    <row r="153" spans="11:17" x14ac:dyDescent="0.15">
      <c r="K153" s="104"/>
      <c r="Q153" s="84"/>
    </row>
    <row r="154" spans="11:17" x14ac:dyDescent="0.15">
      <c r="K154" s="104"/>
      <c r="Q154" s="84"/>
    </row>
    <row r="155" spans="11:17" x14ac:dyDescent="0.15">
      <c r="K155" s="104"/>
      <c r="Q155" s="84"/>
    </row>
    <row r="156" spans="11:17" x14ac:dyDescent="0.15">
      <c r="K156" s="104"/>
      <c r="Q156" s="84"/>
    </row>
    <row r="157" spans="11:17" x14ac:dyDescent="0.15">
      <c r="K157" s="104"/>
      <c r="Q157" s="84"/>
    </row>
    <row r="158" spans="11:17" x14ac:dyDescent="0.15">
      <c r="K158" s="104"/>
      <c r="Q158" s="84"/>
    </row>
    <row r="159" spans="11:17" x14ac:dyDescent="0.15">
      <c r="K159" s="104"/>
      <c r="Q159" s="84"/>
    </row>
    <row r="160" spans="11:17" x14ac:dyDescent="0.15">
      <c r="K160" s="104"/>
      <c r="Q160" s="84"/>
    </row>
    <row r="161" spans="11:17" x14ac:dyDescent="0.15">
      <c r="K161" s="104"/>
      <c r="Q161" s="84"/>
    </row>
    <row r="162" spans="11:17" x14ac:dyDescent="0.15">
      <c r="K162" s="104"/>
      <c r="Q162" s="84"/>
    </row>
    <row r="163" spans="11:17" x14ac:dyDescent="0.15">
      <c r="K163" s="104"/>
      <c r="Q163" s="84"/>
    </row>
    <row r="164" spans="11:17" x14ac:dyDescent="0.15">
      <c r="K164" s="104"/>
      <c r="Q164" s="84"/>
    </row>
    <row r="165" spans="11:17" x14ac:dyDescent="0.15">
      <c r="K165" s="104"/>
      <c r="Q165" s="84"/>
    </row>
    <row r="166" spans="11:17" x14ac:dyDescent="0.15">
      <c r="K166" s="104"/>
      <c r="Q166" s="84"/>
    </row>
    <row r="167" spans="11:17" x14ac:dyDescent="0.15">
      <c r="K167" s="104"/>
      <c r="Q167" s="84"/>
    </row>
    <row r="168" spans="11:17" x14ac:dyDescent="0.15">
      <c r="K168" s="104"/>
      <c r="Q168" s="84"/>
    </row>
    <row r="169" spans="11:17" x14ac:dyDescent="0.15">
      <c r="K169" s="104"/>
      <c r="Q169" s="84"/>
    </row>
    <row r="170" spans="11:17" x14ac:dyDescent="0.15">
      <c r="K170" s="104"/>
      <c r="Q170" s="84"/>
    </row>
    <row r="171" spans="11:17" x14ac:dyDescent="0.15">
      <c r="K171" s="104"/>
      <c r="Q171" s="84"/>
    </row>
    <row r="172" spans="11:17" x14ac:dyDescent="0.15">
      <c r="K172" s="104"/>
      <c r="Q172" s="84"/>
    </row>
    <row r="173" spans="11:17" x14ac:dyDescent="0.15">
      <c r="K173" s="104"/>
      <c r="Q173" s="84"/>
    </row>
    <row r="174" spans="11:17" x14ac:dyDescent="0.15">
      <c r="K174" s="104"/>
      <c r="Q174" s="84"/>
    </row>
    <row r="175" spans="11:17" x14ac:dyDescent="0.15">
      <c r="K175" s="104"/>
      <c r="Q175" s="84"/>
    </row>
    <row r="176" spans="11:17" x14ac:dyDescent="0.15">
      <c r="K176" s="104"/>
      <c r="Q176" s="84"/>
    </row>
    <row r="177" spans="11:17" x14ac:dyDescent="0.15">
      <c r="K177" s="104"/>
      <c r="Q177" s="84"/>
    </row>
    <row r="178" spans="11:17" x14ac:dyDescent="0.15">
      <c r="K178" s="104"/>
      <c r="Q178" s="84"/>
    </row>
    <row r="179" spans="11:17" x14ac:dyDescent="0.15">
      <c r="K179" s="104"/>
      <c r="Q179" s="84"/>
    </row>
    <row r="180" spans="11:17" x14ac:dyDescent="0.15">
      <c r="K180" s="104"/>
      <c r="Q180" s="84"/>
    </row>
    <row r="181" spans="11:17" x14ac:dyDescent="0.15">
      <c r="K181" s="104"/>
      <c r="Q181" s="84"/>
    </row>
    <row r="182" spans="11:17" x14ac:dyDescent="0.15">
      <c r="K182" s="104"/>
      <c r="Q182" s="84"/>
    </row>
    <row r="183" spans="11:17" x14ac:dyDescent="0.15">
      <c r="K183" s="104"/>
      <c r="Q183" s="84"/>
    </row>
    <row r="184" spans="11:17" x14ac:dyDescent="0.15">
      <c r="K184" s="104"/>
      <c r="Q184" s="84"/>
    </row>
    <row r="185" spans="11:17" x14ac:dyDescent="0.15">
      <c r="K185" s="104"/>
      <c r="Q185" s="84"/>
    </row>
    <row r="186" spans="11:17" x14ac:dyDescent="0.15">
      <c r="K186" s="104"/>
      <c r="Q186" s="84"/>
    </row>
    <row r="187" spans="11:17" x14ac:dyDescent="0.15">
      <c r="K187" s="104"/>
      <c r="Q187" s="84"/>
    </row>
    <row r="188" spans="11:17" x14ac:dyDescent="0.15">
      <c r="K188" s="104"/>
      <c r="Q188" s="84"/>
    </row>
    <row r="189" spans="11:17" x14ac:dyDescent="0.15">
      <c r="K189" s="104"/>
      <c r="Q189" s="84"/>
    </row>
    <row r="190" spans="11:17" x14ac:dyDescent="0.15">
      <c r="K190" s="104"/>
      <c r="Q190" s="84"/>
    </row>
    <row r="191" spans="11:17" x14ac:dyDescent="0.15">
      <c r="K191" s="104"/>
      <c r="Q191" s="84"/>
    </row>
    <row r="192" spans="11:17" x14ac:dyDescent="0.15">
      <c r="K192" s="104"/>
      <c r="Q192" s="84"/>
    </row>
    <row r="193" spans="11:17" x14ac:dyDescent="0.15">
      <c r="K193" s="104"/>
      <c r="Q193" s="84"/>
    </row>
    <row r="194" spans="11:17" x14ac:dyDescent="0.15">
      <c r="K194" s="104"/>
      <c r="Q194" s="84"/>
    </row>
    <row r="195" spans="11:17" x14ac:dyDescent="0.15">
      <c r="K195" s="104"/>
      <c r="Q195" s="84"/>
    </row>
    <row r="196" spans="11:17" x14ac:dyDescent="0.15">
      <c r="K196" s="104"/>
      <c r="Q196" s="84"/>
    </row>
    <row r="197" spans="11:17" x14ac:dyDescent="0.15">
      <c r="K197" s="104"/>
      <c r="Q197" s="84"/>
    </row>
    <row r="198" spans="11:17" x14ac:dyDescent="0.15">
      <c r="K198" s="104"/>
      <c r="Q198" s="84"/>
    </row>
    <row r="199" spans="11:17" x14ac:dyDescent="0.15">
      <c r="K199" s="104"/>
      <c r="Q199" s="84"/>
    </row>
    <row r="200" spans="11:17" x14ac:dyDescent="0.15">
      <c r="K200" s="104"/>
      <c r="Q200" s="84"/>
    </row>
    <row r="201" spans="11:17" x14ac:dyDescent="0.15">
      <c r="K201" s="104"/>
      <c r="Q201" s="84"/>
    </row>
    <row r="202" spans="11:17" x14ac:dyDescent="0.15">
      <c r="K202" s="104"/>
      <c r="Q202" s="84"/>
    </row>
    <row r="203" spans="11:17" x14ac:dyDescent="0.15">
      <c r="K203" s="104"/>
      <c r="Q203" s="84"/>
    </row>
    <row r="204" spans="11:17" x14ac:dyDescent="0.15">
      <c r="K204" s="104"/>
      <c r="Q204" s="84"/>
    </row>
    <row r="205" spans="11:17" x14ac:dyDescent="0.15">
      <c r="K205" s="104"/>
      <c r="Q205" s="84"/>
    </row>
    <row r="206" spans="11:17" x14ac:dyDescent="0.15">
      <c r="K206" s="104"/>
      <c r="Q206" s="84"/>
    </row>
    <row r="207" spans="11:17" x14ac:dyDescent="0.15">
      <c r="K207" s="104"/>
      <c r="Q207" s="84"/>
    </row>
    <row r="208" spans="11:17" x14ac:dyDescent="0.15">
      <c r="K208" s="104"/>
      <c r="Q208" s="84"/>
    </row>
    <row r="209" spans="11:17" x14ac:dyDescent="0.15">
      <c r="K209" s="104"/>
      <c r="Q209" s="84"/>
    </row>
    <row r="210" spans="11:17" x14ac:dyDescent="0.15">
      <c r="K210" s="104"/>
      <c r="Q210" s="84"/>
    </row>
    <row r="211" spans="11:17" x14ac:dyDescent="0.15">
      <c r="K211" s="104"/>
      <c r="Q211" s="84"/>
    </row>
    <row r="212" spans="11:17" x14ac:dyDescent="0.15">
      <c r="K212" s="104"/>
      <c r="Q212" s="84"/>
    </row>
    <row r="213" spans="11:17" x14ac:dyDescent="0.15">
      <c r="K213" s="104"/>
      <c r="Q213" s="84"/>
    </row>
    <row r="214" spans="11:17" x14ac:dyDescent="0.15">
      <c r="K214" s="104"/>
      <c r="Q214" s="84"/>
    </row>
    <row r="215" spans="11:17" x14ac:dyDescent="0.15">
      <c r="K215" s="104"/>
      <c r="Q215" s="84"/>
    </row>
    <row r="216" spans="11:17" x14ac:dyDescent="0.15">
      <c r="K216" s="104"/>
      <c r="Q216" s="84"/>
    </row>
    <row r="217" spans="11:17" x14ac:dyDescent="0.15">
      <c r="K217" s="104"/>
      <c r="Q217" s="84"/>
    </row>
    <row r="218" spans="11:17" x14ac:dyDescent="0.15">
      <c r="K218" s="104"/>
      <c r="Q218" s="84"/>
    </row>
    <row r="219" spans="11:17" x14ac:dyDescent="0.15">
      <c r="K219" s="104"/>
      <c r="Q219" s="84"/>
    </row>
    <row r="220" spans="11:17" x14ac:dyDescent="0.15">
      <c r="K220" s="104"/>
      <c r="Q220" s="84"/>
    </row>
    <row r="221" spans="11:17" x14ac:dyDescent="0.15">
      <c r="K221" s="104"/>
      <c r="Q221" s="84"/>
    </row>
    <row r="222" spans="11:17" x14ac:dyDescent="0.15">
      <c r="K222" s="104"/>
      <c r="Q222" s="84"/>
    </row>
    <row r="223" spans="11:17" x14ac:dyDescent="0.15">
      <c r="K223" s="104"/>
      <c r="Q223" s="84"/>
    </row>
    <row r="224" spans="11:17" x14ac:dyDescent="0.15">
      <c r="K224" s="104"/>
      <c r="Q224" s="84"/>
    </row>
    <row r="225" spans="11:17" x14ac:dyDescent="0.15">
      <c r="K225" s="104"/>
      <c r="Q225" s="84"/>
    </row>
    <row r="226" spans="11:17" x14ac:dyDescent="0.15">
      <c r="K226" s="104"/>
      <c r="Q226" s="84"/>
    </row>
    <row r="227" spans="11:17" x14ac:dyDescent="0.15">
      <c r="K227" s="104"/>
      <c r="Q227" s="84"/>
    </row>
    <row r="228" spans="11:17" x14ac:dyDescent="0.15">
      <c r="K228" s="104"/>
      <c r="Q228" s="84"/>
    </row>
    <row r="229" spans="11:17" x14ac:dyDescent="0.15">
      <c r="K229" s="104"/>
      <c r="Q229" s="84"/>
    </row>
    <row r="230" spans="11:17" x14ac:dyDescent="0.15">
      <c r="K230" s="104"/>
      <c r="Q230" s="84"/>
    </row>
    <row r="231" spans="11:17" x14ac:dyDescent="0.15">
      <c r="K231" s="104"/>
      <c r="Q231" s="84"/>
    </row>
    <row r="232" spans="11:17" x14ac:dyDescent="0.15">
      <c r="K232" s="104"/>
      <c r="Q232" s="84"/>
    </row>
    <row r="233" spans="11:17" x14ac:dyDescent="0.15">
      <c r="K233" s="104"/>
      <c r="Q233" s="84"/>
    </row>
    <row r="234" spans="11:17" x14ac:dyDescent="0.15">
      <c r="K234" s="104"/>
      <c r="Q234" s="84"/>
    </row>
    <row r="235" spans="11:17" x14ac:dyDescent="0.15">
      <c r="K235" s="104"/>
      <c r="Q235" s="84"/>
    </row>
    <row r="236" spans="11:17" x14ac:dyDescent="0.15">
      <c r="K236" s="104"/>
      <c r="Q236" s="84"/>
    </row>
    <row r="237" spans="11:17" x14ac:dyDescent="0.15">
      <c r="K237" s="104"/>
      <c r="Q237" s="84"/>
    </row>
    <row r="238" spans="11:17" x14ac:dyDescent="0.15">
      <c r="K238" s="104"/>
      <c r="Q238" s="84"/>
    </row>
    <row r="239" spans="11:17" x14ac:dyDescent="0.15">
      <c r="K239" s="104"/>
      <c r="Q239" s="84"/>
    </row>
    <row r="240" spans="11:17" x14ac:dyDescent="0.15">
      <c r="K240" s="104"/>
      <c r="Q240" s="84"/>
    </row>
    <row r="241" spans="11:17" x14ac:dyDescent="0.15">
      <c r="K241" s="104"/>
      <c r="Q241" s="84"/>
    </row>
    <row r="242" spans="11:17" x14ac:dyDescent="0.15">
      <c r="K242" s="104"/>
      <c r="Q242" s="84"/>
    </row>
    <row r="243" spans="11:17" x14ac:dyDescent="0.15">
      <c r="K243" s="104"/>
      <c r="Q243" s="84"/>
    </row>
    <row r="244" spans="11:17" x14ac:dyDescent="0.15">
      <c r="K244" s="104"/>
      <c r="Q244" s="84"/>
    </row>
    <row r="245" spans="11:17" x14ac:dyDescent="0.15">
      <c r="K245" s="104"/>
      <c r="Q245" s="84"/>
    </row>
    <row r="246" spans="11:17" x14ac:dyDescent="0.15">
      <c r="K246" s="104"/>
      <c r="Q246" s="84"/>
    </row>
    <row r="247" spans="11:17" x14ac:dyDescent="0.15">
      <c r="K247" s="104"/>
      <c r="Q247" s="84"/>
    </row>
    <row r="248" spans="11:17" x14ac:dyDescent="0.15">
      <c r="K248" s="104"/>
      <c r="Q248" s="84"/>
    </row>
    <row r="249" spans="11:17" x14ac:dyDescent="0.15">
      <c r="K249" s="104"/>
      <c r="Q249" s="84"/>
    </row>
    <row r="250" spans="11:17" x14ac:dyDescent="0.15">
      <c r="K250" s="104"/>
      <c r="Q250" s="84"/>
    </row>
    <row r="251" spans="11:17" x14ac:dyDescent="0.15">
      <c r="K251" s="104"/>
      <c r="Q251" s="84"/>
    </row>
    <row r="252" spans="11:17" x14ac:dyDescent="0.15">
      <c r="K252" s="104"/>
      <c r="Q252" s="84"/>
    </row>
    <row r="253" spans="11:17" x14ac:dyDescent="0.15">
      <c r="K253" s="104"/>
      <c r="Q253" s="84"/>
    </row>
    <row r="254" spans="11:17" x14ac:dyDescent="0.15">
      <c r="K254" s="104"/>
      <c r="Q254" s="84"/>
    </row>
    <row r="255" spans="11:17" x14ac:dyDescent="0.15">
      <c r="K255" s="104"/>
      <c r="Q255" s="84"/>
    </row>
    <row r="256" spans="11:17" x14ac:dyDescent="0.15">
      <c r="K256" s="104"/>
      <c r="Q256" s="84"/>
    </row>
    <row r="257" spans="11:17" x14ac:dyDescent="0.15">
      <c r="K257" s="104"/>
      <c r="Q257" s="84"/>
    </row>
    <row r="258" spans="11:17" x14ac:dyDescent="0.15">
      <c r="K258" s="104"/>
      <c r="Q258" s="84"/>
    </row>
    <row r="259" spans="11:17" x14ac:dyDescent="0.15">
      <c r="K259" s="104"/>
      <c r="Q259" s="84"/>
    </row>
    <row r="260" spans="11:17" x14ac:dyDescent="0.15">
      <c r="K260" s="104"/>
      <c r="Q260" s="84"/>
    </row>
    <row r="261" spans="11:17" x14ac:dyDescent="0.15">
      <c r="K261" s="104"/>
      <c r="Q261" s="84"/>
    </row>
    <row r="262" spans="11:17" x14ac:dyDescent="0.15">
      <c r="K262" s="104"/>
      <c r="Q262" s="84"/>
    </row>
    <row r="263" spans="11:17" x14ac:dyDescent="0.15">
      <c r="K263" s="104"/>
      <c r="Q263" s="84"/>
    </row>
    <row r="264" spans="11:17" x14ac:dyDescent="0.15">
      <c r="K264" s="104"/>
      <c r="Q264" s="84"/>
    </row>
    <row r="265" spans="11:17" x14ac:dyDescent="0.15">
      <c r="K265" s="104"/>
      <c r="Q265" s="84"/>
    </row>
    <row r="266" spans="11:17" x14ac:dyDescent="0.15">
      <c r="K266" s="104"/>
      <c r="Q266" s="84"/>
    </row>
    <row r="267" spans="11:17" x14ac:dyDescent="0.15">
      <c r="K267" s="104"/>
      <c r="Q267" s="84"/>
    </row>
    <row r="268" spans="11:17" x14ac:dyDescent="0.15">
      <c r="K268" s="104"/>
      <c r="Q268" s="84"/>
    </row>
    <row r="269" spans="11:17" x14ac:dyDescent="0.15">
      <c r="K269" s="104"/>
      <c r="Q269" s="84"/>
    </row>
    <row r="270" spans="11:17" x14ac:dyDescent="0.15">
      <c r="K270" s="104"/>
      <c r="Q270" s="84"/>
    </row>
    <row r="271" spans="11:17" x14ac:dyDescent="0.15">
      <c r="K271" s="104"/>
      <c r="Q271" s="84"/>
    </row>
    <row r="272" spans="11:17" x14ac:dyDescent="0.15">
      <c r="K272" s="104"/>
      <c r="Q272" s="84"/>
    </row>
    <row r="273" spans="11:17" x14ac:dyDescent="0.15">
      <c r="K273" s="104"/>
      <c r="Q273" s="84"/>
    </row>
    <row r="274" spans="11:17" x14ac:dyDescent="0.15">
      <c r="K274" s="104"/>
      <c r="Q274" s="84"/>
    </row>
    <row r="275" spans="11:17" x14ac:dyDescent="0.15">
      <c r="K275" s="104"/>
      <c r="Q275" s="84"/>
    </row>
    <row r="276" spans="11:17" x14ac:dyDescent="0.15">
      <c r="K276" s="104"/>
      <c r="Q276" s="84"/>
    </row>
    <row r="277" spans="11:17" x14ac:dyDescent="0.15">
      <c r="K277" s="104"/>
      <c r="Q277" s="84"/>
    </row>
    <row r="278" spans="11:17" x14ac:dyDescent="0.15">
      <c r="K278" s="104"/>
      <c r="Q278" s="84"/>
    </row>
    <row r="279" spans="11:17" x14ac:dyDescent="0.15">
      <c r="K279" s="104"/>
      <c r="Q279" s="84"/>
    </row>
    <row r="280" spans="11:17" x14ac:dyDescent="0.15">
      <c r="K280" s="104"/>
      <c r="Q280" s="84"/>
    </row>
    <row r="281" spans="11:17" x14ac:dyDescent="0.15">
      <c r="K281" s="104"/>
      <c r="Q281" s="84"/>
    </row>
    <row r="282" spans="11:17" x14ac:dyDescent="0.15">
      <c r="K282" s="104"/>
      <c r="Q282" s="84"/>
    </row>
    <row r="283" spans="11:17" x14ac:dyDescent="0.15">
      <c r="K283" s="104"/>
      <c r="Q283" s="84"/>
    </row>
    <row r="284" spans="11:17" x14ac:dyDescent="0.15">
      <c r="K284" s="104"/>
      <c r="Q284" s="84"/>
    </row>
    <row r="285" spans="11:17" x14ac:dyDescent="0.15">
      <c r="K285" s="104"/>
      <c r="Q285" s="84"/>
    </row>
    <row r="286" spans="11:17" x14ac:dyDescent="0.15">
      <c r="K286" s="104"/>
      <c r="Q286" s="84"/>
    </row>
    <row r="287" spans="11:17" x14ac:dyDescent="0.15">
      <c r="K287" s="104"/>
      <c r="Q287" s="84"/>
    </row>
    <row r="288" spans="11:17" x14ac:dyDescent="0.15">
      <c r="K288" s="104"/>
      <c r="Q288" s="84"/>
    </row>
    <row r="289" spans="11:17" x14ac:dyDescent="0.15">
      <c r="K289" s="104"/>
      <c r="Q289" s="84"/>
    </row>
    <row r="290" spans="11:17" x14ac:dyDescent="0.15">
      <c r="K290" s="104"/>
      <c r="Q290" s="84"/>
    </row>
    <row r="291" spans="11:17" x14ac:dyDescent="0.15">
      <c r="K291" s="104"/>
      <c r="Q291" s="84"/>
    </row>
    <row r="292" spans="11:17" x14ac:dyDescent="0.15">
      <c r="K292" s="104"/>
    </row>
    <row r="293" spans="11:17" x14ac:dyDescent="0.15">
      <c r="K293" s="104"/>
    </row>
    <row r="294" spans="11:17" x14ac:dyDescent="0.15">
      <c r="K294" s="104"/>
    </row>
    <row r="295" spans="11:17" x14ac:dyDescent="0.15">
      <c r="K295" s="104"/>
    </row>
    <row r="296" spans="11:17" x14ac:dyDescent="0.15">
      <c r="K296" s="104"/>
    </row>
    <row r="297" spans="11:17" x14ac:dyDescent="0.15">
      <c r="K297" s="104"/>
    </row>
    <row r="298" spans="11:17" x14ac:dyDescent="0.15">
      <c r="K298" s="104"/>
    </row>
    <row r="299" spans="11:17" x14ac:dyDescent="0.15">
      <c r="K299" s="104"/>
    </row>
    <row r="300" spans="11:17" x14ac:dyDescent="0.15">
      <c r="K300" s="104"/>
    </row>
    <row r="301" spans="11:17" x14ac:dyDescent="0.15">
      <c r="K301" s="104"/>
    </row>
    <row r="302" spans="11:17" x14ac:dyDescent="0.15">
      <c r="K302" s="104"/>
    </row>
    <row r="303" spans="11:17" x14ac:dyDescent="0.15">
      <c r="K303" s="104"/>
    </row>
    <row r="304" spans="11:17" x14ac:dyDescent="0.15">
      <c r="K304" s="104"/>
    </row>
    <row r="305" spans="11:11" x14ac:dyDescent="0.15">
      <c r="K305" s="104"/>
    </row>
    <row r="306" spans="11:11" x14ac:dyDescent="0.15">
      <c r="K306" s="104"/>
    </row>
    <row r="307" spans="11:11" x14ac:dyDescent="0.15">
      <c r="K307" s="104"/>
    </row>
    <row r="308" spans="11:11" x14ac:dyDescent="0.15">
      <c r="K308" s="104"/>
    </row>
    <row r="309" spans="11:11" x14ac:dyDescent="0.15">
      <c r="K309" s="104"/>
    </row>
    <row r="310" spans="11:11" x14ac:dyDescent="0.15">
      <c r="K310" s="104"/>
    </row>
    <row r="311" spans="11:11" x14ac:dyDescent="0.15">
      <c r="K311" s="104"/>
    </row>
    <row r="312" spans="11:11" x14ac:dyDescent="0.15">
      <c r="K312" s="104"/>
    </row>
    <row r="313" spans="11:11" x14ac:dyDescent="0.15">
      <c r="K313" s="104"/>
    </row>
    <row r="314" spans="11:11" x14ac:dyDescent="0.15">
      <c r="K314" s="104"/>
    </row>
    <row r="315" spans="11:11" x14ac:dyDescent="0.15">
      <c r="K315" s="104"/>
    </row>
    <row r="316" spans="11:11" x14ac:dyDescent="0.15">
      <c r="K316" s="104"/>
    </row>
    <row r="317" spans="11:11" x14ac:dyDescent="0.15">
      <c r="K317" s="104"/>
    </row>
    <row r="318" spans="11:11" x14ac:dyDescent="0.15">
      <c r="K318" s="104"/>
    </row>
    <row r="319" spans="11:11" x14ac:dyDescent="0.15">
      <c r="K319" s="104"/>
    </row>
    <row r="320" spans="11:11" x14ac:dyDescent="0.15">
      <c r="K320" s="104"/>
    </row>
    <row r="321" spans="11:11" x14ac:dyDescent="0.15">
      <c r="K321" s="104"/>
    </row>
    <row r="322" spans="11:11" x14ac:dyDescent="0.15">
      <c r="K322" s="104"/>
    </row>
    <row r="323" spans="11:11" x14ac:dyDescent="0.15">
      <c r="K323" s="104"/>
    </row>
    <row r="324" spans="11:11" x14ac:dyDescent="0.15">
      <c r="K324" s="104"/>
    </row>
    <row r="325" spans="11:11" x14ac:dyDescent="0.15">
      <c r="K325" s="104"/>
    </row>
    <row r="326" spans="11:11" x14ac:dyDescent="0.15">
      <c r="K326" s="104"/>
    </row>
    <row r="327" spans="11:11" x14ac:dyDescent="0.15">
      <c r="K327" s="104"/>
    </row>
    <row r="328" spans="11:11" x14ac:dyDescent="0.15">
      <c r="K328" s="104"/>
    </row>
    <row r="329" spans="11:11" x14ac:dyDescent="0.15">
      <c r="K329" s="104"/>
    </row>
    <row r="330" spans="11:11" x14ac:dyDescent="0.15">
      <c r="K330" s="104"/>
    </row>
    <row r="331" spans="11:11" x14ac:dyDescent="0.15">
      <c r="K331" s="104"/>
    </row>
    <row r="332" spans="11:11" x14ac:dyDescent="0.15">
      <c r="K332" s="104"/>
    </row>
    <row r="333" spans="11:11" x14ac:dyDescent="0.15">
      <c r="K333" s="104"/>
    </row>
    <row r="334" spans="11:11" x14ac:dyDescent="0.15">
      <c r="K334" s="104"/>
    </row>
    <row r="335" spans="11:11" x14ac:dyDescent="0.15">
      <c r="K335" s="104"/>
    </row>
    <row r="336" spans="11:11" x14ac:dyDescent="0.15">
      <c r="K336" s="104"/>
    </row>
    <row r="337" spans="11:11" x14ac:dyDescent="0.15">
      <c r="K337" s="104"/>
    </row>
    <row r="338" spans="11:11" x14ac:dyDescent="0.15">
      <c r="K338" s="104"/>
    </row>
    <row r="339" spans="11:11" x14ac:dyDescent="0.15">
      <c r="K339" s="104"/>
    </row>
    <row r="340" spans="11:11" x14ac:dyDescent="0.15">
      <c r="K340" s="104"/>
    </row>
    <row r="341" spans="11:11" x14ac:dyDescent="0.15">
      <c r="K341" s="104"/>
    </row>
    <row r="342" spans="11:11" x14ac:dyDescent="0.15">
      <c r="K342" s="104"/>
    </row>
    <row r="343" spans="11:11" x14ac:dyDescent="0.15">
      <c r="K343" s="104"/>
    </row>
    <row r="344" spans="11:11" x14ac:dyDescent="0.15">
      <c r="K344" s="104"/>
    </row>
    <row r="345" spans="11:11" x14ac:dyDescent="0.15">
      <c r="K345" s="104"/>
    </row>
    <row r="346" spans="11:11" x14ac:dyDescent="0.15">
      <c r="K346" s="104"/>
    </row>
    <row r="347" spans="11:11" x14ac:dyDescent="0.15">
      <c r="K347" s="104"/>
    </row>
    <row r="348" spans="11:11" x14ac:dyDescent="0.15">
      <c r="K348" s="104"/>
    </row>
    <row r="349" spans="11:11" x14ac:dyDescent="0.15">
      <c r="K349" s="104"/>
    </row>
    <row r="350" spans="11:11" x14ac:dyDescent="0.15">
      <c r="K350" s="104"/>
    </row>
    <row r="351" spans="11:11" x14ac:dyDescent="0.15">
      <c r="K351" s="104"/>
    </row>
    <row r="352" spans="11:11" x14ac:dyDescent="0.15">
      <c r="K352" s="104"/>
    </row>
    <row r="353" spans="11:11" x14ac:dyDescent="0.15">
      <c r="K353" s="104"/>
    </row>
    <row r="354" spans="11:11" x14ac:dyDescent="0.15">
      <c r="K354" s="104"/>
    </row>
    <row r="355" spans="11:11" x14ac:dyDescent="0.15">
      <c r="K355" s="104"/>
    </row>
    <row r="356" spans="11:11" x14ac:dyDescent="0.15">
      <c r="K356" s="104"/>
    </row>
    <row r="357" spans="11:11" x14ac:dyDescent="0.15">
      <c r="K357" s="104"/>
    </row>
    <row r="358" spans="11:11" x14ac:dyDescent="0.15">
      <c r="K358" s="104"/>
    </row>
    <row r="359" spans="11:11" x14ac:dyDescent="0.15">
      <c r="K359" s="104"/>
    </row>
    <row r="360" spans="11:11" x14ac:dyDescent="0.15">
      <c r="K360" s="104"/>
    </row>
    <row r="361" spans="11:11" x14ac:dyDescent="0.15">
      <c r="K361" s="104"/>
    </row>
    <row r="362" spans="11:11" x14ac:dyDescent="0.15">
      <c r="K362" s="104"/>
    </row>
    <row r="363" spans="11:11" x14ac:dyDescent="0.15">
      <c r="K363" s="104"/>
    </row>
    <row r="364" spans="11:11" x14ac:dyDescent="0.15">
      <c r="K364" s="104"/>
    </row>
    <row r="365" spans="11:11" x14ac:dyDescent="0.15">
      <c r="K365" s="104"/>
    </row>
    <row r="366" spans="11:11" x14ac:dyDescent="0.15">
      <c r="K366" s="104"/>
    </row>
    <row r="367" spans="11:11" x14ac:dyDescent="0.15">
      <c r="K367" s="104"/>
    </row>
    <row r="368" spans="11:11" x14ac:dyDescent="0.15">
      <c r="K368" s="104"/>
    </row>
    <row r="369" spans="11:11" x14ac:dyDescent="0.15">
      <c r="K369" s="104"/>
    </row>
    <row r="370" spans="11:11" x14ac:dyDescent="0.15">
      <c r="K370" s="104"/>
    </row>
    <row r="371" spans="11:11" x14ac:dyDescent="0.15">
      <c r="K371" s="104"/>
    </row>
    <row r="372" spans="11:11" x14ac:dyDescent="0.15">
      <c r="K372" s="104"/>
    </row>
    <row r="373" spans="11:11" x14ac:dyDescent="0.15">
      <c r="K373" s="104"/>
    </row>
    <row r="374" spans="11:11" x14ac:dyDescent="0.15">
      <c r="K374" s="104"/>
    </row>
    <row r="375" spans="11:11" x14ac:dyDescent="0.15">
      <c r="K375" s="104"/>
    </row>
    <row r="376" spans="11:11" x14ac:dyDescent="0.15">
      <c r="K376" s="104"/>
    </row>
    <row r="377" spans="11:11" x14ac:dyDescent="0.15">
      <c r="K377" s="104"/>
    </row>
    <row r="378" spans="11:11" x14ac:dyDescent="0.15">
      <c r="K378" s="104"/>
    </row>
    <row r="379" spans="11:11" x14ac:dyDescent="0.15">
      <c r="K379" s="104"/>
    </row>
    <row r="380" spans="11:11" x14ac:dyDescent="0.15">
      <c r="K380" s="104"/>
    </row>
    <row r="381" spans="11:11" x14ac:dyDescent="0.15">
      <c r="K381" s="104"/>
    </row>
    <row r="382" spans="11:11" x14ac:dyDescent="0.15">
      <c r="K382" s="104"/>
    </row>
    <row r="383" spans="11:11" x14ac:dyDescent="0.15">
      <c r="K383" s="104"/>
    </row>
    <row r="384" spans="11:11" x14ac:dyDescent="0.15">
      <c r="K384" s="104"/>
    </row>
    <row r="385" spans="11:11" x14ac:dyDescent="0.15">
      <c r="K385" s="104"/>
    </row>
    <row r="386" spans="11:11" x14ac:dyDescent="0.15">
      <c r="K386" s="104"/>
    </row>
    <row r="387" spans="11:11" x14ac:dyDescent="0.15">
      <c r="K387" s="104"/>
    </row>
    <row r="388" spans="11:11" x14ac:dyDescent="0.15">
      <c r="K388" s="104"/>
    </row>
    <row r="389" spans="11:11" x14ac:dyDescent="0.15">
      <c r="K389" s="104"/>
    </row>
    <row r="390" spans="11:11" x14ac:dyDescent="0.15">
      <c r="K390" s="104"/>
    </row>
    <row r="391" spans="11:11" x14ac:dyDescent="0.15">
      <c r="K391" s="104"/>
    </row>
    <row r="392" spans="11:11" x14ac:dyDescent="0.15">
      <c r="K392" s="104"/>
    </row>
    <row r="393" spans="11:11" x14ac:dyDescent="0.15">
      <c r="K393" s="104"/>
    </row>
    <row r="394" spans="11:11" x14ac:dyDescent="0.15">
      <c r="K394" s="104"/>
    </row>
    <row r="395" spans="11:11" x14ac:dyDescent="0.15">
      <c r="K395" s="104"/>
    </row>
    <row r="396" spans="11:11" x14ac:dyDescent="0.15">
      <c r="K396" s="104"/>
    </row>
    <row r="397" spans="11:11" x14ac:dyDescent="0.15">
      <c r="K397" s="104"/>
    </row>
    <row r="398" spans="11:11" x14ac:dyDescent="0.15">
      <c r="K398" s="104"/>
    </row>
    <row r="399" spans="11:11" x14ac:dyDescent="0.15">
      <c r="K399" s="104"/>
    </row>
    <row r="400" spans="11:11" x14ac:dyDescent="0.15">
      <c r="K400" s="104"/>
    </row>
    <row r="401" spans="11:11" x14ac:dyDescent="0.15">
      <c r="K401" s="104"/>
    </row>
    <row r="402" spans="11:11" x14ac:dyDescent="0.15">
      <c r="K402" s="104"/>
    </row>
    <row r="403" spans="11:11" x14ac:dyDescent="0.15">
      <c r="K403" s="104"/>
    </row>
    <row r="404" spans="11:11" x14ac:dyDescent="0.15">
      <c r="K404" s="104"/>
    </row>
    <row r="405" spans="11:11" x14ac:dyDescent="0.15">
      <c r="K405" s="104"/>
    </row>
    <row r="406" spans="11:11" x14ac:dyDescent="0.15">
      <c r="K406" s="104"/>
    </row>
    <row r="407" spans="11:11" x14ac:dyDescent="0.15">
      <c r="K407" s="104"/>
    </row>
    <row r="408" spans="11:11" x14ac:dyDescent="0.15">
      <c r="K408" s="104"/>
    </row>
    <row r="409" spans="11:11" x14ac:dyDescent="0.15">
      <c r="K409" s="104"/>
    </row>
    <row r="410" spans="11:11" x14ac:dyDescent="0.15">
      <c r="K410" s="104"/>
    </row>
    <row r="411" spans="11:11" x14ac:dyDescent="0.15">
      <c r="K411" s="104"/>
    </row>
    <row r="412" spans="11:11" x14ac:dyDescent="0.15">
      <c r="K412" s="104"/>
    </row>
    <row r="413" spans="11:11" x14ac:dyDescent="0.15">
      <c r="K413" s="104"/>
    </row>
    <row r="414" spans="11:11" x14ac:dyDescent="0.15">
      <c r="K414" s="104"/>
    </row>
    <row r="415" spans="11:11" x14ac:dyDescent="0.15">
      <c r="K415" s="104"/>
    </row>
    <row r="416" spans="11:11" x14ac:dyDescent="0.15">
      <c r="K416" s="104"/>
    </row>
    <row r="417" spans="11:11" x14ac:dyDescent="0.15">
      <c r="K417" s="104"/>
    </row>
    <row r="418" spans="11:11" x14ac:dyDescent="0.15">
      <c r="K418" s="104"/>
    </row>
    <row r="419" spans="11:11" x14ac:dyDescent="0.15">
      <c r="K419" s="104"/>
    </row>
    <row r="420" spans="11:11" x14ac:dyDescent="0.15">
      <c r="K420" s="104"/>
    </row>
    <row r="421" spans="11:11" x14ac:dyDescent="0.15">
      <c r="K421" s="104"/>
    </row>
    <row r="422" spans="11:11" x14ac:dyDescent="0.15">
      <c r="K422" s="104"/>
    </row>
    <row r="423" spans="11:11" x14ac:dyDescent="0.15">
      <c r="K423" s="104"/>
    </row>
    <row r="424" spans="11:11" x14ac:dyDescent="0.15">
      <c r="K424" s="104"/>
    </row>
    <row r="425" spans="11:11" x14ac:dyDescent="0.15">
      <c r="K425" s="104"/>
    </row>
    <row r="426" spans="11:11" x14ac:dyDescent="0.15">
      <c r="K426" s="104"/>
    </row>
    <row r="427" spans="11:11" x14ac:dyDescent="0.15">
      <c r="K427" s="104"/>
    </row>
    <row r="428" spans="11:11" x14ac:dyDescent="0.15">
      <c r="K428" s="104"/>
    </row>
    <row r="429" spans="11:11" x14ac:dyDescent="0.15">
      <c r="K429" s="104"/>
    </row>
    <row r="430" spans="11:11" x14ac:dyDescent="0.15">
      <c r="K430" s="104"/>
    </row>
    <row r="431" spans="11:11" x14ac:dyDescent="0.15">
      <c r="K431" s="104"/>
    </row>
    <row r="432" spans="11:11" x14ac:dyDescent="0.15">
      <c r="K432" s="104"/>
    </row>
    <row r="433" spans="11:11" x14ac:dyDescent="0.15">
      <c r="K433" s="104"/>
    </row>
    <row r="434" spans="11:11" x14ac:dyDescent="0.15">
      <c r="K434" s="104"/>
    </row>
    <row r="435" spans="11:11" x14ac:dyDescent="0.15">
      <c r="K435" s="104"/>
    </row>
    <row r="436" spans="11:11" x14ac:dyDescent="0.15">
      <c r="K436" s="104"/>
    </row>
    <row r="437" spans="11:11" x14ac:dyDescent="0.15">
      <c r="K437" s="104"/>
    </row>
    <row r="438" spans="11:11" x14ac:dyDescent="0.15">
      <c r="K438" s="104"/>
    </row>
    <row r="439" spans="11:11" x14ac:dyDescent="0.15">
      <c r="K439" s="104"/>
    </row>
    <row r="440" spans="11:11" x14ac:dyDescent="0.15">
      <c r="K440" s="104"/>
    </row>
    <row r="441" spans="11:11" x14ac:dyDescent="0.15">
      <c r="K441" s="104"/>
    </row>
    <row r="442" spans="11:11" x14ac:dyDescent="0.15">
      <c r="K442" s="104"/>
    </row>
    <row r="443" spans="11:11" x14ac:dyDescent="0.15">
      <c r="K443" s="104"/>
    </row>
  </sheetData>
  <autoFilter ref="A1:BA1" xr:uid="{00000000-0009-0000-0000-000000000000}"/>
  <phoneticPr fontId="3"/>
  <dataValidations count="20">
    <dataValidation type="list" allowBlank="1" showInputMessage="1" showErrorMessage="1" sqref="F2:F491" xr:uid="{3FA17654-9E8D-41B0-9C3B-408AA4CD0464}">
      <formula1>$AH$2:$AH$11</formula1>
    </dataValidation>
    <dataValidation type="list" allowBlank="1" showInputMessage="1" showErrorMessage="1" sqref="E2:E491" xr:uid="{19DE9C33-5AAC-4DF1-B0B0-68752505B2AC}">
      <formula1>$AG$2:$AG$11</formula1>
    </dataValidation>
    <dataValidation type="decimal" allowBlank="1" showInputMessage="1" showErrorMessage="1" error="硬度を正しく入力して下さい。" sqref="O2:P491" xr:uid="{7991529B-135D-491D-8E9C-021DDE507C00}">
      <formula1>0</formula1>
      <formula2>7</formula2>
    </dataValidation>
    <dataValidation type="list" allowBlank="1" showInputMessage="1" showErrorMessage="1" sqref="Y2:AA491" xr:uid="{522A3869-AA9F-4AD3-A031-1B8C6989F676}">
      <formula1>$AV$2:$AV$21</formula1>
    </dataValidation>
    <dataValidation type="list" allowBlank="1" showInputMessage="1" showErrorMessage="1" sqref="K444:K491" xr:uid="{F05271E0-72CA-4CE0-AC9A-94CB9393F29F}">
      <formula1>$AR$2:$AR$25</formula1>
    </dataValidation>
    <dataValidation type="list" allowBlank="1" showInputMessage="1" showErrorMessage="1" sqref="I2:I491" xr:uid="{BBDE0662-C1C8-4425-A7B3-A0A647D52A4D}">
      <formula1>$AN$5:$AN$6</formula1>
    </dataValidation>
    <dataValidation type="list" allowBlank="1" showInputMessage="1" showErrorMessage="1" sqref="H2:H491" xr:uid="{9B85440D-6F5F-472F-9381-5819DFCC71AF}">
      <formula1>$AL$2:$AL$8</formula1>
    </dataValidation>
    <dataValidation type="list" allowBlank="1" showInputMessage="1" showErrorMessage="1" sqref="A2:A491" xr:uid="{401BCA3A-AC5F-4489-B0C3-7FEDDAEC4C99}">
      <formula1>$AE$2:$AE$19</formula1>
    </dataValidation>
    <dataValidation type="list" allowBlank="1" showInputMessage="1" showErrorMessage="1" sqref="X2:X491" xr:uid="{664DDDAC-DE60-42EB-86A6-C3EEA4DC973A}">
      <formula1>$AT$2:$AT$3</formula1>
    </dataValidation>
    <dataValidation type="list" allowBlank="1" showInputMessage="1" showErrorMessage="1" sqref="G2:G491" xr:uid="{2C7AE1FD-BF26-4C2E-AD5D-AFED4C4DFEFB}">
      <formula1>$AJ$2:$AJ$4</formula1>
    </dataValidation>
    <dataValidation type="list" allowBlank="1" showInputMessage="1" showErrorMessage="1" sqref="J2:J491" xr:uid="{F517703B-E00F-4BD1-BAB8-E801BA2DA40F}">
      <formula1>$AP$2:$AP$27</formula1>
    </dataValidation>
    <dataValidation operator="equal" allowBlank="1" showInputMessage="1" showErrorMessage="1" sqref="B2:B46" xr:uid="{EB2C4724-D6C4-4350-BD2C-E6AFE42876A8}"/>
    <dataValidation type="list" allowBlank="1" showInputMessage="1" showErrorMessage="1" sqref="F492:F64242" xr:uid="{7BD1A3EB-2ECA-4CB1-8AFF-54F406E81C64}">
      <formula1>$AH$2:$AH$8</formula1>
    </dataValidation>
    <dataValidation type="list" allowBlank="1" showInputMessage="1" showErrorMessage="1" sqref="E492:E64242" xr:uid="{FE05FE96-B19D-4505-9347-6E8F8ED4103B}">
      <formula1>$AG$2:$AG$9</formula1>
    </dataValidation>
    <dataValidation type="list" allowBlank="1" showInputMessage="1" showErrorMessage="1" sqref="H492:H64242" xr:uid="{6ACF36F7-9099-408F-8B1B-F6E4FF210B66}">
      <formula1>$AL$2:$AL$10</formula1>
    </dataValidation>
    <dataValidation type="list" allowBlank="1" showInputMessage="1" showErrorMessage="1" sqref="K492:K64242" xr:uid="{14A9D3D2-C402-4B4B-B8DD-AC26F6B1DF3D}">
      <formula1>$AR$2:$AR$28</formula1>
    </dataValidation>
    <dataValidation type="list" allowBlank="1" showInputMessage="1" showErrorMessage="1" sqref="Y492:AA64242" xr:uid="{4D53A39A-0373-47F9-AD7E-13B50D011E6A}">
      <formula1>$AV$2:$AV$26</formula1>
    </dataValidation>
    <dataValidation type="list" allowBlank="1" showInputMessage="1" showErrorMessage="1" sqref="I492:I64242" xr:uid="{7C494F81-4B52-4231-BEFC-679ED2403B67}">
      <formula1>$AN$2:$AN$6</formula1>
    </dataValidation>
    <dataValidation type="list" allowBlank="1" showInputMessage="1" showErrorMessage="1" sqref="J492:J64242" xr:uid="{1E60F2DE-19F2-4E46-8E00-1544AED9ADA6}">
      <formula1>$AP$2:$AP$16</formula1>
    </dataValidation>
    <dataValidation type="list" allowBlank="1" showInputMessage="1" showErrorMessage="1" sqref="K2:K443" xr:uid="{BDF4A6E8-31BA-4232-9909-0E4CCFC5C081}">
      <formula1>$AR$2:$AR$26</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DF04D-F237-4CCF-9754-58D0C03F08FD}">
  <dimension ref="A1:BA127"/>
  <sheetViews>
    <sheetView topLeftCell="A103" zoomScale="70" zoomScaleNormal="70" workbookViewId="0">
      <selection activeCell="M36" sqref="M36"/>
    </sheetView>
  </sheetViews>
  <sheetFormatPr defaultColWidth="9" defaultRowHeight="13.5" x14ac:dyDescent="0.15"/>
  <cols>
    <col min="1" max="3" width="9" style="53"/>
    <col min="4" max="4" width="10.5" style="53" bestFit="1" customWidth="1"/>
    <col min="5" max="5" width="10.875" style="53" bestFit="1" customWidth="1"/>
    <col min="6" max="6" width="18.875" style="53" bestFit="1" customWidth="1"/>
    <col min="7" max="9" width="9" style="53"/>
    <col min="10" max="10" width="9.25" style="53" customWidth="1"/>
    <col min="11" max="16" width="9" style="53"/>
    <col min="17" max="17" width="9" style="16"/>
    <col min="18" max="19" width="9" style="53"/>
    <col min="20" max="20" width="9" style="16"/>
    <col min="21" max="21" width="9" style="53"/>
    <col min="22" max="22" width="14.25" style="16" customWidth="1"/>
    <col min="23" max="23" width="9" style="53"/>
    <col min="24" max="24" width="9.625" style="53" customWidth="1"/>
    <col min="25" max="26" width="9" style="53"/>
    <col min="27" max="27" width="12.125" style="53" customWidth="1"/>
    <col min="28" max="32" width="9" style="53"/>
    <col min="33" max="33" width="15.125" style="53" bestFit="1" customWidth="1"/>
    <col min="34" max="34" width="19.625" style="53" bestFit="1" customWidth="1"/>
    <col min="35" max="16384" width="9" style="53"/>
  </cols>
  <sheetData>
    <row r="1" spans="1:53" ht="45" x14ac:dyDescent="0.15">
      <c r="A1" s="44" t="s">
        <v>0</v>
      </c>
      <c r="B1" s="89" t="s">
        <v>1</v>
      </c>
      <c r="C1" s="89" t="s">
        <v>2</v>
      </c>
      <c r="D1" s="90" t="s">
        <v>3</v>
      </c>
      <c r="E1" s="45" t="s">
        <v>4</v>
      </c>
      <c r="F1" s="45" t="s">
        <v>5</v>
      </c>
      <c r="G1" s="45" t="s">
        <v>6</v>
      </c>
      <c r="H1" s="45" t="s">
        <v>7</v>
      </c>
      <c r="I1" s="45" t="s">
        <v>8</v>
      </c>
      <c r="J1" s="45" t="s">
        <v>9</v>
      </c>
      <c r="K1" s="45" t="s">
        <v>10</v>
      </c>
      <c r="L1" s="90" t="s">
        <v>11</v>
      </c>
      <c r="M1" s="90" t="s">
        <v>12</v>
      </c>
      <c r="N1" s="90" t="s">
        <v>13</v>
      </c>
      <c r="O1" s="90" t="s">
        <v>14</v>
      </c>
      <c r="P1" s="90" t="s">
        <v>15</v>
      </c>
      <c r="Q1" s="3" t="s">
        <v>16</v>
      </c>
      <c r="R1" s="90" t="s">
        <v>17</v>
      </c>
      <c r="S1" s="90" t="s">
        <v>18</v>
      </c>
      <c r="T1" s="3" t="s">
        <v>19</v>
      </c>
      <c r="U1" s="92" t="s">
        <v>291</v>
      </c>
      <c r="V1" s="5" t="s">
        <v>20</v>
      </c>
      <c r="W1" s="90" t="s">
        <v>21</v>
      </c>
      <c r="X1" s="45" t="s">
        <v>22</v>
      </c>
      <c r="Y1" s="45" t="s">
        <v>23</v>
      </c>
      <c r="Z1" s="45" t="s">
        <v>349</v>
      </c>
      <c r="AA1" s="46" t="s">
        <v>25</v>
      </c>
      <c r="AB1" s="94" t="s">
        <v>26</v>
      </c>
      <c r="AE1" s="95" t="s">
        <v>0</v>
      </c>
      <c r="AF1" s="96"/>
      <c r="AG1" s="152" t="s">
        <v>4</v>
      </c>
      <c r="AH1" s="95" t="s">
        <v>5</v>
      </c>
      <c r="AI1" s="96"/>
      <c r="AJ1" s="95" t="s">
        <v>6</v>
      </c>
      <c r="AK1" s="96"/>
      <c r="AL1" s="10" t="s">
        <v>7</v>
      </c>
      <c r="AM1" s="96"/>
      <c r="AN1" s="10" t="s">
        <v>8</v>
      </c>
      <c r="AO1" s="96"/>
      <c r="AP1" s="10" t="s">
        <v>27</v>
      </c>
      <c r="AQ1" s="96"/>
      <c r="AR1" s="10" t="s">
        <v>10</v>
      </c>
      <c r="AS1" s="96"/>
      <c r="AT1" s="11" t="s">
        <v>28</v>
      </c>
      <c r="AU1" s="96"/>
      <c r="AV1" s="10" t="s">
        <v>29</v>
      </c>
      <c r="AX1" s="12" t="s">
        <v>30</v>
      </c>
      <c r="AY1" s="13" t="s">
        <v>31</v>
      </c>
      <c r="AZ1" s="13" t="s">
        <v>32</v>
      </c>
      <c r="BA1" s="14" t="s">
        <v>33</v>
      </c>
    </row>
    <row r="2" spans="1:53" x14ac:dyDescent="0.15">
      <c r="A2" s="53" t="s">
        <v>34</v>
      </c>
      <c r="B2" s="53" t="s">
        <v>232</v>
      </c>
      <c r="C2" s="53">
        <v>2019</v>
      </c>
      <c r="D2" s="153" t="s">
        <v>166</v>
      </c>
      <c r="E2" s="53" t="s">
        <v>350</v>
      </c>
      <c r="F2" s="53" t="s">
        <v>351</v>
      </c>
      <c r="G2" s="53" t="s">
        <v>36</v>
      </c>
      <c r="H2" s="53" t="s">
        <v>164</v>
      </c>
      <c r="I2" s="53" t="s">
        <v>159</v>
      </c>
      <c r="J2" s="53" t="s">
        <v>38</v>
      </c>
      <c r="K2" s="53" t="s">
        <v>161</v>
      </c>
      <c r="L2" s="53">
        <v>1</v>
      </c>
      <c r="N2" s="53">
        <v>1</v>
      </c>
      <c r="O2" s="53">
        <v>0.6</v>
      </c>
      <c r="P2" s="53">
        <v>0.55000000000000004</v>
      </c>
      <c r="Q2" s="84">
        <f t="shared" ref="Q2:Q82" si="0">IF(OR(O2="",P2=""),"",AVERAGE(O2,P2))</f>
        <v>0.57499999999999996</v>
      </c>
      <c r="R2" s="53">
        <v>17.399999999999999</v>
      </c>
      <c r="S2" s="53">
        <v>101</v>
      </c>
      <c r="T2" s="16">
        <f t="shared" ref="T2:T82" si="1">IF(H2="","",IF(OR(H2="GREEN",H2="GK"),IF(S2&gt;=$AX$2,VLOOKUP(S2,$AX$2:$AY$9,2,1),""),IF(S2&gt;=$AZ$2,VLOOKUP(S2,$AZ$2:$BA$9,2,1),"")))</f>
        <v>33</v>
      </c>
      <c r="U2" s="53">
        <v>100</v>
      </c>
      <c r="V2" s="16">
        <f t="shared" ref="V2:V82" si="2">IF(OR(N2="",U2="",T2=""),"",U2/N2*T2)</f>
        <v>3300</v>
      </c>
      <c r="W2" s="53">
        <v>3</v>
      </c>
      <c r="X2" s="53" t="s">
        <v>46</v>
      </c>
      <c r="Y2" s="53" t="s">
        <v>69</v>
      </c>
      <c r="Z2" s="53" t="s">
        <v>60</v>
      </c>
      <c r="AA2" s="53" t="s">
        <v>55</v>
      </c>
      <c r="AB2" s="53" t="s">
        <v>236</v>
      </c>
      <c r="AE2" s="73" t="s">
        <v>35</v>
      </c>
      <c r="AG2" s="154" t="s">
        <v>340</v>
      </c>
      <c r="AH2" s="76" t="s">
        <v>352</v>
      </c>
      <c r="AJ2" s="76" t="s">
        <v>36</v>
      </c>
      <c r="AL2" s="76" t="s">
        <v>127</v>
      </c>
      <c r="AN2" s="76" t="s">
        <v>37</v>
      </c>
      <c r="AP2" s="76" t="s">
        <v>38</v>
      </c>
      <c r="AR2" s="76" t="s">
        <v>120</v>
      </c>
      <c r="AT2" s="76" t="s">
        <v>39</v>
      </c>
      <c r="AV2" s="76" t="s">
        <v>40</v>
      </c>
      <c r="AX2" s="77">
        <v>1</v>
      </c>
      <c r="AY2" s="78">
        <v>50</v>
      </c>
      <c r="AZ2" s="78">
        <v>1</v>
      </c>
      <c r="BA2" s="79">
        <v>50</v>
      </c>
    </row>
    <row r="3" spans="1:53" x14ac:dyDescent="0.15">
      <c r="A3" s="53" t="s">
        <v>34</v>
      </c>
      <c r="B3" s="53" t="s">
        <v>232</v>
      </c>
      <c r="C3" s="53">
        <v>2019</v>
      </c>
      <c r="D3" s="153" t="s">
        <v>166</v>
      </c>
      <c r="E3" s="53" t="s">
        <v>350</v>
      </c>
      <c r="F3" s="53" t="s">
        <v>351</v>
      </c>
      <c r="G3" s="53" t="s">
        <v>36</v>
      </c>
      <c r="H3" s="53" t="s">
        <v>164</v>
      </c>
      <c r="I3" s="53" t="s">
        <v>159</v>
      </c>
      <c r="J3" s="53" t="s">
        <v>38</v>
      </c>
      <c r="K3" s="53" t="s">
        <v>161</v>
      </c>
      <c r="L3" s="53">
        <v>2</v>
      </c>
      <c r="N3" s="53">
        <v>1</v>
      </c>
      <c r="O3" s="53">
        <v>0.65</v>
      </c>
      <c r="P3" s="53">
        <v>0.8</v>
      </c>
      <c r="Q3" s="84">
        <f t="shared" si="0"/>
        <v>0.72500000000000009</v>
      </c>
      <c r="R3" s="53">
        <v>17.100000000000001</v>
      </c>
      <c r="S3" s="53">
        <v>108</v>
      </c>
      <c r="T3" s="16">
        <f t="shared" si="1"/>
        <v>33</v>
      </c>
      <c r="U3" s="53">
        <v>100</v>
      </c>
      <c r="V3" s="16">
        <f t="shared" si="2"/>
        <v>3300</v>
      </c>
      <c r="W3" s="53">
        <v>3</v>
      </c>
      <c r="X3" s="53" t="s">
        <v>46</v>
      </c>
      <c r="Y3" s="53" t="s">
        <v>69</v>
      </c>
      <c r="Z3" s="53" t="s">
        <v>60</v>
      </c>
      <c r="AA3" s="53" t="s">
        <v>55</v>
      </c>
      <c r="AB3" s="53" t="s">
        <v>236</v>
      </c>
      <c r="AE3" s="22" t="s">
        <v>41</v>
      </c>
      <c r="AG3" s="155" t="s">
        <v>353</v>
      </c>
      <c r="AH3" s="76" t="s">
        <v>352</v>
      </c>
      <c r="AJ3" s="23" t="s">
        <v>42</v>
      </c>
      <c r="AL3" s="23" t="s">
        <v>128</v>
      </c>
      <c r="AN3" s="23" t="s">
        <v>43</v>
      </c>
      <c r="AP3" s="23" t="s">
        <v>44</v>
      </c>
      <c r="AR3" s="23" t="s">
        <v>45</v>
      </c>
      <c r="AT3" s="23" t="s">
        <v>46</v>
      </c>
      <c r="AV3" s="23" t="s">
        <v>47</v>
      </c>
      <c r="AX3" s="24">
        <v>72</v>
      </c>
      <c r="AY3" s="25">
        <v>46</v>
      </c>
      <c r="AZ3" s="25">
        <v>71</v>
      </c>
      <c r="BA3" s="26">
        <v>42</v>
      </c>
    </row>
    <row r="4" spans="1:53" x14ac:dyDescent="0.15">
      <c r="A4" s="53" t="s">
        <v>34</v>
      </c>
      <c r="B4" s="53" t="s">
        <v>232</v>
      </c>
      <c r="C4" s="53">
        <v>2019</v>
      </c>
      <c r="D4" s="153" t="s">
        <v>166</v>
      </c>
      <c r="E4" s="53" t="s">
        <v>350</v>
      </c>
      <c r="F4" s="53" t="s">
        <v>351</v>
      </c>
      <c r="G4" s="53" t="s">
        <v>36</v>
      </c>
      <c r="H4" s="53" t="s">
        <v>354</v>
      </c>
      <c r="I4" s="53" t="s">
        <v>159</v>
      </c>
      <c r="J4" s="53" t="s">
        <v>38</v>
      </c>
      <c r="K4" s="53" t="s">
        <v>161</v>
      </c>
      <c r="L4" s="53">
        <v>3</v>
      </c>
      <c r="N4" s="53">
        <v>1</v>
      </c>
      <c r="O4" s="53">
        <v>0.65</v>
      </c>
      <c r="P4" s="53">
        <v>0.65</v>
      </c>
      <c r="Q4" s="84">
        <f t="shared" si="0"/>
        <v>0.65</v>
      </c>
      <c r="R4" s="53">
        <v>17.100000000000001</v>
      </c>
      <c r="S4" s="53">
        <v>109</v>
      </c>
      <c r="T4" s="16">
        <f t="shared" si="1"/>
        <v>33</v>
      </c>
      <c r="U4" s="53">
        <v>100</v>
      </c>
      <c r="V4" s="16">
        <f t="shared" si="2"/>
        <v>3300</v>
      </c>
      <c r="W4" s="53">
        <v>3</v>
      </c>
      <c r="X4" s="53" t="s">
        <v>46</v>
      </c>
      <c r="Y4" s="53" t="s">
        <v>69</v>
      </c>
      <c r="Z4" s="53" t="s">
        <v>60</v>
      </c>
      <c r="AA4" s="53" t="s">
        <v>55</v>
      </c>
      <c r="AB4" s="53" t="s">
        <v>236</v>
      </c>
      <c r="AE4" s="22" t="s">
        <v>34</v>
      </c>
      <c r="AG4" s="155" t="s">
        <v>355</v>
      </c>
      <c r="AH4" s="76" t="s">
        <v>356</v>
      </c>
      <c r="AJ4" s="27" t="s">
        <v>48</v>
      </c>
      <c r="AL4" s="27" t="s">
        <v>129</v>
      </c>
      <c r="AN4" s="28" t="s">
        <v>49</v>
      </c>
      <c r="AP4" s="23" t="s">
        <v>93</v>
      </c>
      <c r="AR4" s="23" t="s">
        <v>121</v>
      </c>
      <c r="AT4" s="28"/>
      <c r="AV4" s="23" t="s">
        <v>50</v>
      </c>
      <c r="AX4" s="24">
        <v>75</v>
      </c>
      <c r="AY4" s="25">
        <v>42</v>
      </c>
      <c r="AZ4" s="25">
        <v>76</v>
      </c>
      <c r="BA4" s="26">
        <v>39</v>
      </c>
    </row>
    <row r="5" spans="1:53" x14ac:dyDescent="0.15">
      <c r="A5" s="53" t="s">
        <v>34</v>
      </c>
      <c r="B5" s="53" t="s">
        <v>232</v>
      </c>
      <c r="C5" s="53">
        <v>2019</v>
      </c>
      <c r="D5" s="153" t="s">
        <v>166</v>
      </c>
      <c r="E5" s="53" t="s">
        <v>350</v>
      </c>
      <c r="F5" s="53" t="s">
        <v>351</v>
      </c>
      <c r="G5" s="53" t="s">
        <v>36</v>
      </c>
      <c r="H5" s="53" t="s">
        <v>164</v>
      </c>
      <c r="I5" s="53" t="s">
        <v>159</v>
      </c>
      <c r="J5" s="53" t="s">
        <v>38</v>
      </c>
      <c r="K5" s="53" t="s">
        <v>161</v>
      </c>
      <c r="L5" s="53">
        <v>1</v>
      </c>
      <c r="N5" s="53">
        <v>5</v>
      </c>
      <c r="O5" s="53">
        <v>0.5</v>
      </c>
      <c r="P5" s="53">
        <v>0.5</v>
      </c>
      <c r="Q5" s="84">
        <f t="shared" si="0"/>
        <v>0.5</v>
      </c>
      <c r="R5" s="53">
        <v>18.2</v>
      </c>
      <c r="S5" s="53">
        <v>78</v>
      </c>
      <c r="T5" s="16">
        <f t="shared" si="1"/>
        <v>39</v>
      </c>
      <c r="U5" s="53">
        <v>319</v>
      </c>
      <c r="V5" s="16">
        <f t="shared" si="2"/>
        <v>2488.1999999999998</v>
      </c>
      <c r="W5" s="53">
        <v>3</v>
      </c>
      <c r="X5" s="53" t="s">
        <v>46</v>
      </c>
      <c r="Y5" s="53" t="s">
        <v>69</v>
      </c>
      <c r="Z5" s="53" t="s">
        <v>60</v>
      </c>
      <c r="AA5" s="53" t="s">
        <v>55</v>
      </c>
      <c r="AB5" s="53" t="s">
        <v>236</v>
      </c>
      <c r="AE5" s="22" t="s">
        <v>51</v>
      </c>
      <c r="AG5" s="155" t="s">
        <v>357</v>
      </c>
      <c r="AH5" s="76" t="s">
        <v>358</v>
      </c>
      <c r="AJ5" s="28"/>
      <c r="AL5" s="82" t="s">
        <v>66</v>
      </c>
      <c r="AN5" s="82" t="s">
        <v>52</v>
      </c>
      <c r="AP5" s="23" t="s">
        <v>119</v>
      </c>
      <c r="AR5" s="23" t="s">
        <v>54</v>
      </c>
      <c r="AV5" s="23" t="s">
        <v>55</v>
      </c>
      <c r="AX5" s="24">
        <v>84</v>
      </c>
      <c r="AY5" s="25">
        <v>39</v>
      </c>
      <c r="AZ5" s="25">
        <v>84</v>
      </c>
      <c r="BA5" s="26">
        <v>36</v>
      </c>
    </row>
    <row r="6" spans="1:53" x14ac:dyDescent="0.15">
      <c r="A6" s="53" t="s">
        <v>34</v>
      </c>
      <c r="B6" s="53" t="s">
        <v>232</v>
      </c>
      <c r="C6" s="53">
        <v>2019</v>
      </c>
      <c r="D6" s="153" t="s">
        <v>166</v>
      </c>
      <c r="E6" s="53" t="s">
        <v>350</v>
      </c>
      <c r="F6" s="53" t="s">
        <v>351</v>
      </c>
      <c r="G6" s="53" t="s">
        <v>36</v>
      </c>
      <c r="H6" s="53" t="s">
        <v>164</v>
      </c>
      <c r="I6" s="53" t="s">
        <v>159</v>
      </c>
      <c r="J6" s="53" t="s">
        <v>38</v>
      </c>
      <c r="K6" s="53" t="s">
        <v>161</v>
      </c>
      <c r="L6" s="53">
        <v>2</v>
      </c>
      <c r="N6" s="53">
        <v>5</v>
      </c>
      <c r="O6" s="53">
        <v>0.7</v>
      </c>
      <c r="P6" s="53">
        <v>0.85</v>
      </c>
      <c r="Q6" s="84">
        <f t="shared" si="0"/>
        <v>0.77499999999999991</v>
      </c>
      <c r="R6" s="53">
        <v>13.1</v>
      </c>
      <c r="S6" s="53">
        <v>75</v>
      </c>
      <c r="T6" s="16">
        <f t="shared" si="1"/>
        <v>42</v>
      </c>
      <c r="U6" s="53">
        <v>319</v>
      </c>
      <c r="V6" s="16">
        <f t="shared" si="2"/>
        <v>2679.6</v>
      </c>
      <c r="W6" s="53">
        <v>3</v>
      </c>
      <c r="X6" s="53" t="s">
        <v>46</v>
      </c>
      <c r="Y6" s="53" t="s">
        <v>69</v>
      </c>
      <c r="Z6" s="53" t="s">
        <v>60</v>
      </c>
      <c r="AA6" s="53" t="s">
        <v>55</v>
      </c>
      <c r="AB6" s="53" t="s">
        <v>236</v>
      </c>
      <c r="AE6" s="22" t="s">
        <v>56</v>
      </c>
      <c r="AG6" s="155" t="s">
        <v>359</v>
      </c>
      <c r="AH6" s="76" t="s">
        <v>360</v>
      </c>
      <c r="AL6" s="82" t="s">
        <v>99</v>
      </c>
      <c r="AN6" s="82" t="s">
        <v>57</v>
      </c>
      <c r="AP6" s="23" t="s">
        <v>53</v>
      </c>
      <c r="AR6" s="23" t="s">
        <v>59</v>
      </c>
      <c r="AV6" s="23" t="s">
        <v>60</v>
      </c>
      <c r="AX6" s="24">
        <v>97</v>
      </c>
      <c r="AY6" s="25">
        <v>36</v>
      </c>
      <c r="AZ6" s="25">
        <v>99</v>
      </c>
      <c r="BA6" s="26">
        <v>33</v>
      </c>
    </row>
    <row r="7" spans="1:53" x14ac:dyDescent="0.15">
      <c r="A7" s="53" t="s">
        <v>34</v>
      </c>
      <c r="B7" s="53" t="s">
        <v>232</v>
      </c>
      <c r="C7" s="53">
        <v>2019</v>
      </c>
      <c r="D7" s="153" t="s">
        <v>166</v>
      </c>
      <c r="E7" s="53" t="s">
        <v>350</v>
      </c>
      <c r="F7" s="53" t="s">
        <v>351</v>
      </c>
      <c r="G7" s="53" t="s">
        <v>36</v>
      </c>
      <c r="H7" s="53" t="s">
        <v>164</v>
      </c>
      <c r="I7" s="53" t="s">
        <v>159</v>
      </c>
      <c r="J7" s="53" t="s">
        <v>38</v>
      </c>
      <c r="K7" s="53" t="s">
        <v>161</v>
      </c>
      <c r="L7" s="53">
        <v>3</v>
      </c>
      <c r="N7" s="53">
        <v>5</v>
      </c>
      <c r="O7" s="53">
        <v>0.7</v>
      </c>
      <c r="P7" s="53">
        <v>0.8</v>
      </c>
      <c r="Q7" s="84">
        <f t="shared" si="0"/>
        <v>0.75</v>
      </c>
      <c r="R7" s="53">
        <v>17.2</v>
      </c>
      <c r="S7" s="53">
        <v>73</v>
      </c>
      <c r="T7" s="16">
        <f t="shared" si="1"/>
        <v>42</v>
      </c>
      <c r="U7" s="53">
        <v>319</v>
      </c>
      <c r="V7" s="16">
        <f t="shared" si="2"/>
        <v>2679.6</v>
      </c>
      <c r="W7" s="53">
        <v>3</v>
      </c>
      <c r="X7" s="53" t="s">
        <v>46</v>
      </c>
      <c r="Y7" s="53" t="s">
        <v>69</v>
      </c>
      <c r="Z7" s="53" t="s">
        <v>60</v>
      </c>
      <c r="AA7" s="53" t="s">
        <v>55</v>
      </c>
      <c r="AB7" s="53" t="s">
        <v>236</v>
      </c>
      <c r="AE7" s="22" t="s">
        <v>61</v>
      </c>
      <c r="AG7" s="155" t="s">
        <v>346</v>
      </c>
      <c r="AH7" s="76" t="s">
        <v>361</v>
      </c>
      <c r="AL7" s="34" t="s">
        <v>109</v>
      </c>
      <c r="AP7" s="23" t="s">
        <v>58</v>
      </c>
      <c r="AR7" s="23" t="s">
        <v>122</v>
      </c>
      <c r="AV7" s="23" t="s">
        <v>64</v>
      </c>
      <c r="AX7" s="24">
        <v>109</v>
      </c>
      <c r="AY7" s="25">
        <v>33</v>
      </c>
      <c r="AZ7" s="25">
        <v>113</v>
      </c>
      <c r="BA7" s="26">
        <v>30</v>
      </c>
    </row>
    <row r="8" spans="1:53" x14ac:dyDescent="0.15">
      <c r="A8" s="53" t="s">
        <v>34</v>
      </c>
      <c r="B8" s="53" t="s">
        <v>232</v>
      </c>
      <c r="C8" s="53">
        <v>2019</v>
      </c>
      <c r="D8" s="153" t="s">
        <v>166</v>
      </c>
      <c r="E8" s="53" t="s">
        <v>350</v>
      </c>
      <c r="F8" s="53" t="s">
        <v>351</v>
      </c>
      <c r="G8" s="53" t="s">
        <v>36</v>
      </c>
      <c r="H8" s="53" t="s">
        <v>160</v>
      </c>
      <c r="I8" s="53" t="s">
        <v>159</v>
      </c>
      <c r="J8" s="53" t="s">
        <v>38</v>
      </c>
      <c r="K8" s="53" t="s">
        <v>161</v>
      </c>
      <c r="L8" s="53">
        <v>1</v>
      </c>
      <c r="N8" s="53">
        <v>1</v>
      </c>
      <c r="O8" s="53">
        <v>0.6</v>
      </c>
      <c r="P8" s="53">
        <v>0.5</v>
      </c>
      <c r="Q8" s="84">
        <f t="shared" si="0"/>
        <v>0.55000000000000004</v>
      </c>
      <c r="R8" s="53">
        <v>21.1</v>
      </c>
      <c r="S8" s="53">
        <v>97</v>
      </c>
      <c r="T8" s="16">
        <f t="shared" si="1"/>
        <v>36</v>
      </c>
      <c r="U8" s="53">
        <v>100</v>
      </c>
      <c r="V8" s="16">
        <f t="shared" si="2"/>
        <v>3600</v>
      </c>
      <c r="W8" s="53">
        <v>4</v>
      </c>
      <c r="X8" s="53" t="s">
        <v>46</v>
      </c>
      <c r="Y8" s="53" t="s">
        <v>69</v>
      </c>
      <c r="Z8" s="53" t="s">
        <v>60</v>
      </c>
      <c r="AA8" s="53" t="s">
        <v>55</v>
      </c>
      <c r="AB8" s="53" t="s">
        <v>236</v>
      </c>
      <c r="AE8" s="22" t="s">
        <v>59</v>
      </c>
      <c r="AG8" s="155" t="s">
        <v>362</v>
      </c>
      <c r="AH8" s="76" t="s">
        <v>363</v>
      </c>
      <c r="AL8" s="34" t="s">
        <v>134</v>
      </c>
      <c r="AP8" s="23" t="s">
        <v>62</v>
      </c>
      <c r="AR8" s="23" t="s">
        <v>81</v>
      </c>
      <c r="AV8" s="23" t="s">
        <v>97</v>
      </c>
      <c r="AX8" s="24">
        <v>151</v>
      </c>
      <c r="AY8" s="25">
        <v>22</v>
      </c>
      <c r="AZ8" s="25">
        <v>152</v>
      </c>
      <c r="BA8" s="26">
        <v>18</v>
      </c>
    </row>
    <row r="9" spans="1:53" x14ac:dyDescent="0.15">
      <c r="A9" s="53" t="s">
        <v>34</v>
      </c>
      <c r="B9" s="53" t="s">
        <v>232</v>
      </c>
      <c r="C9" s="53">
        <v>2019</v>
      </c>
      <c r="D9" s="153" t="s">
        <v>166</v>
      </c>
      <c r="E9" s="53" t="s">
        <v>350</v>
      </c>
      <c r="F9" s="53" t="s">
        <v>351</v>
      </c>
      <c r="G9" s="53" t="s">
        <v>36</v>
      </c>
      <c r="H9" s="53" t="s">
        <v>160</v>
      </c>
      <c r="I9" s="53" t="s">
        <v>159</v>
      </c>
      <c r="J9" s="53" t="s">
        <v>38</v>
      </c>
      <c r="K9" s="53" t="s">
        <v>161</v>
      </c>
      <c r="L9" s="53">
        <v>2</v>
      </c>
      <c r="N9" s="53">
        <v>1</v>
      </c>
      <c r="O9" s="53">
        <v>0.45</v>
      </c>
      <c r="P9" s="53">
        <v>0.55000000000000004</v>
      </c>
      <c r="Q9" s="84">
        <f t="shared" si="0"/>
        <v>0.5</v>
      </c>
      <c r="R9" s="53">
        <v>17.7</v>
      </c>
      <c r="S9" s="53">
        <v>90</v>
      </c>
      <c r="T9" s="16">
        <f t="shared" si="1"/>
        <v>36</v>
      </c>
      <c r="U9" s="53">
        <v>100</v>
      </c>
      <c r="V9" s="16">
        <f t="shared" si="2"/>
        <v>3600</v>
      </c>
      <c r="W9" s="53">
        <v>4</v>
      </c>
      <c r="X9" s="53" t="s">
        <v>46</v>
      </c>
      <c r="Y9" s="53" t="s">
        <v>69</v>
      </c>
      <c r="Z9" s="53" t="s">
        <v>60</v>
      </c>
      <c r="AA9" s="53" t="s">
        <v>55</v>
      </c>
      <c r="AB9" s="53" t="s">
        <v>236</v>
      </c>
      <c r="AE9" s="22" t="s">
        <v>98</v>
      </c>
      <c r="AG9" s="155" t="s">
        <v>364</v>
      </c>
      <c r="AH9" s="76" t="s">
        <v>365</v>
      </c>
      <c r="AL9" s="82"/>
      <c r="AP9" s="23" t="s">
        <v>95</v>
      </c>
      <c r="AR9" s="23" t="s">
        <v>89</v>
      </c>
      <c r="AV9" s="23" t="s">
        <v>102</v>
      </c>
      <c r="AX9" s="31">
        <v>180</v>
      </c>
      <c r="AY9" s="32">
        <v>18</v>
      </c>
      <c r="AZ9" s="32">
        <v>181</v>
      </c>
      <c r="BA9" s="33">
        <v>16</v>
      </c>
    </row>
    <row r="10" spans="1:53" x14ac:dyDescent="0.15">
      <c r="A10" s="53" t="s">
        <v>34</v>
      </c>
      <c r="B10" s="53" t="s">
        <v>232</v>
      </c>
      <c r="C10" s="53">
        <v>2019</v>
      </c>
      <c r="D10" s="153" t="s">
        <v>166</v>
      </c>
      <c r="E10" s="53" t="s">
        <v>350</v>
      </c>
      <c r="F10" s="53" t="s">
        <v>351</v>
      </c>
      <c r="G10" s="53" t="s">
        <v>36</v>
      </c>
      <c r="H10" s="53" t="s">
        <v>160</v>
      </c>
      <c r="I10" s="53" t="s">
        <v>159</v>
      </c>
      <c r="J10" s="53" t="s">
        <v>38</v>
      </c>
      <c r="K10" s="53" t="s">
        <v>161</v>
      </c>
      <c r="L10" s="53">
        <v>3</v>
      </c>
      <c r="N10" s="53">
        <v>1</v>
      </c>
      <c r="O10" s="53">
        <v>0.55000000000000004</v>
      </c>
      <c r="P10" s="53">
        <v>0.55000000000000004</v>
      </c>
      <c r="Q10" s="84">
        <f t="shared" si="0"/>
        <v>0.55000000000000004</v>
      </c>
      <c r="R10" s="53">
        <v>18.2</v>
      </c>
      <c r="S10" s="53">
        <v>99</v>
      </c>
      <c r="T10" s="16">
        <f t="shared" si="1"/>
        <v>33</v>
      </c>
      <c r="U10" s="53">
        <v>100</v>
      </c>
      <c r="V10" s="16">
        <f t="shared" si="2"/>
        <v>3300</v>
      </c>
      <c r="W10" s="53">
        <v>4</v>
      </c>
      <c r="X10" s="53" t="s">
        <v>46</v>
      </c>
      <c r="Y10" s="53" t="s">
        <v>69</v>
      </c>
      <c r="Z10" s="53" t="s">
        <v>60</v>
      </c>
      <c r="AA10" s="53" t="s">
        <v>55</v>
      </c>
      <c r="AB10" s="53" t="s">
        <v>236</v>
      </c>
      <c r="AE10" s="22" t="s">
        <v>103</v>
      </c>
      <c r="AG10" s="155" t="s">
        <v>350</v>
      </c>
      <c r="AH10" s="76" t="s">
        <v>351</v>
      </c>
      <c r="AL10" s="34"/>
      <c r="AP10" s="23" t="s">
        <v>100</v>
      </c>
      <c r="AR10" s="23" t="s">
        <v>123</v>
      </c>
      <c r="AV10" s="23" t="s">
        <v>106</v>
      </c>
    </row>
    <row r="11" spans="1:53" x14ac:dyDescent="0.15">
      <c r="A11" s="53" t="s">
        <v>34</v>
      </c>
      <c r="B11" s="53" t="s">
        <v>232</v>
      </c>
      <c r="C11" s="53">
        <v>2019</v>
      </c>
      <c r="D11" s="153" t="s">
        <v>166</v>
      </c>
      <c r="E11" s="53" t="s">
        <v>362</v>
      </c>
      <c r="F11" s="53" t="s">
        <v>363</v>
      </c>
      <c r="G11" s="53" t="s">
        <v>36</v>
      </c>
      <c r="H11" s="53" t="s">
        <v>164</v>
      </c>
      <c r="I11" s="53" t="s">
        <v>159</v>
      </c>
      <c r="J11" s="53" t="s">
        <v>38</v>
      </c>
      <c r="K11" s="53" t="s">
        <v>161</v>
      </c>
      <c r="L11" s="53">
        <v>1</v>
      </c>
      <c r="N11" s="53">
        <v>8</v>
      </c>
      <c r="O11" s="53">
        <v>0.7</v>
      </c>
      <c r="P11" s="53">
        <v>0.6</v>
      </c>
      <c r="Q11" s="84">
        <f t="shared" si="0"/>
        <v>0.64999999999999991</v>
      </c>
      <c r="R11" s="53">
        <v>16.8</v>
      </c>
      <c r="S11" s="53">
        <v>85</v>
      </c>
      <c r="T11" s="16">
        <f t="shared" si="1"/>
        <v>36</v>
      </c>
      <c r="U11" s="53">
        <v>410</v>
      </c>
      <c r="V11" s="16">
        <f t="shared" si="2"/>
        <v>1845</v>
      </c>
      <c r="W11" s="53">
        <v>3</v>
      </c>
      <c r="X11" s="53" t="s">
        <v>39</v>
      </c>
      <c r="Y11" s="53" t="s">
        <v>69</v>
      </c>
      <c r="Z11" s="53" t="s">
        <v>55</v>
      </c>
      <c r="AA11" s="53" t="s">
        <v>88</v>
      </c>
      <c r="AB11" s="53" t="s">
        <v>236</v>
      </c>
      <c r="AE11" s="22" t="s">
        <v>65</v>
      </c>
      <c r="AG11" s="155" t="s">
        <v>210</v>
      </c>
      <c r="AH11" s="76" t="s">
        <v>366</v>
      </c>
      <c r="AL11" s="34"/>
      <c r="AP11" s="23" t="s">
        <v>104</v>
      </c>
      <c r="AR11" s="23" t="s">
        <v>87</v>
      </c>
      <c r="AV11" s="23" t="s">
        <v>69</v>
      </c>
    </row>
    <row r="12" spans="1:53" x14ac:dyDescent="0.15">
      <c r="A12" s="53" t="s">
        <v>34</v>
      </c>
      <c r="B12" s="53" t="s">
        <v>232</v>
      </c>
      <c r="C12" s="53">
        <v>2019</v>
      </c>
      <c r="D12" s="153" t="s">
        <v>166</v>
      </c>
      <c r="E12" s="53" t="s">
        <v>362</v>
      </c>
      <c r="F12" s="53" t="s">
        <v>363</v>
      </c>
      <c r="G12" s="53" t="s">
        <v>36</v>
      </c>
      <c r="H12" s="53" t="s">
        <v>164</v>
      </c>
      <c r="I12" s="53" t="s">
        <v>159</v>
      </c>
      <c r="J12" s="53" t="s">
        <v>38</v>
      </c>
      <c r="K12" s="53" t="s">
        <v>161</v>
      </c>
      <c r="L12" s="53">
        <v>2</v>
      </c>
      <c r="N12" s="53">
        <v>8</v>
      </c>
      <c r="O12" s="53">
        <v>0.6</v>
      </c>
      <c r="P12" s="53">
        <v>0.6</v>
      </c>
      <c r="Q12" s="84">
        <f t="shared" si="0"/>
        <v>0.6</v>
      </c>
      <c r="R12" s="53">
        <v>15.3</v>
      </c>
      <c r="S12" s="53">
        <v>89</v>
      </c>
      <c r="T12" s="16">
        <f t="shared" si="1"/>
        <v>36</v>
      </c>
      <c r="U12" s="53">
        <v>410</v>
      </c>
      <c r="V12" s="16">
        <f t="shared" si="2"/>
        <v>1845</v>
      </c>
      <c r="W12" s="53">
        <v>3</v>
      </c>
      <c r="X12" s="53" t="s">
        <v>39</v>
      </c>
      <c r="Y12" s="53" t="s">
        <v>69</v>
      </c>
      <c r="Z12" s="53" t="s">
        <v>55</v>
      </c>
      <c r="AA12" s="53" t="s">
        <v>88</v>
      </c>
      <c r="AB12" s="53" t="s">
        <v>236</v>
      </c>
      <c r="AE12" s="22" t="s">
        <v>70</v>
      </c>
      <c r="AG12" s="28"/>
      <c r="AH12" s="23"/>
      <c r="AL12" s="34"/>
      <c r="AP12" s="23" t="s">
        <v>67</v>
      </c>
      <c r="AR12" s="23" t="s">
        <v>124</v>
      </c>
      <c r="AV12" s="23" t="s">
        <v>72</v>
      </c>
    </row>
    <row r="13" spans="1:53" x14ac:dyDescent="0.15">
      <c r="A13" s="53" t="s">
        <v>34</v>
      </c>
      <c r="B13" s="53" t="s">
        <v>232</v>
      </c>
      <c r="C13" s="53">
        <v>2019</v>
      </c>
      <c r="D13" s="153" t="s">
        <v>166</v>
      </c>
      <c r="E13" s="53" t="s">
        <v>362</v>
      </c>
      <c r="F13" s="53" t="s">
        <v>363</v>
      </c>
      <c r="G13" s="53" t="s">
        <v>36</v>
      </c>
      <c r="H13" s="53" t="s">
        <v>164</v>
      </c>
      <c r="I13" s="53" t="s">
        <v>159</v>
      </c>
      <c r="J13" s="53" t="s">
        <v>38</v>
      </c>
      <c r="K13" s="53" t="s">
        <v>161</v>
      </c>
      <c r="L13" s="53">
        <v>3</v>
      </c>
      <c r="N13" s="53">
        <v>8</v>
      </c>
      <c r="O13" s="53">
        <v>0.7</v>
      </c>
      <c r="P13" s="53">
        <v>0.8</v>
      </c>
      <c r="Q13" s="84">
        <f t="shared" si="0"/>
        <v>0.75</v>
      </c>
      <c r="R13" s="53">
        <v>17.2</v>
      </c>
      <c r="S13" s="53">
        <v>89</v>
      </c>
      <c r="T13" s="16">
        <f t="shared" si="1"/>
        <v>36</v>
      </c>
      <c r="U13" s="53">
        <v>410</v>
      </c>
      <c r="V13" s="16">
        <f t="shared" si="2"/>
        <v>1845</v>
      </c>
      <c r="W13" s="53">
        <v>3</v>
      </c>
      <c r="X13" s="53" t="s">
        <v>39</v>
      </c>
      <c r="Y13" s="53" t="s">
        <v>69</v>
      </c>
      <c r="Z13" s="53" t="s">
        <v>55</v>
      </c>
      <c r="AA13" s="53" t="s">
        <v>88</v>
      </c>
      <c r="AB13" s="53" t="s">
        <v>236</v>
      </c>
      <c r="AE13" s="22" t="s">
        <v>73</v>
      </c>
      <c r="AH13" s="28"/>
      <c r="AP13" s="23" t="s">
        <v>71</v>
      </c>
      <c r="AR13" s="23" t="s">
        <v>103</v>
      </c>
      <c r="AV13" s="23" t="s">
        <v>75</v>
      </c>
    </row>
    <row r="14" spans="1:53" x14ac:dyDescent="0.15">
      <c r="A14" s="53" t="s">
        <v>34</v>
      </c>
      <c r="B14" s="53" t="s">
        <v>232</v>
      </c>
      <c r="C14" s="53">
        <v>2019</v>
      </c>
      <c r="D14" s="153" t="s">
        <v>166</v>
      </c>
      <c r="E14" s="53" t="s">
        <v>362</v>
      </c>
      <c r="F14" s="53" t="s">
        <v>363</v>
      </c>
      <c r="G14" s="53" t="s">
        <v>36</v>
      </c>
      <c r="H14" s="53" t="s">
        <v>160</v>
      </c>
      <c r="I14" s="53" t="s">
        <v>159</v>
      </c>
      <c r="J14" s="53" t="s">
        <v>38</v>
      </c>
      <c r="K14" s="53" t="s">
        <v>161</v>
      </c>
      <c r="L14" s="53">
        <v>1</v>
      </c>
      <c r="N14" s="53">
        <v>1</v>
      </c>
      <c r="O14" s="53">
        <v>0.55000000000000004</v>
      </c>
      <c r="P14" s="53">
        <v>0.65</v>
      </c>
      <c r="Q14" s="84">
        <f t="shared" si="0"/>
        <v>0.60000000000000009</v>
      </c>
      <c r="R14" s="53">
        <v>20.100000000000001</v>
      </c>
      <c r="S14" s="53">
        <v>128</v>
      </c>
      <c r="T14" s="16">
        <f t="shared" si="1"/>
        <v>30</v>
      </c>
      <c r="U14" s="53">
        <v>105</v>
      </c>
      <c r="V14" s="16">
        <f t="shared" si="2"/>
        <v>3150</v>
      </c>
      <c r="W14" s="53">
        <v>7</v>
      </c>
      <c r="X14" s="53" t="s">
        <v>46</v>
      </c>
      <c r="Y14" s="53" t="s">
        <v>69</v>
      </c>
      <c r="Z14" s="53" t="s">
        <v>55</v>
      </c>
      <c r="AA14" s="53" t="s">
        <v>88</v>
      </c>
      <c r="AB14" s="53" t="s">
        <v>236</v>
      </c>
      <c r="AE14" s="22" t="s">
        <v>76</v>
      </c>
      <c r="AG14" s="156"/>
      <c r="AP14" s="23" t="s">
        <v>74</v>
      </c>
      <c r="AR14" s="23" t="s">
        <v>125</v>
      </c>
      <c r="AV14" s="23" t="s">
        <v>78</v>
      </c>
    </row>
    <row r="15" spans="1:53" x14ac:dyDescent="0.15">
      <c r="A15" s="53" t="s">
        <v>34</v>
      </c>
      <c r="B15" s="53" t="s">
        <v>232</v>
      </c>
      <c r="C15" s="53">
        <v>2019</v>
      </c>
      <c r="D15" s="153" t="s">
        <v>166</v>
      </c>
      <c r="E15" s="53" t="s">
        <v>362</v>
      </c>
      <c r="F15" s="53" t="s">
        <v>363</v>
      </c>
      <c r="G15" s="53" t="s">
        <v>36</v>
      </c>
      <c r="H15" s="53" t="s">
        <v>160</v>
      </c>
      <c r="I15" s="53" t="s">
        <v>159</v>
      </c>
      <c r="J15" s="53" t="s">
        <v>38</v>
      </c>
      <c r="K15" s="53" t="s">
        <v>161</v>
      </c>
      <c r="L15" s="53">
        <v>2</v>
      </c>
      <c r="N15" s="53">
        <v>1</v>
      </c>
      <c r="O15" s="53">
        <v>0.5</v>
      </c>
      <c r="P15" s="53">
        <v>0.6</v>
      </c>
      <c r="Q15" s="84">
        <f t="shared" si="0"/>
        <v>0.55000000000000004</v>
      </c>
      <c r="R15" s="53">
        <v>20.3</v>
      </c>
      <c r="S15" s="53">
        <v>128</v>
      </c>
      <c r="T15" s="16">
        <f t="shared" si="1"/>
        <v>30</v>
      </c>
      <c r="U15" s="53">
        <v>105</v>
      </c>
      <c r="V15" s="16">
        <f t="shared" si="2"/>
        <v>3150</v>
      </c>
      <c r="W15" s="53">
        <v>7</v>
      </c>
      <c r="X15" s="53" t="s">
        <v>46</v>
      </c>
      <c r="Y15" s="53" t="s">
        <v>69</v>
      </c>
      <c r="Z15" s="53" t="s">
        <v>55</v>
      </c>
      <c r="AA15" s="53" t="s">
        <v>88</v>
      </c>
      <c r="AB15" s="53" t="s">
        <v>236</v>
      </c>
      <c r="AE15" s="22" t="s">
        <v>79</v>
      </c>
      <c r="AP15" s="23" t="s">
        <v>77</v>
      </c>
      <c r="AR15" s="23" t="s">
        <v>94</v>
      </c>
      <c r="AV15" s="23" t="s">
        <v>107</v>
      </c>
    </row>
    <row r="16" spans="1:53" x14ac:dyDescent="0.15">
      <c r="A16" s="53" t="s">
        <v>34</v>
      </c>
      <c r="B16" s="53" t="s">
        <v>232</v>
      </c>
      <c r="C16" s="53">
        <v>2019</v>
      </c>
      <c r="D16" s="153" t="s">
        <v>166</v>
      </c>
      <c r="E16" s="53" t="s">
        <v>362</v>
      </c>
      <c r="F16" s="53" t="s">
        <v>363</v>
      </c>
      <c r="G16" s="53" t="s">
        <v>36</v>
      </c>
      <c r="H16" s="53" t="s">
        <v>160</v>
      </c>
      <c r="I16" s="53" t="s">
        <v>159</v>
      </c>
      <c r="J16" s="53" t="s">
        <v>38</v>
      </c>
      <c r="K16" s="53" t="s">
        <v>161</v>
      </c>
      <c r="L16" s="53">
        <v>3</v>
      </c>
      <c r="N16" s="53">
        <v>1</v>
      </c>
      <c r="O16" s="53">
        <v>0.65</v>
      </c>
      <c r="P16" s="53">
        <v>0.65</v>
      </c>
      <c r="Q16" s="84">
        <f t="shared" si="0"/>
        <v>0.65</v>
      </c>
      <c r="R16" s="53">
        <v>19.2</v>
      </c>
      <c r="S16" s="53">
        <v>129</v>
      </c>
      <c r="T16" s="16">
        <f t="shared" si="1"/>
        <v>30</v>
      </c>
      <c r="U16" s="53">
        <v>105</v>
      </c>
      <c r="V16" s="16">
        <f t="shared" si="2"/>
        <v>3150</v>
      </c>
      <c r="W16" s="53">
        <v>7</v>
      </c>
      <c r="X16" s="53" t="s">
        <v>46</v>
      </c>
      <c r="Y16" s="53" t="s">
        <v>69</v>
      </c>
      <c r="Z16" s="53" t="s">
        <v>55</v>
      </c>
      <c r="AA16" s="53" t="s">
        <v>88</v>
      </c>
      <c r="AB16" s="53" t="s">
        <v>236</v>
      </c>
      <c r="AE16" s="22" t="s">
        <v>82</v>
      </c>
      <c r="AP16" s="23" t="s">
        <v>80</v>
      </c>
      <c r="AR16" s="23" t="s">
        <v>63</v>
      </c>
      <c r="AV16" s="23" t="s">
        <v>84</v>
      </c>
    </row>
    <row r="17" spans="1:48" x14ac:dyDescent="0.15">
      <c r="A17" s="53" t="s">
        <v>34</v>
      </c>
      <c r="B17" s="53" t="s">
        <v>232</v>
      </c>
      <c r="C17" s="53">
        <v>2019</v>
      </c>
      <c r="D17" s="153" t="s">
        <v>166</v>
      </c>
      <c r="E17" s="53" t="s">
        <v>362</v>
      </c>
      <c r="F17" s="53" t="s">
        <v>363</v>
      </c>
      <c r="G17" s="53" t="s">
        <v>36</v>
      </c>
      <c r="H17" s="53" t="s">
        <v>160</v>
      </c>
      <c r="I17" s="53" t="s">
        <v>159</v>
      </c>
      <c r="J17" s="53" t="s">
        <v>38</v>
      </c>
      <c r="K17" s="53" t="s">
        <v>161</v>
      </c>
      <c r="L17" s="53">
        <v>1</v>
      </c>
      <c r="N17" s="53">
        <v>8</v>
      </c>
      <c r="O17" s="53">
        <v>1.1000000000000001</v>
      </c>
      <c r="P17" s="53">
        <v>1.1000000000000001</v>
      </c>
      <c r="Q17" s="84">
        <f t="shared" si="0"/>
        <v>1.1000000000000001</v>
      </c>
      <c r="R17" s="53">
        <v>13</v>
      </c>
      <c r="S17" s="53">
        <v>92</v>
      </c>
      <c r="T17" s="16">
        <f t="shared" si="1"/>
        <v>36</v>
      </c>
      <c r="U17" s="53">
        <v>537</v>
      </c>
      <c r="V17" s="16">
        <f t="shared" si="2"/>
        <v>2416.5</v>
      </c>
      <c r="W17" s="53">
        <v>7</v>
      </c>
      <c r="X17" s="53" t="s">
        <v>46</v>
      </c>
      <c r="Y17" s="53" t="s">
        <v>69</v>
      </c>
      <c r="Z17" s="53" t="s">
        <v>55</v>
      </c>
      <c r="AA17" s="53" t="s">
        <v>88</v>
      </c>
      <c r="AB17" s="53" t="s">
        <v>236</v>
      </c>
      <c r="AE17" s="22" t="s">
        <v>85</v>
      </c>
      <c r="AP17" s="27" t="s">
        <v>110</v>
      </c>
      <c r="AR17" s="23" t="s">
        <v>96</v>
      </c>
      <c r="AV17" s="23" t="s">
        <v>86</v>
      </c>
    </row>
    <row r="18" spans="1:48" x14ac:dyDescent="0.15">
      <c r="A18" s="53" t="s">
        <v>34</v>
      </c>
      <c r="B18" s="53" t="s">
        <v>232</v>
      </c>
      <c r="C18" s="53">
        <v>2019</v>
      </c>
      <c r="D18" s="153" t="s">
        <v>166</v>
      </c>
      <c r="E18" s="53" t="s">
        <v>362</v>
      </c>
      <c r="F18" s="53" t="s">
        <v>363</v>
      </c>
      <c r="G18" s="53" t="s">
        <v>36</v>
      </c>
      <c r="H18" s="53" t="s">
        <v>160</v>
      </c>
      <c r="I18" s="53" t="s">
        <v>159</v>
      </c>
      <c r="J18" s="53" t="s">
        <v>38</v>
      </c>
      <c r="K18" s="53" t="s">
        <v>161</v>
      </c>
      <c r="L18" s="53">
        <v>2</v>
      </c>
      <c r="N18" s="53">
        <v>8</v>
      </c>
      <c r="O18" s="53">
        <v>0.6</v>
      </c>
      <c r="P18" s="53">
        <v>0.6</v>
      </c>
      <c r="Q18" s="84">
        <f t="shared" si="0"/>
        <v>0.6</v>
      </c>
      <c r="R18" s="53">
        <v>17.3</v>
      </c>
      <c r="S18" s="53">
        <v>91</v>
      </c>
      <c r="T18" s="16">
        <f t="shared" si="1"/>
        <v>36</v>
      </c>
      <c r="U18" s="53">
        <v>537</v>
      </c>
      <c r="V18" s="16">
        <f t="shared" si="2"/>
        <v>2416.5</v>
      </c>
      <c r="W18" s="53">
        <v>7</v>
      </c>
      <c r="X18" s="53" t="s">
        <v>46</v>
      </c>
      <c r="Y18" s="53" t="s">
        <v>69</v>
      </c>
      <c r="Z18" s="53" t="s">
        <v>55</v>
      </c>
      <c r="AA18" s="53" t="s">
        <v>88</v>
      </c>
      <c r="AB18" s="53" t="s">
        <v>236</v>
      </c>
      <c r="AE18" s="22" t="s">
        <v>87</v>
      </c>
      <c r="AP18" s="27" t="s">
        <v>111</v>
      </c>
      <c r="AR18" s="23" t="s">
        <v>101</v>
      </c>
      <c r="AV18" s="23" t="s">
        <v>88</v>
      </c>
    </row>
    <row r="19" spans="1:48" x14ac:dyDescent="0.15">
      <c r="A19" s="53" t="s">
        <v>34</v>
      </c>
      <c r="B19" s="53" t="s">
        <v>232</v>
      </c>
      <c r="C19" s="53">
        <v>2019</v>
      </c>
      <c r="D19" s="153" t="s">
        <v>166</v>
      </c>
      <c r="E19" s="53" t="s">
        <v>362</v>
      </c>
      <c r="F19" s="53" t="s">
        <v>363</v>
      </c>
      <c r="G19" s="53" t="s">
        <v>36</v>
      </c>
      <c r="H19" s="53" t="s">
        <v>160</v>
      </c>
      <c r="I19" s="53" t="s">
        <v>159</v>
      </c>
      <c r="J19" s="53" t="s">
        <v>38</v>
      </c>
      <c r="K19" s="53" t="s">
        <v>161</v>
      </c>
      <c r="L19" s="53">
        <v>3</v>
      </c>
      <c r="N19" s="53">
        <v>8</v>
      </c>
      <c r="O19" s="53">
        <v>0.7</v>
      </c>
      <c r="P19" s="53">
        <v>0.75</v>
      </c>
      <c r="Q19" s="84">
        <f t="shared" si="0"/>
        <v>0.72499999999999998</v>
      </c>
      <c r="R19" s="53">
        <v>17.7</v>
      </c>
      <c r="S19" s="53">
        <v>84</v>
      </c>
      <c r="T19" s="16">
        <f t="shared" si="1"/>
        <v>36</v>
      </c>
      <c r="U19" s="53">
        <v>537</v>
      </c>
      <c r="V19" s="16">
        <f t="shared" si="2"/>
        <v>2416.5</v>
      </c>
      <c r="W19" s="53">
        <v>7</v>
      </c>
      <c r="X19" s="53" t="s">
        <v>46</v>
      </c>
      <c r="Y19" s="53" t="s">
        <v>69</v>
      </c>
      <c r="Z19" s="53" t="s">
        <v>55</v>
      </c>
      <c r="AA19" s="53" t="s">
        <v>88</v>
      </c>
      <c r="AB19" s="53" t="s">
        <v>236</v>
      </c>
      <c r="AE19" s="35" t="s">
        <v>89</v>
      </c>
      <c r="AP19" s="27" t="s">
        <v>112</v>
      </c>
      <c r="AR19" s="23" t="s">
        <v>126</v>
      </c>
      <c r="AV19" s="23" t="s">
        <v>90</v>
      </c>
    </row>
    <row r="20" spans="1:48" x14ac:dyDescent="0.15">
      <c r="A20" s="53" t="s">
        <v>34</v>
      </c>
      <c r="B20" s="53" t="s">
        <v>232</v>
      </c>
      <c r="C20" s="53">
        <v>2019</v>
      </c>
      <c r="D20" s="153" t="s">
        <v>166</v>
      </c>
      <c r="E20" s="53" t="s">
        <v>210</v>
      </c>
      <c r="F20" s="53" t="s">
        <v>366</v>
      </c>
      <c r="G20" s="53" t="s">
        <v>36</v>
      </c>
      <c r="H20" s="53" t="s">
        <v>164</v>
      </c>
      <c r="I20" s="53" t="s">
        <v>159</v>
      </c>
      <c r="J20" s="53" t="s">
        <v>38</v>
      </c>
      <c r="K20" s="53" t="s">
        <v>161</v>
      </c>
      <c r="L20" s="53">
        <v>1</v>
      </c>
      <c r="N20" s="53">
        <v>1</v>
      </c>
      <c r="O20" s="53">
        <v>0.55000000000000004</v>
      </c>
      <c r="P20" s="53">
        <v>0.65</v>
      </c>
      <c r="Q20" s="84">
        <f t="shared" si="0"/>
        <v>0.60000000000000009</v>
      </c>
      <c r="R20" s="53">
        <v>17.2</v>
      </c>
      <c r="S20" s="53">
        <v>110</v>
      </c>
      <c r="T20" s="16">
        <f t="shared" si="1"/>
        <v>33</v>
      </c>
      <c r="U20" s="53">
        <v>96</v>
      </c>
      <c r="V20" s="16">
        <f t="shared" si="2"/>
        <v>3168</v>
      </c>
      <c r="W20" s="53">
        <v>3</v>
      </c>
      <c r="X20" s="53" t="s">
        <v>46</v>
      </c>
      <c r="Y20" s="53" t="s">
        <v>88</v>
      </c>
      <c r="Z20" s="53" t="s">
        <v>97</v>
      </c>
      <c r="AA20" s="53" t="s">
        <v>84</v>
      </c>
      <c r="AB20" s="53" t="s">
        <v>236</v>
      </c>
      <c r="AP20" s="27" t="s">
        <v>113</v>
      </c>
      <c r="AR20" s="23" t="s">
        <v>105</v>
      </c>
      <c r="AV20" s="27" t="s">
        <v>135</v>
      </c>
    </row>
    <row r="21" spans="1:48" x14ac:dyDescent="0.15">
      <c r="A21" s="53" t="s">
        <v>34</v>
      </c>
      <c r="B21" s="53" t="s">
        <v>232</v>
      </c>
      <c r="C21" s="53">
        <v>2019</v>
      </c>
      <c r="D21" s="153" t="s">
        <v>166</v>
      </c>
      <c r="E21" s="53" t="s">
        <v>210</v>
      </c>
      <c r="F21" s="53" t="s">
        <v>366</v>
      </c>
      <c r="G21" s="53" t="s">
        <v>36</v>
      </c>
      <c r="H21" s="53" t="s">
        <v>164</v>
      </c>
      <c r="I21" s="53" t="s">
        <v>159</v>
      </c>
      <c r="J21" s="53" t="s">
        <v>38</v>
      </c>
      <c r="K21" s="53" t="s">
        <v>161</v>
      </c>
      <c r="L21" s="53">
        <v>2</v>
      </c>
      <c r="N21" s="53">
        <v>1</v>
      </c>
      <c r="O21" s="53">
        <v>0.45</v>
      </c>
      <c r="P21" s="53">
        <v>0.45</v>
      </c>
      <c r="Q21" s="84">
        <f t="shared" si="0"/>
        <v>0.45</v>
      </c>
      <c r="R21" s="53">
        <v>17.100000000000001</v>
      </c>
      <c r="S21" s="53">
        <v>113</v>
      </c>
      <c r="T21" s="16">
        <f t="shared" si="1"/>
        <v>30</v>
      </c>
      <c r="U21" s="53">
        <v>96</v>
      </c>
      <c r="V21" s="16">
        <f t="shared" si="2"/>
        <v>2880</v>
      </c>
      <c r="W21" s="53">
        <v>3</v>
      </c>
      <c r="X21" s="53" t="s">
        <v>46</v>
      </c>
      <c r="Y21" s="53" t="s">
        <v>88</v>
      </c>
      <c r="Z21" s="53" t="s">
        <v>97</v>
      </c>
      <c r="AA21" s="53" t="s">
        <v>84</v>
      </c>
      <c r="AB21" s="53" t="s">
        <v>236</v>
      </c>
      <c r="AP21" s="27" t="s">
        <v>114</v>
      </c>
      <c r="AR21" s="23" t="s">
        <v>68</v>
      </c>
      <c r="AV21" s="27" t="s">
        <v>136</v>
      </c>
    </row>
    <row r="22" spans="1:48" x14ac:dyDescent="0.15">
      <c r="A22" s="53" t="s">
        <v>34</v>
      </c>
      <c r="B22" s="53" t="s">
        <v>232</v>
      </c>
      <c r="C22" s="53">
        <v>2019</v>
      </c>
      <c r="D22" s="153" t="s">
        <v>166</v>
      </c>
      <c r="E22" s="53" t="s">
        <v>210</v>
      </c>
      <c r="F22" s="53" t="s">
        <v>366</v>
      </c>
      <c r="G22" s="53" t="s">
        <v>36</v>
      </c>
      <c r="H22" s="53" t="s">
        <v>164</v>
      </c>
      <c r="I22" s="53" t="s">
        <v>159</v>
      </c>
      <c r="J22" s="53" t="s">
        <v>38</v>
      </c>
      <c r="K22" s="53" t="s">
        <v>161</v>
      </c>
      <c r="L22" s="53">
        <v>3</v>
      </c>
      <c r="N22" s="53">
        <v>1</v>
      </c>
      <c r="O22" s="53">
        <v>0.65</v>
      </c>
      <c r="P22" s="53">
        <v>0.6</v>
      </c>
      <c r="Q22" s="84">
        <f t="shared" si="0"/>
        <v>0.625</v>
      </c>
      <c r="R22" s="53">
        <v>17.100000000000001</v>
      </c>
      <c r="S22" s="53">
        <v>102</v>
      </c>
      <c r="T22" s="16">
        <f t="shared" si="1"/>
        <v>33</v>
      </c>
      <c r="U22" s="53">
        <v>96</v>
      </c>
      <c r="V22" s="16">
        <f t="shared" si="2"/>
        <v>3168</v>
      </c>
      <c r="W22" s="53">
        <v>3</v>
      </c>
      <c r="X22" s="53" t="s">
        <v>46</v>
      </c>
      <c r="Y22" s="53" t="s">
        <v>88</v>
      </c>
      <c r="Z22" s="53" t="s">
        <v>97</v>
      </c>
      <c r="AA22" s="53" t="s">
        <v>84</v>
      </c>
      <c r="AB22" s="53" t="s">
        <v>236</v>
      </c>
      <c r="AP22" s="27" t="s">
        <v>115</v>
      </c>
      <c r="AR22" s="23" t="s">
        <v>83</v>
      </c>
      <c r="AV22" s="27"/>
    </row>
    <row r="23" spans="1:48" x14ac:dyDescent="0.15">
      <c r="A23" s="53" t="s">
        <v>34</v>
      </c>
      <c r="B23" s="53" t="s">
        <v>232</v>
      </c>
      <c r="C23" s="53">
        <v>2019</v>
      </c>
      <c r="D23" s="153" t="s">
        <v>166</v>
      </c>
      <c r="E23" s="53" t="s">
        <v>210</v>
      </c>
      <c r="F23" s="53" t="s">
        <v>366</v>
      </c>
      <c r="G23" s="53" t="s">
        <v>36</v>
      </c>
      <c r="H23" s="53" t="s">
        <v>164</v>
      </c>
      <c r="I23" s="53" t="s">
        <v>159</v>
      </c>
      <c r="J23" s="53" t="s">
        <v>38</v>
      </c>
      <c r="K23" s="53" t="s">
        <v>161</v>
      </c>
      <c r="L23" s="53">
        <v>1</v>
      </c>
      <c r="N23" s="53">
        <v>4</v>
      </c>
      <c r="O23" s="53">
        <v>0.55000000000000004</v>
      </c>
      <c r="P23" s="53">
        <v>0.5</v>
      </c>
      <c r="Q23" s="84">
        <f t="shared" si="0"/>
        <v>0.52500000000000002</v>
      </c>
      <c r="R23" s="53">
        <v>17.7</v>
      </c>
      <c r="S23" s="53">
        <v>81</v>
      </c>
      <c r="T23" s="16">
        <f t="shared" si="1"/>
        <v>39</v>
      </c>
      <c r="U23" s="53">
        <v>320</v>
      </c>
      <c r="V23" s="16">
        <f t="shared" si="2"/>
        <v>3120</v>
      </c>
      <c r="W23" s="53">
        <v>3</v>
      </c>
      <c r="X23" s="53" t="s">
        <v>46</v>
      </c>
      <c r="Y23" s="53" t="s">
        <v>88</v>
      </c>
      <c r="Z23" s="53" t="s">
        <v>97</v>
      </c>
      <c r="AA23" s="53" t="s">
        <v>84</v>
      </c>
      <c r="AB23" s="53" t="s">
        <v>236</v>
      </c>
      <c r="AP23" s="27" t="s">
        <v>117</v>
      </c>
      <c r="AR23" s="23" t="s">
        <v>153</v>
      </c>
    </row>
    <row r="24" spans="1:48" x14ac:dyDescent="0.15">
      <c r="A24" s="53" t="s">
        <v>34</v>
      </c>
      <c r="B24" s="53" t="s">
        <v>232</v>
      </c>
      <c r="C24" s="53">
        <v>2019</v>
      </c>
      <c r="D24" s="153" t="s">
        <v>166</v>
      </c>
      <c r="E24" s="53" t="s">
        <v>210</v>
      </c>
      <c r="F24" s="53" t="s">
        <v>366</v>
      </c>
      <c r="G24" s="53" t="s">
        <v>36</v>
      </c>
      <c r="H24" s="53" t="s">
        <v>164</v>
      </c>
      <c r="I24" s="53" t="s">
        <v>159</v>
      </c>
      <c r="J24" s="53" t="s">
        <v>38</v>
      </c>
      <c r="K24" s="53" t="s">
        <v>161</v>
      </c>
      <c r="L24" s="53">
        <v>2</v>
      </c>
      <c r="N24" s="53">
        <v>4</v>
      </c>
      <c r="O24" s="53">
        <v>0.5</v>
      </c>
      <c r="P24" s="53">
        <v>0.5</v>
      </c>
      <c r="Q24" s="84">
        <f t="shared" si="0"/>
        <v>0.5</v>
      </c>
      <c r="R24" s="53">
        <v>18</v>
      </c>
      <c r="S24" s="53">
        <v>91</v>
      </c>
      <c r="T24" s="16">
        <f t="shared" si="1"/>
        <v>36</v>
      </c>
      <c r="U24" s="53">
        <v>320</v>
      </c>
      <c r="V24" s="16">
        <f t="shared" si="2"/>
        <v>2880</v>
      </c>
      <c r="W24" s="53">
        <v>3</v>
      </c>
      <c r="X24" s="53" t="s">
        <v>46</v>
      </c>
      <c r="Y24" s="53" t="s">
        <v>88</v>
      </c>
      <c r="Z24" s="53" t="s">
        <v>97</v>
      </c>
      <c r="AA24" s="53" t="s">
        <v>84</v>
      </c>
      <c r="AB24" s="53" t="s">
        <v>236</v>
      </c>
      <c r="AP24" s="27" t="s">
        <v>118</v>
      </c>
    </row>
    <row r="25" spans="1:48" x14ac:dyDescent="0.15">
      <c r="A25" s="53" t="s">
        <v>34</v>
      </c>
      <c r="B25" s="53" t="s">
        <v>232</v>
      </c>
      <c r="C25" s="53">
        <v>2019</v>
      </c>
      <c r="D25" s="153" t="s">
        <v>166</v>
      </c>
      <c r="E25" s="53" t="s">
        <v>210</v>
      </c>
      <c r="F25" s="53" t="s">
        <v>366</v>
      </c>
      <c r="G25" s="53" t="s">
        <v>36</v>
      </c>
      <c r="H25" s="53" t="s">
        <v>164</v>
      </c>
      <c r="I25" s="53" t="s">
        <v>159</v>
      </c>
      <c r="J25" s="53" t="s">
        <v>38</v>
      </c>
      <c r="K25" s="53" t="s">
        <v>161</v>
      </c>
      <c r="L25" s="53">
        <v>3</v>
      </c>
      <c r="N25" s="53">
        <v>4</v>
      </c>
      <c r="O25" s="53">
        <v>0.65</v>
      </c>
      <c r="P25" s="53">
        <v>0.8</v>
      </c>
      <c r="Q25" s="84">
        <f t="shared" si="0"/>
        <v>0.72500000000000009</v>
      </c>
      <c r="R25" s="53">
        <v>16.7</v>
      </c>
      <c r="S25" s="53">
        <v>84</v>
      </c>
      <c r="T25" s="16">
        <f t="shared" si="1"/>
        <v>36</v>
      </c>
      <c r="U25" s="53">
        <v>320</v>
      </c>
      <c r="V25" s="16">
        <f t="shared" si="2"/>
        <v>2880</v>
      </c>
      <c r="W25" s="53">
        <v>3</v>
      </c>
      <c r="X25" s="53" t="s">
        <v>46</v>
      </c>
      <c r="Y25" s="53" t="s">
        <v>88</v>
      </c>
      <c r="Z25" s="53" t="s">
        <v>97</v>
      </c>
      <c r="AA25" s="53" t="s">
        <v>84</v>
      </c>
      <c r="AB25" s="53" t="s">
        <v>236</v>
      </c>
    </row>
    <row r="26" spans="1:48" x14ac:dyDescent="0.15">
      <c r="A26" s="53" t="s">
        <v>34</v>
      </c>
      <c r="B26" s="53" t="s">
        <v>232</v>
      </c>
      <c r="C26" s="53">
        <v>2019</v>
      </c>
      <c r="D26" s="153" t="s">
        <v>166</v>
      </c>
      <c r="E26" s="53" t="s">
        <v>210</v>
      </c>
      <c r="F26" s="53" t="s">
        <v>366</v>
      </c>
      <c r="G26" s="53" t="s">
        <v>36</v>
      </c>
      <c r="H26" s="53" t="s">
        <v>160</v>
      </c>
      <c r="I26" s="53" t="s">
        <v>159</v>
      </c>
      <c r="J26" s="53" t="s">
        <v>38</v>
      </c>
      <c r="K26" s="53" t="s">
        <v>161</v>
      </c>
      <c r="L26" s="53">
        <v>1</v>
      </c>
      <c r="N26" s="53">
        <v>1</v>
      </c>
      <c r="O26" s="53">
        <v>0.6</v>
      </c>
      <c r="P26" s="53">
        <v>0.6</v>
      </c>
      <c r="Q26" s="84">
        <f t="shared" si="0"/>
        <v>0.6</v>
      </c>
      <c r="R26" s="53">
        <v>20.100000000000001</v>
      </c>
      <c r="S26" s="53">
        <v>123</v>
      </c>
      <c r="T26" s="16">
        <f t="shared" si="1"/>
        <v>30</v>
      </c>
      <c r="U26" s="53">
        <v>96</v>
      </c>
      <c r="V26" s="16">
        <f t="shared" si="2"/>
        <v>2880</v>
      </c>
      <c r="W26" s="53">
        <v>4</v>
      </c>
      <c r="X26" s="53" t="s">
        <v>46</v>
      </c>
      <c r="Y26" s="53" t="s">
        <v>88</v>
      </c>
      <c r="Z26" s="53" t="s">
        <v>97</v>
      </c>
      <c r="AA26" s="53" t="s">
        <v>84</v>
      </c>
      <c r="AB26" s="53" t="s">
        <v>236</v>
      </c>
    </row>
    <row r="27" spans="1:48" x14ac:dyDescent="0.15">
      <c r="A27" s="53" t="s">
        <v>34</v>
      </c>
      <c r="B27" s="53" t="s">
        <v>232</v>
      </c>
      <c r="C27" s="53">
        <v>2019</v>
      </c>
      <c r="D27" s="153" t="s">
        <v>166</v>
      </c>
      <c r="E27" s="53" t="s">
        <v>210</v>
      </c>
      <c r="F27" s="53" t="s">
        <v>366</v>
      </c>
      <c r="G27" s="53" t="s">
        <v>36</v>
      </c>
      <c r="H27" s="53" t="s">
        <v>160</v>
      </c>
      <c r="I27" s="53" t="s">
        <v>159</v>
      </c>
      <c r="J27" s="53" t="s">
        <v>38</v>
      </c>
      <c r="K27" s="53" t="s">
        <v>161</v>
      </c>
      <c r="L27" s="53">
        <v>2</v>
      </c>
      <c r="N27" s="53">
        <v>1</v>
      </c>
      <c r="O27" s="53">
        <v>0.6</v>
      </c>
      <c r="P27" s="53">
        <v>0.55000000000000004</v>
      </c>
      <c r="Q27" s="84">
        <f t="shared" si="0"/>
        <v>0.57499999999999996</v>
      </c>
      <c r="R27" s="53">
        <v>21.2</v>
      </c>
      <c r="S27" s="53">
        <v>118</v>
      </c>
      <c r="T27" s="16">
        <f t="shared" si="1"/>
        <v>30</v>
      </c>
      <c r="U27" s="53">
        <v>96</v>
      </c>
      <c r="V27" s="16">
        <f t="shared" si="2"/>
        <v>2880</v>
      </c>
      <c r="W27" s="53">
        <v>4</v>
      </c>
      <c r="X27" s="53" t="s">
        <v>46</v>
      </c>
      <c r="Y27" s="53" t="s">
        <v>88</v>
      </c>
      <c r="Z27" s="53" t="s">
        <v>97</v>
      </c>
      <c r="AA27" s="53" t="s">
        <v>84</v>
      </c>
      <c r="AB27" s="53" t="s">
        <v>236</v>
      </c>
    </row>
    <row r="28" spans="1:48" x14ac:dyDescent="0.15">
      <c r="A28" s="53" t="s">
        <v>34</v>
      </c>
      <c r="B28" s="53" t="s">
        <v>232</v>
      </c>
      <c r="C28" s="53">
        <v>2019</v>
      </c>
      <c r="D28" s="153" t="s">
        <v>166</v>
      </c>
      <c r="E28" s="53" t="s">
        <v>210</v>
      </c>
      <c r="F28" s="53" t="s">
        <v>366</v>
      </c>
      <c r="G28" s="53" t="s">
        <v>36</v>
      </c>
      <c r="H28" s="53" t="s">
        <v>160</v>
      </c>
      <c r="I28" s="53" t="s">
        <v>159</v>
      </c>
      <c r="J28" s="53" t="s">
        <v>38</v>
      </c>
      <c r="K28" s="53" t="s">
        <v>161</v>
      </c>
      <c r="L28" s="53">
        <v>3</v>
      </c>
      <c r="N28" s="53">
        <v>1</v>
      </c>
      <c r="O28" s="53">
        <v>0.65</v>
      </c>
      <c r="P28" s="53">
        <v>0.55000000000000004</v>
      </c>
      <c r="Q28" s="84">
        <f>IF(OR(O28="",P28=""),"",AVERAGE(O28,P28))</f>
        <v>0.60000000000000009</v>
      </c>
      <c r="R28" s="53">
        <v>20.9</v>
      </c>
      <c r="S28" s="53">
        <v>123</v>
      </c>
      <c r="T28" s="16">
        <f t="shared" si="1"/>
        <v>30</v>
      </c>
      <c r="U28" s="53">
        <v>96</v>
      </c>
      <c r="V28" s="16">
        <f t="shared" si="2"/>
        <v>2880</v>
      </c>
      <c r="W28" s="53">
        <v>4</v>
      </c>
      <c r="X28" s="53" t="s">
        <v>46</v>
      </c>
      <c r="Y28" s="53" t="s">
        <v>88</v>
      </c>
      <c r="Z28" s="53" t="s">
        <v>97</v>
      </c>
      <c r="AA28" s="53" t="s">
        <v>84</v>
      </c>
      <c r="AB28" s="53" t="s">
        <v>236</v>
      </c>
    </row>
    <row r="29" spans="1:48" x14ac:dyDescent="0.15">
      <c r="A29" s="53" t="s">
        <v>34</v>
      </c>
      <c r="B29" s="53" t="s">
        <v>232</v>
      </c>
      <c r="C29" s="53">
        <v>2019</v>
      </c>
      <c r="D29" s="153" t="s">
        <v>166</v>
      </c>
      <c r="E29" s="53" t="s">
        <v>210</v>
      </c>
      <c r="F29" s="53" t="s">
        <v>366</v>
      </c>
      <c r="G29" s="53" t="s">
        <v>36</v>
      </c>
      <c r="H29" s="53" t="s">
        <v>160</v>
      </c>
      <c r="I29" s="53" t="s">
        <v>159</v>
      </c>
      <c r="J29" s="53" t="s">
        <v>38</v>
      </c>
      <c r="K29" s="53" t="s">
        <v>161</v>
      </c>
      <c r="L29" s="53">
        <v>1</v>
      </c>
      <c r="N29" s="53">
        <v>4</v>
      </c>
      <c r="O29" s="53">
        <v>0.85</v>
      </c>
      <c r="P29" s="53">
        <v>0.85</v>
      </c>
      <c r="Q29" s="84">
        <f t="shared" si="0"/>
        <v>0.85</v>
      </c>
      <c r="R29" s="53">
        <v>17.5</v>
      </c>
      <c r="S29" s="53">
        <v>99</v>
      </c>
      <c r="T29" s="16">
        <f t="shared" si="1"/>
        <v>33</v>
      </c>
      <c r="U29" s="53">
        <v>320</v>
      </c>
      <c r="V29" s="16">
        <f t="shared" si="2"/>
        <v>2640</v>
      </c>
      <c r="W29" s="53">
        <v>4</v>
      </c>
      <c r="X29" s="53" t="s">
        <v>46</v>
      </c>
      <c r="Y29" s="53" t="s">
        <v>88</v>
      </c>
      <c r="Z29" s="53" t="s">
        <v>97</v>
      </c>
      <c r="AA29" s="53" t="s">
        <v>84</v>
      </c>
      <c r="AB29" s="53" t="s">
        <v>236</v>
      </c>
    </row>
    <row r="30" spans="1:48" x14ac:dyDescent="0.15">
      <c r="A30" s="53" t="s">
        <v>34</v>
      </c>
      <c r="B30" s="53" t="s">
        <v>232</v>
      </c>
      <c r="C30" s="53">
        <v>2019</v>
      </c>
      <c r="D30" s="153" t="s">
        <v>166</v>
      </c>
      <c r="E30" s="53" t="s">
        <v>210</v>
      </c>
      <c r="F30" s="53" t="s">
        <v>366</v>
      </c>
      <c r="G30" s="53" t="s">
        <v>36</v>
      </c>
      <c r="H30" s="53" t="s">
        <v>160</v>
      </c>
      <c r="I30" s="53" t="s">
        <v>159</v>
      </c>
      <c r="J30" s="53" t="s">
        <v>38</v>
      </c>
      <c r="K30" s="53" t="s">
        <v>161</v>
      </c>
      <c r="L30" s="53">
        <v>2</v>
      </c>
      <c r="N30" s="53">
        <v>4</v>
      </c>
      <c r="O30" s="53">
        <v>0.6</v>
      </c>
      <c r="P30" s="53">
        <v>0.65</v>
      </c>
      <c r="Q30" s="84">
        <f t="shared" si="0"/>
        <v>0.625</v>
      </c>
      <c r="R30" s="53">
        <v>19.2</v>
      </c>
      <c r="S30" s="53">
        <v>103</v>
      </c>
      <c r="T30" s="16">
        <f t="shared" si="1"/>
        <v>33</v>
      </c>
      <c r="U30" s="53">
        <v>320</v>
      </c>
      <c r="V30" s="16">
        <f t="shared" si="2"/>
        <v>2640</v>
      </c>
      <c r="W30" s="53">
        <v>4</v>
      </c>
      <c r="X30" s="53" t="s">
        <v>46</v>
      </c>
      <c r="Y30" s="53" t="s">
        <v>88</v>
      </c>
      <c r="Z30" s="53" t="s">
        <v>97</v>
      </c>
      <c r="AA30" s="53" t="s">
        <v>84</v>
      </c>
      <c r="AB30" s="53" t="s">
        <v>236</v>
      </c>
    </row>
    <row r="31" spans="1:48" x14ac:dyDescent="0.15">
      <c r="A31" s="53" t="s">
        <v>34</v>
      </c>
      <c r="B31" s="53" t="s">
        <v>232</v>
      </c>
      <c r="C31" s="53">
        <v>2019</v>
      </c>
      <c r="D31" s="153" t="s">
        <v>166</v>
      </c>
      <c r="E31" s="53" t="s">
        <v>210</v>
      </c>
      <c r="F31" s="53" t="s">
        <v>366</v>
      </c>
      <c r="G31" s="53" t="s">
        <v>36</v>
      </c>
      <c r="H31" s="53" t="s">
        <v>160</v>
      </c>
      <c r="I31" s="53" t="s">
        <v>159</v>
      </c>
      <c r="J31" s="53" t="s">
        <v>38</v>
      </c>
      <c r="K31" s="53" t="s">
        <v>161</v>
      </c>
      <c r="L31" s="53">
        <v>3</v>
      </c>
      <c r="N31" s="53">
        <v>4</v>
      </c>
      <c r="O31" s="53">
        <v>0.55000000000000004</v>
      </c>
      <c r="P31" s="53">
        <v>0.6</v>
      </c>
      <c r="Q31" s="84">
        <f t="shared" si="0"/>
        <v>0.57499999999999996</v>
      </c>
      <c r="R31" s="53">
        <v>19.899999999999999</v>
      </c>
      <c r="S31" s="53">
        <v>97</v>
      </c>
      <c r="T31" s="16">
        <f t="shared" si="1"/>
        <v>36</v>
      </c>
      <c r="U31" s="53">
        <v>320</v>
      </c>
      <c r="V31" s="16">
        <f t="shared" si="2"/>
        <v>2880</v>
      </c>
      <c r="W31" s="53">
        <v>4</v>
      </c>
      <c r="X31" s="53" t="s">
        <v>46</v>
      </c>
      <c r="Y31" s="53" t="s">
        <v>88</v>
      </c>
      <c r="Z31" s="53" t="s">
        <v>97</v>
      </c>
      <c r="AA31" s="53" t="s">
        <v>84</v>
      </c>
      <c r="AB31" s="53" t="s">
        <v>236</v>
      </c>
    </row>
    <row r="32" spans="1:48" x14ac:dyDescent="0.15">
      <c r="A32" s="53" t="s">
        <v>34</v>
      </c>
      <c r="B32" s="53" t="s">
        <v>232</v>
      </c>
      <c r="C32" s="53">
        <v>2019</v>
      </c>
      <c r="D32" s="153" t="s">
        <v>166</v>
      </c>
      <c r="E32" s="53" t="s">
        <v>355</v>
      </c>
      <c r="F32" s="53" t="s">
        <v>356</v>
      </c>
      <c r="G32" s="53" t="s">
        <v>36</v>
      </c>
      <c r="H32" s="53" t="s">
        <v>164</v>
      </c>
      <c r="I32" s="53" t="s">
        <v>159</v>
      </c>
      <c r="J32" s="53" t="s">
        <v>38</v>
      </c>
      <c r="K32" s="53" t="s">
        <v>161</v>
      </c>
      <c r="L32" s="53">
        <v>1</v>
      </c>
      <c r="N32" s="53">
        <v>1</v>
      </c>
      <c r="O32" s="53">
        <v>0.55000000000000004</v>
      </c>
      <c r="P32" s="53">
        <v>0.55000000000000004</v>
      </c>
      <c r="Q32" s="84">
        <f t="shared" si="0"/>
        <v>0.55000000000000004</v>
      </c>
      <c r="R32" s="53">
        <v>17.5</v>
      </c>
      <c r="S32" s="53">
        <v>136</v>
      </c>
      <c r="T32" s="16">
        <f t="shared" si="1"/>
        <v>30</v>
      </c>
      <c r="U32" s="53">
        <v>108</v>
      </c>
      <c r="V32" s="16">
        <f t="shared" si="2"/>
        <v>3240</v>
      </c>
      <c r="W32" s="53">
        <v>3</v>
      </c>
      <c r="X32" s="53" t="s">
        <v>39</v>
      </c>
      <c r="Y32" s="53" t="s">
        <v>88</v>
      </c>
      <c r="Z32" s="53" t="s">
        <v>86</v>
      </c>
      <c r="AA32" s="53" t="s">
        <v>97</v>
      </c>
      <c r="AB32" s="53" t="s">
        <v>236</v>
      </c>
    </row>
    <row r="33" spans="1:28" x14ac:dyDescent="0.15">
      <c r="A33" s="53" t="s">
        <v>34</v>
      </c>
      <c r="B33" s="53" t="s">
        <v>232</v>
      </c>
      <c r="C33" s="53">
        <v>2019</v>
      </c>
      <c r="D33" s="153" t="s">
        <v>166</v>
      </c>
      <c r="E33" s="53" t="s">
        <v>355</v>
      </c>
      <c r="F33" s="53" t="s">
        <v>356</v>
      </c>
      <c r="G33" s="53" t="s">
        <v>36</v>
      </c>
      <c r="H33" s="53" t="s">
        <v>164</v>
      </c>
      <c r="I33" s="53" t="s">
        <v>159</v>
      </c>
      <c r="J33" s="53" t="s">
        <v>38</v>
      </c>
      <c r="K33" s="53" t="s">
        <v>161</v>
      </c>
      <c r="L33" s="53">
        <v>2</v>
      </c>
      <c r="N33" s="53">
        <v>1</v>
      </c>
      <c r="O33" s="53">
        <v>0.75</v>
      </c>
      <c r="P33" s="53">
        <v>0.65</v>
      </c>
      <c r="Q33" s="84">
        <f t="shared" si="0"/>
        <v>0.7</v>
      </c>
      <c r="R33" s="53">
        <v>17.8</v>
      </c>
      <c r="S33" s="53">
        <v>137</v>
      </c>
      <c r="T33" s="16">
        <f t="shared" si="1"/>
        <v>30</v>
      </c>
      <c r="U33" s="53">
        <v>108</v>
      </c>
      <c r="V33" s="16">
        <f t="shared" si="2"/>
        <v>3240</v>
      </c>
      <c r="W33" s="53">
        <v>3</v>
      </c>
      <c r="X33" s="53" t="s">
        <v>39</v>
      </c>
      <c r="Y33" s="53" t="s">
        <v>88</v>
      </c>
      <c r="Z33" s="53" t="s">
        <v>86</v>
      </c>
      <c r="AA33" s="53" t="s">
        <v>97</v>
      </c>
      <c r="AB33" s="53" t="s">
        <v>236</v>
      </c>
    </row>
    <row r="34" spans="1:28" x14ac:dyDescent="0.15">
      <c r="A34" s="53" t="s">
        <v>34</v>
      </c>
      <c r="B34" s="53" t="s">
        <v>232</v>
      </c>
      <c r="C34" s="53">
        <v>2019</v>
      </c>
      <c r="D34" s="153" t="s">
        <v>166</v>
      </c>
      <c r="E34" s="53" t="s">
        <v>355</v>
      </c>
      <c r="F34" s="53" t="s">
        <v>356</v>
      </c>
      <c r="G34" s="53" t="s">
        <v>36</v>
      </c>
      <c r="H34" s="53" t="s">
        <v>164</v>
      </c>
      <c r="I34" s="53" t="s">
        <v>159</v>
      </c>
      <c r="J34" s="53" t="s">
        <v>38</v>
      </c>
      <c r="K34" s="53" t="s">
        <v>161</v>
      </c>
      <c r="L34" s="53">
        <v>3</v>
      </c>
      <c r="N34" s="53">
        <v>1</v>
      </c>
      <c r="O34" s="53">
        <v>0.75</v>
      </c>
      <c r="P34" s="53">
        <v>0.7</v>
      </c>
      <c r="Q34" s="84">
        <f>IF(OR(O34="",P34=""),"",AVERAGE(O34,P34))</f>
        <v>0.72499999999999998</v>
      </c>
      <c r="R34" s="53">
        <v>18.600000000000001</v>
      </c>
      <c r="S34" s="53">
        <v>140</v>
      </c>
      <c r="T34" s="16">
        <f t="shared" si="1"/>
        <v>30</v>
      </c>
      <c r="U34" s="53">
        <v>108</v>
      </c>
      <c r="V34" s="16">
        <f t="shared" si="2"/>
        <v>3240</v>
      </c>
      <c r="W34" s="53">
        <v>3</v>
      </c>
      <c r="X34" s="53" t="s">
        <v>39</v>
      </c>
      <c r="Y34" s="53" t="s">
        <v>88</v>
      </c>
      <c r="Z34" s="53" t="s">
        <v>86</v>
      </c>
      <c r="AA34" s="53" t="s">
        <v>97</v>
      </c>
      <c r="AB34" s="53" t="s">
        <v>236</v>
      </c>
    </row>
    <row r="35" spans="1:28" x14ac:dyDescent="0.15">
      <c r="A35" s="53" t="s">
        <v>34</v>
      </c>
      <c r="B35" s="53" t="s">
        <v>232</v>
      </c>
      <c r="C35" s="53">
        <v>2019</v>
      </c>
      <c r="D35" s="153" t="s">
        <v>166</v>
      </c>
      <c r="E35" s="53" t="s">
        <v>355</v>
      </c>
      <c r="F35" s="53" t="s">
        <v>356</v>
      </c>
      <c r="G35" s="53" t="s">
        <v>36</v>
      </c>
      <c r="H35" s="53" t="s">
        <v>164</v>
      </c>
      <c r="I35" s="53" t="s">
        <v>159</v>
      </c>
      <c r="J35" s="53" t="s">
        <v>38</v>
      </c>
      <c r="K35" s="53" t="s">
        <v>161</v>
      </c>
      <c r="L35" s="53">
        <v>1</v>
      </c>
      <c r="N35" s="53">
        <v>4</v>
      </c>
      <c r="O35" s="53">
        <v>0.45</v>
      </c>
      <c r="P35" s="53">
        <v>0.45</v>
      </c>
      <c r="Q35" s="84">
        <f t="shared" ref="Q35:Q36" si="3">IF(OR(O35="",P35=""),"",AVERAGE(O35,P35))</f>
        <v>0.45</v>
      </c>
      <c r="R35" s="53">
        <v>17.100000000000001</v>
      </c>
      <c r="S35" s="53">
        <v>94</v>
      </c>
      <c r="T35" s="16">
        <f t="shared" si="1"/>
        <v>36</v>
      </c>
      <c r="U35" s="53">
        <v>321</v>
      </c>
      <c r="V35" s="16">
        <f t="shared" si="2"/>
        <v>2889</v>
      </c>
      <c r="W35" s="53">
        <v>3</v>
      </c>
      <c r="X35" s="53" t="s">
        <v>39</v>
      </c>
      <c r="Y35" s="53" t="s">
        <v>88</v>
      </c>
      <c r="Z35" s="53" t="s">
        <v>86</v>
      </c>
      <c r="AA35" s="53" t="s">
        <v>97</v>
      </c>
      <c r="AB35" s="53" t="s">
        <v>236</v>
      </c>
    </row>
    <row r="36" spans="1:28" x14ac:dyDescent="0.15">
      <c r="A36" s="53" t="s">
        <v>34</v>
      </c>
      <c r="B36" s="53" t="s">
        <v>232</v>
      </c>
      <c r="C36" s="53">
        <v>2019</v>
      </c>
      <c r="D36" s="153" t="s">
        <v>166</v>
      </c>
      <c r="E36" s="53" t="s">
        <v>355</v>
      </c>
      <c r="F36" s="53" t="s">
        <v>356</v>
      </c>
      <c r="G36" s="53" t="s">
        <v>36</v>
      </c>
      <c r="H36" s="53" t="s">
        <v>164</v>
      </c>
      <c r="I36" s="53" t="s">
        <v>159</v>
      </c>
      <c r="J36" s="53" t="s">
        <v>38</v>
      </c>
      <c r="K36" s="53" t="s">
        <v>161</v>
      </c>
      <c r="L36" s="53">
        <v>2</v>
      </c>
      <c r="N36" s="53">
        <v>4</v>
      </c>
      <c r="O36" s="53">
        <v>0.45</v>
      </c>
      <c r="P36" s="53">
        <v>0.45</v>
      </c>
      <c r="Q36" s="84">
        <f t="shared" si="3"/>
        <v>0.45</v>
      </c>
      <c r="R36" s="53">
        <v>17.100000000000001</v>
      </c>
      <c r="S36" s="53">
        <v>92</v>
      </c>
      <c r="T36" s="16">
        <f t="shared" si="1"/>
        <v>36</v>
      </c>
      <c r="U36" s="53">
        <v>321</v>
      </c>
      <c r="V36" s="16">
        <f t="shared" si="2"/>
        <v>2889</v>
      </c>
      <c r="W36" s="53">
        <v>3</v>
      </c>
      <c r="X36" s="53" t="s">
        <v>39</v>
      </c>
      <c r="Y36" s="53" t="s">
        <v>88</v>
      </c>
      <c r="Z36" s="53" t="s">
        <v>86</v>
      </c>
      <c r="AA36" s="53" t="s">
        <v>97</v>
      </c>
      <c r="AB36" s="53" t="s">
        <v>236</v>
      </c>
    </row>
    <row r="37" spans="1:28" x14ac:dyDescent="0.15">
      <c r="A37" s="53" t="s">
        <v>34</v>
      </c>
      <c r="B37" s="53" t="s">
        <v>232</v>
      </c>
      <c r="C37" s="53">
        <v>2019</v>
      </c>
      <c r="D37" s="153" t="s">
        <v>166</v>
      </c>
      <c r="E37" s="53" t="s">
        <v>355</v>
      </c>
      <c r="F37" s="53" t="s">
        <v>356</v>
      </c>
      <c r="G37" s="53" t="s">
        <v>36</v>
      </c>
      <c r="H37" s="53" t="s">
        <v>164</v>
      </c>
      <c r="I37" s="53" t="s">
        <v>159</v>
      </c>
      <c r="J37" s="53" t="s">
        <v>38</v>
      </c>
      <c r="K37" s="53" t="s">
        <v>161</v>
      </c>
      <c r="L37" s="53">
        <v>3</v>
      </c>
      <c r="N37" s="53">
        <v>4</v>
      </c>
      <c r="O37" s="53">
        <v>0.45</v>
      </c>
      <c r="P37" s="53">
        <v>0.45</v>
      </c>
      <c r="Q37" s="84">
        <f>IF(OR(O37="",P37=""),"",AVERAGE(O37,P37))</f>
        <v>0.45</v>
      </c>
      <c r="R37" s="53">
        <v>17.399999999999999</v>
      </c>
      <c r="S37" s="53">
        <v>89</v>
      </c>
      <c r="T37" s="16">
        <f t="shared" si="1"/>
        <v>36</v>
      </c>
      <c r="U37" s="53">
        <v>321</v>
      </c>
      <c r="V37" s="16">
        <f t="shared" si="2"/>
        <v>2889</v>
      </c>
      <c r="W37" s="53">
        <v>3</v>
      </c>
      <c r="X37" s="53" t="s">
        <v>39</v>
      </c>
      <c r="Y37" s="53" t="s">
        <v>88</v>
      </c>
      <c r="Z37" s="53" t="s">
        <v>86</v>
      </c>
      <c r="AA37" s="53" t="s">
        <v>97</v>
      </c>
      <c r="AB37" s="53" t="s">
        <v>236</v>
      </c>
    </row>
    <row r="38" spans="1:28" x14ac:dyDescent="0.15">
      <c r="A38" s="53" t="s">
        <v>34</v>
      </c>
      <c r="B38" s="53" t="s">
        <v>232</v>
      </c>
      <c r="C38" s="53">
        <v>2019</v>
      </c>
      <c r="D38" s="153" t="s">
        <v>166</v>
      </c>
      <c r="E38" s="53" t="s">
        <v>355</v>
      </c>
      <c r="F38" s="53" t="s">
        <v>356</v>
      </c>
      <c r="G38" s="53" t="s">
        <v>36</v>
      </c>
      <c r="H38" s="53" t="s">
        <v>160</v>
      </c>
      <c r="I38" s="53" t="s">
        <v>159</v>
      </c>
      <c r="J38" s="53" t="s">
        <v>38</v>
      </c>
      <c r="K38" s="53" t="s">
        <v>161</v>
      </c>
      <c r="L38" s="53">
        <v>1</v>
      </c>
      <c r="N38" s="53">
        <v>1</v>
      </c>
      <c r="O38" s="53">
        <v>0.2</v>
      </c>
      <c r="P38" s="53">
        <v>0.2</v>
      </c>
      <c r="Q38" s="84">
        <f t="shared" ref="Q38:Q39" si="4">IF(OR(O38="",P38=""),"",AVERAGE(O38,P38))</f>
        <v>0.2</v>
      </c>
      <c r="R38" s="53">
        <v>22.2</v>
      </c>
      <c r="S38" s="53">
        <v>141</v>
      </c>
      <c r="T38" s="16">
        <f t="shared" si="1"/>
        <v>30</v>
      </c>
      <c r="U38" s="53">
        <v>138</v>
      </c>
      <c r="V38" s="16">
        <f t="shared" si="2"/>
        <v>4140</v>
      </c>
      <c r="W38" s="53">
        <v>3</v>
      </c>
      <c r="X38" s="53" t="s">
        <v>39</v>
      </c>
      <c r="Y38" s="53" t="s">
        <v>88</v>
      </c>
      <c r="Z38" s="53" t="s">
        <v>86</v>
      </c>
      <c r="AA38" s="53" t="s">
        <v>97</v>
      </c>
      <c r="AB38" s="53" t="s">
        <v>236</v>
      </c>
    </row>
    <row r="39" spans="1:28" x14ac:dyDescent="0.15">
      <c r="A39" s="53" t="s">
        <v>34</v>
      </c>
      <c r="B39" s="53" t="s">
        <v>232</v>
      </c>
      <c r="C39" s="53">
        <v>2019</v>
      </c>
      <c r="D39" s="153" t="s">
        <v>166</v>
      </c>
      <c r="E39" s="53" t="s">
        <v>355</v>
      </c>
      <c r="F39" s="53" t="s">
        <v>356</v>
      </c>
      <c r="G39" s="53" t="s">
        <v>36</v>
      </c>
      <c r="H39" s="53" t="s">
        <v>160</v>
      </c>
      <c r="I39" s="53" t="s">
        <v>159</v>
      </c>
      <c r="J39" s="53" t="s">
        <v>38</v>
      </c>
      <c r="K39" s="53" t="s">
        <v>161</v>
      </c>
      <c r="L39" s="53">
        <v>2</v>
      </c>
      <c r="N39" s="53">
        <v>1</v>
      </c>
      <c r="O39" s="53">
        <v>0.2</v>
      </c>
      <c r="P39" s="53">
        <v>0.2</v>
      </c>
      <c r="Q39" s="84">
        <f t="shared" si="4"/>
        <v>0.2</v>
      </c>
      <c r="R39" s="53">
        <v>20.9</v>
      </c>
      <c r="S39" s="53">
        <v>143</v>
      </c>
      <c r="T39" s="16">
        <f t="shared" si="1"/>
        <v>30</v>
      </c>
      <c r="U39" s="53">
        <v>138</v>
      </c>
      <c r="V39" s="16">
        <f t="shared" si="2"/>
        <v>4140</v>
      </c>
      <c r="W39" s="53">
        <v>3</v>
      </c>
      <c r="X39" s="53" t="s">
        <v>39</v>
      </c>
      <c r="Y39" s="53" t="s">
        <v>88</v>
      </c>
      <c r="Z39" s="53" t="s">
        <v>86</v>
      </c>
      <c r="AA39" s="53" t="s">
        <v>97</v>
      </c>
      <c r="AB39" s="53" t="s">
        <v>236</v>
      </c>
    </row>
    <row r="40" spans="1:28" x14ac:dyDescent="0.15">
      <c r="A40" s="53" t="s">
        <v>34</v>
      </c>
      <c r="B40" s="53" t="s">
        <v>232</v>
      </c>
      <c r="C40" s="53">
        <v>2019</v>
      </c>
      <c r="D40" s="153" t="s">
        <v>166</v>
      </c>
      <c r="E40" s="53" t="s">
        <v>355</v>
      </c>
      <c r="F40" s="53" t="s">
        <v>356</v>
      </c>
      <c r="G40" s="53" t="s">
        <v>36</v>
      </c>
      <c r="H40" s="53" t="s">
        <v>160</v>
      </c>
      <c r="I40" s="53" t="s">
        <v>159</v>
      </c>
      <c r="J40" s="53" t="s">
        <v>38</v>
      </c>
      <c r="K40" s="53" t="s">
        <v>161</v>
      </c>
      <c r="L40" s="53">
        <v>3</v>
      </c>
      <c r="N40" s="53">
        <v>1</v>
      </c>
      <c r="O40" s="53">
        <v>0.2</v>
      </c>
      <c r="P40" s="53">
        <v>0.2</v>
      </c>
      <c r="Q40" s="84">
        <f>IF(OR(O40="",P40=""),"",AVERAGE(O40,P40))</f>
        <v>0.2</v>
      </c>
      <c r="R40" s="53">
        <v>25.2</v>
      </c>
      <c r="S40" s="53">
        <v>140</v>
      </c>
      <c r="T40" s="16">
        <f t="shared" si="1"/>
        <v>30</v>
      </c>
      <c r="U40" s="53">
        <v>138</v>
      </c>
      <c r="V40" s="16">
        <f t="shared" si="2"/>
        <v>4140</v>
      </c>
      <c r="W40" s="53">
        <v>3</v>
      </c>
      <c r="X40" s="53" t="s">
        <v>39</v>
      </c>
      <c r="Y40" s="53" t="s">
        <v>88</v>
      </c>
      <c r="Z40" s="53" t="s">
        <v>86</v>
      </c>
      <c r="AA40" s="53" t="s">
        <v>97</v>
      </c>
      <c r="AB40" s="53" t="s">
        <v>236</v>
      </c>
    </row>
    <row r="41" spans="1:28" x14ac:dyDescent="0.15">
      <c r="A41" s="53" t="s">
        <v>34</v>
      </c>
      <c r="B41" s="53" t="s">
        <v>232</v>
      </c>
      <c r="C41" s="53">
        <v>2019</v>
      </c>
      <c r="D41" s="153" t="s">
        <v>166</v>
      </c>
      <c r="E41" s="53" t="s">
        <v>355</v>
      </c>
      <c r="F41" s="53" t="s">
        <v>356</v>
      </c>
      <c r="G41" s="53" t="s">
        <v>36</v>
      </c>
      <c r="H41" s="53" t="s">
        <v>160</v>
      </c>
      <c r="I41" s="53" t="s">
        <v>159</v>
      </c>
      <c r="J41" s="53" t="s">
        <v>38</v>
      </c>
      <c r="K41" s="53" t="s">
        <v>161</v>
      </c>
      <c r="L41" s="53">
        <v>1</v>
      </c>
      <c r="N41" s="53">
        <v>4</v>
      </c>
      <c r="O41" s="53">
        <v>0.2</v>
      </c>
      <c r="P41" s="53">
        <v>0.45</v>
      </c>
      <c r="Q41" s="84">
        <f t="shared" si="0"/>
        <v>0.32500000000000001</v>
      </c>
      <c r="R41" s="53">
        <v>18.2</v>
      </c>
      <c r="S41" s="53">
        <v>111</v>
      </c>
      <c r="T41" s="16">
        <f t="shared" si="1"/>
        <v>33</v>
      </c>
      <c r="U41" s="53">
        <v>429</v>
      </c>
      <c r="V41" s="16">
        <f t="shared" si="2"/>
        <v>3539.25</v>
      </c>
      <c r="W41" s="53">
        <v>3</v>
      </c>
      <c r="X41" s="53" t="s">
        <v>39</v>
      </c>
      <c r="Y41" s="53" t="s">
        <v>88</v>
      </c>
      <c r="Z41" s="53" t="s">
        <v>86</v>
      </c>
      <c r="AA41" s="53" t="s">
        <v>97</v>
      </c>
      <c r="AB41" s="53" t="s">
        <v>236</v>
      </c>
    </row>
    <row r="42" spans="1:28" x14ac:dyDescent="0.15">
      <c r="A42" s="53" t="s">
        <v>34</v>
      </c>
      <c r="B42" s="53" t="s">
        <v>232</v>
      </c>
      <c r="C42" s="53">
        <v>2019</v>
      </c>
      <c r="D42" s="153" t="s">
        <v>166</v>
      </c>
      <c r="E42" s="53" t="s">
        <v>355</v>
      </c>
      <c r="F42" s="53" t="s">
        <v>356</v>
      </c>
      <c r="G42" s="53" t="s">
        <v>36</v>
      </c>
      <c r="H42" s="53" t="s">
        <v>160</v>
      </c>
      <c r="I42" s="53" t="s">
        <v>159</v>
      </c>
      <c r="J42" s="53" t="s">
        <v>38</v>
      </c>
      <c r="K42" s="53" t="s">
        <v>161</v>
      </c>
      <c r="L42" s="53">
        <v>2</v>
      </c>
      <c r="N42" s="53">
        <v>4</v>
      </c>
      <c r="O42" s="53">
        <v>0.45</v>
      </c>
      <c r="P42" s="53">
        <v>0.45</v>
      </c>
      <c r="Q42" s="84">
        <f t="shared" si="0"/>
        <v>0.45</v>
      </c>
      <c r="R42" s="53">
        <v>16.8</v>
      </c>
      <c r="S42" s="53">
        <v>111</v>
      </c>
      <c r="T42" s="16">
        <f t="shared" si="1"/>
        <v>33</v>
      </c>
      <c r="U42" s="53">
        <v>429</v>
      </c>
      <c r="V42" s="16">
        <f t="shared" si="2"/>
        <v>3539.25</v>
      </c>
      <c r="W42" s="53">
        <v>3</v>
      </c>
      <c r="X42" s="53" t="s">
        <v>39</v>
      </c>
      <c r="Y42" s="53" t="s">
        <v>88</v>
      </c>
      <c r="Z42" s="53" t="s">
        <v>86</v>
      </c>
      <c r="AA42" s="53" t="s">
        <v>97</v>
      </c>
      <c r="AB42" s="53" t="s">
        <v>236</v>
      </c>
    </row>
    <row r="43" spans="1:28" x14ac:dyDescent="0.15">
      <c r="A43" s="53" t="s">
        <v>34</v>
      </c>
      <c r="B43" s="53" t="s">
        <v>232</v>
      </c>
      <c r="C43" s="53">
        <v>2019</v>
      </c>
      <c r="D43" s="153" t="s">
        <v>166</v>
      </c>
      <c r="E43" s="53" t="s">
        <v>355</v>
      </c>
      <c r="F43" s="53" t="s">
        <v>356</v>
      </c>
      <c r="G43" s="53" t="s">
        <v>36</v>
      </c>
      <c r="H43" s="53" t="s">
        <v>160</v>
      </c>
      <c r="I43" s="53" t="s">
        <v>159</v>
      </c>
      <c r="J43" s="53" t="s">
        <v>38</v>
      </c>
      <c r="K43" s="53" t="s">
        <v>161</v>
      </c>
      <c r="L43" s="53">
        <v>3</v>
      </c>
      <c r="N43" s="53">
        <v>4</v>
      </c>
      <c r="O43" s="53">
        <v>0.2</v>
      </c>
      <c r="P43" s="53">
        <v>0.45</v>
      </c>
      <c r="Q43" s="84">
        <f t="shared" si="0"/>
        <v>0.32500000000000001</v>
      </c>
      <c r="R43" s="53">
        <v>16.8</v>
      </c>
      <c r="S43" s="53">
        <v>103</v>
      </c>
      <c r="T43" s="16">
        <f t="shared" si="1"/>
        <v>33</v>
      </c>
      <c r="U43" s="53">
        <v>429</v>
      </c>
      <c r="V43" s="16">
        <f t="shared" si="2"/>
        <v>3539.25</v>
      </c>
      <c r="W43" s="53">
        <v>3</v>
      </c>
      <c r="X43" s="53" t="s">
        <v>39</v>
      </c>
      <c r="Y43" s="53" t="s">
        <v>88</v>
      </c>
      <c r="Z43" s="53" t="s">
        <v>86</v>
      </c>
      <c r="AA43" s="53" t="s">
        <v>97</v>
      </c>
      <c r="AB43" s="53" t="s">
        <v>236</v>
      </c>
    </row>
    <row r="44" spans="1:28" x14ac:dyDescent="0.15">
      <c r="A44" s="53" t="s">
        <v>34</v>
      </c>
      <c r="B44" s="53" t="s">
        <v>232</v>
      </c>
      <c r="C44" s="53">
        <v>2019</v>
      </c>
      <c r="D44" s="153" t="s">
        <v>166</v>
      </c>
      <c r="E44" s="53" t="s">
        <v>364</v>
      </c>
      <c r="F44" s="53" t="s">
        <v>365</v>
      </c>
      <c r="G44" s="53" t="s">
        <v>36</v>
      </c>
      <c r="H44" s="53" t="s">
        <v>164</v>
      </c>
      <c r="I44" s="53" t="s">
        <v>159</v>
      </c>
      <c r="J44" s="53" t="s">
        <v>38</v>
      </c>
      <c r="K44" s="53" t="s">
        <v>161</v>
      </c>
      <c r="L44" s="53">
        <v>1</v>
      </c>
      <c r="N44" s="53">
        <v>1</v>
      </c>
      <c r="O44" s="53">
        <v>0.8</v>
      </c>
      <c r="P44" s="53">
        <v>0.75</v>
      </c>
      <c r="Q44" s="84">
        <f t="shared" si="0"/>
        <v>0.77500000000000002</v>
      </c>
      <c r="R44" s="53">
        <v>17.5</v>
      </c>
      <c r="S44" s="53">
        <v>112</v>
      </c>
      <c r="T44" s="16">
        <f t="shared" si="1"/>
        <v>33</v>
      </c>
      <c r="U44" s="53">
        <v>138</v>
      </c>
      <c r="V44" s="16">
        <f t="shared" si="2"/>
        <v>4554</v>
      </c>
      <c r="W44" s="53">
        <v>8</v>
      </c>
      <c r="X44" s="53" t="s">
        <v>46</v>
      </c>
      <c r="Y44" s="53" t="s">
        <v>88</v>
      </c>
      <c r="Z44" s="53" t="s">
        <v>97</v>
      </c>
      <c r="AA44" s="53" t="s">
        <v>78</v>
      </c>
      <c r="AB44" s="53" t="s">
        <v>236</v>
      </c>
    </row>
    <row r="45" spans="1:28" x14ac:dyDescent="0.15">
      <c r="A45" s="53" t="s">
        <v>34</v>
      </c>
      <c r="B45" s="53" t="s">
        <v>232</v>
      </c>
      <c r="C45" s="53">
        <v>2019</v>
      </c>
      <c r="D45" s="153" t="s">
        <v>166</v>
      </c>
      <c r="E45" s="53" t="s">
        <v>364</v>
      </c>
      <c r="F45" s="53" t="s">
        <v>365</v>
      </c>
      <c r="G45" s="53" t="s">
        <v>36</v>
      </c>
      <c r="H45" s="53" t="s">
        <v>164</v>
      </c>
      <c r="I45" s="53" t="s">
        <v>159</v>
      </c>
      <c r="J45" s="53" t="s">
        <v>38</v>
      </c>
      <c r="K45" s="53" t="s">
        <v>161</v>
      </c>
      <c r="L45" s="53">
        <v>2</v>
      </c>
      <c r="N45" s="53">
        <v>1</v>
      </c>
      <c r="O45" s="53">
        <v>0.9</v>
      </c>
      <c r="P45" s="53">
        <v>0.75</v>
      </c>
      <c r="Q45" s="84">
        <f t="shared" si="0"/>
        <v>0.82499999999999996</v>
      </c>
      <c r="R45" s="53">
        <v>17.3</v>
      </c>
      <c r="S45" s="53">
        <v>118</v>
      </c>
      <c r="T45" s="16">
        <f t="shared" si="1"/>
        <v>30</v>
      </c>
      <c r="U45" s="53">
        <v>138</v>
      </c>
      <c r="V45" s="16">
        <f t="shared" si="2"/>
        <v>4140</v>
      </c>
      <c r="W45" s="53">
        <v>8</v>
      </c>
      <c r="X45" s="53" t="s">
        <v>46</v>
      </c>
      <c r="Y45" s="53" t="s">
        <v>88</v>
      </c>
      <c r="Z45" s="53" t="s">
        <v>97</v>
      </c>
      <c r="AA45" s="53" t="s">
        <v>78</v>
      </c>
      <c r="AB45" s="53" t="s">
        <v>236</v>
      </c>
    </row>
    <row r="46" spans="1:28" x14ac:dyDescent="0.15">
      <c r="A46" s="53" t="s">
        <v>34</v>
      </c>
      <c r="B46" s="53" t="s">
        <v>232</v>
      </c>
      <c r="C46" s="53">
        <v>2019</v>
      </c>
      <c r="D46" s="153" t="s">
        <v>166</v>
      </c>
      <c r="E46" s="53" t="s">
        <v>364</v>
      </c>
      <c r="F46" s="53" t="s">
        <v>365</v>
      </c>
      <c r="G46" s="53" t="s">
        <v>36</v>
      </c>
      <c r="H46" s="53" t="s">
        <v>164</v>
      </c>
      <c r="I46" s="53" t="s">
        <v>159</v>
      </c>
      <c r="J46" s="53" t="s">
        <v>38</v>
      </c>
      <c r="K46" s="53" t="s">
        <v>161</v>
      </c>
      <c r="L46" s="53">
        <v>3</v>
      </c>
      <c r="N46" s="53">
        <v>1</v>
      </c>
      <c r="O46" s="53">
        <v>0.8</v>
      </c>
      <c r="P46" s="53">
        <v>0.75</v>
      </c>
      <c r="Q46" s="84">
        <f t="shared" si="0"/>
        <v>0.77500000000000002</v>
      </c>
      <c r="R46" s="53">
        <v>17.3</v>
      </c>
      <c r="S46" s="53">
        <v>116</v>
      </c>
      <c r="T46" s="16">
        <f t="shared" si="1"/>
        <v>30</v>
      </c>
      <c r="U46" s="53">
        <v>138</v>
      </c>
      <c r="V46" s="16">
        <f t="shared" si="2"/>
        <v>4140</v>
      </c>
      <c r="W46" s="53">
        <v>8</v>
      </c>
      <c r="X46" s="53" t="s">
        <v>46</v>
      </c>
      <c r="Y46" s="53" t="s">
        <v>88</v>
      </c>
      <c r="Z46" s="53" t="s">
        <v>97</v>
      </c>
      <c r="AA46" s="53" t="s">
        <v>78</v>
      </c>
      <c r="AB46" s="53" t="s">
        <v>236</v>
      </c>
    </row>
    <row r="47" spans="1:28" x14ac:dyDescent="0.15">
      <c r="A47" s="53" t="s">
        <v>34</v>
      </c>
      <c r="B47" s="53" t="s">
        <v>232</v>
      </c>
      <c r="C47" s="53">
        <v>2019</v>
      </c>
      <c r="D47" s="153" t="s">
        <v>166</v>
      </c>
      <c r="E47" s="53" t="s">
        <v>364</v>
      </c>
      <c r="F47" s="53" t="s">
        <v>365</v>
      </c>
      <c r="G47" s="53" t="s">
        <v>36</v>
      </c>
      <c r="H47" s="53" t="s">
        <v>164</v>
      </c>
      <c r="I47" s="53" t="s">
        <v>159</v>
      </c>
      <c r="J47" s="53" t="s">
        <v>38</v>
      </c>
      <c r="K47" s="53" t="s">
        <v>161</v>
      </c>
      <c r="L47" s="53">
        <v>1</v>
      </c>
      <c r="N47" s="53">
        <v>4</v>
      </c>
      <c r="O47" s="53">
        <v>0.8</v>
      </c>
      <c r="P47" s="53">
        <v>0.8</v>
      </c>
      <c r="Q47" s="84">
        <f t="shared" si="0"/>
        <v>0.8</v>
      </c>
      <c r="R47" s="53">
        <v>16.8</v>
      </c>
      <c r="S47" s="53">
        <v>84</v>
      </c>
      <c r="T47" s="16">
        <f t="shared" si="1"/>
        <v>36</v>
      </c>
      <c r="U47" s="53">
        <v>429</v>
      </c>
      <c r="V47" s="16">
        <f t="shared" si="2"/>
        <v>3861</v>
      </c>
      <c r="W47" s="53">
        <v>8</v>
      </c>
      <c r="X47" s="53" t="s">
        <v>46</v>
      </c>
      <c r="Y47" s="53" t="s">
        <v>88</v>
      </c>
      <c r="Z47" s="53" t="s">
        <v>97</v>
      </c>
      <c r="AA47" s="53" t="s">
        <v>78</v>
      </c>
      <c r="AB47" s="53" t="s">
        <v>236</v>
      </c>
    </row>
    <row r="48" spans="1:28" x14ac:dyDescent="0.15">
      <c r="A48" s="53" t="s">
        <v>34</v>
      </c>
      <c r="B48" s="53" t="s">
        <v>232</v>
      </c>
      <c r="C48" s="53">
        <v>2019</v>
      </c>
      <c r="D48" s="153" t="s">
        <v>166</v>
      </c>
      <c r="E48" s="53" t="s">
        <v>364</v>
      </c>
      <c r="F48" s="53" t="s">
        <v>365</v>
      </c>
      <c r="G48" s="53" t="s">
        <v>36</v>
      </c>
      <c r="H48" s="53" t="s">
        <v>164</v>
      </c>
      <c r="I48" s="53" t="s">
        <v>159</v>
      </c>
      <c r="J48" s="53" t="s">
        <v>38</v>
      </c>
      <c r="K48" s="53" t="s">
        <v>161</v>
      </c>
      <c r="L48" s="53">
        <v>2</v>
      </c>
      <c r="N48" s="53">
        <v>4</v>
      </c>
      <c r="O48" s="53">
        <v>0.55000000000000004</v>
      </c>
      <c r="P48" s="53">
        <v>0.7</v>
      </c>
      <c r="Q48" s="84">
        <f t="shared" si="0"/>
        <v>0.625</v>
      </c>
      <c r="R48" s="53">
        <v>15.8</v>
      </c>
      <c r="S48" s="53">
        <v>88</v>
      </c>
      <c r="T48" s="16">
        <f t="shared" si="1"/>
        <v>36</v>
      </c>
      <c r="U48" s="53">
        <v>429</v>
      </c>
      <c r="V48" s="16">
        <f t="shared" si="2"/>
        <v>3861</v>
      </c>
      <c r="W48" s="53">
        <v>8</v>
      </c>
      <c r="X48" s="53" t="s">
        <v>46</v>
      </c>
      <c r="Y48" s="53" t="s">
        <v>88</v>
      </c>
      <c r="Z48" s="53" t="s">
        <v>97</v>
      </c>
      <c r="AA48" s="53" t="s">
        <v>78</v>
      </c>
      <c r="AB48" s="53" t="s">
        <v>236</v>
      </c>
    </row>
    <row r="49" spans="1:28" x14ac:dyDescent="0.15">
      <c r="A49" s="53" t="s">
        <v>34</v>
      </c>
      <c r="B49" s="53" t="s">
        <v>232</v>
      </c>
      <c r="C49" s="53">
        <v>2019</v>
      </c>
      <c r="D49" s="153" t="s">
        <v>166</v>
      </c>
      <c r="E49" s="53" t="s">
        <v>364</v>
      </c>
      <c r="F49" s="53" t="s">
        <v>365</v>
      </c>
      <c r="G49" s="53" t="s">
        <v>36</v>
      </c>
      <c r="H49" s="53" t="s">
        <v>164</v>
      </c>
      <c r="I49" s="53" t="s">
        <v>159</v>
      </c>
      <c r="J49" s="53" t="s">
        <v>38</v>
      </c>
      <c r="K49" s="53" t="s">
        <v>161</v>
      </c>
      <c r="L49" s="53">
        <v>3</v>
      </c>
      <c r="N49" s="53">
        <v>4</v>
      </c>
      <c r="O49" s="53">
        <v>0.9</v>
      </c>
      <c r="P49" s="53">
        <v>0.75</v>
      </c>
      <c r="Q49" s="84">
        <f t="shared" si="0"/>
        <v>0.82499999999999996</v>
      </c>
      <c r="R49" s="53">
        <v>15.7</v>
      </c>
      <c r="S49" s="53">
        <v>88</v>
      </c>
      <c r="T49" s="16">
        <f t="shared" si="1"/>
        <v>36</v>
      </c>
      <c r="U49" s="53">
        <v>429</v>
      </c>
      <c r="V49" s="16">
        <f t="shared" si="2"/>
        <v>3861</v>
      </c>
      <c r="W49" s="53">
        <v>8</v>
      </c>
      <c r="X49" s="53" t="s">
        <v>46</v>
      </c>
      <c r="Y49" s="53" t="s">
        <v>88</v>
      </c>
      <c r="Z49" s="53" t="s">
        <v>97</v>
      </c>
      <c r="AA49" s="53" t="s">
        <v>78</v>
      </c>
      <c r="AB49" s="53" t="s">
        <v>236</v>
      </c>
    </row>
    <row r="50" spans="1:28" x14ac:dyDescent="0.15">
      <c r="A50" s="53" t="s">
        <v>34</v>
      </c>
      <c r="B50" s="53" t="s">
        <v>232</v>
      </c>
      <c r="C50" s="53">
        <v>2019</v>
      </c>
      <c r="D50" s="153" t="s">
        <v>166</v>
      </c>
      <c r="E50" s="53" t="s">
        <v>364</v>
      </c>
      <c r="F50" s="53" t="s">
        <v>365</v>
      </c>
      <c r="G50" s="53" t="s">
        <v>36</v>
      </c>
      <c r="H50" s="53" t="s">
        <v>164</v>
      </c>
      <c r="I50" s="53" t="s">
        <v>159</v>
      </c>
      <c r="J50" s="53" t="s">
        <v>38</v>
      </c>
      <c r="K50" s="53" t="s">
        <v>161</v>
      </c>
      <c r="L50" s="53">
        <v>1</v>
      </c>
      <c r="N50" s="53">
        <v>8</v>
      </c>
      <c r="O50" s="53">
        <v>0.5</v>
      </c>
      <c r="P50" s="53">
        <v>0.5</v>
      </c>
      <c r="Q50" s="84">
        <f t="shared" si="0"/>
        <v>0.5</v>
      </c>
      <c r="R50" s="53">
        <v>16.8</v>
      </c>
      <c r="S50" s="53">
        <v>87</v>
      </c>
      <c r="T50" s="16">
        <f t="shared" si="1"/>
        <v>36</v>
      </c>
      <c r="U50" s="53">
        <v>645</v>
      </c>
      <c r="V50" s="16">
        <f t="shared" si="2"/>
        <v>2902.5</v>
      </c>
      <c r="W50" s="53">
        <v>8</v>
      </c>
      <c r="X50" s="53" t="s">
        <v>46</v>
      </c>
      <c r="Y50" s="53" t="s">
        <v>88</v>
      </c>
      <c r="Z50" s="53" t="s">
        <v>97</v>
      </c>
      <c r="AA50" s="53" t="s">
        <v>78</v>
      </c>
      <c r="AB50" s="53" t="s">
        <v>236</v>
      </c>
    </row>
    <row r="51" spans="1:28" x14ac:dyDescent="0.15">
      <c r="A51" s="53" t="s">
        <v>34</v>
      </c>
      <c r="B51" s="53" t="s">
        <v>232</v>
      </c>
      <c r="C51" s="53">
        <v>2019</v>
      </c>
      <c r="D51" s="153" t="s">
        <v>166</v>
      </c>
      <c r="E51" s="53" t="s">
        <v>364</v>
      </c>
      <c r="F51" s="53" t="s">
        <v>365</v>
      </c>
      <c r="G51" s="53" t="s">
        <v>36</v>
      </c>
      <c r="H51" s="53" t="s">
        <v>164</v>
      </c>
      <c r="I51" s="53" t="s">
        <v>159</v>
      </c>
      <c r="J51" s="53" t="s">
        <v>38</v>
      </c>
      <c r="K51" s="53" t="s">
        <v>161</v>
      </c>
      <c r="L51" s="53">
        <v>2</v>
      </c>
      <c r="N51" s="53">
        <v>8</v>
      </c>
      <c r="O51" s="53">
        <v>0.65</v>
      </c>
      <c r="P51" s="53">
        <v>0.65</v>
      </c>
      <c r="Q51" s="84">
        <f t="shared" si="0"/>
        <v>0.65</v>
      </c>
      <c r="R51" s="53">
        <v>15.8</v>
      </c>
      <c r="S51" s="53">
        <v>84</v>
      </c>
      <c r="T51" s="16">
        <f t="shared" si="1"/>
        <v>36</v>
      </c>
      <c r="U51" s="53">
        <v>645</v>
      </c>
      <c r="V51" s="16">
        <f t="shared" si="2"/>
        <v>2902.5</v>
      </c>
      <c r="W51" s="53">
        <v>8</v>
      </c>
      <c r="X51" s="53" t="s">
        <v>46</v>
      </c>
      <c r="Y51" s="53" t="s">
        <v>88</v>
      </c>
      <c r="Z51" s="53" t="s">
        <v>97</v>
      </c>
      <c r="AA51" s="53" t="s">
        <v>78</v>
      </c>
      <c r="AB51" s="53" t="s">
        <v>236</v>
      </c>
    </row>
    <row r="52" spans="1:28" x14ac:dyDescent="0.15">
      <c r="A52" s="53" t="s">
        <v>34</v>
      </c>
      <c r="B52" s="53" t="s">
        <v>232</v>
      </c>
      <c r="C52" s="53">
        <v>2019</v>
      </c>
      <c r="D52" s="153" t="s">
        <v>166</v>
      </c>
      <c r="E52" s="53" t="s">
        <v>364</v>
      </c>
      <c r="F52" s="53" t="s">
        <v>365</v>
      </c>
      <c r="G52" s="53" t="s">
        <v>36</v>
      </c>
      <c r="H52" s="53" t="s">
        <v>164</v>
      </c>
      <c r="I52" s="53" t="s">
        <v>159</v>
      </c>
      <c r="J52" s="53" t="s">
        <v>38</v>
      </c>
      <c r="K52" s="53" t="s">
        <v>161</v>
      </c>
      <c r="L52" s="53">
        <v>3</v>
      </c>
      <c r="N52" s="53">
        <v>8</v>
      </c>
      <c r="O52" s="53">
        <v>0.65</v>
      </c>
      <c r="P52" s="53">
        <v>0.7</v>
      </c>
      <c r="Q52" s="84">
        <f t="shared" si="0"/>
        <v>0.67500000000000004</v>
      </c>
      <c r="R52" s="53">
        <v>18.8</v>
      </c>
      <c r="S52" s="53">
        <v>90</v>
      </c>
      <c r="T52" s="16">
        <f t="shared" si="1"/>
        <v>36</v>
      </c>
      <c r="U52" s="53">
        <v>645</v>
      </c>
      <c r="V52" s="16">
        <f t="shared" si="2"/>
        <v>2902.5</v>
      </c>
      <c r="W52" s="53">
        <v>8</v>
      </c>
      <c r="X52" s="53" t="s">
        <v>46</v>
      </c>
      <c r="Y52" s="53" t="s">
        <v>88</v>
      </c>
      <c r="Z52" s="53" t="s">
        <v>97</v>
      </c>
      <c r="AA52" s="53" t="s">
        <v>78</v>
      </c>
      <c r="AB52" s="53" t="s">
        <v>236</v>
      </c>
    </row>
    <row r="53" spans="1:28" x14ac:dyDescent="0.15">
      <c r="A53" s="53" t="s">
        <v>34</v>
      </c>
      <c r="B53" s="53" t="s">
        <v>232</v>
      </c>
      <c r="C53" s="53">
        <v>2019</v>
      </c>
      <c r="D53" s="153" t="s">
        <v>166</v>
      </c>
      <c r="E53" s="53" t="s">
        <v>364</v>
      </c>
      <c r="F53" s="53" t="s">
        <v>365</v>
      </c>
      <c r="G53" s="53" t="s">
        <v>36</v>
      </c>
      <c r="H53" s="53" t="s">
        <v>160</v>
      </c>
      <c r="I53" s="53" t="s">
        <v>159</v>
      </c>
      <c r="J53" s="53" t="s">
        <v>38</v>
      </c>
      <c r="K53" s="53" t="s">
        <v>161</v>
      </c>
      <c r="L53" s="53">
        <v>1</v>
      </c>
      <c r="N53" s="53">
        <v>1</v>
      </c>
      <c r="O53" s="53">
        <v>0.55000000000000004</v>
      </c>
      <c r="P53" s="53">
        <v>0.65</v>
      </c>
      <c r="Q53" s="84">
        <f t="shared" si="0"/>
        <v>0.60000000000000009</v>
      </c>
      <c r="R53" s="53">
        <v>18.600000000000001</v>
      </c>
      <c r="S53" s="53">
        <v>118</v>
      </c>
      <c r="T53" s="16">
        <f t="shared" si="1"/>
        <v>30</v>
      </c>
      <c r="U53" s="53">
        <v>149</v>
      </c>
      <c r="V53" s="16">
        <f t="shared" si="2"/>
        <v>4470</v>
      </c>
      <c r="W53" s="53">
        <v>5</v>
      </c>
      <c r="X53" s="53" t="s">
        <v>46</v>
      </c>
      <c r="Y53" s="53" t="s">
        <v>88</v>
      </c>
      <c r="Z53" s="53" t="s">
        <v>97</v>
      </c>
      <c r="AA53" s="53" t="s">
        <v>78</v>
      </c>
      <c r="AB53" s="53" t="s">
        <v>236</v>
      </c>
    </row>
    <row r="54" spans="1:28" x14ac:dyDescent="0.15">
      <c r="A54" s="53" t="s">
        <v>34</v>
      </c>
      <c r="B54" s="53" t="s">
        <v>232</v>
      </c>
      <c r="C54" s="53">
        <v>2019</v>
      </c>
      <c r="D54" s="153" t="s">
        <v>166</v>
      </c>
      <c r="E54" s="53" t="s">
        <v>364</v>
      </c>
      <c r="F54" s="53" t="s">
        <v>365</v>
      </c>
      <c r="G54" s="53" t="s">
        <v>36</v>
      </c>
      <c r="H54" s="53" t="s">
        <v>160</v>
      </c>
      <c r="I54" s="53" t="s">
        <v>159</v>
      </c>
      <c r="J54" s="53" t="s">
        <v>38</v>
      </c>
      <c r="K54" s="53" t="s">
        <v>161</v>
      </c>
      <c r="L54" s="53">
        <v>2</v>
      </c>
      <c r="N54" s="53">
        <v>1</v>
      </c>
      <c r="O54" s="53">
        <v>0.6</v>
      </c>
      <c r="P54" s="53">
        <v>0.65</v>
      </c>
      <c r="Q54" s="84">
        <f t="shared" si="0"/>
        <v>0.625</v>
      </c>
      <c r="R54" s="53">
        <v>19.899999999999999</v>
      </c>
      <c r="S54" s="53">
        <v>117</v>
      </c>
      <c r="T54" s="16">
        <f t="shared" si="1"/>
        <v>30</v>
      </c>
      <c r="U54" s="53">
        <v>149</v>
      </c>
      <c r="V54" s="16">
        <f t="shared" si="2"/>
        <v>4470</v>
      </c>
      <c r="W54" s="53">
        <v>5</v>
      </c>
      <c r="X54" s="53" t="s">
        <v>46</v>
      </c>
      <c r="Y54" s="53" t="s">
        <v>88</v>
      </c>
      <c r="Z54" s="53" t="s">
        <v>97</v>
      </c>
      <c r="AA54" s="53" t="s">
        <v>78</v>
      </c>
      <c r="AB54" s="53" t="s">
        <v>236</v>
      </c>
    </row>
    <row r="55" spans="1:28" x14ac:dyDescent="0.15">
      <c r="A55" s="53" t="s">
        <v>34</v>
      </c>
      <c r="B55" s="53" t="s">
        <v>232</v>
      </c>
      <c r="C55" s="53">
        <v>2019</v>
      </c>
      <c r="D55" s="153" t="s">
        <v>166</v>
      </c>
      <c r="E55" s="53" t="s">
        <v>364</v>
      </c>
      <c r="F55" s="53" t="s">
        <v>365</v>
      </c>
      <c r="G55" s="53" t="s">
        <v>36</v>
      </c>
      <c r="H55" s="53" t="s">
        <v>160</v>
      </c>
      <c r="I55" s="53" t="s">
        <v>159</v>
      </c>
      <c r="J55" s="53" t="s">
        <v>38</v>
      </c>
      <c r="K55" s="53" t="s">
        <v>161</v>
      </c>
      <c r="L55" s="53">
        <v>3</v>
      </c>
      <c r="N55" s="53">
        <v>1</v>
      </c>
      <c r="O55" s="53">
        <v>0.5</v>
      </c>
      <c r="P55" s="53">
        <v>0.5</v>
      </c>
      <c r="Q55" s="84">
        <f t="shared" si="0"/>
        <v>0.5</v>
      </c>
      <c r="R55" s="53">
        <v>20.8</v>
      </c>
      <c r="S55" s="53">
        <v>123</v>
      </c>
      <c r="T55" s="16">
        <f t="shared" si="1"/>
        <v>30</v>
      </c>
      <c r="U55" s="53">
        <v>149</v>
      </c>
      <c r="V55" s="16">
        <f t="shared" si="2"/>
        <v>4470</v>
      </c>
      <c r="W55" s="53">
        <v>5</v>
      </c>
      <c r="X55" s="53" t="s">
        <v>46</v>
      </c>
      <c r="Y55" s="53" t="s">
        <v>88</v>
      </c>
      <c r="Z55" s="53" t="s">
        <v>97</v>
      </c>
      <c r="AA55" s="53" t="s">
        <v>78</v>
      </c>
      <c r="AB55" s="53" t="s">
        <v>236</v>
      </c>
    </row>
    <row r="56" spans="1:28" x14ac:dyDescent="0.15">
      <c r="A56" s="53" t="s">
        <v>34</v>
      </c>
      <c r="B56" s="53" t="s">
        <v>232</v>
      </c>
      <c r="C56" s="53">
        <v>2019</v>
      </c>
      <c r="D56" s="153" t="s">
        <v>166</v>
      </c>
      <c r="E56" s="53" t="s">
        <v>364</v>
      </c>
      <c r="F56" s="53" t="s">
        <v>365</v>
      </c>
      <c r="G56" s="53" t="s">
        <v>36</v>
      </c>
      <c r="H56" s="53" t="s">
        <v>160</v>
      </c>
      <c r="I56" s="53" t="s">
        <v>159</v>
      </c>
      <c r="J56" s="53" t="s">
        <v>38</v>
      </c>
      <c r="K56" s="53" t="s">
        <v>161</v>
      </c>
      <c r="L56" s="53">
        <v>1</v>
      </c>
      <c r="N56" s="53">
        <v>4</v>
      </c>
      <c r="O56" s="53">
        <v>0.75</v>
      </c>
      <c r="P56" s="53">
        <v>0.65</v>
      </c>
      <c r="Q56" s="84">
        <f t="shared" si="0"/>
        <v>0.7</v>
      </c>
      <c r="R56" s="53">
        <v>17.399999999999999</v>
      </c>
      <c r="S56" s="53">
        <v>92</v>
      </c>
      <c r="T56" s="16">
        <f t="shared" si="1"/>
        <v>36</v>
      </c>
      <c r="U56" s="53">
        <v>537</v>
      </c>
      <c r="V56" s="16">
        <f t="shared" si="2"/>
        <v>4833</v>
      </c>
      <c r="W56" s="53">
        <v>5</v>
      </c>
      <c r="X56" s="53" t="s">
        <v>46</v>
      </c>
      <c r="Y56" s="53" t="s">
        <v>88</v>
      </c>
      <c r="Z56" s="53" t="s">
        <v>97</v>
      </c>
      <c r="AA56" s="53" t="s">
        <v>78</v>
      </c>
      <c r="AB56" s="53" t="s">
        <v>236</v>
      </c>
    </row>
    <row r="57" spans="1:28" x14ac:dyDescent="0.15">
      <c r="A57" s="53" t="s">
        <v>34</v>
      </c>
      <c r="B57" s="53" t="s">
        <v>232</v>
      </c>
      <c r="C57" s="53">
        <v>2019</v>
      </c>
      <c r="D57" s="153" t="s">
        <v>166</v>
      </c>
      <c r="E57" s="53" t="s">
        <v>364</v>
      </c>
      <c r="F57" s="53" t="s">
        <v>365</v>
      </c>
      <c r="G57" s="53" t="s">
        <v>36</v>
      </c>
      <c r="H57" s="53" t="s">
        <v>160</v>
      </c>
      <c r="I57" s="53" t="s">
        <v>159</v>
      </c>
      <c r="J57" s="53" t="s">
        <v>38</v>
      </c>
      <c r="K57" s="53" t="s">
        <v>161</v>
      </c>
      <c r="L57" s="53">
        <v>2</v>
      </c>
      <c r="N57" s="53">
        <v>4</v>
      </c>
      <c r="O57" s="53">
        <v>0.85</v>
      </c>
      <c r="P57" s="53">
        <v>0.75</v>
      </c>
      <c r="Q57" s="84">
        <f t="shared" si="0"/>
        <v>0.8</v>
      </c>
      <c r="R57" s="53">
        <v>19</v>
      </c>
      <c r="S57" s="53">
        <v>99</v>
      </c>
      <c r="T57" s="16">
        <f t="shared" si="1"/>
        <v>33</v>
      </c>
      <c r="U57" s="53">
        <v>537</v>
      </c>
      <c r="V57" s="16">
        <f t="shared" si="2"/>
        <v>4430.25</v>
      </c>
      <c r="W57" s="53">
        <v>5</v>
      </c>
      <c r="X57" s="53" t="s">
        <v>46</v>
      </c>
      <c r="Y57" s="53" t="s">
        <v>88</v>
      </c>
      <c r="Z57" s="53" t="s">
        <v>97</v>
      </c>
      <c r="AA57" s="53" t="s">
        <v>78</v>
      </c>
      <c r="AB57" s="53" t="s">
        <v>236</v>
      </c>
    </row>
    <row r="58" spans="1:28" x14ac:dyDescent="0.15">
      <c r="A58" s="53" t="s">
        <v>34</v>
      </c>
      <c r="B58" s="53" t="s">
        <v>232</v>
      </c>
      <c r="C58" s="53">
        <v>2019</v>
      </c>
      <c r="D58" s="153" t="s">
        <v>166</v>
      </c>
      <c r="E58" s="53" t="s">
        <v>364</v>
      </c>
      <c r="F58" s="53" t="s">
        <v>365</v>
      </c>
      <c r="G58" s="53" t="s">
        <v>36</v>
      </c>
      <c r="H58" s="53" t="s">
        <v>160</v>
      </c>
      <c r="I58" s="53" t="s">
        <v>159</v>
      </c>
      <c r="J58" s="53" t="s">
        <v>38</v>
      </c>
      <c r="K58" s="53" t="s">
        <v>161</v>
      </c>
      <c r="L58" s="53">
        <v>3</v>
      </c>
      <c r="N58" s="53">
        <v>4</v>
      </c>
      <c r="O58" s="53">
        <v>0.8</v>
      </c>
      <c r="P58" s="53">
        <v>0.75</v>
      </c>
      <c r="Q58" s="84">
        <f t="shared" si="0"/>
        <v>0.77500000000000002</v>
      </c>
      <c r="R58" s="53">
        <v>20.100000000000001</v>
      </c>
      <c r="S58" s="53">
        <v>93</v>
      </c>
      <c r="T58" s="16">
        <f t="shared" si="1"/>
        <v>36</v>
      </c>
      <c r="U58" s="53">
        <v>537</v>
      </c>
      <c r="V58" s="16">
        <f t="shared" si="2"/>
        <v>4833</v>
      </c>
      <c r="W58" s="53">
        <v>5</v>
      </c>
      <c r="X58" s="53" t="s">
        <v>46</v>
      </c>
      <c r="Y58" s="53" t="s">
        <v>88</v>
      </c>
      <c r="Z58" s="53" t="s">
        <v>97</v>
      </c>
      <c r="AA58" s="53" t="s">
        <v>78</v>
      </c>
      <c r="AB58" s="53" t="s">
        <v>236</v>
      </c>
    </row>
    <row r="59" spans="1:28" x14ac:dyDescent="0.15">
      <c r="A59" s="53" t="s">
        <v>34</v>
      </c>
      <c r="B59" s="53" t="s">
        <v>232</v>
      </c>
      <c r="C59" s="53">
        <v>2019</v>
      </c>
      <c r="D59" s="153" t="s">
        <v>166</v>
      </c>
      <c r="E59" s="53" t="s">
        <v>364</v>
      </c>
      <c r="F59" s="53" t="s">
        <v>365</v>
      </c>
      <c r="G59" s="53" t="s">
        <v>36</v>
      </c>
      <c r="H59" s="53" t="s">
        <v>160</v>
      </c>
      <c r="I59" s="53" t="s">
        <v>159</v>
      </c>
      <c r="J59" s="53" t="s">
        <v>38</v>
      </c>
      <c r="K59" s="53" t="s">
        <v>161</v>
      </c>
      <c r="L59" s="53">
        <v>1</v>
      </c>
      <c r="N59" s="53">
        <v>8</v>
      </c>
      <c r="O59" s="53">
        <v>0.65</v>
      </c>
      <c r="P59" s="53">
        <v>0.7</v>
      </c>
      <c r="Q59" s="84">
        <f t="shared" si="0"/>
        <v>0.67500000000000004</v>
      </c>
      <c r="R59" s="53">
        <v>20.5</v>
      </c>
      <c r="S59" s="53">
        <v>99</v>
      </c>
      <c r="T59" s="16">
        <f t="shared" si="1"/>
        <v>33</v>
      </c>
      <c r="U59" s="53">
        <v>861</v>
      </c>
      <c r="V59" s="16">
        <f t="shared" si="2"/>
        <v>3551.625</v>
      </c>
      <c r="W59" s="53">
        <v>5</v>
      </c>
      <c r="X59" s="53" t="s">
        <v>46</v>
      </c>
      <c r="Y59" s="53" t="s">
        <v>88</v>
      </c>
      <c r="Z59" s="53" t="s">
        <v>97</v>
      </c>
      <c r="AA59" s="53" t="s">
        <v>78</v>
      </c>
      <c r="AB59" s="53" t="s">
        <v>236</v>
      </c>
    </row>
    <row r="60" spans="1:28" x14ac:dyDescent="0.15">
      <c r="A60" s="53" t="s">
        <v>34</v>
      </c>
      <c r="B60" s="53" t="s">
        <v>232</v>
      </c>
      <c r="C60" s="53">
        <v>2019</v>
      </c>
      <c r="D60" s="153" t="s">
        <v>166</v>
      </c>
      <c r="E60" s="53" t="s">
        <v>364</v>
      </c>
      <c r="F60" s="53" t="s">
        <v>365</v>
      </c>
      <c r="G60" s="53" t="s">
        <v>36</v>
      </c>
      <c r="H60" s="53" t="s">
        <v>160</v>
      </c>
      <c r="I60" s="53" t="s">
        <v>159</v>
      </c>
      <c r="J60" s="53" t="s">
        <v>38</v>
      </c>
      <c r="K60" s="53" t="s">
        <v>161</v>
      </c>
      <c r="L60" s="53">
        <v>2</v>
      </c>
      <c r="N60" s="53">
        <v>8</v>
      </c>
      <c r="O60" s="53">
        <v>0.55000000000000004</v>
      </c>
      <c r="P60" s="53">
        <v>0.5</v>
      </c>
      <c r="Q60" s="84">
        <f t="shared" si="0"/>
        <v>0.52500000000000002</v>
      </c>
      <c r="R60" s="53">
        <v>18</v>
      </c>
      <c r="S60" s="53">
        <v>104</v>
      </c>
      <c r="T60" s="16">
        <f t="shared" si="1"/>
        <v>33</v>
      </c>
      <c r="U60" s="53">
        <v>861</v>
      </c>
      <c r="V60" s="16">
        <f t="shared" si="2"/>
        <v>3551.625</v>
      </c>
      <c r="W60" s="53">
        <v>5</v>
      </c>
      <c r="X60" s="53" t="s">
        <v>46</v>
      </c>
      <c r="Y60" s="53" t="s">
        <v>88</v>
      </c>
      <c r="Z60" s="53" t="s">
        <v>97</v>
      </c>
      <c r="AA60" s="53" t="s">
        <v>78</v>
      </c>
      <c r="AB60" s="53" t="s">
        <v>236</v>
      </c>
    </row>
    <row r="61" spans="1:28" x14ac:dyDescent="0.15">
      <c r="A61" s="53" t="s">
        <v>34</v>
      </c>
      <c r="B61" s="53" t="s">
        <v>232</v>
      </c>
      <c r="C61" s="53">
        <v>2019</v>
      </c>
      <c r="D61" s="153" t="s">
        <v>166</v>
      </c>
      <c r="E61" s="53" t="s">
        <v>364</v>
      </c>
      <c r="F61" s="53" t="s">
        <v>365</v>
      </c>
      <c r="G61" s="53" t="s">
        <v>36</v>
      </c>
      <c r="H61" s="53" t="s">
        <v>160</v>
      </c>
      <c r="I61" s="53" t="s">
        <v>159</v>
      </c>
      <c r="J61" s="53" t="s">
        <v>38</v>
      </c>
      <c r="K61" s="53" t="s">
        <v>161</v>
      </c>
      <c r="L61" s="53">
        <v>3</v>
      </c>
      <c r="N61" s="53">
        <v>8</v>
      </c>
      <c r="O61" s="53">
        <v>0.65</v>
      </c>
      <c r="P61" s="53">
        <v>0.7</v>
      </c>
      <c r="Q61" s="84">
        <f t="shared" si="0"/>
        <v>0.67500000000000004</v>
      </c>
      <c r="R61" s="53">
        <v>17.7</v>
      </c>
      <c r="S61" s="53">
        <v>98</v>
      </c>
      <c r="T61" s="16">
        <f t="shared" si="1"/>
        <v>36</v>
      </c>
      <c r="U61" s="53">
        <v>861</v>
      </c>
      <c r="V61" s="16">
        <f t="shared" si="2"/>
        <v>3874.5</v>
      </c>
      <c r="W61" s="53">
        <v>5</v>
      </c>
      <c r="X61" s="53" t="s">
        <v>46</v>
      </c>
      <c r="Y61" s="53" t="s">
        <v>88</v>
      </c>
      <c r="Z61" s="53" t="s">
        <v>97</v>
      </c>
      <c r="AA61" s="53" t="s">
        <v>78</v>
      </c>
      <c r="AB61" s="53" t="s">
        <v>236</v>
      </c>
    </row>
    <row r="62" spans="1:28" x14ac:dyDescent="0.15">
      <c r="A62" s="53" t="s">
        <v>34</v>
      </c>
      <c r="B62" s="53" t="s">
        <v>232</v>
      </c>
      <c r="C62" s="53">
        <v>2019</v>
      </c>
      <c r="D62" s="153" t="s">
        <v>166</v>
      </c>
      <c r="E62" s="53" t="s">
        <v>353</v>
      </c>
      <c r="F62" s="53" t="s">
        <v>352</v>
      </c>
      <c r="G62" s="53" t="s">
        <v>36</v>
      </c>
      <c r="H62" s="53" t="s">
        <v>164</v>
      </c>
      <c r="I62" s="53" t="s">
        <v>159</v>
      </c>
      <c r="J62" s="53" t="s">
        <v>38</v>
      </c>
      <c r="K62" s="53" t="s">
        <v>161</v>
      </c>
      <c r="L62" s="53">
        <v>1</v>
      </c>
      <c r="N62" s="53">
        <v>1</v>
      </c>
      <c r="O62" s="53">
        <v>0.5</v>
      </c>
      <c r="P62" s="53">
        <v>0.65</v>
      </c>
      <c r="Q62" s="84">
        <f t="shared" si="0"/>
        <v>0.57499999999999996</v>
      </c>
      <c r="R62" s="53">
        <v>17.8</v>
      </c>
      <c r="S62" s="53">
        <v>121</v>
      </c>
      <c r="T62" s="16">
        <f t="shared" si="1"/>
        <v>30</v>
      </c>
      <c r="U62" s="53">
        <v>105</v>
      </c>
      <c r="V62" s="16">
        <f t="shared" si="2"/>
        <v>3150</v>
      </c>
      <c r="W62" s="53">
        <v>3</v>
      </c>
      <c r="X62" s="53" t="s">
        <v>46</v>
      </c>
      <c r="Y62" s="53" t="s">
        <v>88</v>
      </c>
      <c r="Z62" s="53" t="s">
        <v>84</v>
      </c>
      <c r="AA62" s="53" t="s">
        <v>55</v>
      </c>
      <c r="AB62" s="53" t="s">
        <v>236</v>
      </c>
    </row>
    <row r="63" spans="1:28" x14ac:dyDescent="0.15">
      <c r="A63" s="53" t="s">
        <v>34</v>
      </c>
      <c r="B63" s="53" t="s">
        <v>232</v>
      </c>
      <c r="C63" s="53">
        <v>2019</v>
      </c>
      <c r="D63" s="153" t="s">
        <v>166</v>
      </c>
      <c r="E63" s="53" t="s">
        <v>353</v>
      </c>
      <c r="F63" s="53" t="s">
        <v>352</v>
      </c>
      <c r="G63" s="53" t="s">
        <v>36</v>
      </c>
      <c r="H63" s="53" t="s">
        <v>164</v>
      </c>
      <c r="I63" s="53" t="s">
        <v>159</v>
      </c>
      <c r="J63" s="53" t="s">
        <v>38</v>
      </c>
      <c r="K63" s="53" t="s">
        <v>161</v>
      </c>
      <c r="L63" s="53">
        <v>2</v>
      </c>
      <c r="N63" s="53">
        <v>1</v>
      </c>
      <c r="O63" s="53">
        <v>0.6</v>
      </c>
      <c r="P63" s="53">
        <v>0.6</v>
      </c>
      <c r="Q63" s="84">
        <f t="shared" si="0"/>
        <v>0.6</v>
      </c>
      <c r="R63" s="53">
        <v>18.100000000000001</v>
      </c>
      <c r="S63" s="53">
        <v>125</v>
      </c>
      <c r="T63" s="16">
        <f t="shared" si="1"/>
        <v>30</v>
      </c>
      <c r="U63" s="53">
        <v>105</v>
      </c>
      <c r="V63" s="16">
        <f t="shared" si="2"/>
        <v>3150</v>
      </c>
      <c r="W63" s="53">
        <v>3</v>
      </c>
      <c r="X63" s="53" t="s">
        <v>46</v>
      </c>
      <c r="Y63" s="53" t="s">
        <v>88</v>
      </c>
      <c r="Z63" s="53" t="s">
        <v>84</v>
      </c>
      <c r="AA63" s="53" t="s">
        <v>55</v>
      </c>
      <c r="AB63" s="53" t="s">
        <v>236</v>
      </c>
    </row>
    <row r="64" spans="1:28" x14ac:dyDescent="0.15">
      <c r="A64" s="53" t="s">
        <v>34</v>
      </c>
      <c r="B64" s="53" t="s">
        <v>232</v>
      </c>
      <c r="C64" s="53">
        <v>2019</v>
      </c>
      <c r="D64" s="153" t="s">
        <v>166</v>
      </c>
      <c r="E64" s="53" t="s">
        <v>353</v>
      </c>
      <c r="F64" s="53" t="s">
        <v>352</v>
      </c>
      <c r="G64" s="53" t="s">
        <v>36</v>
      </c>
      <c r="H64" s="53" t="s">
        <v>164</v>
      </c>
      <c r="I64" s="53" t="s">
        <v>159</v>
      </c>
      <c r="J64" s="53" t="s">
        <v>38</v>
      </c>
      <c r="K64" s="53" t="s">
        <v>161</v>
      </c>
      <c r="L64" s="53">
        <v>3</v>
      </c>
      <c r="N64" s="53">
        <v>1</v>
      </c>
      <c r="O64" s="53">
        <v>0.55000000000000004</v>
      </c>
      <c r="P64" s="53">
        <v>0.55000000000000004</v>
      </c>
      <c r="Q64" s="84">
        <f t="shared" si="0"/>
        <v>0.55000000000000004</v>
      </c>
      <c r="R64" s="53">
        <v>19.5</v>
      </c>
      <c r="S64" s="53">
        <v>128</v>
      </c>
      <c r="T64" s="16">
        <f t="shared" si="1"/>
        <v>30</v>
      </c>
      <c r="U64" s="53">
        <v>105</v>
      </c>
      <c r="V64" s="16">
        <f t="shared" si="2"/>
        <v>3150</v>
      </c>
      <c r="W64" s="53">
        <v>3</v>
      </c>
      <c r="X64" s="53" t="s">
        <v>46</v>
      </c>
      <c r="Y64" s="53" t="s">
        <v>88</v>
      </c>
      <c r="Z64" s="53" t="s">
        <v>84</v>
      </c>
      <c r="AA64" s="53" t="s">
        <v>55</v>
      </c>
      <c r="AB64" s="53" t="s">
        <v>236</v>
      </c>
    </row>
    <row r="65" spans="1:28" x14ac:dyDescent="0.15">
      <c r="A65" s="53" t="s">
        <v>34</v>
      </c>
      <c r="B65" s="53" t="s">
        <v>232</v>
      </c>
      <c r="C65" s="53">
        <v>2019</v>
      </c>
      <c r="D65" s="153" t="s">
        <v>166</v>
      </c>
      <c r="E65" s="53" t="s">
        <v>353</v>
      </c>
      <c r="F65" s="53" t="s">
        <v>352</v>
      </c>
      <c r="G65" s="53" t="s">
        <v>36</v>
      </c>
      <c r="H65" s="53" t="s">
        <v>164</v>
      </c>
      <c r="I65" s="53" t="s">
        <v>159</v>
      </c>
      <c r="J65" s="53" t="s">
        <v>38</v>
      </c>
      <c r="K65" s="53" t="s">
        <v>161</v>
      </c>
      <c r="L65" s="53">
        <v>1</v>
      </c>
      <c r="N65" s="53">
        <v>5</v>
      </c>
      <c r="O65" s="53">
        <v>0.6</v>
      </c>
      <c r="P65" s="53">
        <v>0.5</v>
      </c>
      <c r="Q65" s="84">
        <f t="shared" si="0"/>
        <v>0.55000000000000004</v>
      </c>
      <c r="R65" s="53">
        <v>18.899999999999999</v>
      </c>
      <c r="S65" s="53">
        <v>73</v>
      </c>
      <c r="T65" s="16">
        <f t="shared" si="1"/>
        <v>42</v>
      </c>
      <c r="U65" s="53">
        <v>321</v>
      </c>
      <c r="V65" s="16">
        <f t="shared" si="2"/>
        <v>2696.4</v>
      </c>
      <c r="W65" s="53">
        <v>3</v>
      </c>
      <c r="X65" s="53" t="s">
        <v>46</v>
      </c>
      <c r="Y65" s="53" t="s">
        <v>88</v>
      </c>
      <c r="Z65" s="53" t="s">
        <v>84</v>
      </c>
      <c r="AA65" s="53" t="s">
        <v>55</v>
      </c>
      <c r="AB65" s="53" t="s">
        <v>236</v>
      </c>
    </row>
    <row r="66" spans="1:28" x14ac:dyDescent="0.15">
      <c r="A66" s="53" t="s">
        <v>34</v>
      </c>
      <c r="B66" s="53" t="s">
        <v>232</v>
      </c>
      <c r="C66" s="53">
        <v>2019</v>
      </c>
      <c r="D66" s="153" t="s">
        <v>166</v>
      </c>
      <c r="E66" s="53" t="s">
        <v>353</v>
      </c>
      <c r="F66" s="53" t="s">
        <v>352</v>
      </c>
      <c r="G66" s="53" t="s">
        <v>36</v>
      </c>
      <c r="H66" s="53" t="s">
        <v>164</v>
      </c>
      <c r="I66" s="53" t="s">
        <v>159</v>
      </c>
      <c r="J66" s="53" t="s">
        <v>38</v>
      </c>
      <c r="K66" s="53" t="s">
        <v>161</v>
      </c>
      <c r="L66" s="53">
        <v>2</v>
      </c>
      <c r="N66" s="53">
        <v>5</v>
      </c>
      <c r="O66" s="53">
        <v>0.65</v>
      </c>
      <c r="P66" s="53">
        <v>0.5</v>
      </c>
      <c r="Q66" s="84">
        <f t="shared" si="0"/>
        <v>0.57499999999999996</v>
      </c>
      <c r="R66" s="53">
        <v>18.3</v>
      </c>
      <c r="S66" s="53">
        <v>71</v>
      </c>
      <c r="T66" s="16">
        <f t="shared" si="1"/>
        <v>42</v>
      </c>
      <c r="U66" s="53">
        <v>321</v>
      </c>
      <c r="V66" s="16">
        <f t="shared" si="2"/>
        <v>2696.4</v>
      </c>
      <c r="W66" s="53">
        <v>3</v>
      </c>
      <c r="X66" s="53" t="s">
        <v>46</v>
      </c>
      <c r="Y66" s="53" t="s">
        <v>88</v>
      </c>
      <c r="Z66" s="53" t="s">
        <v>84</v>
      </c>
      <c r="AA66" s="53" t="s">
        <v>55</v>
      </c>
      <c r="AB66" s="53" t="s">
        <v>236</v>
      </c>
    </row>
    <row r="67" spans="1:28" x14ac:dyDescent="0.15">
      <c r="A67" s="53" t="s">
        <v>34</v>
      </c>
      <c r="B67" s="53" t="s">
        <v>232</v>
      </c>
      <c r="C67" s="53">
        <v>2019</v>
      </c>
      <c r="D67" s="153" t="s">
        <v>166</v>
      </c>
      <c r="E67" s="53" t="s">
        <v>353</v>
      </c>
      <c r="F67" s="53" t="s">
        <v>352</v>
      </c>
      <c r="G67" s="53" t="s">
        <v>36</v>
      </c>
      <c r="H67" s="53" t="s">
        <v>164</v>
      </c>
      <c r="I67" s="53" t="s">
        <v>159</v>
      </c>
      <c r="J67" s="53" t="s">
        <v>38</v>
      </c>
      <c r="K67" s="53" t="s">
        <v>161</v>
      </c>
      <c r="L67" s="53">
        <v>3</v>
      </c>
      <c r="N67" s="53">
        <v>5</v>
      </c>
      <c r="O67" s="53">
        <v>0.6</v>
      </c>
      <c r="P67" s="53">
        <v>0.55000000000000004</v>
      </c>
      <c r="Q67" s="84">
        <f t="shared" si="0"/>
        <v>0.57499999999999996</v>
      </c>
      <c r="R67" s="53">
        <v>18.2</v>
      </c>
      <c r="S67" s="53">
        <v>76</v>
      </c>
      <c r="T67" s="16">
        <f t="shared" si="1"/>
        <v>39</v>
      </c>
      <c r="U67" s="53">
        <v>321</v>
      </c>
      <c r="V67" s="16">
        <f t="shared" si="2"/>
        <v>2503.8000000000002</v>
      </c>
      <c r="W67" s="53">
        <v>3</v>
      </c>
      <c r="X67" s="53" t="s">
        <v>46</v>
      </c>
      <c r="Y67" s="53" t="s">
        <v>88</v>
      </c>
      <c r="Z67" s="53" t="s">
        <v>84</v>
      </c>
      <c r="AA67" s="53" t="s">
        <v>55</v>
      </c>
      <c r="AB67" s="53" t="s">
        <v>236</v>
      </c>
    </row>
    <row r="68" spans="1:28" x14ac:dyDescent="0.15">
      <c r="A68" s="53" t="s">
        <v>34</v>
      </c>
      <c r="B68" s="53" t="s">
        <v>232</v>
      </c>
      <c r="C68" s="53">
        <v>2019</v>
      </c>
      <c r="D68" s="153" t="s">
        <v>166</v>
      </c>
      <c r="E68" s="53" t="s">
        <v>353</v>
      </c>
      <c r="F68" s="53" t="s">
        <v>352</v>
      </c>
      <c r="G68" s="53" t="s">
        <v>36</v>
      </c>
      <c r="H68" s="53" t="s">
        <v>160</v>
      </c>
      <c r="I68" s="53" t="s">
        <v>159</v>
      </c>
      <c r="J68" s="53" t="s">
        <v>38</v>
      </c>
      <c r="K68" s="53" t="s">
        <v>161</v>
      </c>
      <c r="L68" s="53">
        <v>1</v>
      </c>
      <c r="N68" s="53">
        <v>1</v>
      </c>
      <c r="O68" s="53">
        <v>0.55000000000000004</v>
      </c>
      <c r="P68" s="53">
        <v>0.6</v>
      </c>
      <c r="Q68" s="84">
        <f t="shared" si="0"/>
        <v>0.57499999999999996</v>
      </c>
      <c r="R68" s="53">
        <v>18.2</v>
      </c>
      <c r="S68" s="53">
        <v>118</v>
      </c>
      <c r="T68" s="16">
        <f t="shared" si="1"/>
        <v>30</v>
      </c>
      <c r="U68" s="53">
        <v>105</v>
      </c>
      <c r="V68" s="16">
        <f t="shared" si="2"/>
        <v>3150</v>
      </c>
      <c r="W68" s="53">
        <v>4</v>
      </c>
      <c r="X68" s="53" t="s">
        <v>46</v>
      </c>
      <c r="Y68" s="53" t="s">
        <v>88</v>
      </c>
      <c r="Z68" s="53" t="s">
        <v>84</v>
      </c>
      <c r="AA68" s="53" t="s">
        <v>55</v>
      </c>
      <c r="AB68" s="53" t="s">
        <v>236</v>
      </c>
    </row>
    <row r="69" spans="1:28" x14ac:dyDescent="0.15">
      <c r="A69" s="53" t="s">
        <v>34</v>
      </c>
      <c r="B69" s="53" t="s">
        <v>232</v>
      </c>
      <c r="C69" s="53">
        <v>2019</v>
      </c>
      <c r="D69" s="153" t="s">
        <v>166</v>
      </c>
      <c r="E69" s="53" t="s">
        <v>353</v>
      </c>
      <c r="F69" s="53" t="s">
        <v>352</v>
      </c>
      <c r="G69" s="53" t="s">
        <v>36</v>
      </c>
      <c r="H69" s="53" t="s">
        <v>160</v>
      </c>
      <c r="I69" s="53" t="s">
        <v>159</v>
      </c>
      <c r="J69" s="53" t="s">
        <v>38</v>
      </c>
      <c r="K69" s="53" t="s">
        <v>161</v>
      </c>
      <c r="L69" s="53">
        <v>2</v>
      </c>
      <c r="N69" s="53">
        <v>1</v>
      </c>
      <c r="O69" s="53">
        <v>0.6</v>
      </c>
      <c r="P69" s="53">
        <v>0.7</v>
      </c>
      <c r="Q69" s="84">
        <f t="shared" si="0"/>
        <v>0.64999999999999991</v>
      </c>
      <c r="R69" s="53">
        <v>19.3</v>
      </c>
      <c r="S69" s="53">
        <v>112</v>
      </c>
      <c r="T69" s="16">
        <f t="shared" si="1"/>
        <v>33</v>
      </c>
      <c r="U69" s="53">
        <v>105</v>
      </c>
      <c r="V69" s="16">
        <f t="shared" si="2"/>
        <v>3465</v>
      </c>
      <c r="W69" s="53">
        <v>4</v>
      </c>
      <c r="X69" s="53" t="s">
        <v>46</v>
      </c>
      <c r="Y69" s="53" t="s">
        <v>88</v>
      </c>
      <c r="Z69" s="53" t="s">
        <v>84</v>
      </c>
      <c r="AA69" s="53" t="s">
        <v>55</v>
      </c>
      <c r="AB69" s="53" t="s">
        <v>236</v>
      </c>
    </row>
    <row r="70" spans="1:28" x14ac:dyDescent="0.15">
      <c r="A70" s="53" t="s">
        <v>34</v>
      </c>
      <c r="B70" s="53" t="s">
        <v>232</v>
      </c>
      <c r="C70" s="53">
        <v>2019</v>
      </c>
      <c r="D70" s="153" t="s">
        <v>166</v>
      </c>
      <c r="E70" s="53" t="s">
        <v>353</v>
      </c>
      <c r="F70" s="53" t="s">
        <v>352</v>
      </c>
      <c r="G70" s="53" t="s">
        <v>36</v>
      </c>
      <c r="H70" s="53" t="s">
        <v>160</v>
      </c>
      <c r="I70" s="53" t="s">
        <v>159</v>
      </c>
      <c r="J70" s="53" t="s">
        <v>38</v>
      </c>
      <c r="K70" s="53" t="s">
        <v>161</v>
      </c>
      <c r="L70" s="53">
        <v>3</v>
      </c>
      <c r="N70" s="53">
        <v>1</v>
      </c>
      <c r="O70" s="53">
        <v>0.65</v>
      </c>
      <c r="P70" s="53">
        <v>0.65</v>
      </c>
      <c r="Q70" s="84">
        <f t="shared" si="0"/>
        <v>0.65</v>
      </c>
      <c r="R70" s="53">
        <v>23</v>
      </c>
      <c r="S70" s="53">
        <v>116</v>
      </c>
      <c r="T70" s="16">
        <f t="shared" si="1"/>
        <v>30</v>
      </c>
      <c r="U70" s="53">
        <v>105</v>
      </c>
      <c r="V70" s="16">
        <f t="shared" si="2"/>
        <v>3150</v>
      </c>
      <c r="W70" s="53">
        <v>4</v>
      </c>
      <c r="X70" s="53" t="s">
        <v>46</v>
      </c>
      <c r="Y70" s="53" t="s">
        <v>88</v>
      </c>
      <c r="Z70" s="53" t="s">
        <v>84</v>
      </c>
      <c r="AA70" s="53" t="s">
        <v>55</v>
      </c>
      <c r="AB70" s="53" t="s">
        <v>236</v>
      </c>
    </row>
    <row r="71" spans="1:28" x14ac:dyDescent="0.15">
      <c r="A71" s="53" t="s">
        <v>34</v>
      </c>
      <c r="B71" s="53" t="s">
        <v>232</v>
      </c>
      <c r="C71" s="53">
        <v>2019</v>
      </c>
      <c r="D71" s="153" t="s">
        <v>166</v>
      </c>
      <c r="E71" s="53" t="s">
        <v>353</v>
      </c>
      <c r="F71" s="53" t="s">
        <v>352</v>
      </c>
      <c r="G71" s="53" t="s">
        <v>36</v>
      </c>
      <c r="H71" s="53" t="s">
        <v>160</v>
      </c>
      <c r="I71" s="53" t="s">
        <v>159</v>
      </c>
      <c r="J71" s="53" t="s">
        <v>38</v>
      </c>
      <c r="K71" s="53" t="s">
        <v>161</v>
      </c>
      <c r="L71" s="53">
        <v>1</v>
      </c>
      <c r="N71" s="53">
        <v>4</v>
      </c>
      <c r="O71" s="53">
        <v>0.5</v>
      </c>
      <c r="P71" s="53">
        <v>0.55000000000000004</v>
      </c>
      <c r="Q71" s="84">
        <f t="shared" si="0"/>
        <v>0.52500000000000002</v>
      </c>
      <c r="R71" s="53">
        <v>17.7</v>
      </c>
      <c r="S71" s="53">
        <v>114</v>
      </c>
      <c r="T71" s="16">
        <f t="shared" si="1"/>
        <v>30</v>
      </c>
      <c r="U71" s="53">
        <v>429</v>
      </c>
      <c r="V71" s="16">
        <f t="shared" si="2"/>
        <v>3217.5</v>
      </c>
      <c r="W71" s="53">
        <v>4</v>
      </c>
      <c r="X71" s="53" t="s">
        <v>46</v>
      </c>
      <c r="Y71" s="53" t="s">
        <v>88</v>
      </c>
      <c r="Z71" s="53" t="s">
        <v>84</v>
      </c>
      <c r="AA71" s="53" t="s">
        <v>55</v>
      </c>
      <c r="AB71" s="53" t="s">
        <v>236</v>
      </c>
    </row>
    <row r="72" spans="1:28" x14ac:dyDescent="0.15">
      <c r="A72" s="53" t="s">
        <v>34</v>
      </c>
      <c r="B72" s="53" t="s">
        <v>232</v>
      </c>
      <c r="C72" s="53">
        <v>2019</v>
      </c>
      <c r="D72" s="153" t="s">
        <v>166</v>
      </c>
      <c r="E72" s="53" t="s">
        <v>353</v>
      </c>
      <c r="F72" s="53" t="s">
        <v>352</v>
      </c>
      <c r="G72" s="53" t="s">
        <v>36</v>
      </c>
      <c r="H72" s="53" t="s">
        <v>160</v>
      </c>
      <c r="I72" s="53" t="s">
        <v>159</v>
      </c>
      <c r="J72" s="53" t="s">
        <v>38</v>
      </c>
      <c r="K72" s="53" t="s">
        <v>161</v>
      </c>
      <c r="L72" s="53">
        <v>2</v>
      </c>
      <c r="N72" s="53">
        <v>4</v>
      </c>
      <c r="O72" s="53">
        <v>0.65</v>
      </c>
      <c r="P72" s="53">
        <v>0.55000000000000004</v>
      </c>
      <c r="Q72" s="84">
        <f t="shared" si="0"/>
        <v>0.60000000000000009</v>
      </c>
      <c r="R72" s="53">
        <v>17.3</v>
      </c>
      <c r="S72" s="53">
        <v>107</v>
      </c>
      <c r="T72" s="16">
        <f t="shared" si="1"/>
        <v>33</v>
      </c>
      <c r="U72" s="53">
        <v>429</v>
      </c>
      <c r="V72" s="16">
        <f t="shared" si="2"/>
        <v>3539.25</v>
      </c>
      <c r="W72" s="53">
        <v>4</v>
      </c>
      <c r="X72" s="53" t="s">
        <v>46</v>
      </c>
      <c r="Y72" s="53" t="s">
        <v>88</v>
      </c>
      <c r="Z72" s="53" t="s">
        <v>84</v>
      </c>
      <c r="AA72" s="53" t="s">
        <v>55</v>
      </c>
      <c r="AB72" s="53" t="s">
        <v>236</v>
      </c>
    </row>
    <row r="73" spans="1:28" x14ac:dyDescent="0.15">
      <c r="A73" s="53" t="s">
        <v>34</v>
      </c>
      <c r="B73" s="53" t="s">
        <v>232</v>
      </c>
      <c r="C73" s="53">
        <v>2019</v>
      </c>
      <c r="D73" s="153" t="s">
        <v>166</v>
      </c>
      <c r="E73" s="53" t="s">
        <v>353</v>
      </c>
      <c r="F73" s="53" t="s">
        <v>352</v>
      </c>
      <c r="G73" s="53" t="s">
        <v>36</v>
      </c>
      <c r="H73" s="53" t="s">
        <v>160</v>
      </c>
      <c r="I73" s="53" t="s">
        <v>159</v>
      </c>
      <c r="J73" s="53" t="s">
        <v>38</v>
      </c>
      <c r="K73" s="53" t="s">
        <v>161</v>
      </c>
      <c r="L73" s="53">
        <v>3</v>
      </c>
      <c r="N73" s="53">
        <v>4</v>
      </c>
      <c r="O73" s="53">
        <v>0.7</v>
      </c>
      <c r="P73" s="53">
        <v>0.65</v>
      </c>
      <c r="Q73" s="84">
        <f t="shared" si="0"/>
        <v>0.67500000000000004</v>
      </c>
      <c r="R73" s="53">
        <v>18</v>
      </c>
      <c r="S73" s="53">
        <v>113</v>
      </c>
      <c r="T73" s="16">
        <f t="shared" si="1"/>
        <v>30</v>
      </c>
      <c r="U73" s="53">
        <v>429</v>
      </c>
      <c r="V73" s="16">
        <f t="shared" si="2"/>
        <v>3217.5</v>
      </c>
      <c r="W73" s="53">
        <v>4</v>
      </c>
      <c r="X73" s="53" t="s">
        <v>46</v>
      </c>
      <c r="Y73" s="53" t="s">
        <v>88</v>
      </c>
      <c r="Z73" s="53" t="s">
        <v>84</v>
      </c>
      <c r="AA73" s="53" t="s">
        <v>55</v>
      </c>
      <c r="AB73" s="53" t="s">
        <v>236</v>
      </c>
    </row>
    <row r="74" spans="1:28" x14ac:dyDescent="0.15">
      <c r="A74" s="53" t="s">
        <v>34</v>
      </c>
      <c r="B74" s="53" t="s">
        <v>232</v>
      </c>
      <c r="C74" s="53">
        <v>2019</v>
      </c>
      <c r="D74" s="153" t="s">
        <v>166</v>
      </c>
      <c r="E74" s="53" t="s">
        <v>340</v>
      </c>
      <c r="F74" s="53" t="s">
        <v>352</v>
      </c>
      <c r="G74" s="53" t="s">
        <v>36</v>
      </c>
      <c r="H74" s="53" t="s">
        <v>164</v>
      </c>
      <c r="I74" s="53" t="s">
        <v>159</v>
      </c>
      <c r="J74" s="53" t="s">
        <v>38</v>
      </c>
      <c r="K74" s="53" t="s">
        <v>161</v>
      </c>
      <c r="L74" s="53">
        <v>1</v>
      </c>
      <c r="N74" s="53">
        <v>1</v>
      </c>
      <c r="O74" s="53">
        <v>0.6</v>
      </c>
      <c r="P74" s="53">
        <v>0.6</v>
      </c>
      <c r="Q74" s="84">
        <f t="shared" si="0"/>
        <v>0.6</v>
      </c>
      <c r="R74" s="53">
        <v>18.399999999999999</v>
      </c>
      <c r="S74" s="53">
        <v>120</v>
      </c>
      <c r="T74" s="16">
        <f t="shared" si="1"/>
        <v>30</v>
      </c>
      <c r="U74" s="53">
        <v>101</v>
      </c>
      <c r="V74" s="16">
        <f t="shared" si="2"/>
        <v>3030</v>
      </c>
      <c r="W74" s="53">
        <v>6</v>
      </c>
      <c r="X74" s="53" t="s">
        <v>46</v>
      </c>
      <c r="Y74" s="53" t="s">
        <v>88</v>
      </c>
      <c r="Z74" s="53" t="s">
        <v>55</v>
      </c>
      <c r="AA74" s="53" t="s">
        <v>69</v>
      </c>
      <c r="AB74" s="53" t="s">
        <v>236</v>
      </c>
    </row>
    <row r="75" spans="1:28" x14ac:dyDescent="0.15">
      <c r="A75" s="53" t="s">
        <v>34</v>
      </c>
      <c r="B75" s="53" t="s">
        <v>232</v>
      </c>
      <c r="C75" s="53">
        <v>2019</v>
      </c>
      <c r="D75" s="153" t="s">
        <v>166</v>
      </c>
      <c r="E75" s="53" t="s">
        <v>340</v>
      </c>
      <c r="F75" s="53" t="s">
        <v>352</v>
      </c>
      <c r="G75" s="53" t="s">
        <v>36</v>
      </c>
      <c r="H75" s="53" t="s">
        <v>164</v>
      </c>
      <c r="I75" s="53" t="s">
        <v>159</v>
      </c>
      <c r="J75" s="53" t="s">
        <v>38</v>
      </c>
      <c r="K75" s="53" t="s">
        <v>161</v>
      </c>
      <c r="L75" s="53">
        <v>2</v>
      </c>
      <c r="N75" s="53">
        <v>1</v>
      </c>
      <c r="O75" s="53">
        <v>0.55000000000000004</v>
      </c>
      <c r="P75" s="53">
        <v>0.5</v>
      </c>
      <c r="Q75" s="84">
        <f t="shared" si="0"/>
        <v>0.52500000000000002</v>
      </c>
      <c r="R75" s="53">
        <v>18.2</v>
      </c>
      <c r="S75" s="53">
        <v>121</v>
      </c>
      <c r="T75" s="16">
        <f t="shared" si="1"/>
        <v>30</v>
      </c>
      <c r="U75" s="53">
        <v>101</v>
      </c>
      <c r="V75" s="16">
        <f t="shared" si="2"/>
        <v>3030</v>
      </c>
      <c r="W75" s="53">
        <v>6</v>
      </c>
      <c r="X75" s="53" t="s">
        <v>46</v>
      </c>
      <c r="Y75" s="53" t="s">
        <v>88</v>
      </c>
      <c r="Z75" s="53" t="s">
        <v>55</v>
      </c>
      <c r="AA75" s="53" t="s">
        <v>69</v>
      </c>
      <c r="AB75" s="53" t="s">
        <v>236</v>
      </c>
    </row>
    <row r="76" spans="1:28" x14ac:dyDescent="0.15">
      <c r="A76" s="53" t="s">
        <v>34</v>
      </c>
      <c r="B76" s="53" t="s">
        <v>232</v>
      </c>
      <c r="C76" s="53">
        <v>2019</v>
      </c>
      <c r="D76" s="153" t="s">
        <v>166</v>
      </c>
      <c r="E76" s="53" t="s">
        <v>340</v>
      </c>
      <c r="F76" s="53" t="s">
        <v>352</v>
      </c>
      <c r="G76" s="53" t="s">
        <v>36</v>
      </c>
      <c r="H76" s="53" t="s">
        <v>164</v>
      </c>
      <c r="I76" s="53" t="s">
        <v>159</v>
      </c>
      <c r="J76" s="53" t="s">
        <v>38</v>
      </c>
      <c r="K76" s="53" t="s">
        <v>161</v>
      </c>
      <c r="L76" s="53">
        <v>3</v>
      </c>
      <c r="N76" s="53">
        <v>1</v>
      </c>
      <c r="O76" s="53">
        <v>0.6</v>
      </c>
      <c r="P76" s="53">
        <v>0.6</v>
      </c>
      <c r="Q76" s="84">
        <f t="shared" si="0"/>
        <v>0.6</v>
      </c>
      <c r="R76" s="53">
        <v>18.399999999999999</v>
      </c>
      <c r="S76" s="53">
        <v>126</v>
      </c>
      <c r="T76" s="16">
        <f t="shared" si="1"/>
        <v>30</v>
      </c>
      <c r="U76" s="53">
        <v>101</v>
      </c>
      <c r="V76" s="16">
        <f t="shared" si="2"/>
        <v>3030</v>
      </c>
      <c r="W76" s="53">
        <v>6</v>
      </c>
      <c r="X76" s="53" t="s">
        <v>46</v>
      </c>
      <c r="Y76" s="53" t="s">
        <v>88</v>
      </c>
      <c r="Z76" s="53" t="s">
        <v>55</v>
      </c>
      <c r="AA76" s="53" t="s">
        <v>69</v>
      </c>
      <c r="AB76" s="53" t="s">
        <v>236</v>
      </c>
    </row>
    <row r="77" spans="1:28" x14ac:dyDescent="0.15">
      <c r="A77" s="53" t="s">
        <v>34</v>
      </c>
      <c r="B77" s="53" t="s">
        <v>232</v>
      </c>
      <c r="C77" s="53">
        <v>2019</v>
      </c>
      <c r="D77" s="153" t="s">
        <v>166</v>
      </c>
      <c r="E77" s="53" t="s">
        <v>340</v>
      </c>
      <c r="F77" s="53" t="s">
        <v>352</v>
      </c>
      <c r="G77" s="53" t="s">
        <v>36</v>
      </c>
      <c r="H77" s="53" t="s">
        <v>164</v>
      </c>
      <c r="I77" s="53" t="s">
        <v>159</v>
      </c>
      <c r="J77" s="53" t="s">
        <v>38</v>
      </c>
      <c r="K77" s="53" t="s">
        <v>161</v>
      </c>
      <c r="L77" s="53">
        <v>1</v>
      </c>
      <c r="N77" s="53">
        <v>10</v>
      </c>
      <c r="O77" s="53">
        <v>0.45</v>
      </c>
      <c r="P77" s="53">
        <v>0.2</v>
      </c>
      <c r="Q77" s="84">
        <f t="shared" si="0"/>
        <v>0.32500000000000001</v>
      </c>
      <c r="R77" s="53">
        <v>13.4</v>
      </c>
      <c r="S77" s="53">
        <v>82</v>
      </c>
      <c r="T77" s="16">
        <f t="shared" si="1"/>
        <v>39</v>
      </c>
      <c r="U77" s="53">
        <v>429</v>
      </c>
      <c r="V77" s="16">
        <f t="shared" si="2"/>
        <v>1673.1</v>
      </c>
      <c r="W77" s="53">
        <v>6</v>
      </c>
      <c r="X77" s="53" t="s">
        <v>46</v>
      </c>
      <c r="Y77" s="53" t="s">
        <v>88</v>
      </c>
      <c r="Z77" s="53" t="s">
        <v>55</v>
      </c>
      <c r="AA77" s="53" t="s">
        <v>69</v>
      </c>
      <c r="AB77" s="53" t="s">
        <v>236</v>
      </c>
    </row>
    <row r="78" spans="1:28" x14ac:dyDescent="0.15">
      <c r="A78" s="53" t="s">
        <v>34</v>
      </c>
      <c r="B78" s="53" t="s">
        <v>232</v>
      </c>
      <c r="C78" s="53">
        <v>2019</v>
      </c>
      <c r="D78" s="153" t="s">
        <v>166</v>
      </c>
      <c r="E78" s="53" t="s">
        <v>340</v>
      </c>
      <c r="F78" s="53" t="s">
        <v>352</v>
      </c>
      <c r="G78" s="53" t="s">
        <v>36</v>
      </c>
      <c r="H78" s="53" t="s">
        <v>164</v>
      </c>
      <c r="I78" s="53" t="s">
        <v>159</v>
      </c>
      <c r="J78" s="53" t="s">
        <v>38</v>
      </c>
      <c r="K78" s="53" t="s">
        <v>161</v>
      </c>
      <c r="L78" s="53">
        <v>2</v>
      </c>
      <c r="N78" s="53">
        <v>10</v>
      </c>
      <c r="O78" s="53">
        <v>0.45</v>
      </c>
      <c r="P78" s="53">
        <v>0.5</v>
      </c>
      <c r="Q78" s="84">
        <f t="shared" si="0"/>
        <v>0.47499999999999998</v>
      </c>
      <c r="R78" s="53">
        <v>15.1</v>
      </c>
      <c r="S78" s="53">
        <v>82</v>
      </c>
      <c r="T78" s="16">
        <f t="shared" si="1"/>
        <v>39</v>
      </c>
      <c r="U78" s="53">
        <v>429</v>
      </c>
      <c r="V78" s="16">
        <f t="shared" si="2"/>
        <v>1673.1</v>
      </c>
      <c r="W78" s="53">
        <v>6</v>
      </c>
      <c r="X78" s="53" t="s">
        <v>46</v>
      </c>
      <c r="Y78" s="53" t="s">
        <v>88</v>
      </c>
      <c r="Z78" s="53" t="s">
        <v>55</v>
      </c>
      <c r="AA78" s="53" t="s">
        <v>69</v>
      </c>
      <c r="AB78" s="53" t="s">
        <v>236</v>
      </c>
    </row>
    <row r="79" spans="1:28" x14ac:dyDescent="0.15">
      <c r="A79" s="53" t="s">
        <v>34</v>
      </c>
      <c r="B79" s="53" t="s">
        <v>232</v>
      </c>
      <c r="C79" s="53">
        <v>2019</v>
      </c>
      <c r="D79" s="153" t="s">
        <v>166</v>
      </c>
      <c r="E79" s="53" t="s">
        <v>340</v>
      </c>
      <c r="F79" s="53" t="s">
        <v>352</v>
      </c>
      <c r="G79" s="53" t="s">
        <v>36</v>
      </c>
      <c r="H79" s="53" t="s">
        <v>164</v>
      </c>
      <c r="I79" s="53" t="s">
        <v>159</v>
      </c>
      <c r="J79" s="53" t="s">
        <v>38</v>
      </c>
      <c r="K79" s="53" t="s">
        <v>161</v>
      </c>
      <c r="L79" s="53">
        <v>3</v>
      </c>
      <c r="N79" s="53">
        <v>10</v>
      </c>
      <c r="O79" s="53">
        <v>0.5</v>
      </c>
      <c r="P79" s="53">
        <v>0.2</v>
      </c>
      <c r="Q79" s="84">
        <f t="shared" si="0"/>
        <v>0.35</v>
      </c>
      <c r="R79" s="53">
        <v>16.899999999999999</v>
      </c>
      <c r="S79" s="53">
        <v>82</v>
      </c>
      <c r="T79" s="16">
        <f t="shared" si="1"/>
        <v>39</v>
      </c>
      <c r="U79" s="53">
        <v>429</v>
      </c>
      <c r="V79" s="16">
        <f t="shared" si="2"/>
        <v>1673.1</v>
      </c>
      <c r="W79" s="53">
        <v>6</v>
      </c>
      <c r="X79" s="53" t="s">
        <v>46</v>
      </c>
      <c r="Y79" s="53" t="s">
        <v>88</v>
      </c>
      <c r="Z79" s="53" t="s">
        <v>55</v>
      </c>
      <c r="AA79" s="53" t="s">
        <v>69</v>
      </c>
      <c r="AB79" s="53" t="s">
        <v>236</v>
      </c>
    </row>
    <row r="80" spans="1:28" x14ac:dyDescent="0.15">
      <c r="A80" s="53" t="s">
        <v>34</v>
      </c>
      <c r="B80" s="53" t="s">
        <v>232</v>
      </c>
      <c r="C80" s="53">
        <v>2019</v>
      </c>
      <c r="D80" s="153" t="s">
        <v>166</v>
      </c>
      <c r="E80" s="53" t="s">
        <v>340</v>
      </c>
      <c r="F80" s="53" t="s">
        <v>352</v>
      </c>
      <c r="G80" s="53" t="s">
        <v>36</v>
      </c>
      <c r="H80" s="53" t="s">
        <v>160</v>
      </c>
      <c r="I80" s="53" t="s">
        <v>159</v>
      </c>
      <c r="J80" s="53" t="s">
        <v>38</v>
      </c>
      <c r="K80" s="53" t="s">
        <v>161</v>
      </c>
      <c r="L80" s="53">
        <v>1</v>
      </c>
      <c r="N80" s="53">
        <v>1</v>
      </c>
      <c r="O80" s="53">
        <v>0.8</v>
      </c>
      <c r="P80" s="53">
        <v>0.5</v>
      </c>
      <c r="Q80" s="84">
        <f t="shared" si="0"/>
        <v>0.65</v>
      </c>
      <c r="R80" s="53">
        <v>18.5</v>
      </c>
      <c r="S80" s="53">
        <v>113</v>
      </c>
      <c r="T80" s="16">
        <f t="shared" si="1"/>
        <v>30</v>
      </c>
      <c r="U80" s="53">
        <v>101</v>
      </c>
      <c r="V80" s="16">
        <f t="shared" si="2"/>
        <v>3030</v>
      </c>
      <c r="W80" s="53">
        <v>2</v>
      </c>
      <c r="X80" s="53" t="s">
        <v>46</v>
      </c>
      <c r="Y80" s="53" t="s">
        <v>88</v>
      </c>
      <c r="Z80" s="53" t="s">
        <v>55</v>
      </c>
      <c r="AA80" s="53" t="s">
        <v>69</v>
      </c>
      <c r="AB80" s="53" t="s">
        <v>236</v>
      </c>
    </row>
    <row r="81" spans="1:28" x14ac:dyDescent="0.15">
      <c r="A81" s="53" t="s">
        <v>34</v>
      </c>
      <c r="B81" s="53" t="s">
        <v>232</v>
      </c>
      <c r="C81" s="53">
        <v>2019</v>
      </c>
      <c r="D81" s="153" t="s">
        <v>166</v>
      </c>
      <c r="E81" s="53" t="s">
        <v>340</v>
      </c>
      <c r="F81" s="53" t="s">
        <v>352</v>
      </c>
      <c r="G81" s="53" t="s">
        <v>36</v>
      </c>
      <c r="H81" s="53" t="s">
        <v>160</v>
      </c>
      <c r="I81" s="53" t="s">
        <v>159</v>
      </c>
      <c r="J81" s="53" t="s">
        <v>38</v>
      </c>
      <c r="K81" s="53" t="s">
        <v>161</v>
      </c>
      <c r="L81" s="53">
        <v>2</v>
      </c>
      <c r="N81" s="53">
        <v>1</v>
      </c>
      <c r="O81" s="53">
        <v>0.55000000000000004</v>
      </c>
      <c r="P81" s="53">
        <v>0.5</v>
      </c>
      <c r="Q81" s="84">
        <f t="shared" si="0"/>
        <v>0.52500000000000002</v>
      </c>
      <c r="R81" s="53">
        <v>17.5</v>
      </c>
      <c r="S81" s="53">
        <v>109</v>
      </c>
      <c r="T81" s="16">
        <f t="shared" si="1"/>
        <v>33</v>
      </c>
      <c r="U81" s="53">
        <v>101</v>
      </c>
      <c r="V81" s="16">
        <f t="shared" si="2"/>
        <v>3333</v>
      </c>
      <c r="W81" s="53">
        <v>2</v>
      </c>
      <c r="X81" s="53" t="s">
        <v>46</v>
      </c>
      <c r="Y81" s="53" t="s">
        <v>88</v>
      </c>
      <c r="Z81" s="53" t="s">
        <v>55</v>
      </c>
      <c r="AA81" s="53" t="s">
        <v>69</v>
      </c>
      <c r="AB81" s="53" t="s">
        <v>236</v>
      </c>
    </row>
    <row r="82" spans="1:28" x14ac:dyDescent="0.15">
      <c r="A82" s="53" t="s">
        <v>34</v>
      </c>
      <c r="B82" s="53" t="s">
        <v>232</v>
      </c>
      <c r="C82" s="53">
        <v>2019</v>
      </c>
      <c r="D82" s="153" t="s">
        <v>166</v>
      </c>
      <c r="E82" s="53" t="s">
        <v>340</v>
      </c>
      <c r="F82" s="53" t="s">
        <v>352</v>
      </c>
      <c r="G82" s="53" t="s">
        <v>36</v>
      </c>
      <c r="H82" s="53" t="s">
        <v>160</v>
      </c>
      <c r="I82" s="53" t="s">
        <v>159</v>
      </c>
      <c r="J82" s="53" t="s">
        <v>38</v>
      </c>
      <c r="K82" s="53" t="s">
        <v>161</v>
      </c>
      <c r="L82" s="53">
        <v>3</v>
      </c>
      <c r="N82" s="53">
        <v>1</v>
      </c>
      <c r="O82" s="53">
        <v>0.5</v>
      </c>
      <c r="P82" s="53">
        <v>0.5</v>
      </c>
      <c r="Q82" s="84">
        <f t="shared" si="0"/>
        <v>0.5</v>
      </c>
      <c r="R82" s="53">
        <v>18.2</v>
      </c>
      <c r="S82" s="53">
        <v>113</v>
      </c>
      <c r="T82" s="16">
        <f t="shared" si="1"/>
        <v>30</v>
      </c>
      <c r="U82" s="53">
        <v>101</v>
      </c>
      <c r="V82" s="16">
        <f t="shared" si="2"/>
        <v>3030</v>
      </c>
      <c r="W82" s="53">
        <v>2</v>
      </c>
      <c r="X82" s="53" t="s">
        <v>46</v>
      </c>
      <c r="Y82" s="53" t="s">
        <v>88</v>
      </c>
      <c r="Z82" s="53" t="s">
        <v>55</v>
      </c>
      <c r="AA82" s="53" t="s">
        <v>69</v>
      </c>
      <c r="AB82" s="53" t="s">
        <v>236</v>
      </c>
    </row>
    <row r="83" spans="1:28" x14ac:dyDescent="0.15">
      <c r="A83" s="53" t="s">
        <v>34</v>
      </c>
      <c r="B83" s="53" t="s">
        <v>232</v>
      </c>
      <c r="C83" s="53">
        <v>2019</v>
      </c>
      <c r="D83" s="153" t="s">
        <v>166</v>
      </c>
      <c r="E83" s="53" t="s">
        <v>357</v>
      </c>
      <c r="F83" s="53" t="s">
        <v>358</v>
      </c>
      <c r="G83" s="53" t="s">
        <v>36</v>
      </c>
      <c r="H83" s="53" t="s">
        <v>164</v>
      </c>
      <c r="I83" s="53" t="s">
        <v>159</v>
      </c>
      <c r="J83" s="53" t="s">
        <v>38</v>
      </c>
      <c r="K83" s="53" t="s">
        <v>161</v>
      </c>
      <c r="L83" s="53">
        <v>1</v>
      </c>
      <c r="N83" s="53">
        <v>1</v>
      </c>
      <c r="O83" s="53">
        <v>0.6</v>
      </c>
      <c r="P83" s="53">
        <v>0.55000000000000004</v>
      </c>
      <c r="Q83" s="84">
        <f t="shared" ref="Q83:Q127" si="5">IF(OR(O83="",P83=""),"",AVERAGE(O83,P83))</f>
        <v>0.57499999999999996</v>
      </c>
      <c r="R83" s="53">
        <v>18.100000000000001</v>
      </c>
      <c r="S83" s="53">
        <v>128</v>
      </c>
      <c r="T83" s="16">
        <f t="shared" ref="T83:T127" si="6">IF(H83="","",IF(OR(H83="GREEN",H83="GK"),IF(S83&gt;=$AX$2,VLOOKUP(S83,$AX$2:$AY$9,2,1),""),IF(S83&gt;=$AZ$2,VLOOKUP(S83,$AZ$2:$BA$9,2,1),"")))</f>
        <v>30</v>
      </c>
      <c r="U83" s="53">
        <v>105</v>
      </c>
      <c r="V83" s="16">
        <f t="shared" ref="V83:V127" si="7">IF(OR(N83="",U83="",T83=""),"",U83/N83*T83)</f>
        <v>3150</v>
      </c>
      <c r="W83" s="53">
        <v>7</v>
      </c>
      <c r="X83" s="53" t="s">
        <v>46</v>
      </c>
      <c r="Y83" s="53" t="s">
        <v>55</v>
      </c>
      <c r="Z83" s="53" t="s">
        <v>69</v>
      </c>
      <c r="AA83" s="53" t="s">
        <v>97</v>
      </c>
      <c r="AB83" s="53" t="s">
        <v>236</v>
      </c>
    </row>
    <row r="84" spans="1:28" x14ac:dyDescent="0.15">
      <c r="A84" s="53" t="s">
        <v>34</v>
      </c>
      <c r="B84" s="53" t="s">
        <v>232</v>
      </c>
      <c r="C84" s="53">
        <v>2019</v>
      </c>
      <c r="D84" s="153" t="s">
        <v>166</v>
      </c>
      <c r="E84" s="53" t="s">
        <v>357</v>
      </c>
      <c r="F84" s="53" t="s">
        <v>358</v>
      </c>
      <c r="G84" s="53" t="s">
        <v>36</v>
      </c>
      <c r="H84" s="53" t="s">
        <v>164</v>
      </c>
      <c r="I84" s="53" t="s">
        <v>159</v>
      </c>
      <c r="J84" s="53" t="s">
        <v>38</v>
      </c>
      <c r="K84" s="53" t="s">
        <v>161</v>
      </c>
      <c r="L84" s="53">
        <v>2</v>
      </c>
      <c r="N84" s="53">
        <v>1</v>
      </c>
      <c r="O84" s="53">
        <v>0.45</v>
      </c>
      <c r="P84" s="53">
        <v>0.55000000000000004</v>
      </c>
      <c r="Q84" s="84">
        <f t="shared" si="5"/>
        <v>0.5</v>
      </c>
      <c r="R84" s="53">
        <v>18.7</v>
      </c>
      <c r="S84" s="53">
        <v>126</v>
      </c>
      <c r="T84" s="16">
        <f t="shared" si="6"/>
        <v>30</v>
      </c>
      <c r="U84" s="53">
        <v>105</v>
      </c>
      <c r="V84" s="16">
        <f t="shared" si="7"/>
        <v>3150</v>
      </c>
      <c r="W84" s="53">
        <v>7</v>
      </c>
      <c r="X84" s="53" t="s">
        <v>46</v>
      </c>
      <c r="Y84" s="53" t="s">
        <v>55</v>
      </c>
      <c r="Z84" s="53" t="s">
        <v>69</v>
      </c>
      <c r="AA84" s="53" t="s">
        <v>97</v>
      </c>
      <c r="AB84" s="53" t="s">
        <v>236</v>
      </c>
    </row>
    <row r="85" spans="1:28" x14ac:dyDescent="0.15">
      <c r="A85" s="53" t="s">
        <v>34</v>
      </c>
      <c r="B85" s="53" t="s">
        <v>232</v>
      </c>
      <c r="C85" s="53">
        <v>2019</v>
      </c>
      <c r="D85" s="153" t="s">
        <v>166</v>
      </c>
      <c r="E85" s="53" t="s">
        <v>357</v>
      </c>
      <c r="F85" s="53" t="s">
        <v>358</v>
      </c>
      <c r="G85" s="53" t="s">
        <v>36</v>
      </c>
      <c r="H85" s="53" t="s">
        <v>164</v>
      </c>
      <c r="I85" s="53" t="s">
        <v>159</v>
      </c>
      <c r="J85" s="53" t="s">
        <v>38</v>
      </c>
      <c r="K85" s="53" t="s">
        <v>161</v>
      </c>
      <c r="L85" s="53">
        <v>3</v>
      </c>
      <c r="N85" s="53">
        <v>1</v>
      </c>
      <c r="O85" s="53">
        <v>0.5</v>
      </c>
      <c r="P85" s="53">
        <v>0.55000000000000004</v>
      </c>
      <c r="Q85" s="84">
        <f t="shared" si="5"/>
        <v>0.52500000000000002</v>
      </c>
      <c r="R85" s="53">
        <v>19.600000000000001</v>
      </c>
      <c r="S85" s="53">
        <v>126</v>
      </c>
      <c r="T85" s="16">
        <f t="shared" si="6"/>
        <v>30</v>
      </c>
      <c r="U85" s="53">
        <v>105</v>
      </c>
      <c r="V85" s="16">
        <f t="shared" si="7"/>
        <v>3150</v>
      </c>
      <c r="W85" s="53">
        <v>7</v>
      </c>
      <c r="X85" s="53" t="s">
        <v>46</v>
      </c>
      <c r="Y85" s="53" t="s">
        <v>55</v>
      </c>
      <c r="Z85" s="53" t="s">
        <v>69</v>
      </c>
      <c r="AA85" s="53" t="s">
        <v>97</v>
      </c>
      <c r="AB85" s="53" t="s">
        <v>236</v>
      </c>
    </row>
    <row r="86" spans="1:28" x14ac:dyDescent="0.15">
      <c r="A86" s="53" t="s">
        <v>34</v>
      </c>
      <c r="B86" s="53" t="s">
        <v>232</v>
      </c>
      <c r="C86" s="53">
        <v>2019</v>
      </c>
      <c r="D86" s="153" t="s">
        <v>166</v>
      </c>
      <c r="E86" s="53" t="s">
        <v>357</v>
      </c>
      <c r="F86" s="53" t="s">
        <v>358</v>
      </c>
      <c r="G86" s="53" t="s">
        <v>36</v>
      </c>
      <c r="H86" s="53" t="s">
        <v>164</v>
      </c>
      <c r="I86" s="53" t="s">
        <v>197</v>
      </c>
      <c r="J86" s="53" t="s">
        <v>38</v>
      </c>
      <c r="K86" s="53" t="s">
        <v>161</v>
      </c>
      <c r="L86" s="53">
        <v>1</v>
      </c>
      <c r="N86" s="53">
        <v>1</v>
      </c>
      <c r="O86" s="53">
        <v>0.5</v>
      </c>
      <c r="P86" s="53">
        <v>0.5</v>
      </c>
      <c r="Q86" s="84">
        <f t="shared" si="5"/>
        <v>0.5</v>
      </c>
      <c r="R86" s="53">
        <v>17.3</v>
      </c>
      <c r="S86" s="53">
        <v>124</v>
      </c>
      <c r="T86" s="16">
        <f t="shared" si="6"/>
        <v>30</v>
      </c>
      <c r="U86" s="53">
        <v>105</v>
      </c>
      <c r="V86" s="16">
        <f t="shared" si="7"/>
        <v>3150</v>
      </c>
      <c r="W86" s="53">
        <v>7</v>
      </c>
      <c r="X86" s="53" t="s">
        <v>46</v>
      </c>
      <c r="Y86" s="53" t="s">
        <v>55</v>
      </c>
      <c r="Z86" s="53" t="s">
        <v>69</v>
      </c>
      <c r="AA86" s="53" t="s">
        <v>97</v>
      </c>
      <c r="AB86" s="53" t="s">
        <v>236</v>
      </c>
    </row>
    <row r="87" spans="1:28" x14ac:dyDescent="0.15">
      <c r="A87" s="53" t="s">
        <v>34</v>
      </c>
      <c r="B87" s="53" t="s">
        <v>232</v>
      </c>
      <c r="C87" s="53">
        <v>2019</v>
      </c>
      <c r="D87" s="153" t="s">
        <v>166</v>
      </c>
      <c r="E87" s="53" t="s">
        <v>357</v>
      </c>
      <c r="F87" s="53" t="s">
        <v>358</v>
      </c>
      <c r="G87" s="53" t="s">
        <v>36</v>
      </c>
      <c r="H87" s="53" t="s">
        <v>164</v>
      </c>
      <c r="I87" s="53" t="s">
        <v>197</v>
      </c>
      <c r="J87" s="53" t="s">
        <v>38</v>
      </c>
      <c r="K87" s="53" t="s">
        <v>161</v>
      </c>
      <c r="L87" s="53">
        <v>2</v>
      </c>
      <c r="N87" s="53">
        <v>1</v>
      </c>
      <c r="O87" s="53">
        <v>0.55000000000000004</v>
      </c>
      <c r="P87" s="53">
        <v>0.5</v>
      </c>
      <c r="Q87" s="84">
        <f t="shared" si="5"/>
        <v>0.52500000000000002</v>
      </c>
      <c r="R87" s="53">
        <v>18</v>
      </c>
      <c r="S87" s="53">
        <v>121</v>
      </c>
      <c r="T87" s="16">
        <f t="shared" si="6"/>
        <v>30</v>
      </c>
      <c r="U87" s="53">
        <v>105</v>
      </c>
      <c r="V87" s="16">
        <f t="shared" si="7"/>
        <v>3150</v>
      </c>
      <c r="W87" s="53">
        <v>7</v>
      </c>
      <c r="X87" s="53" t="s">
        <v>46</v>
      </c>
      <c r="Y87" s="53" t="s">
        <v>55</v>
      </c>
      <c r="Z87" s="53" t="s">
        <v>69</v>
      </c>
      <c r="AA87" s="53" t="s">
        <v>97</v>
      </c>
      <c r="AB87" s="53" t="s">
        <v>236</v>
      </c>
    </row>
    <row r="88" spans="1:28" x14ac:dyDescent="0.15">
      <c r="A88" s="53" t="s">
        <v>34</v>
      </c>
      <c r="B88" s="53" t="s">
        <v>232</v>
      </c>
      <c r="C88" s="53">
        <v>2019</v>
      </c>
      <c r="D88" s="153" t="s">
        <v>166</v>
      </c>
      <c r="E88" s="53" t="s">
        <v>357</v>
      </c>
      <c r="F88" s="53" t="s">
        <v>358</v>
      </c>
      <c r="G88" s="53" t="s">
        <v>36</v>
      </c>
      <c r="H88" s="53" t="s">
        <v>164</v>
      </c>
      <c r="I88" s="53" t="s">
        <v>197</v>
      </c>
      <c r="J88" s="53" t="s">
        <v>38</v>
      </c>
      <c r="K88" s="53" t="s">
        <v>161</v>
      </c>
      <c r="L88" s="53">
        <v>3</v>
      </c>
      <c r="N88" s="53">
        <v>1</v>
      </c>
      <c r="O88" s="53">
        <v>0.6</v>
      </c>
      <c r="P88" s="53">
        <v>0.65</v>
      </c>
      <c r="Q88" s="84">
        <f t="shared" si="5"/>
        <v>0.625</v>
      </c>
      <c r="R88" s="53">
        <v>17.3</v>
      </c>
      <c r="S88" s="53">
        <v>134</v>
      </c>
      <c r="T88" s="16">
        <f t="shared" si="6"/>
        <v>30</v>
      </c>
      <c r="U88" s="53">
        <v>105</v>
      </c>
      <c r="V88" s="16">
        <f t="shared" si="7"/>
        <v>3150</v>
      </c>
      <c r="W88" s="53">
        <v>7</v>
      </c>
      <c r="X88" s="53" t="s">
        <v>46</v>
      </c>
      <c r="Y88" s="53" t="s">
        <v>55</v>
      </c>
      <c r="Z88" s="53" t="s">
        <v>69</v>
      </c>
      <c r="AA88" s="53" t="s">
        <v>97</v>
      </c>
      <c r="AB88" s="53" t="s">
        <v>236</v>
      </c>
    </row>
    <row r="89" spans="1:28" x14ac:dyDescent="0.15">
      <c r="A89" s="53" t="s">
        <v>34</v>
      </c>
      <c r="B89" s="53" t="s">
        <v>232</v>
      </c>
      <c r="C89" s="53">
        <v>2019</v>
      </c>
      <c r="D89" s="153" t="s">
        <v>166</v>
      </c>
      <c r="E89" s="53" t="s">
        <v>357</v>
      </c>
      <c r="F89" s="53" t="s">
        <v>358</v>
      </c>
      <c r="G89" s="53" t="s">
        <v>36</v>
      </c>
      <c r="H89" s="53" t="s">
        <v>164</v>
      </c>
      <c r="I89" s="53" t="s">
        <v>159</v>
      </c>
      <c r="J89" s="53" t="s">
        <v>38</v>
      </c>
      <c r="K89" s="53" t="s">
        <v>161</v>
      </c>
      <c r="L89" s="53">
        <v>1</v>
      </c>
      <c r="N89" s="53">
        <v>4</v>
      </c>
      <c r="O89" s="53">
        <v>0.2</v>
      </c>
      <c r="P89" s="53">
        <v>0.45</v>
      </c>
      <c r="Q89" s="84">
        <f t="shared" si="5"/>
        <v>0.32500000000000001</v>
      </c>
      <c r="R89" s="53">
        <v>14.2</v>
      </c>
      <c r="S89" s="53">
        <v>89</v>
      </c>
      <c r="T89" s="16">
        <f t="shared" si="6"/>
        <v>36</v>
      </c>
      <c r="U89" s="53">
        <v>429</v>
      </c>
      <c r="V89" s="16">
        <f t="shared" si="7"/>
        <v>3861</v>
      </c>
      <c r="W89" s="53">
        <v>7</v>
      </c>
      <c r="X89" s="53" t="s">
        <v>46</v>
      </c>
      <c r="Y89" s="53" t="s">
        <v>55</v>
      </c>
      <c r="Z89" s="53" t="s">
        <v>69</v>
      </c>
      <c r="AA89" s="53" t="s">
        <v>97</v>
      </c>
      <c r="AB89" s="53" t="s">
        <v>236</v>
      </c>
    </row>
    <row r="90" spans="1:28" x14ac:dyDescent="0.15">
      <c r="A90" s="53" t="s">
        <v>34</v>
      </c>
      <c r="B90" s="53" t="s">
        <v>232</v>
      </c>
      <c r="C90" s="53">
        <v>2019</v>
      </c>
      <c r="D90" s="153" t="s">
        <v>166</v>
      </c>
      <c r="E90" s="53" t="s">
        <v>357</v>
      </c>
      <c r="F90" s="53" t="s">
        <v>358</v>
      </c>
      <c r="G90" s="53" t="s">
        <v>36</v>
      </c>
      <c r="H90" s="53" t="s">
        <v>164</v>
      </c>
      <c r="I90" s="53" t="s">
        <v>159</v>
      </c>
      <c r="J90" s="53" t="s">
        <v>38</v>
      </c>
      <c r="K90" s="53" t="s">
        <v>161</v>
      </c>
      <c r="L90" s="53">
        <v>2</v>
      </c>
      <c r="N90" s="53">
        <v>4</v>
      </c>
      <c r="O90" s="53">
        <v>0.5</v>
      </c>
      <c r="P90" s="53">
        <v>0.45</v>
      </c>
      <c r="Q90" s="84">
        <f t="shared" si="5"/>
        <v>0.47499999999999998</v>
      </c>
      <c r="R90" s="53">
        <v>16.8</v>
      </c>
      <c r="S90" s="53">
        <v>85</v>
      </c>
      <c r="T90" s="16">
        <f t="shared" si="6"/>
        <v>36</v>
      </c>
      <c r="U90" s="53">
        <v>429</v>
      </c>
      <c r="V90" s="16">
        <f t="shared" si="7"/>
        <v>3861</v>
      </c>
      <c r="W90" s="53">
        <v>7</v>
      </c>
      <c r="X90" s="53" t="s">
        <v>46</v>
      </c>
      <c r="Y90" s="53" t="s">
        <v>55</v>
      </c>
      <c r="Z90" s="53" t="s">
        <v>69</v>
      </c>
      <c r="AA90" s="53" t="s">
        <v>97</v>
      </c>
      <c r="AB90" s="53" t="s">
        <v>236</v>
      </c>
    </row>
    <row r="91" spans="1:28" x14ac:dyDescent="0.15">
      <c r="A91" s="53" t="s">
        <v>34</v>
      </c>
      <c r="B91" s="53" t="s">
        <v>232</v>
      </c>
      <c r="C91" s="53">
        <v>2019</v>
      </c>
      <c r="D91" s="153" t="s">
        <v>166</v>
      </c>
      <c r="E91" s="53" t="s">
        <v>357</v>
      </c>
      <c r="F91" s="53" t="s">
        <v>358</v>
      </c>
      <c r="G91" s="53" t="s">
        <v>36</v>
      </c>
      <c r="H91" s="53" t="s">
        <v>164</v>
      </c>
      <c r="I91" s="53" t="s">
        <v>159</v>
      </c>
      <c r="J91" s="53" t="s">
        <v>38</v>
      </c>
      <c r="K91" s="53" t="s">
        <v>161</v>
      </c>
      <c r="L91" s="53">
        <v>3</v>
      </c>
      <c r="N91" s="53">
        <v>4</v>
      </c>
      <c r="O91" s="53">
        <v>0.2</v>
      </c>
      <c r="P91" s="53">
        <v>0.5</v>
      </c>
      <c r="Q91" s="84">
        <f t="shared" si="5"/>
        <v>0.35</v>
      </c>
      <c r="R91" s="53">
        <v>14.5</v>
      </c>
      <c r="S91" s="53">
        <v>87</v>
      </c>
      <c r="T91" s="16">
        <f t="shared" si="6"/>
        <v>36</v>
      </c>
      <c r="U91" s="53">
        <v>429</v>
      </c>
      <c r="V91" s="16">
        <f t="shared" si="7"/>
        <v>3861</v>
      </c>
      <c r="W91" s="53">
        <v>7</v>
      </c>
      <c r="X91" s="53" t="s">
        <v>46</v>
      </c>
      <c r="Y91" s="53" t="s">
        <v>55</v>
      </c>
      <c r="Z91" s="53" t="s">
        <v>69</v>
      </c>
      <c r="AA91" s="53" t="s">
        <v>97</v>
      </c>
      <c r="AB91" s="53" t="s">
        <v>236</v>
      </c>
    </row>
    <row r="92" spans="1:28" x14ac:dyDescent="0.15">
      <c r="A92" s="53" t="s">
        <v>34</v>
      </c>
      <c r="B92" s="53" t="s">
        <v>232</v>
      </c>
      <c r="C92" s="53">
        <v>2019</v>
      </c>
      <c r="D92" s="153" t="s">
        <v>166</v>
      </c>
      <c r="E92" s="53" t="s">
        <v>357</v>
      </c>
      <c r="F92" s="53" t="s">
        <v>358</v>
      </c>
      <c r="G92" s="53" t="s">
        <v>36</v>
      </c>
      <c r="H92" s="53" t="s">
        <v>164</v>
      </c>
      <c r="I92" s="53" t="s">
        <v>159</v>
      </c>
      <c r="J92" s="53" t="s">
        <v>38</v>
      </c>
      <c r="K92" s="53" t="s">
        <v>161</v>
      </c>
      <c r="L92" s="53">
        <v>1</v>
      </c>
      <c r="N92" s="53">
        <v>10</v>
      </c>
      <c r="O92" s="53">
        <v>0.55000000000000004</v>
      </c>
      <c r="P92" s="53">
        <v>0.6</v>
      </c>
      <c r="Q92" s="84">
        <f t="shared" si="5"/>
        <v>0.57499999999999996</v>
      </c>
      <c r="R92" s="53">
        <v>12.8</v>
      </c>
      <c r="S92" s="53">
        <v>77</v>
      </c>
      <c r="T92" s="16">
        <f t="shared" si="6"/>
        <v>39</v>
      </c>
      <c r="U92" s="53">
        <v>537</v>
      </c>
      <c r="V92" s="16">
        <f t="shared" si="7"/>
        <v>2094.3000000000002</v>
      </c>
      <c r="W92" s="53">
        <v>7</v>
      </c>
      <c r="X92" s="53" t="s">
        <v>46</v>
      </c>
      <c r="Y92" s="53" t="s">
        <v>55</v>
      </c>
      <c r="Z92" s="53" t="s">
        <v>69</v>
      </c>
      <c r="AA92" s="53" t="s">
        <v>97</v>
      </c>
      <c r="AB92" s="53" t="s">
        <v>236</v>
      </c>
    </row>
    <row r="93" spans="1:28" x14ac:dyDescent="0.15">
      <c r="A93" s="53" t="s">
        <v>34</v>
      </c>
      <c r="B93" s="53" t="s">
        <v>232</v>
      </c>
      <c r="C93" s="53">
        <v>2019</v>
      </c>
      <c r="D93" s="153" t="s">
        <v>166</v>
      </c>
      <c r="E93" s="53" t="s">
        <v>357</v>
      </c>
      <c r="F93" s="53" t="s">
        <v>358</v>
      </c>
      <c r="G93" s="53" t="s">
        <v>36</v>
      </c>
      <c r="H93" s="53" t="s">
        <v>164</v>
      </c>
      <c r="I93" s="53" t="s">
        <v>159</v>
      </c>
      <c r="J93" s="53" t="s">
        <v>38</v>
      </c>
      <c r="K93" s="53" t="s">
        <v>161</v>
      </c>
      <c r="L93" s="53">
        <v>2</v>
      </c>
      <c r="N93" s="53">
        <v>10</v>
      </c>
      <c r="O93" s="53">
        <v>0.55000000000000004</v>
      </c>
      <c r="P93" s="53">
        <v>0.5</v>
      </c>
      <c r="Q93" s="84">
        <f t="shared" si="5"/>
        <v>0.52500000000000002</v>
      </c>
      <c r="R93" s="53">
        <v>14.3</v>
      </c>
      <c r="S93" s="53">
        <v>79</v>
      </c>
      <c r="T93" s="16">
        <f t="shared" si="6"/>
        <v>39</v>
      </c>
      <c r="U93" s="53">
        <v>537</v>
      </c>
      <c r="V93" s="16">
        <f t="shared" si="7"/>
        <v>2094.3000000000002</v>
      </c>
      <c r="W93" s="53">
        <v>7</v>
      </c>
      <c r="X93" s="53" t="s">
        <v>46</v>
      </c>
      <c r="Y93" s="53" t="s">
        <v>55</v>
      </c>
      <c r="Z93" s="53" t="s">
        <v>69</v>
      </c>
      <c r="AA93" s="53" t="s">
        <v>97</v>
      </c>
      <c r="AB93" s="53" t="s">
        <v>236</v>
      </c>
    </row>
    <row r="94" spans="1:28" x14ac:dyDescent="0.15">
      <c r="A94" s="53" t="s">
        <v>34</v>
      </c>
      <c r="B94" s="53" t="s">
        <v>232</v>
      </c>
      <c r="C94" s="53">
        <v>2019</v>
      </c>
      <c r="D94" s="153" t="s">
        <v>166</v>
      </c>
      <c r="E94" s="53" t="s">
        <v>357</v>
      </c>
      <c r="F94" s="53" t="s">
        <v>358</v>
      </c>
      <c r="G94" s="53" t="s">
        <v>36</v>
      </c>
      <c r="H94" s="53" t="s">
        <v>164</v>
      </c>
      <c r="I94" s="53" t="s">
        <v>159</v>
      </c>
      <c r="J94" s="53" t="s">
        <v>38</v>
      </c>
      <c r="K94" s="53" t="s">
        <v>161</v>
      </c>
      <c r="L94" s="53">
        <v>3</v>
      </c>
      <c r="N94" s="53">
        <v>10</v>
      </c>
      <c r="O94" s="53">
        <v>0.55000000000000004</v>
      </c>
      <c r="P94" s="53">
        <v>0.5</v>
      </c>
      <c r="Q94" s="84">
        <f t="shared" si="5"/>
        <v>0.52500000000000002</v>
      </c>
      <c r="R94" s="53">
        <v>13.7</v>
      </c>
      <c r="S94" s="53">
        <v>78</v>
      </c>
      <c r="T94" s="16">
        <f t="shared" si="6"/>
        <v>39</v>
      </c>
      <c r="U94" s="53">
        <v>537</v>
      </c>
      <c r="V94" s="16">
        <f t="shared" si="7"/>
        <v>2094.3000000000002</v>
      </c>
      <c r="W94" s="53">
        <v>7</v>
      </c>
      <c r="X94" s="53" t="s">
        <v>46</v>
      </c>
      <c r="Y94" s="53" t="s">
        <v>55</v>
      </c>
      <c r="Z94" s="53" t="s">
        <v>69</v>
      </c>
      <c r="AA94" s="53" t="s">
        <v>97</v>
      </c>
      <c r="AB94" s="53" t="s">
        <v>236</v>
      </c>
    </row>
    <row r="95" spans="1:28" x14ac:dyDescent="0.15">
      <c r="A95" s="53" t="s">
        <v>34</v>
      </c>
      <c r="B95" s="53" t="s">
        <v>232</v>
      </c>
      <c r="C95" s="53">
        <v>2019</v>
      </c>
      <c r="D95" s="153" t="s">
        <v>166</v>
      </c>
      <c r="E95" s="53" t="s">
        <v>357</v>
      </c>
      <c r="F95" s="53" t="s">
        <v>358</v>
      </c>
      <c r="G95" s="53" t="s">
        <v>36</v>
      </c>
      <c r="H95" s="53" t="s">
        <v>160</v>
      </c>
      <c r="I95" s="53" t="s">
        <v>197</v>
      </c>
      <c r="J95" s="53" t="s">
        <v>38</v>
      </c>
      <c r="K95" s="53" t="s">
        <v>161</v>
      </c>
      <c r="L95" s="53">
        <v>1</v>
      </c>
      <c r="N95" s="53">
        <v>1</v>
      </c>
      <c r="O95" s="53">
        <v>0.6</v>
      </c>
      <c r="P95" s="53">
        <v>0.55000000000000004</v>
      </c>
      <c r="Q95" s="84">
        <f t="shared" si="5"/>
        <v>0.57499999999999996</v>
      </c>
      <c r="R95" s="53">
        <v>20.7</v>
      </c>
      <c r="S95" s="53">
        <v>127</v>
      </c>
      <c r="T95" s="16">
        <f t="shared" si="6"/>
        <v>30</v>
      </c>
      <c r="U95" s="53">
        <v>105</v>
      </c>
      <c r="V95" s="16">
        <f t="shared" si="7"/>
        <v>3150</v>
      </c>
      <c r="W95" s="53">
        <v>9</v>
      </c>
      <c r="X95" s="53" t="s">
        <v>46</v>
      </c>
      <c r="Y95" s="53" t="s">
        <v>55</v>
      </c>
      <c r="Z95" s="53" t="s">
        <v>69</v>
      </c>
      <c r="AA95" s="53" t="s">
        <v>97</v>
      </c>
      <c r="AB95" s="53" t="s">
        <v>236</v>
      </c>
    </row>
    <row r="96" spans="1:28" x14ac:dyDescent="0.15">
      <c r="A96" s="53" t="s">
        <v>34</v>
      </c>
      <c r="B96" s="53" t="s">
        <v>232</v>
      </c>
      <c r="C96" s="53">
        <v>2019</v>
      </c>
      <c r="D96" s="153" t="s">
        <v>166</v>
      </c>
      <c r="E96" s="53" t="s">
        <v>357</v>
      </c>
      <c r="F96" s="53" t="s">
        <v>358</v>
      </c>
      <c r="G96" s="53" t="s">
        <v>36</v>
      </c>
      <c r="H96" s="53" t="s">
        <v>160</v>
      </c>
      <c r="I96" s="53" t="s">
        <v>197</v>
      </c>
      <c r="J96" s="53" t="s">
        <v>38</v>
      </c>
      <c r="K96" s="53" t="s">
        <v>161</v>
      </c>
      <c r="L96" s="53">
        <v>2</v>
      </c>
      <c r="N96" s="53">
        <v>1</v>
      </c>
      <c r="O96" s="53">
        <v>0.2</v>
      </c>
      <c r="P96" s="53">
        <v>0.55000000000000004</v>
      </c>
      <c r="Q96" s="84">
        <f t="shared" si="5"/>
        <v>0.375</v>
      </c>
      <c r="R96" s="53">
        <v>21.1</v>
      </c>
      <c r="S96" s="53">
        <v>132</v>
      </c>
      <c r="T96" s="16">
        <f t="shared" si="6"/>
        <v>30</v>
      </c>
      <c r="U96" s="53">
        <v>105</v>
      </c>
      <c r="V96" s="16">
        <f t="shared" si="7"/>
        <v>3150</v>
      </c>
      <c r="W96" s="53">
        <v>9</v>
      </c>
      <c r="X96" s="53" t="s">
        <v>46</v>
      </c>
      <c r="Y96" s="53" t="s">
        <v>55</v>
      </c>
      <c r="Z96" s="53" t="s">
        <v>69</v>
      </c>
      <c r="AA96" s="53" t="s">
        <v>97</v>
      </c>
      <c r="AB96" s="53" t="s">
        <v>236</v>
      </c>
    </row>
    <row r="97" spans="1:28" x14ac:dyDescent="0.15">
      <c r="A97" s="53" t="s">
        <v>34</v>
      </c>
      <c r="B97" s="53" t="s">
        <v>232</v>
      </c>
      <c r="C97" s="53">
        <v>2019</v>
      </c>
      <c r="D97" s="153" t="s">
        <v>166</v>
      </c>
      <c r="E97" s="53" t="s">
        <v>357</v>
      </c>
      <c r="F97" s="53" t="s">
        <v>358</v>
      </c>
      <c r="G97" s="53" t="s">
        <v>36</v>
      </c>
      <c r="H97" s="53" t="s">
        <v>160</v>
      </c>
      <c r="I97" s="53" t="s">
        <v>197</v>
      </c>
      <c r="J97" s="53" t="s">
        <v>38</v>
      </c>
      <c r="K97" s="53" t="s">
        <v>161</v>
      </c>
      <c r="L97" s="53">
        <v>3</v>
      </c>
      <c r="N97" s="53">
        <v>1</v>
      </c>
      <c r="O97" s="53">
        <v>0.45</v>
      </c>
      <c r="P97" s="53">
        <v>0.45</v>
      </c>
      <c r="Q97" s="84">
        <f t="shared" si="5"/>
        <v>0.45</v>
      </c>
      <c r="R97" s="53">
        <v>20.9</v>
      </c>
      <c r="S97" s="53">
        <v>128</v>
      </c>
      <c r="T97" s="16">
        <f t="shared" si="6"/>
        <v>30</v>
      </c>
      <c r="U97" s="53">
        <v>105</v>
      </c>
      <c r="V97" s="16">
        <f t="shared" si="7"/>
        <v>3150</v>
      </c>
      <c r="W97" s="53">
        <v>9</v>
      </c>
      <c r="X97" s="53" t="s">
        <v>46</v>
      </c>
      <c r="Y97" s="53" t="s">
        <v>55</v>
      </c>
      <c r="Z97" s="53" t="s">
        <v>69</v>
      </c>
      <c r="AA97" s="53" t="s">
        <v>97</v>
      </c>
      <c r="AB97" s="53" t="s">
        <v>236</v>
      </c>
    </row>
    <row r="98" spans="1:28" x14ac:dyDescent="0.15">
      <c r="A98" s="53" t="s">
        <v>34</v>
      </c>
      <c r="B98" s="53" t="s">
        <v>232</v>
      </c>
      <c r="C98" s="53">
        <v>2019</v>
      </c>
      <c r="D98" s="153" t="s">
        <v>166</v>
      </c>
      <c r="E98" s="53" t="s">
        <v>357</v>
      </c>
      <c r="F98" s="53" t="s">
        <v>358</v>
      </c>
      <c r="G98" s="53" t="s">
        <v>36</v>
      </c>
      <c r="H98" s="53" t="s">
        <v>160</v>
      </c>
      <c r="I98" s="53" t="s">
        <v>159</v>
      </c>
      <c r="J98" s="53" t="s">
        <v>38</v>
      </c>
      <c r="K98" s="53" t="s">
        <v>161</v>
      </c>
      <c r="L98" s="53">
        <v>1</v>
      </c>
      <c r="N98" s="53">
        <v>4</v>
      </c>
      <c r="O98" s="53">
        <v>0.2</v>
      </c>
      <c r="P98" s="53">
        <v>0.45</v>
      </c>
      <c r="Q98" s="84">
        <f t="shared" si="5"/>
        <v>0.32500000000000001</v>
      </c>
      <c r="R98" s="53">
        <v>17.8</v>
      </c>
      <c r="S98" s="53">
        <v>101</v>
      </c>
      <c r="T98" s="16">
        <f t="shared" si="6"/>
        <v>33</v>
      </c>
      <c r="U98" s="53">
        <v>537</v>
      </c>
      <c r="V98" s="16">
        <f t="shared" si="7"/>
        <v>4430.25</v>
      </c>
      <c r="W98" s="53">
        <v>9</v>
      </c>
      <c r="X98" s="53" t="s">
        <v>46</v>
      </c>
      <c r="Y98" s="53" t="s">
        <v>55</v>
      </c>
      <c r="Z98" s="53" t="s">
        <v>69</v>
      </c>
      <c r="AA98" s="53" t="s">
        <v>97</v>
      </c>
      <c r="AB98" s="53" t="s">
        <v>236</v>
      </c>
    </row>
    <row r="99" spans="1:28" x14ac:dyDescent="0.15">
      <c r="A99" s="53" t="s">
        <v>34</v>
      </c>
      <c r="B99" s="53" t="s">
        <v>232</v>
      </c>
      <c r="C99" s="53">
        <v>2019</v>
      </c>
      <c r="D99" s="153" t="s">
        <v>166</v>
      </c>
      <c r="E99" s="53" t="s">
        <v>357</v>
      </c>
      <c r="F99" s="53" t="s">
        <v>358</v>
      </c>
      <c r="G99" s="53" t="s">
        <v>36</v>
      </c>
      <c r="H99" s="53" t="s">
        <v>160</v>
      </c>
      <c r="I99" s="53" t="s">
        <v>159</v>
      </c>
      <c r="J99" s="53" t="s">
        <v>38</v>
      </c>
      <c r="K99" s="53" t="s">
        <v>161</v>
      </c>
      <c r="L99" s="53">
        <v>2</v>
      </c>
      <c r="N99" s="53">
        <v>4</v>
      </c>
      <c r="O99" s="53">
        <v>0.5</v>
      </c>
      <c r="P99" s="53">
        <v>0.45</v>
      </c>
      <c r="Q99" s="84">
        <f t="shared" si="5"/>
        <v>0.47499999999999998</v>
      </c>
      <c r="R99" s="53">
        <v>17.399999999999999</v>
      </c>
      <c r="S99" s="53">
        <v>94</v>
      </c>
      <c r="T99" s="16">
        <f t="shared" si="6"/>
        <v>36</v>
      </c>
      <c r="U99" s="53">
        <v>537</v>
      </c>
      <c r="V99" s="16">
        <f t="shared" si="7"/>
        <v>4833</v>
      </c>
      <c r="W99" s="53">
        <v>9</v>
      </c>
      <c r="X99" s="53" t="s">
        <v>46</v>
      </c>
      <c r="Y99" s="53" t="s">
        <v>55</v>
      </c>
      <c r="Z99" s="53" t="s">
        <v>69</v>
      </c>
      <c r="AA99" s="53" t="s">
        <v>97</v>
      </c>
      <c r="AB99" s="53" t="s">
        <v>236</v>
      </c>
    </row>
    <row r="100" spans="1:28" x14ac:dyDescent="0.15">
      <c r="A100" s="53" t="s">
        <v>34</v>
      </c>
      <c r="B100" s="53" t="s">
        <v>232</v>
      </c>
      <c r="C100" s="53">
        <v>2019</v>
      </c>
      <c r="D100" s="153" t="s">
        <v>166</v>
      </c>
      <c r="E100" s="53" t="s">
        <v>357</v>
      </c>
      <c r="F100" s="53" t="s">
        <v>358</v>
      </c>
      <c r="G100" s="53" t="s">
        <v>36</v>
      </c>
      <c r="H100" s="53" t="s">
        <v>160</v>
      </c>
      <c r="I100" s="53" t="s">
        <v>159</v>
      </c>
      <c r="J100" s="53" t="s">
        <v>38</v>
      </c>
      <c r="K100" s="53" t="s">
        <v>161</v>
      </c>
      <c r="L100" s="53">
        <v>3</v>
      </c>
      <c r="N100" s="53">
        <v>4</v>
      </c>
      <c r="O100" s="53">
        <v>0.5</v>
      </c>
      <c r="P100" s="53">
        <v>0.45</v>
      </c>
      <c r="Q100" s="84">
        <f t="shared" si="5"/>
        <v>0.47499999999999998</v>
      </c>
      <c r="R100" s="53">
        <v>19.2</v>
      </c>
      <c r="S100" s="53">
        <v>95</v>
      </c>
      <c r="T100" s="16">
        <f t="shared" si="6"/>
        <v>36</v>
      </c>
      <c r="U100" s="53">
        <v>537</v>
      </c>
      <c r="V100" s="16">
        <f t="shared" si="7"/>
        <v>4833</v>
      </c>
      <c r="W100" s="53">
        <v>9</v>
      </c>
      <c r="X100" s="53" t="s">
        <v>46</v>
      </c>
      <c r="Y100" s="53" t="s">
        <v>55</v>
      </c>
      <c r="Z100" s="53" t="s">
        <v>69</v>
      </c>
      <c r="AA100" s="53" t="s">
        <v>97</v>
      </c>
      <c r="AB100" s="53" t="s">
        <v>236</v>
      </c>
    </row>
    <row r="101" spans="1:28" x14ac:dyDescent="0.15">
      <c r="A101" s="53" t="s">
        <v>34</v>
      </c>
      <c r="B101" s="53" t="s">
        <v>232</v>
      </c>
      <c r="C101" s="53">
        <v>2019</v>
      </c>
      <c r="D101" s="153" t="s">
        <v>166</v>
      </c>
      <c r="E101" s="53" t="s">
        <v>357</v>
      </c>
      <c r="F101" s="53" t="s">
        <v>358</v>
      </c>
      <c r="G101" s="53" t="s">
        <v>36</v>
      </c>
      <c r="H101" s="53" t="s">
        <v>160</v>
      </c>
      <c r="I101" s="53" t="s">
        <v>159</v>
      </c>
      <c r="J101" s="53" t="s">
        <v>38</v>
      </c>
      <c r="K101" s="53" t="s">
        <v>161</v>
      </c>
      <c r="L101" s="53">
        <v>1</v>
      </c>
      <c r="N101" s="53">
        <v>10</v>
      </c>
      <c r="O101" s="53">
        <v>0.55000000000000004</v>
      </c>
      <c r="P101" s="53">
        <v>0.55000000000000004</v>
      </c>
      <c r="Q101" s="84">
        <f t="shared" si="5"/>
        <v>0.55000000000000004</v>
      </c>
      <c r="R101" s="53">
        <v>18.8</v>
      </c>
      <c r="S101" s="53">
        <v>81</v>
      </c>
      <c r="T101" s="16">
        <f t="shared" si="6"/>
        <v>39</v>
      </c>
      <c r="U101" s="53">
        <v>950</v>
      </c>
      <c r="V101" s="16">
        <f t="shared" si="7"/>
        <v>3705</v>
      </c>
      <c r="W101" s="53">
        <v>9</v>
      </c>
      <c r="X101" s="53" t="s">
        <v>46</v>
      </c>
      <c r="Y101" s="53" t="s">
        <v>55</v>
      </c>
      <c r="Z101" s="53" t="s">
        <v>69</v>
      </c>
      <c r="AA101" s="53" t="s">
        <v>97</v>
      </c>
      <c r="AB101" s="53" t="s">
        <v>236</v>
      </c>
    </row>
    <row r="102" spans="1:28" x14ac:dyDescent="0.15">
      <c r="A102" s="53" t="s">
        <v>34</v>
      </c>
      <c r="B102" s="53" t="s">
        <v>232</v>
      </c>
      <c r="C102" s="53">
        <v>2019</v>
      </c>
      <c r="D102" s="153" t="s">
        <v>166</v>
      </c>
      <c r="E102" s="53" t="s">
        <v>357</v>
      </c>
      <c r="F102" s="53" t="s">
        <v>358</v>
      </c>
      <c r="G102" s="53" t="s">
        <v>36</v>
      </c>
      <c r="H102" s="53" t="s">
        <v>160</v>
      </c>
      <c r="I102" s="53" t="s">
        <v>159</v>
      </c>
      <c r="J102" s="53" t="s">
        <v>38</v>
      </c>
      <c r="K102" s="53" t="s">
        <v>161</v>
      </c>
      <c r="L102" s="53">
        <v>2</v>
      </c>
      <c r="N102" s="53">
        <v>10</v>
      </c>
      <c r="O102" s="53">
        <v>0.55000000000000004</v>
      </c>
      <c r="P102" s="53">
        <v>0.7</v>
      </c>
      <c r="Q102" s="84">
        <f t="shared" si="5"/>
        <v>0.625</v>
      </c>
      <c r="R102" s="53">
        <v>19.2</v>
      </c>
      <c r="S102" s="53">
        <v>87</v>
      </c>
      <c r="T102" s="16">
        <f t="shared" si="6"/>
        <v>36</v>
      </c>
      <c r="U102" s="53">
        <v>950</v>
      </c>
      <c r="V102" s="16">
        <f t="shared" si="7"/>
        <v>3420</v>
      </c>
      <c r="W102" s="53">
        <v>9</v>
      </c>
      <c r="X102" s="53" t="s">
        <v>46</v>
      </c>
      <c r="Y102" s="53" t="s">
        <v>55</v>
      </c>
      <c r="Z102" s="53" t="s">
        <v>69</v>
      </c>
      <c r="AA102" s="53" t="s">
        <v>97</v>
      </c>
      <c r="AB102" s="53" t="s">
        <v>236</v>
      </c>
    </row>
    <row r="103" spans="1:28" x14ac:dyDescent="0.15">
      <c r="A103" s="53" t="s">
        <v>34</v>
      </c>
      <c r="B103" s="53" t="s">
        <v>232</v>
      </c>
      <c r="C103" s="53">
        <v>2019</v>
      </c>
      <c r="D103" s="153" t="s">
        <v>166</v>
      </c>
      <c r="E103" s="53" t="s">
        <v>357</v>
      </c>
      <c r="F103" s="53" t="s">
        <v>358</v>
      </c>
      <c r="G103" s="53" t="s">
        <v>36</v>
      </c>
      <c r="H103" s="53" t="s">
        <v>160</v>
      </c>
      <c r="I103" s="53" t="s">
        <v>159</v>
      </c>
      <c r="J103" s="53" t="s">
        <v>38</v>
      </c>
      <c r="K103" s="53" t="s">
        <v>161</v>
      </c>
      <c r="L103" s="53">
        <v>3</v>
      </c>
      <c r="N103" s="53">
        <v>10</v>
      </c>
      <c r="O103" s="53">
        <v>0.6</v>
      </c>
      <c r="P103" s="53">
        <v>0.55000000000000004</v>
      </c>
      <c r="Q103" s="84">
        <f t="shared" si="5"/>
        <v>0.57499999999999996</v>
      </c>
      <c r="R103" s="53">
        <v>19.7</v>
      </c>
      <c r="S103" s="53">
        <v>85</v>
      </c>
      <c r="T103" s="16">
        <f t="shared" si="6"/>
        <v>36</v>
      </c>
      <c r="U103" s="53">
        <v>950</v>
      </c>
      <c r="V103" s="16">
        <f t="shared" si="7"/>
        <v>3420</v>
      </c>
      <c r="W103" s="53">
        <v>9</v>
      </c>
      <c r="X103" s="53" t="s">
        <v>46</v>
      </c>
      <c r="Y103" s="53" t="s">
        <v>55</v>
      </c>
      <c r="Z103" s="53" t="s">
        <v>69</v>
      </c>
      <c r="AA103" s="53" t="s">
        <v>97</v>
      </c>
      <c r="AB103" s="53" t="s">
        <v>236</v>
      </c>
    </row>
    <row r="104" spans="1:28" x14ac:dyDescent="0.15">
      <c r="A104" s="53" t="s">
        <v>34</v>
      </c>
      <c r="B104" s="53" t="s">
        <v>232</v>
      </c>
      <c r="C104" s="53">
        <v>2019</v>
      </c>
      <c r="D104" s="153" t="s">
        <v>166</v>
      </c>
      <c r="E104" s="53" t="s">
        <v>359</v>
      </c>
      <c r="F104" s="53" t="s">
        <v>360</v>
      </c>
      <c r="G104" s="53" t="s">
        <v>36</v>
      </c>
      <c r="H104" s="53" t="s">
        <v>164</v>
      </c>
      <c r="I104" s="53" t="s">
        <v>159</v>
      </c>
      <c r="J104" s="53" t="s">
        <v>38</v>
      </c>
      <c r="K104" s="53" t="s">
        <v>161</v>
      </c>
      <c r="L104" s="53">
        <v>1</v>
      </c>
      <c r="N104" s="53">
        <v>1</v>
      </c>
      <c r="O104" s="53">
        <v>0.7</v>
      </c>
      <c r="P104" s="53">
        <v>0.65</v>
      </c>
      <c r="Q104" s="84">
        <f t="shared" si="5"/>
        <v>0.67500000000000004</v>
      </c>
      <c r="R104" s="53">
        <v>18.600000000000001</v>
      </c>
      <c r="S104" s="53">
        <v>96</v>
      </c>
      <c r="T104" s="16">
        <f t="shared" si="6"/>
        <v>36</v>
      </c>
      <c r="U104" s="53">
        <v>105</v>
      </c>
      <c r="V104" s="16">
        <f t="shared" si="7"/>
        <v>3780</v>
      </c>
      <c r="W104" s="53">
        <v>8</v>
      </c>
      <c r="X104" s="53" t="s">
        <v>46</v>
      </c>
      <c r="Y104" s="53" t="s">
        <v>88</v>
      </c>
      <c r="Z104" s="53" t="s">
        <v>69</v>
      </c>
      <c r="AA104" s="53" t="s">
        <v>55</v>
      </c>
      <c r="AB104" s="53" t="s">
        <v>236</v>
      </c>
    </row>
    <row r="105" spans="1:28" x14ac:dyDescent="0.15">
      <c r="A105" s="53" t="s">
        <v>34</v>
      </c>
      <c r="B105" s="53" t="s">
        <v>232</v>
      </c>
      <c r="C105" s="53">
        <v>2019</v>
      </c>
      <c r="D105" s="153" t="s">
        <v>166</v>
      </c>
      <c r="E105" s="53" t="s">
        <v>359</v>
      </c>
      <c r="F105" s="53" t="s">
        <v>360</v>
      </c>
      <c r="G105" s="53" t="s">
        <v>36</v>
      </c>
      <c r="H105" s="53" t="s">
        <v>164</v>
      </c>
      <c r="I105" s="53" t="s">
        <v>159</v>
      </c>
      <c r="J105" s="53" t="s">
        <v>38</v>
      </c>
      <c r="K105" s="53" t="s">
        <v>161</v>
      </c>
      <c r="L105" s="53">
        <v>2</v>
      </c>
      <c r="N105" s="53">
        <v>1</v>
      </c>
      <c r="O105" s="53">
        <v>0.6</v>
      </c>
      <c r="P105" s="53">
        <v>0.65</v>
      </c>
      <c r="Q105" s="84">
        <f t="shared" si="5"/>
        <v>0.625</v>
      </c>
      <c r="R105" s="53">
        <v>17.899999999999999</v>
      </c>
      <c r="S105" s="53">
        <v>107</v>
      </c>
      <c r="T105" s="16">
        <f t="shared" si="6"/>
        <v>33</v>
      </c>
      <c r="U105" s="53">
        <v>105</v>
      </c>
      <c r="V105" s="16">
        <f t="shared" si="7"/>
        <v>3465</v>
      </c>
      <c r="W105" s="53">
        <v>8</v>
      </c>
      <c r="X105" s="53" t="s">
        <v>46</v>
      </c>
      <c r="Y105" s="53" t="s">
        <v>88</v>
      </c>
      <c r="Z105" s="53" t="s">
        <v>69</v>
      </c>
      <c r="AA105" s="53" t="s">
        <v>55</v>
      </c>
      <c r="AB105" s="53" t="s">
        <v>236</v>
      </c>
    </row>
    <row r="106" spans="1:28" x14ac:dyDescent="0.15">
      <c r="A106" s="53" t="s">
        <v>34</v>
      </c>
      <c r="B106" s="53" t="s">
        <v>232</v>
      </c>
      <c r="C106" s="53">
        <v>2019</v>
      </c>
      <c r="D106" s="153" t="s">
        <v>166</v>
      </c>
      <c r="E106" s="53" t="s">
        <v>359</v>
      </c>
      <c r="F106" s="53" t="s">
        <v>360</v>
      </c>
      <c r="G106" s="53" t="s">
        <v>36</v>
      </c>
      <c r="H106" s="53" t="s">
        <v>164</v>
      </c>
      <c r="I106" s="53" t="s">
        <v>159</v>
      </c>
      <c r="J106" s="53" t="s">
        <v>38</v>
      </c>
      <c r="K106" s="53" t="s">
        <v>161</v>
      </c>
      <c r="L106" s="53">
        <v>3</v>
      </c>
      <c r="N106" s="53">
        <v>1</v>
      </c>
      <c r="O106" s="53">
        <v>0.8</v>
      </c>
      <c r="P106" s="53">
        <v>0.7</v>
      </c>
      <c r="Q106" s="84">
        <f t="shared" si="5"/>
        <v>0.75</v>
      </c>
      <c r="R106" s="53">
        <v>17.5</v>
      </c>
      <c r="S106" s="53">
        <v>104</v>
      </c>
      <c r="T106" s="16">
        <f t="shared" si="6"/>
        <v>33</v>
      </c>
      <c r="U106" s="53">
        <v>105</v>
      </c>
      <c r="V106" s="16">
        <f t="shared" si="7"/>
        <v>3465</v>
      </c>
      <c r="W106" s="53">
        <v>8</v>
      </c>
      <c r="X106" s="53" t="s">
        <v>46</v>
      </c>
      <c r="Y106" s="53" t="s">
        <v>88</v>
      </c>
      <c r="Z106" s="53" t="s">
        <v>69</v>
      </c>
      <c r="AA106" s="53" t="s">
        <v>55</v>
      </c>
      <c r="AB106" s="53" t="s">
        <v>236</v>
      </c>
    </row>
    <row r="107" spans="1:28" x14ac:dyDescent="0.15">
      <c r="A107" s="53" t="s">
        <v>34</v>
      </c>
      <c r="B107" s="53" t="s">
        <v>232</v>
      </c>
      <c r="C107" s="53">
        <v>2019</v>
      </c>
      <c r="D107" s="153" t="s">
        <v>166</v>
      </c>
      <c r="E107" s="53" t="s">
        <v>359</v>
      </c>
      <c r="F107" s="53" t="s">
        <v>360</v>
      </c>
      <c r="G107" s="53" t="s">
        <v>36</v>
      </c>
      <c r="H107" s="53" t="s">
        <v>164</v>
      </c>
      <c r="I107" s="53" t="s">
        <v>197</v>
      </c>
      <c r="J107" s="53" t="s">
        <v>38</v>
      </c>
      <c r="K107" s="53" t="s">
        <v>161</v>
      </c>
      <c r="L107" s="53">
        <v>1</v>
      </c>
      <c r="N107" s="53">
        <v>4</v>
      </c>
      <c r="O107" s="53">
        <v>0.5</v>
      </c>
      <c r="P107" s="53">
        <v>0.6</v>
      </c>
      <c r="Q107" s="84">
        <f t="shared" si="5"/>
        <v>0.55000000000000004</v>
      </c>
      <c r="R107" s="53">
        <v>14.4</v>
      </c>
      <c r="S107" s="53">
        <v>95</v>
      </c>
      <c r="T107" s="16">
        <f t="shared" si="6"/>
        <v>36</v>
      </c>
      <c r="U107" s="53">
        <v>378</v>
      </c>
      <c r="V107" s="16">
        <f t="shared" si="7"/>
        <v>3402</v>
      </c>
      <c r="W107" s="53">
        <v>8</v>
      </c>
      <c r="X107" s="53" t="s">
        <v>46</v>
      </c>
      <c r="Y107" s="53" t="s">
        <v>88</v>
      </c>
      <c r="Z107" s="53" t="s">
        <v>69</v>
      </c>
      <c r="AA107" s="53" t="s">
        <v>55</v>
      </c>
      <c r="AB107" s="53" t="s">
        <v>236</v>
      </c>
    </row>
    <row r="108" spans="1:28" x14ac:dyDescent="0.15">
      <c r="A108" s="53" t="s">
        <v>34</v>
      </c>
      <c r="B108" s="53" t="s">
        <v>232</v>
      </c>
      <c r="C108" s="53">
        <v>2019</v>
      </c>
      <c r="D108" s="153" t="s">
        <v>166</v>
      </c>
      <c r="E108" s="53" t="s">
        <v>359</v>
      </c>
      <c r="F108" s="53" t="s">
        <v>360</v>
      </c>
      <c r="G108" s="53" t="s">
        <v>36</v>
      </c>
      <c r="H108" s="53" t="s">
        <v>164</v>
      </c>
      <c r="I108" s="53" t="s">
        <v>197</v>
      </c>
      <c r="J108" s="53" t="s">
        <v>38</v>
      </c>
      <c r="K108" s="53" t="s">
        <v>161</v>
      </c>
      <c r="L108" s="53">
        <v>2</v>
      </c>
      <c r="N108" s="53">
        <v>4</v>
      </c>
      <c r="O108" s="53">
        <v>0.7</v>
      </c>
      <c r="P108" s="53">
        <v>0.65</v>
      </c>
      <c r="Q108" s="84">
        <f t="shared" si="5"/>
        <v>0.67500000000000004</v>
      </c>
      <c r="R108" s="53">
        <v>14.2</v>
      </c>
      <c r="S108" s="53">
        <v>90</v>
      </c>
      <c r="T108" s="16">
        <f t="shared" si="6"/>
        <v>36</v>
      </c>
      <c r="U108" s="53">
        <v>378</v>
      </c>
      <c r="V108" s="16">
        <f t="shared" si="7"/>
        <v>3402</v>
      </c>
      <c r="W108" s="53">
        <v>8</v>
      </c>
      <c r="X108" s="53" t="s">
        <v>46</v>
      </c>
      <c r="Y108" s="53" t="s">
        <v>88</v>
      </c>
      <c r="Z108" s="53" t="s">
        <v>69</v>
      </c>
      <c r="AA108" s="53" t="s">
        <v>55</v>
      </c>
      <c r="AB108" s="53" t="s">
        <v>236</v>
      </c>
    </row>
    <row r="109" spans="1:28" x14ac:dyDescent="0.15">
      <c r="A109" s="53" t="s">
        <v>34</v>
      </c>
      <c r="B109" s="53" t="s">
        <v>232</v>
      </c>
      <c r="C109" s="53">
        <v>2019</v>
      </c>
      <c r="D109" s="153" t="s">
        <v>166</v>
      </c>
      <c r="E109" s="53" t="s">
        <v>359</v>
      </c>
      <c r="F109" s="53" t="s">
        <v>360</v>
      </c>
      <c r="G109" s="53" t="s">
        <v>36</v>
      </c>
      <c r="H109" s="53" t="s">
        <v>164</v>
      </c>
      <c r="I109" s="53" t="s">
        <v>197</v>
      </c>
      <c r="J109" s="53" t="s">
        <v>38</v>
      </c>
      <c r="K109" s="53" t="s">
        <v>161</v>
      </c>
      <c r="L109" s="53">
        <v>3</v>
      </c>
      <c r="N109" s="53">
        <v>4</v>
      </c>
      <c r="O109" s="53">
        <v>0.8</v>
      </c>
      <c r="P109" s="53">
        <v>0.65</v>
      </c>
      <c r="Q109" s="84">
        <f t="shared" si="5"/>
        <v>0.72500000000000009</v>
      </c>
      <c r="R109" s="53">
        <v>16</v>
      </c>
      <c r="S109" s="53">
        <v>96</v>
      </c>
      <c r="T109" s="16">
        <f t="shared" si="6"/>
        <v>36</v>
      </c>
      <c r="U109" s="53">
        <v>378</v>
      </c>
      <c r="V109" s="16">
        <f t="shared" si="7"/>
        <v>3402</v>
      </c>
      <c r="W109" s="53">
        <v>8</v>
      </c>
      <c r="X109" s="53" t="s">
        <v>46</v>
      </c>
      <c r="Y109" s="53" t="s">
        <v>88</v>
      </c>
      <c r="Z109" s="53" t="s">
        <v>69</v>
      </c>
      <c r="AA109" s="53" t="s">
        <v>55</v>
      </c>
      <c r="AB109" s="53" t="s">
        <v>236</v>
      </c>
    </row>
    <row r="110" spans="1:28" x14ac:dyDescent="0.15">
      <c r="A110" s="53" t="s">
        <v>34</v>
      </c>
      <c r="B110" s="53" t="s">
        <v>232</v>
      </c>
      <c r="C110" s="53">
        <v>2019</v>
      </c>
      <c r="D110" s="153" t="s">
        <v>166</v>
      </c>
      <c r="E110" s="53" t="s">
        <v>359</v>
      </c>
      <c r="F110" s="53" t="s">
        <v>360</v>
      </c>
      <c r="G110" s="53" t="s">
        <v>36</v>
      </c>
      <c r="H110" s="53" t="s">
        <v>164</v>
      </c>
      <c r="I110" s="53" t="s">
        <v>159</v>
      </c>
      <c r="J110" s="53" t="s">
        <v>38</v>
      </c>
      <c r="K110" s="53" t="s">
        <v>161</v>
      </c>
      <c r="L110" s="53">
        <v>1</v>
      </c>
      <c r="N110" s="53">
        <v>4</v>
      </c>
      <c r="O110" s="53">
        <v>0.8</v>
      </c>
      <c r="P110" s="53">
        <v>0.85</v>
      </c>
      <c r="Q110" s="84">
        <f t="shared" si="5"/>
        <v>0.82499999999999996</v>
      </c>
      <c r="R110" s="53">
        <v>17.600000000000001</v>
      </c>
      <c r="S110" s="53">
        <v>119</v>
      </c>
      <c r="T110" s="16">
        <f t="shared" si="6"/>
        <v>30</v>
      </c>
      <c r="U110" s="53">
        <v>429</v>
      </c>
      <c r="V110" s="16">
        <f t="shared" si="7"/>
        <v>3217.5</v>
      </c>
      <c r="W110" s="53">
        <v>8</v>
      </c>
      <c r="X110" s="53" t="s">
        <v>46</v>
      </c>
      <c r="Y110" s="53" t="s">
        <v>88</v>
      </c>
      <c r="Z110" s="53" t="s">
        <v>69</v>
      </c>
      <c r="AA110" s="53" t="s">
        <v>55</v>
      </c>
      <c r="AB110" s="53" t="s">
        <v>236</v>
      </c>
    </row>
    <row r="111" spans="1:28" x14ac:dyDescent="0.15">
      <c r="A111" s="53" t="s">
        <v>34</v>
      </c>
      <c r="B111" s="53" t="s">
        <v>232</v>
      </c>
      <c r="C111" s="53">
        <v>2019</v>
      </c>
      <c r="D111" s="153" t="s">
        <v>166</v>
      </c>
      <c r="E111" s="53" t="s">
        <v>359</v>
      </c>
      <c r="F111" s="53" t="s">
        <v>360</v>
      </c>
      <c r="G111" s="53" t="s">
        <v>36</v>
      </c>
      <c r="H111" s="53" t="s">
        <v>164</v>
      </c>
      <c r="I111" s="53" t="s">
        <v>159</v>
      </c>
      <c r="J111" s="53" t="s">
        <v>38</v>
      </c>
      <c r="K111" s="53" t="s">
        <v>161</v>
      </c>
      <c r="L111" s="53">
        <v>2</v>
      </c>
      <c r="N111" s="53">
        <v>4</v>
      </c>
      <c r="O111" s="53">
        <v>0.65</v>
      </c>
      <c r="P111" s="53">
        <v>0.6</v>
      </c>
      <c r="Q111" s="84">
        <f t="shared" si="5"/>
        <v>0.625</v>
      </c>
      <c r="R111" s="53">
        <v>19</v>
      </c>
      <c r="S111" s="53">
        <v>123</v>
      </c>
      <c r="T111" s="16">
        <f t="shared" si="6"/>
        <v>30</v>
      </c>
      <c r="U111" s="53">
        <v>429</v>
      </c>
      <c r="V111" s="16">
        <f t="shared" si="7"/>
        <v>3217.5</v>
      </c>
      <c r="W111" s="53">
        <v>8</v>
      </c>
      <c r="X111" s="53" t="s">
        <v>46</v>
      </c>
      <c r="Y111" s="53" t="s">
        <v>88</v>
      </c>
      <c r="Z111" s="53" t="s">
        <v>69</v>
      </c>
      <c r="AA111" s="53" t="s">
        <v>55</v>
      </c>
      <c r="AB111" s="53" t="s">
        <v>236</v>
      </c>
    </row>
    <row r="112" spans="1:28" x14ac:dyDescent="0.15">
      <c r="A112" s="53" t="s">
        <v>34</v>
      </c>
      <c r="B112" s="53" t="s">
        <v>232</v>
      </c>
      <c r="C112" s="53">
        <v>2019</v>
      </c>
      <c r="D112" s="153" t="s">
        <v>166</v>
      </c>
      <c r="E112" s="53" t="s">
        <v>359</v>
      </c>
      <c r="F112" s="53" t="s">
        <v>360</v>
      </c>
      <c r="G112" s="53" t="s">
        <v>36</v>
      </c>
      <c r="H112" s="53" t="s">
        <v>164</v>
      </c>
      <c r="I112" s="53" t="s">
        <v>159</v>
      </c>
      <c r="J112" s="53" t="s">
        <v>38</v>
      </c>
      <c r="K112" s="53" t="s">
        <v>161</v>
      </c>
      <c r="L112" s="53">
        <v>3</v>
      </c>
      <c r="N112" s="53">
        <v>4</v>
      </c>
      <c r="O112" s="53">
        <v>0.65</v>
      </c>
      <c r="P112" s="53">
        <v>0.65</v>
      </c>
      <c r="Q112" s="84">
        <f t="shared" si="5"/>
        <v>0.65</v>
      </c>
      <c r="R112" s="53">
        <v>17.5</v>
      </c>
      <c r="S112" s="53">
        <v>116</v>
      </c>
      <c r="T112" s="16">
        <f t="shared" si="6"/>
        <v>30</v>
      </c>
      <c r="U112" s="53">
        <v>429</v>
      </c>
      <c r="V112" s="16">
        <f t="shared" si="7"/>
        <v>3217.5</v>
      </c>
      <c r="W112" s="53">
        <v>8</v>
      </c>
      <c r="X112" s="53" t="s">
        <v>46</v>
      </c>
      <c r="Y112" s="53" t="s">
        <v>88</v>
      </c>
      <c r="Z112" s="53" t="s">
        <v>69</v>
      </c>
      <c r="AA112" s="53" t="s">
        <v>55</v>
      </c>
      <c r="AB112" s="53" t="s">
        <v>236</v>
      </c>
    </row>
    <row r="113" spans="1:28" x14ac:dyDescent="0.15">
      <c r="A113" s="53" t="s">
        <v>34</v>
      </c>
      <c r="B113" s="53" t="s">
        <v>232</v>
      </c>
      <c r="C113" s="53">
        <v>2019</v>
      </c>
      <c r="D113" s="153" t="s">
        <v>166</v>
      </c>
      <c r="E113" s="53" t="s">
        <v>359</v>
      </c>
      <c r="F113" s="53" t="s">
        <v>360</v>
      </c>
      <c r="G113" s="53" t="s">
        <v>36</v>
      </c>
      <c r="H113" s="53" t="s">
        <v>160</v>
      </c>
      <c r="I113" s="53" t="s">
        <v>159</v>
      </c>
      <c r="J113" s="53" t="s">
        <v>38</v>
      </c>
      <c r="K113" s="53" t="s">
        <v>161</v>
      </c>
      <c r="L113" s="53">
        <v>1</v>
      </c>
      <c r="N113" s="53">
        <v>1</v>
      </c>
      <c r="O113" s="53">
        <v>0.7</v>
      </c>
      <c r="P113" s="53">
        <v>0.7</v>
      </c>
      <c r="Q113" s="16">
        <f t="shared" si="5"/>
        <v>0.7</v>
      </c>
      <c r="R113" s="53">
        <v>17.8</v>
      </c>
      <c r="S113" s="53">
        <v>106</v>
      </c>
      <c r="T113" s="16">
        <f t="shared" si="6"/>
        <v>33</v>
      </c>
      <c r="U113" s="53">
        <v>170</v>
      </c>
      <c r="V113" s="16">
        <f t="shared" si="7"/>
        <v>5610</v>
      </c>
      <c r="W113" s="53">
        <v>5</v>
      </c>
      <c r="X113" s="53" t="s">
        <v>46</v>
      </c>
      <c r="Y113" s="53" t="s">
        <v>88</v>
      </c>
      <c r="Z113" s="53" t="s">
        <v>69</v>
      </c>
      <c r="AA113" s="53" t="s">
        <v>55</v>
      </c>
      <c r="AB113" s="53" t="s">
        <v>236</v>
      </c>
    </row>
    <row r="114" spans="1:28" x14ac:dyDescent="0.15">
      <c r="A114" s="53" t="s">
        <v>34</v>
      </c>
      <c r="B114" s="53" t="s">
        <v>232</v>
      </c>
      <c r="C114" s="53">
        <v>2019</v>
      </c>
      <c r="D114" s="153" t="s">
        <v>166</v>
      </c>
      <c r="E114" s="53" t="s">
        <v>359</v>
      </c>
      <c r="F114" s="53" t="s">
        <v>360</v>
      </c>
      <c r="G114" s="53" t="s">
        <v>36</v>
      </c>
      <c r="H114" s="53" t="s">
        <v>160</v>
      </c>
      <c r="I114" s="53" t="s">
        <v>159</v>
      </c>
      <c r="J114" s="53" t="s">
        <v>38</v>
      </c>
      <c r="K114" s="53" t="s">
        <v>161</v>
      </c>
      <c r="L114" s="53">
        <v>2</v>
      </c>
      <c r="N114" s="53">
        <v>1</v>
      </c>
      <c r="O114" s="53">
        <v>0.65</v>
      </c>
      <c r="P114" s="53">
        <v>0.5</v>
      </c>
      <c r="Q114" s="16">
        <f t="shared" si="5"/>
        <v>0.57499999999999996</v>
      </c>
      <c r="R114" s="53">
        <v>18.2</v>
      </c>
      <c r="S114" s="53">
        <v>117</v>
      </c>
      <c r="T114" s="16">
        <f t="shared" si="6"/>
        <v>30</v>
      </c>
      <c r="U114" s="53">
        <v>170</v>
      </c>
      <c r="V114" s="16">
        <f t="shared" si="7"/>
        <v>5100</v>
      </c>
      <c r="W114" s="53">
        <v>5</v>
      </c>
      <c r="X114" s="53" t="s">
        <v>46</v>
      </c>
      <c r="Y114" s="53" t="s">
        <v>88</v>
      </c>
      <c r="Z114" s="53" t="s">
        <v>69</v>
      </c>
      <c r="AA114" s="53" t="s">
        <v>55</v>
      </c>
      <c r="AB114" s="53" t="s">
        <v>236</v>
      </c>
    </row>
    <row r="115" spans="1:28" x14ac:dyDescent="0.15">
      <c r="A115" s="53" t="s">
        <v>34</v>
      </c>
      <c r="B115" s="53" t="s">
        <v>232</v>
      </c>
      <c r="C115" s="53">
        <v>2019</v>
      </c>
      <c r="D115" s="153" t="s">
        <v>166</v>
      </c>
      <c r="E115" s="53" t="s">
        <v>359</v>
      </c>
      <c r="F115" s="53" t="s">
        <v>360</v>
      </c>
      <c r="G115" s="53" t="s">
        <v>36</v>
      </c>
      <c r="H115" s="53" t="s">
        <v>160</v>
      </c>
      <c r="I115" s="53" t="s">
        <v>159</v>
      </c>
      <c r="J115" s="53" t="s">
        <v>38</v>
      </c>
      <c r="K115" s="53" t="s">
        <v>161</v>
      </c>
      <c r="L115" s="53">
        <v>3</v>
      </c>
      <c r="N115" s="53">
        <v>1</v>
      </c>
      <c r="O115" s="53">
        <v>0.9</v>
      </c>
      <c r="P115" s="53">
        <v>0.6</v>
      </c>
      <c r="Q115" s="16">
        <f t="shared" si="5"/>
        <v>0.75</v>
      </c>
      <c r="R115" s="53">
        <v>18.899999999999999</v>
      </c>
      <c r="S115" s="53">
        <v>108</v>
      </c>
      <c r="T115" s="16">
        <f t="shared" si="6"/>
        <v>33</v>
      </c>
      <c r="U115" s="53">
        <v>170</v>
      </c>
      <c r="V115" s="16">
        <f t="shared" si="7"/>
        <v>5610</v>
      </c>
      <c r="W115" s="53">
        <v>5</v>
      </c>
      <c r="X115" s="53" t="s">
        <v>46</v>
      </c>
      <c r="Y115" s="53" t="s">
        <v>88</v>
      </c>
      <c r="Z115" s="53" t="s">
        <v>69</v>
      </c>
      <c r="AA115" s="53" t="s">
        <v>55</v>
      </c>
      <c r="AB115" s="53" t="s">
        <v>236</v>
      </c>
    </row>
    <row r="116" spans="1:28" x14ac:dyDescent="0.15">
      <c r="A116" s="53" t="s">
        <v>34</v>
      </c>
      <c r="B116" s="53" t="s">
        <v>232</v>
      </c>
      <c r="C116" s="53">
        <v>2019</v>
      </c>
      <c r="D116" s="153" t="s">
        <v>166</v>
      </c>
      <c r="E116" s="53" t="s">
        <v>359</v>
      </c>
      <c r="F116" s="53" t="s">
        <v>360</v>
      </c>
      <c r="G116" s="53" t="s">
        <v>36</v>
      </c>
      <c r="H116" s="53" t="s">
        <v>160</v>
      </c>
      <c r="I116" s="53" t="s">
        <v>159</v>
      </c>
      <c r="J116" s="53" t="s">
        <v>38</v>
      </c>
      <c r="K116" s="53" t="s">
        <v>161</v>
      </c>
      <c r="L116" s="53">
        <v>1</v>
      </c>
      <c r="N116" s="53">
        <v>4</v>
      </c>
      <c r="O116" s="53">
        <v>0.55000000000000004</v>
      </c>
      <c r="P116" s="53">
        <v>0.5</v>
      </c>
      <c r="Q116" s="16">
        <f t="shared" si="5"/>
        <v>0.52500000000000002</v>
      </c>
      <c r="R116" s="53">
        <v>18.100000000000001</v>
      </c>
      <c r="S116" s="53">
        <v>92</v>
      </c>
      <c r="T116" s="16">
        <f t="shared" si="6"/>
        <v>36</v>
      </c>
      <c r="U116" s="53">
        <v>537</v>
      </c>
      <c r="V116" s="16">
        <f t="shared" si="7"/>
        <v>4833</v>
      </c>
      <c r="W116" s="53">
        <v>5</v>
      </c>
      <c r="X116" s="53" t="s">
        <v>46</v>
      </c>
      <c r="Y116" s="53" t="s">
        <v>88</v>
      </c>
      <c r="Z116" s="53" t="s">
        <v>69</v>
      </c>
      <c r="AA116" s="53" t="s">
        <v>55</v>
      </c>
      <c r="AB116" s="53" t="s">
        <v>236</v>
      </c>
    </row>
    <row r="117" spans="1:28" x14ac:dyDescent="0.15">
      <c r="A117" s="53" t="s">
        <v>34</v>
      </c>
      <c r="B117" s="53" t="s">
        <v>232</v>
      </c>
      <c r="C117" s="53">
        <v>2019</v>
      </c>
      <c r="D117" s="153" t="s">
        <v>166</v>
      </c>
      <c r="E117" s="53" t="s">
        <v>359</v>
      </c>
      <c r="F117" s="53" t="s">
        <v>360</v>
      </c>
      <c r="G117" s="53" t="s">
        <v>36</v>
      </c>
      <c r="H117" s="53" t="s">
        <v>160</v>
      </c>
      <c r="I117" s="53" t="s">
        <v>159</v>
      </c>
      <c r="J117" s="53" t="s">
        <v>38</v>
      </c>
      <c r="K117" s="53" t="s">
        <v>161</v>
      </c>
      <c r="L117" s="53">
        <v>2</v>
      </c>
      <c r="N117" s="53">
        <v>4</v>
      </c>
      <c r="O117" s="53">
        <v>0.45</v>
      </c>
      <c r="P117" s="53">
        <v>0.5</v>
      </c>
      <c r="Q117" s="16">
        <f t="shared" si="5"/>
        <v>0.47499999999999998</v>
      </c>
      <c r="R117" s="53">
        <v>18</v>
      </c>
      <c r="S117" s="53">
        <v>112</v>
      </c>
      <c r="T117" s="16">
        <f t="shared" si="6"/>
        <v>33</v>
      </c>
      <c r="U117" s="53">
        <v>537</v>
      </c>
      <c r="V117" s="16">
        <f t="shared" si="7"/>
        <v>4430.25</v>
      </c>
      <c r="W117" s="53">
        <v>5</v>
      </c>
      <c r="X117" s="53" t="s">
        <v>46</v>
      </c>
      <c r="Y117" s="53" t="s">
        <v>88</v>
      </c>
      <c r="Z117" s="53" t="s">
        <v>69</v>
      </c>
      <c r="AA117" s="53" t="s">
        <v>55</v>
      </c>
      <c r="AB117" s="53" t="s">
        <v>236</v>
      </c>
    </row>
    <row r="118" spans="1:28" x14ac:dyDescent="0.15">
      <c r="A118" s="53" t="s">
        <v>34</v>
      </c>
      <c r="B118" s="53" t="s">
        <v>232</v>
      </c>
      <c r="C118" s="53">
        <v>2019</v>
      </c>
      <c r="D118" s="153" t="s">
        <v>166</v>
      </c>
      <c r="E118" s="53" t="s">
        <v>359</v>
      </c>
      <c r="F118" s="53" t="s">
        <v>360</v>
      </c>
      <c r="G118" s="53" t="s">
        <v>36</v>
      </c>
      <c r="H118" s="53" t="s">
        <v>160</v>
      </c>
      <c r="I118" s="53" t="s">
        <v>159</v>
      </c>
      <c r="J118" s="53" t="s">
        <v>38</v>
      </c>
      <c r="K118" s="53" t="s">
        <v>161</v>
      </c>
      <c r="L118" s="53">
        <v>3</v>
      </c>
      <c r="N118" s="53">
        <v>4</v>
      </c>
      <c r="O118" s="53">
        <v>0.45</v>
      </c>
      <c r="P118" s="53">
        <v>0.6</v>
      </c>
      <c r="Q118" s="16">
        <f t="shared" si="5"/>
        <v>0.52500000000000002</v>
      </c>
      <c r="R118" s="53">
        <v>20.399999999999999</v>
      </c>
      <c r="S118" s="53">
        <v>102</v>
      </c>
      <c r="T118" s="16">
        <f t="shared" si="6"/>
        <v>33</v>
      </c>
      <c r="U118" s="53">
        <v>537</v>
      </c>
      <c r="V118" s="16">
        <f t="shared" si="7"/>
        <v>4430.25</v>
      </c>
      <c r="W118" s="53">
        <v>5</v>
      </c>
      <c r="X118" s="53" t="s">
        <v>46</v>
      </c>
      <c r="Y118" s="53" t="s">
        <v>88</v>
      </c>
      <c r="Z118" s="53" t="s">
        <v>69</v>
      </c>
      <c r="AA118" s="53" t="s">
        <v>55</v>
      </c>
      <c r="AB118" s="53" t="s">
        <v>236</v>
      </c>
    </row>
    <row r="119" spans="1:28" x14ac:dyDescent="0.15">
      <c r="A119" s="53" t="s">
        <v>34</v>
      </c>
      <c r="B119" s="53" t="s">
        <v>232</v>
      </c>
      <c r="C119" s="53">
        <v>2019</v>
      </c>
      <c r="D119" s="153" t="s">
        <v>166</v>
      </c>
      <c r="E119" s="53" t="s">
        <v>346</v>
      </c>
      <c r="F119" s="53" t="s">
        <v>361</v>
      </c>
      <c r="G119" s="53" t="s">
        <v>36</v>
      </c>
      <c r="H119" s="53" t="s">
        <v>164</v>
      </c>
      <c r="I119" s="53" t="s">
        <v>159</v>
      </c>
      <c r="J119" s="53" t="s">
        <v>38</v>
      </c>
      <c r="K119" s="53" t="s">
        <v>161</v>
      </c>
      <c r="L119" s="53">
        <v>1</v>
      </c>
      <c r="N119" s="53">
        <v>7</v>
      </c>
      <c r="O119" s="53">
        <v>0.6</v>
      </c>
      <c r="P119" s="53">
        <v>0.5</v>
      </c>
      <c r="Q119" s="16">
        <f t="shared" si="5"/>
        <v>0.55000000000000004</v>
      </c>
      <c r="R119" s="53">
        <v>17.2</v>
      </c>
      <c r="S119" s="53">
        <v>82</v>
      </c>
      <c r="T119" s="16">
        <f t="shared" si="6"/>
        <v>39</v>
      </c>
      <c r="U119" s="53">
        <v>410</v>
      </c>
      <c r="V119" s="16">
        <f t="shared" si="7"/>
        <v>2284.2857142857142</v>
      </c>
      <c r="W119" s="53">
        <v>3</v>
      </c>
      <c r="X119" s="53" t="s">
        <v>46</v>
      </c>
      <c r="Y119" s="53" t="s">
        <v>97</v>
      </c>
      <c r="Z119" s="53" t="s">
        <v>88</v>
      </c>
      <c r="AA119" s="53" t="s">
        <v>86</v>
      </c>
      <c r="AB119" s="53" t="s">
        <v>236</v>
      </c>
    </row>
    <row r="120" spans="1:28" x14ac:dyDescent="0.15">
      <c r="A120" s="53" t="s">
        <v>34</v>
      </c>
      <c r="B120" s="53" t="s">
        <v>232</v>
      </c>
      <c r="C120" s="53">
        <v>2019</v>
      </c>
      <c r="D120" s="153" t="s">
        <v>166</v>
      </c>
      <c r="E120" s="53" t="s">
        <v>346</v>
      </c>
      <c r="F120" s="53" t="s">
        <v>361</v>
      </c>
      <c r="G120" s="53" t="s">
        <v>36</v>
      </c>
      <c r="H120" s="53" t="s">
        <v>164</v>
      </c>
      <c r="I120" s="53" t="s">
        <v>159</v>
      </c>
      <c r="J120" s="53" t="s">
        <v>38</v>
      </c>
      <c r="K120" s="53" t="s">
        <v>161</v>
      </c>
      <c r="L120" s="53">
        <v>2</v>
      </c>
      <c r="N120" s="53">
        <v>7</v>
      </c>
      <c r="O120" s="53">
        <v>0.5</v>
      </c>
      <c r="P120" s="53">
        <v>0.65</v>
      </c>
      <c r="Q120" s="16">
        <f t="shared" si="5"/>
        <v>0.57499999999999996</v>
      </c>
      <c r="R120" s="53">
        <v>16.8</v>
      </c>
      <c r="S120" s="53">
        <v>81</v>
      </c>
      <c r="T120" s="16">
        <f t="shared" si="6"/>
        <v>39</v>
      </c>
      <c r="U120" s="53">
        <v>410</v>
      </c>
      <c r="V120" s="16">
        <f t="shared" si="7"/>
        <v>2284.2857142857142</v>
      </c>
      <c r="W120" s="53">
        <v>3</v>
      </c>
      <c r="X120" s="53" t="s">
        <v>46</v>
      </c>
      <c r="Y120" s="53" t="s">
        <v>97</v>
      </c>
      <c r="Z120" s="53" t="s">
        <v>88</v>
      </c>
      <c r="AA120" s="53" t="s">
        <v>86</v>
      </c>
      <c r="AB120" s="53" t="s">
        <v>236</v>
      </c>
    </row>
    <row r="121" spans="1:28" x14ac:dyDescent="0.15">
      <c r="A121" s="53" t="s">
        <v>34</v>
      </c>
      <c r="B121" s="53" t="s">
        <v>232</v>
      </c>
      <c r="C121" s="53">
        <v>2019</v>
      </c>
      <c r="D121" s="153" t="s">
        <v>166</v>
      </c>
      <c r="E121" s="53" t="s">
        <v>346</v>
      </c>
      <c r="F121" s="53" t="s">
        <v>361</v>
      </c>
      <c r="G121" s="53" t="s">
        <v>36</v>
      </c>
      <c r="H121" s="53" t="s">
        <v>164</v>
      </c>
      <c r="I121" s="53" t="s">
        <v>159</v>
      </c>
      <c r="J121" s="53" t="s">
        <v>38</v>
      </c>
      <c r="K121" s="53" t="s">
        <v>161</v>
      </c>
      <c r="L121" s="53">
        <v>3</v>
      </c>
      <c r="N121" s="53">
        <v>7</v>
      </c>
      <c r="O121" s="53">
        <v>0.55000000000000004</v>
      </c>
      <c r="P121" s="53">
        <v>0.55000000000000004</v>
      </c>
      <c r="Q121" s="16">
        <f t="shared" si="5"/>
        <v>0.55000000000000004</v>
      </c>
      <c r="R121" s="53">
        <v>25.6</v>
      </c>
      <c r="S121" s="53">
        <v>77</v>
      </c>
      <c r="T121" s="16">
        <f t="shared" si="6"/>
        <v>39</v>
      </c>
      <c r="U121" s="53">
        <v>410</v>
      </c>
      <c r="V121" s="16">
        <f t="shared" si="7"/>
        <v>2284.2857142857142</v>
      </c>
      <c r="W121" s="53">
        <v>3</v>
      </c>
      <c r="X121" s="53" t="s">
        <v>46</v>
      </c>
      <c r="Y121" s="53" t="s">
        <v>97</v>
      </c>
      <c r="Z121" s="53" t="s">
        <v>88</v>
      </c>
      <c r="AA121" s="53" t="s">
        <v>86</v>
      </c>
      <c r="AB121" s="53" t="s">
        <v>236</v>
      </c>
    </row>
    <row r="122" spans="1:28" x14ac:dyDescent="0.15">
      <c r="A122" s="53" t="s">
        <v>34</v>
      </c>
      <c r="B122" s="53" t="s">
        <v>232</v>
      </c>
      <c r="C122" s="53">
        <v>2019</v>
      </c>
      <c r="D122" s="153" t="s">
        <v>166</v>
      </c>
      <c r="E122" s="53" t="s">
        <v>346</v>
      </c>
      <c r="F122" s="53" t="s">
        <v>361</v>
      </c>
      <c r="G122" s="53" t="s">
        <v>36</v>
      </c>
      <c r="H122" s="53" t="s">
        <v>160</v>
      </c>
      <c r="I122" s="53" t="s">
        <v>159</v>
      </c>
      <c r="J122" s="53" t="s">
        <v>38</v>
      </c>
      <c r="K122" s="53" t="s">
        <v>161</v>
      </c>
      <c r="L122" s="53">
        <v>1</v>
      </c>
      <c r="N122" s="53">
        <v>1</v>
      </c>
      <c r="O122" s="53">
        <v>0.5</v>
      </c>
      <c r="P122" s="53">
        <v>0.45</v>
      </c>
      <c r="Q122" s="16">
        <f t="shared" si="5"/>
        <v>0.47499999999999998</v>
      </c>
      <c r="R122" s="53">
        <v>19.600000000000001</v>
      </c>
      <c r="S122" s="53">
        <v>82</v>
      </c>
      <c r="T122" s="16">
        <f t="shared" si="6"/>
        <v>39</v>
      </c>
      <c r="U122" s="53">
        <v>138</v>
      </c>
      <c r="V122" s="16">
        <f t="shared" si="7"/>
        <v>5382</v>
      </c>
      <c r="W122" s="53">
        <v>4</v>
      </c>
      <c r="X122" s="53" t="s">
        <v>46</v>
      </c>
      <c r="Y122" s="53" t="s">
        <v>97</v>
      </c>
      <c r="Z122" s="53" t="s">
        <v>88</v>
      </c>
      <c r="AA122" s="53" t="s">
        <v>86</v>
      </c>
      <c r="AB122" s="53" t="s">
        <v>236</v>
      </c>
    </row>
    <row r="123" spans="1:28" x14ac:dyDescent="0.15">
      <c r="A123" s="53" t="s">
        <v>34</v>
      </c>
      <c r="B123" s="53" t="s">
        <v>232</v>
      </c>
      <c r="C123" s="53">
        <v>2019</v>
      </c>
      <c r="D123" s="153" t="s">
        <v>166</v>
      </c>
      <c r="E123" s="53" t="s">
        <v>346</v>
      </c>
      <c r="F123" s="53" t="s">
        <v>361</v>
      </c>
      <c r="G123" s="53" t="s">
        <v>36</v>
      </c>
      <c r="H123" s="53" t="s">
        <v>160</v>
      </c>
      <c r="I123" s="53" t="s">
        <v>159</v>
      </c>
      <c r="J123" s="53" t="s">
        <v>38</v>
      </c>
      <c r="K123" s="53" t="s">
        <v>161</v>
      </c>
      <c r="L123" s="53">
        <v>2</v>
      </c>
      <c r="N123" s="53">
        <v>1</v>
      </c>
      <c r="O123" s="53">
        <v>0.65</v>
      </c>
      <c r="P123" s="53">
        <v>0.55000000000000004</v>
      </c>
      <c r="Q123" s="16">
        <f t="shared" si="5"/>
        <v>0.60000000000000009</v>
      </c>
      <c r="R123" s="53">
        <v>13.2</v>
      </c>
      <c r="S123" s="53">
        <v>91</v>
      </c>
      <c r="T123" s="16">
        <f t="shared" si="6"/>
        <v>36</v>
      </c>
      <c r="U123" s="53">
        <v>138</v>
      </c>
      <c r="V123" s="16">
        <f t="shared" si="7"/>
        <v>4968</v>
      </c>
      <c r="W123" s="53">
        <v>4</v>
      </c>
      <c r="X123" s="53" t="s">
        <v>46</v>
      </c>
      <c r="Y123" s="53" t="s">
        <v>97</v>
      </c>
      <c r="Z123" s="53" t="s">
        <v>88</v>
      </c>
      <c r="AA123" s="53" t="s">
        <v>86</v>
      </c>
      <c r="AB123" s="53" t="s">
        <v>236</v>
      </c>
    </row>
    <row r="124" spans="1:28" x14ac:dyDescent="0.15">
      <c r="A124" s="53" t="s">
        <v>34</v>
      </c>
      <c r="B124" s="53" t="s">
        <v>232</v>
      </c>
      <c r="C124" s="53">
        <v>2019</v>
      </c>
      <c r="D124" s="153" t="s">
        <v>166</v>
      </c>
      <c r="E124" s="53" t="s">
        <v>346</v>
      </c>
      <c r="F124" s="53" t="s">
        <v>361</v>
      </c>
      <c r="G124" s="53" t="s">
        <v>36</v>
      </c>
      <c r="H124" s="53" t="s">
        <v>160</v>
      </c>
      <c r="I124" s="53" t="s">
        <v>159</v>
      </c>
      <c r="J124" s="53" t="s">
        <v>38</v>
      </c>
      <c r="K124" s="53" t="s">
        <v>161</v>
      </c>
      <c r="L124" s="53">
        <v>3</v>
      </c>
      <c r="N124" s="53">
        <v>1</v>
      </c>
      <c r="O124" s="53">
        <v>0.6</v>
      </c>
      <c r="P124" s="53">
        <v>0.6</v>
      </c>
      <c r="Q124" s="16">
        <f t="shared" si="5"/>
        <v>0.6</v>
      </c>
      <c r="R124" s="53">
        <v>18.899999999999999</v>
      </c>
      <c r="S124" s="53">
        <v>85</v>
      </c>
      <c r="T124" s="16">
        <f t="shared" si="6"/>
        <v>36</v>
      </c>
      <c r="U124" s="53">
        <v>138</v>
      </c>
      <c r="V124" s="16">
        <f t="shared" si="7"/>
        <v>4968</v>
      </c>
      <c r="W124" s="53">
        <v>4</v>
      </c>
      <c r="X124" s="53" t="s">
        <v>46</v>
      </c>
      <c r="Y124" s="53" t="s">
        <v>97</v>
      </c>
      <c r="Z124" s="53" t="s">
        <v>88</v>
      </c>
      <c r="AA124" s="53" t="s">
        <v>86</v>
      </c>
      <c r="AB124" s="53" t="s">
        <v>236</v>
      </c>
    </row>
    <row r="125" spans="1:28" x14ac:dyDescent="0.15">
      <c r="A125" s="53" t="s">
        <v>34</v>
      </c>
      <c r="B125" s="53" t="s">
        <v>232</v>
      </c>
      <c r="C125" s="53">
        <v>2019</v>
      </c>
      <c r="D125" s="153" t="s">
        <v>166</v>
      </c>
      <c r="E125" s="53" t="s">
        <v>346</v>
      </c>
      <c r="F125" s="53" t="s">
        <v>361</v>
      </c>
      <c r="G125" s="53" t="s">
        <v>36</v>
      </c>
      <c r="H125" s="53" t="s">
        <v>160</v>
      </c>
      <c r="I125" s="53" t="s">
        <v>159</v>
      </c>
      <c r="J125" s="53" t="s">
        <v>38</v>
      </c>
      <c r="K125" s="53" t="s">
        <v>161</v>
      </c>
      <c r="L125" s="53">
        <v>1</v>
      </c>
      <c r="N125" s="53">
        <v>4</v>
      </c>
      <c r="O125" s="53">
        <v>0.5</v>
      </c>
      <c r="P125" s="53">
        <v>0.55000000000000004</v>
      </c>
      <c r="Q125" s="16">
        <f t="shared" si="5"/>
        <v>0.52500000000000002</v>
      </c>
      <c r="R125" s="53">
        <v>20</v>
      </c>
      <c r="S125" s="53">
        <v>84</v>
      </c>
      <c r="T125" s="16">
        <f t="shared" si="6"/>
        <v>36</v>
      </c>
      <c r="U125" s="53">
        <v>429</v>
      </c>
      <c r="V125" s="16">
        <f t="shared" si="7"/>
        <v>3861</v>
      </c>
      <c r="W125" s="53">
        <v>4</v>
      </c>
      <c r="X125" s="53" t="s">
        <v>46</v>
      </c>
      <c r="Y125" s="53" t="s">
        <v>97</v>
      </c>
      <c r="Z125" s="53" t="s">
        <v>88</v>
      </c>
      <c r="AA125" s="53" t="s">
        <v>86</v>
      </c>
      <c r="AB125" s="53" t="s">
        <v>236</v>
      </c>
    </row>
    <row r="126" spans="1:28" x14ac:dyDescent="0.15">
      <c r="A126" s="53" t="s">
        <v>34</v>
      </c>
      <c r="B126" s="53" t="s">
        <v>232</v>
      </c>
      <c r="C126" s="53">
        <v>2019</v>
      </c>
      <c r="D126" s="153" t="s">
        <v>166</v>
      </c>
      <c r="E126" s="53" t="s">
        <v>346</v>
      </c>
      <c r="F126" s="53" t="s">
        <v>361</v>
      </c>
      <c r="G126" s="53" t="s">
        <v>36</v>
      </c>
      <c r="H126" s="53" t="s">
        <v>160</v>
      </c>
      <c r="I126" s="53" t="s">
        <v>159</v>
      </c>
      <c r="J126" s="53" t="s">
        <v>38</v>
      </c>
      <c r="K126" s="53" t="s">
        <v>161</v>
      </c>
      <c r="L126" s="53">
        <v>2</v>
      </c>
      <c r="N126" s="53">
        <v>4</v>
      </c>
      <c r="O126" s="53">
        <v>0.55000000000000004</v>
      </c>
      <c r="P126" s="53">
        <v>0.45</v>
      </c>
      <c r="Q126" s="16">
        <f t="shared" si="5"/>
        <v>0.5</v>
      </c>
      <c r="R126" s="53">
        <v>17.8</v>
      </c>
      <c r="S126" s="53">
        <v>93</v>
      </c>
      <c r="T126" s="16">
        <f t="shared" si="6"/>
        <v>36</v>
      </c>
      <c r="U126" s="53">
        <v>429</v>
      </c>
      <c r="V126" s="16">
        <f t="shared" si="7"/>
        <v>3861</v>
      </c>
      <c r="W126" s="53">
        <v>4</v>
      </c>
      <c r="X126" s="53" t="s">
        <v>46</v>
      </c>
      <c r="Y126" s="53" t="s">
        <v>97</v>
      </c>
      <c r="Z126" s="53" t="s">
        <v>88</v>
      </c>
      <c r="AA126" s="53" t="s">
        <v>86</v>
      </c>
      <c r="AB126" s="53" t="s">
        <v>236</v>
      </c>
    </row>
    <row r="127" spans="1:28" x14ac:dyDescent="0.15">
      <c r="A127" s="53" t="s">
        <v>34</v>
      </c>
      <c r="B127" s="53" t="s">
        <v>232</v>
      </c>
      <c r="C127" s="53">
        <v>2019</v>
      </c>
      <c r="D127" s="153" t="s">
        <v>166</v>
      </c>
      <c r="E127" s="53" t="s">
        <v>346</v>
      </c>
      <c r="F127" s="53" t="s">
        <v>361</v>
      </c>
      <c r="G127" s="53" t="s">
        <v>36</v>
      </c>
      <c r="H127" s="53" t="s">
        <v>160</v>
      </c>
      <c r="I127" s="53" t="s">
        <v>159</v>
      </c>
      <c r="J127" s="53" t="s">
        <v>38</v>
      </c>
      <c r="K127" s="53" t="s">
        <v>161</v>
      </c>
      <c r="L127" s="53">
        <v>3</v>
      </c>
      <c r="N127" s="53">
        <v>4</v>
      </c>
      <c r="O127" s="53">
        <v>0.55000000000000004</v>
      </c>
      <c r="P127" s="53">
        <v>0.55000000000000004</v>
      </c>
      <c r="Q127" s="16">
        <f t="shared" si="5"/>
        <v>0.55000000000000004</v>
      </c>
      <c r="R127" s="53">
        <v>19.100000000000001</v>
      </c>
      <c r="S127" s="53">
        <v>86</v>
      </c>
      <c r="T127" s="16">
        <f t="shared" si="6"/>
        <v>36</v>
      </c>
      <c r="U127" s="53">
        <v>429</v>
      </c>
      <c r="V127" s="16">
        <f t="shared" si="7"/>
        <v>3861</v>
      </c>
      <c r="W127" s="53">
        <v>4</v>
      </c>
      <c r="X127" s="53" t="s">
        <v>46</v>
      </c>
      <c r="Y127" s="53" t="s">
        <v>97</v>
      </c>
      <c r="Z127" s="53" t="s">
        <v>88</v>
      </c>
      <c r="AA127" s="53" t="s">
        <v>86</v>
      </c>
      <c r="AB127" s="53" t="s">
        <v>236</v>
      </c>
    </row>
  </sheetData>
  <autoFilter ref="A1:BA82" xr:uid="{00000000-0009-0000-0000-000000000000}"/>
  <phoneticPr fontId="3"/>
  <dataValidations count="12">
    <dataValidation type="list" allowBlank="1" showInputMessage="1" showErrorMessage="1" sqref="K2:K717" xr:uid="{FAFC4531-F8DF-45DF-AF9F-D2CCDA9BBD1B}">
      <formula1>$AR$2:$AR$23</formula1>
    </dataValidation>
    <dataValidation type="list" allowBlank="1" showInputMessage="1" showErrorMessage="1" sqref="A2:A404" xr:uid="{C6A09D34-CF9F-449B-BD20-88CCDC767BC9}">
      <formula1>$AE$2:$AE$19</formula1>
    </dataValidation>
    <dataValidation type="list" allowBlank="1" showInputMessage="1" showErrorMessage="1" sqref="Y2:AA405" xr:uid="{1C434DED-141B-4FFA-BB2D-7325E9241B92}">
      <formula1>$AV$2:$AV$21</formula1>
    </dataValidation>
    <dataValidation type="list" allowBlank="1" showInputMessage="1" showErrorMessage="1" sqref="H2:H405" xr:uid="{01319E29-A006-46ED-ACF3-3CB0105C3483}">
      <formula1>$AL$2:$AL$8</formula1>
    </dataValidation>
    <dataValidation type="list" allowBlank="1" showInputMessage="1" showErrorMessage="1" sqref="X2:X405" xr:uid="{27BFA189-C3FE-4609-9F9A-5B964F0BCEEC}">
      <formula1>$AT$2:$AT$3</formula1>
    </dataValidation>
    <dataValidation type="list" allowBlank="1" showInputMessage="1" showErrorMessage="1" sqref="G2:G405" xr:uid="{139357A0-ED73-43D2-909A-B8B143FEA6B0}">
      <formula1>$AJ$2:$AJ$4</formula1>
    </dataValidation>
    <dataValidation type="list" allowBlank="1" showInputMessage="1" showErrorMessage="1" sqref="I2:I405" xr:uid="{943E3BFA-AF7A-4376-A1AB-E59B39B5B5B9}">
      <formula1>$AN$5:$AN$6</formula1>
    </dataValidation>
    <dataValidation type="list" allowBlank="1" showInputMessage="1" showErrorMessage="1" sqref="J2:J405" xr:uid="{90275679-FF92-40BC-A603-ABA7DFC3E756}">
      <formula1>$AP$2:$AP$24</formula1>
    </dataValidation>
    <dataValidation type="list" allowBlank="1" showInputMessage="1" showErrorMessage="1" sqref="F2:F405" xr:uid="{43932D7B-1FA5-42F8-A0EC-2F84D6778647}">
      <formula1>$AH$2:$AH$11</formula1>
    </dataValidation>
    <dataValidation type="list" allowBlank="1" showInputMessage="1" showErrorMessage="1" sqref="E2:E405" xr:uid="{64704D1F-3F5B-456B-AF40-99B9411EE80D}">
      <formula1>$AG$2:$AG$11</formula1>
    </dataValidation>
    <dataValidation type="decimal" allowBlank="1" showInputMessage="1" showErrorMessage="1" error="硬度を正しく入力して下さい。" sqref="O2:P49 O59:P405" xr:uid="{FC61BA5A-F0B5-48D4-A8D2-55531C36CC05}">
      <formula1>0</formula1>
      <formula2>7</formula2>
    </dataValidation>
    <dataValidation operator="equal" allowBlank="1" showInputMessage="1" showErrorMessage="1" sqref="B2:B127" xr:uid="{3278CC77-E52C-4DC6-9CAC-D133E871CA75}"/>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6BD8B28-AFAE-45A4-8DCD-D7827ED3EAED}"/>
</file>

<file path=customXml/itemProps2.xml><?xml version="1.0" encoding="utf-8"?>
<ds:datastoreItem xmlns:ds="http://schemas.openxmlformats.org/officeDocument/2006/customXml" ds:itemID="{172E9CA7-4196-43A1-829B-3288E86F305B}"/>
</file>

<file path=customXml/itemProps3.xml><?xml version="1.0" encoding="utf-8"?>
<ds:datastoreItem xmlns:ds="http://schemas.openxmlformats.org/officeDocument/2006/customXml" ds:itemID="{8DFBF8B9-523E-4F29-9652-AA31BEFE8D5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sapporo</vt:lpstr>
      <vt:lpstr>miyagi</vt:lpstr>
      <vt:lpstr>nagoya</vt:lpstr>
      <vt:lpstr>osaka</vt:lpstr>
      <vt:lpstr>hiroshima</vt:lpstr>
      <vt:lpstr>fukuoka</vt:lpstr>
      <vt:lpstr>tokyo-east(ota)</vt:lpstr>
      <vt:lpstr>tokyo-west(kato)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aspeuser</cp:lastModifiedBy>
  <dcterms:created xsi:type="dcterms:W3CDTF">2012-06-11T10:59:48Z</dcterms:created>
  <dcterms:modified xsi:type="dcterms:W3CDTF">2019-07-29T01:53:34Z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