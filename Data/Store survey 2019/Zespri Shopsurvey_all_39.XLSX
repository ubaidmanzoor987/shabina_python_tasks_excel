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192.168.11.200\000_全国共有\2-Zespri\品質調査\2019\39週\"/>
    </mc:Choice>
  </mc:AlternateContent>
  <xr:revisionPtr revIDLastSave="0" documentId="13_ncr:1_{F81EC08B-4DA6-46C2-83E8-BE89E1F764F2}" xr6:coauthVersionLast="44" xr6:coauthVersionMax="44"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fukuoka!$A$1:$BA$145</definedName>
    <definedName name="_xlnm._FilterDatabase" localSheetId="4" hidden="1">hiroshima!$A$1:$BA$1</definedName>
    <definedName name="_xlnm._FilterDatabase" localSheetId="1" hidden="1">miyagi!$A$1:$BA$375</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85" i="24" l="1"/>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45" i="22" l="1"/>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9" i="21" l="1"/>
  <c r="V79" i="21" s="1"/>
  <c r="Q79" i="21"/>
  <c r="T78" i="21"/>
  <c r="V78" i="21" s="1"/>
  <c r="Q78" i="21"/>
  <c r="T77" i="21"/>
  <c r="V77" i="21" s="1"/>
  <c r="Q77"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75" i="18" l="1"/>
  <c r="T374" i="18"/>
  <c r="T373" i="18"/>
  <c r="T372" i="18"/>
  <c r="T371" i="18"/>
  <c r="T370" i="18"/>
  <c r="T369" i="18"/>
  <c r="T368" i="18"/>
  <c r="T367" i="18"/>
  <c r="T366" i="18"/>
  <c r="T365" i="18"/>
  <c r="T364" i="18"/>
  <c r="T363" i="18"/>
  <c r="T362" i="18"/>
  <c r="T361" i="18"/>
  <c r="T360" i="18"/>
  <c r="T359" i="18"/>
  <c r="T358" i="18"/>
  <c r="T357" i="18"/>
  <c r="T356" i="18"/>
  <c r="T355" i="18"/>
  <c r="V355" i="18" s="1"/>
  <c r="V354" i="18"/>
  <c r="T354" i="18"/>
  <c r="T353" i="18"/>
  <c r="V353" i="18" s="1"/>
  <c r="V352" i="18"/>
  <c r="T352" i="18"/>
  <c r="T351" i="18"/>
  <c r="V351" i="18" s="1"/>
  <c r="T350" i="18"/>
  <c r="V350" i="18" s="1"/>
  <c r="T349" i="18"/>
  <c r="V349" i="18" s="1"/>
  <c r="V348" i="18"/>
  <c r="T348" i="18"/>
  <c r="T347" i="18"/>
  <c r="V347" i="18" s="1"/>
  <c r="Q347" i="18"/>
  <c r="V346" i="18"/>
  <c r="T346" i="18"/>
  <c r="Q346" i="18"/>
  <c r="T345" i="18"/>
  <c r="V345" i="18" s="1"/>
  <c r="Q345" i="18"/>
  <c r="T344" i="18"/>
  <c r="V344" i="18" s="1"/>
  <c r="Q344" i="18"/>
  <c r="T343" i="18"/>
  <c r="V343" i="18" s="1"/>
  <c r="Q343" i="18"/>
  <c r="V342" i="18"/>
  <c r="T342" i="18"/>
  <c r="Q342" i="18"/>
  <c r="T341" i="18"/>
  <c r="V341" i="18" s="1"/>
  <c r="Q341" i="18"/>
  <c r="T340" i="18"/>
  <c r="V340" i="18" s="1"/>
  <c r="Q340" i="18"/>
  <c r="T339" i="18"/>
  <c r="V339" i="18" s="1"/>
  <c r="Q339" i="18"/>
  <c r="V338" i="18"/>
  <c r="T338" i="18"/>
  <c r="Q338" i="18"/>
  <c r="T337" i="18"/>
  <c r="V337" i="18" s="1"/>
  <c r="Q337" i="18"/>
  <c r="T336" i="18"/>
  <c r="V336" i="18" s="1"/>
  <c r="Q336" i="18"/>
  <c r="T335" i="18"/>
  <c r="V335" i="18" s="1"/>
  <c r="Q335" i="18"/>
  <c r="V334" i="18"/>
  <c r="T334" i="18"/>
  <c r="Q334" i="18"/>
  <c r="T333" i="18"/>
  <c r="V333" i="18" s="1"/>
  <c r="Q333" i="18"/>
  <c r="T332" i="18"/>
  <c r="V332" i="18" s="1"/>
  <c r="Q332" i="18"/>
  <c r="T331" i="18"/>
  <c r="V331" i="18" s="1"/>
  <c r="Q331" i="18"/>
  <c r="V330" i="18"/>
  <c r="T330" i="18"/>
  <c r="Q330" i="18"/>
  <c r="T329" i="18"/>
  <c r="V329" i="18" s="1"/>
  <c r="Q329" i="18"/>
  <c r="T328" i="18"/>
  <c r="V328" i="18" s="1"/>
  <c r="Q328" i="18"/>
  <c r="T327" i="18"/>
  <c r="V327" i="18" s="1"/>
  <c r="Q327" i="18"/>
  <c r="V326" i="18"/>
  <c r="T326" i="18"/>
  <c r="Q326" i="18"/>
  <c r="T325" i="18"/>
  <c r="V325" i="18" s="1"/>
  <c r="Q325" i="18"/>
  <c r="T324" i="18"/>
  <c r="V324" i="18" s="1"/>
  <c r="Q324" i="18"/>
  <c r="T323" i="18"/>
  <c r="V323" i="18" s="1"/>
  <c r="Q323" i="18"/>
  <c r="V322" i="18"/>
  <c r="T322" i="18"/>
  <c r="Q322" i="18"/>
  <c r="T321" i="18"/>
  <c r="V321" i="18" s="1"/>
  <c r="Q321" i="18"/>
  <c r="T320" i="18"/>
  <c r="V320" i="18" s="1"/>
  <c r="Q320" i="18"/>
  <c r="T319" i="18"/>
  <c r="V319" i="18" s="1"/>
  <c r="Q319" i="18"/>
  <c r="V318" i="18"/>
  <c r="T318" i="18"/>
  <c r="Q318" i="18"/>
  <c r="T317" i="18"/>
  <c r="V317" i="18" s="1"/>
  <c r="Q317" i="18"/>
  <c r="T316" i="18"/>
  <c r="V316" i="18" s="1"/>
  <c r="Q316" i="18"/>
  <c r="T315" i="18"/>
  <c r="V315" i="18" s="1"/>
  <c r="Q315" i="18"/>
  <c r="V314" i="18"/>
  <c r="T314" i="18"/>
  <c r="Q314" i="18"/>
  <c r="T313" i="18"/>
  <c r="V313" i="18" s="1"/>
  <c r="Q313" i="18"/>
  <c r="T312" i="18"/>
  <c r="V312" i="18" s="1"/>
  <c r="Q312" i="18"/>
  <c r="T311" i="18"/>
  <c r="V311" i="18" s="1"/>
  <c r="Q311" i="18"/>
  <c r="V310" i="18"/>
  <c r="T310" i="18"/>
  <c r="Q310" i="18"/>
  <c r="T309" i="18"/>
  <c r="V309" i="18" s="1"/>
  <c r="Q309" i="18"/>
  <c r="T308" i="18"/>
  <c r="V308" i="18" s="1"/>
  <c r="Q308" i="18"/>
  <c r="T307" i="18"/>
  <c r="V307" i="18" s="1"/>
  <c r="Q307" i="18"/>
  <c r="V306" i="18"/>
  <c r="T306" i="18"/>
  <c r="Q306" i="18"/>
  <c r="T305" i="18"/>
  <c r="V305" i="18" s="1"/>
  <c r="Q305" i="18"/>
  <c r="T304" i="18"/>
  <c r="V304" i="18" s="1"/>
  <c r="Q304" i="18"/>
  <c r="T303" i="18"/>
  <c r="V303" i="18" s="1"/>
  <c r="Q303" i="18"/>
  <c r="V302" i="18"/>
  <c r="T302" i="18"/>
  <c r="Q302" i="18"/>
  <c r="T301" i="18"/>
  <c r="V301" i="18" s="1"/>
  <c r="Q301" i="18"/>
  <c r="T300" i="18"/>
  <c r="V300" i="18" s="1"/>
  <c r="Q300" i="18"/>
  <c r="T299" i="18"/>
  <c r="V299" i="18" s="1"/>
  <c r="Q299" i="18"/>
  <c r="V298" i="18"/>
  <c r="T298" i="18"/>
  <c r="Q298" i="18"/>
  <c r="T297" i="18"/>
  <c r="V297" i="18" s="1"/>
  <c r="Q297" i="18"/>
  <c r="T296" i="18"/>
  <c r="V296" i="18" s="1"/>
  <c r="Q296" i="18"/>
  <c r="T295" i="18"/>
  <c r="V295" i="18" s="1"/>
  <c r="Q295" i="18"/>
  <c r="V294" i="18"/>
  <c r="T294" i="18"/>
  <c r="Q294" i="18"/>
  <c r="T293" i="18"/>
  <c r="V293" i="18" s="1"/>
  <c r="Q293" i="18"/>
  <c r="T292" i="18"/>
  <c r="V292" i="18" s="1"/>
  <c r="Q292" i="18"/>
  <c r="T291" i="18"/>
  <c r="V291" i="18" s="1"/>
  <c r="Q291" i="18"/>
  <c r="V290" i="18"/>
  <c r="T290" i="18"/>
  <c r="Q290" i="18"/>
  <c r="T289" i="18"/>
  <c r="V289" i="18" s="1"/>
  <c r="Q289" i="18"/>
  <c r="T288" i="18"/>
  <c r="V288" i="18" s="1"/>
  <c r="Q288" i="18"/>
  <c r="T287" i="18"/>
  <c r="V287" i="18" s="1"/>
  <c r="Q287" i="18"/>
  <c r="V286" i="18"/>
  <c r="T286" i="18"/>
  <c r="Q286" i="18"/>
  <c r="T285" i="18"/>
  <c r="V285" i="18" s="1"/>
  <c r="Q285" i="18"/>
  <c r="T284" i="18"/>
  <c r="V284" i="18" s="1"/>
  <c r="Q284" i="18"/>
  <c r="T283" i="18"/>
  <c r="V283" i="18" s="1"/>
  <c r="Q283" i="18"/>
  <c r="V282" i="18"/>
  <c r="T282" i="18"/>
  <c r="Q282" i="18"/>
  <c r="T281" i="18"/>
  <c r="V281" i="18" s="1"/>
  <c r="Q281" i="18"/>
  <c r="T280" i="18"/>
  <c r="V280" i="18" s="1"/>
  <c r="Q280" i="18"/>
  <c r="T279" i="18"/>
  <c r="V279" i="18" s="1"/>
  <c r="Q279" i="18"/>
  <c r="V278" i="18"/>
  <c r="T278" i="18"/>
  <c r="Q278" i="18"/>
  <c r="T277" i="18"/>
  <c r="V277" i="18" s="1"/>
  <c r="Q277" i="18"/>
  <c r="T276" i="18"/>
  <c r="V276" i="18" s="1"/>
  <c r="Q276" i="18"/>
  <c r="T275" i="18"/>
  <c r="V275" i="18" s="1"/>
  <c r="Q275" i="18"/>
  <c r="V274" i="18"/>
  <c r="T274" i="18"/>
  <c r="Q274" i="18"/>
  <c r="T273" i="18"/>
  <c r="V273" i="18" s="1"/>
  <c r="Q273" i="18"/>
  <c r="T272" i="18"/>
  <c r="V272" i="18" s="1"/>
  <c r="Q272" i="18"/>
  <c r="T271" i="18"/>
  <c r="V271" i="18" s="1"/>
  <c r="Q271" i="18"/>
  <c r="V270" i="18"/>
  <c r="T270" i="18"/>
  <c r="Q270" i="18"/>
  <c r="T269" i="18"/>
  <c r="V269" i="18" s="1"/>
  <c r="Q269" i="18"/>
  <c r="T268" i="18"/>
  <c r="V268" i="18" s="1"/>
  <c r="Q268" i="18"/>
  <c r="T267" i="18"/>
  <c r="V267" i="18" s="1"/>
  <c r="Q267" i="18"/>
  <c r="V266" i="18"/>
  <c r="T266" i="18"/>
  <c r="Q266" i="18"/>
  <c r="T265" i="18"/>
  <c r="V265" i="18" s="1"/>
  <c r="Q265" i="18"/>
  <c r="T264" i="18"/>
  <c r="V264" i="18" s="1"/>
  <c r="Q264" i="18"/>
  <c r="T263" i="18"/>
  <c r="V263" i="18" s="1"/>
  <c r="Q263" i="18"/>
  <c r="V262" i="18"/>
  <c r="T262" i="18"/>
  <c r="Q262" i="18"/>
  <c r="T261" i="18"/>
  <c r="V261" i="18" s="1"/>
  <c r="Q261" i="18"/>
  <c r="T260" i="18"/>
  <c r="V260" i="18" s="1"/>
  <c r="Q260" i="18"/>
  <c r="T259" i="18"/>
  <c r="V259" i="18" s="1"/>
  <c r="Q259" i="18"/>
  <c r="V258" i="18"/>
  <c r="T258" i="18"/>
  <c r="Q258" i="18"/>
  <c r="T257" i="18"/>
  <c r="V257" i="18" s="1"/>
  <c r="Q257" i="18"/>
  <c r="T256" i="18"/>
  <c r="V256" i="18" s="1"/>
  <c r="Q256" i="18"/>
  <c r="T255" i="18"/>
  <c r="V255" i="18" s="1"/>
  <c r="Q255" i="18"/>
  <c r="V254" i="18"/>
  <c r="T254" i="18"/>
  <c r="Q254" i="18"/>
  <c r="T253" i="18"/>
  <c r="V253" i="18" s="1"/>
  <c r="Q253" i="18"/>
  <c r="T252" i="18"/>
  <c r="V252" i="18" s="1"/>
  <c r="Q252" i="18"/>
  <c r="T251" i="18"/>
  <c r="V251" i="18" s="1"/>
  <c r="Q251" i="18"/>
  <c r="V250" i="18"/>
  <c r="T250" i="18"/>
  <c r="Q250" i="18"/>
  <c r="T249" i="18"/>
  <c r="V249" i="18" s="1"/>
  <c r="Q249" i="18"/>
  <c r="T248" i="18"/>
  <c r="V248" i="18" s="1"/>
  <c r="Q248" i="18"/>
  <c r="T247" i="18"/>
  <c r="V247" i="18" s="1"/>
  <c r="Q247" i="18"/>
  <c r="V246" i="18"/>
  <c r="T246" i="18"/>
  <c r="Q246" i="18"/>
  <c r="T245" i="18"/>
  <c r="V245" i="18" s="1"/>
  <c r="Q245" i="18"/>
  <c r="T244" i="18"/>
  <c r="V244" i="18" s="1"/>
  <c r="Q244" i="18"/>
  <c r="T243" i="18"/>
  <c r="V243" i="18" s="1"/>
  <c r="Q243" i="18"/>
  <c r="V242" i="18"/>
  <c r="T242" i="18"/>
  <c r="Q242" i="18"/>
  <c r="T241" i="18"/>
  <c r="V241" i="18" s="1"/>
  <c r="Q241" i="18"/>
  <c r="T240" i="18"/>
  <c r="V240" i="18" s="1"/>
  <c r="Q240" i="18"/>
  <c r="T239" i="18"/>
  <c r="V239" i="18" s="1"/>
  <c r="Q239" i="18"/>
  <c r="V238" i="18"/>
  <c r="T238" i="18"/>
  <c r="Q238" i="18"/>
  <c r="T237" i="18"/>
  <c r="V237" i="18" s="1"/>
  <c r="Q237" i="18"/>
  <c r="T236" i="18"/>
  <c r="V236" i="18" s="1"/>
  <c r="Q236" i="18"/>
  <c r="T235" i="18"/>
  <c r="V235" i="18" s="1"/>
  <c r="Q235" i="18"/>
  <c r="V234" i="18"/>
  <c r="T234" i="18"/>
  <c r="Q234" i="18"/>
  <c r="T233" i="18"/>
  <c r="V233" i="18" s="1"/>
  <c r="Q233" i="18"/>
  <c r="T232" i="18"/>
  <c r="V232" i="18" s="1"/>
  <c r="Q232" i="18"/>
  <c r="T231" i="18"/>
  <c r="V231" i="18" s="1"/>
  <c r="Q231" i="18"/>
  <c r="V230" i="18"/>
  <c r="T230" i="18"/>
  <c r="Q230" i="18"/>
  <c r="T229" i="18"/>
  <c r="V229" i="18" s="1"/>
  <c r="Q229" i="18"/>
  <c r="T228" i="18"/>
  <c r="V228" i="18" s="1"/>
  <c r="Q228" i="18"/>
  <c r="T227" i="18"/>
  <c r="V227" i="18" s="1"/>
  <c r="Q227" i="18"/>
  <c r="V226" i="18"/>
  <c r="T226" i="18"/>
  <c r="Q226" i="18"/>
  <c r="T225" i="18"/>
  <c r="V225" i="18" s="1"/>
  <c r="Q225" i="18"/>
  <c r="T224" i="18"/>
  <c r="V224" i="18" s="1"/>
  <c r="Q224" i="18"/>
  <c r="T223" i="18"/>
  <c r="V223" i="18" s="1"/>
  <c r="Q223" i="18"/>
  <c r="V222" i="18"/>
  <c r="T222" i="18"/>
  <c r="Q222" i="18"/>
  <c r="T221" i="18"/>
  <c r="V221" i="18" s="1"/>
  <c r="Q221" i="18"/>
  <c r="T220" i="18"/>
  <c r="V220" i="18" s="1"/>
  <c r="Q220" i="18"/>
  <c r="T219" i="18"/>
  <c r="V219" i="18" s="1"/>
  <c r="Q219" i="18"/>
  <c r="V218" i="18"/>
  <c r="T218" i="18"/>
  <c r="Q218" i="18"/>
  <c r="T217" i="18"/>
  <c r="V217" i="18" s="1"/>
  <c r="Q217" i="18"/>
  <c r="T216" i="18"/>
  <c r="V216" i="18" s="1"/>
  <c r="Q216" i="18"/>
  <c r="T215" i="18"/>
  <c r="V215" i="18" s="1"/>
  <c r="Q215" i="18"/>
  <c r="V214" i="18"/>
  <c r="T214" i="18"/>
  <c r="Q214" i="18"/>
  <c r="T213" i="18"/>
  <c r="V213" i="18" s="1"/>
  <c r="Q213" i="18"/>
  <c r="T212" i="18"/>
  <c r="V212" i="18" s="1"/>
  <c r="Q212" i="18"/>
  <c r="T211" i="18"/>
  <c r="V211" i="18" s="1"/>
  <c r="Q211" i="18"/>
  <c r="V210" i="18"/>
  <c r="T210" i="18"/>
  <c r="Q210" i="18"/>
  <c r="T209" i="18"/>
  <c r="V209" i="18" s="1"/>
  <c r="Q209" i="18"/>
  <c r="T208" i="18"/>
  <c r="V208" i="18" s="1"/>
  <c r="Q208" i="18"/>
  <c r="T207" i="18"/>
  <c r="V207" i="18" s="1"/>
  <c r="Q207" i="18"/>
  <c r="V206" i="18"/>
  <c r="T206" i="18"/>
  <c r="Q206" i="18"/>
  <c r="T205" i="18"/>
  <c r="V205" i="18" s="1"/>
  <c r="Q205" i="18"/>
  <c r="T204" i="18"/>
  <c r="V204" i="18" s="1"/>
  <c r="Q204" i="18"/>
  <c r="T203" i="18"/>
  <c r="V203" i="18" s="1"/>
  <c r="Q203" i="18"/>
  <c r="V202" i="18"/>
  <c r="T202" i="18"/>
  <c r="Q202" i="18"/>
  <c r="T201" i="18"/>
  <c r="V201" i="18" s="1"/>
  <c r="Q201" i="18"/>
  <c r="T200" i="18"/>
  <c r="V200" i="18" s="1"/>
  <c r="Q200" i="18"/>
  <c r="T199" i="18"/>
  <c r="V199" i="18" s="1"/>
  <c r="Q199" i="18"/>
  <c r="V198" i="18"/>
  <c r="T198" i="18"/>
  <c r="Q198" i="18"/>
  <c r="T197" i="18"/>
  <c r="V197" i="18" s="1"/>
  <c r="Q197" i="18"/>
  <c r="T196" i="18"/>
  <c r="V196" i="18" s="1"/>
  <c r="Q196" i="18"/>
  <c r="T195" i="18"/>
  <c r="V195" i="18" s="1"/>
  <c r="Q195" i="18"/>
  <c r="V194" i="18"/>
  <c r="T194" i="18"/>
  <c r="Q194" i="18"/>
  <c r="T193" i="18"/>
  <c r="V193" i="18" s="1"/>
  <c r="Q193" i="18"/>
  <c r="T192" i="18"/>
  <c r="V192" i="18" s="1"/>
  <c r="Q192" i="18"/>
  <c r="T191" i="18"/>
  <c r="V191" i="18" s="1"/>
  <c r="Q191" i="18"/>
  <c r="V190" i="18"/>
  <c r="T190" i="18"/>
  <c r="Q190" i="18"/>
  <c r="T189" i="18"/>
  <c r="V189" i="18" s="1"/>
  <c r="Q189" i="18"/>
  <c r="T188" i="18"/>
  <c r="V188" i="18" s="1"/>
  <c r="Q188" i="18"/>
  <c r="T187" i="18"/>
  <c r="V187" i="18" s="1"/>
  <c r="Q187" i="18"/>
  <c r="V186" i="18"/>
  <c r="T186" i="18"/>
  <c r="Q186" i="18"/>
  <c r="T185" i="18"/>
  <c r="V185" i="18" s="1"/>
  <c r="Q185" i="18"/>
  <c r="T184" i="18"/>
  <c r="V184" i="18" s="1"/>
  <c r="Q184" i="18"/>
  <c r="T183" i="18"/>
  <c r="V183" i="18" s="1"/>
  <c r="Q183" i="18"/>
  <c r="V182" i="18"/>
  <c r="T182" i="18"/>
  <c r="Q182" i="18"/>
  <c r="T181" i="18"/>
  <c r="V181" i="18" s="1"/>
  <c r="Q181" i="18"/>
  <c r="T180" i="18"/>
  <c r="V180" i="18" s="1"/>
  <c r="Q180" i="18"/>
  <c r="T179" i="18"/>
  <c r="V179" i="18" s="1"/>
  <c r="Q179" i="18"/>
  <c r="V178" i="18"/>
  <c r="T178" i="18"/>
  <c r="Q178" i="18"/>
  <c r="T177" i="18"/>
  <c r="V177" i="18" s="1"/>
  <c r="Q177" i="18"/>
  <c r="T176" i="18"/>
  <c r="V176" i="18" s="1"/>
  <c r="Q176" i="18"/>
  <c r="T175" i="18"/>
  <c r="V175" i="18" s="1"/>
  <c r="Q175" i="18"/>
  <c r="V174" i="18"/>
  <c r="T174" i="18"/>
  <c r="Q174" i="18"/>
  <c r="T173" i="18"/>
  <c r="V173" i="18" s="1"/>
  <c r="Q173" i="18"/>
  <c r="T172" i="18"/>
  <c r="V172" i="18" s="1"/>
  <c r="Q172" i="18"/>
  <c r="T171" i="18"/>
  <c r="V171" i="18" s="1"/>
  <c r="Q171" i="18"/>
  <c r="V170" i="18"/>
  <c r="T170" i="18"/>
  <c r="Q170" i="18"/>
  <c r="T169" i="18"/>
  <c r="V169" i="18" s="1"/>
  <c r="Q169" i="18"/>
  <c r="T168" i="18"/>
  <c r="V168" i="18" s="1"/>
  <c r="Q168" i="18"/>
  <c r="T167" i="18"/>
  <c r="V167" i="18" s="1"/>
  <c r="Q167" i="18"/>
  <c r="V166" i="18"/>
  <c r="T166" i="18"/>
  <c r="Q166" i="18"/>
  <c r="T165" i="18"/>
  <c r="V165" i="18" s="1"/>
  <c r="Q165" i="18"/>
  <c r="T164" i="18"/>
  <c r="V164" i="18" s="1"/>
  <c r="Q164" i="18"/>
  <c r="T163" i="18"/>
  <c r="V163" i="18" s="1"/>
  <c r="Q163" i="18"/>
  <c r="V162" i="18"/>
  <c r="T162" i="18"/>
  <c r="Q162" i="18"/>
  <c r="T161" i="18"/>
  <c r="V161" i="18" s="1"/>
  <c r="Q161" i="18"/>
  <c r="T160" i="18"/>
  <c r="V160" i="18" s="1"/>
  <c r="Q160" i="18"/>
  <c r="T159" i="18"/>
  <c r="V159" i="18" s="1"/>
  <c r="Q159" i="18"/>
  <c r="V158" i="18"/>
  <c r="T158" i="18"/>
  <c r="Q158" i="18"/>
  <c r="T157" i="18"/>
  <c r="V157" i="18" s="1"/>
  <c r="Q157" i="18"/>
  <c r="T156" i="18"/>
  <c r="V156" i="18" s="1"/>
  <c r="Q156" i="18"/>
  <c r="T155" i="18"/>
  <c r="V155" i="18" s="1"/>
  <c r="Q155" i="18"/>
  <c r="V154" i="18"/>
  <c r="T154" i="18"/>
  <c r="Q154" i="18"/>
  <c r="T153" i="18"/>
  <c r="V153" i="18" s="1"/>
  <c r="Q153" i="18"/>
  <c r="T152" i="18"/>
  <c r="V152" i="18" s="1"/>
  <c r="Q152" i="18"/>
  <c r="T151" i="18"/>
  <c r="V151" i="18" s="1"/>
  <c r="Q151" i="18"/>
  <c r="V150" i="18"/>
  <c r="T150" i="18"/>
  <c r="Q150" i="18"/>
  <c r="T149" i="18"/>
  <c r="V149" i="18" s="1"/>
  <c r="Q149" i="18"/>
  <c r="T148" i="18"/>
  <c r="V148" i="18" s="1"/>
  <c r="Q148" i="18"/>
  <c r="T147" i="18"/>
  <c r="V147" i="18" s="1"/>
  <c r="Q147" i="18"/>
  <c r="V146" i="18"/>
  <c r="T146" i="18"/>
  <c r="Q146"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T127" i="18"/>
  <c r="V127" i="18" s="1"/>
  <c r="Q127" i="18"/>
  <c r="T126" i="18"/>
  <c r="V126" i="18" s="1"/>
  <c r="Q126" i="18"/>
  <c r="T125" i="18"/>
  <c r="V125" i="18" s="1"/>
  <c r="Q125" i="18"/>
  <c r="T124" i="18"/>
  <c r="V124" i="18" s="1"/>
  <c r="Q124" i="18"/>
  <c r="T123" i="18"/>
  <c r="V123" i="18" s="1"/>
  <c r="Q123" i="18"/>
  <c r="T122" i="18"/>
  <c r="V122" i="18" s="1"/>
  <c r="Q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T111" i="18"/>
  <c r="V111" i="18" s="1"/>
  <c r="Q111" i="18"/>
  <c r="T110" i="18"/>
  <c r="V110" i="18" s="1"/>
  <c r="Q110" i="18"/>
  <c r="T109" i="18"/>
  <c r="V109" i="18" s="1"/>
  <c r="Q109" i="18"/>
  <c r="T108" i="18"/>
  <c r="V108" i="18" s="1"/>
  <c r="Q108" i="18"/>
  <c r="T107" i="18"/>
  <c r="V107" i="18" s="1"/>
  <c r="Q107" i="18"/>
  <c r="T106" i="18"/>
  <c r="V106" i="18" s="1"/>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T98" i="18"/>
  <c r="V98" i="18" s="1"/>
  <c r="Q98" i="18"/>
  <c r="T97" i="18"/>
  <c r="Q97" i="18"/>
  <c r="T96" i="18"/>
  <c r="Q96" i="18"/>
  <c r="T95" i="18"/>
  <c r="Q95" i="18"/>
  <c r="T94" i="18"/>
  <c r="Q94" i="18"/>
  <c r="T93" i="18"/>
  <c r="Q93" i="18"/>
  <c r="T92" i="18"/>
  <c r="Q92" i="18"/>
  <c r="T91" i="18"/>
  <c r="Q91" i="18"/>
  <c r="T90" i="18"/>
  <c r="Q90" i="18"/>
  <c r="T89" i="18"/>
  <c r="Q89" i="18"/>
  <c r="T88" i="18"/>
  <c r="Q88" i="18"/>
  <c r="T87" i="18"/>
  <c r="Q87" i="18"/>
  <c r="T86" i="18"/>
  <c r="Q86" i="18"/>
  <c r="T85" i="18"/>
  <c r="Q85" i="18"/>
  <c r="T84" i="18"/>
  <c r="Q84" i="18"/>
  <c r="T83" i="18"/>
  <c r="Q83" i="18"/>
  <c r="T82" i="18"/>
  <c r="V82" i="18" s="1"/>
  <c r="Q82" i="18"/>
  <c r="T81" i="18"/>
  <c r="V81" i="18" s="1"/>
  <c r="Q81" i="18"/>
  <c r="T80" i="18"/>
  <c r="V80" i="18" s="1"/>
  <c r="Q80" i="18"/>
  <c r="T79" i="18"/>
  <c r="V79" i="18" s="1"/>
  <c r="Q79" i="18"/>
  <c r="T78" i="18"/>
  <c r="V78" i="18" s="1"/>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T46" i="18"/>
  <c r="V46" i="18" s="1"/>
  <c r="V45" i="18"/>
  <c r="T45" i="18"/>
  <c r="V44" i="18"/>
  <c r="T44" i="18"/>
  <c r="T43" i="18"/>
  <c r="V43" i="18" s="1"/>
  <c r="V42" i="18"/>
  <c r="T42" i="18"/>
  <c r="V41" i="18"/>
  <c r="T41" i="18"/>
  <c r="T40" i="18"/>
  <c r="V40" i="18" s="1"/>
  <c r="V39" i="18"/>
  <c r="T39" i="18"/>
  <c r="V38" i="18"/>
  <c r="T38" i="18"/>
  <c r="T37" i="18"/>
  <c r="V37" i="18" s="1"/>
  <c r="V36" i="18"/>
  <c r="T36" i="18"/>
  <c r="V35" i="18"/>
  <c r="T35" i="18"/>
  <c r="T34" i="18"/>
  <c r="V34" i="18" s="1"/>
  <c r="V33" i="18"/>
  <c r="T33" i="18"/>
  <c r="V32" i="18"/>
  <c r="T32" i="18"/>
  <c r="T31" i="18"/>
  <c r="V31" i="18" s="1"/>
  <c r="V30" i="18"/>
  <c r="T30" i="18"/>
  <c r="V29" i="18"/>
  <c r="T29" i="18"/>
  <c r="T28" i="18"/>
  <c r="V28" i="18" s="1"/>
  <c r="V27" i="18"/>
  <c r="T27" i="18"/>
  <c r="V26" i="18"/>
  <c r="T26" i="18"/>
  <c r="T25" i="18"/>
  <c r="V25" i="18" s="1"/>
  <c r="V24" i="18"/>
  <c r="T24" i="18"/>
  <c r="V23" i="18"/>
  <c r="T23" i="18"/>
  <c r="T22" i="18"/>
  <c r="V22" i="18" s="1"/>
  <c r="V21" i="18"/>
  <c r="T21" i="18"/>
  <c r="V20" i="18"/>
  <c r="T20" i="18"/>
  <c r="T19" i="18"/>
  <c r="V19" i="18" s="1"/>
  <c r="V18" i="18"/>
  <c r="T18" i="18"/>
  <c r="V17" i="18"/>
  <c r="T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<sst xmlns="http://schemas.openxmlformats.org/spreadsheetml/2006/main" count="10076" uniqueCount="390">
  <si>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</si>
  <si>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</si>
  <si>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</si>
  <si>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</si>
  <si>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</si>
  <si>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</si>
  <si>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</si>
  <si>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</si>
  <si>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</si>
  <si>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</si>
  <si>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</si>
  <si>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</si>
  <si>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</si>
  <si>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</si>
  <si>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</si>
  <si>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</si>
  <si>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</si>
  <si>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</si>
  <si>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</si>
  <si>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</si>
  <si>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</si>
  <si>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</si>
  <si>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</si>
  <si>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</si>
  <si>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</si>
  <si>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</si>
  <si>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</si>
  <si>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</si>
  <si>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</si>
  <si>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</si>
  <si>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</si>
  <si>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</si>
  <si>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</si>
  <si>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</si>
  <si>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</si>
  <si>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</si>
  <si>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</si>
  <si>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</si>
  <si>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</si>
  <si>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</si>
  <si>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</si>
  <si>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</si>
  <si>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</si>
  <si>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</si>
  <si>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</si>
  <si>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</si>
  <si>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</si>
  <si>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</si>
  <si>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</si>
  <si>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</si>
  <si>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</si>
  <si>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</si>
  <si>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</si>
  <si>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</si>
  <si>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</si>
  <si>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</si>
  <si>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</si>
  <si>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</si>
  <si>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</si>
  <si>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</si>
  <si>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</si>
  <si>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</si>
  <si>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</si>
  <si>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</si>
  <si>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</si>
  <si>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</si>
  <si>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</si>
  <si>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</si>
  <si>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</si>
  <si>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</si>
  <si>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</si>
  <si>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</si>
  <si>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</si>
  <si>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</si>
  <si>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</si>
  <si>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</si>
  <si>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</si>
  <si>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</si>
  <si>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</si>
  <si>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</si>
  <si>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</si>
  <si>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</si>
  <si>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</si>
  <si>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</si>
  <si>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</si>
  <si>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</si>
  <si>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</si>
  <si>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</si>
  <si>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</si>
  <si>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</si>
  <si>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</si>
  <si>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</si>
  <si>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</si>
  <si>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</si>
  <si>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</si>
  <si>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</si>
  <si>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</si>
  <si>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</si>
  <si>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</si>
  <si>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</si>
  <si>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</si>
  <si>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</si>
  <si>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</si>
  <si>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</si>
  <si>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</si>
  <si>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</si>
  <si>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</si>
  <si>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</si>
  <si>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</si>
  <si>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</si>
  <si>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</si>
  <si>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</si>
  <si>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</si>
  <si>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</si>
  <si>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</si>
  <si>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</si>
  <si>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</si>
  <si>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</si>
  <si>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</si>
  <si>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</si>
  <si>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</si>
  <si>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</si>
  <si>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</si>
  <si>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</si>
  <si>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</si>
  <si>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</si>
  <si>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</si>
  <si>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</si>
  <si>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</si>
  <si>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</si>
  <si>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</si>
  <si>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</si>
  <si>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</si>
  <si>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</si>
  <si>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</si>
  <si>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</si>
  <si>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</si>
  <si>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</si>
  <si>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</si>
  <si>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</si>
  <si>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</si>
  <si>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</si>
  <si>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</si>
  <si>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</si>
  <si>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</si>
  <si>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</si>
  <si>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</si>
  <si>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</si>
  <si>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</si>
  <si>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</si>
  <si>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</si>
  <si>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</si>
  <si>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</si>
  <si>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</si>
  <si>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</si>
  <si>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</si>
  <si>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</si>
  <si>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</si>
  <si>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</si>
  <si>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</si>
  <si>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</si>
  <si>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</si>
  <si>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</si>
  <si>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</si>
  <si>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</si>
  <si>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25.09.2019</t>
  </si>
  <si>
    <t>25.09.2019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</si>
  <si>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</si>
  <si>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</si>
  <si>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</si>
  <si>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</si>
  <si>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</si>
  <si>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</si>
  <si>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</si>
  <si>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</si>
  <si>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</si>
  <si>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</si>
  <si>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</si>
  <si>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</si>
  <si>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</si>
  <si>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</si>
  <si>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</si>
  <si>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</si>
  <si>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24.09.2019</t>
    <phoneticPr fontId="16"/>
  </si>
  <si>
    <t>利府店</t>
  </si>
  <si>
    <t>その他グリーン</t>
  </si>
  <si>
    <t>みやぎ生協</t>
  </si>
  <si>
    <t>その他ゴールド</t>
  </si>
  <si>
    <t>24.09.2019</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</si>
  <si>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</si>
  <si>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</si>
  <si>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</si>
  <si>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</si>
  <si>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</si>
  <si>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</si>
  <si>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</si>
  <si>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</si>
  <si>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</si>
  <si>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</si>
  <si>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</si>
  <si>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</si>
  <si>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</si>
  <si>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</si>
  <si>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</si>
  <si>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</si>
  <si>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</si>
  <si>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</si>
  <si>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</si>
  <si>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</si>
  <si>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</si>
  <si>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</si>
  <si>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</si>
  <si>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</si>
  <si>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</si>
  <si>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</si>
  <si>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</si>
  <si>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</si>
  <si>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</si>
  <si>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</si>
  <si>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</si>
  <si>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</si>
  <si>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</si>
  <si>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</si>
  <si>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</si>
  <si>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</si>
  <si>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</si>
  <si>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</si>
  <si>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</si>
  <si>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</si>
  <si>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</si>
  <si>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</si>
  <si>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</si>
  <si>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</si>
  <si>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</si>
  <si>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27.09.2019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</si>
  <si>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</si>
  <si>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</si>
  <si>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</si>
  <si>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</si>
  <si>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</si>
  <si>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</si>
  <si>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</si>
  <si>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</si>
  <si>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</si>
  <si>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</si>
  <si>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</si>
  <si>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</si>
  <si>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</si>
  <si>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</si>
  <si>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</si>
  <si>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</si>
  <si>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</si>
  <si>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</si>
  <si>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</si>
  <si>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</si>
  <si>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</si>
  <si>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</si>
  <si>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</si>
  <si>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</si>
  <si>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</si>
  <si>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</si>
  <si>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</si>
  <si>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27.09.2019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</si>
  <si>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</si>
  <si>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</si>
  <si>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</si>
  <si>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</si>
  <si>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</si>
  <si>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</si>
  <si>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</si>
  <si>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</si>
  <si>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</si>
  <si>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</si>
  <si>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</si>
  <si>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</si>
  <si>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</si>
  <si>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</si>
  <si>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</si>
  <si>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</si>
  <si>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</si>
  <si>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</si>
  <si>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</si>
  <si>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</si>
  <si>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</si>
  <si>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26.09.2019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</si>
  <si>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</si>
  <si>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</si>
  <si>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</si>
  <si>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</si>
  <si>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</si>
  <si>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</si>
  <si>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</si>
  <si>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</si>
  <si>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</si>
  <si>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</si>
  <si>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</si>
  <si>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</si>
  <si>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</si>
  <si>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</si>
  <si>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</si>
  <si>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</si>
  <si>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</si>
  <si>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</si>
  <si>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</si>
  <si>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</si>
  <si>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</si>
  <si>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</si>
  <si>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</si>
  <si>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</si>
  <si>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</si>
  <si>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りんご</t>
    <phoneticPr fontId="3"/>
  </si>
  <si>
    <t>みかん</t>
    <phoneticPr fontId="4"/>
  </si>
  <si>
    <t>マンゴー</t>
    <phoneticPr fontId="3"/>
  </si>
  <si>
    <t>梨</t>
    <phoneticPr fontId="3"/>
  </si>
  <si>
    <t>販売
ユニット
個数</t>
    <phoneticPr fontId="4"/>
  </si>
  <si>
    <t>U/P JPY</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</si>
  <si>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</si>
  <si>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</si>
  <si>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</si>
  <si>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</si>
  <si>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</si>
  <si>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</si>
  <si>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</si>
  <si>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</si>
  <si>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</si>
  <si>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</si>
  <si>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</si>
  <si>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</si>
  <si>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</si>
  <si>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</si>
  <si>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</si>
  <si>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</si>
  <si>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</si>
  <si>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</si>
  <si>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</si>
  <si>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</si>
  <si>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</si>
  <si>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</si>
  <si>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</si>
  <si>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</si>
  <si>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</si>
  <si>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</si>
  <si>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</si>
  <si>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</si>
  <si>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</si>
  <si>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</si>
  <si>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</si>
  <si>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</si>
  <si>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</si>
  <si>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</si>
  <si>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</si>
  <si>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</si>
  <si>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</si>
  <si>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</si>
  <si>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</si>
  <si>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</si>
  <si>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</si>
  <si>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</si>
  <si>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サミット</t>
  </si>
  <si>
    <t>久が原食品館</t>
  </si>
  <si>
    <t>26.09.2019</t>
  </si>
  <si>
    <t>東急ストア</t>
  </si>
  <si>
    <t>蒲田</t>
  </si>
  <si>
    <t>マルエツ</t>
  </si>
  <si>
    <t>大森西</t>
  </si>
  <si>
    <t>大森</t>
  </si>
  <si>
    <t>カドヤ</t>
  </si>
  <si>
    <t>大井町</t>
  </si>
  <si>
    <t>HW</t>
    <phoneticPr fontId="3"/>
  </si>
  <si>
    <t>品川シーサイド</t>
  </si>
  <si>
    <t>大崎ニューシティ</t>
  </si>
  <si>
    <t>２番人気
果実</t>
    <phoneticPr fontId="3"/>
  </si>
  <si>
    <t>22.09.2019</t>
    <phoneticPr fontId="3"/>
  </si>
  <si>
    <t>鹿骨店</t>
  </si>
  <si>
    <t>松江店</t>
  </si>
  <si>
    <t>マックスバリュエクスプレス</t>
  </si>
  <si>
    <t>松島店</t>
    <rPh sb="1" eb="2">
      <t>シマ</t>
    </rPh>
    <phoneticPr fontId="3"/>
  </si>
  <si>
    <t>ヤマイチ</t>
  </si>
  <si>
    <t>中央店</t>
    <rPh sb="0" eb="2">
      <t>チュウオウ</t>
    </rPh>
    <phoneticPr fontId="3"/>
  </si>
  <si>
    <t>コモディイイダ</t>
  </si>
  <si>
    <t>西瑞江店</t>
  </si>
  <si>
    <t>いなげや</t>
  </si>
  <si>
    <t>江戸川春江店</t>
  </si>
  <si>
    <t>東武ストア</t>
  </si>
  <si>
    <t>新小岩店</t>
  </si>
  <si>
    <t>サミットストア</t>
  </si>
  <si>
    <t>江戸川区役所前店</t>
    <rPh sb="0" eb="6">
      <t>エドガワクヤクショ</t>
    </rPh>
    <rPh sb="6" eb="7">
      <t>マエ</t>
    </rPh>
    <rPh sb="7" eb="8">
      <t>ミセ</t>
    </rPh>
    <phoneticPr fontId="3"/>
  </si>
  <si>
    <t>ビッグ・エー</t>
  </si>
  <si>
    <t>江戸川本一色店</t>
  </si>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</sst>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1"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9"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9"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7F5A9C2F-223E-4243-8D20-B884476F1EE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70" zoomScaleNormal="70" workbookViewId="0">
      <selection activeCell="R59" sqref="R59"/>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1.05</v>
      </c>
      <c r="P2" s="15">
        <v>0.95</v>
      </c>
      <c r="Q2" s="51">
        <f t="shared" ref="Q2:Q65" si="0">IF(OR(O2="",P2=""),"",AVERAGE(O2,P2))</f>
        <v>1</v>
      </c>
      <c r="R2" s="15">
        <v>12.8</v>
      </c>
      <c r="S2" s="15">
        <v>117</v>
      </c>
      <c r="T2" s="38">
        <f t="shared" ref="T2:T59" si="1">IF(H2="","",IF(OR(H2="GREEN",H2="GK"),IF(S2&gt;=$AX$2,VLOOKUP(S2,$AX$2:$AY$12,2,1),""),IF(S2&gt;=$AZ$2,VLOOKUP(S2,$AZ$2:$BA$12,2,1),"")))</f>
        <v>30</v>
      </c>
      <c r="U2" s="15">
        <v>105</v>
      </c>
      <c r="V2" s="38">
        <f t="shared" ref="V2:V65" si="2">IF(OR(N2="",U2="",T2=""),"",U2/N2*T2)</f>
        <v>3150</v>
      </c>
      <c r="W2" s="15">
        <v>4</v>
      </c>
      <c r="X2" s="15" t="s">
        <v>46</v>
      </c>
      <c r="Y2" s="15" t="s">
        <v>102</v>
      </c>
      <c r="Z2" s="15" t="s">
        <v>78</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0.9</v>
      </c>
      <c r="P3" s="7">
        <v>0.95</v>
      </c>
      <c r="Q3" s="52">
        <f t="shared" si="0"/>
        <v>0.92500000000000004</v>
      </c>
      <c r="R3" s="7">
        <v>13</v>
      </c>
      <c r="S3" s="7">
        <v>123</v>
      </c>
      <c r="T3" s="16">
        <f t="shared" si="1"/>
        <v>27</v>
      </c>
      <c r="U3" s="15">
        <v>105</v>
      </c>
      <c r="V3" s="16">
        <f t="shared" si="2"/>
        <v>2835</v>
      </c>
      <c r="W3" s="15">
        <v>4</v>
      </c>
      <c r="X3" s="15" t="s">
        <v>46</v>
      </c>
      <c r="Y3" s="15" t="s">
        <v>102</v>
      </c>
      <c r="Z3" s="15" t="s">
        <v>78</v>
      </c>
      <c r="AA3" s="15"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0.7</v>
      </c>
      <c r="P4" s="7">
        <v>0.75</v>
      </c>
      <c r="Q4" s="52">
        <f t="shared" si="0"/>
        <v>0.72499999999999998</v>
      </c>
      <c r="R4" s="7">
        <v>13.4</v>
      </c>
      <c r="S4" s="7">
        <v>116</v>
      </c>
      <c r="T4" s="16">
        <f t="shared" si="1"/>
        <v>30</v>
      </c>
      <c r="U4" s="15">
        <v>105</v>
      </c>
      <c r="V4" s="16">
        <f t="shared" si="2"/>
        <v>3150</v>
      </c>
      <c r="W4" s="15">
        <v>4</v>
      </c>
      <c r="X4" s="15" t="s">
        <v>46</v>
      </c>
      <c r="Y4" s="54" t="s">
        <v>102</v>
      </c>
      <c r="Z4" s="54" t="s">
        <v>78</v>
      </c>
      <c r="AA4" s="54"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54" t="s">
        <v>160</v>
      </c>
      <c r="I5" s="7" t="s">
        <v>159</v>
      </c>
      <c r="J5" s="15" t="s">
        <v>38</v>
      </c>
      <c r="K5" s="7" t="s">
        <v>161</v>
      </c>
      <c r="L5" s="7">
        <v>1</v>
      </c>
      <c r="N5" s="53">
        <v>1</v>
      </c>
      <c r="O5" s="7">
        <v>0.5</v>
      </c>
      <c r="P5" s="7">
        <v>0.5</v>
      </c>
      <c r="Q5" s="52">
        <f t="shared" si="0"/>
        <v>0.5</v>
      </c>
      <c r="R5" s="7">
        <v>14.7</v>
      </c>
      <c r="S5" s="7">
        <v>122</v>
      </c>
      <c r="T5" s="16">
        <f t="shared" si="1"/>
        <v>27</v>
      </c>
      <c r="U5" s="15">
        <v>135</v>
      </c>
      <c r="V5" s="16">
        <f t="shared" si="2"/>
        <v>3645</v>
      </c>
      <c r="W5" s="15">
        <v>7</v>
      </c>
      <c r="X5" s="15" t="s">
        <v>46</v>
      </c>
      <c r="Y5" s="54" t="s">
        <v>102</v>
      </c>
      <c r="Z5" s="54" t="s">
        <v>78</v>
      </c>
      <c r="AA5" s="54" t="s">
        <v>90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53" t="s">
        <v>159</v>
      </c>
      <c r="J6" s="15" t="s">
        <v>38</v>
      </c>
      <c r="K6" s="7" t="s">
        <v>161</v>
      </c>
      <c r="L6" s="7">
        <v>2</v>
      </c>
      <c r="N6" s="53">
        <v>1</v>
      </c>
      <c r="O6" s="7">
        <v>0.5</v>
      </c>
      <c r="P6" s="7">
        <v>0.5</v>
      </c>
      <c r="Q6" s="52">
        <f t="shared" si="0"/>
        <v>0.5</v>
      </c>
      <c r="R6" s="7">
        <v>13.5</v>
      </c>
      <c r="S6" s="7">
        <v>122</v>
      </c>
      <c r="T6" s="16">
        <f t="shared" si="1"/>
        <v>27</v>
      </c>
      <c r="U6" s="15">
        <v>135</v>
      </c>
      <c r="V6" s="16">
        <f t="shared" si="2"/>
        <v>3645</v>
      </c>
      <c r="W6" s="15">
        <v>7</v>
      </c>
      <c r="X6" s="15" t="s">
        <v>46</v>
      </c>
      <c r="Y6" s="54" t="s">
        <v>102</v>
      </c>
      <c r="Z6" s="54" t="s">
        <v>78</v>
      </c>
      <c r="AA6" s="54" t="s">
        <v>90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53" t="s">
        <v>159</v>
      </c>
      <c r="J7" s="15" t="s">
        <v>38</v>
      </c>
      <c r="K7" s="7" t="s">
        <v>161</v>
      </c>
      <c r="L7" s="7">
        <v>3</v>
      </c>
      <c r="N7" s="53">
        <v>1</v>
      </c>
      <c r="O7" s="7">
        <v>0.5</v>
      </c>
      <c r="P7" s="7">
        <v>0.55000000000000004</v>
      </c>
      <c r="Q7" s="52">
        <f t="shared" si="0"/>
        <v>0.52500000000000002</v>
      </c>
      <c r="R7" s="34">
        <v>14.7</v>
      </c>
      <c r="S7" s="7">
        <v>121</v>
      </c>
      <c r="T7" s="16">
        <f t="shared" si="1"/>
        <v>27</v>
      </c>
      <c r="U7" s="15">
        <v>135</v>
      </c>
      <c r="V7" s="16">
        <f t="shared" si="2"/>
        <v>3645</v>
      </c>
      <c r="W7" s="15">
        <v>7</v>
      </c>
      <c r="X7" s="15" t="s">
        <v>46</v>
      </c>
      <c r="Y7" s="54" t="s">
        <v>102</v>
      </c>
      <c r="Z7" s="54" t="s">
        <v>78</v>
      </c>
      <c r="AA7" s="54" t="s">
        <v>90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53">
        <v>1</v>
      </c>
      <c r="O8" s="7">
        <v>0.55000000000000004</v>
      </c>
      <c r="P8" s="7">
        <v>0.6</v>
      </c>
      <c r="Q8" s="52">
        <f t="shared" si="0"/>
        <v>0.57499999999999996</v>
      </c>
      <c r="R8" s="34">
        <v>14.3</v>
      </c>
      <c r="S8" s="7">
        <v>125</v>
      </c>
      <c r="T8" s="16">
        <f t="shared" si="1"/>
        <v>27</v>
      </c>
      <c r="U8" s="15">
        <v>98</v>
      </c>
      <c r="V8" s="16">
        <f t="shared" si="2"/>
        <v>2646</v>
      </c>
      <c r="W8" s="15">
        <v>12</v>
      </c>
      <c r="X8" s="15" t="s">
        <v>46</v>
      </c>
      <c r="Y8" s="54" t="s">
        <v>90</v>
      </c>
      <c r="Z8" s="54" t="s">
        <v>102</v>
      </c>
      <c r="AA8" s="54" t="s">
        <v>78</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0.5</v>
      </c>
      <c r="P9" s="7">
        <v>0.5</v>
      </c>
      <c r="Q9" s="52">
        <f t="shared" si="0"/>
        <v>0.5</v>
      </c>
      <c r="R9" s="7">
        <v>14.7</v>
      </c>
      <c r="S9" s="7">
        <v>122</v>
      </c>
      <c r="T9" s="16">
        <f t="shared" si="1"/>
        <v>27</v>
      </c>
      <c r="U9" s="15">
        <v>98</v>
      </c>
      <c r="V9" s="16">
        <f t="shared" si="2"/>
        <v>2646</v>
      </c>
      <c r="W9" s="15">
        <v>12</v>
      </c>
      <c r="X9" s="15" t="s">
        <v>46</v>
      </c>
      <c r="Y9" s="54" t="s">
        <v>90</v>
      </c>
      <c r="Z9" s="54" t="s">
        <v>102</v>
      </c>
      <c r="AA9" s="54" t="s">
        <v>78</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0.5</v>
      </c>
      <c r="P10" s="7">
        <v>0.5</v>
      </c>
      <c r="Q10" s="52">
        <f t="shared" si="0"/>
        <v>0.5</v>
      </c>
      <c r="R10" s="7">
        <v>14.1</v>
      </c>
      <c r="S10" s="7">
        <v>130</v>
      </c>
      <c r="T10" s="16">
        <f t="shared" si="1"/>
        <v>25</v>
      </c>
      <c r="U10" s="15">
        <v>98</v>
      </c>
      <c r="V10" s="16">
        <f t="shared" si="2"/>
        <v>2450</v>
      </c>
      <c r="W10" s="15">
        <v>12</v>
      </c>
      <c r="X10" s="15" t="s">
        <v>46</v>
      </c>
      <c r="Y10" s="54" t="s">
        <v>90</v>
      </c>
      <c r="Z10" s="54" t="s">
        <v>102</v>
      </c>
      <c r="AA10" s="54" t="s">
        <v>78</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142</v>
      </c>
      <c r="F11" s="7" t="s">
        <v>151</v>
      </c>
      <c r="G11" s="7" t="s">
        <v>36</v>
      </c>
      <c r="H11" s="15" t="s">
        <v>164</v>
      </c>
      <c r="I11" s="7" t="s">
        <v>159</v>
      </c>
      <c r="J11" s="15" t="s">
        <v>38</v>
      </c>
      <c r="K11" s="7" t="s">
        <v>161</v>
      </c>
      <c r="L11" s="7">
        <v>1</v>
      </c>
      <c r="N11" s="7">
        <v>1</v>
      </c>
      <c r="O11" s="7">
        <v>0.75</v>
      </c>
      <c r="P11" s="7">
        <v>0.75</v>
      </c>
      <c r="Q11" s="52">
        <f t="shared" si="0"/>
        <v>0.75</v>
      </c>
      <c r="R11" s="7">
        <v>12.5</v>
      </c>
      <c r="S11" s="7">
        <v>127</v>
      </c>
      <c r="T11" s="16">
        <f t="shared" si="1"/>
        <v>27</v>
      </c>
      <c r="U11" s="7">
        <v>138</v>
      </c>
      <c r="V11" s="16">
        <f t="shared" si="2"/>
        <v>3726</v>
      </c>
      <c r="W11" s="7">
        <v>4</v>
      </c>
      <c r="X11" s="15" t="s">
        <v>46</v>
      </c>
      <c r="Y11" s="54" t="s">
        <v>102</v>
      </c>
      <c r="Z11" s="54" t="s">
        <v>78</v>
      </c>
      <c r="AA11" s="54" t="s">
        <v>50</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142</v>
      </c>
      <c r="F12" s="7" t="s">
        <v>151</v>
      </c>
      <c r="G12" s="7" t="s">
        <v>36</v>
      </c>
      <c r="H12" s="54" t="s">
        <v>164</v>
      </c>
      <c r="I12" s="53" t="s">
        <v>159</v>
      </c>
      <c r="J12" s="15" t="s">
        <v>38</v>
      </c>
      <c r="K12" s="7" t="s">
        <v>161</v>
      </c>
      <c r="L12" s="7">
        <v>2</v>
      </c>
      <c r="N12" s="7">
        <v>1</v>
      </c>
      <c r="O12" s="7">
        <v>0.65</v>
      </c>
      <c r="P12" s="7">
        <v>0.6</v>
      </c>
      <c r="Q12" s="52">
        <f t="shared" si="0"/>
        <v>0.625</v>
      </c>
      <c r="R12" s="34">
        <v>12.4</v>
      </c>
      <c r="S12" s="7">
        <v>133</v>
      </c>
      <c r="T12" s="16">
        <f t="shared" si="1"/>
        <v>25</v>
      </c>
      <c r="U12" s="7">
        <v>138</v>
      </c>
      <c r="V12" s="16">
        <f t="shared" si="2"/>
        <v>3450</v>
      </c>
      <c r="W12" s="7">
        <v>4</v>
      </c>
      <c r="X12" s="15" t="s">
        <v>46</v>
      </c>
      <c r="Y12" s="54" t="s">
        <v>102</v>
      </c>
      <c r="Z12" s="54" t="s">
        <v>78</v>
      </c>
      <c r="AA12" s="54" t="s">
        <v>50</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142</v>
      </c>
      <c r="F13" s="7" t="s">
        <v>151</v>
      </c>
      <c r="G13" s="7" t="s">
        <v>36</v>
      </c>
      <c r="H13" s="54" t="s">
        <v>164</v>
      </c>
      <c r="I13" s="53" t="s">
        <v>159</v>
      </c>
      <c r="J13" s="15" t="s">
        <v>38</v>
      </c>
      <c r="K13" s="7" t="s">
        <v>161</v>
      </c>
      <c r="L13" s="7">
        <v>3</v>
      </c>
      <c r="N13" s="7">
        <v>1</v>
      </c>
      <c r="O13" s="7">
        <v>0.65</v>
      </c>
      <c r="P13" s="7">
        <v>0.7</v>
      </c>
      <c r="Q13" s="52">
        <f t="shared" si="0"/>
        <v>0.67500000000000004</v>
      </c>
      <c r="R13" s="7">
        <v>12.5</v>
      </c>
      <c r="S13" s="7">
        <v>131</v>
      </c>
      <c r="T13" s="16">
        <f t="shared" si="1"/>
        <v>25</v>
      </c>
      <c r="U13" s="7">
        <v>138</v>
      </c>
      <c r="V13" s="16">
        <f t="shared" si="2"/>
        <v>3450</v>
      </c>
      <c r="W13" s="7">
        <v>4</v>
      </c>
      <c r="X13" s="15" t="s">
        <v>46</v>
      </c>
      <c r="Y13" s="54" t="s">
        <v>102</v>
      </c>
      <c r="Z13" s="54" t="s">
        <v>78</v>
      </c>
      <c r="AA13" s="54" t="s">
        <v>50</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160</v>
      </c>
      <c r="I14" s="7" t="s">
        <v>159</v>
      </c>
      <c r="J14" s="15" t="s">
        <v>38</v>
      </c>
      <c r="K14" s="7" t="s">
        <v>161</v>
      </c>
      <c r="L14" s="7">
        <v>1</v>
      </c>
      <c r="N14" s="53">
        <v>1</v>
      </c>
      <c r="O14" s="7">
        <v>0.5</v>
      </c>
      <c r="P14" s="7">
        <v>0.5</v>
      </c>
      <c r="Q14" s="52">
        <f t="shared" si="0"/>
        <v>0.5</v>
      </c>
      <c r="R14" s="7">
        <v>18.3</v>
      </c>
      <c r="S14" s="7">
        <v>133</v>
      </c>
      <c r="T14" s="16">
        <f t="shared" si="1"/>
        <v>25</v>
      </c>
      <c r="U14" s="7">
        <v>139</v>
      </c>
      <c r="V14" s="16">
        <f t="shared" si="2"/>
        <v>3475</v>
      </c>
      <c r="W14" s="7">
        <v>4</v>
      </c>
      <c r="X14" s="15" t="s">
        <v>46</v>
      </c>
      <c r="Y14" s="54" t="s">
        <v>102</v>
      </c>
      <c r="Z14" s="54" t="s">
        <v>78</v>
      </c>
      <c r="AA14" s="54" t="s">
        <v>50</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160</v>
      </c>
      <c r="I15" s="7" t="s">
        <v>159</v>
      </c>
      <c r="J15" s="15" t="s">
        <v>38</v>
      </c>
      <c r="K15" s="7" t="s">
        <v>161</v>
      </c>
      <c r="L15" s="7">
        <v>2</v>
      </c>
      <c r="N15" s="53">
        <v>1</v>
      </c>
      <c r="O15" s="7">
        <v>0.5</v>
      </c>
      <c r="P15" s="7">
        <v>0.5</v>
      </c>
      <c r="Q15" s="52">
        <f t="shared" si="0"/>
        <v>0.5</v>
      </c>
      <c r="R15" s="7">
        <v>19.100000000000001</v>
      </c>
      <c r="S15" s="7">
        <v>133</v>
      </c>
      <c r="T15" s="16">
        <f t="shared" si="1"/>
        <v>25</v>
      </c>
      <c r="U15" s="7">
        <v>139</v>
      </c>
      <c r="V15" s="16">
        <f t="shared" si="2"/>
        <v>3475</v>
      </c>
      <c r="W15" s="7">
        <v>4</v>
      </c>
      <c r="X15" s="15" t="s">
        <v>46</v>
      </c>
      <c r="Y15" s="54" t="s">
        <v>102</v>
      </c>
      <c r="Z15" s="54" t="s">
        <v>78</v>
      </c>
      <c r="AA15" s="54" t="s">
        <v>50</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160</v>
      </c>
      <c r="I16" s="7" t="s">
        <v>159</v>
      </c>
      <c r="J16" s="15" t="s">
        <v>38</v>
      </c>
      <c r="K16" s="7" t="s">
        <v>161</v>
      </c>
      <c r="L16" s="7">
        <v>3</v>
      </c>
      <c r="N16" s="53">
        <v>1</v>
      </c>
      <c r="O16" s="7">
        <v>0.5</v>
      </c>
      <c r="P16" s="7">
        <v>0.5</v>
      </c>
      <c r="Q16" s="52">
        <f t="shared" si="0"/>
        <v>0.5</v>
      </c>
      <c r="R16" s="7">
        <v>19.7</v>
      </c>
      <c r="S16" s="7">
        <v>134</v>
      </c>
      <c r="T16" s="16">
        <f t="shared" si="1"/>
        <v>25</v>
      </c>
      <c r="U16" s="7">
        <v>139</v>
      </c>
      <c r="V16" s="16">
        <f t="shared" si="2"/>
        <v>3475</v>
      </c>
      <c r="W16" s="7">
        <v>4</v>
      </c>
      <c r="X16" s="15" t="s">
        <v>46</v>
      </c>
      <c r="Y16" s="54" t="s">
        <v>102</v>
      </c>
      <c r="Z16" s="54" t="s">
        <v>78</v>
      </c>
      <c r="AA16" s="54" t="s">
        <v>50</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143</v>
      </c>
      <c r="F17" s="7" t="s">
        <v>152</v>
      </c>
      <c r="G17" s="7" t="s">
        <v>36</v>
      </c>
      <c r="H17" s="15" t="s">
        <v>164</v>
      </c>
      <c r="I17" s="7" t="s">
        <v>159</v>
      </c>
      <c r="J17" s="15" t="s">
        <v>38</v>
      </c>
      <c r="K17" s="7" t="s">
        <v>161</v>
      </c>
      <c r="L17" s="7">
        <v>1</v>
      </c>
      <c r="N17" s="7">
        <v>1</v>
      </c>
      <c r="O17" s="7">
        <v>1</v>
      </c>
      <c r="P17" s="7">
        <v>0.9</v>
      </c>
      <c r="Q17" s="52">
        <f t="shared" si="0"/>
        <v>0.95</v>
      </c>
      <c r="R17" s="7">
        <v>13.3</v>
      </c>
      <c r="S17" s="7">
        <v>124</v>
      </c>
      <c r="T17" s="16">
        <f t="shared" si="1"/>
        <v>27</v>
      </c>
      <c r="U17" s="7">
        <v>105</v>
      </c>
      <c r="V17" s="16">
        <f t="shared" si="2"/>
        <v>2835</v>
      </c>
      <c r="W17" s="7">
        <v>2</v>
      </c>
      <c r="X17" s="15" t="s">
        <v>39</v>
      </c>
      <c r="Y17" s="54" t="s">
        <v>102</v>
      </c>
      <c r="Z17" s="54" t="s">
        <v>90</v>
      </c>
      <c r="AA17" s="54" t="s">
        <v>78</v>
      </c>
      <c r="AB17" s="39" t="s">
        <v>158</v>
      </c>
      <c r="AE17" s="22" t="s">
        <v>85</v>
      </c>
      <c r="AP17" s="43" t="s">
        <v>110</v>
      </c>
      <c r="AR17" s="41" t="s">
        <v>96</v>
      </c>
      <c r="AV17" s="23" t="s">
        <v>86</v>
      </c>
    </row>
    <row r="18" spans="1:48" x14ac:dyDescent="0.15">
      <c r="A18" s="15" t="s">
        <v>156</v>
      </c>
      <c r="B18" s="15" t="s">
        <v>157</v>
      </c>
      <c r="C18" s="15">
        <v>2019</v>
      </c>
      <c r="D18" s="37" t="s">
        <v>165</v>
      </c>
      <c r="E18" s="15" t="s">
        <v>143</v>
      </c>
      <c r="F18" s="7" t="s">
        <v>152</v>
      </c>
      <c r="G18" s="7" t="s">
        <v>36</v>
      </c>
      <c r="H18" s="15" t="s">
        <v>164</v>
      </c>
      <c r="I18" s="7" t="s">
        <v>159</v>
      </c>
      <c r="J18" s="15" t="s">
        <v>38</v>
      </c>
      <c r="K18" s="7" t="s">
        <v>161</v>
      </c>
      <c r="L18" s="7">
        <v>2</v>
      </c>
      <c r="N18" s="7">
        <v>1</v>
      </c>
      <c r="O18" s="7">
        <v>0.7</v>
      </c>
      <c r="P18" s="7">
        <v>0.75</v>
      </c>
      <c r="Q18" s="52">
        <f t="shared" si="0"/>
        <v>0.72499999999999998</v>
      </c>
      <c r="R18" s="7">
        <v>13.6</v>
      </c>
      <c r="S18" s="7">
        <v>123</v>
      </c>
      <c r="T18" s="16">
        <f t="shared" si="1"/>
        <v>27</v>
      </c>
      <c r="U18" s="7">
        <v>105</v>
      </c>
      <c r="V18" s="16">
        <f t="shared" si="2"/>
        <v>2835</v>
      </c>
      <c r="W18" s="7">
        <v>2</v>
      </c>
      <c r="X18" s="54" t="s">
        <v>39</v>
      </c>
      <c r="Y18" s="54" t="s">
        <v>102</v>
      </c>
      <c r="Z18" s="54" t="s">
        <v>90</v>
      </c>
      <c r="AA18" s="54" t="s">
        <v>78</v>
      </c>
      <c r="AB18" s="39" t="s">
        <v>158</v>
      </c>
      <c r="AE18" s="22" t="s">
        <v>87</v>
      </c>
      <c r="AP18" s="43" t="s">
        <v>111</v>
      </c>
      <c r="AR18" s="41" t="s">
        <v>101</v>
      </c>
      <c r="AV18" s="23" t="s">
        <v>88</v>
      </c>
    </row>
    <row r="19" spans="1:48" x14ac:dyDescent="0.15">
      <c r="A19" s="15" t="s">
        <v>156</v>
      </c>
      <c r="B19" s="15" t="s">
        <v>157</v>
      </c>
      <c r="C19" s="15">
        <v>2019</v>
      </c>
      <c r="D19" s="37" t="s">
        <v>165</v>
      </c>
      <c r="E19" s="15" t="s">
        <v>143</v>
      </c>
      <c r="F19" s="7" t="s">
        <v>152</v>
      </c>
      <c r="G19" s="7" t="s">
        <v>36</v>
      </c>
      <c r="H19" s="15" t="s">
        <v>164</v>
      </c>
      <c r="I19" s="7" t="s">
        <v>159</v>
      </c>
      <c r="J19" s="15" t="s">
        <v>38</v>
      </c>
      <c r="K19" s="7" t="s">
        <v>161</v>
      </c>
      <c r="L19" s="7">
        <v>3</v>
      </c>
      <c r="N19" s="7">
        <v>1</v>
      </c>
      <c r="O19" s="7">
        <v>0.85</v>
      </c>
      <c r="P19" s="7">
        <v>0.85</v>
      </c>
      <c r="Q19" s="52">
        <f t="shared" si="0"/>
        <v>0.85</v>
      </c>
      <c r="R19" s="7">
        <v>11.1</v>
      </c>
      <c r="S19" s="7">
        <v>121</v>
      </c>
      <c r="T19" s="16">
        <f t="shared" si="1"/>
        <v>27</v>
      </c>
      <c r="U19" s="7">
        <v>105</v>
      </c>
      <c r="V19" s="16">
        <f t="shared" si="2"/>
        <v>2835</v>
      </c>
      <c r="W19" s="7">
        <v>2</v>
      </c>
      <c r="X19" s="54" t="s">
        <v>39</v>
      </c>
      <c r="Y19" s="54" t="s">
        <v>102</v>
      </c>
      <c r="Z19" s="54" t="s">
        <v>90</v>
      </c>
      <c r="AA19" s="54" t="s">
        <v>78</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160</v>
      </c>
      <c r="I20" s="7" t="s">
        <v>159</v>
      </c>
      <c r="J20" s="15" t="s">
        <v>38</v>
      </c>
      <c r="K20" s="7" t="s">
        <v>161</v>
      </c>
      <c r="L20" s="7">
        <v>1</v>
      </c>
      <c r="N20" s="7">
        <v>1</v>
      </c>
      <c r="O20" s="7">
        <v>0.5</v>
      </c>
      <c r="P20" s="34">
        <v>0.5</v>
      </c>
      <c r="Q20" s="52">
        <f t="shared" si="0"/>
        <v>0.5</v>
      </c>
      <c r="R20" s="7">
        <v>15.2</v>
      </c>
      <c r="S20" s="7">
        <v>122</v>
      </c>
      <c r="T20" s="16">
        <f t="shared" si="1"/>
        <v>27</v>
      </c>
      <c r="U20" s="7">
        <v>138</v>
      </c>
      <c r="V20" s="16">
        <f t="shared" si="2"/>
        <v>3726</v>
      </c>
      <c r="W20" s="7">
        <v>2</v>
      </c>
      <c r="X20" s="15" t="s">
        <v>39</v>
      </c>
      <c r="Y20" s="54" t="s">
        <v>102</v>
      </c>
      <c r="Z20" s="54" t="s">
        <v>90</v>
      </c>
      <c r="AA20" s="54" t="s">
        <v>78</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160</v>
      </c>
      <c r="I21" s="7" t="s">
        <v>159</v>
      </c>
      <c r="J21" s="15" t="s">
        <v>38</v>
      </c>
      <c r="K21" s="7" t="s">
        <v>161</v>
      </c>
      <c r="L21" s="7">
        <v>2</v>
      </c>
      <c r="N21" s="7">
        <v>1</v>
      </c>
      <c r="O21" s="7">
        <v>0.5</v>
      </c>
      <c r="P21" s="7">
        <v>0.5</v>
      </c>
      <c r="Q21" s="52">
        <f t="shared" si="0"/>
        <v>0.5</v>
      </c>
      <c r="R21" s="7">
        <v>19.399999999999999</v>
      </c>
      <c r="S21" s="7">
        <v>121</v>
      </c>
      <c r="T21" s="16">
        <f t="shared" si="1"/>
        <v>27</v>
      </c>
      <c r="U21" s="7">
        <v>138</v>
      </c>
      <c r="V21" s="16">
        <f t="shared" si="2"/>
        <v>3726</v>
      </c>
      <c r="W21" s="7">
        <v>2</v>
      </c>
      <c r="X21" s="54" t="s">
        <v>39</v>
      </c>
      <c r="Y21" s="54" t="s">
        <v>102</v>
      </c>
      <c r="Z21" s="54" t="s">
        <v>90</v>
      </c>
      <c r="AA21" s="54" t="s">
        <v>78</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160</v>
      </c>
      <c r="I22" s="7" t="s">
        <v>159</v>
      </c>
      <c r="J22" s="15" t="s">
        <v>38</v>
      </c>
      <c r="K22" s="7" t="s">
        <v>161</v>
      </c>
      <c r="L22" s="7">
        <v>3</v>
      </c>
      <c r="N22" s="7">
        <v>1</v>
      </c>
      <c r="O22" s="34">
        <v>0.5</v>
      </c>
      <c r="P22" s="7">
        <v>0.5</v>
      </c>
      <c r="Q22" s="52">
        <f t="shared" si="0"/>
        <v>0.5</v>
      </c>
      <c r="R22" s="7">
        <v>18.8</v>
      </c>
      <c r="S22" s="7">
        <v>120</v>
      </c>
      <c r="T22" s="16">
        <f t="shared" si="1"/>
        <v>30</v>
      </c>
      <c r="U22" s="7">
        <v>138</v>
      </c>
      <c r="V22" s="16">
        <f t="shared" si="2"/>
        <v>4140</v>
      </c>
      <c r="W22" s="7">
        <v>2</v>
      </c>
      <c r="X22" s="54" t="s">
        <v>39</v>
      </c>
      <c r="Y22" s="54" t="s">
        <v>102</v>
      </c>
      <c r="Z22" s="54" t="s">
        <v>90</v>
      </c>
      <c r="AA22" s="54" t="s">
        <v>78</v>
      </c>
      <c r="AB22" s="39" t="s">
        <v>158</v>
      </c>
      <c r="AE22" s="35"/>
      <c r="AP22" s="43" t="s">
        <v>115</v>
      </c>
      <c r="AR22" s="41" t="s">
        <v>83</v>
      </c>
      <c r="AV22" s="27"/>
    </row>
    <row r="23" spans="1:48" x14ac:dyDescent="0.15">
      <c r="A23" s="15" t="s">
        <v>156</v>
      </c>
      <c r="B23" s="15" t="s">
        <v>157</v>
      </c>
      <c r="C23" s="15">
        <v>2019</v>
      </c>
      <c r="D23" s="37" t="s">
        <v>165</v>
      </c>
      <c r="E23" s="7" t="s">
        <v>131</v>
      </c>
      <c r="F23" s="7" t="s">
        <v>144</v>
      </c>
      <c r="G23" s="7" t="s">
        <v>36</v>
      </c>
      <c r="H23" s="15" t="s">
        <v>164</v>
      </c>
      <c r="I23" s="7" t="s">
        <v>159</v>
      </c>
      <c r="J23" s="15" t="s">
        <v>38</v>
      </c>
      <c r="K23" s="7" t="s">
        <v>161</v>
      </c>
      <c r="L23" s="7">
        <v>1</v>
      </c>
      <c r="N23" s="7">
        <v>1</v>
      </c>
      <c r="O23" s="34">
        <v>0.75</v>
      </c>
      <c r="P23" s="7">
        <v>0.7</v>
      </c>
      <c r="Q23" s="52">
        <f t="shared" si="0"/>
        <v>0.72499999999999998</v>
      </c>
      <c r="R23" s="7">
        <v>16.100000000000001</v>
      </c>
      <c r="S23" s="7">
        <v>127</v>
      </c>
      <c r="T23" s="16">
        <f t="shared" si="1"/>
        <v>27</v>
      </c>
      <c r="U23" s="7">
        <v>138</v>
      </c>
      <c r="V23" s="16">
        <f t="shared" si="2"/>
        <v>3726</v>
      </c>
      <c r="W23" s="7">
        <v>4</v>
      </c>
      <c r="X23" s="54" t="s">
        <v>46</v>
      </c>
      <c r="Y23" s="54" t="s">
        <v>78</v>
      </c>
      <c r="Z23" s="54" t="s">
        <v>102</v>
      </c>
      <c r="AA23" s="54" t="s">
        <v>90</v>
      </c>
      <c r="AB23" s="39" t="s">
        <v>158</v>
      </c>
      <c r="AE23" s="22"/>
      <c r="AP23" s="43" t="s">
        <v>137</v>
      </c>
      <c r="AR23" s="41" t="s">
        <v>61</v>
      </c>
      <c r="AV23" s="27"/>
    </row>
    <row r="24" spans="1:48" x14ac:dyDescent="0.15">
      <c r="A24" s="15" t="s">
        <v>156</v>
      </c>
      <c r="B24" s="15" t="s">
        <v>157</v>
      </c>
      <c r="C24" s="15">
        <v>2019</v>
      </c>
      <c r="D24" s="37" t="s">
        <v>165</v>
      </c>
      <c r="E24" s="7" t="s">
        <v>131</v>
      </c>
      <c r="F24" s="7" t="s">
        <v>144</v>
      </c>
      <c r="G24" s="7" t="s">
        <v>36</v>
      </c>
      <c r="H24" s="15" t="s">
        <v>164</v>
      </c>
      <c r="I24" s="7" t="s">
        <v>159</v>
      </c>
      <c r="J24" s="15" t="s">
        <v>38</v>
      </c>
      <c r="K24" s="7" t="s">
        <v>161</v>
      </c>
      <c r="L24" s="7">
        <v>2</v>
      </c>
      <c r="N24" s="7">
        <v>1</v>
      </c>
      <c r="O24" s="7">
        <v>0.8</v>
      </c>
      <c r="P24" s="7">
        <v>0.8</v>
      </c>
      <c r="Q24" s="52">
        <f t="shared" si="0"/>
        <v>0.8</v>
      </c>
      <c r="R24" s="7">
        <v>11.3</v>
      </c>
      <c r="S24" s="7">
        <v>133</v>
      </c>
      <c r="T24" s="16">
        <f t="shared" si="1"/>
        <v>25</v>
      </c>
      <c r="U24" s="7">
        <v>138</v>
      </c>
      <c r="V24" s="16">
        <f t="shared" si="2"/>
        <v>3450</v>
      </c>
      <c r="W24" s="7">
        <v>4</v>
      </c>
      <c r="X24" s="54" t="s">
        <v>46</v>
      </c>
      <c r="Y24" s="54" t="s">
        <v>78</v>
      </c>
      <c r="Z24" s="54" t="s">
        <v>102</v>
      </c>
      <c r="AA24" s="54" t="s">
        <v>90</v>
      </c>
      <c r="AB24" s="39" t="s">
        <v>158</v>
      </c>
      <c r="AE24" s="22"/>
      <c r="AP24" s="43" t="s">
        <v>138</v>
      </c>
      <c r="AR24" s="41" t="s">
        <v>91</v>
      </c>
      <c r="AV24" s="27"/>
    </row>
    <row r="25" spans="1:48" x14ac:dyDescent="0.15">
      <c r="A25" s="15" t="s">
        <v>156</v>
      </c>
      <c r="B25" s="15" t="s">
        <v>157</v>
      </c>
      <c r="C25" s="15">
        <v>2019</v>
      </c>
      <c r="D25" s="37" t="s">
        <v>165</v>
      </c>
      <c r="E25" s="7" t="s">
        <v>131</v>
      </c>
      <c r="F25" s="7" t="s">
        <v>144</v>
      </c>
      <c r="G25" s="7" t="s">
        <v>36</v>
      </c>
      <c r="H25" s="15" t="s">
        <v>164</v>
      </c>
      <c r="I25" s="7" t="s">
        <v>159</v>
      </c>
      <c r="J25" s="15" t="s">
        <v>38</v>
      </c>
      <c r="K25" s="7" t="s">
        <v>161</v>
      </c>
      <c r="L25" s="7">
        <v>3</v>
      </c>
      <c r="N25" s="7">
        <v>1</v>
      </c>
      <c r="O25" s="7">
        <v>0.95</v>
      </c>
      <c r="P25" s="7">
        <v>1.5</v>
      </c>
      <c r="Q25" s="52">
        <f t="shared" si="0"/>
        <v>1.2250000000000001</v>
      </c>
      <c r="R25" s="7">
        <v>11.1</v>
      </c>
      <c r="S25" s="7">
        <v>128</v>
      </c>
      <c r="T25" s="16">
        <f t="shared" si="1"/>
        <v>27</v>
      </c>
      <c r="U25" s="7">
        <v>138</v>
      </c>
      <c r="V25" s="16">
        <f t="shared" si="2"/>
        <v>3726</v>
      </c>
      <c r="W25" s="7">
        <v>4</v>
      </c>
      <c r="X25" s="54" t="s">
        <v>46</v>
      </c>
      <c r="Y25" s="54" t="s">
        <v>78</v>
      </c>
      <c r="Z25" s="54" t="s">
        <v>102</v>
      </c>
      <c r="AA25" s="54" t="s">
        <v>90</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160</v>
      </c>
      <c r="I26" s="7" t="s">
        <v>159</v>
      </c>
      <c r="J26" s="15" t="s">
        <v>38</v>
      </c>
      <c r="K26" s="7" t="s">
        <v>161</v>
      </c>
      <c r="L26" s="7">
        <v>1</v>
      </c>
      <c r="N26" s="53">
        <v>1</v>
      </c>
      <c r="O26" s="7">
        <v>0.55000000000000004</v>
      </c>
      <c r="P26" s="7">
        <v>0.5</v>
      </c>
      <c r="Q26" s="52">
        <f t="shared" si="0"/>
        <v>0.52500000000000002</v>
      </c>
      <c r="R26" s="7">
        <v>15.8</v>
      </c>
      <c r="S26" s="7">
        <v>121</v>
      </c>
      <c r="T26" s="16">
        <f t="shared" si="1"/>
        <v>27</v>
      </c>
      <c r="U26" s="7">
        <v>138</v>
      </c>
      <c r="V26" s="16">
        <f t="shared" si="2"/>
        <v>3726</v>
      </c>
      <c r="W26" s="7">
        <v>4</v>
      </c>
      <c r="X26" s="15" t="s">
        <v>46</v>
      </c>
      <c r="Y26" s="54" t="s">
        <v>78</v>
      </c>
      <c r="Z26" s="54" t="s">
        <v>102</v>
      </c>
      <c r="AA26" s="54" t="s">
        <v>90</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160</v>
      </c>
      <c r="I27" s="7" t="s">
        <v>159</v>
      </c>
      <c r="J27" s="15" t="s">
        <v>38</v>
      </c>
      <c r="K27" s="7" t="s">
        <v>161</v>
      </c>
      <c r="L27" s="7">
        <v>2</v>
      </c>
      <c r="N27" s="53">
        <v>1</v>
      </c>
      <c r="O27" s="7">
        <v>0.5</v>
      </c>
      <c r="P27" s="7">
        <v>0.5</v>
      </c>
      <c r="Q27" s="52">
        <f t="shared" si="0"/>
        <v>0.5</v>
      </c>
      <c r="R27" s="7">
        <v>14.4</v>
      </c>
      <c r="S27" s="7">
        <v>119</v>
      </c>
      <c r="T27" s="16">
        <f t="shared" si="1"/>
        <v>30</v>
      </c>
      <c r="U27" s="7">
        <v>138</v>
      </c>
      <c r="V27" s="16">
        <f t="shared" si="2"/>
        <v>4140</v>
      </c>
      <c r="W27" s="7">
        <v>4</v>
      </c>
      <c r="X27" s="54" t="s">
        <v>46</v>
      </c>
      <c r="Y27" s="54" t="s">
        <v>78</v>
      </c>
      <c r="Z27" s="54" t="s">
        <v>102</v>
      </c>
      <c r="AA27" s="54" t="s">
        <v>90</v>
      </c>
      <c r="AB27" s="39" t="s">
        <v>158</v>
      </c>
      <c r="AE27" s="28"/>
      <c r="AP27" s="43" t="s">
        <v>118</v>
      </c>
      <c r="AR27" s="23"/>
    </row>
    <row r="28" spans="1:48" x14ac:dyDescent="0.15">
      <c r="A28" s="15" t="s">
        <v>156</v>
      </c>
      <c r="B28" s="15" t="s">
        <v>157</v>
      </c>
      <c r="C28" s="15">
        <v>2019</v>
      </c>
      <c r="D28" s="37" t="s">
        <v>165</v>
      </c>
      <c r="E28" s="7" t="s">
        <v>131</v>
      </c>
      <c r="F28" s="7" t="s">
        <v>144</v>
      </c>
      <c r="G28" s="7" t="s">
        <v>36</v>
      </c>
      <c r="H28" s="54" t="s">
        <v>160</v>
      </c>
      <c r="I28" s="7" t="s">
        <v>159</v>
      </c>
      <c r="J28" s="15" t="s">
        <v>38</v>
      </c>
      <c r="K28" s="7" t="s">
        <v>161</v>
      </c>
      <c r="L28" s="7">
        <v>3</v>
      </c>
      <c r="N28" s="53">
        <v>1</v>
      </c>
      <c r="O28" s="7">
        <v>0.5</v>
      </c>
      <c r="P28" s="7">
        <v>0.5</v>
      </c>
      <c r="Q28" s="52">
        <f t="shared" si="0"/>
        <v>0.5</v>
      </c>
      <c r="R28" s="7">
        <v>19</v>
      </c>
      <c r="S28" s="7">
        <v>121</v>
      </c>
      <c r="T28" s="16">
        <f t="shared" si="1"/>
        <v>27</v>
      </c>
      <c r="U28" s="7">
        <v>138</v>
      </c>
      <c r="V28" s="16">
        <f t="shared" si="2"/>
        <v>3726</v>
      </c>
      <c r="W28" s="7">
        <v>4</v>
      </c>
      <c r="X28" s="54" t="s">
        <v>46</v>
      </c>
      <c r="Y28" s="54" t="s">
        <v>78</v>
      </c>
      <c r="Z28" s="54" t="s">
        <v>102</v>
      </c>
      <c r="AA28" s="54" t="s">
        <v>90</v>
      </c>
      <c r="AB28" s="39" t="s">
        <v>158</v>
      </c>
      <c r="AP28" s="27"/>
      <c r="AR28" s="23"/>
    </row>
    <row r="29" spans="1:48" x14ac:dyDescent="0.15">
      <c r="A29" s="15" t="s">
        <v>156</v>
      </c>
      <c r="B29" s="15" t="s">
        <v>157</v>
      </c>
      <c r="C29" s="15">
        <v>2019</v>
      </c>
      <c r="D29" s="37" t="s">
        <v>165</v>
      </c>
      <c r="E29" s="7" t="s">
        <v>139</v>
      </c>
      <c r="F29" s="7" t="s">
        <v>145</v>
      </c>
      <c r="G29" s="7" t="s">
        <v>36</v>
      </c>
      <c r="H29" s="54" t="s">
        <v>164</v>
      </c>
      <c r="I29" s="7" t="s">
        <v>159</v>
      </c>
      <c r="J29" s="15" t="s">
        <v>38</v>
      </c>
      <c r="K29" s="7" t="s">
        <v>161</v>
      </c>
      <c r="L29" s="7">
        <v>1</v>
      </c>
      <c r="N29" s="53">
        <v>1</v>
      </c>
      <c r="O29" s="7">
        <v>0.5</v>
      </c>
      <c r="P29" s="7">
        <v>0.5</v>
      </c>
      <c r="Q29" s="52">
        <f t="shared" si="0"/>
        <v>0.5</v>
      </c>
      <c r="R29" s="7">
        <v>16.100000000000001</v>
      </c>
      <c r="S29" s="7">
        <v>114</v>
      </c>
      <c r="T29" s="16">
        <f t="shared" si="1"/>
        <v>30</v>
      </c>
      <c r="U29" s="7">
        <v>95</v>
      </c>
      <c r="V29" s="16">
        <f t="shared" si="2"/>
        <v>2850</v>
      </c>
      <c r="W29" s="7">
        <v>7</v>
      </c>
      <c r="X29" s="54" t="s">
        <v>46</v>
      </c>
      <c r="Y29" s="54" t="s">
        <v>50</v>
      </c>
      <c r="Z29" s="54" t="s">
        <v>78</v>
      </c>
      <c r="AA29" s="54" t="s">
        <v>55</v>
      </c>
      <c r="AB29" s="39" t="s">
        <v>158</v>
      </c>
      <c r="AP29" s="27"/>
      <c r="AR29" s="27"/>
      <c r="AV29" s="28"/>
    </row>
    <row r="30" spans="1:48" x14ac:dyDescent="0.15">
      <c r="A30" s="15" t="s">
        <v>156</v>
      </c>
      <c r="B30" s="15" t="s">
        <v>157</v>
      </c>
      <c r="C30" s="15">
        <v>2019</v>
      </c>
      <c r="D30" s="37" t="s">
        <v>165</v>
      </c>
      <c r="E30" s="7" t="s">
        <v>139</v>
      </c>
      <c r="F30" s="7" t="s">
        <v>145</v>
      </c>
      <c r="G30" s="7" t="s">
        <v>36</v>
      </c>
      <c r="H30" s="54" t="s">
        <v>164</v>
      </c>
      <c r="I30" s="53" t="s">
        <v>159</v>
      </c>
      <c r="J30" s="15" t="s">
        <v>38</v>
      </c>
      <c r="K30" s="7" t="s">
        <v>161</v>
      </c>
      <c r="L30" s="7">
        <v>2</v>
      </c>
      <c r="N30" s="7">
        <v>1</v>
      </c>
      <c r="O30" s="7">
        <v>0.5</v>
      </c>
      <c r="P30" s="7">
        <v>0.5</v>
      </c>
      <c r="Q30" s="52">
        <f t="shared" si="0"/>
        <v>0.5</v>
      </c>
      <c r="R30" s="7">
        <v>13.4</v>
      </c>
      <c r="S30" s="7">
        <v>112</v>
      </c>
      <c r="T30" s="16">
        <f t="shared" si="1"/>
        <v>33</v>
      </c>
      <c r="U30" s="7">
        <v>95</v>
      </c>
      <c r="V30" s="16">
        <f t="shared" si="2"/>
        <v>3135</v>
      </c>
      <c r="W30" s="7">
        <v>7</v>
      </c>
      <c r="X30" s="54" t="s">
        <v>46</v>
      </c>
      <c r="Y30" s="54" t="s">
        <v>50</v>
      </c>
      <c r="Z30" s="54" t="s">
        <v>78</v>
      </c>
      <c r="AA30" s="54" t="s">
        <v>55</v>
      </c>
      <c r="AB30" s="39" t="s">
        <v>158</v>
      </c>
      <c r="AP30" s="27"/>
      <c r="AR30" s="27"/>
    </row>
    <row r="31" spans="1:48" x14ac:dyDescent="0.15">
      <c r="A31" s="15" t="s">
        <v>156</v>
      </c>
      <c r="B31" s="15" t="s">
        <v>157</v>
      </c>
      <c r="C31" s="15">
        <v>2019</v>
      </c>
      <c r="D31" s="37" t="s">
        <v>165</v>
      </c>
      <c r="E31" s="7" t="s">
        <v>139</v>
      </c>
      <c r="F31" s="7" t="s">
        <v>145</v>
      </c>
      <c r="G31" s="7" t="s">
        <v>36</v>
      </c>
      <c r="H31" s="54" t="s">
        <v>164</v>
      </c>
      <c r="I31" s="53" t="s">
        <v>159</v>
      </c>
      <c r="J31" s="15" t="s">
        <v>38</v>
      </c>
      <c r="K31" s="7" t="s">
        <v>161</v>
      </c>
      <c r="L31" s="7">
        <v>3</v>
      </c>
      <c r="N31" s="7">
        <v>1</v>
      </c>
      <c r="O31" s="7">
        <v>0.5</v>
      </c>
      <c r="P31" s="7">
        <v>0.5</v>
      </c>
      <c r="Q31" s="52">
        <f t="shared" si="0"/>
        <v>0.5</v>
      </c>
      <c r="R31" s="7">
        <v>14.6</v>
      </c>
      <c r="S31" s="7">
        <v>102</v>
      </c>
      <c r="T31" s="16">
        <f t="shared" si="1"/>
        <v>33</v>
      </c>
      <c r="U31" s="7">
        <v>95</v>
      </c>
      <c r="V31" s="16">
        <f t="shared" si="2"/>
        <v>3135</v>
      </c>
      <c r="W31" s="7">
        <v>7</v>
      </c>
      <c r="X31" s="54" t="s">
        <v>46</v>
      </c>
      <c r="Y31" s="54" t="s">
        <v>50</v>
      </c>
      <c r="Z31" s="54" t="s">
        <v>78</v>
      </c>
      <c r="AA31" s="54" t="s">
        <v>55</v>
      </c>
      <c r="AB31" s="39" t="s">
        <v>158</v>
      </c>
      <c r="AP31" s="27"/>
      <c r="AR31" s="27"/>
    </row>
    <row r="32" spans="1:48" x14ac:dyDescent="0.15">
      <c r="A32" s="15" t="s">
        <v>156</v>
      </c>
      <c r="B32" s="15" t="s">
        <v>157</v>
      </c>
      <c r="C32" s="15">
        <v>2019</v>
      </c>
      <c r="D32" s="37" t="s">
        <v>165</v>
      </c>
      <c r="E32" s="7" t="s">
        <v>139</v>
      </c>
      <c r="F32" s="7" t="s">
        <v>145</v>
      </c>
      <c r="G32" s="7" t="s">
        <v>36</v>
      </c>
      <c r="H32" s="15" t="s">
        <v>160</v>
      </c>
      <c r="I32" s="7" t="s">
        <v>159</v>
      </c>
      <c r="J32" s="15" t="s">
        <v>38</v>
      </c>
      <c r="K32" s="7" t="s">
        <v>161</v>
      </c>
      <c r="L32" s="7">
        <v>1</v>
      </c>
      <c r="N32" s="7">
        <v>1</v>
      </c>
      <c r="O32" s="7">
        <v>0.5</v>
      </c>
      <c r="P32" s="7">
        <v>0.5</v>
      </c>
      <c r="Q32" s="52">
        <f t="shared" si="0"/>
        <v>0.5</v>
      </c>
      <c r="R32" s="7">
        <v>17.8</v>
      </c>
      <c r="S32" s="7">
        <v>119</v>
      </c>
      <c r="T32" s="16">
        <f t="shared" si="1"/>
        <v>30</v>
      </c>
      <c r="U32" s="7">
        <v>95</v>
      </c>
      <c r="V32" s="16">
        <f t="shared" si="2"/>
        <v>2850</v>
      </c>
      <c r="W32" s="7">
        <v>9</v>
      </c>
      <c r="X32" s="54" t="s">
        <v>46</v>
      </c>
      <c r="Y32" s="54" t="s">
        <v>50</v>
      </c>
      <c r="Z32" s="54" t="s">
        <v>78</v>
      </c>
      <c r="AA32" s="54" t="s">
        <v>55</v>
      </c>
      <c r="AB32" s="39" t="s">
        <v>158</v>
      </c>
      <c r="AP32" s="28"/>
      <c r="AR32" s="28"/>
    </row>
    <row r="33" spans="1:44" x14ac:dyDescent="0.15">
      <c r="A33" s="15" t="s">
        <v>156</v>
      </c>
      <c r="B33" s="15" t="s">
        <v>157</v>
      </c>
      <c r="C33" s="15">
        <v>2019</v>
      </c>
      <c r="D33" s="37" t="s">
        <v>165</v>
      </c>
      <c r="E33" s="7" t="s">
        <v>139</v>
      </c>
      <c r="F33" s="7" t="s">
        <v>145</v>
      </c>
      <c r="G33" s="7" t="s">
        <v>36</v>
      </c>
      <c r="H33" s="15" t="s">
        <v>160</v>
      </c>
      <c r="I33" s="53" t="s">
        <v>159</v>
      </c>
      <c r="J33" s="15" t="s">
        <v>38</v>
      </c>
      <c r="K33" s="7" t="s">
        <v>161</v>
      </c>
      <c r="L33" s="7">
        <v>2</v>
      </c>
      <c r="N33" s="7">
        <v>1</v>
      </c>
      <c r="O33" s="7">
        <v>0.55000000000000004</v>
      </c>
      <c r="P33" s="7">
        <v>0.65</v>
      </c>
      <c r="Q33" s="52">
        <f t="shared" si="0"/>
        <v>0.60000000000000009</v>
      </c>
      <c r="R33" s="7">
        <v>14.4</v>
      </c>
      <c r="S33" s="7">
        <v>122</v>
      </c>
      <c r="T33" s="16">
        <f t="shared" si="1"/>
        <v>27</v>
      </c>
      <c r="U33" s="7">
        <v>95</v>
      </c>
      <c r="V33" s="16">
        <f t="shared" si="2"/>
        <v>2565</v>
      </c>
      <c r="W33" s="7">
        <v>9</v>
      </c>
      <c r="X33" s="15" t="s">
        <v>46</v>
      </c>
      <c r="Y33" s="54" t="s">
        <v>50</v>
      </c>
      <c r="Z33" s="54" t="s">
        <v>78</v>
      </c>
      <c r="AA33" s="54" t="s">
        <v>55</v>
      </c>
      <c r="AB33" s="39" t="s">
        <v>158</v>
      </c>
    </row>
    <row r="34" spans="1:44" x14ac:dyDescent="0.15">
      <c r="A34" s="15" t="s">
        <v>156</v>
      </c>
      <c r="B34" s="15" t="s">
        <v>157</v>
      </c>
      <c r="C34" s="15">
        <v>2019</v>
      </c>
      <c r="D34" s="37" t="s">
        <v>165</v>
      </c>
      <c r="E34" s="7" t="s">
        <v>139</v>
      </c>
      <c r="F34" s="7" t="s">
        <v>145</v>
      </c>
      <c r="G34" s="7" t="s">
        <v>36</v>
      </c>
      <c r="H34" s="15" t="s">
        <v>160</v>
      </c>
      <c r="I34" s="53" t="s">
        <v>159</v>
      </c>
      <c r="J34" s="15" t="s">
        <v>38</v>
      </c>
      <c r="K34" s="7" t="s">
        <v>161</v>
      </c>
      <c r="L34" s="7">
        <v>3</v>
      </c>
      <c r="N34" s="7">
        <v>1</v>
      </c>
      <c r="O34" s="7">
        <v>0.5</v>
      </c>
      <c r="P34" s="7">
        <v>0.5</v>
      </c>
      <c r="Q34" s="52">
        <f t="shared" si="0"/>
        <v>0.5</v>
      </c>
      <c r="R34" s="7">
        <v>15.2</v>
      </c>
      <c r="S34" s="7">
        <v>121</v>
      </c>
      <c r="T34" s="16">
        <f t="shared" si="1"/>
        <v>27</v>
      </c>
      <c r="U34" s="7">
        <v>95</v>
      </c>
      <c r="V34" s="16">
        <f t="shared" si="2"/>
        <v>2565</v>
      </c>
      <c r="W34" s="7">
        <v>9</v>
      </c>
      <c r="X34" s="15" t="s">
        <v>46</v>
      </c>
      <c r="Y34" s="54" t="s">
        <v>50</v>
      </c>
      <c r="Z34" s="54" t="s">
        <v>78</v>
      </c>
      <c r="AA34" s="54" t="s">
        <v>55</v>
      </c>
      <c r="AB34" s="39" t="s">
        <v>158</v>
      </c>
    </row>
    <row r="35" spans="1:44" x14ac:dyDescent="0.15">
      <c r="A35" s="15" t="s">
        <v>156</v>
      </c>
      <c r="B35" s="15" t="s">
        <v>157</v>
      </c>
      <c r="C35" s="15">
        <v>2019</v>
      </c>
      <c r="D35" s="37" t="s">
        <v>165</v>
      </c>
      <c r="E35" s="7" t="s">
        <v>162</v>
      </c>
      <c r="F35" s="7" t="s">
        <v>163</v>
      </c>
      <c r="G35" s="7" t="s">
        <v>36</v>
      </c>
      <c r="H35" s="15" t="s">
        <v>164</v>
      </c>
      <c r="I35" s="7" t="s">
        <v>159</v>
      </c>
      <c r="J35" s="15" t="s">
        <v>38</v>
      </c>
      <c r="K35" s="7" t="s">
        <v>161</v>
      </c>
      <c r="L35" s="7">
        <v>1</v>
      </c>
      <c r="N35" s="7">
        <v>1</v>
      </c>
      <c r="O35" s="7">
        <v>0.6</v>
      </c>
      <c r="P35" s="7">
        <v>0.65</v>
      </c>
      <c r="Q35" s="52">
        <f t="shared" si="0"/>
        <v>0.625</v>
      </c>
      <c r="R35" s="7">
        <v>14.9</v>
      </c>
      <c r="S35" s="7">
        <v>121</v>
      </c>
      <c r="T35" s="16">
        <f t="shared" si="1"/>
        <v>27</v>
      </c>
      <c r="U35" s="7">
        <v>98</v>
      </c>
      <c r="V35" s="16">
        <f t="shared" si="2"/>
        <v>2646</v>
      </c>
      <c r="W35" s="7">
        <v>5</v>
      </c>
      <c r="X35" s="15" t="s">
        <v>46</v>
      </c>
      <c r="Y35" s="54" t="s">
        <v>78</v>
      </c>
      <c r="Z35" s="54" t="s">
        <v>90</v>
      </c>
      <c r="AA35" s="54" t="s">
        <v>102</v>
      </c>
      <c r="AB35" s="39" t="s">
        <v>158</v>
      </c>
      <c r="AP35" s="28"/>
      <c r="AR35" s="28"/>
    </row>
    <row r="36" spans="1:44" x14ac:dyDescent="0.15">
      <c r="A36" s="15" t="s">
        <v>156</v>
      </c>
      <c r="B36" s="15" t="s">
        <v>157</v>
      </c>
      <c r="C36" s="15">
        <v>2019</v>
      </c>
      <c r="D36" s="37" t="s">
        <v>165</v>
      </c>
      <c r="E36" s="7" t="s">
        <v>162</v>
      </c>
      <c r="F36" s="7" t="s">
        <v>163</v>
      </c>
      <c r="G36" s="7" t="s">
        <v>36</v>
      </c>
      <c r="H36" s="54" t="s">
        <v>164</v>
      </c>
      <c r="I36" s="7" t="s">
        <v>159</v>
      </c>
      <c r="J36" s="15" t="s">
        <v>38</v>
      </c>
      <c r="K36" s="7" t="s">
        <v>161</v>
      </c>
      <c r="L36" s="7">
        <v>2</v>
      </c>
      <c r="N36" s="7">
        <v>1</v>
      </c>
      <c r="O36" s="7">
        <v>0.75</v>
      </c>
      <c r="P36" s="7">
        <v>0.7</v>
      </c>
      <c r="Q36" s="52">
        <f t="shared" si="0"/>
        <v>0.72499999999999998</v>
      </c>
      <c r="R36" s="7">
        <v>17.600000000000001</v>
      </c>
      <c r="S36" s="7">
        <v>122</v>
      </c>
      <c r="T36" s="16">
        <f t="shared" si="1"/>
        <v>27</v>
      </c>
      <c r="U36" s="7">
        <v>98</v>
      </c>
      <c r="V36" s="16">
        <f t="shared" si="2"/>
        <v>2646</v>
      </c>
      <c r="W36" s="7">
        <v>5</v>
      </c>
      <c r="X36" s="15" t="s">
        <v>46</v>
      </c>
      <c r="Y36" s="54" t="s">
        <v>78</v>
      </c>
      <c r="Z36" s="54" t="s">
        <v>90</v>
      </c>
      <c r="AA36" s="54" t="s">
        <v>102</v>
      </c>
      <c r="AB36" s="39" t="s">
        <v>158</v>
      </c>
    </row>
    <row r="37" spans="1:44" x14ac:dyDescent="0.15">
      <c r="A37" s="15" t="s">
        <v>156</v>
      </c>
      <c r="B37" s="15" t="s">
        <v>157</v>
      </c>
      <c r="C37" s="15">
        <v>2019</v>
      </c>
      <c r="D37" s="37" t="s">
        <v>165</v>
      </c>
      <c r="E37" s="7" t="s">
        <v>162</v>
      </c>
      <c r="F37" s="7" t="s">
        <v>163</v>
      </c>
      <c r="G37" s="7" t="s">
        <v>36</v>
      </c>
      <c r="H37" s="54" t="s">
        <v>164</v>
      </c>
      <c r="I37" s="7" t="s">
        <v>159</v>
      </c>
      <c r="J37" s="15" t="s">
        <v>38</v>
      </c>
      <c r="K37" s="7" t="s">
        <v>161</v>
      </c>
      <c r="L37" s="7">
        <v>3</v>
      </c>
      <c r="N37" s="7">
        <v>1</v>
      </c>
      <c r="O37" s="34">
        <v>0.7</v>
      </c>
      <c r="P37" s="34">
        <v>0.6</v>
      </c>
      <c r="Q37" s="52">
        <f t="shared" si="0"/>
        <v>0.64999999999999991</v>
      </c>
      <c r="R37" s="7">
        <v>14.2</v>
      </c>
      <c r="S37" s="7">
        <v>122</v>
      </c>
      <c r="T37" s="16">
        <f t="shared" si="1"/>
        <v>27</v>
      </c>
      <c r="U37" s="7">
        <v>98</v>
      </c>
      <c r="V37" s="16">
        <f t="shared" si="2"/>
        <v>2646</v>
      </c>
      <c r="W37" s="7">
        <v>5</v>
      </c>
      <c r="X37" s="15" t="s">
        <v>46</v>
      </c>
      <c r="Y37" s="54" t="s">
        <v>78</v>
      </c>
      <c r="Z37" s="54" t="s">
        <v>90</v>
      </c>
      <c r="AA37" s="54" t="s">
        <v>102</v>
      </c>
      <c r="AB37" s="39" t="s">
        <v>158</v>
      </c>
    </row>
    <row r="38" spans="1:44" x14ac:dyDescent="0.15">
      <c r="A38" s="15" t="s">
        <v>156</v>
      </c>
      <c r="B38" s="15" t="s">
        <v>157</v>
      </c>
      <c r="C38" s="15">
        <v>2019</v>
      </c>
      <c r="D38" s="37" t="s">
        <v>165</v>
      </c>
      <c r="E38" s="7" t="s">
        <v>162</v>
      </c>
      <c r="F38" s="7" t="s">
        <v>163</v>
      </c>
      <c r="G38" s="7" t="s">
        <v>36</v>
      </c>
      <c r="H38" s="15" t="s">
        <v>160</v>
      </c>
      <c r="I38" s="7" t="s">
        <v>159</v>
      </c>
      <c r="J38" s="15" t="s">
        <v>38</v>
      </c>
      <c r="K38" s="7" t="s">
        <v>161</v>
      </c>
      <c r="L38" s="7">
        <v>1</v>
      </c>
      <c r="N38" s="53">
        <v>1</v>
      </c>
      <c r="O38" s="34">
        <v>0.55000000000000004</v>
      </c>
      <c r="P38" s="34">
        <v>0.5</v>
      </c>
      <c r="Q38" s="52">
        <f t="shared" si="0"/>
        <v>0.52500000000000002</v>
      </c>
      <c r="R38" s="7">
        <v>14.8</v>
      </c>
      <c r="S38" s="7">
        <v>122</v>
      </c>
      <c r="T38" s="16">
        <f t="shared" si="1"/>
        <v>27</v>
      </c>
      <c r="U38" s="7">
        <v>98</v>
      </c>
      <c r="V38" s="16">
        <f t="shared" si="2"/>
        <v>2646</v>
      </c>
      <c r="W38" s="7">
        <v>5</v>
      </c>
      <c r="X38" s="15" t="s">
        <v>46</v>
      </c>
      <c r="Y38" s="54" t="s">
        <v>78</v>
      </c>
      <c r="Z38" s="54" t="s">
        <v>90</v>
      </c>
      <c r="AA38" s="54" t="s">
        <v>102</v>
      </c>
      <c r="AB38" s="39" t="s">
        <v>158</v>
      </c>
    </row>
    <row r="39" spans="1:44" x14ac:dyDescent="0.15">
      <c r="A39" s="15" t="s">
        <v>156</v>
      </c>
      <c r="B39" s="15" t="s">
        <v>157</v>
      </c>
      <c r="C39" s="15">
        <v>2019</v>
      </c>
      <c r="D39" s="37" t="s">
        <v>165</v>
      </c>
      <c r="E39" s="7" t="s">
        <v>162</v>
      </c>
      <c r="F39" s="7" t="s">
        <v>163</v>
      </c>
      <c r="G39" s="7" t="s">
        <v>36</v>
      </c>
      <c r="H39" s="54" t="s">
        <v>160</v>
      </c>
      <c r="I39" s="7" t="s">
        <v>159</v>
      </c>
      <c r="J39" s="15" t="s">
        <v>38</v>
      </c>
      <c r="K39" s="7" t="s">
        <v>161</v>
      </c>
      <c r="L39" s="7">
        <v>2</v>
      </c>
      <c r="N39" s="53">
        <v>1</v>
      </c>
      <c r="O39" s="7">
        <v>0.6</v>
      </c>
      <c r="P39" s="7">
        <v>0.6</v>
      </c>
      <c r="Q39" s="52">
        <f t="shared" si="0"/>
        <v>0.6</v>
      </c>
      <c r="R39" s="34">
        <v>15.4</v>
      </c>
      <c r="S39" s="7">
        <v>126</v>
      </c>
      <c r="T39" s="16">
        <f t="shared" si="1"/>
        <v>27</v>
      </c>
      <c r="U39" s="7">
        <v>98</v>
      </c>
      <c r="V39" s="16">
        <f t="shared" si="2"/>
        <v>2646</v>
      </c>
      <c r="W39" s="7">
        <v>5</v>
      </c>
      <c r="X39" s="15" t="s">
        <v>46</v>
      </c>
      <c r="Y39" s="54" t="s">
        <v>78</v>
      </c>
      <c r="Z39" s="54" t="s">
        <v>90</v>
      </c>
      <c r="AA39" s="54" t="s">
        <v>102</v>
      </c>
      <c r="AB39" s="39" t="s">
        <v>158</v>
      </c>
    </row>
    <row r="40" spans="1:44" x14ac:dyDescent="0.15">
      <c r="A40" s="15" t="s">
        <v>156</v>
      </c>
      <c r="B40" s="15" t="s">
        <v>157</v>
      </c>
      <c r="C40" s="15">
        <v>2019</v>
      </c>
      <c r="D40" s="37" t="s">
        <v>165</v>
      </c>
      <c r="E40" s="7" t="s">
        <v>162</v>
      </c>
      <c r="F40" s="7" t="s">
        <v>163</v>
      </c>
      <c r="G40" s="7" t="s">
        <v>36</v>
      </c>
      <c r="H40" s="54" t="s">
        <v>160</v>
      </c>
      <c r="I40" s="7" t="s">
        <v>159</v>
      </c>
      <c r="J40" s="15" t="s">
        <v>38</v>
      </c>
      <c r="K40" s="7" t="s">
        <v>161</v>
      </c>
      <c r="L40" s="7">
        <v>3</v>
      </c>
      <c r="N40" s="53">
        <v>1</v>
      </c>
      <c r="O40" s="7">
        <v>0.7</v>
      </c>
      <c r="P40" s="7">
        <v>0.7</v>
      </c>
      <c r="Q40" s="52">
        <f t="shared" si="0"/>
        <v>0.7</v>
      </c>
      <c r="R40" s="7">
        <v>13.8</v>
      </c>
      <c r="S40" s="7">
        <v>119</v>
      </c>
      <c r="T40" s="16">
        <f t="shared" si="1"/>
        <v>30</v>
      </c>
      <c r="U40" s="7">
        <v>98</v>
      </c>
      <c r="V40" s="16">
        <f t="shared" si="2"/>
        <v>2940</v>
      </c>
      <c r="W40" s="7">
        <v>5</v>
      </c>
      <c r="X40" s="15" t="s">
        <v>46</v>
      </c>
      <c r="Y40" s="54" t="s">
        <v>78</v>
      </c>
      <c r="Z40" s="54" t="s">
        <v>90</v>
      </c>
      <c r="AA40" s="54" t="s">
        <v>102</v>
      </c>
      <c r="AB40" s="39" t="s">
        <v>158</v>
      </c>
    </row>
    <row r="41" spans="1:44" ht="12.75" customHeight="1" x14ac:dyDescent="0.15">
      <c r="A41" s="15" t="s">
        <v>156</v>
      </c>
      <c r="B41" s="15" t="s">
        <v>157</v>
      </c>
      <c r="C41" s="15">
        <v>2019</v>
      </c>
      <c r="D41" s="37" t="s">
        <v>165</v>
      </c>
      <c r="E41" s="7" t="s">
        <v>130</v>
      </c>
      <c r="F41" s="7" t="s">
        <v>146</v>
      </c>
      <c r="G41" s="7" t="s">
        <v>36</v>
      </c>
      <c r="H41" s="15" t="s">
        <v>164</v>
      </c>
      <c r="I41" s="7" t="s">
        <v>159</v>
      </c>
      <c r="J41" s="15" t="s">
        <v>38</v>
      </c>
      <c r="K41" s="7" t="s">
        <v>161</v>
      </c>
      <c r="L41" s="7">
        <v>1</v>
      </c>
      <c r="N41" s="7">
        <v>1</v>
      </c>
      <c r="O41" s="7">
        <v>0.6</v>
      </c>
      <c r="P41" s="7">
        <v>0.6</v>
      </c>
      <c r="Q41" s="52">
        <f t="shared" si="0"/>
        <v>0.6</v>
      </c>
      <c r="R41" s="7">
        <v>13.8</v>
      </c>
      <c r="S41" s="7">
        <v>125</v>
      </c>
      <c r="T41" s="16">
        <f t="shared" si="1"/>
        <v>27</v>
      </c>
      <c r="U41" s="7">
        <v>105</v>
      </c>
      <c r="V41" s="16">
        <f t="shared" si="2"/>
        <v>2835</v>
      </c>
      <c r="W41" s="7">
        <v>4</v>
      </c>
      <c r="X41" s="15" t="s">
        <v>46</v>
      </c>
      <c r="Y41" s="54" t="s">
        <v>102</v>
      </c>
      <c r="Z41" s="54" t="s">
        <v>78</v>
      </c>
      <c r="AA41" s="54" t="s">
        <v>90</v>
      </c>
      <c r="AB41" s="39" t="s">
        <v>158</v>
      </c>
    </row>
    <row r="42" spans="1:44" x14ac:dyDescent="0.15">
      <c r="A42" s="15" t="s">
        <v>156</v>
      </c>
      <c r="B42" s="15" t="s">
        <v>157</v>
      </c>
      <c r="C42" s="15">
        <v>2019</v>
      </c>
      <c r="D42" s="37" t="s">
        <v>165</v>
      </c>
      <c r="E42" s="7" t="s">
        <v>130</v>
      </c>
      <c r="F42" s="7" t="s">
        <v>146</v>
      </c>
      <c r="G42" s="7" t="s">
        <v>36</v>
      </c>
      <c r="H42" s="54" t="s">
        <v>164</v>
      </c>
      <c r="I42" s="7" t="s">
        <v>159</v>
      </c>
      <c r="J42" s="15" t="s">
        <v>38</v>
      </c>
      <c r="K42" s="7" t="s">
        <v>161</v>
      </c>
      <c r="L42" s="7">
        <v>2</v>
      </c>
      <c r="N42" s="7">
        <v>1</v>
      </c>
      <c r="O42" s="7">
        <v>0.55000000000000004</v>
      </c>
      <c r="P42" s="7">
        <v>0.5</v>
      </c>
      <c r="Q42" s="52">
        <f t="shared" si="0"/>
        <v>0.52500000000000002</v>
      </c>
      <c r="R42" s="7">
        <v>13.6</v>
      </c>
      <c r="S42" s="7">
        <v>123</v>
      </c>
      <c r="T42" s="16">
        <f t="shared" si="1"/>
        <v>27</v>
      </c>
      <c r="U42" s="7">
        <v>105</v>
      </c>
      <c r="V42" s="16">
        <f t="shared" si="2"/>
        <v>2835</v>
      </c>
      <c r="W42" s="7">
        <v>4</v>
      </c>
      <c r="X42" s="15" t="s">
        <v>46</v>
      </c>
      <c r="Y42" s="54" t="s">
        <v>102</v>
      </c>
      <c r="Z42" s="54" t="s">
        <v>78</v>
      </c>
      <c r="AA42" s="54" t="s">
        <v>90</v>
      </c>
      <c r="AB42" s="39" t="s">
        <v>158</v>
      </c>
    </row>
    <row r="43" spans="1:44" x14ac:dyDescent="0.15">
      <c r="A43" s="15" t="s">
        <v>156</v>
      </c>
      <c r="B43" s="15" t="s">
        <v>157</v>
      </c>
      <c r="C43" s="15">
        <v>2019</v>
      </c>
      <c r="D43" s="37" t="s">
        <v>165</v>
      </c>
      <c r="E43" s="7" t="s">
        <v>130</v>
      </c>
      <c r="F43" s="7" t="s">
        <v>146</v>
      </c>
      <c r="G43" s="7" t="s">
        <v>36</v>
      </c>
      <c r="H43" s="54" t="s">
        <v>164</v>
      </c>
      <c r="I43" s="7" t="s">
        <v>159</v>
      </c>
      <c r="J43" s="15" t="s">
        <v>38</v>
      </c>
      <c r="K43" s="7" t="s">
        <v>161</v>
      </c>
      <c r="L43" s="7">
        <v>3</v>
      </c>
      <c r="N43" s="7">
        <v>1</v>
      </c>
      <c r="O43" s="7">
        <v>0.5</v>
      </c>
      <c r="P43" s="7">
        <v>0.5</v>
      </c>
      <c r="Q43" s="52">
        <f t="shared" si="0"/>
        <v>0.5</v>
      </c>
      <c r="R43" s="7">
        <v>18.899999999999999</v>
      </c>
      <c r="S43" s="7">
        <v>120</v>
      </c>
      <c r="T43" s="16">
        <f t="shared" si="1"/>
        <v>30</v>
      </c>
      <c r="U43" s="7">
        <v>105</v>
      </c>
      <c r="V43" s="16">
        <f t="shared" si="2"/>
        <v>3150</v>
      </c>
      <c r="W43" s="7">
        <v>4</v>
      </c>
      <c r="X43" s="15" t="s">
        <v>46</v>
      </c>
      <c r="Y43" s="54" t="s">
        <v>102</v>
      </c>
      <c r="Z43" s="54" t="s">
        <v>78</v>
      </c>
      <c r="AA43" s="54" t="s">
        <v>90</v>
      </c>
      <c r="AB43" s="39" t="s">
        <v>158</v>
      </c>
    </row>
    <row r="44" spans="1:44" x14ac:dyDescent="0.15">
      <c r="A44" s="15" t="s">
        <v>156</v>
      </c>
      <c r="B44" s="15" t="s">
        <v>157</v>
      </c>
      <c r="C44" s="15">
        <v>2019</v>
      </c>
      <c r="D44" s="37" t="s">
        <v>165</v>
      </c>
      <c r="E44" s="7" t="s">
        <v>130</v>
      </c>
      <c r="F44" s="7" t="s">
        <v>146</v>
      </c>
      <c r="G44" s="7" t="s">
        <v>36</v>
      </c>
      <c r="H44" s="15" t="s">
        <v>160</v>
      </c>
      <c r="I44" s="7" t="s">
        <v>159</v>
      </c>
      <c r="J44" s="15" t="s">
        <v>38</v>
      </c>
      <c r="K44" s="7" t="s">
        <v>161</v>
      </c>
      <c r="L44" s="7">
        <v>1</v>
      </c>
      <c r="N44" s="7">
        <v>1</v>
      </c>
      <c r="O44" s="7">
        <v>0.5</v>
      </c>
      <c r="P44" s="7">
        <v>0.5</v>
      </c>
      <c r="Q44" s="52">
        <f t="shared" si="0"/>
        <v>0.5</v>
      </c>
      <c r="R44" s="7">
        <v>16</v>
      </c>
      <c r="S44" s="7">
        <v>121</v>
      </c>
      <c r="T44" s="16">
        <f t="shared" si="1"/>
        <v>27</v>
      </c>
      <c r="U44" s="7">
        <v>135</v>
      </c>
      <c r="V44" s="16">
        <f t="shared" si="2"/>
        <v>3645</v>
      </c>
      <c r="W44" s="7">
        <v>10</v>
      </c>
      <c r="X44" s="15" t="s">
        <v>46</v>
      </c>
      <c r="Y44" s="54" t="s">
        <v>102</v>
      </c>
      <c r="Z44" s="54" t="s">
        <v>78</v>
      </c>
      <c r="AA44" s="54" t="s">
        <v>90</v>
      </c>
      <c r="AB44" s="39" t="s">
        <v>158</v>
      </c>
    </row>
    <row r="45" spans="1:44" x14ac:dyDescent="0.15">
      <c r="A45" s="15" t="s">
        <v>156</v>
      </c>
      <c r="B45" s="15" t="s">
        <v>157</v>
      </c>
      <c r="C45" s="15">
        <v>2019</v>
      </c>
      <c r="D45" s="37" t="s">
        <v>165</v>
      </c>
      <c r="E45" s="7" t="s">
        <v>130</v>
      </c>
      <c r="F45" s="7" t="s">
        <v>146</v>
      </c>
      <c r="G45" s="7" t="s">
        <v>36</v>
      </c>
      <c r="H45" s="15" t="s">
        <v>160</v>
      </c>
      <c r="I45" s="7" t="s">
        <v>159</v>
      </c>
      <c r="J45" s="15" t="s">
        <v>38</v>
      </c>
      <c r="K45" s="7" t="s">
        <v>161</v>
      </c>
      <c r="L45" s="7">
        <v>2</v>
      </c>
      <c r="N45" s="7">
        <v>1</v>
      </c>
      <c r="O45" s="7">
        <v>0.5</v>
      </c>
      <c r="P45" s="7">
        <v>0.5</v>
      </c>
      <c r="Q45" s="52">
        <f t="shared" si="0"/>
        <v>0.5</v>
      </c>
      <c r="R45" s="7">
        <v>15.3</v>
      </c>
      <c r="S45" s="7">
        <v>117</v>
      </c>
      <c r="T45" s="16">
        <f t="shared" si="1"/>
        <v>30</v>
      </c>
      <c r="U45" s="7">
        <v>135</v>
      </c>
      <c r="V45" s="16">
        <f t="shared" si="2"/>
        <v>4050</v>
      </c>
      <c r="W45" s="7">
        <v>10</v>
      </c>
      <c r="X45" s="15" t="s">
        <v>46</v>
      </c>
      <c r="Y45" s="54" t="s">
        <v>102</v>
      </c>
      <c r="Z45" s="54" t="s">
        <v>78</v>
      </c>
      <c r="AA45" s="54" t="s">
        <v>90</v>
      </c>
      <c r="AB45" s="39" t="s">
        <v>158</v>
      </c>
    </row>
    <row r="46" spans="1:44" x14ac:dyDescent="0.15">
      <c r="A46" s="15" t="s">
        <v>156</v>
      </c>
      <c r="B46" s="15" t="s">
        <v>157</v>
      </c>
      <c r="C46" s="15">
        <v>2019</v>
      </c>
      <c r="D46" s="37" t="s">
        <v>165</v>
      </c>
      <c r="E46" s="7" t="s">
        <v>130</v>
      </c>
      <c r="F46" s="7" t="s">
        <v>146</v>
      </c>
      <c r="G46" s="7" t="s">
        <v>36</v>
      </c>
      <c r="H46" s="15" t="s">
        <v>160</v>
      </c>
      <c r="I46" s="7" t="s">
        <v>159</v>
      </c>
      <c r="J46" s="15" t="s">
        <v>38</v>
      </c>
      <c r="K46" s="7" t="s">
        <v>161</v>
      </c>
      <c r="L46" s="7">
        <v>3</v>
      </c>
      <c r="N46" s="7">
        <v>1</v>
      </c>
      <c r="O46" s="7">
        <v>0.5</v>
      </c>
      <c r="P46" s="34">
        <v>0.5</v>
      </c>
      <c r="Q46" s="52">
        <f t="shared" si="0"/>
        <v>0.5</v>
      </c>
      <c r="R46" s="7">
        <v>18.7</v>
      </c>
      <c r="S46" s="7">
        <v>121</v>
      </c>
      <c r="T46" s="16">
        <f t="shared" si="1"/>
        <v>27</v>
      </c>
      <c r="U46" s="7">
        <v>135</v>
      </c>
      <c r="V46" s="16">
        <f t="shared" si="2"/>
        <v>3645</v>
      </c>
      <c r="W46" s="7">
        <v>10</v>
      </c>
      <c r="X46" s="15" t="s">
        <v>46</v>
      </c>
      <c r="Y46" s="54" t="s">
        <v>102</v>
      </c>
      <c r="Z46" s="54" t="s">
        <v>78</v>
      </c>
      <c r="AA46" s="54" t="s">
        <v>90</v>
      </c>
      <c r="AB46" s="39" t="s">
        <v>158</v>
      </c>
    </row>
    <row r="47" spans="1:44" x14ac:dyDescent="0.15">
      <c r="A47" s="15" t="s">
        <v>156</v>
      </c>
      <c r="B47" s="15" t="s">
        <v>157</v>
      </c>
      <c r="C47" s="15">
        <v>2019</v>
      </c>
      <c r="D47" s="37" t="s">
        <v>165</v>
      </c>
      <c r="E47" s="7" t="s">
        <v>132</v>
      </c>
      <c r="F47" s="7" t="s">
        <v>147</v>
      </c>
      <c r="G47" s="7" t="s">
        <v>36</v>
      </c>
      <c r="H47" s="15" t="s">
        <v>164</v>
      </c>
      <c r="I47" s="7" t="s">
        <v>159</v>
      </c>
      <c r="J47" s="15" t="s">
        <v>38</v>
      </c>
      <c r="K47" s="7" t="s">
        <v>161</v>
      </c>
      <c r="L47" s="7">
        <v>1</v>
      </c>
      <c r="N47" s="7">
        <v>1</v>
      </c>
      <c r="O47" s="7">
        <v>0.6</v>
      </c>
      <c r="P47" s="7">
        <v>0.6</v>
      </c>
      <c r="Q47" s="52">
        <f t="shared" si="0"/>
        <v>0.6</v>
      </c>
      <c r="R47" s="7">
        <v>14.6</v>
      </c>
      <c r="S47" s="7">
        <v>127</v>
      </c>
      <c r="T47" s="16">
        <f t="shared" si="1"/>
        <v>27</v>
      </c>
      <c r="U47" s="7">
        <v>138</v>
      </c>
      <c r="V47" s="16">
        <f t="shared" si="2"/>
        <v>3726</v>
      </c>
      <c r="W47" s="7">
        <v>5</v>
      </c>
      <c r="X47" s="15" t="s">
        <v>46</v>
      </c>
      <c r="Y47" s="54" t="s">
        <v>78</v>
      </c>
      <c r="Z47" s="54" t="s">
        <v>102</v>
      </c>
      <c r="AA47" s="54" t="s">
        <v>50</v>
      </c>
      <c r="AB47" s="39" t="s">
        <v>158</v>
      </c>
    </row>
    <row r="48" spans="1:44" x14ac:dyDescent="0.15">
      <c r="A48" s="15" t="s">
        <v>156</v>
      </c>
      <c r="B48" s="15" t="s">
        <v>157</v>
      </c>
      <c r="C48" s="15">
        <v>2019</v>
      </c>
      <c r="D48" s="37" t="s">
        <v>165</v>
      </c>
      <c r="E48" s="7" t="s">
        <v>132</v>
      </c>
      <c r="F48" s="7" t="s">
        <v>147</v>
      </c>
      <c r="G48" s="7" t="s">
        <v>36</v>
      </c>
      <c r="H48" s="15" t="s">
        <v>164</v>
      </c>
      <c r="I48" s="7" t="s">
        <v>159</v>
      </c>
      <c r="J48" s="15" t="s">
        <v>38</v>
      </c>
      <c r="K48" s="7" t="s">
        <v>161</v>
      </c>
      <c r="L48" s="7">
        <v>2</v>
      </c>
      <c r="N48" s="7">
        <v>1</v>
      </c>
      <c r="O48" s="7">
        <v>0.6</v>
      </c>
      <c r="P48" s="7">
        <v>0.55000000000000004</v>
      </c>
      <c r="Q48" s="52">
        <f t="shared" si="0"/>
        <v>0.57499999999999996</v>
      </c>
      <c r="R48" s="7">
        <v>14.6</v>
      </c>
      <c r="S48" s="7">
        <v>134</v>
      </c>
      <c r="T48" s="16">
        <f t="shared" si="1"/>
        <v>25</v>
      </c>
      <c r="U48" s="7">
        <v>138</v>
      </c>
      <c r="V48" s="16">
        <f t="shared" si="2"/>
        <v>3450</v>
      </c>
      <c r="W48" s="7">
        <v>5</v>
      </c>
      <c r="X48" s="15" t="s">
        <v>46</v>
      </c>
      <c r="Y48" s="54" t="s">
        <v>78</v>
      </c>
      <c r="Z48" s="54" t="s">
        <v>102</v>
      </c>
      <c r="AA48" s="54" t="s">
        <v>50</v>
      </c>
      <c r="AB48" s="39" t="s">
        <v>158</v>
      </c>
    </row>
    <row r="49" spans="1:29" x14ac:dyDescent="0.15">
      <c r="A49" s="15" t="s">
        <v>156</v>
      </c>
      <c r="B49" s="15" t="s">
        <v>157</v>
      </c>
      <c r="C49" s="15">
        <v>2019</v>
      </c>
      <c r="D49" s="37" t="s">
        <v>165</v>
      </c>
      <c r="E49" s="7" t="s">
        <v>132</v>
      </c>
      <c r="F49" s="7" t="s">
        <v>147</v>
      </c>
      <c r="G49" s="7" t="s">
        <v>36</v>
      </c>
      <c r="H49" s="15" t="s">
        <v>164</v>
      </c>
      <c r="I49" s="7" t="s">
        <v>159</v>
      </c>
      <c r="J49" s="15" t="s">
        <v>38</v>
      </c>
      <c r="K49" s="7" t="s">
        <v>161</v>
      </c>
      <c r="L49" s="7">
        <v>3</v>
      </c>
      <c r="N49" s="7">
        <v>1</v>
      </c>
      <c r="O49" s="7">
        <v>0.5</v>
      </c>
      <c r="P49" s="34">
        <v>0.5</v>
      </c>
      <c r="Q49" s="52">
        <f t="shared" si="0"/>
        <v>0.5</v>
      </c>
      <c r="R49" s="7">
        <v>14.5</v>
      </c>
      <c r="S49" s="7">
        <v>126</v>
      </c>
      <c r="T49" s="16">
        <f t="shared" si="1"/>
        <v>27</v>
      </c>
      <c r="U49" s="7">
        <v>138</v>
      </c>
      <c r="V49" s="16">
        <f t="shared" si="2"/>
        <v>3726</v>
      </c>
      <c r="W49" s="7">
        <v>5</v>
      </c>
      <c r="X49" s="15" t="s">
        <v>46</v>
      </c>
      <c r="Y49" s="54" t="s">
        <v>78</v>
      </c>
      <c r="Z49" s="54" t="s">
        <v>102</v>
      </c>
      <c r="AA49" s="54" t="s">
        <v>50</v>
      </c>
      <c r="AB49" s="39" t="s">
        <v>158</v>
      </c>
    </row>
    <row r="50" spans="1:29" x14ac:dyDescent="0.15">
      <c r="A50" s="15" t="s">
        <v>156</v>
      </c>
      <c r="B50" s="15" t="s">
        <v>157</v>
      </c>
      <c r="C50" s="15">
        <v>2019</v>
      </c>
      <c r="D50" s="37" t="s">
        <v>165</v>
      </c>
      <c r="E50" s="7" t="s">
        <v>132</v>
      </c>
      <c r="F50" s="7" t="s">
        <v>147</v>
      </c>
      <c r="G50" s="7" t="s">
        <v>36</v>
      </c>
      <c r="H50" s="15" t="s">
        <v>160</v>
      </c>
      <c r="I50" s="7" t="s">
        <v>159</v>
      </c>
      <c r="J50" s="15" t="s">
        <v>38</v>
      </c>
      <c r="K50" s="7" t="s">
        <v>161</v>
      </c>
      <c r="L50" s="7">
        <v>1</v>
      </c>
      <c r="N50" s="7">
        <v>1</v>
      </c>
      <c r="O50" s="7">
        <v>0.5</v>
      </c>
      <c r="P50" s="7">
        <v>0.5</v>
      </c>
      <c r="Q50" s="52">
        <f t="shared" si="0"/>
        <v>0.5</v>
      </c>
      <c r="R50" s="7">
        <v>14.9</v>
      </c>
      <c r="S50" s="7">
        <v>133</v>
      </c>
      <c r="T50" s="16">
        <f t="shared" si="1"/>
        <v>25</v>
      </c>
      <c r="U50" s="7">
        <v>138</v>
      </c>
      <c r="V50" s="16">
        <f t="shared" si="2"/>
        <v>3450</v>
      </c>
      <c r="W50" s="7">
        <v>4</v>
      </c>
      <c r="X50" s="15" t="s">
        <v>46</v>
      </c>
      <c r="Y50" s="54" t="s">
        <v>78</v>
      </c>
      <c r="Z50" s="54" t="s">
        <v>102</v>
      </c>
      <c r="AA50" s="54" t="s">
        <v>50</v>
      </c>
      <c r="AB50" s="39" t="s">
        <v>158</v>
      </c>
    </row>
    <row r="51" spans="1:29" x14ac:dyDescent="0.15">
      <c r="A51" s="15" t="s">
        <v>156</v>
      </c>
      <c r="B51" s="15" t="s">
        <v>157</v>
      </c>
      <c r="C51" s="15">
        <v>2019</v>
      </c>
      <c r="D51" s="37" t="s">
        <v>165</v>
      </c>
      <c r="E51" s="7" t="s">
        <v>132</v>
      </c>
      <c r="F51" s="7" t="s">
        <v>147</v>
      </c>
      <c r="G51" s="7" t="s">
        <v>36</v>
      </c>
      <c r="H51" s="15" t="s">
        <v>160</v>
      </c>
      <c r="I51" s="7" t="s">
        <v>159</v>
      </c>
      <c r="J51" s="15" t="s">
        <v>38</v>
      </c>
      <c r="K51" s="7" t="s">
        <v>161</v>
      </c>
      <c r="L51" s="7">
        <v>2</v>
      </c>
      <c r="N51" s="7">
        <v>1</v>
      </c>
      <c r="O51" s="7">
        <v>0.5</v>
      </c>
      <c r="P51" s="7">
        <v>0.5</v>
      </c>
      <c r="Q51" s="52">
        <f t="shared" si="0"/>
        <v>0.5</v>
      </c>
      <c r="R51" s="7">
        <v>14.5</v>
      </c>
      <c r="S51" s="7">
        <v>134</v>
      </c>
      <c r="T51" s="16">
        <f t="shared" si="1"/>
        <v>25</v>
      </c>
      <c r="U51" s="7">
        <v>138</v>
      </c>
      <c r="V51" s="16">
        <f t="shared" si="2"/>
        <v>3450</v>
      </c>
      <c r="W51" s="7">
        <v>4</v>
      </c>
      <c r="X51" s="15" t="s">
        <v>46</v>
      </c>
      <c r="Y51" s="54" t="s">
        <v>78</v>
      </c>
      <c r="Z51" s="54" t="s">
        <v>102</v>
      </c>
      <c r="AA51" s="54" t="s">
        <v>50</v>
      </c>
      <c r="AB51" s="39" t="s">
        <v>158</v>
      </c>
    </row>
    <row r="52" spans="1:29" x14ac:dyDescent="0.15">
      <c r="A52" s="15" t="s">
        <v>156</v>
      </c>
      <c r="B52" s="15" t="s">
        <v>157</v>
      </c>
      <c r="C52" s="15">
        <v>2019</v>
      </c>
      <c r="D52" s="37" t="s">
        <v>165</v>
      </c>
      <c r="E52" s="7" t="s">
        <v>132</v>
      </c>
      <c r="F52" s="7" t="s">
        <v>147</v>
      </c>
      <c r="G52" s="7" t="s">
        <v>36</v>
      </c>
      <c r="H52" s="15" t="s">
        <v>160</v>
      </c>
      <c r="I52" s="7" t="s">
        <v>159</v>
      </c>
      <c r="J52" s="15" t="s">
        <v>38</v>
      </c>
      <c r="K52" s="7" t="s">
        <v>161</v>
      </c>
      <c r="L52" s="7">
        <v>3</v>
      </c>
      <c r="N52" s="7">
        <v>1</v>
      </c>
      <c r="O52" s="7">
        <v>0.5</v>
      </c>
      <c r="P52" s="7">
        <v>0.5</v>
      </c>
      <c r="Q52" s="52">
        <f t="shared" si="0"/>
        <v>0.5</v>
      </c>
      <c r="R52" s="7">
        <v>15</v>
      </c>
      <c r="S52" s="7">
        <v>132</v>
      </c>
      <c r="T52" s="16">
        <f t="shared" si="1"/>
        <v>25</v>
      </c>
      <c r="U52" s="7">
        <v>138</v>
      </c>
      <c r="V52" s="16">
        <f t="shared" si="2"/>
        <v>3450</v>
      </c>
      <c r="W52" s="7">
        <v>4</v>
      </c>
      <c r="X52" s="15" t="s">
        <v>46</v>
      </c>
      <c r="Y52" s="54" t="s">
        <v>78</v>
      </c>
      <c r="Z52" s="54" t="s">
        <v>102</v>
      </c>
      <c r="AA52" s="54" t="s">
        <v>50</v>
      </c>
      <c r="AB52" s="39" t="s">
        <v>158</v>
      </c>
    </row>
    <row r="53" spans="1:29" x14ac:dyDescent="0.15">
      <c r="A53" s="15" t="s">
        <v>156</v>
      </c>
      <c r="B53" s="15" t="s">
        <v>157</v>
      </c>
      <c r="C53" s="15">
        <v>2019</v>
      </c>
      <c r="D53" s="37" t="s">
        <v>165</v>
      </c>
      <c r="E53" s="7" t="s">
        <v>140</v>
      </c>
      <c r="F53" s="7" t="s">
        <v>148</v>
      </c>
      <c r="G53" s="7" t="s">
        <v>36</v>
      </c>
      <c r="H53" s="15" t="s">
        <v>164</v>
      </c>
      <c r="I53" s="7" t="s">
        <v>159</v>
      </c>
      <c r="J53" s="15" t="s">
        <v>38</v>
      </c>
      <c r="K53" s="7" t="s">
        <v>161</v>
      </c>
      <c r="L53" s="7">
        <v>1</v>
      </c>
      <c r="N53" s="7">
        <v>1</v>
      </c>
      <c r="O53" s="7">
        <v>0.6</v>
      </c>
      <c r="P53" s="7">
        <v>0.65</v>
      </c>
      <c r="Q53" s="52">
        <f t="shared" si="0"/>
        <v>0.625</v>
      </c>
      <c r="R53" s="7">
        <v>14.1</v>
      </c>
      <c r="S53" s="7">
        <v>88</v>
      </c>
      <c r="T53" s="16">
        <f t="shared" si="1"/>
        <v>36</v>
      </c>
      <c r="U53" s="7">
        <v>84</v>
      </c>
      <c r="V53" s="16">
        <f t="shared" si="2"/>
        <v>3024</v>
      </c>
      <c r="W53" s="7">
        <v>4</v>
      </c>
      <c r="X53" s="15" t="s">
        <v>46</v>
      </c>
      <c r="Y53" s="54" t="s">
        <v>78</v>
      </c>
      <c r="Z53" s="54" t="s">
        <v>102</v>
      </c>
      <c r="AA53" s="54" t="s">
        <v>50</v>
      </c>
      <c r="AB53" s="39" t="s">
        <v>158</v>
      </c>
      <c r="AC53" s="36"/>
    </row>
    <row r="54" spans="1:29" x14ac:dyDescent="0.15">
      <c r="A54" s="15" t="s">
        <v>156</v>
      </c>
      <c r="B54" s="15" t="s">
        <v>157</v>
      </c>
      <c r="C54" s="15">
        <v>2019</v>
      </c>
      <c r="D54" s="37" t="s">
        <v>165</v>
      </c>
      <c r="E54" s="7" t="s">
        <v>140</v>
      </c>
      <c r="F54" s="7" t="s">
        <v>148</v>
      </c>
      <c r="G54" s="7" t="s">
        <v>36</v>
      </c>
      <c r="H54" s="15" t="s">
        <v>164</v>
      </c>
      <c r="I54" s="7" t="s">
        <v>159</v>
      </c>
      <c r="J54" s="15" t="s">
        <v>38</v>
      </c>
      <c r="K54" s="7" t="s">
        <v>161</v>
      </c>
      <c r="L54" s="7">
        <v>2</v>
      </c>
      <c r="N54" s="7">
        <v>1</v>
      </c>
      <c r="O54" s="7">
        <v>0.65</v>
      </c>
      <c r="P54" s="7">
        <v>0.65</v>
      </c>
      <c r="Q54" s="52">
        <f t="shared" si="0"/>
        <v>0.65</v>
      </c>
      <c r="R54" s="7">
        <v>13.5</v>
      </c>
      <c r="S54" s="7">
        <v>92</v>
      </c>
      <c r="T54" s="16">
        <f t="shared" si="1"/>
        <v>36</v>
      </c>
      <c r="U54" s="7">
        <v>84</v>
      </c>
      <c r="V54" s="16">
        <f t="shared" si="2"/>
        <v>3024</v>
      </c>
      <c r="W54" s="7">
        <v>4</v>
      </c>
      <c r="X54" s="15" t="s">
        <v>46</v>
      </c>
      <c r="Y54" s="54" t="s">
        <v>78</v>
      </c>
      <c r="Z54" s="54" t="s">
        <v>102</v>
      </c>
      <c r="AA54" s="54" t="s">
        <v>50</v>
      </c>
      <c r="AB54" s="39" t="s">
        <v>158</v>
      </c>
      <c r="AC54" s="36"/>
    </row>
    <row r="55" spans="1:29" x14ac:dyDescent="0.15">
      <c r="A55" s="15" t="s">
        <v>156</v>
      </c>
      <c r="B55" s="15" t="s">
        <v>157</v>
      </c>
      <c r="C55" s="15">
        <v>2019</v>
      </c>
      <c r="D55" s="37" t="s">
        <v>165</v>
      </c>
      <c r="E55" s="7" t="s">
        <v>140</v>
      </c>
      <c r="F55" s="7" t="s">
        <v>148</v>
      </c>
      <c r="G55" s="7" t="s">
        <v>36</v>
      </c>
      <c r="H55" s="15" t="s">
        <v>164</v>
      </c>
      <c r="I55" s="7" t="s">
        <v>159</v>
      </c>
      <c r="J55" s="15" t="s">
        <v>38</v>
      </c>
      <c r="K55" s="7" t="s">
        <v>161</v>
      </c>
      <c r="L55" s="7">
        <v>3</v>
      </c>
      <c r="N55" s="7">
        <v>1</v>
      </c>
      <c r="O55" s="7">
        <v>0.65</v>
      </c>
      <c r="P55" s="7">
        <v>0.6</v>
      </c>
      <c r="Q55" s="52">
        <f t="shared" si="0"/>
        <v>0.625</v>
      </c>
      <c r="R55" s="7">
        <v>12.3</v>
      </c>
      <c r="S55" s="7">
        <v>84</v>
      </c>
      <c r="T55" s="16">
        <f t="shared" si="1"/>
        <v>36</v>
      </c>
      <c r="U55" s="7">
        <v>84</v>
      </c>
      <c r="V55" s="16">
        <f t="shared" si="2"/>
        <v>3024</v>
      </c>
      <c r="W55" s="7">
        <v>4</v>
      </c>
      <c r="X55" s="15" t="s">
        <v>46</v>
      </c>
      <c r="Y55" s="54" t="s">
        <v>78</v>
      </c>
      <c r="Z55" s="54" t="s">
        <v>102</v>
      </c>
      <c r="AA55" s="54" t="s">
        <v>50</v>
      </c>
      <c r="AB55" s="39" t="s">
        <v>158</v>
      </c>
      <c r="AC55" s="36"/>
    </row>
    <row r="56" spans="1:29" x14ac:dyDescent="0.15">
      <c r="A56" s="15" t="s">
        <v>156</v>
      </c>
      <c r="B56" s="15" t="s">
        <v>157</v>
      </c>
      <c r="C56" s="15">
        <v>2019</v>
      </c>
      <c r="D56" s="37" t="s">
        <v>165</v>
      </c>
      <c r="E56" s="7" t="s">
        <v>140</v>
      </c>
      <c r="F56" s="7" t="s">
        <v>148</v>
      </c>
      <c r="G56" s="7" t="s">
        <v>36</v>
      </c>
      <c r="H56" s="15" t="s">
        <v>160</v>
      </c>
      <c r="I56" s="7" t="s">
        <v>159</v>
      </c>
      <c r="J56" s="15" t="s">
        <v>38</v>
      </c>
      <c r="K56" s="7" t="s">
        <v>161</v>
      </c>
      <c r="L56" s="7">
        <v>1</v>
      </c>
      <c r="N56" s="7">
        <v>2</v>
      </c>
      <c r="O56" s="7">
        <v>0.5</v>
      </c>
      <c r="P56" s="7">
        <v>0.5</v>
      </c>
      <c r="Q56" s="52">
        <f t="shared" si="0"/>
        <v>0.5</v>
      </c>
      <c r="R56" s="7">
        <v>19.399999999999999</v>
      </c>
      <c r="S56" s="7">
        <v>97</v>
      </c>
      <c r="T56" s="16">
        <f t="shared" si="1"/>
        <v>36</v>
      </c>
      <c r="U56" s="7">
        <v>138</v>
      </c>
      <c r="V56" s="16">
        <f t="shared" si="2"/>
        <v>2484</v>
      </c>
      <c r="W56" s="7">
        <v>4</v>
      </c>
      <c r="X56" s="15" t="s">
        <v>46</v>
      </c>
      <c r="Y56" s="54" t="s">
        <v>78</v>
      </c>
      <c r="Z56" s="54" t="s">
        <v>102</v>
      </c>
      <c r="AA56" s="54" t="s">
        <v>50</v>
      </c>
      <c r="AB56" s="39" t="s">
        <v>158</v>
      </c>
    </row>
    <row r="57" spans="1:29" x14ac:dyDescent="0.15">
      <c r="A57" s="15" t="s">
        <v>156</v>
      </c>
      <c r="B57" s="15" t="s">
        <v>157</v>
      </c>
      <c r="C57" s="15">
        <v>2019</v>
      </c>
      <c r="D57" s="37" t="s">
        <v>165</v>
      </c>
      <c r="E57" s="7" t="s">
        <v>140</v>
      </c>
      <c r="F57" s="7" t="s">
        <v>148</v>
      </c>
      <c r="G57" s="7" t="s">
        <v>36</v>
      </c>
      <c r="H57" s="54" t="s">
        <v>160</v>
      </c>
      <c r="I57" s="7" t="s">
        <v>159</v>
      </c>
      <c r="J57" s="15" t="s">
        <v>38</v>
      </c>
      <c r="K57" s="7" t="s">
        <v>161</v>
      </c>
      <c r="L57" s="7">
        <v>2</v>
      </c>
      <c r="N57" s="7">
        <v>2</v>
      </c>
      <c r="O57" s="7">
        <v>0.75</v>
      </c>
      <c r="P57" s="7">
        <v>0.9</v>
      </c>
      <c r="Q57" s="52">
        <f t="shared" si="0"/>
        <v>0.82499999999999996</v>
      </c>
      <c r="R57" s="7">
        <v>12.8</v>
      </c>
      <c r="S57" s="7">
        <v>97</v>
      </c>
      <c r="T57" s="16">
        <f t="shared" si="1"/>
        <v>36</v>
      </c>
      <c r="U57" s="7">
        <v>138</v>
      </c>
      <c r="V57" s="16">
        <f t="shared" si="2"/>
        <v>2484</v>
      </c>
      <c r="W57" s="7">
        <v>4</v>
      </c>
      <c r="X57" s="15" t="s">
        <v>46</v>
      </c>
      <c r="Y57" s="54" t="s">
        <v>78</v>
      </c>
      <c r="Z57" s="54" t="s">
        <v>102</v>
      </c>
      <c r="AA57" s="54" t="s">
        <v>50</v>
      </c>
      <c r="AB57" s="39" t="s">
        <v>158</v>
      </c>
    </row>
    <row r="58" spans="1:29" x14ac:dyDescent="0.15">
      <c r="A58" s="15" t="s">
        <v>156</v>
      </c>
      <c r="B58" s="15" t="s">
        <v>157</v>
      </c>
      <c r="C58" s="15">
        <v>2019</v>
      </c>
      <c r="D58" s="37" t="s">
        <v>165</v>
      </c>
      <c r="E58" s="7" t="s">
        <v>140</v>
      </c>
      <c r="F58" s="7" t="s">
        <v>148</v>
      </c>
      <c r="G58" s="7" t="s">
        <v>36</v>
      </c>
      <c r="H58" s="54" t="s">
        <v>160</v>
      </c>
      <c r="I58" s="7" t="s">
        <v>159</v>
      </c>
      <c r="J58" s="15" t="s">
        <v>38</v>
      </c>
      <c r="K58" s="7" t="s">
        <v>161</v>
      </c>
      <c r="L58" s="7">
        <v>3</v>
      </c>
      <c r="N58" s="7">
        <v>2</v>
      </c>
      <c r="O58" s="7">
        <v>0.5</v>
      </c>
      <c r="P58" s="7">
        <v>0.5</v>
      </c>
      <c r="Q58" s="52">
        <f t="shared" si="0"/>
        <v>0.5</v>
      </c>
      <c r="R58" s="7">
        <v>17.600000000000001</v>
      </c>
      <c r="S58" s="7">
        <v>102</v>
      </c>
      <c r="T58" s="16">
        <f t="shared" si="1"/>
        <v>33</v>
      </c>
      <c r="U58" s="7">
        <v>138</v>
      </c>
      <c r="V58" s="16">
        <f t="shared" si="2"/>
        <v>2277</v>
      </c>
      <c r="W58" s="7">
        <v>4</v>
      </c>
      <c r="X58" s="15" t="s">
        <v>46</v>
      </c>
      <c r="Y58" s="54" t="s">
        <v>78</v>
      </c>
      <c r="Z58" s="54" t="s">
        <v>102</v>
      </c>
      <c r="AA58" s="54" t="s">
        <v>50</v>
      </c>
      <c r="AB58" s="39" t="s">
        <v>158</v>
      </c>
    </row>
    <row r="59" spans="1:29" x14ac:dyDescent="0.15">
      <c r="A59" s="15"/>
      <c r="B59" s="15"/>
      <c r="C59" s="15"/>
      <c r="D59" s="37"/>
      <c r="H59" s="15"/>
      <c r="J59" s="15"/>
      <c r="Q59" s="52" t="str">
        <f t="shared" si="0"/>
        <v/>
      </c>
      <c r="T59" s="16" t="str">
        <f t="shared" si="1"/>
        <v/>
      </c>
      <c r="V59" s="16" t="str">
        <f t="shared" si="2"/>
        <v/>
      </c>
      <c r="X59" s="15"/>
      <c r="Y59" s="54"/>
      <c r="Z59" s="54"/>
      <c r="AA59" s="54"/>
      <c r="AB59" s="39"/>
    </row>
    <row r="60" spans="1:29" x14ac:dyDescent="0.15">
      <c r="A60" s="15"/>
      <c r="B60" s="15"/>
      <c r="C60" s="15"/>
      <c r="D60" s="37"/>
      <c r="H60" s="15"/>
      <c r="J60" s="15"/>
      <c r="Q60" s="52" t="str">
        <f t="shared" si="0"/>
        <v/>
      </c>
      <c r="T60" s="16" t="str">
        <f>IF(H60="","",IF(OR(H60="GREEN",H60="GK"),IF(S60&gt;=$AX$2,VLOOKUP(S60,$AX$2:$AY$12,2,1),""),IF(S60&gt;=$AZ$2,VLOOKUP(S60,$AZ$2:$BA$12,2,1),"")))</f>
        <v/>
      </c>
      <c r="V60" s="16" t="str">
        <f t="shared" si="2"/>
        <v/>
      </c>
      <c r="X60" s="15"/>
      <c r="Y60" s="54"/>
      <c r="Z60" s="54"/>
      <c r="AA60" s="54"/>
      <c r="AB60" s="39"/>
    </row>
    <row r="61" spans="1:29" x14ac:dyDescent="0.15">
      <c r="A61" s="15"/>
      <c r="B61" s="15"/>
      <c r="C61" s="15"/>
      <c r="D61" s="37"/>
      <c r="H61" s="15"/>
      <c r="J61" s="15"/>
      <c r="N61" s="53"/>
      <c r="Q61" s="52" t="str">
        <f t="shared" si="0"/>
        <v/>
      </c>
      <c r="T61" s="16" t="str">
        <f>IF(H61="","",IF(OR(H61="GREEN",H61="GK"),IF(S61&gt;=$AX$2,VLOOKUP(S61,$AX$2:$AY$12,2,1),""),IF(S61&gt;=$AZ$2,VLOOKUP(S61,$AZ$2:$BA$12,2,1),"")))</f>
        <v/>
      </c>
      <c r="V61" s="16" t="str">
        <f t="shared" si="2"/>
        <v/>
      </c>
      <c r="X61" s="15"/>
      <c r="Y61" s="54"/>
      <c r="Z61" s="54"/>
      <c r="AA61" s="54"/>
      <c r="AB61" s="39"/>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B734B-D4CF-4756-B154-CF9D04664E45}">
  <dimension ref="A1:BA375"/>
  <sheetViews>
    <sheetView topLeftCell="A91" zoomScale="70" zoomScaleNormal="70" workbookViewId="0">
      <selection activeCell="AE44" sqref="AE44"/>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164</v>
      </c>
      <c r="I2" s="53" t="s">
        <v>159</v>
      </c>
      <c r="J2" s="53" t="s">
        <v>38</v>
      </c>
      <c r="K2" s="53" t="s">
        <v>161</v>
      </c>
      <c r="L2" s="53">
        <v>1</v>
      </c>
      <c r="N2" s="53">
        <v>1</v>
      </c>
      <c r="O2" s="53">
        <v>1</v>
      </c>
      <c r="P2" s="53">
        <v>1.2</v>
      </c>
      <c r="Q2" s="16">
        <f t="shared" ref="Q2:Q16" si="0">IF(OR(O2="",P2=""),"",AVERAGE(O2,P2))</f>
        <v>1.1000000000000001</v>
      </c>
      <c r="R2" s="53">
        <v>11.2</v>
      </c>
      <c r="S2" s="53">
        <v>129</v>
      </c>
      <c r="T2" s="16">
        <f t="shared" ref="T2:T65" si="1">IF(H2="","",IF(OR(H2="GREEN",H2="GK"),IF(S2&gt;=$AX$2,VLOOKUP(S2,$AX$2:$AY$10,2,1),""),IF(S2&gt;=$AZ$2,VLOOKUP(S2,$AZ$2:$BA$10,2,1),"")))</f>
        <v>25</v>
      </c>
      <c r="U2" s="53">
        <v>105</v>
      </c>
      <c r="V2" s="16">
        <f t="shared" ref="V2:V65" si="2">IF(OR(N2="",U2="",T2=""),"",U2/N2*T2)</f>
        <v>2625</v>
      </c>
      <c r="W2" s="53">
        <v>4</v>
      </c>
      <c r="X2" s="53" t="s">
        <v>46</v>
      </c>
      <c r="Y2" s="53" t="s">
        <v>102</v>
      </c>
      <c r="Z2" s="53" t="s">
        <v>78</v>
      </c>
      <c r="AA2" s="53" t="s">
        <v>69</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164</v>
      </c>
      <c r="I3" s="53" t="s">
        <v>159</v>
      </c>
      <c r="J3" s="53" t="s">
        <v>38</v>
      </c>
      <c r="K3" s="53" t="s">
        <v>161</v>
      </c>
      <c r="L3" s="53">
        <v>2</v>
      </c>
      <c r="N3" s="53">
        <v>1</v>
      </c>
      <c r="O3" s="53">
        <v>0.9</v>
      </c>
      <c r="P3" s="53">
        <v>0.85</v>
      </c>
      <c r="Q3" s="16">
        <f t="shared" si="0"/>
        <v>0.875</v>
      </c>
      <c r="R3" s="53">
        <v>12.8</v>
      </c>
      <c r="S3" s="53">
        <v>130</v>
      </c>
      <c r="T3" s="16">
        <f t="shared" si="1"/>
        <v>25</v>
      </c>
      <c r="U3" s="53">
        <v>105</v>
      </c>
      <c r="V3" s="16">
        <f t="shared" si="2"/>
        <v>2625</v>
      </c>
      <c r="W3" s="53">
        <v>4</v>
      </c>
      <c r="X3" s="53" t="s">
        <v>46</v>
      </c>
      <c r="Y3" s="53" t="s">
        <v>102</v>
      </c>
      <c r="Z3" s="53" t="s">
        <v>78</v>
      </c>
      <c r="AA3" s="53" t="s">
        <v>69</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188</v>
      </c>
      <c r="E4" s="53" t="s">
        <v>133</v>
      </c>
      <c r="F4" s="53" t="s">
        <v>184</v>
      </c>
      <c r="G4" s="53" t="s">
        <v>42</v>
      </c>
      <c r="H4" s="53" t="s">
        <v>164</v>
      </c>
      <c r="I4" s="53" t="s">
        <v>159</v>
      </c>
      <c r="J4" s="53" t="s">
        <v>38</v>
      </c>
      <c r="K4" s="53" t="s">
        <v>161</v>
      </c>
      <c r="L4" s="53">
        <v>3</v>
      </c>
      <c r="N4" s="53">
        <v>1</v>
      </c>
      <c r="O4" s="53">
        <v>0.85</v>
      </c>
      <c r="P4" s="53">
        <v>0.85</v>
      </c>
      <c r="Q4" s="16">
        <f t="shared" si="0"/>
        <v>0.85</v>
      </c>
      <c r="R4" s="53">
        <v>13</v>
      </c>
      <c r="S4" s="53">
        <v>131</v>
      </c>
      <c r="T4" s="16">
        <f t="shared" si="1"/>
        <v>25</v>
      </c>
      <c r="U4" s="53">
        <v>105</v>
      </c>
      <c r="V4" s="16">
        <f t="shared" si="2"/>
        <v>2625</v>
      </c>
      <c r="W4" s="53">
        <v>4</v>
      </c>
      <c r="X4" s="53" t="s">
        <v>46</v>
      </c>
      <c r="Y4" s="53" t="s">
        <v>102</v>
      </c>
      <c r="Z4" s="53" t="s">
        <v>78</v>
      </c>
      <c r="AA4" s="53" t="s">
        <v>69</v>
      </c>
      <c r="AB4" s="53" t="s">
        <v>158</v>
      </c>
      <c r="AE4" s="22" t="s">
        <v>34</v>
      </c>
      <c r="AG4" s="71" t="s">
        <v>186</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188</v>
      </c>
      <c r="E5" s="53" t="s">
        <v>133</v>
      </c>
      <c r="F5" s="53" t="s">
        <v>184</v>
      </c>
      <c r="G5" s="53" t="s">
        <v>42</v>
      </c>
      <c r="H5" s="53" t="s">
        <v>164</v>
      </c>
      <c r="I5" s="53" t="s">
        <v>159</v>
      </c>
      <c r="J5" s="53" t="s">
        <v>38</v>
      </c>
      <c r="K5" s="53" t="s">
        <v>161</v>
      </c>
      <c r="L5" s="53">
        <v>1</v>
      </c>
      <c r="N5" s="53">
        <v>8</v>
      </c>
      <c r="O5" s="53">
        <v>0.6</v>
      </c>
      <c r="P5" s="53">
        <v>0.5</v>
      </c>
      <c r="Q5" s="72">
        <f t="shared" si="0"/>
        <v>0.55000000000000004</v>
      </c>
      <c r="R5" s="53">
        <v>12.6</v>
      </c>
      <c r="S5" s="53">
        <v>114</v>
      </c>
      <c r="T5" s="16">
        <f t="shared" si="1"/>
        <v>30</v>
      </c>
      <c r="U5" s="53">
        <v>645</v>
      </c>
      <c r="V5" s="16">
        <f t="shared" si="2"/>
        <v>2418.75</v>
      </c>
      <c r="W5" s="53">
        <v>2</v>
      </c>
      <c r="X5" s="53" t="s">
        <v>46</v>
      </c>
      <c r="Y5" s="53" t="s">
        <v>102</v>
      </c>
      <c r="Z5" s="53" t="s">
        <v>78</v>
      </c>
      <c r="AA5" s="53" t="s">
        <v>69</v>
      </c>
      <c r="AB5" s="53" t="s">
        <v>158</v>
      </c>
      <c r="AE5" s="22" t="s">
        <v>51</v>
      </c>
      <c r="AG5" s="71" t="s">
        <v>194</v>
      </c>
      <c r="AH5" s="71" t="s">
        <v>184</v>
      </c>
      <c r="AJ5" s="28"/>
      <c r="AL5" s="73" t="s">
        <v>164</v>
      </c>
      <c r="AN5" s="73" t="s">
        <v>159</v>
      </c>
      <c r="AP5" s="23" t="s">
        <v>195</v>
      </c>
      <c r="AR5" s="23" t="s">
        <v>54</v>
      </c>
      <c r="AV5" s="23" t="s">
        <v>55</v>
      </c>
      <c r="AX5" s="24">
        <v>84</v>
      </c>
      <c r="AY5" s="25">
        <v>39</v>
      </c>
      <c r="AZ5" s="25">
        <v>84</v>
      </c>
      <c r="BA5" s="26">
        <v>36</v>
      </c>
    </row>
    <row r="6" spans="1:53" x14ac:dyDescent="0.15">
      <c r="A6" s="53" t="s">
        <v>41</v>
      </c>
      <c r="B6" s="53" t="s">
        <v>157</v>
      </c>
      <c r="C6" s="62">
        <v>2019</v>
      </c>
      <c r="D6" s="63" t="s">
        <v>188</v>
      </c>
      <c r="E6" s="53" t="s">
        <v>133</v>
      </c>
      <c r="F6" s="53" t="s">
        <v>184</v>
      </c>
      <c r="G6" s="53" t="s">
        <v>42</v>
      </c>
      <c r="H6" s="53" t="s">
        <v>164</v>
      </c>
      <c r="I6" s="53" t="s">
        <v>159</v>
      </c>
      <c r="J6" s="53" t="s">
        <v>38</v>
      </c>
      <c r="K6" s="53" t="s">
        <v>161</v>
      </c>
      <c r="L6" s="53">
        <v>2</v>
      </c>
      <c r="N6" s="53">
        <v>8</v>
      </c>
      <c r="O6" s="53">
        <v>0.5</v>
      </c>
      <c r="P6" s="53">
        <v>0.5</v>
      </c>
      <c r="Q6" s="72">
        <f t="shared" si="0"/>
        <v>0.5</v>
      </c>
      <c r="R6" s="53">
        <v>14.1</v>
      </c>
      <c r="S6" s="53">
        <v>120</v>
      </c>
      <c r="T6" s="16">
        <f t="shared" si="1"/>
        <v>30</v>
      </c>
      <c r="U6" s="53">
        <v>645</v>
      </c>
      <c r="V6" s="16">
        <f t="shared" si="2"/>
        <v>2418.75</v>
      </c>
      <c r="W6" s="53">
        <v>2</v>
      </c>
      <c r="X6" s="53" t="s">
        <v>46</v>
      </c>
      <c r="Y6" s="53" t="s">
        <v>102</v>
      </c>
      <c r="Z6" s="53" t="s">
        <v>78</v>
      </c>
      <c r="AA6" s="53" t="s">
        <v>69</v>
      </c>
      <c r="AB6" s="53" t="s">
        <v>158</v>
      </c>
      <c r="AE6" s="22" t="s">
        <v>56</v>
      </c>
      <c r="AG6" s="71" t="s">
        <v>194</v>
      </c>
      <c r="AH6" s="71" t="s">
        <v>196</v>
      </c>
      <c r="AL6" s="73" t="s">
        <v>197</v>
      </c>
      <c r="AN6" s="73" t="s">
        <v>198</v>
      </c>
      <c r="AP6" s="23" t="s">
        <v>53</v>
      </c>
      <c r="AR6" s="23" t="s">
        <v>59</v>
      </c>
      <c r="AV6" s="23" t="s">
        <v>60</v>
      </c>
      <c r="AX6" s="24">
        <v>97</v>
      </c>
      <c r="AY6" s="25">
        <v>36</v>
      </c>
      <c r="AZ6" s="25">
        <v>99</v>
      </c>
      <c r="BA6" s="26">
        <v>33</v>
      </c>
    </row>
    <row r="7" spans="1:53" x14ac:dyDescent="0.15">
      <c r="A7" s="53" t="s">
        <v>41</v>
      </c>
      <c r="B7" s="53" t="s">
        <v>157</v>
      </c>
      <c r="C7" s="62">
        <v>2019</v>
      </c>
      <c r="D7" s="63" t="s">
        <v>188</v>
      </c>
      <c r="E7" s="53" t="s">
        <v>133</v>
      </c>
      <c r="F7" s="53" t="s">
        <v>184</v>
      </c>
      <c r="G7" s="53" t="s">
        <v>42</v>
      </c>
      <c r="H7" s="53" t="s">
        <v>164</v>
      </c>
      <c r="I7" s="53" t="s">
        <v>159</v>
      </c>
      <c r="J7" s="53" t="s">
        <v>38</v>
      </c>
      <c r="K7" s="53" t="s">
        <v>161</v>
      </c>
      <c r="L7" s="53">
        <v>3</v>
      </c>
      <c r="N7" s="53">
        <v>8</v>
      </c>
      <c r="O7" s="53">
        <v>0.55000000000000004</v>
      </c>
      <c r="P7" s="53">
        <v>0.65</v>
      </c>
      <c r="Q7" s="72">
        <f t="shared" si="0"/>
        <v>0.60000000000000009</v>
      </c>
      <c r="R7" s="53">
        <v>14</v>
      </c>
      <c r="S7" s="53">
        <v>120</v>
      </c>
      <c r="T7" s="16">
        <f t="shared" si="1"/>
        <v>30</v>
      </c>
      <c r="U7" s="53">
        <v>645</v>
      </c>
      <c r="V7" s="16">
        <f t="shared" si="2"/>
        <v>2418.75</v>
      </c>
      <c r="W7" s="53">
        <v>2</v>
      </c>
      <c r="X7" s="53" t="s">
        <v>46</v>
      </c>
      <c r="Y7" s="53" t="s">
        <v>102</v>
      </c>
      <c r="Z7" s="53" t="s">
        <v>78</v>
      </c>
      <c r="AA7" s="53" t="s">
        <v>69</v>
      </c>
      <c r="AB7" s="53" t="s">
        <v>158</v>
      </c>
      <c r="AE7" s="22" t="s">
        <v>61</v>
      </c>
      <c r="AG7" s="71" t="s">
        <v>199</v>
      </c>
      <c r="AH7" s="71" t="s">
        <v>196</v>
      </c>
      <c r="AL7" s="74" t="s">
        <v>200</v>
      </c>
      <c r="AP7" s="23" t="s">
        <v>58</v>
      </c>
      <c r="AR7" s="23" t="s">
        <v>201</v>
      </c>
      <c r="AV7" s="23" t="s">
        <v>64</v>
      </c>
      <c r="AX7" s="24">
        <v>109</v>
      </c>
      <c r="AY7" s="25">
        <v>33</v>
      </c>
      <c r="AZ7" s="25">
        <v>113</v>
      </c>
      <c r="BA7" s="26">
        <v>30</v>
      </c>
    </row>
    <row r="8" spans="1:53" x14ac:dyDescent="0.15">
      <c r="A8" s="53" t="s">
        <v>41</v>
      </c>
      <c r="B8" s="53" t="s">
        <v>157</v>
      </c>
      <c r="C8" s="62">
        <v>2019</v>
      </c>
      <c r="D8" s="63" t="s">
        <v>188</v>
      </c>
      <c r="E8" s="53" t="s">
        <v>133</v>
      </c>
      <c r="F8" s="53" t="s">
        <v>184</v>
      </c>
      <c r="G8" s="53" t="s">
        <v>42</v>
      </c>
      <c r="H8" s="53" t="s">
        <v>160</v>
      </c>
      <c r="I8" s="53" t="s">
        <v>159</v>
      </c>
      <c r="J8" s="53" t="s">
        <v>38</v>
      </c>
      <c r="K8" s="53" t="s">
        <v>161</v>
      </c>
      <c r="L8" s="53">
        <v>1</v>
      </c>
      <c r="N8" s="53">
        <v>1</v>
      </c>
      <c r="O8" s="53">
        <v>0.75</v>
      </c>
      <c r="P8" s="53">
        <v>0.8</v>
      </c>
      <c r="Q8" s="75">
        <f t="shared" si="0"/>
        <v>0.77500000000000002</v>
      </c>
      <c r="R8" s="53">
        <v>12.3</v>
      </c>
      <c r="S8" s="53">
        <v>128</v>
      </c>
      <c r="T8" s="16">
        <f t="shared" si="1"/>
        <v>27</v>
      </c>
      <c r="U8" s="53">
        <v>105</v>
      </c>
      <c r="V8" s="16">
        <f t="shared" si="2"/>
        <v>2835</v>
      </c>
      <c r="W8" s="53">
        <v>2</v>
      </c>
      <c r="X8" s="53" t="s">
        <v>46</v>
      </c>
      <c r="Y8" s="53" t="s">
        <v>102</v>
      </c>
      <c r="Z8" s="53" t="s">
        <v>78</v>
      </c>
      <c r="AA8" s="53" t="s">
        <v>69</v>
      </c>
      <c r="AB8" s="53" t="s">
        <v>158</v>
      </c>
      <c r="AE8" s="22" t="s">
        <v>59</v>
      </c>
      <c r="AG8" s="71" t="s">
        <v>202</v>
      </c>
      <c r="AH8" s="71" t="s">
        <v>203</v>
      </c>
      <c r="AL8" s="74" t="s">
        <v>160</v>
      </c>
      <c r="AP8" s="23" t="s">
        <v>62</v>
      </c>
      <c r="AR8" s="23" t="s">
        <v>81</v>
      </c>
      <c r="AV8" s="23" t="s">
        <v>97</v>
      </c>
      <c r="AX8" s="24">
        <v>119</v>
      </c>
      <c r="AY8" s="25">
        <v>30</v>
      </c>
      <c r="AZ8" s="25">
        <v>121</v>
      </c>
      <c r="BA8" s="26">
        <v>27</v>
      </c>
    </row>
    <row r="9" spans="1:53" x14ac:dyDescent="0.15">
      <c r="A9" s="53" t="s">
        <v>41</v>
      </c>
      <c r="B9" s="53" t="s">
        <v>157</v>
      </c>
      <c r="C9" s="62">
        <v>2019</v>
      </c>
      <c r="D9" s="63" t="s">
        <v>188</v>
      </c>
      <c r="E9" s="53" t="s">
        <v>133</v>
      </c>
      <c r="F9" s="53" t="s">
        <v>184</v>
      </c>
      <c r="G9" s="53" t="s">
        <v>42</v>
      </c>
      <c r="H9" s="53" t="s">
        <v>160</v>
      </c>
      <c r="I9" s="53" t="s">
        <v>159</v>
      </c>
      <c r="J9" s="53" t="s">
        <v>38</v>
      </c>
      <c r="K9" s="53" t="s">
        <v>161</v>
      </c>
      <c r="L9" s="53">
        <v>2</v>
      </c>
      <c r="M9" s="76"/>
      <c r="N9" s="53">
        <v>1</v>
      </c>
      <c r="O9" s="53">
        <v>0.8</v>
      </c>
      <c r="P9" s="53">
        <v>0.8</v>
      </c>
      <c r="Q9" s="75">
        <f t="shared" si="0"/>
        <v>0.8</v>
      </c>
      <c r="R9" s="53">
        <v>15.2</v>
      </c>
      <c r="S9" s="53">
        <v>126</v>
      </c>
      <c r="T9" s="16">
        <f t="shared" si="1"/>
        <v>27</v>
      </c>
      <c r="U9" s="53">
        <v>105</v>
      </c>
      <c r="V9" s="16">
        <f t="shared" si="2"/>
        <v>2835</v>
      </c>
      <c r="W9" s="53">
        <v>2</v>
      </c>
      <c r="X9" s="53" t="s">
        <v>46</v>
      </c>
      <c r="Y9" s="53" t="s">
        <v>102</v>
      </c>
      <c r="Z9" s="53" t="s">
        <v>78</v>
      </c>
      <c r="AA9" s="53" t="s">
        <v>69</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188</v>
      </c>
      <c r="E10" s="53" t="s">
        <v>133</v>
      </c>
      <c r="F10" s="53" t="s">
        <v>184</v>
      </c>
      <c r="G10" s="53" t="s">
        <v>42</v>
      </c>
      <c r="H10" s="53" t="s">
        <v>160</v>
      </c>
      <c r="I10" s="53" t="s">
        <v>159</v>
      </c>
      <c r="J10" s="53" t="s">
        <v>38</v>
      </c>
      <c r="K10" s="53" t="s">
        <v>161</v>
      </c>
      <c r="L10" s="53">
        <v>3</v>
      </c>
      <c r="M10" s="76"/>
      <c r="N10" s="53">
        <v>1</v>
      </c>
      <c r="O10" s="53">
        <v>0.5</v>
      </c>
      <c r="P10" s="53">
        <v>0.45</v>
      </c>
      <c r="Q10" s="75">
        <f t="shared" si="0"/>
        <v>0.47499999999999998</v>
      </c>
      <c r="R10" s="53">
        <v>16</v>
      </c>
      <c r="S10" s="53">
        <v>125</v>
      </c>
      <c r="T10" s="16">
        <f t="shared" si="1"/>
        <v>27</v>
      </c>
      <c r="U10" s="53">
        <v>105</v>
      </c>
      <c r="V10" s="16">
        <f t="shared" si="2"/>
        <v>2835</v>
      </c>
      <c r="W10" s="53">
        <v>2</v>
      </c>
      <c r="X10" s="53" t="s">
        <v>46</v>
      </c>
      <c r="Y10" s="53" t="s">
        <v>102</v>
      </c>
      <c r="Z10" s="53" t="s">
        <v>78</v>
      </c>
      <c r="AA10" s="53" t="s">
        <v>69</v>
      </c>
      <c r="AB10" s="53" t="s">
        <v>158</v>
      </c>
      <c r="AE10" s="22" t="s">
        <v>208</v>
      </c>
      <c r="AG10" s="71" t="s">
        <v>202</v>
      </c>
      <c r="AH10" s="71" t="s">
        <v>209</v>
      </c>
      <c r="AL10" s="74"/>
      <c r="AP10" s="23" t="s">
        <v>100</v>
      </c>
      <c r="AR10" s="23" t="s">
        <v>210</v>
      </c>
      <c r="AV10" s="23" t="s">
        <v>106</v>
      </c>
      <c r="AX10" s="24">
        <v>138</v>
      </c>
      <c r="AY10" s="25">
        <v>25</v>
      </c>
      <c r="AZ10" s="25">
        <v>138</v>
      </c>
      <c r="BA10" s="26">
        <v>22</v>
      </c>
    </row>
    <row r="11" spans="1:53" x14ac:dyDescent="0.15">
      <c r="A11" s="53" t="s">
        <v>41</v>
      </c>
      <c r="B11" s="53" t="s">
        <v>157</v>
      </c>
      <c r="C11" s="62">
        <v>2019</v>
      </c>
      <c r="D11" s="63" t="s">
        <v>188</v>
      </c>
      <c r="E11" s="53" t="s">
        <v>133</v>
      </c>
      <c r="F11" s="53" t="s">
        <v>184</v>
      </c>
      <c r="G11" s="53" t="s">
        <v>42</v>
      </c>
      <c r="H11" s="53" t="s">
        <v>160</v>
      </c>
      <c r="I11" s="53" t="s">
        <v>159</v>
      </c>
      <c r="J11" s="53" t="s">
        <v>38</v>
      </c>
      <c r="K11" s="53" t="s">
        <v>161</v>
      </c>
      <c r="L11" s="53">
        <v>1</v>
      </c>
      <c r="N11" s="53">
        <v>6</v>
      </c>
      <c r="O11" s="53">
        <v>0.55000000000000004</v>
      </c>
      <c r="P11" s="53">
        <v>0.6</v>
      </c>
      <c r="Q11" s="72">
        <f t="shared" si="0"/>
        <v>0.57499999999999996</v>
      </c>
      <c r="R11" s="53">
        <v>15.8</v>
      </c>
      <c r="S11" s="53">
        <v>118</v>
      </c>
      <c r="T11" s="16">
        <f t="shared" si="1"/>
        <v>30</v>
      </c>
      <c r="U11" s="53">
        <v>861</v>
      </c>
      <c r="V11" s="16">
        <f t="shared" si="2"/>
        <v>4305</v>
      </c>
      <c r="W11" s="53">
        <v>1</v>
      </c>
      <c r="X11" s="53" t="s">
        <v>46</v>
      </c>
      <c r="Y11" s="53" t="s">
        <v>102</v>
      </c>
      <c r="Z11" s="53" t="s">
        <v>78</v>
      </c>
      <c r="AA11" s="53" t="s">
        <v>69</v>
      </c>
      <c r="AB11" s="53" t="s">
        <v>158</v>
      </c>
      <c r="AE11" s="22" t="s">
        <v>68</v>
      </c>
      <c r="AG11" s="71" t="s">
        <v>211</v>
      </c>
      <c r="AH11" s="71" t="s">
        <v>212</v>
      </c>
      <c r="AL11" s="74"/>
      <c r="AP11" s="23" t="s">
        <v>104</v>
      </c>
      <c r="AR11" s="23" t="s">
        <v>213</v>
      </c>
      <c r="AV11" s="23" t="s">
        <v>69</v>
      </c>
      <c r="AX11" s="24">
        <v>151</v>
      </c>
      <c r="AY11" s="25">
        <v>22</v>
      </c>
      <c r="AZ11" s="25">
        <v>152</v>
      </c>
      <c r="BA11" s="26">
        <v>18</v>
      </c>
    </row>
    <row r="12" spans="1:53" x14ac:dyDescent="0.15">
      <c r="A12" s="53" t="s">
        <v>41</v>
      </c>
      <c r="B12" s="53" t="s">
        <v>157</v>
      </c>
      <c r="C12" s="62">
        <v>2019</v>
      </c>
      <c r="D12" s="63" t="s">
        <v>188</v>
      </c>
      <c r="E12" s="53" t="s">
        <v>133</v>
      </c>
      <c r="F12" s="53" t="s">
        <v>184</v>
      </c>
      <c r="G12" s="53" t="s">
        <v>42</v>
      </c>
      <c r="H12" s="53" t="s">
        <v>160</v>
      </c>
      <c r="I12" s="53" t="s">
        <v>159</v>
      </c>
      <c r="J12" s="53" t="s">
        <v>38</v>
      </c>
      <c r="K12" s="53" t="s">
        <v>161</v>
      </c>
      <c r="L12" s="53">
        <v>2</v>
      </c>
      <c r="M12" s="76"/>
      <c r="N12" s="53">
        <v>6</v>
      </c>
      <c r="O12" s="53">
        <v>0.5</v>
      </c>
      <c r="P12" s="53">
        <v>0.5</v>
      </c>
      <c r="Q12" s="72">
        <f t="shared" si="0"/>
        <v>0.5</v>
      </c>
      <c r="R12" s="53">
        <v>14.2</v>
      </c>
      <c r="S12" s="53">
        <v>116</v>
      </c>
      <c r="T12" s="16">
        <f t="shared" si="1"/>
        <v>30</v>
      </c>
      <c r="U12" s="53">
        <v>861</v>
      </c>
      <c r="V12" s="16">
        <f t="shared" si="2"/>
        <v>4305</v>
      </c>
      <c r="W12" s="53">
        <v>1</v>
      </c>
      <c r="X12" s="53" t="s">
        <v>46</v>
      </c>
      <c r="Y12" s="53" t="s">
        <v>102</v>
      </c>
      <c r="Z12" s="53" t="s">
        <v>78</v>
      </c>
      <c r="AA12" s="53" t="s">
        <v>69</v>
      </c>
      <c r="AB12" s="53" t="s">
        <v>158</v>
      </c>
      <c r="AE12" s="22" t="s">
        <v>214</v>
      </c>
      <c r="AG12" s="22"/>
      <c r="AH12" s="22"/>
      <c r="AL12" s="74"/>
      <c r="AP12" s="23" t="s">
        <v>67</v>
      </c>
      <c r="AR12" s="23" t="s">
        <v>215</v>
      </c>
      <c r="AV12" s="23" t="s">
        <v>72</v>
      </c>
      <c r="AX12" s="31">
        <v>180</v>
      </c>
      <c r="AY12" s="32">
        <v>18</v>
      </c>
      <c r="AZ12" s="32">
        <v>181</v>
      </c>
      <c r="BA12" s="33">
        <v>16</v>
      </c>
    </row>
    <row r="13" spans="1:53" x14ac:dyDescent="0.15">
      <c r="A13" s="53" t="s">
        <v>41</v>
      </c>
      <c r="B13" s="53" t="s">
        <v>157</v>
      </c>
      <c r="C13" s="62">
        <v>2019</v>
      </c>
      <c r="D13" s="63" t="s">
        <v>188</v>
      </c>
      <c r="E13" s="53" t="s">
        <v>133</v>
      </c>
      <c r="F13" s="53" t="s">
        <v>184</v>
      </c>
      <c r="G13" s="53" t="s">
        <v>42</v>
      </c>
      <c r="H13" s="53" t="s">
        <v>160</v>
      </c>
      <c r="I13" s="53" t="s">
        <v>159</v>
      </c>
      <c r="J13" s="53" t="s">
        <v>38</v>
      </c>
      <c r="K13" s="53" t="s">
        <v>161</v>
      </c>
      <c r="L13" s="53">
        <v>3</v>
      </c>
      <c r="M13" s="76"/>
      <c r="N13" s="53">
        <v>6</v>
      </c>
      <c r="O13" s="53">
        <v>0.5</v>
      </c>
      <c r="P13" s="53">
        <v>0.5</v>
      </c>
      <c r="Q13" s="72">
        <f t="shared" si="0"/>
        <v>0.5</v>
      </c>
      <c r="R13" s="53">
        <v>13.2</v>
      </c>
      <c r="S13" s="53">
        <v>114</v>
      </c>
      <c r="T13" s="16">
        <f t="shared" si="1"/>
        <v>30</v>
      </c>
      <c r="U13" s="53">
        <v>861</v>
      </c>
      <c r="V13" s="16">
        <f t="shared" si="2"/>
        <v>4305</v>
      </c>
      <c r="W13" s="53">
        <v>1</v>
      </c>
      <c r="X13" s="53" t="s">
        <v>46</v>
      </c>
      <c r="Y13" s="53" t="s">
        <v>102</v>
      </c>
      <c r="Z13" s="53" t="s">
        <v>78</v>
      </c>
      <c r="AA13" s="53" t="s">
        <v>69</v>
      </c>
      <c r="AB13" s="53" t="s">
        <v>158</v>
      </c>
      <c r="AE13" s="22" t="s">
        <v>216</v>
      </c>
      <c r="AG13" s="23"/>
      <c r="AH13" s="23"/>
      <c r="AP13" s="23" t="s">
        <v>71</v>
      </c>
      <c r="AR13" s="23" t="s">
        <v>208</v>
      </c>
      <c r="AV13" s="23" t="s">
        <v>75</v>
      </c>
    </row>
    <row r="14" spans="1:53" x14ac:dyDescent="0.15">
      <c r="A14" s="53" t="s">
        <v>41</v>
      </c>
      <c r="B14" s="53" t="s">
        <v>157</v>
      </c>
      <c r="C14" s="62">
        <v>2019</v>
      </c>
      <c r="D14" s="63" t="s">
        <v>188</v>
      </c>
      <c r="E14" s="53" t="s">
        <v>133</v>
      </c>
      <c r="F14" s="53" t="s">
        <v>184</v>
      </c>
      <c r="G14" s="53" t="s">
        <v>42</v>
      </c>
      <c r="H14" s="53" t="s">
        <v>164</v>
      </c>
      <c r="I14" s="53" t="s">
        <v>159</v>
      </c>
      <c r="J14" s="53" t="s">
        <v>38</v>
      </c>
      <c r="K14" s="53" t="s">
        <v>161</v>
      </c>
      <c r="L14" s="53">
        <v>1</v>
      </c>
      <c r="M14" s="76"/>
      <c r="N14" s="53">
        <v>16</v>
      </c>
      <c r="O14" s="53">
        <v>1</v>
      </c>
      <c r="P14" s="53">
        <v>1.2</v>
      </c>
      <c r="Q14" s="72">
        <f t="shared" si="0"/>
        <v>1.1000000000000001</v>
      </c>
      <c r="R14" s="53">
        <v>12.5</v>
      </c>
      <c r="S14" s="53">
        <v>85</v>
      </c>
      <c r="T14" s="16">
        <f t="shared" si="1"/>
        <v>36</v>
      </c>
      <c r="U14" s="53">
        <v>950</v>
      </c>
      <c r="V14" s="16">
        <f t="shared" si="2"/>
        <v>2137.5</v>
      </c>
      <c r="W14" s="53">
        <v>3</v>
      </c>
      <c r="X14" s="53" t="s">
        <v>46</v>
      </c>
      <c r="Y14" s="53" t="s">
        <v>102</v>
      </c>
      <c r="Z14" s="53" t="s">
        <v>78</v>
      </c>
      <c r="AA14" s="53" t="s">
        <v>69</v>
      </c>
      <c r="AB14" s="53" t="s">
        <v>158</v>
      </c>
      <c r="AE14" s="22" t="s">
        <v>96</v>
      </c>
      <c r="AG14" s="23"/>
      <c r="AH14" s="23"/>
      <c r="AP14" s="23" t="s">
        <v>74</v>
      </c>
      <c r="AR14" s="23" t="s">
        <v>217</v>
      </c>
      <c r="AV14" s="23" t="s">
        <v>78</v>
      </c>
    </row>
    <row r="15" spans="1:53" x14ac:dyDescent="0.15">
      <c r="A15" s="53" t="s">
        <v>41</v>
      </c>
      <c r="B15" s="53" t="s">
        <v>157</v>
      </c>
      <c r="C15" s="62">
        <v>2019</v>
      </c>
      <c r="D15" s="63" t="s">
        <v>188</v>
      </c>
      <c r="E15" s="53" t="s">
        <v>133</v>
      </c>
      <c r="F15" s="53" t="s">
        <v>184</v>
      </c>
      <c r="G15" s="53" t="s">
        <v>42</v>
      </c>
      <c r="H15" s="53" t="s">
        <v>164</v>
      </c>
      <c r="I15" s="53" t="s">
        <v>159</v>
      </c>
      <c r="J15" s="53" t="s">
        <v>38</v>
      </c>
      <c r="K15" s="53" t="s">
        <v>161</v>
      </c>
      <c r="L15" s="53">
        <v>2</v>
      </c>
      <c r="M15" s="76"/>
      <c r="N15" s="53">
        <v>16</v>
      </c>
      <c r="O15" s="53">
        <v>1.1000000000000001</v>
      </c>
      <c r="P15" s="53">
        <v>0.9</v>
      </c>
      <c r="Q15" s="72">
        <f t="shared" si="0"/>
        <v>1</v>
      </c>
      <c r="R15" s="53">
        <v>15</v>
      </c>
      <c r="S15" s="53">
        <v>89</v>
      </c>
      <c r="T15" s="16">
        <f t="shared" si="1"/>
        <v>36</v>
      </c>
      <c r="U15" s="53">
        <v>950</v>
      </c>
      <c r="V15" s="16">
        <f t="shared" si="2"/>
        <v>2137.5</v>
      </c>
      <c r="W15" s="53">
        <v>3</v>
      </c>
      <c r="X15" s="53" t="s">
        <v>46</v>
      </c>
      <c r="Y15" s="53" t="s">
        <v>102</v>
      </c>
      <c r="Z15" s="53" t="s">
        <v>78</v>
      </c>
      <c r="AA15" s="53" t="s">
        <v>69</v>
      </c>
      <c r="AB15" s="53" t="s">
        <v>158</v>
      </c>
      <c r="AE15" s="22" t="s">
        <v>218</v>
      </c>
      <c r="AG15" s="23"/>
      <c r="AH15" s="23"/>
      <c r="AP15" s="23" t="s">
        <v>77</v>
      </c>
      <c r="AR15" s="23" t="s">
        <v>80</v>
      </c>
      <c r="AV15" s="23" t="s">
        <v>107</v>
      </c>
    </row>
    <row r="16" spans="1:53" x14ac:dyDescent="0.15">
      <c r="A16" s="53" t="s">
        <v>41</v>
      </c>
      <c r="B16" s="53" t="s">
        <v>157</v>
      </c>
      <c r="C16" s="62">
        <v>2019</v>
      </c>
      <c r="D16" s="63" t="s">
        <v>188</v>
      </c>
      <c r="E16" s="53" t="s">
        <v>133</v>
      </c>
      <c r="F16" s="53" t="s">
        <v>184</v>
      </c>
      <c r="G16" s="53" t="s">
        <v>42</v>
      </c>
      <c r="H16" s="53" t="s">
        <v>164</v>
      </c>
      <c r="I16" s="53" t="s">
        <v>159</v>
      </c>
      <c r="J16" s="53" t="s">
        <v>38</v>
      </c>
      <c r="K16" s="53" t="s">
        <v>161</v>
      </c>
      <c r="L16" s="53">
        <v>3</v>
      </c>
      <c r="M16" s="76"/>
      <c r="N16" s="53">
        <v>16</v>
      </c>
      <c r="O16" s="53">
        <v>0.95</v>
      </c>
      <c r="P16" s="53">
        <v>0.8</v>
      </c>
      <c r="Q16" s="72">
        <f t="shared" si="0"/>
        <v>0.875</v>
      </c>
      <c r="R16" s="53">
        <v>11.4</v>
      </c>
      <c r="S16" s="53">
        <v>93</v>
      </c>
      <c r="T16" s="16">
        <f t="shared" si="1"/>
        <v>36</v>
      </c>
      <c r="U16" s="53">
        <v>950</v>
      </c>
      <c r="V16" s="16">
        <f t="shared" si="2"/>
        <v>2137.5</v>
      </c>
      <c r="W16" s="53">
        <v>3</v>
      </c>
      <c r="X16" s="53" t="s">
        <v>46</v>
      </c>
      <c r="Y16" s="53" t="s">
        <v>102</v>
      </c>
      <c r="Z16" s="53" t="s">
        <v>78</v>
      </c>
      <c r="AA16" s="53" t="s">
        <v>69</v>
      </c>
      <c r="AB16" s="53" t="s">
        <v>158</v>
      </c>
      <c r="AE16" s="22" t="s">
        <v>219</v>
      </c>
      <c r="AG16" s="28"/>
      <c r="AH16" s="28"/>
      <c r="AP16" s="23" t="s">
        <v>80</v>
      </c>
      <c r="AR16" s="23" t="s">
        <v>63</v>
      </c>
      <c r="AV16" s="23" t="s">
        <v>84</v>
      </c>
    </row>
    <row r="17" spans="1:48" x14ac:dyDescent="0.15">
      <c r="A17" s="53" t="s">
        <v>41</v>
      </c>
      <c r="B17" s="53" t="s">
        <v>157</v>
      </c>
      <c r="C17" s="62">
        <v>2019</v>
      </c>
      <c r="D17" s="63" t="s">
        <v>188</v>
      </c>
      <c r="E17" s="53" t="s">
        <v>186</v>
      </c>
      <c r="F17" s="53" t="s">
        <v>184</v>
      </c>
      <c r="G17" s="53" t="s">
        <v>42</v>
      </c>
      <c r="H17" s="53" t="s">
        <v>160</v>
      </c>
      <c r="I17" s="53" t="s">
        <v>159</v>
      </c>
      <c r="J17" s="53" t="s">
        <v>38</v>
      </c>
      <c r="K17" s="53" t="s">
        <v>161</v>
      </c>
      <c r="L17" s="53">
        <v>1</v>
      </c>
      <c r="M17" s="76"/>
      <c r="N17" s="53">
        <v>1</v>
      </c>
      <c r="O17" s="53">
        <v>0.35</v>
      </c>
      <c r="P17" s="53">
        <v>0.3</v>
      </c>
      <c r="Q17" s="75">
        <v>1.05</v>
      </c>
      <c r="R17" s="53">
        <v>15.8</v>
      </c>
      <c r="S17" s="53">
        <v>123</v>
      </c>
      <c r="T17" s="16">
        <f t="shared" si="1"/>
        <v>27</v>
      </c>
      <c r="U17" s="53">
        <v>117</v>
      </c>
      <c r="V17" s="16">
        <f t="shared" si="2"/>
        <v>3159</v>
      </c>
      <c r="W17" s="53">
        <v>2</v>
      </c>
      <c r="X17" s="53" t="s">
        <v>46</v>
      </c>
      <c r="Y17" s="53" t="s">
        <v>78</v>
      </c>
      <c r="Z17" s="53" t="s">
        <v>102</v>
      </c>
      <c r="AA17" s="53" t="s">
        <v>69</v>
      </c>
      <c r="AB17" s="53" t="s">
        <v>158</v>
      </c>
      <c r="AE17" s="22" t="s">
        <v>220</v>
      </c>
      <c r="AP17" s="27" t="s">
        <v>221</v>
      </c>
      <c r="AR17" s="23" t="s">
        <v>96</v>
      </c>
      <c r="AV17" s="23" t="s">
        <v>86</v>
      </c>
    </row>
    <row r="18" spans="1:48" x14ac:dyDescent="0.15">
      <c r="A18" s="53" t="s">
        <v>41</v>
      </c>
      <c r="B18" s="53" t="s">
        <v>157</v>
      </c>
      <c r="C18" s="62">
        <v>2019</v>
      </c>
      <c r="D18" s="63" t="s">
        <v>188</v>
      </c>
      <c r="E18" s="53" t="s">
        <v>186</v>
      </c>
      <c r="F18" s="53" t="s">
        <v>184</v>
      </c>
      <c r="G18" s="53" t="s">
        <v>42</v>
      </c>
      <c r="H18" s="53" t="s">
        <v>160</v>
      </c>
      <c r="I18" s="53" t="s">
        <v>159</v>
      </c>
      <c r="J18" s="53" t="s">
        <v>38</v>
      </c>
      <c r="K18" s="53" t="s">
        <v>161</v>
      </c>
      <c r="L18" s="53">
        <v>2</v>
      </c>
      <c r="M18" s="76"/>
      <c r="N18" s="53">
        <v>1</v>
      </c>
      <c r="O18" s="53">
        <v>0.4</v>
      </c>
      <c r="P18" s="53">
        <v>0.4</v>
      </c>
      <c r="Q18" s="75">
        <v>1.25</v>
      </c>
      <c r="R18" s="53">
        <v>12.8</v>
      </c>
      <c r="S18" s="53">
        <v>123</v>
      </c>
      <c r="T18" s="16">
        <f t="shared" si="1"/>
        <v>27</v>
      </c>
      <c r="U18" s="53">
        <v>117</v>
      </c>
      <c r="V18" s="16">
        <f t="shared" si="2"/>
        <v>3159</v>
      </c>
      <c r="W18" s="53">
        <v>2</v>
      </c>
      <c r="X18" s="53" t="s">
        <v>46</v>
      </c>
      <c r="Y18" s="53" t="s">
        <v>78</v>
      </c>
      <c r="Z18" s="53" t="s">
        <v>102</v>
      </c>
      <c r="AA18" s="53" t="s">
        <v>69</v>
      </c>
      <c r="AB18" s="53" t="s">
        <v>158</v>
      </c>
      <c r="AE18" s="22" t="s">
        <v>213</v>
      </c>
      <c r="AP18" s="27" t="s">
        <v>222</v>
      </c>
      <c r="AR18" s="23" t="s">
        <v>101</v>
      </c>
      <c r="AV18" s="23" t="s">
        <v>88</v>
      </c>
    </row>
    <row r="19" spans="1:48" x14ac:dyDescent="0.15">
      <c r="A19" s="53" t="s">
        <v>41</v>
      </c>
      <c r="B19" s="53" t="s">
        <v>157</v>
      </c>
      <c r="C19" s="62">
        <v>2019</v>
      </c>
      <c r="D19" s="63" t="s">
        <v>188</v>
      </c>
      <c r="E19" s="53" t="s">
        <v>186</v>
      </c>
      <c r="F19" s="53" t="s">
        <v>184</v>
      </c>
      <c r="G19" s="53" t="s">
        <v>42</v>
      </c>
      <c r="H19" s="53" t="s">
        <v>160</v>
      </c>
      <c r="I19" s="53" t="s">
        <v>159</v>
      </c>
      <c r="J19" s="53" t="s">
        <v>38</v>
      </c>
      <c r="K19" s="53" t="s">
        <v>161</v>
      </c>
      <c r="L19" s="53">
        <v>3</v>
      </c>
      <c r="M19" s="76"/>
      <c r="N19" s="53">
        <v>1</v>
      </c>
      <c r="O19" s="53">
        <v>0.5</v>
      </c>
      <c r="P19" s="53">
        <v>0.55000000000000004</v>
      </c>
      <c r="Q19" s="75">
        <v>0.83</v>
      </c>
      <c r="R19" s="53">
        <v>14.7</v>
      </c>
      <c r="S19" s="53">
        <v>124</v>
      </c>
      <c r="T19" s="16">
        <f t="shared" si="1"/>
        <v>27</v>
      </c>
      <c r="U19" s="53">
        <v>117</v>
      </c>
      <c r="V19" s="16">
        <f t="shared" si="2"/>
        <v>3159</v>
      </c>
      <c r="W19" s="53">
        <v>2</v>
      </c>
      <c r="X19" s="53" t="s">
        <v>46</v>
      </c>
      <c r="Y19" s="53" t="s">
        <v>78</v>
      </c>
      <c r="Z19" s="53" t="s">
        <v>102</v>
      </c>
      <c r="AA19" s="53" t="s">
        <v>69</v>
      </c>
      <c r="AB19" s="53" t="s">
        <v>158</v>
      </c>
      <c r="AE19" s="35" t="s">
        <v>207</v>
      </c>
      <c r="AP19" s="27" t="s">
        <v>223</v>
      </c>
      <c r="AR19" s="23" t="s">
        <v>224</v>
      </c>
      <c r="AV19" s="23" t="s">
        <v>90</v>
      </c>
    </row>
    <row r="20" spans="1:48" x14ac:dyDescent="0.15">
      <c r="A20" s="53" t="s">
        <v>41</v>
      </c>
      <c r="B20" s="53" t="s">
        <v>157</v>
      </c>
      <c r="C20" s="62">
        <v>2019</v>
      </c>
      <c r="D20" s="63" t="s">
        <v>188</v>
      </c>
      <c r="E20" s="53" t="s">
        <v>186</v>
      </c>
      <c r="F20" s="53" t="s">
        <v>184</v>
      </c>
      <c r="G20" s="53" t="s">
        <v>42</v>
      </c>
      <c r="H20" s="53" t="s">
        <v>160</v>
      </c>
      <c r="I20" s="53" t="s">
        <v>159</v>
      </c>
      <c r="J20" s="53" t="s">
        <v>38</v>
      </c>
      <c r="K20" s="53" t="s">
        <v>161</v>
      </c>
      <c r="L20" s="53">
        <v>1</v>
      </c>
      <c r="M20" s="76"/>
      <c r="N20" s="53">
        <v>4</v>
      </c>
      <c r="O20" s="53">
        <v>0.35</v>
      </c>
      <c r="P20" s="53">
        <v>0.25</v>
      </c>
      <c r="Q20" s="75">
        <v>0.6</v>
      </c>
      <c r="R20" s="53">
        <v>16.5</v>
      </c>
      <c r="S20" s="53">
        <v>118</v>
      </c>
      <c r="T20" s="16">
        <f t="shared" si="1"/>
        <v>30</v>
      </c>
      <c r="U20" s="53">
        <v>429</v>
      </c>
      <c r="V20" s="16">
        <f t="shared" si="2"/>
        <v>3217.5</v>
      </c>
      <c r="W20" s="53">
        <v>1</v>
      </c>
      <c r="X20" s="53" t="s">
        <v>46</v>
      </c>
      <c r="Y20" s="53" t="s">
        <v>78</v>
      </c>
      <c r="Z20" s="53" t="s">
        <v>102</v>
      </c>
      <c r="AA20" s="53" t="s">
        <v>69</v>
      </c>
      <c r="AB20" s="53" t="s">
        <v>158</v>
      </c>
      <c r="AE20" s="35"/>
      <c r="AP20" s="27" t="s">
        <v>225</v>
      </c>
      <c r="AR20" s="23" t="s">
        <v>105</v>
      </c>
      <c r="AV20" s="27" t="s">
        <v>226</v>
      </c>
    </row>
    <row r="21" spans="1:48" x14ac:dyDescent="0.15">
      <c r="A21" s="53" t="s">
        <v>41</v>
      </c>
      <c r="B21" s="53" t="s">
        <v>157</v>
      </c>
      <c r="C21" s="62">
        <v>2019</v>
      </c>
      <c r="D21" s="63" t="s">
        <v>188</v>
      </c>
      <c r="E21" s="53" t="s">
        <v>186</v>
      </c>
      <c r="F21" s="53" t="s">
        <v>184</v>
      </c>
      <c r="G21" s="53" t="s">
        <v>42</v>
      </c>
      <c r="H21" s="53" t="s">
        <v>160</v>
      </c>
      <c r="I21" s="53" t="s">
        <v>159</v>
      </c>
      <c r="J21" s="53" t="s">
        <v>38</v>
      </c>
      <c r="K21" s="53" t="s">
        <v>161</v>
      </c>
      <c r="L21" s="53">
        <v>2</v>
      </c>
      <c r="M21" s="76"/>
      <c r="N21" s="53">
        <v>4</v>
      </c>
      <c r="O21" s="53">
        <v>0.25</v>
      </c>
      <c r="P21" s="53">
        <v>0.25</v>
      </c>
      <c r="Q21" s="75">
        <v>0.7</v>
      </c>
      <c r="R21" s="53">
        <v>14</v>
      </c>
      <c r="S21" s="53">
        <v>119</v>
      </c>
      <c r="T21" s="16">
        <f t="shared" si="1"/>
        <v>30</v>
      </c>
      <c r="U21" s="53">
        <v>429</v>
      </c>
      <c r="V21" s="16">
        <f t="shared" si="2"/>
        <v>3217.5</v>
      </c>
      <c r="W21" s="53">
        <v>1</v>
      </c>
      <c r="X21" s="53" t="s">
        <v>46</v>
      </c>
      <c r="Y21" s="53" t="s">
        <v>78</v>
      </c>
      <c r="Z21" s="53" t="s">
        <v>102</v>
      </c>
      <c r="AA21" s="53" t="s">
        <v>69</v>
      </c>
      <c r="AB21" s="53" t="s">
        <v>158</v>
      </c>
      <c r="AE21" s="28"/>
      <c r="AP21" s="27" t="s">
        <v>227</v>
      </c>
      <c r="AR21" s="23" t="s">
        <v>68</v>
      </c>
      <c r="AV21" s="27" t="s">
        <v>228</v>
      </c>
    </row>
    <row r="22" spans="1:48" x14ac:dyDescent="0.15">
      <c r="A22" s="53" t="s">
        <v>41</v>
      </c>
      <c r="B22" s="53" t="s">
        <v>157</v>
      </c>
      <c r="C22" s="62">
        <v>2019</v>
      </c>
      <c r="D22" s="63" t="s">
        <v>188</v>
      </c>
      <c r="E22" s="53" t="s">
        <v>186</v>
      </c>
      <c r="F22" s="53" t="s">
        <v>184</v>
      </c>
      <c r="G22" s="53" t="s">
        <v>42</v>
      </c>
      <c r="H22" s="53" t="s">
        <v>160</v>
      </c>
      <c r="I22" s="53" t="s">
        <v>159</v>
      </c>
      <c r="J22" s="53" t="s">
        <v>38</v>
      </c>
      <c r="K22" s="53" t="s">
        <v>161</v>
      </c>
      <c r="L22" s="53">
        <v>3</v>
      </c>
      <c r="M22" s="76"/>
      <c r="N22" s="53">
        <v>4</v>
      </c>
      <c r="O22" s="53">
        <v>0.25</v>
      </c>
      <c r="P22" s="53">
        <v>0.25</v>
      </c>
      <c r="Q22" s="75">
        <v>0.48</v>
      </c>
      <c r="R22" s="53">
        <v>12.3</v>
      </c>
      <c r="S22" s="53">
        <v>122</v>
      </c>
      <c r="T22" s="16">
        <f t="shared" si="1"/>
        <v>27</v>
      </c>
      <c r="U22" s="53">
        <v>429</v>
      </c>
      <c r="V22" s="16">
        <f t="shared" si="2"/>
        <v>2895.75</v>
      </c>
      <c r="W22" s="53">
        <v>1</v>
      </c>
      <c r="X22" s="53" t="s">
        <v>46</v>
      </c>
      <c r="Y22" s="53" t="s">
        <v>78</v>
      </c>
      <c r="Z22" s="53" t="s">
        <v>102</v>
      </c>
      <c r="AA22" s="53" t="s">
        <v>69</v>
      </c>
      <c r="AB22" s="53" t="s">
        <v>158</v>
      </c>
      <c r="AP22" s="27" t="s">
        <v>229</v>
      </c>
      <c r="AR22" s="23" t="s">
        <v>83</v>
      </c>
      <c r="AV22" s="27"/>
    </row>
    <row r="23" spans="1:48" x14ac:dyDescent="0.15">
      <c r="A23" s="53" t="s">
        <v>41</v>
      </c>
      <c r="B23" s="53" t="s">
        <v>157</v>
      </c>
      <c r="C23" s="62">
        <v>2019</v>
      </c>
      <c r="D23" s="63" t="s">
        <v>188</v>
      </c>
      <c r="E23" s="53" t="s">
        <v>186</v>
      </c>
      <c r="F23" s="53" t="s">
        <v>184</v>
      </c>
      <c r="G23" s="53" t="s">
        <v>42</v>
      </c>
      <c r="H23" s="53" t="s">
        <v>160</v>
      </c>
      <c r="I23" s="53" t="s">
        <v>159</v>
      </c>
      <c r="J23" s="53" t="s">
        <v>38</v>
      </c>
      <c r="K23" s="53" t="s">
        <v>161</v>
      </c>
      <c r="L23" s="53">
        <v>1</v>
      </c>
      <c r="M23" s="76"/>
      <c r="N23" s="53">
        <v>6</v>
      </c>
      <c r="O23" s="53">
        <v>0.65</v>
      </c>
      <c r="P23" s="53">
        <v>0.45</v>
      </c>
      <c r="Q23" s="75">
        <v>0.33</v>
      </c>
      <c r="R23" s="53">
        <v>15.8</v>
      </c>
      <c r="S23" s="53">
        <v>114</v>
      </c>
      <c r="T23" s="16">
        <f t="shared" si="1"/>
        <v>30</v>
      </c>
      <c r="U23" s="53">
        <v>626</v>
      </c>
      <c r="V23" s="16">
        <f t="shared" si="2"/>
        <v>3130</v>
      </c>
      <c r="W23" s="53">
        <v>1</v>
      </c>
      <c r="X23" s="53" t="s">
        <v>46</v>
      </c>
      <c r="Y23" s="53" t="s">
        <v>78</v>
      </c>
      <c r="Z23" s="53" t="s">
        <v>102</v>
      </c>
      <c r="AA23" s="53" t="s">
        <v>69</v>
      </c>
      <c r="AB23" s="53" t="s">
        <v>158</v>
      </c>
      <c r="AP23" s="27" t="s">
        <v>230</v>
      </c>
      <c r="AR23" s="28" t="s">
        <v>231</v>
      </c>
      <c r="AV23" s="28"/>
    </row>
    <row r="24" spans="1:48" x14ac:dyDescent="0.15">
      <c r="A24" s="53" t="s">
        <v>41</v>
      </c>
      <c r="B24" s="53" t="s">
        <v>157</v>
      </c>
      <c r="C24" s="62">
        <v>2019</v>
      </c>
      <c r="D24" s="63" t="s">
        <v>188</v>
      </c>
      <c r="E24" s="53" t="s">
        <v>186</v>
      </c>
      <c r="F24" s="53" t="s">
        <v>184</v>
      </c>
      <c r="G24" s="53" t="s">
        <v>42</v>
      </c>
      <c r="H24" s="53" t="s">
        <v>160</v>
      </c>
      <c r="I24" s="53" t="s">
        <v>159</v>
      </c>
      <c r="J24" s="53" t="s">
        <v>38</v>
      </c>
      <c r="K24" s="53" t="s">
        <v>161</v>
      </c>
      <c r="L24" s="53">
        <v>2</v>
      </c>
      <c r="M24" s="76"/>
      <c r="N24" s="53">
        <v>6</v>
      </c>
      <c r="O24" s="53">
        <v>0.5</v>
      </c>
      <c r="P24" s="53">
        <v>0.5</v>
      </c>
      <c r="Q24" s="75">
        <v>0.33</v>
      </c>
      <c r="R24" s="53">
        <v>12.2</v>
      </c>
      <c r="S24" s="53">
        <v>115</v>
      </c>
      <c r="T24" s="16">
        <f t="shared" si="1"/>
        <v>30</v>
      </c>
      <c r="U24" s="53">
        <v>626</v>
      </c>
      <c r="V24" s="16">
        <f t="shared" si="2"/>
        <v>3130</v>
      </c>
      <c r="W24" s="53">
        <v>1</v>
      </c>
      <c r="X24" s="53" t="s">
        <v>46</v>
      </c>
      <c r="Y24" s="53" t="s">
        <v>78</v>
      </c>
      <c r="Z24" s="53" t="s">
        <v>102</v>
      </c>
      <c r="AA24" s="53" t="s">
        <v>69</v>
      </c>
      <c r="AB24" s="53" t="s">
        <v>158</v>
      </c>
      <c r="AP24" s="27" t="s">
        <v>232</v>
      </c>
    </row>
    <row r="25" spans="1:48" x14ac:dyDescent="0.15">
      <c r="A25" s="53" t="s">
        <v>41</v>
      </c>
      <c r="B25" s="53" t="s">
        <v>157</v>
      </c>
      <c r="C25" s="62">
        <v>2019</v>
      </c>
      <c r="D25" s="63" t="s">
        <v>188</v>
      </c>
      <c r="E25" s="53" t="s">
        <v>186</v>
      </c>
      <c r="F25" s="53" t="s">
        <v>184</v>
      </c>
      <c r="G25" s="53" t="s">
        <v>42</v>
      </c>
      <c r="H25" s="53" t="s">
        <v>160</v>
      </c>
      <c r="I25" s="53" t="s">
        <v>159</v>
      </c>
      <c r="J25" s="53" t="s">
        <v>38</v>
      </c>
      <c r="K25" s="53" t="s">
        <v>161</v>
      </c>
      <c r="L25" s="53">
        <v>3</v>
      </c>
      <c r="M25" s="76"/>
      <c r="N25" s="53">
        <v>6</v>
      </c>
      <c r="O25" s="53">
        <v>0.75</v>
      </c>
      <c r="P25" s="53">
        <v>0.7</v>
      </c>
      <c r="Q25" s="75">
        <v>0.2</v>
      </c>
      <c r="R25" s="53">
        <v>14.2</v>
      </c>
      <c r="S25" s="53">
        <v>115</v>
      </c>
      <c r="T25" s="16">
        <f t="shared" si="1"/>
        <v>30</v>
      </c>
      <c r="U25" s="53">
        <v>626</v>
      </c>
      <c r="V25" s="16">
        <f t="shared" si="2"/>
        <v>3130</v>
      </c>
      <c r="W25" s="53">
        <v>1</v>
      </c>
      <c r="X25" s="53" t="s">
        <v>46</v>
      </c>
      <c r="Y25" s="53" t="s">
        <v>78</v>
      </c>
      <c r="Z25" s="53" t="s">
        <v>102</v>
      </c>
      <c r="AA25" s="53" t="s">
        <v>69</v>
      </c>
      <c r="AB25" s="53" t="s">
        <v>158</v>
      </c>
    </row>
    <row r="26" spans="1:48" x14ac:dyDescent="0.15">
      <c r="A26" s="53" t="s">
        <v>41</v>
      </c>
      <c r="B26" s="53" t="s">
        <v>157</v>
      </c>
      <c r="C26" s="62">
        <v>2019</v>
      </c>
      <c r="D26" s="63" t="s">
        <v>188</v>
      </c>
      <c r="E26" s="53" t="s">
        <v>186</v>
      </c>
      <c r="F26" s="53" t="s">
        <v>184</v>
      </c>
      <c r="G26" s="53" t="s">
        <v>42</v>
      </c>
      <c r="H26" s="53" t="s">
        <v>164</v>
      </c>
      <c r="I26" s="53" t="s">
        <v>159</v>
      </c>
      <c r="J26" s="53" t="s">
        <v>38</v>
      </c>
      <c r="K26" s="53" t="s">
        <v>161</v>
      </c>
      <c r="L26" s="53">
        <v>1</v>
      </c>
      <c r="M26" s="76"/>
      <c r="N26" s="53">
        <v>1</v>
      </c>
      <c r="O26" s="53">
        <v>0.55000000000000004</v>
      </c>
      <c r="P26" s="53">
        <v>0.6</v>
      </c>
      <c r="Q26" s="75">
        <v>0.55000000000000004</v>
      </c>
      <c r="R26" s="53">
        <v>12.2</v>
      </c>
      <c r="S26" s="53">
        <v>130</v>
      </c>
      <c r="T26" s="16">
        <f t="shared" si="1"/>
        <v>25</v>
      </c>
      <c r="U26" s="53">
        <v>117</v>
      </c>
      <c r="V26" s="16">
        <f t="shared" si="2"/>
        <v>2925</v>
      </c>
      <c r="W26" s="53">
        <v>2</v>
      </c>
      <c r="X26" s="53" t="s">
        <v>46</v>
      </c>
      <c r="Y26" s="53" t="s">
        <v>78</v>
      </c>
      <c r="Z26" s="53" t="s">
        <v>102</v>
      </c>
      <c r="AA26" s="53" t="s">
        <v>69</v>
      </c>
      <c r="AB26" s="53" t="s">
        <v>158</v>
      </c>
    </row>
    <row r="27" spans="1:48" x14ac:dyDescent="0.15">
      <c r="A27" s="53" t="s">
        <v>41</v>
      </c>
      <c r="B27" s="53" t="s">
        <v>157</v>
      </c>
      <c r="C27" s="62">
        <v>2019</v>
      </c>
      <c r="D27" s="63" t="s">
        <v>188</v>
      </c>
      <c r="E27" s="53" t="s">
        <v>186</v>
      </c>
      <c r="F27" s="53" t="s">
        <v>184</v>
      </c>
      <c r="G27" s="53" t="s">
        <v>42</v>
      </c>
      <c r="H27" s="53" t="s">
        <v>164</v>
      </c>
      <c r="I27" s="53" t="s">
        <v>159</v>
      </c>
      <c r="J27" s="53" t="s">
        <v>38</v>
      </c>
      <c r="K27" s="53" t="s">
        <v>161</v>
      </c>
      <c r="L27" s="53">
        <v>2</v>
      </c>
      <c r="M27" s="76"/>
      <c r="N27" s="53">
        <v>1</v>
      </c>
      <c r="O27" s="53">
        <v>0.7</v>
      </c>
      <c r="P27" s="53">
        <v>0.7</v>
      </c>
      <c r="Q27" s="75">
        <v>0.65</v>
      </c>
      <c r="R27" s="53">
        <v>14.4</v>
      </c>
      <c r="S27" s="53">
        <v>131</v>
      </c>
      <c r="T27" s="16">
        <f t="shared" si="1"/>
        <v>25</v>
      </c>
      <c r="U27" s="53">
        <v>117</v>
      </c>
      <c r="V27" s="16">
        <f t="shared" si="2"/>
        <v>2925</v>
      </c>
      <c r="W27" s="53">
        <v>2</v>
      </c>
      <c r="X27" s="53" t="s">
        <v>46</v>
      </c>
      <c r="Y27" s="53" t="s">
        <v>78</v>
      </c>
      <c r="Z27" s="53" t="s">
        <v>102</v>
      </c>
      <c r="AA27" s="53" t="s">
        <v>69</v>
      </c>
      <c r="AB27" s="53" t="s">
        <v>158</v>
      </c>
    </row>
    <row r="28" spans="1:48" x14ac:dyDescent="0.15">
      <c r="A28" s="53" t="s">
        <v>41</v>
      </c>
      <c r="B28" s="53" t="s">
        <v>157</v>
      </c>
      <c r="C28" s="62">
        <v>2019</v>
      </c>
      <c r="D28" s="63" t="s">
        <v>188</v>
      </c>
      <c r="E28" s="53" t="s">
        <v>186</v>
      </c>
      <c r="F28" s="53" t="s">
        <v>184</v>
      </c>
      <c r="G28" s="53" t="s">
        <v>42</v>
      </c>
      <c r="H28" s="53" t="s">
        <v>164</v>
      </c>
      <c r="I28" s="53" t="s">
        <v>159</v>
      </c>
      <c r="J28" s="53" t="s">
        <v>38</v>
      </c>
      <c r="K28" s="53" t="s">
        <v>161</v>
      </c>
      <c r="L28" s="53">
        <v>3</v>
      </c>
      <c r="M28" s="76"/>
      <c r="N28" s="53">
        <v>1</v>
      </c>
      <c r="O28" s="53">
        <v>0.55000000000000004</v>
      </c>
      <c r="P28" s="53">
        <v>0.6</v>
      </c>
      <c r="Q28" s="75">
        <v>0.57999999999999996</v>
      </c>
      <c r="R28" s="53">
        <v>12.2</v>
      </c>
      <c r="S28" s="53">
        <v>129</v>
      </c>
      <c r="T28" s="16">
        <f t="shared" si="1"/>
        <v>25</v>
      </c>
      <c r="U28" s="53">
        <v>117</v>
      </c>
      <c r="V28" s="16">
        <f t="shared" si="2"/>
        <v>2925</v>
      </c>
      <c r="W28" s="53">
        <v>2</v>
      </c>
      <c r="X28" s="53" t="s">
        <v>46</v>
      </c>
      <c r="Y28" s="53" t="s">
        <v>78</v>
      </c>
      <c r="Z28" s="53" t="s">
        <v>102</v>
      </c>
      <c r="AA28" s="53" t="s">
        <v>69</v>
      </c>
      <c r="AB28" s="53" t="s">
        <v>158</v>
      </c>
    </row>
    <row r="29" spans="1:48" x14ac:dyDescent="0.15">
      <c r="A29" s="53" t="s">
        <v>41</v>
      </c>
      <c r="B29" s="53" t="s">
        <v>157</v>
      </c>
      <c r="C29" s="62">
        <v>2019</v>
      </c>
      <c r="D29" s="63" t="s">
        <v>188</v>
      </c>
      <c r="E29" s="53" t="s">
        <v>186</v>
      </c>
      <c r="F29" s="53" t="s">
        <v>184</v>
      </c>
      <c r="G29" s="53" t="s">
        <v>42</v>
      </c>
      <c r="H29" s="53" t="s">
        <v>164</v>
      </c>
      <c r="I29" s="53" t="s">
        <v>159</v>
      </c>
      <c r="J29" s="53" t="s">
        <v>38</v>
      </c>
      <c r="K29" s="53" t="s">
        <v>161</v>
      </c>
      <c r="L29" s="53">
        <v>1</v>
      </c>
      <c r="M29" s="76"/>
      <c r="N29" s="53">
        <v>5</v>
      </c>
      <c r="O29" s="53">
        <v>0.6</v>
      </c>
      <c r="P29" s="53">
        <v>0.7</v>
      </c>
      <c r="Q29" s="75">
        <v>0.63</v>
      </c>
      <c r="R29" s="53">
        <v>15</v>
      </c>
      <c r="S29" s="53">
        <v>112</v>
      </c>
      <c r="T29" s="16">
        <f t="shared" si="1"/>
        <v>33</v>
      </c>
      <c r="U29" s="53">
        <v>429</v>
      </c>
      <c r="V29" s="16">
        <f t="shared" si="2"/>
        <v>2831.4</v>
      </c>
      <c r="W29" s="53">
        <v>1</v>
      </c>
      <c r="X29" s="53" t="s">
        <v>46</v>
      </c>
      <c r="Y29" s="53" t="s">
        <v>78</v>
      </c>
      <c r="Z29" s="53" t="s">
        <v>102</v>
      </c>
      <c r="AA29" s="53" t="s">
        <v>69</v>
      </c>
      <c r="AB29" s="53" t="s">
        <v>158</v>
      </c>
    </row>
    <row r="30" spans="1:48" x14ac:dyDescent="0.15">
      <c r="A30" s="53" t="s">
        <v>41</v>
      </c>
      <c r="B30" s="53" t="s">
        <v>157</v>
      </c>
      <c r="C30" s="62">
        <v>2019</v>
      </c>
      <c r="D30" s="63" t="s">
        <v>188</v>
      </c>
      <c r="E30" s="53" t="s">
        <v>186</v>
      </c>
      <c r="F30" s="53" t="s">
        <v>184</v>
      </c>
      <c r="G30" s="53" t="s">
        <v>42</v>
      </c>
      <c r="H30" s="53" t="s">
        <v>164</v>
      </c>
      <c r="I30" s="53" t="s">
        <v>159</v>
      </c>
      <c r="J30" s="53" t="s">
        <v>38</v>
      </c>
      <c r="K30" s="53" t="s">
        <v>161</v>
      </c>
      <c r="L30" s="53">
        <v>2</v>
      </c>
      <c r="M30" s="76"/>
      <c r="N30" s="53">
        <v>5</v>
      </c>
      <c r="O30" s="53">
        <v>0.85</v>
      </c>
      <c r="P30" s="53">
        <v>0.8</v>
      </c>
      <c r="Q30" s="75">
        <v>0.78</v>
      </c>
      <c r="R30" s="53">
        <v>13</v>
      </c>
      <c r="S30" s="53">
        <v>114</v>
      </c>
      <c r="T30" s="16">
        <f t="shared" si="1"/>
        <v>30</v>
      </c>
      <c r="U30" s="53">
        <v>429</v>
      </c>
      <c r="V30" s="16">
        <f t="shared" si="2"/>
        <v>2574</v>
      </c>
      <c r="W30" s="53">
        <v>1</v>
      </c>
      <c r="X30" s="53" t="s">
        <v>46</v>
      </c>
      <c r="Y30" s="53" t="s">
        <v>78</v>
      </c>
      <c r="Z30" s="53" t="s">
        <v>102</v>
      </c>
      <c r="AA30" s="53" t="s">
        <v>69</v>
      </c>
      <c r="AB30" s="53" t="s">
        <v>158</v>
      </c>
    </row>
    <row r="31" spans="1:48" x14ac:dyDescent="0.15">
      <c r="A31" s="53" t="s">
        <v>41</v>
      </c>
      <c r="B31" s="53" t="s">
        <v>157</v>
      </c>
      <c r="C31" s="62">
        <v>2019</v>
      </c>
      <c r="D31" s="63" t="s">
        <v>188</v>
      </c>
      <c r="E31" s="53" t="s">
        <v>186</v>
      </c>
      <c r="F31" s="53" t="s">
        <v>184</v>
      </c>
      <c r="G31" s="53" t="s">
        <v>42</v>
      </c>
      <c r="H31" s="53" t="s">
        <v>164</v>
      </c>
      <c r="I31" s="53" t="s">
        <v>159</v>
      </c>
      <c r="J31" s="53" t="s">
        <v>38</v>
      </c>
      <c r="K31" s="53" t="s">
        <v>161</v>
      </c>
      <c r="L31" s="53">
        <v>3</v>
      </c>
      <c r="M31" s="76"/>
      <c r="N31" s="53">
        <v>5</v>
      </c>
      <c r="O31" s="53">
        <v>0.55000000000000004</v>
      </c>
      <c r="P31" s="53">
        <v>0.75</v>
      </c>
      <c r="Q31" s="75">
        <v>0.65</v>
      </c>
      <c r="R31" s="53">
        <v>11.8</v>
      </c>
      <c r="S31" s="53">
        <v>115</v>
      </c>
      <c r="T31" s="16">
        <f t="shared" si="1"/>
        <v>30</v>
      </c>
      <c r="U31" s="53">
        <v>429</v>
      </c>
      <c r="V31" s="16">
        <f t="shared" si="2"/>
        <v>2574</v>
      </c>
      <c r="W31" s="53">
        <v>1</v>
      </c>
      <c r="X31" s="53" t="s">
        <v>46</v>
      </c>
      <c r="Y31" s="53" t="s">
        <v>78</v>
      </c>
      <c r="Z31" s="53" t="s">
        <v>102</v>
      </c>
      <c r="AA31" s="53" t="s">
        <v>69</v>
      </c>
      <c r="AB31" s="53" t="s">
        <v>158</v>
      </c>
    </row>
    <row r="32" spans="1:48" x14ac:dyDescent="0.15">
      <c r="A32" s="53" t="s">
        <v>41</v>
      </c>
      <c r="B32" s="53" t="s">
        <v>157</v>
      </c>
      <c r="C32" s="62">
        <v>2019</v>
      </c>
      <c r="D32" s="63" t="s">
        <v>188</v>
      </c>
      <c r="E32" s="53" t="s">
        <v>186</v>
      </c>
      <c r="F32" s="53" t="s">
        <v>184</v>
      </c>
      <c r="G32" s="53" t="s">
        <v>42</v>
      </c>
      <c r="H32" s="53" t="s">
        <v>164</v>
      </c>
      <c r="I32" s="53" t="s">
        <v>159</v>
      </c>
      <c r="J32" s="53" t="s">
        <v>38</v>
      </c>
      <c r="K32" s="53" t="s">
        <v>161</v>
      </c>
      <c r="L32" s="53">
        <v>1</v>
      </c>
      <c r="M32" s="76"/>
      <c r="N32" s="53">
        <v>8</v>
      </c>
      <c r="O32" s="53">
        <v>0.8</v>
      </c>
      <c r="P32" s="53">
        <v>0.95</v>
      </c>
      <c r="Q32" s="75">
        <v>0.88</v>
      </c>
      <c r="R32" s="53">
        <v>11.7</v>
      </c>
      <c r="S32" s="53">
        <v>95</v>
      </c>
      <c r="T32" s="16">
        <f t="shared" si="1"/>
        <v>36</v>
      </c>
      <c r="U32" s="53">
        <v>626</v>
      </c>
      <c r="V32" s="16">
        <f t="shared" si="2"/>
        <v>2817</v>
      </c>
      <c r="W32" s="53">
        <v>1</v>
      </c>
      <c r="X32" s="53" t="s">
        <v>46</v>
      </c>
      <c r="Y32" s="53" t="s">
        <v>78</v>
      </c>
      <c r="Z32" s="53" t="s">
        <v>102</v>
      </c>
      <c r="AA32" s="53" t="s">
        <v>69</v>
      </c>
      <c r="AB32" s="53" t="s">
        <v>158</v>
      </c>
    </row>
    <row r="33" spans="1:28" x14ac:dyDescent="0.15">
      <c r="A33" s="53" t="s">
        <v>41</v>
      </c>
      <c r="B33" s="53" t="s">
        <v>157</v>
      </c>
      <c r="C33" s="62">
        <v>2019</v>
      </c>
      <c r="D33" s="63" t="s">
        <v>188</v>
      </c>
      <c r="E33" s="53" t="s">
        <v>186</v>
      </c>
      <c r="F33" s="53" t="s">
        <v>184</v>
      </c>
      <c r="G33" s="53" t="s">
        <v>42</v>
      </c>
      <c r="H33" s="53" t="s">
        <v>164</v>
      </c>
      <c r="I33" s="53" t="s">
        <v>159</v>
      </c>
      <c r="J33" s="53" t="s">
        <v>38</v>
      </c>
      <c r="K33" s="53" t="s">
        <v>161</v>
      </c>
      <c r="L33" s="53">
        <v>2</v>
      </c>
      <c r="M33" s="76"/>
      <c r="N33" s="53">
        <v>8</v>
      </c>
      <c r="O33" s="53">
        <v>0.9</v>
      </c>
      <c r="P33" s="53">
        <v>1</v>
      </c>
      <c r="Q33" s="75">
        <v>0.9</v>
      </c>
      <c r="R33" s="53">
        <v>13.2</v>
      </c>
      <c r="S33" s="53">
        <v>98</v>
      </c>
      <c r="T33" s="16">
        <f t="shared" si="1"/>
        <v>36</v>
      </c>
      <c r="U33" s="53">
        <v>626</v>
      </c>
      <c r="V33" s="16">
        <f t="shared" si="2"/>
        <v>2817</v>
      </c>
      <c r="W33" s="53">
        <v>1</v>
      </c>
      <c r="X33" s="53" t="s">
        <v>46</v>
      </c>
      <c r="Y33" s="53" t="s">
        <v>78</v>
      </c>
      <c r="Z33" s="53" t="s">
        <v>102</v>
      </c>
      <c r="AA33" s="53" t="s">
        <v>69</v>
      </c>
      <c r="AB33" s="53" t="s">
        <v>158</v>
      </c>
    </row>
    <row r="34" spans="1:28" x14ac:dyDescent="0.15">
      <c r="A34" s="53" t="s">
        <v>41</v>
      </c>
      <c r="B34" s="53" t="s">
        <v>157</v>
      </c>
      <c r="C34" s="62">
        <v>2019</v>
      </c>
      <c r="D34" s="63" t="s">
        <v>188</v>
      </c>
      <c r="E34" s="53" t="s">
        <v>186</v>
      </c>
      <c r="F34" s="53" t="s">
        <v>184</v>
      </c>
      <c r="G34" s="53" t="s">
        <v>42</v>
      </c>
      <c r="H34" s="53" t="s">
        <v>164</v>
      </c>
      <c r="I34" s="53" t="s">
        <v>159</v>
      </c>
      <c r="J34" s="53" t="s">
        <v>38</v>
      </c>
      <c r="K34" s="53" t="s">
        <v>161</v>
      </c>
      <c r="L34" s="53">
        <v>3</v>
      </c>
      <c r="M34" s="76"/>
      <c r="N34" s="53">
        <v>8</v>
      </c>
      <c r="O34" s="53">
        <v>0.7</v>
      </c>
      <c r="P34" s="53">
        <v>0.65</v>
      </c>
      <c r="Q34" s="75">
        <v>0.68</v>
      </c>
      <c r="R34" s="53">
        <v>16.3</v>
      </c>
      <c r="S34" s="53">
        <v>100</v>
      </c>
      <c r="T34" s="16">
        <f t="shared" si="1"/>
        <v>33</v>
      </c>
      <c r="U34" s="53">
        <v>626</v>
      </c>
      <c r="V34" s="16">
        <f t="shared" si="2"/>
        <v>2582.25</v>
      </c>
      <c r="W34" s="53">
        <v>1</v>
      </c>
      <c r="X34" s="53" t="s">
        <v>46</v>
      </c>
      <c r="Y34" s="53" t="s">
        <v>78</v>
      </c>
      <c r="Z34" s="53" t="s">
        <v>102</v>
      </c>
      <c r="AA34" s="53" t="s">
        <v>69</v>
      </c>
      <c r="AB34" s="53" t="s">
        <v>158</v>
      </c>
    </row>
    <row r="35" spans="1:28" x14ac:dyDescent="0.15">
      <c r="A35" s="53" t="s">
        <v>41</v>
      </c>
      <c r="B35" s="53" t="s">
        <v>157</v>
      </c>
      <c r="C35" s="62">
        <v>2019</v>
      </c>
      <c r="D35" s="63" t="s">
        <v>188</v>
      </c>
      <c r="E35" s="53" t="s">
        <v>186</v>
      </c>
      <c r="F35" s="53" t="s">
        <v>189</v>
      </c>
      <c r="G35" s="53" t="s">
        <v>42</v>
      </c>
      <c r="H35" s="53" t="s">
        <v>160</v>
      </c>
      <c r="I35" s="53" t="s">
        <v>159</v>
      </c>
      <c r="J35" s="53" t="s">
        <v>38</v>
      </c>
      <c r="K35" s="53" t="s">
        <v>161</v>
      </c>
      <c r="L35" s="53">
        <v>1</v>
      </c>
      <c r="M35" s="76"/>
      <c r="N35" s="53">
        <v>1</v>
      </c>
      <c r="O35" s="53">
        <v>0.55000000000000004</v>
      </c>
      <c r="P35" s="53">
        <v>0.2</v>
      </c>
      <c r="Q35" s="16">
        <v>0.38</v>
      </c>
      <c r="R35" s="53">
        <v>14.2</v>
      </c>
      <c r="S35" s="53">
        <v>124</v>
      </c>
      <c r="T35" s="16">
        <f t="shared" si="1"/>
        <v>27</v>
      </c>
      <c r="U35" s="53">
        <v>117</v>
      </c>
      <c r="V35" s="16">
        <f t="shared" si="2"/>
        <v>3159</v>
      </c>
      <c r="W35" s="53">
        <v>2</v>
      </c>
      <c r="X35" s="53" t="s">
        <v>46</v>
      </c>
      <c r="Y35" s="53" t="s">
        <v>78</v>
      </c>
      <c r="Z35" s="53" t="s">
        <v>102</v>
      </c>
      <c r="AA35" s="53" t="s">
        <v>69</v>
      </c>
      <c r="AB35" s="53" t="s">
        <v>158</v>
      </c>
    </row>
    <row r="36" spans="1:28" x14ac:dyDescent="0.15">
      <c r="A36" s="53" t="s">
        <v>41</v>
      </c>
      <c r="B36" s="53" t="s">
        <v>157</v>
      </c>
      <c r="C36" s="62">
        <v>2019</v>
      </c>
      <c r="D36" s="63" t="s">
        <v>188</v>
      </c>
      <c r="E36" s="53" t="s">
        <v>186</v>
      </c>
      <c r="F36" s="53" t="s">
        <v>189</v>
      </c>
      <c r="G36" s="53" t="s">
        <v>42</v>
      </c>
      <c r="H36" s="53" t="s">
        <v>160</v>
      </c>
      <c r="I36" s="53" t="s">
        <v>159</v>
      </c>
      <c r="J36" s="53" t="s">
        <v>38</v>
      </c>
      <c r="K36" s="53" t="s">
        <v>161</v>
      </c>
      <c r="L36" s="53">
        <v>2</v>
      </c>
      <c r="M36" s="76"/>
      <c r="N36" s="53">
        <v>1</v>
      </c>
      <c r="O36" s="53">
        <v>0.85</v>
      </c>
      <c r="P36" s="53">
        <v>0.8</v>
      </c>
      <c r="Q36" s="16">
        <v>0.83</v>
      </c>
      <c r="R36" s="53">
        <v>17.2</v>
      </c>
      <c r="S36" s="53">
        <v>122</v>
      </c>
      <c r="T36" s="16">
        <f t="shared" si="1"/>
        <v>27</v>
      </c>
      <c r="U36" s="53">
        <v>117</v>
      </c>
      <c r="V36" s="16">
        <f t="shared" si="2"/>
        <v>3159</v>
      </c>
      <c r="W36" s="53">
        <v>2</v>
      </c>
      <c r="X36" s="53" t="s">
        <v>46</v>
      </c>
      <c r="Y36" s="53" t="s">
        <v>78</v>
      </c>
      <c r="Z36" s="53" t="s">
        <v>102</v>
      </c>
      <c r="AA36" s="53" t="s">
        <v>69</v>
      </c>
      <c r="AB36" s="53" t="s">
        <v>158</v>
      </c>
    </row>
    <row r="37" spans="1:28" x14ac:dyDescent="0.15">
      <c r="A37" s="53" t="s">
        <v>41</v>
      </c>
      <c r="B37" s="53" t="s">
        <v>157</v>
      </c>
      <c r="C37" s="62">
        <v>2019</v>
      </c>
      <c r="D37" s="63" t="s">
        <v>188</v>
      </c>
      <c r="E37" s="53" t="s">
        <v>186</v>
      </c>
      <c r="F37" s="53" t="s">
        <v>189</v>
      </c>
      <c r="G37" s="53" t="s">
        <v>42</v>
      </c>
      <c r="H37" s="53" t="s">
        <v>160</v>
      </c>
      <c r="I37" s="53" t="s">
        <v>159</v>
      </c>
      <c r="J37" s="53" t="s">
        <v>38</v>
      </c>
      <c r="K37" s="53" t="s">
        <v>161</v>
      </c>
      <c r="L37" s="53">
        <v>3</v>
      </c>
      <c r="M37" s="76"/>
      <c r="N37" s="53">
        <v>1</v>
      </c>
      <c r="O37" s="53">
        <v>0.5</v>
      </c>
      <c r="P37" s="53">
        <v>0.5</v>
      </c>
      <c r="Q37" s="16">
        <v>0.5</v>
      </c>
      <c r="R37" s="53">
        <v>16</v>
      </c>
      <c r="S37" s="53">
        <v>126</v>
      </c>
      <c r="T37" s="16">
        <f t="shared" si="1"/>
        <v>27</v>
      </c>
      <c r="U37" s="53">
        <v>117</v>
      </c>
      <c r="V37" s="16">
        <f t="shared" si="2"/>
        <v>3159</v>
      </c>
      <c r="W37" s="53">
        <v>2</v>
      </c>
      <c r="X37" s="53" t="s">
        <v>46</v>
      </c>
      <c r="Y37" s="53" t="s">
        <v>78</v>
      </c>
      <c r="Z37" s="53" t="s">
        <v>102</v>
      </c>
      <c r="AA37" s="53" t="s">
        <v>69</v>
      </c>
      <c r="AB37" s="53" t="s">
        <v>158</v>
      </c>
    </row>
    <row r="38" spans="1:28" x14ac:dyDescent="0.15">
      <c r="A38" s="53" t="s">
        <v>41</v>
      </c>
      <c r="B38" s="53" t="s">
        <v>157</v>
      </c>
      <c r="C38" s="62">
        <v>2019</v>
      </c>
      <c r="D38" s="63" t="s">
        <v>188</v>
      </c>
      <c r="E38" s="53" t="s">
        <v>186</v>
      </c>
      <c r="F38" s="53" t="s">
        <v>189</v>
      </c>
      <c r="G38" s="53" t="s">
        <v>42</v>
      </c>
      <c r="H38" s="53" t="s">
        <v>160</v>
      </c>
      <c r="I38" s="53" t="s">
        <v>159</v>
      </c>
      <c r="J38" s="53" t="s">
        <v>38</v>
      </c>
      <c r="K38" s="53" t="s">
        <v>161</v>
      </c>
      <c r="L38" s="53">
        <v>1</v>
      </c>
      <c r="M38" s="76"/>
      <c r="N38" s="53">
        <v>4</v>
      </c>
      <c r="O38" s="53">
        <v>0.65</v>
      </c>
      <c r="P38" s="53">
        <v>0.4</v>
      </c>
      <c r="Q38" s="16">
        <v>0.8</v>
      </c>
      <c r="R38" s="53">
        <v>12</v>
      </c>
      <c r="S38" s="53">
        <v>114</v>
      </c>
      <c r="T38" s="16">
        <f t="shared" si="1"/>
        <v>30</v>
      </c>
      <c r="U38" s="53">
        <v>429</v>
      </c>
      <c r="V38" s="16">
        <f t="shared" si="2"/>
        <v>3217.5</v>
      </c>
      <c r="W38" s="53">
        <v>2</v>
      </c>
      <c r="X38" s="53" t="s">
        <v>46</v>
      </c>
      <c r="Y38" s="53" t="s">
        <v>78</v>
      </c>
      <c r="Z38" s="53" t="s">
        <v>102</v>
      </c>
      <c r="AA38" s="53" t="s">
        <v>69</v>
      </c>
      <c r="AB38" s="53" t="s">
        <v>158</v>
      </c>
    </row>
    <row r="39" spans="1:28" x14ac:dyDescent="0.15">
      <c r="A39" s="53" t="s">
        <v>41</v>
      </c>
      <c r="B39" s="53" t="s">
        <v>157</v>
      </c>
      <c r="C39" s="62">
        <v>2019</v>
      </c>
      <c r="D39" s="63" t="s">
        <v>188</v>
      </c>
      <c r="E39" s="53" t="s">
        <v>186</v>
      </c>
      <c r="F39" s="53" t="s">
        <v>189</v>
      </c>
      <c r="G39" s="53" t="s">
        <v>42</v>
      </c>
      <c r="H39" s="53" t="s">
        <v>160</v>
      </c>
      <c r="I39" s="53" t="s">
        <v>159</v>
      </c>
      <c r="J39" s="53" t="s">
        <v>38</v>
      </c>
      <c r="K39" s="53" t="s">
        <v>161</v>
      </c>
      <c r="L39" s="53">
        <v>2</v>
      </c>
      <c r="M39" s="76"/>
      <c r="N39" s="53">
        <v>4</v>
      </c>
      <c r="O39" s="53">
        <v>0.3</v>
      </c>
      <c r="P39" s="53">
        <v>0.3</v>
      </c>
      <c r="Q39" s="16">
        <v>0.2</v>
      </c>
      <c r="R39" s="53">
        <v>12.4</v>
      </c>
      <c r="S39" s="53">
        <v>120</v>
      </c>
      <c r="T39" s="16">
        <f t="shared" si="1"/>
        <v>30</v>
      </c>
      <c r="U39" s="53">
        <v>429</v>
      </c>
      <c r="V39" s="16">
        <f t="shared" si="2"/>
        <v>3217.5</v>
      </c>
      <c r="W39" s="53">
        <v>2</v>
      </c>
      <c r="X39" s="53" t="s">
        <v>46</v>
      </c>
      <c r="Y39" s="53" t="s">
        <v>78</v>
      </c>
      <c r="Z39" s="53" t="s">
        <v>102</v>
      </c>
      <c r="AA39" s="53" t="s">
        <v>69</v>
      </c>
      <c r="AB39" s="53" t="s">
        <v>158</v>
      </c>
    </row>
    <row r="40" spans="1:28" x14ac:dyDescent="0.15">
      <c r="A40" s="53" t="s">
        <v>41</v>
      </c>
      <c r="B40" s="53" t="s">
        <v>157</v>
      </c>
      <c r="C40" s="62">
        <v>2019</v>
      </c>
      <c r="D40" s="63" t="s">
        <v>188</v>
      </c>
      <c r="E40" s="53" t="s">
        <v>186</v>
      </c>
      <c r="F40" s="53" t="s">
        <v>189</v>
      </c>
      <c r="G40" s="53" t="s">
        <v>42</v>
      </c>
      <c r="H40" s="53" t="s">
        <v>160</v>
      </c>
      <c r="I40" s="53" t="s">
        <v>159</v>
      </c>
      <c r="J40" s="53" t="s">
        <v>38</v>
      </c>
      <c r="K40" s="53" t="s">
        <v>161</v>
      </c>
      <c r="L40" s="53">
        <v>3</v>
      </c>
      <c r="M40" s="76"/>
      <c r="N40" s="53">
        <v>4</v>
      </c>
      <c r="O40" s="53">
        <v>0.4</v>
      </c>
      <c r="P40" s="53">
        <v>0.35</v>
      </c>
      <c r="Q40" s="16">
        <v>0.6</v>
      </c>
      <c r="R40" s="53">
        <v>13.5</v>
      </c>
      <c r="S40" s="53">
        <v>120</v>
      </c>
      <c r="T40" s="16">
        <f t="shared" si="1"/>
        <v>30</v>
      </c>
      <c r="U40" s="53">
        <v>429</v>
      </c>
      <c r="V40" s="16">
        <f t="shared" si="2"/>
        <v>3217.5</v>
      </c>
      <c r="W40" s="53">
        <v>2</v>
      </c>
      <c r="X40" s="53" t="s">
        <v>46</v>
      </c>
      <c r="Y40" s="53" t="s">
        <v>78</v>
      </c>
      <c r="Z40" s="53" t="s">
        <v>102</v>
      </c>
      <c r="AA40" s="53" t="s">
        <v>69</v>
      </c>
      <c r="AB40" s="53" t="s">
        <v>158</v>
      </c>
    </row>
    <row r="41" spans="1:28" x14ac:dyDescent="0.15">
      <c r="A41" s="53" t="s">
        <v>41</v>
      </c>
      <c r="B41" s="53" t="s">
        <v>157</v>
      </c>
      <c r="C41" s="62">
        <v>2019</v>
      </c>
      <c r="D41" s="63" t="s">
        <v>188</v>
      </c>
      <c r="E41" s="53" t="s">
        <v>186</v>
      </c>
      <c r="F41" s="53" t="s">
        <v>189</v>
      </c>
      <c r="G41" s="53" t="s">
        <v>42</v>
      </c>
      <c r="H41" s="53" t="s">
        <v>164</v>
      </c>
      <c r="I41" s="53" t="s">
        <v>159</v>
      </c>
      <c r="J41" s="53" t="s">
        <v>38</v>
      </c>
      <c r="K41" s="53" t="s">
        <v>161</v>
      </c>
      <c r="L41" s="53">
        <v>1</v>
      </c>
      <c r="M41" s="76"/>
      <c r="N41" s="53">
        <v>1</v>
      </c>
      <c r="O41" s="53">
        <v>1.6</v>
      </c>
      <c r="P41" s="53">
        <v>1.3</v>
      </c>
      <c r="Q41" s="16">
        <v>2.4</v>
      </c>
      <c r="R41" s="53">
        <v>9.8000000000000007</v>
      </c>
      <c r="S41" s="53">
        <v>128</v>
      </c>
      <c r="T41" s="16">
        <f t="shared" si="1"/>
        <v>27</v>
      </c>
      <c r="U41" s="53">
        <v>117</v>
      </c>
      <c r="V41" s="16">
        <f t="shared" si="2"/>
        <v>3159</v>
      </c>
      <c r="W41" s="53">
        <v>2</v>
      </c>
      <c r="X41" s="53" t="s">
        <v>46</v>
      </c>
      <c r="Y41" s="53" t="s">
        <v>78</v>
      </c>
      <c r="Z41" s="53" t="s">
        <v>102</v>
      </c>
      <c r="AA41" s="53" t="s">
        <v>69</v>
      </c>
      <c r="AB41" s="53" t="s">
        <v>158</v>
      </c>
    </row>
    <row r="42" spans="1:28" x14ac:dyDescent="0.15">
      <c r="A42" s="53" t="s">
        <v>41</v>
      </c>
      <c r="B42" s="53" t="s">
        <v>157</v>
      </c>
      <c r="C42" s="62">
        <v>2019</v>
      </c>
      <c r="D42" s="63" t="s">
        <v>188</v>
      </c>
      <c r="E42" s="53" t="s">
        <v>186</v>
      </c>
      <c r="F42" s="53" t="s">
        <v>189</v>
      </c>
      <c r="G42" s="53" t="s">
        <v>42</v>
      </c>
      <c r="H42" s="53" t="s">
        <v>164</v>
      </c>
      <c r="I42" s="53" t="s">
        <v>159</v>
      </c>
      <c r="J42" s="53" t="s">
        <v>38</v>
      </c>
      <c r="K42" s="53" t="s">
        <v>161</v>
      </c>
      <c r="L42" s="53">
        <v>2</v>
      </c>
      <c r="M42" s="76"/>
      <c r="N42" s="53">
        <v>1</v>
      </c>
      <c r="O42" s="53">
        <v>1.3</v>
      </c>
      <c r="P42" s="53">
        <v>1.6</v>
      </c>
      <c r="Q42" s="16">
        <v>1.73</v>
      </c>
      <c r="R42" s="53">
        <v>13.4</v>
      </c>
      <c r="S42" s="53">
        <v>126</v>
      </c>
      <c r="T42" s="16">
        <f t="shared" si="1"/>
        <v>27</v>
      </c>
      <c r="U42" s="53">
        <v>117</v>
      </c>
      <c r="V42" s="16">
        <f t="shared" si="2"/>
        <v>3159</v>
      </c>
      <c r="W42" s="53">
        <v>2</v>
      </c>
      <c r="X42" s="53" t="s">
        <v>46</v>
      </c>
      <c r="Y42" s="53" t="s">
        <v>78</v>
      </c>
      <c r="Z42" s="53" t="s">
        <v>102</v>
      </c>
      <c r="AA42" s="53" t="s">
        <v>69</v>
      </c>
      <c r="AB42" s="53" t="s">
        <v>158</v>
      </c>
    </row>
    <row r="43" spans="1:28" x14ac:dyDescent="0.15">
      <c r="A43" s="53" t="s">
        <v>41</v>
      </c>
      <c r="B43" s="53" t="s">
        <v>157</v>
      </c>
      <c r="C43" s="62">
        <v>2019</v>
      </c>
      <c r="D43" s="63" t="s">
        <v>188</v>
      </c>
      <c r="E43" s="53" t="s">
        <v>186</v>
      </c>
      <c r="F43" s="53" t="s">
        <v>189</v>
      </c>
      <c r="G43" s="53" t="s">
        <v>42</v>
      </c>
      <c r="H43" s="53" t="s">
        <v>164</v>
      </c>
      <c r="I43" s="53" t="s">
        <v>159</v>
      </c>
      <c r="J43" s="53" t="s">
        <v>38</v>
      </c>
      <c r="K43" s="53" t="s">
        <v>161</v>
      </c>
      <c r="L43" s="53">
        <v>3</v>
      </c>
      <c r="M43" s="76"/>
      <c r="N43" s="53">
        <v>1</v>
      </c>
      <c r="O43" s="53">
        <v>1.5</v>
      </c>
      <c r="P43" s="53">
        <v>1.6</v>
      </c>
      <c r="Q43" s="16">
        <v>1.88</v>
      </c>
      <c r="R43" s="53">
        <v>11.5</v>
      </c>
      <c r="S43" s="53">
        <v>125</v>
      </c>
      <c r="T43" s="16">
        <f t="shared" si="1"/>
        <v>27</v>
      </c>
      <c r="U43" s="53">
        <v>117</v>
      </c>
      <c r="V43" s="16">
        <f t="shared" si="2"/>
        <v>3159</v>
      </c>
      <c r="W43" s="53">
        <v>2</v>
      </c>
      <c r="X43" s="53" t="s">
        <v>46</v>
      </c>
      <c r="Y43" s="53" t="s">
        <v>78</v>
      </c>
      <c r="Z43" s="53" t="s">
        <v>102</v>
      </c>
      <c r="AA43" s="53" t="s">
        <v>69</v>
      </c>
      <c r="AB43" s="53" t="s">
        <v>158</v>
      </c>
    </row>
    <row r="44" spans="1:28" x14ac:dyDescent="0.15">
      <c r="A44" s="53" t="s">
        <v>41</v>
      </c>
      <c r="B44" s="53" t="s">
        <v>157</v>
      </c>
      <c r="C44" s="62">
        <v>2019</v>
      </c>
      <c r="D44" s="63" t="s">
        <v>188</v>
      </c>
      <c r="E44" s="53" t="s">
        <v>186</v>
      </c>
      <c r="F44" s="53" t="s">
        <v>189</v>
      </c>
      <c r="G44" s="53" t="s">
        <v>42</v>
      </c>
      <c r="H44" s="53" t="s">
        <v>164</v>
      </c>
      <c r="I44" s="53" t="s">
        <v>159</v>
      </c>
      <c r="J44" s="53" t="s">
        <v>38</v>
      </c>
      <c r="K44" s="53" t="s">
        <v>161</v>
      </c>
      <c r="L44" s="53">
        <v>1</v>
      </c>
      <c r="M44" s="76"/>
      <c r="N44" s="53">
        <v>5</v>
      </c>
      <c r="O44" s="53">
        <v>1.1000000000000001</v>
      </c>
      <c r="P44" s="53">
        <v>1.1499999999999999</v>
      </c>
      <c r="Q44" s="16">
        <v>1.1299999999999999</v>
      </c>
      <c r="R44" s="53">
        <v>13</v>
      </c>
      <c r="S44" s="53">
        <v>110</v>
      </c>
      <c r="T44" s="16">
        <f t="shared" si="1"/>
        <v>33</v>
      </c>
      <c r="U44" s="53">
        <v>429</v>
      </c>
      <c r="V44" s="16">
        <f t="shared" si="2"/>
        <v>2831.4</v>
      </c>
      <c r="W44" s="53">
        <v>2</v>
      </c>
      <c r="X44" s="53" t="s">
        <v>46</v>
      </c>
      <c r="Y44" s="53" t="s">
        <v>78</v>
      </c>
      <c r="Z44" s="53" t="s">
        <v>102</v>
      </c>
      <c r="AA44" s="53" t="s">
        <v>69</v>
      </c>
      <c r="AB44" s="53" t="s">
        <v>158</v>
      </c>
    </row>
    <row r="45" spans="1:28" x14ac:dyDescent="0.15">
      <c r="A45" s="53" t="s">
        <v>41</v>
      </c>
      <c r="B45" s="53" t="s">
        <v>157</v>
      </c>
      <c r="C45" s="62">
        <v>2019</v>
      </c>
      <c r="D45" s="63" t="s">
        <v>188</v>
      </c>
      <c r="E45" s="53" t="s">
        <v>186</v>
      </c>
      <c r="F45" s="53" t="s">
        <v>189</v>
      </c>
      <c r="G45" s="53" t="s">
        <v>42</v>
      </c>
      <c r="H45" s="53" t="s">
        <v>164</v>
      </c>
      <c r="I45" s="53" t="s">
        <v>159</v>
      </c>
      <c r="J45" s="53" t="s">
        <v>38</v>
      </c>
      <c r="K45" s="53" t="s">
        <v>161</v>
      </c>
      <c r="L45" s="53">
        <v>2</v>
      </c>
      <c r="M45" s="76"/>
      <c r="N45" s="53">
        <v>5</v>
      </c>
      <c r="O45" s="53">
        <v>1.3</v>
      </c>
      <c r="P45" s="53">
        <v>1.1000000000000001</v>
      </c>
      <c r="Q45" s="16">
        <v>1.2</v>
      </c>
      <c r="R45" s="53">
        <v>12.8</v>
      </c>
      <c r="S45" s="53">
        <v>114</v>
      </c>
      <c r="T45" s="16">
        <f t="shared" si="1"/>
        <v>30</v>
      </c>
      <c r="U45" s="53">
        <v>429</v>
      </c>
      <c r="V45" s="16">
        <f t="shared" si="2"/>
        <v>2574</v>
      </c>
      <c r="W45" s="53">
        <v>2</v>
      </c>
      <c r="X45" s="53" t="s">
        <v>46</v>
      </c>
      <c r="Y45" s="53" t="s">
        <v>78</v>
      </c>
      <c r="Z45" s="53" t="s">
        <v>102</v>
      </c>
      <c r="AA45" s="53" t="s">
        <v>69</v>
      </c>
      <c r="AB45" s="53" t="s">
        <v>158</v>
      </c>
    </row>
    <row r="46" spans="1:28" x14ac:dyDescent="0.15">
      <c r="A46" s="53" t="s">
        <v>41</v>
      </c>
      <c r="B46" s="53" t="s">
        <v>157</v>
      </c>
      <c r="C46" s="62">
        <v>2019</v>
      </c>
      <c r="D46" s="63" t="s">
        <v>188</v>
      </c>
      <c r="E46" s="53" t="s">
        <v>186</v>
      </c>
      <c r="F46" s="53" t="s">
        <v>189</v>
      </c>
      <c r="G46" s="53" t="s">
        <v>42</v>
      </c>
      <c r="H46" s="53" t="s">
        <v>164</v>
      </c>
      <c r="I46" s="53" t="s">
        <v>159</v>
      </c>
      <c r="J46" s="53" t="s">
        <v>38</v>
      </c>
      <c r="K46" s="53" t="s">
        <v>161</v>
      </c>
      <c r="L46" s="53">
        <v>3</v>
      </c>
      <c r="M46" s="76"/>
      <c r="N46" s="53">
        <v>5</v>
      </c>
      <c r="O46" s="53">
        <v>1.05</v>
      </c>
      <c r="P46" s="53">
        <v>1.2</v>
      </c>
      <c r="Q46" s="16">
        <v>1.1299999999999999</v>
      </c>
      <c r="R46" s="53">
        <v>11.7</v>
      </c>
      <c r="S46" s="53">
        <v>112</v>
      </c>
      <c r="T46" s="16">
        <f t="shared" si="1"/>
        <v>33</v>
      </c>
      <c r="U46" s="53">
        <v>429</v>
      </c>
      <c r="V46" s="16">
        <f t="shared" si="2"/>
        <v>2831.4</v>
      </c>
      <c r="W46" s="53">
        <v>2</v>
      </c>
      <c r="X46" s="53" t="s">
        <v>46</v>
      </c>
      <c r="Y46" s="53" t="s">
        <v>78</v>
      </c>
      <c r="Z46" s="53" t="s">
        <v>102</v>
      </c>
      <c r="AA46" s="53" t="s">
        <v>69</v>
      </c>
      <c r="AB46" s="53" t="s">
        <v>158</v>
      </c>
    </row>
    <row r="47" spans="1:28" x14ac:dyDescent="0.15">
      <c r="A47" s="53" t="s">
        <v>41</v>
      </c>
      <c r="B47" s="53" t="s">
        <v>157</v>
      </c>
      <c r="C47" s="62">
        <v>2019</v>
      </c>
      <c r="D47" s="63" t="s">
        <v>188</v>
      </c>
      <c r="E47" s="53" t="s">
        <v>194</v>
      </c>
      <c r="F47" s="53" t="s">
        <v>184</v>
      </c>
      <c r="G47" s="53" t="s">
        <v>42</v>
      </c>
      <c r="H47" s="53" t="s">
        <v>164</v>
      </c>
      <c r="I47" s="53" t="s">
        <v>159</v>
      </c>
      <c r="J47" s="53" t="s">
        <v>38</v>
      </c>
      <c r="K47" s="53" t="s">
        <v>161</v>
      </c>
      <c r="L47" s="53">
        <v>1</v>
      </c>
      <c r="N47" s="53">
        <v>1</v>
      </c>
      <c r="O47" s="53">
        <v>0.8</v>
      </c>
      <c r="P47" s="53">
        <v>0.95</v>
      </c>
      <c r="Q47" s="75">
        <f t="shared" ref="Q47:Q113" si="3">IF(OR(O47="",P47=""),"",AVERAGE(O47,P47))</f>
        <v>0.875</v>
      </c>
      <c r="R47" s="53">
        <v>11.2</v>
      </c>
      <c r="S47" s="53">
        <v>124</v>
      </c>
      <c r="T47" s="16">
        <f t="shared" si="1"/>
        <v>27</v>
      </c>
      <c r="U47" s="53">
        <v>96</v>
      </c>
      <c r="V47" s="16">
        <f t="shared" si="2"/>
        <v>2592</v>
      </c>
      <c r="W47" s="53">
        <v>2</v>
      </c>
      <c r="X47" s="53" t="s">
        <v>46</v>
      </c>
      <c r="Y47" s="53" t="s">
        <v>102</v>
      </c>
      <c r="Z47" s="53" t="s">
        <v>78</v>
      </c>
      <c r="AA47" s="53" t="s">
        <v>69</v>
      </c>
      <c r="AB47" s="53" t="s">
        <v>158</v>
      </c>
    </row>
    <row r="48" spans="1:28" x14ac:dyDescent="0.15">
      <c r="A48" s="53" t="s">
        <v>41</v>
      </c>
      <c r="B48" s="53" t="s">
        <v>157</v>
      </c>
      <c r="C48" s="62">
        <v>2019</v>
      </c>
      <c r="D48" s="63" t="s">
        <v>188</v>
      </c>
      <c r="E48" s="53" t="s">
        <v>194</v>
      </c>
      <c r="F48" s="53" t="s">
        <v>184</v>
      </c>
      <c r="G48" s="53" t="s">
        <v>42</v>
      </c>
      <c r="H48" s="53" t="s">
        <v>164</v>
      </c>
      <c r="I48" s="53" t="s">
        <v>159</v>
      </c>
      <c r="J48" s="53" t="s">
        <v>38</v>
      </c>
      <c r="K48" s="53" t="s">
        <v>161</v>
      </c>
      <c r="L48" s="53">
        <v>2</v>
      </c>
      <c r="M48" s="76"/>
      <c r="N48" s="53">
        <v>1</v>
      </c>
      <c r="O48" s="53">
        <v>0.9</v>
      </c>
      <c r="P48" s="53">
        <v>0.8</v>
      </c>
      <c r="Q48" s="75">
        <f t="shared" si="3"/>
        <v>0.85000000000000009</v>
      </c>
      <c r="R48" s="53">
        <v>13.5</v>
      </c>
      <c r="S48" s="53">
        <v>122</v>
      </c>
      <c r="T48" s="16">
        <f t="shared" si="1"/>
        <v>27</v>
      </c>
      <c r="U48" s="53">
        <v>96</v>
      </c>
      <c r="V48" s="16">
        <f t="shared" si="2"/>
        <v>2592</v>
      </c>
      <c r="W48" s="53">
        <v>2</v>
      </c>
      <c r="X48" s="53" t="s">
        <v>46</v>
      </c>
      <c r="Y48" s="53" t="s">
        <v>102</v>
      </c>
      <c r="Z48" s="53" t="s">
        <v>78</v>
      </c>
      <c r="AA48" s="53" t="s">
        <v>69</v>
      </c>
      <c r="AB48" s="53" t="s">
        <v>158</v>
      </c>
    </row>
    <row r="49" spans="1:34" x14ac:dyDescent="0.15">
      <c r="A49" s="53" t="s">
        <v>41</v>
      </c>
      <c r="B49" s="53" t="s">
        <v>157</v>
      </c>
      <c r="C49" s="62">
        <v>2019</v>
      </c>
      <c r="D49" s="63" t="s">
        <v>188</v>
      </c>
      <c r="E49" s="53" t="s">
        <v>194</v>
      </c>
      <c r="F49" s="53" t="s">
        <v>184</v>
      </c>
      <c r="G49" s="53" t="s">
        <v>42</v>
      </c>
      <c r="H49" s="53" t="s">
        <v>164</v>
      </c>
      <c r="I49" s="53" t="s">
        <v>159</v>
      </c>
      <c r="J49" s="53" t="s">
        <v>38</v>
      </c>
      <c r="K49" s="53" t="s">
        <v>161</v>
      </c>
      <c r="L49" s="53">
        <v>3</v>
      </c>
      <c r="M49" s="76"/>
      <c r="N49" s="53">
        <v>1</v>
      </c>
      <c r="O49" s="53">
        <v>1</v>
      </c>
      <c r="P49" s="53">
        <v>1.1000000000000001</v>
      </c>
      <c r="Q49" s="75">
        <f t="shared" si="3"/>
        <v>1.05</v>
      </c>
      <c r="R49" s="53">
        <v>12.8</v>
      </c>
      <c r="S49" s="53">
        <v>123</v>
      </c>
      <c r="T49" s="16">
        <f t="shared" si="1"/>
        <v>27</v>
      </c>
      <c r="U49" s="53">
        <v>96</v>
      </c>
      <c r="V49" s="16">
        <f t="shared" si="2"/>
        <v>2592</v>
      </c>
      <c r="W49" s="53">
        <v>2</v>
      </c>
      <c r="X49" s="53" t="s">
        <v>46</v>
      </c>
      <c r="Y49" s="53" t="s">
        <v>102</v>
      </c>
      <c r="Z49" s="53" t="s">
        <v>78</v>
      </c>
      <c r="AA49" s="53" t="s">
        <v>69</v>
      </c>
      <c r="AB49" s="53" t="s">
        <v>158</v>
      </c>
    </row>
    <row r="50" spans="1:34" x14ac:dyDescent="0.15">
      <c r="A50" s="53" t="s">
        <v>41</v>
      </c>
      <c r="B50" s="53" t="s">
        <v>157</v>
      </c>
      <c r="C50" s="62">
        <v>2019</v>
      </c>
      <c r="D50" s="63" t="s">
        <v>188</v>
      </c>
      <c r="E50" s="53" t="s">
        <v>194</v>
      </c>
      <c r="F50" s="53" t="s">
        <v>184</v>
      </c>
      <c r="G50" s="53" t="s">
        <v>42</v>
      </c>
      <c r="H50" s="53" t="s">
        <v>164</v>
      </c>
      <c r="I50" s="53" t="s">
        <v>159</v>
      </c>
      <c r="J50" s="53" t="s">
        <v>38</v>
      </c>
      <c r="K50" s="53" t="s">
        <v>161</v>
      </c>
      <c r="L50" s="53">
        <v>1</v>
      </c>
      <c r="N50" s="53">
        <v>10</v>
      </c>
      <c r="O50" s="53">
        <v>1.2</v>
      </c>
      <c r="P50" s="53">
        <v>1.3</v>
      </c>
      <c r="Q50" s="75">
        <f t="shared" si="3"/>
        <v>1.25</v>
      </c>
      <c r="R50" s="53">
        <v>11.5</v>
      </c>
      <c r="S50" s="53">
        <v>100</v>
      </c>
      <c r="T50" s="16">
        <f t="shared" si="1"/>
        <v>33</v>
      </c>
      <c r="U50" s="53">
        <v>950</v>
      </c>
      <c r="V50" s="16">
        <f t="shared" si="2"/>
        <v>3135</v>
      </c>
      <c r="W50" s="53">
        <v>2</v>
      </c>
      <c r="X50" s="53" t="s">
        <v>46</v>
      </c>
      <c r="Y50" s="53" t="s">
        <v>102</v>
      </c>
      <c r="Z50" s="53" t="s">
        <v>78</v>
      </c>
      <c r="AA50" s="53" t="s">
        <v>69</v>
      </c>
      <c r="AB50" s="53" t="s">
        <v>158</v>
      </c>
    </row>
    <row r="51" spans="1:34" x14ac:dyDescent="0.15">
      <c r="A51" s="53" t="s">
        <v>41</v>
      </c>
      <c r="B51" s="53" t="s">
        <v>157</v>
      </c>
      <c r="C51" s="62">
        <v>2019</v>
      </c>
      <c r="D51" s="63" t="s">
        <v>188</v>
      </c>
      <c r="E51" s="53" t="s">
        <v>194</v>
      </c>
      <c r="F51" s="53" t="s">
        <v>184</v>
      </c>
      <c r="G51" s="53" t="s">
        <v>42</v>
      </c>
      <c r="H51" s="53" t="s">
        <v>164</v>
      </c>
      <c r="I51" s="53" t="s">
        <v>159</v>
      </c>
      <c r="J51" s="53" t="s">
        <v>38</v>
      </c>
      <c r="K51" s="53" t="s">
        <v>161</v>
      </c>
      <c r="L51" s="53">
        <v>2</v>
      </c>
      <c r="M51" s="76"/>
      <c r="N51" s="53">
        <v>10</v>
      </c>
      <c r="O51" s="53">
        <v>1</v>
      </c>
      <c r="P51" s="53">
        <v>0.95</v>
      </c>
      <c r="Q51" s="75">
        <f t="shared" si="3"/>
        <v>0.97499999999999998</v>
      </c>
      <c r="R51" s="53">
        <v>14.1</v>
      </c>
      <c r="S51" s="53">
        <v>104</v>
      </c>
      <c r="T51" s="16">
        <f t="shared" si="1"/>
        <v>33</v>
      </c>
      <c r="U51" s="53">
        <v>950</v>
      </c>
      <c r="V51" s="16">
        <f t="shared" si="2"/>
        <v>3135</v>
      </c>
      <c r="W51" s="53">
        <v>2</v>
      </c>
      <c r="X51" s="53" t="s">
        <v>46</v>
      </c>
      <c r="Y51" s="53" t="s">
        <v>102</v>
      </c>
      <c r="Z51" s="53" t="s">
        <v>78</v>
      </c>
      <c r="AA51" s="53" t="s">
        <v>69</v>
      </c>
      <c r="AB51" s="53" t="s">
        <v>158</v>
      </c>
    </row>
    <row r="52" spans="1:34" x14ac:dyDescent="0.15">
      <c r="A52" s="53" t="s">
        <v>41</v>
      </c>
      <c r="B52" s="53" t="s">
        <v>157</v>
      </c>
      <c r="C52" s="62">
        <v>2019</v>
      </c>
      <c r="D52" s="63" t="s">
        <v>188</v>
      </c>
      <c r="E52" s="53" t="s">
        <v>194</v>
      </c>
      <c r="F52" s="53" t="s">
        <v>184</v>
      </c>
      <c r="G52" s="53" t="s">
        <v>42</v>
      </c>
      <c r="H52" s="53" t="s">
        <v>164</v>
      </c>
      <c r="I52" s="53" t="s">
        <v>159</v>
      </c>
      <c r="J52" s="53" t="s">
        <v>38</v>
      </c>
      <c r="K52" s="53" t="s">
        <v>161</v>
      </c>
      <c r="L52" s="53">
        <v>3</v>
      </c>
      <c r="M52" s="76"/>
      <c r="N52" s="53">
        <v>10</v>
      </c>
      <c r="O52" s="53">
        <v>1.2</v>
      </c>
      <c r="P52" s="53">
        <v>1.05</v>
      </c>
      <c r="Q52" s="75">
        <f t="shared" si="3"/>
        <v>1.125</v>
      </c>
      <c r="R52" s="53">
        <v>14.2</v>
      </c>
      <c r="S52" s="53">
        <v>108</v>
      </c>
      <c r="T52" s="16">
        <f t="shared" si="1"/>
        <v>33</v>
      </c>
      <c r="U52" s="53">
        <v>950</v>
      </c>
      <c r="V52" s="16">
        <f t="shared" si="2"/>
        <v>3135</v>
      </c>
      <c r="W52" s="53">
        <v>2</v>
      </c>
      <c r="X52" s="53" t="s">
        <v>46</v>
      </c>
      <c r="Y52" s="53" t="s">
        <v>102</v>
      </c>
      <c r="Z52" s="53" t="s">
        <v>78</v>
      </c>
      <c r="AA52" s="53" t="s">
        <v>69</v>
      </c>
      <c r="AB52" s="53" t="s">
        <v>158</v>
      </c>
    </row>
    <row r="53" spans="1:34" x14ac:dyDescent="0.15">
      <c r="A53" s="53" t="s">
        <v>41</v>
      </c>
      <c r="B53" s="53" t="s">
        <v>157</v>
      </c>
      <c r="C53" s="62">
        <v>2019</v>
      </c>
      <c r="D53" s="63" t="s">
        <v>188</v>
      </c>
      <c r="E53" s="53" t="s">
        <v>194</v>
      </c>
      <c r="F53" s="53" t="s">
        <v>184</v>
      </c>
      <c r="G53" s="53" t="s">
        <v>42</v>
      </c>
      <c r="H53" s="53" t="s">
        <v>160</v>
      </c>
      <c r="I53" s="53" t="s">
        <v>159</v>
      </c>
      <c r="J53" s="53" t="s">
        <v>38</v>
      </c>
      <c r="K53" s="53" t="s">
        <v>161</v>
      </c>
      <c r="L53" s="53">
        <v>1</v>
      </c>
      <c r="N53" s="53">
        <v>1</v>
      </c>
      <c r="O53" s="53">
        <v>0.85</v>
      </c>
      <c r="P53" s="53">
        <v>0.95</v>
      </c>
      <c r="Q53" s="75">
        <f t="shared" si="3"/>
        <v>0.89999999999999991</v>
      </c>
      <c r="R53" s="53">
        <v>12.3</v>
      </c>
      <c r="S53" s="53">
        <v>123</v>
      </c>
      <c r="T53" s="16">
        <f t="shared" si="1"/>
        <v>27</v>
      </c>
      <c r="U53" s="53">
        <v>96</v>
      </c>
      <c r="V53" s="16">
        <f t="shared" si="2"/>
        <v>2592</v>
      </c>
      <c r="W53" s="53">
        <v>1</v>
      </c>
      <c r="X53" s="53" t="s">
        <v>46</v>
      </c>
      <c r="Y53" s="53" t="s">
        <v>102</v>
      </c>
      <c r="Z53" s="53" t="s">
        <v>78</v>
      </c>
      <c r="AA53" s="53" t="s">
        <v>69</v>
      </c>
      <c r="AB53" s="53" t="s">
        <v>158</v>
      </c>
    </row>
    <row r="54" spans="1:34" x14ac:dyDescent="0.15">
      <c r="A54" s="53" t="s">
        <v>41</v>
      </c>
      <c r="B54" s="53" t="s">
        <v>157</v>
      </c>
      <c r="C54" s="62">
        <v>2019</v>
      </c>
      <c r="D54" s="63" t="s">
        <v>188</v>
      </c>
      <c r="E54" s="53" t="s">
        <v>194</v>
      </c>
      <c r="F54" s="53" t="s">
        <v>184</v>
      </c>
      <c r="G54" s="53" t="s">
        <v>42</v>
      </c>
      <c r="H54" s="53" t="s">
        <v>160</v>
      </c>
      <c r="I54" s="53" t="s">
        <v>159</v>
      </c>
      <c r="J54" s="53" t="s">
        <v>38</v>
      </c>
      <c r="K54" s="53" t="s">
        <v>161</v>
      </c>
      <c r="L54" s="53">
        <v>2</v>
      </c>
      <c r="M54" s="76"/>
      <c r="N54" s="53">
        <v>1</v>
      </c>
      <c r="O54" s="53">
        <v>0.95</v>
      </c>
      <c r="P54" s="53">
        <v>0.9</v>
      </c>
      <c r="Q54" s="75">
        <f t="shared" si="3"/>
        <v>0.92500000000000004</v>
      </c>
      <c r="R54" s="53">
        <v>11.2</v>
      </c>
      <c r="S54" s="53">
        <v>124</v>
      </c>
      <c r="T54" s="16">
        <f t="shared" si="1"/>
        <v>27</v>
      </c>
      <c r="U54" s="53">
        <v>96</v>
      </c>
      <c r="V54" s="16">
        <f t="shared" si="2"/>
        <v>2592</v>
      </c>
      <c r="W54" s="53">
        <v>1</v>
      </c>
      <c r="X54" s="53" t="s">
        <v>46</v>
      </c>
      <c r="Y54" s="53" t="s">
        <v>102</v>
      </c>
      <c r="Z54" s="53" t="s">
        <v>78</v>
      </c>
      <c r="AA54" s="53" t="s">
        <v>69</v>
      </c>
      <c r="AB54" s="53" t="s">
        <v>158</v>
      </c>
    </row>
    <row r="55" spans="1:34" x14ac:dyDescent="0.15">
      <c r="A55" s="53" t="s">
        <v>41</v>
      </c>
      <c r="B55" s="53" t="s">
        <v>157</v>
      </c>
      <c r="C55" s="62">
        <v>2019</v>
      </c>
      <c r="D55" s="63" t="s">
        <v>188</v>
      </c>
      <c r="E55" s="53" t="s">
        <v>194</v>
      </c>
      <c r="F55" s="53" t="s">
        <v>184</v>
      </c>
      <c r="G55" s="53" t="s">
        <v>42</v>
      </c>
      <c r="H55" s="53" t="s">
        <v>160</v>
      </c>
      <c r="I55" s="53" t="s">
        <v>159</v>
      </c>
      <c r="J55" s="53" t="s">
        <v>38</v>
      </c>
      <c r="K55" s="53" t="s">
        <v>161</v>
      </c>
      <c r="L55" s="53">
        <v>3</v>
      </c>
      <c r="M55" s="76"/>
      <c r="N55" s="53">
        <v>1</v>
      </c>
      <c r="O55" s="53">
        <v>0.8</v>
      </c>
      <c r="P55" s="53">
        <v>0.7</v>
      </c>
      <c r="Q55" s="75">
        <f t="shared" si="3"/>
        <v>0.75</v>
      </c>
      <c r="R55" s="53">
        <v>13.8</v>
      </c>
      <c r="S55" s="53">
        <v>120</v>
      </c>
      <c r="T55" s="16">
        <f t="shared" si="1"/>
        <v>30</v>
      </c>
      <c r="U55" s="53">
        <v>96</v>
      </c>
      <c r="V55" s="16">
        <f t="shared" si="2"/>
        <v>2880</v>
      </c>
      <c r="W55" s="53">
        <v>1</v>
      </c>
      <c r="X55" s="53" t="s">
        <v>46</v>
      </c>
      <c r="Y55" s="53" t="s">
        <v>102</v>
      </c>
      <c r="Z55" s="53" t="s">
        <v>78</v>
      </c>
      <c r="AA55" s="53" t="s">
        <v>69</v>
      </c>
      <c r="AB55" s="53" t="s">
        <v>158</v>
      </c>
    </row>
    <row r="56" spans="1:34" x14ac:dyDescent="0.15">
      <c r="A56" s="53" t="s">
        <v>41</v>
      </c>
      <c r="B56" s="53" t="s">
        <v>157</v>
      </c>
      <c r="C56" s="62">
        <v>2019</v>
      </c>
      <c r="D56" s="63" t="s">
        <v>188</v>
      </c>
      <c r="E56" s="53" t="s">
        <v>194</v>
      </c>
      <c r="F56" s="53" t="s">
        <v>196</v>
      </c>
      <c r="G56" s="53" t="s">
        <v>42</v>
      </c>
      <c r="H56" s="53" t="s">
        <v>164</v>
      </c>
      <c r="I56" s="53" t="s">
        <v>159</v>
      </c>
      <c r="J56" s="53" t="s">
        <v>38</v>
      </c>
      <c r="K56" s="53" t="s">
        <v>161</v>
      </c>
      <c r="L56" s="53">
        <v>1</v>
      </c>
      <c r="N56" s="53">
        <v>1</v>
      </c>
      <c r="O56" s="53">
        <v>1.25</v>
      </c>
      <c r="P56" s="53">
        <v>1.2</v>
      </c>
      <c r="Q56" s="75">
        <f t="shared" si="3"/>
        <v>1.2250000000000001</v>
      </c>
      <c r="R56" s="53">
        <v>13.2</v>
      </c>
      <c r="S56" s="53">
        <v>122</v>
      </c>
      <c r="T56" s="16">
        <f t="shared" si="1"/>
        <v>27</v>
      </c>
      <c r="U56" s="53">
        <v>94</v>
      </c>
      <c r="V56" s="16">
        <f t="shared" si="2"/>
        <v>2538</v>
      </c>
      <c r="W56" s="53">
        <v>1</v>
      </c>
      <c r="X56" s="53" t="s">
        <v>46</v>
      </c>
      <c r="Y56" s="53" t="s">
        <v>69</v>
      </c>
      <c r="Z56" s="53" t="s">
        <v>102</v>
      </c>
      <c r="AA56" s="53" t="s">
        <v>78</v>
      </c>
      <c r="AB56" s="53" t="s">
        <v>158</v>
      </c>
    </row>
    <row r="57" spans="1:34" x14ac:dyDescent="0.15">
      <c r="A57" s="53" t="s">
        <v>41</v>
      </c>
      <c r="B57" s="53" t="s">
        <v>157</v>
      </c>
      <c r="C57" s="62">
        <v>2019</v>
      </c>
      <c r="D57" s="63" t="s">
        <v>188</v>
      </c>
      <c r="E57" s="53" t="s">
        <v>194</v>
      </c>
      <c r="F57" s="53" t="s">
        <v>196</v>
      </c>
      <c r="G57" s="53" t="s">
        <v>42</v>
      </c>
      <c r="H57" s="53" t="s">
        <v>164</v>
      </c>
      <c r="I57" s="53" t="s">
        <v>159</v>
      </c>
      <c r="J57" s="53" t="s">
        <v>38</v>
      </c>
      <c r="K57" s="53" t="s">
        <v>161</v>
      </c>
      <c r="L57" s="53">
        <v>2</v>
      </c>
      <c r="M57" s="76"/>
      <c r="N57" s="53">
        <v>1</v>
      </c>
      <c r="O57" s="53">
        <v>0.75</v>
      </c>
      <c r="P57" s="53">
        <v>0.6</v>
      </c>
      <c r="Q57" s="75">
        <f t="shared" si="3"/>
        <v>0.67500000000000004</v>
      </c>
      <c r="R57" s="53">
        <v>15.2</v>
      </c>
      <c r="S57" s="53">
        <v>122</v>
      </c>
      <c r="T57" s="16">
        <f t="shared" si="1"/>
        <v>27</v>
      </c>
      <c r="U57" s="53">
        <v>94</v>
      </c>
      <c r="V57" s="16">
        <f t="shared" si="2"/>
        <v>2538</v>
      </c>
      <c r="W57" s="53">
        <v>1</v>
      </c>
      <c r="X57" s="53" t="s">
        <v>46</v>
      </c>
      <c r="Y57" s="53" t="s">
        <v>69</v>
      </c>
      <c r="Z57" s="53" t="s">
        <v>102</v>
      </c>
      <c r="AA57" s="53" t="s">
        <v>78</v>
      </c>
      <c r="AB57" s="53" t="s">
        <v>158</v>
      </c>
    </row>
    <row r="58" spans="1:34" x14ac:dyDescent="0.15">
      <c r="A58" s="53" t="s">
        <v>41</v>
      </c>
      <c r="B58" s="53" t="s">
        <v>157</v>
      </c>
      <c r="C58" s="62">
        <v>2019</v>
      </c>
      <c r="D58" s="63" t="s">
        <v>188</v>
      </c>
      <c r="E58" s="53" t="s">
        <v>194</v>
      </c>
      <c r="F58" s="53" t="s">
        <v>196</v>
      </c>
      <c r="G58" s="53" t="s">
        <v>42</v>
      </c>
      <c r="H58" s="53" t="s">
        <v>164</v>
      </c>
      <c r="I58" s="53" t="s">
        <v>159</v>
      </c>
      <c r="J58" s="53" t="s">
        <v>38</v>
      </c>
      <c r="K58" s="53" t="s">
        <v>161</v>
      </c>
      <c r="L58" s="53">
        <v>3</v>
      </c>
      <c r="M58" s="76"/>
      <c r="N58" s="53">
        <v>1</v>
      </c>
      <c r="O58" s="53">
        <v>0.7</v>
      </c>
      <c r="P58" s="53">
        <v>0.65</v>
      </c>
      <c r="Q58" s="75">
        <f t="shared" si="3"/>
        <v>0.67500000000000004</v>
      </c>
      <c r="R58" s="53">
        <v>14.2</v>
      </c>
      <c r="S58" s="53">
        <v>124</v>
      </c>
      <c r="T58" s="16">
        <f t="shared" si="1"/>
        <v>27</v>
      </c>
      <c r="U58" s="53">
        <v>94</v>
      </c>
      <c r="V58" s="16">
        <f t="shared" si="2"/>
        <v>2538</v>
      </c>
      <c r="W58" s="53">
        <v>1</v>
      </c>
      <c r="X58" s="53" t="s">
        <v>46</v>
      </c>
      <c r="Y58" s="53" t="s">
        <v>69</v>
      </c>
      <c r="Z58" s="53" t="s">
        <v>102</v>
      </c>
      <c r="AA58" s="53" t="s">
        <v>78</v>
      </c>
      <c r="AB58" s="53" t="s">
        <v>158</v>
      </c>
    </row>
    <row r="59" spans="1:34" x14ac:dyDescent="0.15">
      <c r="A59" s="53" t="s">
        <v>41</v>
      </c>
      <c r="B59" s="53" t="s">
        <v>157</v>
      </c>
      <c r="C59" s="62">
        <v>2019</v>
      </c>
      <c r="D59" s="63" t="s">
        <v>188</v>
      </c>
      <c r="E59" s="53" t="s">
        <v>194</v>
      </c>
      <c r="F59" s="53" t="s">
        <v>196</v>
      </c>
      <c r="G59" s="53" t="s">
        <v>42</v>
      </c>
      <c r="H59" s="53" t="s">
        <v>164</v>
      </c>
      <c r="I59" s="53" t="s">
        <v>159</v>
      </c>
      <c r="J59" s="53" t="s">
        <v>38</v>
      </c>
      <c r="K59" s="53" t="s">
        <v>161</v>
      </c>
      <c r="L59" s="53">
        <v>1</v>
      </c>
      <c r="N59" s="53">
        <v>4</v>
      </c>
      <c r="O59" s="53">
        <v>0.9</v>
      </c>
      <c r="P59" s="53">
        <v>0.8</v>
      </c>
      <c r="Q59" s="75">
        <f t="shared" si="3"/>
        <v>0.85000000000000009</v>
      </c>
      <c r="R59" s="53">
        <v>11.2</v>
      </c>
      <c r="S59" s="53">
        <v>111</v>
      </c>
      <c r="T59" s="16">
        <f t="shared" si="1"/>
        <v>33</v>
      </c>
      <c r="U59" s="53">
        <v>376</v>
      </c>
      <c r="V59" s="16">
        <f t="shared" si="2"/>
        <v>3102</v>
      </c>
      <c r="W59" s="53">
        <v>2</v>
      </c>
      <c r="X59" s="53" t="s">
        <v>46</v>
      </c>
      <c r="Y59" s="53" t="s">
        <v>69</v>
      </c>
      <c r="Z59" s="53" t="s">
        <v>102</v>
      </c>
      <c r="AA59" s="53" t="s">
        <v>78</v>
      </c>
      <c r="AB59" s="53" t="s">
        <v>158</v>
      </c>
    </row>
    <row r="60" spans="1:34" x14ac:dyDescent="0.15">
      <c r="A60" s="53" t="s">
        <v>41</v>
      </c>
      <c r="B60" s="53" t="s">
        <v>157</v>
      </c>
      <c r="C60" s="62">
        <v>2019</v>
      </c>
      <c r="D60" s="63" t="s">
        <v>188</v>
      </c>
      <c r="E60" s="53" t="s">
        <v>194</v>
      </c>
      <c r="F60" s="53" t="s">
        <v>196</v>
      </c>
      <c r="G60" s="53" t="s">
        <v>42</v>
      </c>
      <c r="H60" s="53" t="s">
        <v>164</v>
      </c>
      <c r="I60" s="53" t="s">
        <v>159</v>
      </c>
      <c r="J60" s="53" t="s">
        <v>38</v>
      </c>
      <c r="K60" s="53" t="s">
        <v>161</v>
      </c>
      <c r="L60" s="53">
        <v>2</v>
      </c>
      <c r="M60" s="76"/>
      <c r="N60" s="53">
        <v>4</v>
      </c>
      <c r="O60" s="53">
        <v>1</v>
      </c>
      <c r="P60" s="53">
        <v>1.1000000000000001</v>
      </c>
      <c r="Q60" s="75">
        <f t="shared" si="3"/>
        <v>1.05</v>
      </c>
      <c r="R60" s="53">
        <v>12.2</v>
      </c>
      <c r="S60" s="53">
        <v>100</v>
      </c>
      <c r="T60" s="16">
        <f t="shared" si="1"/>
        <v>33</v>
      </c>
      <c r="U60" s="53">
        <v>376</v>
      </c>
      <c r="V60" s="16">
        <f t="shared" si="2"/>
        <v>3102</v>
      </c>
      <c r="W60" s="53">
        <v>2</v>
      </c>
      <c r="X60" s="53" t="s">
        <v>46</v>
      </c>
      <c r="Y60" s="53" t="s">
        <v>69</v>
      </c>
      <c r="Z60" s="53" t="s">
        <v>102</v>
      </c>
      <c r="AA60" s="53" t="s">
        <v>78</v>
      </c>
      <c r="AB60" s="53" t="s">
        <v>158</v>
      </c>
    </row>
    <row r="61" spans="1:34" x14ac:dyDescent="0.15">
      <c r="A61" s="53" t="s">
        <v>41</v>
      </c>
      <c r="B61" s="53" t="s">
        <v>157</v>
      </c>
      <c r="C61" s="62">
        <v>2019</v>
      </c>
      <c r="D61" s="63" t="s">
        <v>188</v>
      </c>
      <c r="E61" s="53" t="s">
        <v>194</v>
      </c>
      <c r="F61" s="53" t="s">
        <v>196</v>
      </c>
      <c r="G61" s="53" t="s">
        <v>42</v>
      </c>
      <c r="H61" s="53" t="s">
        <v>164</v>
      </c>
      <c r="I61" s="53" t="s">
        <v>159</v>
      </c>
      <c r="J61" s="53" t="s">
        <v>38</v>
      </c>
      <c r="K61" s="53" t="s">
        <v>161</v>
      </c>
      <c r="L61" s="53">
        <v>3</v>
      </c>
      <c r="M61" s="76"/>
      <c r="N61" s="53">
        <v>4</v>
      </c>
      <c r="O61" s="53">
        <v>0.85</v>
      </c>
      <c r="P61" s="53">
        <v>0.6</v>
      </c>
      <c r="Q61" s="75">
        <f t="shared" si="3"/>
        <v>0.72499999999999998</v>
      </c>
      <c r="R61" s="53">
        <v>10.199999999999999</v>
      </c>
      <c r="S61" s="53">
        <v>107</v>
      </c>
      <c r="T61" s="16">
        <f t="shared" si="1"/>
        <v>33</v>
      </c>
      <c r="U61" s="53">
        <v>376</v>
      </c>
      <c r="V61" s="16">
        <f t="shared" si="2"/>
        <v>3102</v>
      </c>
      <c r="W61" s="53">
        <v>2</v>
      </c>
      <c r="X61" s="53" t="s">
        <v>46</v>
      </c>
      <c r="Y61" s="53" t="s">
        <v>69</v>
      </c>
      <c r="Z61" s="53" t="s">
        <v>102</v>
      </c>
      <c r="AA61" s="53" t="s">
        <v>78</v>
      </c>
      <c r="AB61" s="53" t="s">
        <v>158</v>
      </c>
    </row>
    <row r="62" spans="1:34" x14ac:dyDescent="0.15">
      <c r="A62" s="53" t="s">
        <v>41</v>
      </c>
      <c r="B62" s="53" t="s">
        <v>157</v>
      </c>
      <c r="C62" s="62">
        <v>2019</v>
      </c>
      <c r="D62" s="63" t="s">
        <v>188</v>
      </c>
      <c r="E62" s="53" t="s">
        <v>194</v>
      </c>
      <c r="F62" s="53" t="s">
        <v>196</v>
      </c>
      <c r="G62" s="53" t="s">
        <v>42</v>
      </c>
      <c r="H62" s="53" t="s">
        <v>164</v>
      </c>
      <c r="I62" s="53" t="s">
        <v>159</v>
      </c>
      <c r="J62" s="53" t="s">
        <v>38</v>
      </c>
      <c r="K62" s="53" t="s">
        <v>161</v>
      </c>
      <c r="L62" s="53">
        <v>1</v>
      </c>
      <c r="N62" s="53">
        <v>8</v>
      </c>
      <c r="O62" s="53">
        <v>0.7</v>
      </c>
      <c r="P62" s="53">
        <v>0.5</v>
      </c>
      <c r="Q62" s="75">
        <f t="shared" si="3"/>
        <v>0.6</v>
      </c>
      <c r="R62" s="53">
        <v>12.2</v>
      </c>
      <c r="S62" s="53">
        <v>95</v>
      </c>
      <c r="T62" s="16">
        <f t="shared" si="1"/>
        <v>36</v>
      </c>
      <c r="U62" s="53">
        <v>842</v>
      </c>
      <c r="V62" s="16">
        <f t="shared" si="2"/>
        <v>3789</v>
      </c>
      <c r="W62" s="53">
        <v>2</v>
      </c>
      <c r="X62" s="53" t="s">
        <v>46</v>
      </c>
      <c r="Y62" s="53" t="s">
        <v>69</v>
      </c>
      <c r="Z62" s="53" t="s">
        <v>102</v>
      </c>
      <c r="AA62" s="53" t="s">
        <v>78</v>
      </c>
      <c r="AB62" s="53" t="s">
        <v>158</v>
      </c>
      <c r="AC62" s="76"/>
      <c r="AD62" s="76"/>
      <c r="AE62" s="76"/>
      <c r="AF62" s="76"/>
      <c r="AG62" s="76"/>
      <c r="AH62" s="76"/>
    </row>
    <row r="63" spans="1:34" x14ac:dyDescent="0.15">
      <c r="A63" s="53" t="s">
        <v>41</v>
      </c>
      <c r="B63" s="53" t="s">
        <v>157</v>
      </c>
      <c r="C63" s="62">
        <v>2019</v>
      </c>
      <c r="D63" s="63" t="s">
        <v>188</v>
      </c>
      <c r="E63" s="53" t="s">
        <v>194</v>
      </c>
      <c r="F63" s="53" t="s">
        <v>196</v>
      </c>
      <c r="G63" s="53" t="s">
        <v>42</v>
      </c>
      <c r="H63" s="53" t="s">
        <v>164</v>
      </c>
      <c r="I63" s="53" t="s">
        <v>159</v>
      </c>
      <c r="J63" s="53" t="s">
        <v>38</v>
      </c>
      <c r="K63" s="53" t="s">
        <v>161</v>
      </c>
      <c r="L63" s="53">
        <v>2</v>
      </c>
      <c r="M63" s="76"/>
      <c r="N63" s="53">
        <v>8</v>
      </c>
      <c r="O63" s="53">
        <v>0.55000000000000004</v>
      </c>
      <c r="P63" s="53">
        <v>0.65</v>
      </c>
      <c r="Q63" s="75">
        <f t="shared" si="3"/>
        <v>0.60000000000000009</v>
      </c>
      <c r="R63" s="53">
        <v>13.3</v>
      </c>
      <c r="S63" s="53">
        <v>98</v>
      </c>
      <c r="T63" s="16">
        <f t="shared" si="1"/>
        <v>36</v>
      </c>
      <c r="U63" s="53">
        <v>842</v>
      </c>
      <c r="V63" s="16">
        <f t="shared" si="2"/>
        <v>3789</v>
      </c>
      <c r="W63" s="53">
        <v>2</v>
      </c>
      <c r="X63" s="53" t="s">
        <v>46</v>
      </c>
      <c r="Y63" s="53" t="s">
        <v>69</v>
      </c>
      <c r="Z63" s="53" t="s">
        <v>102</v>
      </c>
      <c r="AA63" s="53" t="s">
        <v>78</v>
      </c>
      <c r="AB63" s="53" t="s">
        <v>158</v>
      </c>
      <c r="AC63" s="76"/>
      <c r="AD63" s="76"/>
      <c r="AE63" s="76"/>
      <c r="AF63" s="76"/>
      <c r="AG63" s="76"/>
      <c r="AH63" s="76"/>
    </row>
    <row r="64" spans="1:34" x14ac:dyDescent="0.15">
      <c r="A64" s="53" t="s">
        <v>41</v>
      </c>
      <c r="B64" s="53" t="s">
        <v>157</v>
      </c>
      <c r="C64" s="62">
        <v>2019</v>
      </c>
      <c r="D64" s="63" t="s">
        <v>188</v>
      </c>
      <c r="E64" s="53" t="s">
        <v>194</v>
      </c>
      <c r="F64" s="53" t="s">
        <v>196</v>
      </c>
      <c r="G64" s="53" t="s">
        <v>42</v>
      </c>
      <c r="H64" s="53" t="s">
        <v>164</v>
      </c>
      <c r="I64" s="53" t="s">
        <v>159</v>
      </c>
      <c r="J64" s="53" t="s">
        <v>38</v>
      </c>
      <c r="K64" s="53" t="s">
        <v>161</v>
      </c>
      <c r="L64" s="53">
        <v>3</v>
      </c>
      <c r="M64" s="76"/>
      <c r="N64" s="53">
        <v>8</v>
      </c>
      <c r="O64" s="53">
        <v>0.65</v>
      </c>
      <c r="P64" s="53">
        <v>0.75</v>
      </c>
      <c r="Q64" s="75">
        <f t="shared" si="3"/>
        <v>0.7</v>
      </c>
      <c r="R64" s="53">
        <v>11.7</v>
      </c>
      <c r="S64" s="53">
        <v>100</v>
      </c>
      <c r="T64" s="16">
        <f t="shared" si="1"/>
        <v>33</v>
      </c>
      <c r="U64" s="53">
        <v>842</v>
      </c>
      <c r="V64" s="16">
        <f t="shared" si="2"/>
        <v>3473.25</v>
      </c>
      <c r="W64" s="53">
        <v>2</v>
      </c>
      <c r="X64" s="53" t="s">
        <v>46</v>
      </c>
      <c r="Y64" s="53" t="s">
        <v>69</v>
      </c>
      <c r="Z64" s="53" t="s">
        <v>102</v>
      </c>
      <c r="AA64" s="53" t="s">
        <v>78</v>
      </c>
      <c r="AB64" s="53" t="s">
        <v>158</v>
      </c>
      <c r="AC64" s="76"/>
      <c r="AD64" s="76"/>
      <c r="AE64" s="76"/>
      <c r="AF64" s="76"/>
      <c r="AG64" s="76"/>
      <c r="AH64" s="76"/>
    </row>
    <row r="65" spans="1:34" x14ac:dyDescent="0.15">
      <c r="A65" s="53" t="s">
        <v>41</v>
      </c>
      <c r="B65" s="53" t="s">
        <v>157</v>
      </c>
      <c r="C65" s="62">
        <v>2019</v>
      </c>
      <c r="D65" s="63" t="s">
        <v>188</v>
      </c>
      <c r="E65" s="53" t="s">
        <v>194</v>
      </c>
      <c r="F65" s="53" t="s">
        <v>196</v>
      </c>
      <c r="G65" s="53" t="s">
        <v>42</v>
      </c>
      <c r="H65" s="53" t="s">
        <v>160</v>
      </c>
      <c r="I65" s="53" t="s">
        <v>159</v>
      </c>
      <c r="J65" s="53" t="s">
        <v>38</v>
      </c>
      <c r="K65" s="53" t="s">
        <v>161</v>
      </c>
      <c r="L65" s="53">
        <v>1</v>
      </c>
      <c r="N65" s="53">
        <v>1</v>
      </c>
      <c r="O65" s="53">
        <v>0.55000000000000004</v>
      </c>
      <c r="P65" s="53">
        <v>0.55000000000000004</v>
      </c>
      <c r="Q65" s="75">
        <f t="shared" si="3"/>
        <v>0.55000000000000004</v>
      </c>
      <c r="R65" s="53">
        <v>15.2</v>
      </c>
      <c r="S65" s="53">
        <v>120</v>
      </c>
      <c r="T65" s="16">
        <f t="shared" si="1"/>
        <v>30</v>
      </c>
      <c r="U65" s="53">
        <v>94</v>
      </c>
      <c r="V65" s="16">
        <f t="shared" si="2"/>
        <v>2820</v>
      </c>
      <c r="W65" s="53">
        <v>1</v>
      </c>
      <c r="X65" s="53" t="s">
        <v>46</v>
      </c>
      <c r="Y65" s="53" t="s">
        <v>69</v>
      </c>
      <c r="Z65" s="53" t="s">
        <v>102</v>
      </c>
      <c r="AA65" s="53" t="s">
        <v>78</v>
      </c>
      <c r="AB65" s="53" t="s">
        <v>158</v>
      </c>
      <c r="AC65" s="76"/>
      <c r="AD65" s="76"/>
      <c r="AE65" s="76"/>
      <c r="AF65" s="76"/>
      <c r="AG65" s="76"/>
      <c r="AH65" s="76"/>
    </row>
    <row r="66" spans="1:34" x14ac:dyDescent="0.15">
      <c r="A66" s="53" t="s">
        <v>41</v>
      </c>
      <c r="B66" s="53" t="s">
        <v>157</v>
      </c>
      <c r="C66" s="62">
        <v>2019</v>
      </c>
      <c r="D66" s="63" t="s">
        <v>188</v>
      </c>
      <c r="E66" s="53" t="s">
        <v>194</v>
      </c>
      <c r="F66" s="53" t="s">
        <v>196</v>
      </c>
      <c r="G66" s="53" t="s">
        <v>42</v>
      </c>
      <c r="H66" s="53" t="s">
        <v>160</v>
      </c>
      <c r="I66" s="53" t="s">
        <v>159</v>
      </c>
      <c r="J66" s="53" t="s">
        <v>38</v>
      </c>
      <c r="K66" s="53" t="s">
        <v>161</v>
      </c>
      <c r="L66" s="53">
        <v>2</v>
      </c>
      <c r="M66" s="76"/>
      <c r="N66" s="53">
        <v>1</v>
      </c>
      <c r="O66" s="53">
        <v>0.6</v>
      </c>
      <c r="P66" s="53">
        <v>0.8</v>
      </c>
      <c r="Q66" s="75">
        <f t="shared" si="3"/>
        <v>0.7</v>
      </c>
      <c r="R66" s="53">
        <v>14.3</v>
      </c>
      <c r="S66" s="53">
        <v>122</v>
      </c>
      <c r="T66" s="16">
        <f t="shared" ref="T66:T132" si="4">IF(H66="","",IF(OR(H66="GREEN",H66="GK"),IF(S66&gt;=$AX$2,VLOOKUP(S66,$AX$2:$AY$10,2,1),""),IF(S66&gt;=$AZ$2,VLOOKUP(S66,$AZ$2:$BA$10,2,1),"")))</f>
        <v>27</v>
      </c>
      <c r="U66" s="53">
        <v>94</v>
      </c>
      <c r="V66" s="16">
        <f t="shared" ref="V66:V92" si="5">IF(OR(N66="",U66="",T66=""),"",U66/N66*T66)</f>
        <v>2538</v>
      </c>
      <c r="W66" s="53">
        <v>1</v>
      </c>
      <c r="X66" s="53" t="s">
        <v>46</v>
      </c>
      <c r="Y66" s="53" t="s">
        <v>69</v>
      </c>
      <c r="Z66" s="53" t="s">
        <v>102</v>
      </c>
      <c r="AA66" s="53" t="s">
        <v>78</v>
      </c>
      <c r="AB66" s="53" t="s">
        <v>158</v>
      </c>
      <c r="AC66" s="76"/>
      <c r="AD66" s="76"/>
      <c r="AE66" s="76"/>
      <c r="AF66" s="76"/>
      <c r="AG66" s="76"/>
      <c r="AH66" s="76"/>
    </row>
    <row r="67" spans="1:34" x14ac:dyDescent="0.15">
      <c r="A67" s="53" t="s">
        <v>41</v>
      </c>
      <c r="B67" s="53" t="s">
        <v>157</v>
      </c>
      <c r="C67" s="62">
        <v>2019</v>
      </c>
      <c r="D67" s="63" t="s">
        <v>188</v>
      </c>
      <c r="E67" s="53" t="s">
        <v>194</v>
      </c>
      <c r="F67" s="53" t="s">
        <v>196</v>
      </c>
      <c r="G67" s="53" t="s">
        <v>42</v>
      </c>
      <c r="H67" s="53" t="s">
        <v>160</v>
      </c>
      <c r="I67" s="53" t="s">
        <v>159</v>
      </c>
      <c r="J67" s="53" t="s">
        <v>38</v>
      </c>
      <c r="K67" s="53" t="s">
        <v>161</v>
      </c>
      <c r="L67" s="53">
        <v>3</v>
      </c>
      <c r="M67" s="76"/>
      <c r="N67" s="53">
        <v>1</v>
      </c>
      <c r="O67" s="53">
        <v>0.45</v>
      </c>
      <c r="P67" s="53">
        <v>0.45</v>
      </c>
      <c r="Q67" s="75">
        <f t="shared" si="3"/>
        <v>0.45</v>
      </c>
      <c r="R67" s="53">
        <v>16</v>
      </c>
      <c r="S67" s="53">
        <v>121</v>
      </c>
      <c r="T67" s="16">
        <f t="shared" si="4"/>
        <v>27</v>
      </c>
      <c r="U67" s="53">
        <v>94</v>
      </c>
      <c r="V67" s="16">
        <f t="shared" si="5"/>
        <v>2538</v>
      </c>
      <c r="W67" s="53">
        <v>1</v>
      </c>
      <c r="X67" s="53" t="s">
        <v>46</v>
      </c>
      <c r="Y67" s="53" t="s">
        <v>69</v>
      </c>
      <c r="Z67" s="53" t="s">
        <v>102</v>
      </c>
      <c r="AA67" s="53" t="s">
        <v>78</v>
      </c>
      <c r="AB67" s="53" t="s">
        <v>158</v>
      </c>
      <c r="AC67" s="76"/>
      <c r="AD67" s="76"/>
      <c r="AE67" s="76"/>
      <c r="AF67" s="76"/>
      <c r="AG67" s="76"/>
      <c r="AH67" s="76"/>
    </row>
    <row r="68" spans="1:34" x14ac:dyDescent="0.15">
      <c r="A68" s="53" t="s">
        <v>41</v>
      </c>
      <c r="B68" s="53" t="s">
        <v>157</v>
      </c>
      <c r="C68" s="62">
        <v>2019</v>
      </c>
      <c r="D68" s="63" t="s">
        <v>188</v>
      </c>
      <c r="E68" s="53" t="s">
        <v>194</v>
      </c>
      <c r="F68" s="53" t="s">
        <v>196</v>
      </c>
      <c r="G68" s="53" t="s">
        <v>42</v>
      </c>
      <c r="H68" s="53" t="s">
        <v>160</v>
      </c>
      <c r="I68" s="53" t="s">
        <v>159</v>
      </c>
      <c r="J68" s="53" t="s">
        <v>38</v>
      </c>
      <c r="K68" s="53" t="s">
        <v>161</v>
      </c>
      <c r="L68" s="53">
        <v>1</v>
      </c>
      <c r="N68" s="53">
        <v>4</v>
      </c>
      <c r="O68" s="53">
        <v>0.35</v>
      </c>
      <c r="P68" s="53">
        <v>0.35</v>
      </c>
      <c r="Q68" s="75">
        <f t="shared" si="3"/>
        <v>0.35</v>
      </c>
      <c r="R68" s="53">
        <v>12.8</v>
      </c>
      <c r="S68" s="53">
        <v>114</v>
      </c>
      <c r="T68" s="16">
        <f t="shared" si="4"/>
        <v>30</v>
      </c>
      <c r="U68" s="53">
        <v>376</v>
      </c>
      <c r="V68" s="16">
        <f t="shared" si="5"/>
        <v>2820</v>
      </c>
      <c r="W68" s="53">
        <v>2</v>
      </c>
      <c r="X68" s="53" t="s">
        <v>46</v>
      </c>
      <c r="Y68" s="53" t="s">
        <v>69</v>
      </c>
      <c r="Z68" s="53" t="s">
        <v>102</v>
      </c>
      <c r="AA68" s="53" t="s">
        <v>78</v>
      </c>
      <c r="AB68" s="53" t="s">
        <v>158</v>
      </c>
      <c r="AC68" s="76"/>
      <c r="AD68" s="76"/>
      <c r="AE68" s="76"/>
      <c r="AF68" s="76"/>
      <c r="AG68" s="76"/>
      <c r="AH68" s="76"/>
    </row>
    <row r="69" spans="1:34" x14ac:dyDescent="0.15">
      <c r="A69" s="53" t="s">
        <v>41</v>
      </c>
      <c r="B69" s="53" t="s">
        <v>157</v>
      </c>
      <c r="C69" s="62">
        <v>2019</v>
      </c>
      <c r="D69" s="63" t="s">
        <v>188</v>
      </c>
      <c r="E69" s="53" t="s">
        <v>194</v>
      </c>
      <c r="F69" s="53" t="s">
        <v>196</v>
      </c>
      <c r="G69" s="53" t="s">
        <v>42</v>
      </c>
      <c r="H69" s="53" t="s">
        <v>160</v>
      </c>
      <c r="I69" s="53" t="s">
        <v>159</v>
      </c>
      <c r="J69" s="53" t="s">
        <v>38</v>
      </c>
      <c r="K69" s="53" t="s">
        <v>161</v>
      </c>
      <c r="L69" s="53">
        <v>2</v>
      </c>
      <c r="M69" s="76"/>
      <c r="N69" s="53">
        <v>4</v>
      </c>
      <c r="O69" s="53">
        <v>0.35</v>
      </c>
      <c r="P69" s="53">
        <v>0.25</v>
      </c>
      <c r="Q69" s="75">
        <f t="shared" si="3"/>
        <v>0.3</v>
      </c>
      <c r="R69" s="53">
        <v>14.1</v>
      </c>
      <c r="S69" s="53">
        <v>117</v>
      </c>
      <c r="T69" s="16">
        <f t="shared" si="4"/>
        <v>30</v>
      </c>
      <c r="U69" s="53">
        <v>376</v>
      </c>
      <c r="V69" s="16">
        <f t="shared" si="5"/>
        <v>2820</v>
      </c>
      <c r="W69" s="53">
        <v>2</v>
      </c>
      <c r="X69" s="53" t="s">
        <v>46</v>
      </c>
      <c r="Y69" s="53" t="s">
        <v>69</v>
      </c>
      <c r="Z69" s="53" t="s">
        <v>102</v>
      </c>
      <c r="AA69" s="53" t="s">
        <v>78</v>
      </c>
      <c r="AB69" s="53" t="s">
        <v>158</v>
      </c>
      <c r="AC69" s="76"/>
      <c r="AD69" s="76"/>
      <c r="AE69" s="76"/>
      <c r="AF69" s="76"/>
      <c r="AG69" s="76"/>
      <c r="AH69" s="76"/>
    </row>
    <row r="70" spans="1:34" x14ac:dyDescent="0.15">
      <c r="A70" s="53" t="s">
        <v>41</v>
      </c>
      <c r="B70" s="53" t="s">
        <v>157</v>
      </c>
      <c r="C70" s="62">
        <v>2019</v>
      </c>
      <c r="D70" s="63" t="s">
        <v>188</v>
      </c>
      <c r="E70" s="53" t="s">
        <v>194</v>
      </c>
      <c r="F70" s="53" t="s">
        <v>196</v>
      </c>
      <c r="G70" s="53" t="s">
        <v>42</v>
      </c>
      <c r="H70" s="53" t="s">
        <v>160</v>
      </c>
      <c r="I70" s="53" t="s">
        <v>159</v>
      </c>
      <c r="J70" s="53" t="s">
        <v>38</v>
      </c>
      <c r="K70" s="53" t="s">
        <v>161</v>
      </c>
      <c r="L70" s="53">
        <v>3</v>
      </c>
      <c r="M70" s="76"/>
      <c r="N70" s="53">
        <v>4</v>
      </c>
      <c r="O70" s="53">
        <v>0.35</v>
      </c>
      <c r="P70" s="53">
        <v>0.3</v>
      </c>
      <c r="Q70" s="75">
        <f t="shared" si="3"/>
        <v>0.32499999999999996</v>
      </c>
      <c r="R70" s="53">
        <v>15.2</v>
      </c>
      <c r="S70" s="53">
        <v>118</v>
      </c>
      <c r="T70" s="16">
        <f t="shared" si="4"/>
        <v>30</v>
      </c>
      <c r="U70" s="53">
        <v>376</v>
      </c>
      <c r="V70" s="16">
        <f t="shared" si="5"/>
        <v>2820</v>
      </c>
      <c r="W70" s="53">
        <v>2</v>
      </c>
      <c r="X70" s="53" t="s">
        <v>46</v>
      </c>
      <c r="Y70" s="53" t="s">
        <v>69</v>
      </c>
      <c r="Z70" s="53" t="s">
        <v>102</v>
      </c>
      <c r="AA70" s="53" t="s">
        <v>78</v>
      </c>
      <c r="AB70" s="53" t="s">
        <v>158</v>
      </c>
      <c r="AC70" s="76"/>
      <c r="AD70" s="76"/>
      <c r="AE70" s="76"/>
      <c r="AF70" s="76"/>
      <c r="AG70" s="76"/>
      <c r="AH70" s="76"/>
    </row>
    <row r="71" spans="1:34" x14ac:dyDescent="0.15">
      <c r="A71" s="53" t="s">
        <v>41</v>
      </c>
      <c r="B71" s="53" t="s">
        <v>157</v>
      </c>
      <c r="C71" s="62">
        <v>2019</v>
      </c>
      <c r="D71" s="63" t="s">
        <v>188</v>
      </c>
      <c r="E71" s="53" t="s">
        <v>199</v>
      </c>
      <c r="F71" s="53" t="s">
        <v>196</v>
      </c>
      <c r="G71" s="53" t="s">
        <v>42</v>
      </c>
      <c r="H71" s="53" t="s">
        <v>160</v>
      </c>
      <c r="I71" s="53" t="s">
        <v>159</v>
      </c>
      <c r="J71" s="53" t="s">
        <v>38</v>
      </c>
      <c r="K71" s="53" t="s">
        <v>161</v>
      </c>
      <c r="L71" s="53">
        <v>1</v>
      </c>
      <c r="N71" s="53">
        <v>1</v>
      </c>
      <c r="O71" s="53">
        <v>0.25</v>
      </c>
      <c r="P71" s="53">
        <v>0.35</v>
      </c>
      <c r="Q71" s="72">
        <f t="shared" si="3"/>
        <v>0.3</v>
      </c>
      <c r="R71" s="53">
        <v>14.5</v>
      </c>
      <c r="S71" s="53">
        <v>120</v>
      </c>
      <c r="T71" s="16">
        <f t="shared" si="4"/>
        <v>30</v>
      </c>
      <c r="U71" s="53">
        <v>104</v>
      </c>
      <c r="V71" s="16">
        <f t="shared" si="5"/>
        <v>3120</v>
      </c>
      <c r="W71" s="53">
        <v>2</v>
      </c>
      <c r="X71" s="53" t="s">
        <v>46</v>
      </c>
      <c r="Y71" s="53" t="s">
        <v>78</v>
      </c>
      <c r="Z71" s="53" t="s">
        <v>69</v>
      </c>
      <c r="AA71" s="53" t="s">
        <v>102</v>
      </c>
      <c r="AB71" s="53" t="s">
        <v>158</v>
      </c>
      <c r="AC71" s="76"/>
      <c r="AD71" s="76"/>
      <c r="AE71" s="76"/>
      <c r="AF71" s="76"/>
      <c r="AG71" s="76"/>
      <c r="AH71" s="76"/>
    </row>
    <row r="72" spans="1:34" x14ac:dyDescent="0.15">
      <c r="A72" s="53" t="s">
        <v>41</v>
      </c>
      <c r="B72" s="53" t="s">
        <v>157</v>
      </c>
      <c r="C72" s="62">
        <v>2019</v>
      </c>
      <c r="D72" s="63" t="s">
        <v>188</v>
      </c>
      <c r="E72" s="53" t="s">
        <v>199</v>
      </c>
      <c r="F72" s="53" t="s">
        <v>196</v>
      </c>
      <c r="G72" s="53" t="s">
        <v>42</v>
      </c>
      <c r="H72" s="53" t="s">
        <v>160</v>
      </c>
      <c r="I72" s="53" t="s">
        <v>159</v>
      </c>
      <c r="J72" s="53" t="s">
        <v>38</v>
      </c>
      <c r="K72" s="53" t="s">
        <v>161</v>
      </c>
      <c r="L72" s="53">
        <v>2</v>
      </c>
      <c r="M72" s="76"/>
      <c r="N72" s="53">
        <v>1</v>
      </c>
      <c r="O72" s="53">
        <v>0.25</v>
      </c>
      <c r="P72" s="53">
        <v>0.35</v>
      </c>
      <c r="Q72" s="72">
        <f t="shared" si="3"/>
        <v>0.3</v>
      </c>
      <c r="R72" s="53">
        <v>16</v>
      </c>
      <c r="S72" s="53">
        <v>118</v>
      </c>
      <c r="T72" s="16">
        <f t="shared" si="4"/>
        <v>30</v>
      </c>
      <c r="U72" s="53">
        <v>104</v>
      </c>
      <c r="V72" s="16">
        <f t="shared" si="5"/>
        <v>3120</v>
      </c>
      <c r="W72" s="53">
        <v>2</v>
      </c>
      <c r="X72" s="53" t="s">
        <v>46</v>
      </c>
      <c r="Y72" s="53" t="s">
        <v>78</v>
      </c>
      <c r="Z72" s="53" t="s">
        <v>69</v>
      </c>
      <c r="AA72" s="53" t="s">
        <v>102</v>
      </c>
      <c r="AB72" s="53" t="s">
        <v>158</v>
      </c>
      <c r="AC72" s="76"/>
      <c r="AD72" s="76"/>
      <c r="AE72" s="76"/>
      <c r="AF72" s="76"/>
      <c r="AG72" s="76"/>
      <c r="AH72" s="76"/>
    </row>
    <row r="73" spans="1:34" x14ac:dyDescent="0.15">
      <c r="A73" s="53" t="s">
        <v>41</v>
      </c>
      <c r="B73" s="53" t="s">
        <v>157</v>
      </c>
      <c r="C73" s="62">
        <v>2019</v>
      </c>
      <c r="D73" s="63" t="s">
        <v>188</v>
      </c>
      <c r="E73" s="53" t="s">
        <v>199</v>
      </c>
      <c r="F73" s="53" t="s">
        <v>196</v>
      </c>
      <c r="G73" s="53" t="s">
        <v>42</v>
      </c>
      <c r="H73" s="53" t="s">
        <v>160</v>
      </c>
      <c r="I73" s="53" t="s">
        <v>159</v>
      </c>
      <c r="J73" s="53" t="s">
        <v>38</v>
      </c>
      <c r="K73" s="53" t="s">
        <v>161</v>
      </c>
      <c r="L73" s="53">
        <v>3</v>
      </c>
      <c r="M73" s="76"/>
      <c r="N73" s="53">
        <v>1</v>
      </c>
      <c r="O73" s="53">
        <v>0.25</v>
      </c>
      <c r="P73" s="53">
        <v>0.35</v>
      </c>
      <c r="Q73" s="72">
        <f t="shared" si="3"/>
        <v>0.3</v>
      </c>
      <c r="R73" s="53">
        <v>12</v>
      </c>
      <c r="S73" s="53">
        <v>119</v>
      </c>
      <c r="T73" s="16">
        <f t="shared" si="4"/>
        <v>30</v>
      </c>
      <c r="U73" s="53">
        <v>104</v>
      </c>
      <c r="V73" s="38">
        <f t="shared" si="5"/>
        <v>3120</v>
      </c>
      <c r="W73" s="53">
        <v>2</v>
      </c>
      <c r="X73" s="53" t="s">
        <v>46</v>
      </c>
      <c r="Y73" s="53" t="s">
        <v>78</v>
      </c>
      <c r="Z73" s="53" t="s">
        <v>69</v>
      </c>
      <c r="AA73" s="53" t="s">
        <v>102</v>
      </c>
      <c r="AB73" s="53" t="s">
        <v>158</v>
      </c>
      <c r="AC73" s="76"/>
      <c r="AD73" s="76"/>
      <c r="AE73" s="76"/>
      <c r="AF73" s="76"/>
      <c r="AG73" s="76"/>
      <c r="AH73" s="76"/>
    </row>
    <row r="74" spans="1:34" x14ac:dyDescent="0.15">
      <c r="A74" s="53" t="s">
        <v>41</v>
      </c>
      <c r="B74" s="53" t="s">
        <v>157</v>
      </c>
      <c r="C74" s="62">
        <v>2019</v>
      </c>
      <c r="D74" s="63" t="s">
        <v>188</v>
      </c>
      <c r="E74" s="53" t="s">
        <v>199</v>
      </c>
      <c r="F74" s="53" t="s">
        <v>196</v>
      </c>
      <c r="G74" s="53" t="s">
        <v>42</v>
      </c>
      <c r="H74" s="53" t="s">
        <v>164</v>
      </c>
      <c r="I74" s="53" t="s">
        <v>159</v>
      </c>
      <c r="J74" s="53" t="s">
        <v>38</v>
      </c>
      <c r="K74" s="53" t="s">
        <v>161</v>
      </c>
      <c r="L74" s="53">
        <v>1</v>
      </c>
      <c r="N74" s="53">
        <v>1</v>
      </c>
      <c r="O74" s="53">
        <v>0.35</v>
      </c>
      <c r="P74" s="74">
        <v>0.4</v>
      </c>
      <c r="Q74" s="72">
        <f t="shared" si="3"/>
        <v>0.375</v>
      </c>
      <c r="R74" s="53">
        <v>13.4</v>
      </c>
      <c r="S74" s="53">
        <v>124</v>
      </c>
      <c r="T74" s="16">
        <f t="shared" si="4"/>
        <v>27</v>
      </c>
      <c r="U74" s="53">
        <v>104</v>
      </c>
      <c r="V74" s="16">
        <f t="shared" si="5"/>
        <v>2808</v>
      </c>
      <c r="W74" s="53">
        <v>2</v>
      </c>
      <c r="X74" s="53" t="s">
        <v>46</v>
      </c>
      <c r="Y74" s="53" t="s">
        <v>78</v>
      </c>
      <c r="Z74" s="53" t="s">
        <v>69</v>
      </c>
      <c r="AA74" s="53" t="s">
        <v>102</v>
      </c>
      <c r="AB74" s="53" t="s">
        <v>158</v>
      </c>
      <c r="AC74" s="76"/>
      <c r="AD74" s="76"/>
      <c r="AE74" s="76"/>
      <c r="AF74" s="76"/>
      <c r="AG74" s="76"/>
      <c r="AH74" s="76"/>
    </row>
    <row r="75" spans="1:34" x14ac:dyDescent="0.15">
      <c r="A75" s="53" t="s">
        <v>41</v>
      </c>
      <c r="B75" s="53" t="s">
        <v>157</v>
      </c>
      <c r="C75" s="62">
        <v>2019</v>
      </c>
      <c r="D75" s="63" t="s">
        <v>188</v>
      </c>
      <c r="E75" s="53" t="s">
        <v>199</v>
      </c>
      <c r="F75" s="53" t="s">
        <v>196</v>
      </c>
      <c r="G75" s="53" t="s">
        <v>42</v>
      </c>
      <c r="H75" s="53" t="s">
        <v>164</v>
      </c>
      <c r="I75" s="53" t="s">
        <v>159</v>
      </c>
      <c r="J75" s="53" t="s">
        <v>38</v>
      </c>
      <c r="K75" s="53" t="s">
        <v>161</v>
      </c>
      <c r="L75" s="53">
        <v>2</v>
      </c>
      <c r="M75" s="76"/>
      <c r="N75" s="53">
        <v>1</v>
      </c>
      <c r="O75" s="53">
        <v>0.35</v>
      </c>
      <c r="P75" s="53">
        <v>0.4</v>
      </c>
      <c r="Q75" s="72">
        <f t="shared" si="3"/>
        <v>0.375</v>
      </c>
      <c r="R75" s="53">
        <v>16</v>
      </c>
      <c r="S75" s="53">
        <v>125</v>
      </c>
      <c r="T75" s="16">
        <f t="shared" si="4"/>
        <v>27</v>
      </c>
      <c r="U75" s="53">
        <v>104</v>
      </c>
      <c r="V75" s="16">
        <f t="shared" si="5"/>
        <v>2808</v>
      </c>
      <c r="W75" s="53">
        <v>2</v>
      </c>
      <c r="X75" s="53" t="s">
        <v>46</v>
      </c>
      <c r="Y75" s="53" t="s">
        <v>78</v>
      </c>
      <c r="Z75" s="53" t="s">
        <v>69</v>
      </c>
      <c r="AA75" s="53" t="s">
        <v>102</v>
      </c>
      <c r="AB75" s="53" t="s">
        <v>158</v>
      </c>
      <c r="AC75" s="76"/>
      <c r="AD75" s="76"/>
      <c r="AE75" s="76"/>
      <c r="AF75" s="76"/>
      <c r="AG75" s="76"/>
      <c r="AH75" s="76"/>
    </row>
    <row r="76" spans="1:34" x14ac:dyDescent="0.15">
      <c r="A76" s="53" t="s">
        <v>41</v>
      </c>
      <c r="B76" s="53" t="s">
        <v>157</v>
      </c>
      <c r="C76" s="62">
        <v>2019</v>
      </c>
      <c r="D76" s="63" t="s">
        <v>188</v>
      </c>
      <c r="E76" s="53" t="s">
        <v>199</v>
      </c>
      <c r="F76" s="53" t="s">
        <v>196</v>
      </c>
      <c r="G76" s="53" t="s">
        <v>42</v>
      </c>
      <c r="H76" s="53" t="s">
        <v>164</v>
      </c>
      <c r="I76" s="53" t="s">
        <v>159</v>
      </c>
      <c r="J76" s="53" t="s">
        <v>38</v>
      </c>
      <c r="K76" s="53" t="s">
        <v>161</v>
      </c>
      <c r="L76" s="53">
        <v>3</v>
      </c>
      <c r="M76" s="76"/>
      <c r="N76" s="53">
        <v>1</v>
      </c>
      <c r="O76" s="53">
        <v>0.5</v>
      </c>
      <c r="P76" s="53">
        <v>0.45</v>
      </c>
      <c r="Q76" s="72">
        <f t="shared" si="3"/>
        <v>0.47499999999999998</v>
      </c>
      <c r="R76" s="53">
        <v>12.9</v>
      </c>
      <c r="S76" s="53">
        <v>123</v>
      </c>
      <c r="T76" s="16">
        <f t="shared" si="4"/>
        <v>27</v>
      </c>
      <c r="U76" s="53">
        <v>104</v>
      </c>
      <c r="V76" s="16">
        <f t="shared" si="5"/>
        <v>2808</v>
      </c>
      <c r="W76" s="53">
        <v>2</v>
      </c>
      <c r="X76" s="53" t="s">
        <v>46</v>
      </c>
      <c r="Y76" s="53" t="s">
        <v>78</v>
      </c>
      <c r="Z76" s="53" t="s">
        <v>69</v>
      </c>
      <c r="AA76" s="53" t="s">
        <v>102</v>
      </c>
      <c r="AB76" s="53" t="s">
        <v>158</v>
      </c>
      <c r="AC76" s="76"/>
      <c r="AD76" s="76"/>
      <c r="AE76" s="76"/>
      <c r="AF76" s="76"/>
      <c r="AG76" s="76"/>
      <c r="AH76" s="76"/>
    </row>
    <row r="77" spans="1:34" x14ac:dyDescent="0.15">
      <c r="A77" s="53" t="s">
        <v>41</v>
      </c>
      <c r="B77" s="53" t="s">
        <v>157</v>
      </c>
      <c r="C77" s="62">
        <v>2019</v>
      </c>
      <c r="D77" s="63" t="s">
        <v>188</v>
      </c>
      <c r="E77" s="53" t="s">
        <v>199</v>
      </c>
      <c r="F77" s="53" t="s">
        <v>196</v>
      </c>
      <c r="G77" s="53" t="s">
        <v>42</v>
      </c>
      <c r="H77" s="53" t="s">
        <v>160</v>
      </c>
      <c r="I77" s="53" t="s">
        <v>159</v>
      </c>
      <c r="J77" s="53" t="s">
        <v>38</v>
      </c>
      <c r="K77" s="53" t="s">
        <v>161</v>
      </c>
      <c r="L77" s="53">
        <v>1</v>
      </c>
      <c r="N77" s="53">
        <v>5</v>
      </c>
      <c r="O77" s="53">
        <v>0.8</v>
      </c>
      <c r="P77" s="53">
        <v>0.6</v>
      </c>
      <c r="Q77" s="72">
        <f t="shared" si="3"/>
        <v>0.7</v>
      </c>
      <c r="R77" s="53">
        <v>16.5</v>
      </c>
      <c r="S77" s="53">
        <v>100</v>
      </c>
      <c r="T77" s="16">
        <f t="shared" si="4"/>
        <v>33</v>
      </c>
      <c r="U77" s="53">
        <v>536</v>
      </c>
      <c r="V77" s="16">
        <f t="shared" si="5"/>
        <v>3537.6</v>
      </c>
      <c r="W77" s="53">
        <v>1</v>
      </c>
      <c r="X77" s="53" t="s">
        <v>46</v>
      </c>
      <c r="Y77" s="53" t="s">
        <v>78</v>
      </c>
      <c r="Z77" s="53" t="s">
        <v>69</v>
      </c>
      <c r="AA77" s="53" t="s">
        <v>102</v>
      </c>
      <c r="AB77" s="53" t="s">
        <v>158</v>
      </c>
      <c r="AC77" s="76"/>
      <c r="AD77" s="76"/>
      <c r="AE77" s="76"/>
      <c r="AF77" s="76"/>
      <c r="AG77" s="76"/>
      <c r="AH77" s="76"/>
    </row>
    <row r="78" spans="1:34" x14ac:dyDescent="0.15">
      <c r="A78" s="53" t="s">
        <v>41</v>
      </c>
      <c r="B78" s="53" t="s">
        <v>157</v>
      </c>
      <c r="C78" s="62">
        <v>2019</v>
      </c>
      <c r="D78" s="63" t="s">
        <v>188</v>
      </c>
      <c r="E78" s="53" t="s">
        <v>199</v>
      </c>
      <c r="F78" s="53" t="s">
        <v>196</v>
      </c>
      <c r="G78" s="53" t="s">
        <v>42</v>
      </c>
      <c r="H78" s="53" t="s">
        <v>160</v>
      </c>
      <c r="I78" s="53" t="s">
        <v>159</v>
      </c>
      <c r="J78" s="53" t="s">
        <v>38</v>
      </c>
      <c r="K78" s="53" t="s">
        <v>161</v>
      </c>
      <c r="L78" s="53">
        <v>2</v>
      </c>
      <c r="M78" s="76"/>
      <c r="N78" s="53">
        <v>5</v>
      </c>
      <c r="O78" s="53">
        <v>0.65</v>
      </c>
      <c r="P78" s="53">
        <v>0.55000000000000004</v>
      </c>
      <c r="Q78" s="75">
        <f t="shared" si="3"/>
        <v>0.60000000000000009</v>
      </c>
      <c r="R78" s="53">
        <v>15.1</v>
      </c>
      <c r="S78" s="53">
        <v>105</v>
      </c>
      <c r="T78" s="16">
        <f t="shared" si="4"/>
        <v>33</v>
      </c>
      <c r="U78" s="53">
        <v>536</v>
      </c>
      <c r="V78" s="16">
        <f t="shared" si="5"/>
        <v>3537.6</v>
      </c>
      <c r="W78" s="53">
        <v>1</v>
      </c>
      <c r="X78" s="53" t="s">
        <v>46</v>
      </c>
      <c r="Y78" s="53" t="s">
        <v>78</v>
      </c>
      <c r="Z78" s="53" t="s">
        <v>69</v>
      </c>
      <c r="AA78" s="53" t="s">
        <v>102</v>
      </c>
      <c r="AB78" s="53" t="s">
        <v>158</v>
      </c>
      <c r="AC78" s="76"/>
      <c r="AD78" s="76"/>
      <c r="AE78" s="76"/>
      <c r="AF78" s="76"/>
      <c r="AG78" s="76"/>
      <c r="AH78" s="76"/>
    </row>
    <row r="79" spans="1:34" x14ac:dyDescent="0.15">
      <c r="A79" s="53" t="s">
        <v>41</v>
      </c>
      <c r="B79" s="53" t="s">
        <v>157</v>
      </c>
      <c r="C79" s="62">
        <v>2019</v>
      </c>
      <c r="D79" s="63" t="s">
        <v>188</v>
      </c>
      <c r="E79" s="53" t="s">
        <v>199</v>
      </c>
      <c r="F79" s="53" t="s">
        <v>196</v>
      </c>
      <c r="G79" s="53" t="s">
        <v>42</v>
      </c>
      <c r="H79" s="53" t="s">
        <v>160</v>
      </c>
      <c r="I79" s="53" t="s">
        <v>159</v>
      </c>
      <c r="J79" s="53" t="s">
        <v>38</v>
      </c>
      <c r="K79" s="53" t="s">
        <v>161</v>
      </c>
      <c r="L79" s="53">
        <v>3</v>
      </c>
      <c r="M79" s="76"/>
      <c r="N79" s="53">
        <v>5</v>
      </c>
      <c r="O79" s="53">
        <v>0.5</v>
      </c>
      <c r="P79" s="53">
        <v>0.45</v>
      </c>
      <c r="Q79" s="75">
        <f t="shared" si="3"/>
        <v>0.47499999999999998</v>
      </c>
      <c r="R79" s="53">
        <v>13</v>
      </c>
      <c r="S79" s="53">
        <v>107</v>
      </c>
      <c r="T79" s="16">
        <f t="shared" si="4"/>
        <v>33</v>
      </c>
      <c r="U79" s="53">
        <v>536</v>
      </c>
      <c r="V79" s="38">
        <f t="shared" si="5"/>
        <v>3537.6</v>
      </c>
      <c r="W79" s="53">
        <v>1</v>
      </c>
      <c r="X79" s="53" t="s">
        <v>46</v>
      </c>
      <c r="Y79" s="53" t="s">
        <v>78</v>
      </c>
      <c r="Z79" s="53" t="s">
        <v>69</v>
      </c>
      <c r="AA79" s="53" t="s">
        <v>102</v>
      </c>
      <c r="AB79" s="53" t="s">
        <v>158</v>
      </c>
      <c r="AC79" s="76"/>
      <c r="AD79" s="76"/>
      <c r="AE79" s="76"/>
      <c r="AF79" s="76"/>
      <c r="AG79" s="76"/>
      <c r="AH79" s="76"/>
    </row>
    <row r="80" spans="1:34" x14ac:dyDescent="0.15">
      <c r="A80" s="53" t="s">
        <v>41</v>
      </c>
      <c r="B80" s="53" t="s">
        <v>157</v>
      </c>
      <c r="C80" s="62">
        <v>2019</v>
      </c>
      <c r="D80" s="63" t="s">
        <v>188</v>
      </c>
      <c r="E80" s="53" t="s">
        <v>199</v>
      </c>
      <c r="F80" s="53" t="s">
        <v>196</v>
      </c>
      <c r="G80" s="53" t="s">
        <v>42</v>
      </c>
      <c r="H80" s="53" t="s">
        <v>164</v>
      </c>
      <c r="I80" s="53" t="s">
        <v>159</v>
      </c>
      <c r="J80" s="53" t="s">
        <v>38</v>
      </c>
      <c r="K80" s="53" t="s">
        <v>161</v>
      </c>
      <c r="L80" s="53">
        <v>1</v>
      </c>
      <c r="N80" s="53">
        <v>6</v>
      </c>
      <c r="O80" s="53">
        <v>0.65</v>
      </c>
      <c r="P80" s="53">
        <v>0.7</v>
      </c>
      <c r="Q80" s="75">
        <f t="shared" si="3"/>
        <v>0.67500000000000004</v>
      </c>
      <c r="R80" s="53">
        <v>11.2</v>
      </c>
      <c r="S80" s="53">
        <v>110</v>
      </c>
      <c r="T80" s="16">
        <f t="shared" si="4"/>
        <v>33</v>
      </c>
      <c r="U80" s="53">
        <v>428</v>
      </c>
      <c r="V80" s="16">
        <f t="shared" si="5"/>
        <v>2354</v>
      </c>
      <c r="W80" s="53">
        <v>1</v>
      </c>
      <c r="X80" s="53" t="s">
        <v>46</v>
      </c>
      <c r="Y80" s="53" t="s">
        <v>78</v>
      </c>
      <c r="Z80" s="53" t="s">
        <v>69</v>
      </c>
      <c r="AA80" s="53" t="s">
        <v>102</v>
      </c>
      <c r="AB80" s="53" t="s">
        <v>158</v>
      </c>
      <c r="AC80" s="76"/>
      <c r="AD80" s="76"/>
      <c r="AE80" s="76"/>
      <c r="AF80" s="76"/>
      <c r="AG80" s="76"/>
      <c r="AH80" s="76"/>
    </row>
    <row r="81" spans="1:34" x14ac:dyDescent="0.15">
      <c r="A81" s="53" t="s">
        <v>41</v>
      </c>
      <c r="B81" s="53" t="s">
        <v>157</v>
      </c>
      <c r="C81" s="62">
        <v>2019</v>
      </c>
      <c r="D81" s="63" t="s">
        <v>188</v>
      </c>
      <c r="E81" s="53" t="s">
        <v>199</v>
      </c>
      <c r="F81" s="53" t="s">
        <v>196</v>
      </c>
      <c r="G81" s="53" t="s">
        <v>42</v>
      </c>
      <c r="H81" s="53" t="s">
        <v>164</v>
      </c>
      <c r="I81" s="53" t="s">
        <v>159</v>
      </c>
      <c r="J81" s="53" t="s">
        <v>38</v>
      </c>
      <c r="K81" s="53" t="s">
        <v>161</v>
      </c>
      <c r="L81" s="53">
        <v>2</v>
      </c>
      <c r="M81" s="76"/>
      <c r="N81" s="53">
        <v>6</v>
      </c>
      <c r="O81" s="53">
        <v>0.5</v>
      </c>
      <c r="P81" s="53">
        <v>0.8</v>
      </c>
      <c r="Q81" s="75">
        <f t="shared" si="3"/>
        <v>0.65</v>
      </c>
      <c r="R81" s="53">
        <v>13</v>
      </c>
      <c r="S81" s="53">
        <v>100</v>
      </c>
      <c r="T81" s="16">
        <f t="shared" si="4"/>
        <v>33</v>
      </c>
      <c r="U81" s="53">
        <v>428</v>
      </c>
      <c r="V81" s="16">
        <f t="shared" si="5"/>
        <v>2354</v>
      </c>
      <c r="W81" s="53">
        <v>1</v>
      </c>
      <c r="X81" s="53" t="s">
        <v>46</v>
      </c>
      <c r="Y81" s="53" t="s">
        <v>78</v>
      </c>
      <c r="Z81" s="53" t="s">
        <v>69</v>
      </c>
      <c r="AA81" s="53" t="s">
        <v>102</v>
      </c>
      <c r="AB81" s="53" t="s">
        <v>158</v>
      </c>
      <c r="AC81" s="76"/>
      <c r="AD81" s="76"/>
      <c r="AE81" s="76"/>
      <c r="AF81" s="76"/>
      <c r="AG81" s="76"/>
      <c r="AH81" s="76"/>
    </row>
    <row r="82" spans="1:34" x14ac:dyDescent="0.15">
      <c r="A82" s="53" t="s">
        <v>41</v>
      </c>
      <c r="B82" s="53" t="s">
        <v>157</v>
      </c>
      <c r="C82" s="62">
        <v>2019</v>
      </c>
      <c r="D82" s="63" t="s">
        <v>188</v>
      </c>
      <c r="E82" s="53" t="s">
        <v>199</v>
      </c>
      <c r="F82" s="53" t="s">
        <v>196</v>
      </c>
      <c r="G82" s="53" t="s">
        <v>42</v>
      </c>
      <c r="H82" s="53" t="s">
        <v>164</v>
      </c>
      <c r="I82" s="53" t="s">
        <v>159</v>
      </c>
      <c r="J82" s="53" t="s">
        <v>38</v>
      </c>
      <c r="K82" s="53" t="s">
        <v>161</v>
      </c>
      <c r="L82" s="53">
        <v>3</v>
      </c>
      <c r="M82" s="76"/>
      <c r="N82" s="53">
        <v>6</v>
      </c>
      <c r="O82" s="53">
        <v>0.65</v>
      </c>
      <c r="P82" s="53">
        <v>0.7</v>
      </c>
      <c r="Q82" s="75">
        <f t="shared" si="3"/>
        <v>0.67500000000000004</v>
      </c>
      <c r="R82" s="53">
        <v>12</v>
      </c>
      <c r="S82" s="53">
        <v>101</v>
      </c>
      <c r="T82" s="16">
        <f t="shared" si="4"/>
        <v>33</v>
      </c>
      <c r="U82" s="53">
        <v>428</v>
      </c>
      <c r="V82" s="16">
        <f t="shared" si="5"/>
        <v>2354</v>
      </c>
      <c r="W82" s="53">
        <v>1</v>
      </c>
      <c r="X82" s="53" t="s">
        <v>46</v>
      </c>
      <c r="Y82" s="53" t="s">
        <v>78</v>
      </c>
      <c r="Z82" s="53" t="s">
        <v>69</v>
      </c>
      <c r="AA82" s="53" t="s">
        <v>102</v>
      </c>
      <c r="AB82" s="53" t="s">
        <v>158</v>
      </c>
      <c r="AC82" s="76"/>
      <c r="AD82" s="76"/>
      <c r="AE82" s="76"/>
      <c r="AF82" s="76"/>
      <c r="AG82" s="76"/>
      <c r="AH82" s="76"/>
    </row>
    <row r="83" spans="1:34" x14ac:dyDescent="0.15">
      <c r="A83" s="53" t="s">
        <v>41</v>
      </c>
      <c r="B83" s="53" t="s">
        <v>157</v>
      </c>
      <c r="C83" s="62">
        <v>2019</v>
      </c>
      <c r="D83" s="63" t="s">
        <v>188</v>
      </c>
      <c r="E83" s="53" t="s">
        <v>202</v>
      </c>
      <c r="F83" s="53" t="s">
        <v>203</v>
      </c>
      <c r="G83" s="53" t="s">
        <v>42</v>
      </c>
      <c r="H83" s="53" t="s">
        <v>160</v>
      </c>
      <c r="I83" s="53" t="s">
        <v>159</v>
      </c>
      <c r="J83" s="53" t="s">
        <v>38</v>
      </c>
      <c r="K83" s="53" t="s">
        <v>161</v>
      </c>
      <c r="L83" s="53">
        <v>1</v>
      </c>
      <c r="N83" s="53">
        <v>1</v>
      </c>
      <c r="O83" s="53">
        <v>0.75</v>
      </c>
      <c r="P83" s="53">
        <v>0.6</v>
      </c>
      <c r="Q83" s="75">
        <f t="shared" si="3"/>
        <v>0.67500000000000004</v>
      </c>
      <c r="R83" s="53">
        <v>15.6</v>
      </c>
      <c r="S83" s="53">
        <v>125</v>
      </c>
      <c r="T83" s="16">
        <f t="shared" si="4"/>
        <v>27</v>
      </c>
      <c r="U83" s="53">
        <v>138</v>
      </c>
      <c r="V83" s="16">
        <v>3726</v>
      </c>
      <c r="W83" s="53">
        <v>2</v>
      </c>
      <c r="X83" s="53" t="s">
        <v>46</v>
      </c>
      <c r="Y83" s="53" t="s">
        <v>78</v>
      </c>
      <c r="Z83" s="53" t="s">
        <v>102</v>
      </c>
      <c r="AA83" s="53" t="s">
        <v>69</v>
      </c>
      <c r="AB83" s="53" t="s">
        <v>158</v>
      </c>
      <c r="AC83" s="76"/>
      <c r="AD83" s="76"/>
      <c r="AE83" s="76"/>
      <c r="AF83" s="76"/>
      <c r="AG83" s="76"/>
      <c r="AH83" s="76"/>
    </row>
    <row r="84" spans="1:34" x14ac:dyDescent="0.15">
      <c r="A84" s="53" t="s">
        <v>41</v>
      </c>
      <c r="B84" s="53" t="s">
        <v>157</v>
      </c>
      <c r="C84" s="62">
        <v>2019</v>
      </c>
      <c r="D84" s="63" t="s">
        <v>188</v>
      </c>
      <c r="E84" s="53" t="s">
        <v>202</v>
      </c>
      <c r="F84" s="53" t="s">
        <v>203</v>
      </c>
      <c r="G84" s="53" t="s">
        <v>42</v>
      </c>
      <c r="H84" s="53" t="s">
        <v>160</v>
      </c>
      <c r="I84" s="53" t="s">
        <v>159</v>
      </c>
      <c r="J84" s="53" t="s">
        <v>38</v>
      </c>
      <c r="K84" s="53" t="s">
        <v>161</v>
      </c>
      <c r="L84" s="53">
        <v>2</v>
      </c>
      <c r="N84" s="53">
        <v>1</v>
      </c>
      <c r="O84" s="53">
        <v>0.7</v>
      </c>
      <c r="P84" s="53">
        <v>0.5</v>
      </c>
      <c r="Q84" s="75">
        <f t="shared" si="3"/>
        <v>0.6</v>
      </c>
      <c r="R84" s="53">
        <v>15</v>
      </c>
      <c r="S84" s="53">
        <v>124</v>
      </c>
      <c r="T84" s="16">
        <f t="shared" si="4"/>
        <v>27</v>
      </c>
      <c r="U84" s="53">
        <v>138</v>
      </c>
      <c r="V84" s="16">
        <v>3726</v>
      </c>
      <c r="W84" s="53">
        <v>2</v>
      </c>
      <c r="X84" s="53" t="s">
        <v>46</v>
      </c>
      <c r="Y84" s="53" t="s">
        <v>78</v>
      </c>
      <c r="Z84" s="53" t="s">
        <v>102</v>
      </c>
      <c r="AA84" s="53" t="s">
        <v>69</v>
      </c>
      <c r="AB84" s="53" t="s">
        <v>158</v>
      </c>
      <c r="AC84" s="76"/>
      <c r="AD84" s="76"/>
      <c r="AE84" s="76"/>
      <c r="AF84" s="76"/>
      <c r="AG84" s="76"/>
      <c r="AH84" s="76"/>
    </row>
    <row r="85" spans="1:34" x14ac:dyDescent="0.15">
      <c r="A85" s="53" t="s">
        <v>41</v>
      </c>
      <c r="B85" s="53" t="s">
        <v>157</v>
      </c>
      <c r="C85" s="62">
        <v>2019</v>
      </c>
      <c r="D85" s="63" t="s">
        <v>188</v>
      </c>
      <c r="E85" s="53" t="s">
        <v>202</v>
      </c>
      <c r="F85" s="53" t="s">
        <v>203</v>
      </c>
      <c r="G85" s="53" t="s">
        <v>42</v>
      </c>
      <c r="H85" s="53" t="s">
        <v>160</v>
      </c>
      <c r="I85" s="53" t="s">
        <v>159</v>
      </c>
      <c r="J85" s="53" t="s">
        <v>38</v>
      </c>
      <c r="K85" s="53" t="s">
        <v>161</v>
      </c>
      <c r="L85" s="53">
        <v>3</v>
      </c>
      <c r="N85" s="53">
        <v>1</v>
      </c>
      <c r="O85" s="53">
        <v>0.85</v>
      </c>
      <c r="P85" s="53">
        <v>0.7</v>
      </c>
      <c r="Q85" s="75">
        <f t="shared" si="3"/>
        <v>0.77499999999999991</v>
      </c>
      <c r="R85" s="53">
        <v>15.4</v>
      </c>
      <c r="S85" s="53">
        <v>125</v>
      </c>
      <c r="T85" s="16">
        <f t="shared" si="4"/>
        <v>27</v>
      </c>
      <c r="U85" s="53">
        <v>138</v>
      </c>
      <c r="V85" s="16">
        <v>3726</v>
      </c>
      <c r="W85" s="53">
        <v>2</v>
      </c>
      <c r="X85" s="53" t="s">
        <v>46</v>
      </c>
      <c r="Y85" s="53" t="s">
        <v>78</v>
      </c>
      <c r="Z85" s="53" t="s">
        <v>102</v>
      </c>
      <c r="AA85" s="53" t="s">
        <v>69</v>
      </c>
      <c r="AB85" s="53" t="s">
        <v>158</v>
      </c>
      <c r="AC85" s="76"/>
      <c r="AD85" s="76"/>
      <c r="AE85" s="76"/>
      <c r="AF85" s="76"/>
      <c r="AG85" s="76"/>
      <c r="AH85" s="76"/>
    </row>
    <row r="86" spans="1:34" x14ac:dyDescent="0.15">
      <c r="A86" s="53" t="s">
        <v>41</v>
      </c>
      <c r="B86" s="53" t="s">
        <v>157</v>
      </c>
      <c r="C86" s="62">
        <v>2019</v>
      </c>
      <c r="D86" s="63" t="s">
        <v>188</v>
      </c>
      <c r="E86" s="53" t="s">
        <v>202</v>
      </c>
      <c r="F86" s="53" t="s">
        <v>203</v>
      </c>
      <c r="G86" s="53" t="s">
        <v>42</v>
      </c>
      <c r="H86" s="53" t="s">
        <v>160</v>
      </c>
      <c r="I86" s="53" t="s">
        <v>159</v>
      </c>
      <c r="J86" s="53" t="s">
        <v>38</v>
      </c>
      <c r="K86" s="53" t="s">
        <v>161</v>
      </c>
      <c r="L86" s="53">
        <v>1</v>
      </c>
      <c r="N86" s="53">
        <v>3</v>
      </c>
      <c r="O86" s="53">
        <v>0.75</v>
      </c>
      <c r="P86" s="53">
        <v>0.6</v>
      </c>
      <c r="Q86" s="75">
        <f t="shared" si="3"/>
        <v>0.67500000000000004</v>
      </c>
      <c r="R86" s="53">
        <v>12.1</v>
      </c>
      <c r="S86" s="53">
        <v>160</v>
      </c>
      <c r="T86" s="16">
        <f t="shared" si="4"/>
        <v>22</v>
      </c>
      <c r="U86" s="53">
        <v>429</v>
      </c>
      <c r="V86" s="16">
        <v>3726</v>
      </c>
      <c r="W86" s="53">
        <v>1</v>
      </c>
      <c r="X86" s="53" t="s">
        <v>46</v>
      </c>
      <c r="Y86" s="53" t="s">
        <v>78</v>
      </c>
      <c r="Z86" s="53" t="s">
        <v>102</v>
      </c>
      <c r="AA86" s="53" t="s">
        <v>69</v>
      </c>
      <c r="AB86" s="53" t="s">
        <v>158</v>
      </c>
      <c r="AC86" s="76"/>
      <c r="AD86" s="76"/>
      <c r="AE86" s="76"/>
      <c r="AF86" s="76"/>
      <c r="AG86" s="76"/>
      <c r="AH86" s="76"/>
    </row>
    <row r="87" spans="1:34" x14ac:dyDescent="0.15">
      <c r="A87" s="53" t="s">
        <v>41</v>
      </c>
      <c r="B87" s="53" t="s">
        <v>157</v>
      </c>
      <c r="C87" s="62">
        <v>2019</v>
      </c>
      <c r="D87" s="63" t="s">
        <v>188</v>
      </c>
      <c r="E87" s="53" t="s">
        <v>202</v>
      </c>
      <c r="F87" s="53" t="s">
        <v>203</v>
      </c>
      <c r="G87" s="53" t="s">
        <v>42</v>
      </c>
      <c r="H87" s="53" t="s">
        <v>160</v>
      </c>
      <c r="I87" s="53" t="s">
        <v>159</v>
      </c>
      <c r="J87" s="53" t="s">
        <v>38</v>
      </c>
      <c r="K87" s="53" t="s">
        <v>161</v>
      </c>
      <c r="L87" s="53">
        <v>2</v>
      </c>
      <c r="N87" s="53">
        <v>3</v>
      </c>
      <c r="O87" s="53">
        <v>0.7</v>
      </c>
      <c r="P87" s="53">
        <v>0.5</v>
      </c>
      <c r="Q87" s="75">
        <f t="shared" si="3"/>
        <v>0.6</v>
      </c>
      <c r="R87" s="53">
        <v>16</v>
      </c>
      <c r="S87" s="53">
        <v>158</v>
      </c>
      <c r="T87" s="16">
        <f t="shared" si="4"/>
        <v>22</v>
      </c>
      <c r="U87" s="53">
        <v>429</v>
      </c>
      <c r="V87" s="16">
        <v>3726</v>
      </c>
      <c r="W87" s="53">
        <v>1</v>
      </c>
      <c r="X87" s="53" t="s">
        <v>46</v>
      </c>
      <c r="Y87" s="53" t="s">
        <v>78</v>
      </c>
      <c r="Z87" s="53" t="s">
        <v>102</v>
      </c>
      <c r="AA87" s="53" t="s">
        <v>69</v>
      </c>
      <c r="AB87" s="53" t="s">
        <v>158</v>
      </c>
      <c r="AC87" s="76"/>
      <c r="AD87" s="76"/>
      <c r="AE87" s="76"/>
      <c r="AF87" s="76"/>
      <c r="AG87" s="76"/>
      <c r="AH87" s="76"/>
    </row>
    <row r="88" spans="1:34" x14ac:dyDescent="0.15">
      <c r="A88" s="53" t="s">
        <v>41</v>
      </c>
      <c r="B88" s="53" t="s">
        <v>157</v>
      </c>
      <c r="C88" s="62">
        <v>2019</v>
      </c>
      <c r="D88" s="63" t="s">
        <v>188</v>
      </c>
      <c r="E88" s="53" t="s">
        <v>202</v>
      </c>
      <c r="F88" s="53" t="s">
        <v>203</v>
      </c>
      <c r="G88" s="53" t="s">
        <v>42</v>
      </c>
      <c r="H88" s="53" t="s">
        <v>160</v>
      </c>
      <c r="I88" s="53" t="s">
        <v>159</v>
      </c>
      <c r="J88" s="53" t="s">
        <v>38</v>
      </c>
      <c r="K88" s="53" t="s">
        <v>161</v>
      </c>
      <c r="L88" s="53">
        <v>3</v>
      </c>
      <c r="N88" s="53">
        <v>3</v>
      </c>
      <c r="O88" s="53">
        <v>0.85</v>
      </c>
      <c r="P88" s="53">
        <v>0.7</v>
      </c>
      <c r="Q88" s="75">
        <f t="shared" si="3"/>
        <v>0.77499999999999991</v>
      </c>
      <c r="R88" s="53">
        <v>18</v>
      </c>
      <c r="S88" s="53">
        <v>152</v>
      </c>
      <c r="T88" s="16">
        <f t="shared" si="4"/>
        <v>22</v>
      </c>
      <c r="U88" s="53">
        <v>429</v>
      </c>
      <c r="V88" s="16">
        <v>3726</v>
      </c>
      <c r="W88" s="53">
        <v>1</v>
      </c>
      <c r="X88" s="53" t="s">
        <v>46</v>
      </c>
      <c r="Y88" s="53" t="s">
        <v>78</v>
      </c>
      <c r="Z88" s="53" t="s">
        <v>102</v>
      </c>
      <c r="AA88" s="53" t="s">
        <v>69</v>
      </c>
      <c r="AB88" s="53" t="s">
        <v>158</v>
      </c>
      <c r="AC88" s="76"/>
      <c r="AD88" s="76"/>
      <c r="AE88" s="76"/>
      <c r="AF88" s="76"/>
      <c r="AG88" s="76"/>
      <c r="AH88" s="76"/>
    </row>
    <row r="89" spans="1:34" x14ac:dyDescent="0.15">
      <c r="A89" s="53" t="s">
        <v>41</v>
      </c>
      <c r="B89" s="53" t="s">
        <v>157</v>
      </c>
      <c r="C89" s="62">
        <v>2019</v>
      </c>
      <c r="D89" s="63" t="s">
        <v>188</v>
      </c>
      <c r="E89" s="53" t="s">
        <v>202</v>
      </c>
      <c r="F89" s="53" t="s">
        <v>203</v>
      </c>
      <c r="G89" s="53" t="s">
        <v>42</v>
      </c>
      <c r="H89" s="53" t="s">
        <v>160</v>
      </c>
      <c r="I89" s="53" t="s">
        <v>159</v>
      </c>
      <c r="J89" s="53" t="s">
        <v>38</v>
      </c>
      <c r="K89" s="53" t="s">
        <v>161</v>
      </c>
      <c r="L89" s="53">
        <v>1</v>
      </c>
      <c r="N89" s="53">
        <v>5</v>
      </c>
      <c r="O89" s="53">
        <v>1</v>
      </c>
      <c r="P89" s="53">
        <v>0.95</v>
      </c>
      <c r="Q89" s="75">
        <f t="shared" si="3"/>
        <v>0.97499999999999998</v>
      </c>
      <c r="R89" s="53">
        <v>14.7</v>
      </c>
      <c r="S89" s="53">
        <v>100</v>
      </c>
      <c r="T89" s="16">
        <f t="shared" si="4"/>
        <v>33</v>
      </c>
      <c r="U89" s="53">
        <v>537</v>
      </c>
      <c r="V89" s="16">
        <v>3726</v>
      </c>
      <c r="W89" s="53">
        <v>2</v>
      </c>
      <c r="X89" s="53" t="s">
        <v>46</v>
      </c>
      <c r="Y89" s="53" t="s">
        <v>78</v>
      </c>
      <c r="Z89" s="53" t="s">
        <v>102</v>
      </c>
      <c r="AA89" s="53" t="s">
        <v>69</v>
      </c>
      <c r="AB89" s="53" t="s">
        <v>158</v>
      </c>
      <c r="AC89" s="76"/>
      <c r="AD89" s="76"/>
      <c r="AE89" s="76"/>
      <c r="AF89" s="76"/>
      <c r="AG89" s="76"/>
      <c r="AH89" s="76"/>
    </row>
    <row r="90" spans="1:34" x14ac:dyDescent="0.15">
      <c r="A90" s="53" t="s">
        <v>41</v>
      </c>
      <c r="B90" s="53" t="s">
        <v>157</v>
      </c>
      <c r="C90" s="62">
        <v>2019</v>
      </c>
      <c r="D90" s="63" t="s">
        <v>188</v>
      </c>
      <c r="E90" s="53" t="s">
        <v>202</v>
      </c>
      <c r="F90" s="53" t="s">
        <v>203</v>
      </c>
      <c r="G90" s="53" t="s">
        <v>42</v>
      </c>
      <c r="H90" s="53" t="s">
        <v>160</v>
      </c>
      <c r="I90" s="53" t="s">
        <v>159</v>
      </c>
      <c r="J90" s="53" t="s">
        <v>38</v>
      </c>
      <c r="K90" s="53" t="s">
        <v>161</v>
      </c>
      <c r="L90" s="53">
        <v>2</v>
      </c>
      <c r="M90" s="76"/>
      <c r="N90" s="53">
        <v>5</v>
      </c>
      <c r="O90" s="53">
        <v>0.95</v>
      </c>
      <c r="P90" s="53">
        <v>0.9</v>
      </c>
      <c r="Q90" s="75">
        <f t="shared" si="3"/>
        <v>0.92500000000000004</v>
      </c>
      <c r="R90" s="53">
        <v>16.399999999999999</v>
      </c>
      <c r="S90" s="53">
        <v>107</v>
      </c>
      <c r="T90" s="16">
        <f t="shared" si="4"/>
        <v>33</v>
      </c>
      <c r="U90" s="53">
        <v>537</v>
      </c>
      <c r="V90" s="16">
        <v>3726</v>
      </c>
      <c r="W90" s="53">
        <v>2</v>
      </c>
      <c r="X90" s="53" t="s">
        <v>46</v>
      </c>
      <c r="Y90" s="53" t="s">
        <v>78</v>
      </c>
      <c r="Z90" s="53" t="s">
        <v>102</v>
      </c>
      <c r="AA90" s="53" t="s">
        <v>69</v>
      </c>
      <c r="AB90" s="53" t="s">
        <v>158</v>
      </c>
      <c r="AC90" s="76"/>
      <c r="AD90" s="76"/>
      <c r="AE90" s="76"/>
      <c r="AF90" s="76"/>
      <c r="AG90" s="76"/>
      <c r="AH90" s="76"/>
    </row>
    <row r="91" spans="1:34" x14ac:dyDescent="0.15">
      <c r="A91" s="53" t="s">
        <v>41</v>
      </c>
      <c r="B91" s="53" t="s">
        <v>157</v>
      </c>
      <c r="C91" s="62">
        <v>2019</v>
      </c>
      <c r="D91" s="63" t="s">
        <v>188</v>
      </c>
      <c r="E91" s="53" t="s">
        <v>202</v>
      </c>
      <c r="F91" s="53" t="s">
        <v>203</v>
      </c>
      <c r="G91" s="53" t="s">
        <v>42</v>
      </c>
      <c r="H91" s="53" t="s">
        <v>160</v>
      </c>
      <c r="I91" s="53" t="s">
        <v>159</v>
      </c>
      <c r="J91" s="53" t="s">
        <v>38</v>
      </c>
      <c r="K91" s="53" t="s">
        <v>161</v>
      </c>
      <c r="L91" s="53">
        <v>3</v>
      </c>
      <c r="M91" s="76"/>
      <c r="N91" s="53">
        <v>5</v>
      </c>
      <c r="O91" s="53">
        <v>0.9</v>
      </c>
      <c r="P91" s="53">
        <v>0.85</v>
      </c>
      <c r="Q91" s="75">
        <f t="shared" si="3"/>
        <v>0.875</v>
      </c>
      <c r="R91" s="53">
        <v>12.5</v>
      </c>
      <c r="S91" s="53">
        <v>108</v>
      </c>
      <c r="T91" s="16">
        <f t="shared" si="4"/>
        <v>33</v>
      </c>
      <c r="U91" s="53">
        <v>537</v>
      </c>
      <c r="V91" s="16">
        <v>3726</v>
      </c>
      <c r="W91" s="53">
        <v>2</v>
      </c>
      <c r="X91" s="53" t="s">
        <v>46</v>
      </c>
      <c r="Y91" s="53" t="s">
        <v>78</v>
      </c>
      <c r="Z91" s="53" t="s">
        <v>102</v>
      </c>
      <c r="AA91" s="53" t="s">
        <v>69</v>
      </c>
      <c r="AB91" s="53" t="s">
        <v>158</v>
      </c>
      <c r="AC91" s="76"/>
      <c r="AD91" s="76"/>
      <c r="AE91" s="76"/>
      <c r="AF91" s="76"/>
      <c r="AG91" s="76"/>
      <c r="AH91" s="76"/>
    </row>
    <row r="92" spans="1:34" x14ac:dyDescent="0.15">
      <c r="A92" s="53" t="s">
        <v>41</v>
      </c>
      <c r="B92" s="53" t="s">
        <v>157</v>
      </c>
      <c r="C92" s="62">
        <v>2019</v>
      </c>
      <c r="D92" s="63" t="s">
        <v>188</v>
      </c>
      <c r="E92" s="53" t="s">
        <v>202</v>
      </c>
      <c r="F92" s="53" t="s">
        <v>203</v>
      </c>
      <c r="G92" s="53" t="s">
        <v>42</v>
      </c>
      <c r="H92" s="53" t="s">
        <v>164</v>
      </c>
      <c r="I92" s="53" t="s">
        <v>159</v>
      </c>
      <c r="J92" s="53" t="s">
        <v>38</v>
      </c>
      <c r="K92" s="53" t="s">
        <v>161</v>
      </c>
      <c r="L92" s="53">
        <v>1</v>
      </c>
      <c r="N92" s="53">
        <v>1</v>
      </c>
      <c r="O92" s="53">
        <v>0.3</v>
      </c>
      <c r="P92" s="53">
        <v>0.25</v>
      </c>
      <c r="Q92" s="75">
        <f t="shared" si="3"/>
        <v>0.27500000000000002</v>
      </c>
      <c r="R92" s="53">
        <v>13.5</v>
      </c>
      <c r="S92" s="53">
        <v>126</v>
      </c>
      <c r="T92" s="16">
        <f t="shared" si="4"/>
        <v>27</v>
      </c>
      <c r="U92" s="53">
        <v>138</v>
      </c>
      <c r="V92" s="38">
        <v>3146</v>
      </c>
      <c r="W92" s="53">
        <v>2</v>
      </c>
      <c r="X92" s="53" t="s">
        <v>46</v>
      </c>
      <c r="Y92" s="53" t="s">
        <v>78</v>
      </c>
      <c r="Z92" s="53" t="s">
        <v>102</v>
      </c>
      <c r="AA92" s="53" t="s">
        <v>69</v>
      </c>
      <c r="AB92" s="53" t="s">
        <v>158</v>
      </c>
      <c r="AC92" s="76"/>
      <c r="AD92" s="76"/>
      <c r="AE92" s="76"/>
      <c r="AF92" s="76"/>
      <c r="AG92" s="76"/>
      <c r="AH92" s="76"/>
    </row>
    <row r="93" spans="1:34" x14ac:dyDescent="0.15">
      <c r="A93" s="53" t="s">
        <v>41</v>
      </c>
      <c r="B93" s="53" t="s">
        <v>157</v>
      </c>
      <c r="C93" s="62">
        <v>2019</v>
      </c>
      <c r="D93" s="63" t="s">
        <v>188</v>
      </c>
      <c r="E93" s="53" t="s">
        <v>202</v>
      </c>
      <c r="F93" s="53" t="s">
        <v>203</v>
      </c>
      <c r="G93" s="53" t="s">
        <v>42</v>
      </c>
      <c r="H93" s="53" t="s">
        <v>164</v>
      </c>
      <c r="I93" s="53" t="s">
        <v>159</v>
      </c>
      <c r="J93" s="53" t="s">
        <v>38</v>
      </c>
      <c r="K93" s="53" t="s">
        <v>161</v>
      </c>
      <c r="L93" s="53">
        <v>2</v>
      </c>
      <c r="N93" s="53">
        <v>1</v>
      </c>
      <c r="O93" s="53">
        <v>0.25</v>
      </c>
      <c r="P93" s="53">
        <v>0.3</v>
      </c>
      <c r="Q93" s="75">
        <f t="shared" si="3"/>
        <v>0.27500000000000002</v>
      </c>
      <c r="R93" s="53">
        <v>11</v>
      </c>
      <c r="S93" s="53">
        <v>123</v>
      </c>
      <c r="T93" s="16">
        <f t="shared" si="4"/>
        <v>27</v>
      </c>
      <c r="U93" s="53">
        <v>138</v>
      </c>
      <c r="V93" s="38">
        <v>3146</v>
      </c>
      <c r="W93" s="53">
        <v>2</v>
      </c>
      <c r="X93" s="53" t="s">
        <v>46</v>
      </c>
      <c r="Y93" s="53" t="s">
        <v>78</v>
      </c>
      <c r="Z93" s="53" t="s">
        <v>102</v>
      </c>
      <c r="AA93" s="53" t="s">
        <v>69</v>
      </c>
      <c r="AB93" s="53" t="s">
        <v>158</v>
      </c>
      <c r="AC93" s="76"/>
      <c r="AD93" s="76"/>
      <c r="AE93" s="76"/>
      <c r="AF93" s="76"/>
      <c r="AG93" s="76"/>
      <c r="AH93" s="76"/>
    </row>
    <row r="94" spans="1:34" x14ac:dyDescent="0.15">
      <c r="A94" s="53" t="s">
        <v>41</v>
      </c>
      <c r="B94" s="53" t="s">
        <v>157</v>
      </c>
      <c r="C94" s="62">
        <v>2019</v>
      </c>
      <c r="D94" s="63" t="s">
        <v>188</v>
      </c>
      <c r="E94" s="53" t="s">
        <v>202</v>
      </c>
      <c r="F94" s="53" t="s">
        <v>203</v>
      </c>
      <c r="G94" s="53" t="s">
        <v>42</v>
      </c>
      <c r="H94" s="53" t="s">
        <v>164</v>
      </c>
      <c r="I94" s="53" t="s">
        <v>159</v>
      </c>
      <c r="J94" s="53" t="s">
        <v>38</v>
      </c>
      <c r="K94" s="53" t="s">
        <v>161</v>
      </c>
      <c r="L94" s="53">
        <v>3</v>
      </c>
      <c r="N94" s="53">
        <v>1</v>
      </c>
      <c r="O94" s="53">
        <v>0.25</v>
      </c>
      <c r="P94" s="53">
        <v>0.4</v>
      </c>
      <c r="Q94" s="75">
        <f t="shared" si="3"/>
        <v>0.32500000000000001</v>
      </c>
      <c r="R94" s="53">
        <v>12.8</v>
      </c>
      <c r="S94" s="53">
        <v>122</v>
      </c>
      <c r="T94" s="16">
        <f t="shared" si="4"/>
        <v>27</v>
      </c>
      <c r="U94" s="53">
        <v>138</v>
      </c>
      <c r="V94" s="38">
        <v>3146</v>
      </c>
      <c r="W94" s="53">
        <v>2</v>
      </c>
      <c r="X94" s="53" t="s">
        <v>46</v>
      </c>
      <c r="Y94" s="53" t="s">
        <v>78</v>
      </c>
      <c r="Z94" s="53" t="s">
        <v>102</v>
      </c>
      <c r="AA94" s="53" t="s">
        <v>69</v>
      </c>
      <c r="AB94" s="53" t="s">
        <v>158</v>
      </c>
      <c r="AC94" s="76"/>
      <c r="AD94" s="76"/>
      <c r="AE94" s="76"/>
      <c r="AF94" s="76"/>
      <c r="AG94" s="76"/>
      <c r="AH94" s="76"/>
    </row>
    <row r="95" spans="1:34" x14ac:dyDescent="0.15">
      <c r="A95" s="53" t="s">
        <v>41</v>
      </c>
      <c r="B95" s="53" t="s">
        <v>157</v>
      </c>
      <c r="C95" s="62">
        <v>2019</v>
      </c>
      <c r="D95" s="63" t="s">
        <v>188</v>
      </c>
      <c r="E95" s="53" t="s">
        <v>202</v>
      </c>
      <c r="F95" s="53" t="s">
        <v>203</v>
      </c>
      <c r="G95" s="53" t="s">
        <v>42</v>
      </c>
      <c r="H95" s="53" t="s">
        <v>164</v>
      </c>
      <c r="I95" s="53" t="s">
        <v>159</v>
      </c>
      <c r="J95" s="53" t="s">
        <v>38</v>
      </c>
      <c r="K95" s="53" t="s">
        <v>161</v>
      </c>
      <c r="L95" s="53">
        <v>1</v>
      </c>
      <c r="N95" s="53">
        <v>6</v>
      </c>
      <c r="O95" s="53">
        <v>0.95</v>
      </c>
      <c r="P95" s="53">
        <v>0.9</v>
      </c>
      <c r="Q95" s="75">
        <f t="shared" si="3"/>
        <v>0.92500000000000004</v>
      </c>
      <c r="R95" s="53">
        <v>16</v>
      </c>
      <c r="S95" s="53">
        <v>120</v>
      </c>
      <c r="T95" s="16">
        <f t="shared" si="4"/>
        <v>30</v>
      </c>
      <c r="U95" s="53">
        <v>537</v>
      </c>
      <c r="V95" s="38">
        <v>3670</v>
      </c>
      <c r="W95" s="53">
        <v>1</v>
      </c>
      <c r="X95" s="53" t="s">
        <v>46</v>
      </c>
      <c r="Y95" s="53" t="s">
        <v>78</v>
      </c>
      <c r="Z95" s="53" t="s">
        <v>102</v>
      </c>
      <c r="AA95" s="53" t="s">
        <v>69</v>
      </c>
      <c r="AB95" s="53" t="s">
        <v>158</v>
      </c>
      <c r="AC95" s="76"/>
      <c r="AD95" s="76"/>
      <c r="AE95" s="76"/>
      <c r="AF95" s="76"/>
      <c r="AG95" s="76"/>
      <c r="AH95" s="76"/>
    </row>
    <row r="96" spans="1:34" x14ac:dyDescent="0.15">
      <c r="A96" s="53" t="s">
        <v>41</v>
      </c>
      <c r="B96" s="53" t="s">
        <v>157</v>
      </c>
      <c r="C96" s="62">
        <v>2019</v>
      </c>
      <c r="D96" s="63" t="s">
        <v>188</v>
      </c>
      <c r="E96" s="53" t="s">
        <v>202</v>
      </c>
      <c r="F96" s="53" t="s">
        <v>203</v>
      </c>
      <c r="G96" s="53" t="s">
        <v>42</v>
      </c>
      <c r="H96" s="53" t="s">
        <v>164</v>
      </c>
      <c r="I96" s="53" t="s">
        <v>159</v>
      </c>
      <c r="J96" s="53" t="s">
        <v>38</v>
      </c>
      <c r="K96" s="53" t="s">
        <v>161</v>
      </c>
      <c r="L96" s="53">
        <v>2</v>
      </c>
      <c r="N96" s="53">
        <v>6</v>
      </c>
      <c r="O96" s="53">
        <v>0.75</v>
      </c>
      <c r="P96" s="53">
        <v>0.8</v>
      </c>
      <c r="Q96" s="75">
        <f t="shared" si="3"/>
        <v>0.77500000000000002</v>
      </c>
      <c r="R96" s="53">
        <v>13</v>
      </c>
      <c r="S96" s="53">
        <v>114</v>
      </c>
      <c r="T96" s="16">
        <f t="shared" si="4"/>
        <v>30</v>
      </c>
      <c r="U96" s="53">
        <v>537</v>
      </c>
      <c r="V96" s="38">
        <v>3303</v>
      </c>
      <c r="W96" s="53">
        <v>1</v>
      </c>
      <c r="X96" s="53" t="s">
        <v>46</v>
      </c>
      <c r="Y96" s="53" t="s">
        <v>78</v>
      </c>
      <c r="Z96" s="53" t="s">
        <v>102</v>
      </c>
      <c r="AA96" s="53" t="s">
        <v>69</v>
      </c>
      <c r="AB96" s="53" t="s">
        <v>158</v>
      </c>
      <c r="AC96" s="76"/>
      <c r="AD96" s="76"/>
      <c r="AE96" s="76"/>
      <c r="AF96" s="76"/>
      <c r="AG96" s="76"/>
      <c r="AH96" s="76"/>
    </row>
    <row r="97" spans="1:34" x14ac:dyDescent="0.15">
      <c r="A97" s="53" t="s">
        <v>41</v>
      </c>
      <c r="B97" s="53" t="s">
        <v>157</v>
      </c>
      <c r="C97" s="62">
        <v>2019</v>
      </c>
      <c r="D97" s="63" t="s">
        <v>188</v>
      </c>
      <c r="E97" s="53" t="s">
        <v>202</v>
      </c>
      <c r="F97" s="53" t="s">
        <v>203</v>
      </c>
      <c r="G97" s="53" t="s">
        <v>42</v>
      </c>
      <c r="H97" s="53" t="s">
        <v>164</v>
      </c>
      <c r="I97" s="53" t="s">
        <v>159</v>
      </c>
      <c r="J97" s="53" t="s">
        <v>38</v>
      </c>
      <c r="K97" s="53" t="s">
        <v>161</v>
      </c>
      <c r="L97" s="53">
        <v>3</v>
      </c>
      <c r="N97" s="53">
        <v>6</v>
      </c>
      <c r="O97" s="53">
        <v>0.9</v>
      </c>
      <c r="P97" s="53">
        <v>0.85</v>
      </c>
      <c r="Q97" s="75">
        <f t="shared" si="3"/>
        <v>0.875</v>
      </c>
      <c r="R97" s="53">
        <v>13.3</v>
      </c>
      <c r="S97" s="53">
        <v>115</v>
      </c>
      <c r="T97" s="16">
        <f t="shared" si="4"/>
        <v>30</v>
      </c>
      <c r="U97" s="53">
        <v>537</v>
      </c>
      <c r="V97" s="38">
        <v>3670</v>
      </c>
      <c r="W97" s="53">
        <v>1</v>
      </c>
      <c r="X97" s="53" t="s">
        <v>46</v>
      </c>
      <c r="Y97" s="53" t="s">
        <v>78</v>
      </c>
      <c r="Z97" s="53" t="s">
        <v>102</v>
      </c>
      <c r="AA97" s="53" t="s">
        <v>69</v>
      </c>
      <c r="AB97" s="53" t="s">
        <v>158</v>
      </c>
      <c r="AC97" s="76"/>
      <c r="AD97" s="76"/>
      <c r="AE97" s="76"/>
      <c r="AF97" s="76"/>
      <c r="AG97" s="76"/>
      <c r="AH97" s="76"/>
    </row>
    <row r="98" spans="1:34" x14ac:dyDescent="0.15">
      <c r="A98" s="53" t="s">
        <v>41</v>
      </c>
      <c r="B98" s="53" t="s">
        <v>157</v>
      </c>
      <c r="C98" s="62">
        <v>2019</v>
      </c>
      <c r="D98" s="63" t="s">
        <v>188</v>
      </c>
      <c r="E98" s="53" t="s">
        <v>202</v>
      </c>
      <c r="F98" s="53" t="s">
        <v>209</v>
      </c>
      <c r="G98" s="53" t="s">
        <v>42</v>
      </c>
      <c r="H98" s="53" t="s">
        <v>160</v>
      </c>
      <c r="I98" s="53" t="s">
        <v>159</v>
      </c>
      <c r="J98" s="53" t="s">
        <v>38</v>
      </c>
      <c r="K98" s="53" t="s">
        <v>161</v>
      </c>
      <c r="L98" s="53">
        <v>1</v>
      </c>
      <c r="N98" s="53">
        <v>1</v>
      </c>
      <c r="O98" s="53">
        <v>0.45</v>
      </c>
      <c r="P98" s="53">
        <v>0.3</v>
      </c>
      <c r="Q98" s="75">
        <f t="shared" si="3"/>
        <v>0.375</v>
      </c>
      <c r="R98" s="53">
        <v>16.2</v>
      </c>
      <c r="S98" s="53">
        <v>125</v>
      </c>
      <c r="T98" s="16">
        <f t="shared" si="4"/>
        <v>27</v>
      </c>
      <c r="U98" s="53">
        <v>138</v>
      </c>
      <c r="V98" s="16">
        <f t="shared" ref="V98:V136" si="6">IF(OR(N98="",U98="",T98=""),"",U98/N98*T98)</f>
        <v>3726</v>
      </c>
      <c r="W98" s="53">
        <v>2</v>
      </c>
      <c r="X98" s="53" t="s">
        <v>46</v>
      </c>
      <c r="Y98" s="53" t="s">
        <v>78</v>
      </c>
      <c r="Z98" s="53" t="s">
        <v>69</v>
      </c>
      <c r="AA98" s="53" t="s">
        <v>102</v>
      </c>
      <c r="AB98" s="53" t="s">
        <v>158</v>
      </c>
      <c r="AC98" s="76"/>
      <c r="AD98" s="76"/>
      <c r="AE98" s="76"/>
      <c r="AF98" s="76"/>
      <c r="AG98" s="76"/>
      <c r="AH98" s="76"/>
    </row>
    <row r="99" spans="1:34" x14ac:dyDescent="0.15">
      <c r="A99" s="53" t="s">
        <v>41</v>
      </c>
      <c r="B99" s="53" t="s">
        <v>157</v>
      </c>
      <c r="C99" s="62">
        <v>2019</v>
      </c>
      <c r="D99" s="63" t="s">
        <v>188</v>
      </c>
      <c r="E99" s="53" t="s">
        <v>202</v>
      </c>
      <c r="F99" s="53" t="s">
        <v>209</v>
      </c>
      <c r="G99" s="53" t="s">
        <v>42</v>
      </c>
      <c r="H99" s="53" t="s">
        <v>160</v>
      </c>
      <c r="I99" s="53" t="s">
        <v>159</v>
      </c>
      <c r="J99" s="53" t="s">
        <v>38</v>
      </c>
      <c r="K99" s="53" t="s">
        <v>161</v>
      </c>
      <c r="L99" s="53">
        <v>2</v>
      </c>
      <c r="N99" s="53">
        <v>1</v>
      </c>
      <c r="O99" s="53">
        <v>0.35</v>
      </c>
      <c r="P99" s="53">
        <v>0.35</v>
      </c>
      <c r="Q99" s="75">
        <f t="shared" si="3"/>
        <v>0.35</v>
      </c>
      <c r="R99" s="53">
        <v>14.1</v>
      </c>
      <c r="S99" s="53">
        <v>128</v>
      </c>
      <c r="T99" s="16">
        <f t="shared" si="4"/>
        <v>27</v>
      </c>
      <c r="U99" s="53">
        <v>138</v>
      </c>
      <c r="V99" s="16">
        <f t="shared" si="6"/>
        <v>3726</v>
      </c>
      <c r="W99" s="53">
        <v>2</v>
      </c>
      <c r="X99" s="53" t="s">
        <v>46</v>
      </c>
      <c r="Y99" s="53" t="s">
        <v>78</v>
      </c>
      <c r="Z99" s="53" t="s">
        <v>69</v>
      </c>
      <c r="AA99" s="53" t="s">
        <v>102</v>
      </c>
      <c r="AB99" s="53" t="s">
        <v>158</v>
      </c>
      <c r="AC99" s="76"/>
      <c r="AD99" s="76"/>
      <c r="AE99" s="76"/>
      <c r="AF99" s="76"/>
      <c r="AG99" s="76"/>
      <c r="AH99" s="76"/>
    </row>
    <row r="100" spans="1:34" x14ac:dyDescent="0.15">
      <c r="A100" s="53" t="s">
        <v>41</v>
      </c>
      <c r="B100" s="53" t="s">
        <v>157</v>
      </c>
      <c r="C100" s="62">
        <v>2019</v>
      </c>
      <c r="D100" s="63" t="s">
        <v>188</v>
      </c>
      <c r="E100" s="53" t="s">
        <v>202</v>
      </c>
      <c r="F100" s="53" t="s">
        <v>209</v>
      </c>
      <c r="G100" s="53" t="s">
        <v>42</v>
      </c>
      <c r="H100" s="53" t="s">
        <v>160</v>
      </c>
      <c r="I100" s="53" t="s">
        <v>159</v>
      </c>
      <c r="J100" s="53" t="s">
        <v>38</v>
      </c>
      <c r="K100" s="53" t="s">
        <v>161</v>
      </c>
      <c r="L100" s="53">
        <v>3</v>
      </c>
      <c r="N100" s="53">
        <v>1</v>
      </c>
      <c r="O100" s="53">
        <v>0.6</v>
      </c>
      <c r="P100" s="53">
        <v>0.75</v>
      </c>
      <c r="Q100" s="75">
        <f t="shared" si="3"/>
        <v>0.67500000000000004</v>
      </c>
      <c r="R100" s="53">
        <v>15.8</v>
      </c>
      <c r="S100" s="53">
        <v>127</v>
      </c>
      <c r="T100" s="16">
        <f t="shared" si="4"/>
        <v>27</v>
      </c>
      <c r="U100" s="53">
        <v>138</v>
      </c>
      <c r="V100" s="16">
        <f t="shared" si="6"/>
        <v>3726</v>
      </c>
      <c r="W100" s="53">
        <v>2</v>
      </c>
      <c r="X100" s="53" t="s">
        <v>46</v>
      </c>
      <c r="Y100" s="53" t="s">
        <v>78</v>
      </c>
      <c r="Z100" s="53" t="s">
        <v>69</v>
      </c>
      <c r="AA100" s="53" t="s">
        <v>102</v>
      </c>
      <c r="AB100" s="53" t="s">
        <v>158</v>
      </c>
      <c r="AC100" s="76"/>
      <c r="AD100" s="76"/>
      <c r="AE100" s="76"/>
      <c r="AF100" s="76"/>
      <c r="AG100" s="76"/>
      <c r="AH100" s="76"/>
    </row>
    <row r="101" spans="1:34" x14ac:dyDescent="0.15">
      <c r="A101" s="53" t="s">
        <v>41</v>
      </c>
      <c r="B101" s="53" t="s">
        <v>157</v>
      </c>
      <c r="C101" s="62">
        <v>2019</v>
      </c>
      <c r="D101" s="63" t="s">
        <v>188</v>
      </c>
      <c r="E101" s="53" t="s">
        <v>202</v>
      </c>
      <c r="F101" s="53" t="s">
        <v>209</v>
      </c>
      <c r="G101" s="53" t="s">
        <v>42</v>
      </c>
      <c r="H101" s="53" t="s">
        <v>160</v>
      </c>
      <c r="I101" s="53" t="s">
        <v>159</v>
      </c>
      <c r="J101" s="53" t="s">
        <v>38</v>
      </c>
      <c r="K101" s="53" t="s">
        <v>161</v>
      </c>
      <c r="L101" s="53">
        <v>1</v>
      </c>
      <c r="N101" s="53">
        <v>3</v>
      </c>
      <c r="O101" s="53">
        <v>0.45</v>
      </c>
      <c r="P101" s="53">
        <v>0.5</v>
      </c>
      <c r="Q101" s="16">
        <f t="shared" si="3"/>
        <v>0.47499999999999998</v>
      </c>
      <c r="R101" s="53">
        <v>13.4</v>
      </c>
      <c r="S101" s="53">
        <v>158</v>
      </c>
      <c r="T101" s="16">
        <f t="shared" si="4"/>
        <v>22</v>
      </c>
      <c r="U101" s="53">
        <v>429</v>
      </c>
      <c r="V101" s="16">
        <f t="shared" si="6"/>
        <v>3146</v>
      </c>
      <c r="W101" s="53">
        <v>1</v>
      </c>
      <c r="X101" s="53" t="s">
        <v>46</v>
      </c>
      <c r="Y101" s="53" t="s">
        <v>78</v>
      </c>
      <c r="Z101" s="53" t="s">
        <v>69</v>
      </c>
      <c r="AA101" s="53" t="s">
        <v>102</v>
      </c>
      <c r="AB101" s="53" t="s">
        <v>158</v>
      </c>
      <c r="AC101" s="76"/>
      <c r="AD101" s="76"/>
      <c r="AE101" s="76"/>
      <c r="AF101" s="76"/>
      <c r="AG101" s="76"/>
      <c r="AH101" s="76"/>
    </row>
    <row r="102" spans="1:34" x14ac:dyDescent="0.15">
      <c r="A102" s="53" t="s">
        <v>41</v>
      </c>
      <c r="B102" s="53" t="s">
        <v>157</v>
      </c>
      <c r="C102" s="62">
        <v>2019</v>
      </c>
      <c r="D102" s="63" t="s">
        <v>188</v>
      </c>
      <c r="E102" s="53" t="s">
        <v>202</v>
      </c>
      <c r="F102" s="53" t="s">
        <v>209</v>
      </c>
      <c r="G102" s="53" t="s">
        <v>42</v>
      </c>
      <c r="H102" s="53" t="s">
        <v>160</v>
      </c>
      <c r="I102" s="53" t="s">
        <v>159</v>
      </c>
      <c r="J102" s="53" t="s">
        <v>38</v>
      </c>
      <c r="K102" s="53" t="s">
        <v>161</v>
      </c>
      <c r="L102" s="53">
        <v>2</v>
      </c>
      <c r="M102" s="76"/>
      <c r="N102" s="53">
        <v>3</v>
      </c>
      <c r="O102" s="53">
        <v>0.5</v>
      </c>
      <c r="P102" s="53">
        <v>0.45</v>
      </c>
      <c r="Q102" s="16">
        <f t="shared" si="3"/>
        <v>0.47499999999999998</v>
      </c>
      <c r="R102" s="53">
        <v>14.1</v>
      </c>
      <c r="S102" s="53">
        <v>162</v>
      </c>
      <c r="T102" s="16">
        <f t="shared" si="4"/>
        <v>22</v>
      </c>
      <c r="U102" s="53">
        <v>429</v>
      </c>
      <c r="V102" s="16">
        <f t="shared" si="6"/>
        <v>3146</v>
      </c>
      <c r="W102" s="53">
        <v>1</v>
      </c>
      <c r="X102" s="53" t="s">
        <v>46</v>
      </c>
      <c r="Y102" s="53" t="s">
        <v>78</v>
      </c>
      <c r="Z102" s="53" t="s">
        <v>69</v>
      </c>
      <c r="AA102" s="53" t="s">
        <v>102</v>
      </c>
      <c r="AB102" s="53" t="s">
        <v>158</v>
      </c>
      <c r="AC102" s="76"/>
      <c r="AD102" s="76"/>
      <c r="AE102" s="76"/>
      <c r="AF102" s="76"/>
      <c r="AG102" s="76"/>
      <c r="AH102" s="76"/>
    </row>
    <row r="103" spans="1:34" x14ac:dyDescent="0.15">
      <c r="A103" s="53" t="s">
        <v>41</v>
      </c>
      <c r="B103" s="53" t="s">
        <v>157</v>
      </c>
      <c r="C103" s="62">
        <v>2019</v>
      </c>
      <c r="D103" s="63" t="s">
        <v>188</v>
      </c>
      <c r="E103" s="53" t="s">
        <v>202</v>
      </c>
      <c r="F103" s="53" t="s">
        <v>209</v>
      </c>
      <c r="G103" s="53" t="s">
        <v>42</v>
      </c>
      <c r="H103" s="53" t="s">
        <v>160</v>
      </c>
      <c r="I103" s="53" t="s">
        <v>159</v>
      </c>
      <c r="J103" s="53" t="s">
        <v>38</v>
      </c>
      <c r="K103" s="53" t="s">
        <v>161</v>
      </c>
      <c r="L103" s="53">
        <v>3</v>
      </c>
      <c r="M103" s="76"/>
      <c r="N103" s="53">
        <v>3</v>
      </c>
      <c r="O103" s="53">
        <v>0.3</v>
      </c>
      <c r="P103" s="53">
        <v>0.35</v>
      </c>
      <c r="Q103" s="16">
        <f t="shared" si="3"/>
        <v>0.32499999999999996</v>
      </c>
      <c r="R103" s="53">
        <v>15.1</v>
      </c>
      <c r="S103" s="53">
        <v>154</v>
      </c>
      <c r="T103" s="16">
        <f t="shared" si="4"/>
        <v>22</v>
      </c>
      <c r="U103" s="53">
        <v>429</v>
      </c>
      <c r="V103" s="16">
        <f t="shared" si="6"/>
        <v>3146</v>
      </c>
      <c r="W103" s="53">
        <v>1</v>
      </c>
      <c r="X103" s="53" t="s">
        <v>46</v>
      </c>
      <c r="Y103" s="53" t="s">
        <v>78</v>
      </c>
      <c r="Z103" s="53" t="s">
        <v>69</v>
      </c>
      <c r="AA103" s="53" t="s">
        <v>102</v>
      </c>
      <c r="AB103" s="53" t="s">
        <v>158</v>
      </c>
      <c r="AC103" s="76"/>
      <c r="AD103" s="76"/>
      <c r="AE103" s="76"/>
      <c r="AF103" s="76"/>
      <c r="AG103" s="76"/>
      <c r="AH103" s="76"/>
    </row>
    <row r="104" spans="1:34" x14ac:dyDescent="0.15">
      <c r="A104" s="53" t="s">
        <v>41</v>
      </c>
      <c r="B104" s="53" t="s">
        <v>157</v>
      </c>
      <c r="C104" s="62">
        <v>2019</v>
      </c>
      <c r="D104" s="63" t="s">
        <v>188</v>
      </c>
      <c r="E104" s="53" t="s">
        <v>202</v>
      </c>
      <c r="F104" s="53" t="s">
        <v>209</v>
      </c>
      <c r="G104" s="53" t="s">
        <v>42</v>
      </c>
      <c r="H104" s="53" t="s">
        <v>160</v>
      </c>
      <c r="I104" s="53" t="s">
        <v>159</v>
      </c>
      <c r="J104" s="53" t="s">
        <v>38</v>
      </c>
      <c r="K104" s="53" t="s">
        <v>161</v>
      </c>
      <c r="L104" s="53">
        <v>1</v>
      </c>
      <c r="N104" s="53">
        <v>6</v>
      </c>
      <c r="O104" s="53">
        <v>0.35</v>
      </c>
      <c r="P104" s="53">
        <v>0.4</v>
      </c>
      <c r="Q104" s="16">
        <f t="shared" si="3"/>
        <v>0.375</v>
      </c>
      <c r="R104" s="53">
        <v>14.1</v>
      </c>
      <c r="S104" s="53">
        <v>120</v>
      </c>
      <c r="T104" s="16">
        <f t="shared" si="4"/>
        <v>30</v>
      </c>
      <c r="U104" s="53">
        <v>537</v>
      </c>
      <c r="V104" s="16">
        <f t="shared" si="6"/>
        <v>2685</v>
      </c>
      <c r="W104" s="53">
        <v>2</v>
      </c>
      <c r="X104" s="53" t="s">
        <v>46</v>
      </c>
      <c r="Y104" s="53" t="s">
        <v>78</v>
      </c>
      <c r="Z104" s="53" t="s">
        <v>69</v>
      </c>
      <c r="AA104" s="53" t="s">
        <v>102</v>
      </c>
      <c r="AB104" s="53" t="s">
        <v>158</v>
      </c>
      <c r="AC104" s="76"/>
      <c r="AD104" s="76"/>
      <c r="AE104" s="76"/>
      <c r="AF104" s="76"/>
      <c r="AG104" s="76"/>
      <c r="AH104" s="76"/>
    </row>
    <row r="105" spans="1:34" x14ac:dyDescent="0.15">
      <c r="A105" s="53" t="s">
        <v>41</v>
      </c>
      <c r="B105" s="53" t="s">
        <v>157</v>
      </c>
      <c r="C105" s="62">
        <v>2019</v>
      </c>
      <c r="D105" s="63" t="s">
        <v>188</v>
      </c>
      <c r="E105" s="53" t="s">
        <v>202</v>
      </c>
      <c r="F105" s="53" t="s">
        <v>209</v>
      </c>
      <c r="G105" s="53" t="s">
        <v>42</v>
      </c>
      <c r="H105" s="53" t="s">
        <v>160</v>
      </c>
      <c r="I105" s="53" t="s">
        <v>159</v>
      </c>
      <c r="J105" s="53" t="s">
        <v>38</v>
      </c>
      <c r="K105" s="53" t="s">
        <v>161</v>
      </c>
      <c r="L105" s="53">
        <v>2</v>
      </c>
      <c r="M105" s="76"/>
      <c r="N105" s="53">
        <v>6</v>
      </c>
      <c r="O105" s="53">
        <v>0.45</v>
      </c>
      <c r="P105" s="53">
        <v>0.5</v>
      </c>
      <c r="Q105" s="16">
        <f t="shared" si="3"/>
        <v>0.47499999999999998</v>
      </c>
      <c r="R105" s="53">
        <v>11.5</v>
      </c>
      <c r="S105" s="53">
        <v>118</v>
      </c>
      <c r="T105" s="16">
        <f t="shared" si="4"/>
        <v>30</v>
      </c>
      <c r="U105" s="53">
        <v>537</v>
      </c>
      <c r="V105" s="16">
        <f t="shared" si="6"/>
        <v>2685</v>
      </c>
      <c r="W105" s="53">
        <v>2</v>
      </c>
      <c r="X105" s="53" t="s">
        <v>46</v>
      </c>
      <c r="Y105" s="53" t="s">
        <v>78</v>
      </c>
      <c r="Z105" s="53" t="s">
        <v>69</v>
      </c>
      <c r="AA105" s="53" t="s">
        <v>102</v>
      </c>
      <c r="AB105" s="53" t="s">
        <v>158</v>
      </c>
      <c r="AC105" s="76"/>
      <c r="AD105" s="76"/>
      <c r="AE105" s="76"/>
      <c r="AF105" s="76"/>
      <c r="AG105" s="76"/>
      <c r="AH105" s="76"/>
    </row>
    <row r="106" spans="1:34" x14ac:dyDescent="0.15">
      <c r="A106" s="53" t="s">
        <v>41</v>
      </c>
      <c r="B106" s="53" t="s">
        <v>157</v>
      </c>
      <c r="C106" s="62">
        <v>2019</v>
      </c>
      <c r="D106" s="63" t="s">
        <v>188</v>
      </c>
      <c r="E106" s="53" t="s">
        <v>202</v>
      </c>
      <c r="F106" s="53" t="s">
        <v>209</v>
      </c>
      <c r="G106" s="53" t="s">
        <v>42</v>
      </c>
      <c r="H106" s="53" t="s">
        <v>160</v>
      </c>
      <c r="I106" s="53" t="s">
        <v>159</v>
      </c>
      <c r="J106" s="53" t="s">
        <v>38</v>
      </c>
      <c r="K106" s="53" t="s">
        <v>161</v>
      </c>
      <c r="L106" s="53">
        <v>3</v>
      </c>
      <c r="M106" s="76"/>
      <c r="N106" s="53">
        <v>6</v>
      </c>
      <c r="O106" s="53">
        <v>0.3</v>
      </c>
      <c r="P106" s="53">
        <v>0.25</v>
      </c>
      <c r="Q106" s="16">
        <f t="shared" si="3"/>
        <v>0.27500000000000002</v>
      </c>
      <c r="R106" s="53">
        <v>13.2</v>
      </c>
      <c r="S106" s="53">
        <v>120</v>
      </c>
      <c r="T106" s="16">
        <f t="shared" si="4"/>
        <v>30</v>
      </c>
      <c r="U106" s="53">
        <v>537</v>
      </c>
      <c r="V106" s="16">
        <f t="shared" si="6"/>
        <v>2685</v>
      </c>
      <c r="W106" s="53">
        <v>2</v>
      </c>
      <c r="X106" s="53" t="s">
        <v>46</v>
      </c>
      <c r="Y106" s="53" t="s">
        <v>78</v>
      </c>
      <c r="Z106" s="53" t="s">
        <v>69</v>
      </c>
      <c r="AA106" s="53" t="s">
        <v>102</v>
      </c>
      <c r="AB106" s="53" t="s">
        <v>158</v>
      </c>
      <c r="AC106" s="76"/>
      <c r="AD106" s="76"/>
      <c r="AE106" s="76"/>
      <c r="AF106" s="76"/>
      <c r="AG106" s="76"/>
      <c r="AH106" s="76"/>
    </row>
    <row r="107" spans="1:34" x14ac:dyDescent="0.15">
      <c r="A107" s="53" t="s">
        <v>41</v>
      </c>
      <c r="B107" s="53" t="s">
        <v>157</v>
      </c>
      <c r="C107" s="62">
        <v>2019</v>
      </c>
      <c r="D107" s="63" t="s">
        <v>188</v>
      </c>
      <c r="E107" s="53" t="s">
        <v>202</v>
      </c>
      <c r="F107" s="53" t="s">
        <v>209</v>
      </c>
      <c r="G107" s="53" t="s">
        <v>42</v>
      </c>
      <c r="H107" s="53" t="s">
        <v>164</v>
      </c>
      <c r="I107" s="53" t="s">
        <v>159</v>
      </c>
      <c r="J107" s="53" t="s">
        <v>38</v>
      </c>
      <c r="K107" s="53" t="s">
        <v>161</v>
      </c>
      <c r="L107" s="53">
        <v>1</v>
      </c>
      <c r="N107" s="53">
        <v>1</v>
      </c>
      <c r="O107" s="53">
        <v>0.7</v>
      </c>
      <c r="P107" s="53">
        <v>0.9</v>
      </c>
      <c r="Q107" s="16">
        <f t="shared" si="3"/>
        <v>0.8</v>
      </c>
      <c r="R107" s="53">
        <v>11.1</v>
      </c>
      <c r="S107" s="53">
        <v>126</v>
      </c>
      <c r="T107" s="16">
        <f t="shared" si="4"/>
        <v>27</v>
      </c>
      <c r="U107" s="53">
        <v>105</v>
      </c>
      <c r="V107" s="38">
        <f t="shared" si="6"/>
        <v>2835</v>
      </c>
      <c r="W107" s="53">
        <v>2</v>
      </c>
      <c r="X107" s="53" t="s">
        <v>46</v>
      </c>
      <c r="Y107" s="53" t="s">
        <v>78</v>
      </c>
      <c r="Z107" s="53" t="s">
        <v>69</v>
      </c>
      <c r="AA107" s="53" t="s">
        <v>102</v>
      </c>
      <c r="AB107" s="53" t="s">
        <v>158</v>
      </c>
      <c r="AC107" s="76"/>
      <c r="AD107" s="76"/>
      <c r="AE107" s="76"/>
      <c r="AF107" s="76"/>
      <c r="AG107" s="76"/>
      <c r="AH107" s="76"/>
    </row>
    <row r="108" spans="1:34" x14ac:dyDescent="0.15">
      <c r="A108" s="53" t="s">
        <v>41</v>
      </c>
      <c r="B108" s="53" t="s">
        <v>157</v>
      </c>
      <c r="C108" s="62">
        <v>2019</v>
      </c>
      <c r="D108" s="63" t="s">
        <v>188</v>
      </c>
      <c r="E108" s="53" t="s">
        <v>202</v>
      </c>
      <c r="F108" s="53" t="s">
        <v>209</v>
      </c>
      <c r="G108" s="53" t="s">
        <v>42</v>
      </c>
      <c r="H108" s="53" t="s">
        <v>164</v>
      </c>
      <c r="I108" s="53" t="s">
        <v>159</v>
      </c>
      <c r="J108" s="53" t="s">
        <v>38</v>
      </c>
      <c r="K108" s="53" t="s">
        <v>161</v>
      </c>
      <c r="L108" s="53">
        <v>2</v>
      </c>
      <c r="N108" s="53">
        <v>1</v>
      </c>
      <c r="O108" s="53">
        <v>0.5</v>
      </c>
      <c r="P108" s="53">
        <v>0.75</v>
      </c>
      <c r="Q108" s="16">
        <f t="shared" si="3"/>
        <v>0.625</v>
      </c>
      <c r="R108" s="53">
        <v>12.8</v>
      </c>
      <c r="S108" s="53">
        <v>124</v>
      </c>
      <c r="T108" s="16">
        <f t="shared" si="4"/>
        <v>27</v>
      </c>
      <c r="U108" s="53">
        <v>105</v>
      </c>
      <c r="V108" s="38">
        <f t="shared" si="6"/>
        <v>2835</v>
      </c>
      <c r="W108" s="53">
        <v>2</v>
      </c>
      <c r="X108" s="53" t="s">
        <v>46</v>
      </c>
      <c r="Y108" s="53" t="s">
        <v>78</v>
      </c>
      <c r="Z108" s="53" t="s">
        <v>69</v>
      </c>
      <c r="AA108" s="53" t="s">
        <v>102</v>
      </c>
      <c r="AB108" s="53" t="s">
        <v>158</v>
      </c>
      <c r="AC108" s="76"/>
      <c r="AD108" s="76"/>
      <c r="AE108" s="76"/>
      <c r="AF108" s="76"/>
      <c r="AG108" s="76"/>
      <c r="AH108" s="76"/>
    </row>
    <row r="109" spans="1:34" x14ac:dyDescent="0.15">
      <c r="A109" s="53" t="s">
        <v>41</v>
      </c>
      <c r="B109" s="53" t="s">
        <v>157</v>
      </c>
      <c r="C109" s="62">
        <v>2019</v>
      </c>
      <c r="D109" s="63" t="s">
        <v>188</v>
      </c>
      <c r="E109" s="53" t="s">
        <v>202</v>
      </c>
      <c r="F109" s="53" t="s">
        <v>209</v>
      </c>
      <c r="G109" s="53" t="s">
        <v>42</v>
      </c>
      <c r="H109" s="53" t="s">
        <v>164</v>
      </c>
      <c r="I109" s="53" t="s">
        <v>159</v>
      </c>
      <c r="J109" s="53" t="s">
        <v>38</v>
      </c>
      <c r="K109" s="53" t="s">
        <v>161</v>
      </c>
      <c r="L109" s="53">
        <v>3</v>
      </c>
      <c r="N109" s="53">
        <v>1</v>
      </c>
      <c r="O109" s="53">
        <v>0.65</v>
      </c>
      <c r="P109" s="53">
        <v>0.7</v>
      </c>
      <c r="Q109" s="16">
        <f t="shared" si="3"/>
        <v>0.67500000000000004</v>
      </c>
      <c r="R109" s="53">
        <v>14.1</v>
      </c>
      <c r="S109" s="53">
        <v>125</v>
      </c>
      <c r="T109" s="16">
        <f t="shared" si="4"/>
        <v>27</v>
      </c>
      <c r="U109" s="53">
        <v>105</v>
      </c>
      <c r="V109" s="38">
        <f t="shared" si="6"/>
        <v>2835</v>
      </c>
      <c r="W109" s="53">
        <v>2</v>
      </c>
      <c r="X109" s="53" t="s">
        <v>46</v>
      </c>
      <c r="Y109" s="53" t="s">
        <v>78</v>
      </c>
      <c r="Z109" s="53" t="s">
        <v>69</v>
      </c>
      <c r="AA109" s="53" t="s">
        <v>102</v>
      </c>
      <c r="AB109" s="53" t="s">
        <v>158</v>
      </c>
      <c r="AC109" s="76"/>
      <c r="AD109" s="76"/>
      <c r="AE109" s="76"/>
      <c r="AF109" s="76"/>
      <c r="AG109" s="76"/>
      <c r="AH109" s="76"/>
    </row>
    <row r="110" spans="1:34" x14ac:dyDescent="0.15">
      <c r="A110" s="53" t="s">
        <v>41</v>
      </c>
      <c r="B110" s="53" t="s">
        <v>157</v>
      </c>
      <c r="C110" s="62">
        <v>2019</v>
      </c>
      <c r="D110" s="63" t="s">
        <v>188</v>
      </c>
      <c r="E110" s="53" t="s">
        <v>202</v>
      </c>
      <c r="F110" s="53" t="s">
        <v>209</v>
      </c>
      <c r="G110" s="53" t="s">
        <v>42</v>
      </c>
      <c r="H110" s="53" t="s">
        <v>164</v>
      </c>
      <c r="I110" s="53" t="s">
        <v>159</v>
      </c>
      <c r="J110" s="53" t="s">
        <v>38</v>
      </c>
      <c r="K110" s="53" t="s">
        <v>161</v>
      </c>
      <c r="L110" s="53">
        <v>1</v>
      </c>
      <c r="N110" s="53">
        <v>7</v>
      </c>
      <c r="O110" s="53">
        <v>0.25</v>
      </c>
      <c r="P110" s="53">
        <v>0.3</v>
      </c>
      <c r="Q110" s="16">
        <f t="shared" si="3"/>
        <v>0.27500000000000002</v>
      </c>
      <c r="R110" s="53">
        <v>13.8</v>
      </c>
      <c r="S110" s="53">
        <v>120</v>
      </c>
      <c r="T110" s="16">
        <f t="shared" si="4"/>
        <v>30</v>
      </c>
      <c r="U110" s="53">
        <v>537</v>
      </c>
      <c r="V110" s="16">
        <f t="shared" si="6"/>
        <v>2301.4285714285711</v>
      </c>
      <c r="W110" s="53">
        <v>1</v>
      </c>
      <c r="X110" s="53" t="s">
        <v>46</v>
      </c>
      <c r="Y110" s="53" t="s">
        <v>78</v>
      </c>
      <c r="Z110" s="53" t="s">
        <v>69</v>
      </c>
      <c r="AA110" s="53" t="s">
        <v>102</v>
      </c>
      <c r="AB110" s="53" t="s">
        <v>158</v>
      </c>
      <c r="AC110" s="76"/>
      <c r="AD110" s="76"/>
      <c r="AE110" s="76"/>
      <c r="AF110" s="76"/>
      <c r="AG110" s="76"/>
      <c r="AH110" s="76"/>
    </row>
    <row r="111" spans="1:34" x14ac:dyDescent="0.15">
      <c r="A111" s="53" t="s">
        <v>41</v>
      </c>
      <c r="B111" s="53" t="s">
        <v>157</v>
      </c>
      <c r="C111" s="62">
        <v>2019</v>
      </c>
      <c r="D111" s="63" t="s">
        <v>188</v>
      </c>
      <c r="E111" s="53" t="s">
        <v>202</v>
      </c>
      <c r="F111" s="53" t="s">
        <v>209</v>
      </c>
      <c r="G111" s="53" t="s">
        <v>42</v>
      </c>
      <c r="H111" s="53" t="s">
        <v>164</v>
      </c>
      <c r="I111" s="53" t="s">
        <v>159</v>
      </c>
      <c r="J111" s="53" t="s">
        <v>38</v>
      </c>
      <c r="K111" s="53" t="s">
        <v>161</v>
      </c>
      <c r="L111" s="53">
        <v>2</v>
      </c>
      <c r="N111" s="53">
        <v>7</v>
      </c>
      <c r="O111" s="53">
        <v>0.35</v>
      </c>
      <c r="P111" s="53">
        <v>0.45</v>
      </c>
      <c r="Q111" s="16">
        <f t="shared" si="3"/>
        <v>0.4</v>
      </c>
      <c r="R111" s="53">
        <v>15.6</v>
      </c>
      <c r="S111" s="53">
        <v>118</v>
      </c>
      <c r="T111" s="16">
        <f t="shared" si="4"/>
        <v>30</v>
      </c>
      <c r="U111" s="53">
        <v>537</v>
      </c>
      <c r="V111" s="16">
        <f t="shared" si="6"/>
        <v>2301.4285714285711</v>
      </c>
      <c r="W111" s="53">
        <v>1</v>
      </c>
      <c r="X111" s="53" t="s">
        <v>46</v>
      </c>
      <c r="Y111" s="53" t="s">
        <v>78</v>
      </c>
      <c r="Z111" s="53" t="s">
        <v>69</v>
      </c>
      <c r="AA111" s="53" t="s">
        <v>102</v>
      </c>
      <c r="AB111" s="53" t="s">
        <v>158</v>
      </c>
      <c r="AC111" s="76"/>
      <c r="AD111" s="76"/>
      <c r="AE111" s="76"/>
      <c r="AF111" s="76"/>
      <c r="AG111" s="76"/>
      <c r="AH111" s="76"/>
    </row>
    <row r="112" spans="1:34" x14ac:dyDescent="0.15">
      <c r="A112" s="53" t="s">
        <v>41</v>
      </c>
      <c r="B112" s="53" t="s">
        <v>157</v>
      </c>
      <c r="C112" s="62">
        <v>2019</v>
      </c>
      <c r="D112" s="63" t="s">
        <v>188</v>
      </c>
      <c r="E112" s="53" t="s">
        <v>202</v>
      </c>
      <c r="F112" s="53" t="s">
        <v>209</v>
      </c>
      <c r="G112" s="53" t="s">
        <v>42</v>
      </c>
      <c r="H112" s="53" t="s">
        <v>164</v>
      </c>
      <c r="I112" s="53" t="s">
        <v>159</v>
      </c>
      <c r="J112" s="53" t="s">
        <v>38</v>
      </c>
      <c r="K112" s="53" t="s">
        <v>161</v>
      </c>
      <c r="L112" s="53">
        <v>3</v>
      </c>
      <c r="N112" s="53">
        <v>7</v>
      </c>
      <c r="O112" s="53">
        <v>0.25</v>
      </c>
      <c r="P112" s="53">
        <v>0.3</v>
      </c>
      <c r="Q112" s="16">
        <f t="shared" si="3"/>
        <v>0.27500000000000002</v>
      </c>
      <c r="R112" s="53">
        <v>16.100000000000001</v>
      </c>
      <c r="S112" s="53">
        <v>115</v>
      </c>
      <c r="T112" s="16">
        <f t="shared" si="4"/>
        <v>30</v>
      </c>
      <c r="U112" s="53">
        <v>537</v>
      </c>
      <c r="V112" s="16">
        <f t="shared" si="6"/>
        <v>2301.4285714285711</v>
      </c>
      <c r="W112" s="53">
        <v>1</v>
      </c>
      <c r="X112" s="53" t="s">
        <v>46</v>
      </c>
      <c r="Y112" s="53" t="s">
        <v>78</v>
      </c>
      <c r="Z112" s="53" t="s">
        <v>69</v>
      </c>
      <c r="AA112" s="53" t="s">
        <v>102</v>
      </c>
      <c r="AB112" s="53" t="s">
        <v>158</v>
      </c>
      <c r="AC112" s="76"/>
      <c r="AD112" s="76"/>
      <c r="AE112" s="76"/>
      <c r="AF112" s="76"/>
      <c r="AG112" s="76"/>
      <c r="AH112" s="76"/>
    </row>
    <row r="113" spans="1:34" x14ac:dyDescent="0.15">
      <c r="A113" s="53" t="s">
        <v>41</v>
      </c>
      <c r="B113" s="53" t="s">
        <v>157</v>
      </c>
      <c r="C113" s="62">
        <v>2019</v>
      </c>
      <c r="D113" s="63" t="s">
        <v>188</v>
      </c>
      <c r="E113" s="53" t="s">
        <v>205</v>
      </c>
      <c r="F113" s="53" t="s">
        <v>206</v>
      </c>
      <c r="G113" s="53" t="s">
        <v>42</v>
      </c>
      <c r="H113" s="53" t="s">
        <v>164</v>
      </c>
      <c r="I113" s="53" t="s">
        <v>159</v>
      </c>
      <c r="J113" s="53" t="s">
        <v>38</v>
      </c>
      <c r="K113" s="53" t="s">
        <v>161</v>
      </c>
      <c r="L113" s="53">
        <v>1</v>
      </c>
      <c r="N113" s="53">
        <v>1</v>
      </c>
      <c r="O113" s="53">
        <v>1.2</v>
      </c>
      <c r="P113" s="53">
        <v>1.3</v>
      </c>
      <c r="Q113" s="75">
        <f t="shared" si="3"/>
        <v>1.25</v>
      </c>
      <c r="R113" s="53">
        <v>11.2</v>
      </c>
      <c r="S113" s="53">
        <v>122</v>
      </c>
      <c r="T113" s="16">
        <f t="shared" si="4"/>
        <v>27</v>
      </c>
      <c r="U113" s="53">
        <v>105</v>
      </c>
      <c r="V113" s="16">
        <f t="shared" si="6"/>
        <v>2835</v>
      </c>
      <c r="W113" s="53">
        <v>3</v>
      </c>
      <c r="X113" s="53" t="s">
        <v>46</v>
      </c>
      <c r="Y113" s="53" t="s">
        <v>78</v>
      </c>
      <c r="Z113" s="53" t="s">
        <v>102</v>
      </c>
      <c r="AA113" s="53" t="s">
        <v>90</v>
      </c>
      <c r="AB113" s="53" t="s">
        <v>158</v>
      </c>
      <c r="AC113" s="76"/>
      <c r="AD113" s="76"/>
      <c r="AE113" s="76"/>
      <c r="AF113" s="76"/>
      <c r="AG113" s="76"/>
      <c r="AH113" s="76"/>
    </row>
    <row r="114" spans="1:34" x14ac:dyDescent="0.15">
      <c r="A114" s="53" t="s">
        <v>41</v>
      </c>
      <c r="B114" s="53" t="s">
        <v>157</v>
      </c>
      <c r="C114" s="62">
        <v>2019</v>
      </c>
      <c r="D114" s="63" t="s">
        <v>188</v>
      </c>
      <c r="E114" s="53" t="s">
        <v>205</v>
      </c>
      <c r="F114" s="53" t="s">
        <v>206</v>
      </c>
      <c r="G114" s="53" t="s">
        <v>42</v>
      </c>
      <c r="H114" s="53" t="s">
        <v>164</v>
      </c>
      <c r="I114" s="53" t="s">
        <v>159</v>
      </c>
      <c r="J114" s="53" t="s">
        <v>38</v>
      </c>
      <c r="K114" s="53" t="s">
        <v>161</v>
      </c>
      <c r="L114" s="53">
        <v>2</v>
      </c>
      <c r="N114" s="53">
        <v>1</v>
      </c>
      <c r="O114" s="53">
        <v>0.9</v>
      </c>
      <c r="P114" s="53">
        <v>1</v>
      </c>
      <c r="Q114" s="75">
        <f t="shared" ref="Q114:Q136" si="7">IF(OR(O114="",P114=""),"",AVERAGE(O114,P114))</f>
        <v>0.95</v>
      </c>
      <c r="R114" s="53">
        <v>12.3</v>
      </c>
      <c r="S114" s="53">
        <v>121</v>
      </c>
      <c r="T114" s="16">
        <f t="shared" si="4"/>
        <v>27</v>
      </c>
      <c r="U114" s="53">
        <v>105</v>
      </c>
      <c r="V114" s="16">
        <f t="shared" si="6"/>
        <v>2835</v>
      </c>
      <c r="W114" s="53">
        <v>3</v>
      </c>
      <c r="X114" s="53" t="s">
        <v>46</v>
      </c>
      <c r="Y114" s="53" t="s">
        <v>78</v>
      </c>
      <c r="Z114" s="53" t="s">
        <v>102</v>
      </c>
      <c r="AA114" s="53" t="s">
        <v>90</v>
      </c>
      <c r="AB114" s="53" t="s">
        <v>158</v>
      </c>
      <c r="AC114" s="76"/>
      <c r="AD114" s="76"/>
      <c r="AE114" s="76"/>
      <c r="AF114" s="76"/>
      <c r="AG114" s="76"/>
      <c r="AH114" s="76"/>
    </row>
    <row r="115" spans="1:34" x14ac:dyDescent="0.15">
      <c r="A115" s="53" t="s">
        <v>41</v>
      </c>
      <c r="B115" s="53" t="s">
        <v>157</v>
      </c>
      <c r="C115" s="62">
        <v>2019</v>
      </c>
      <c r="D115" s="63" t="s">
        <v>188</v>
      </c>
      <c r="E115" s="53" t="s">
        <v>205</v>
      </c>
      <c r="F115" s="53" t="s">
        <v>206</v>
      </c>
      <c r="G115" s="53" t="s">
        <v>42</v>
      </c>
      <c r="H115" s="53" t="s">
        <v>164</v>
      </c>
      <c r="I115" s="53" t="s">
        <v>159</v>
      </c>
      <c r="J115" s="53" t="s">
        <v>38</v>
      </c>
      <c r="K115" s="53" t="s">
        <v>161</v>
      </c>
      <c r="L115" s="53">
        <v>3</v>
      </c>
      <c r="N115" s="53">
        <v>1</v>
      </c>
      <c r="O115" s="53">
        <v>1.3</v>
      </c>
      <c r="P115" s="53">
        <v>1.4</v>
      </c>
      <c r="Q115" s="75">
        <f t="shared" si="7"/>
        <v>1.35</v>
      </c>
      <c r="R115" s="53">
        <v>14.8</v>
      </c>
      <c r="S115" s="53">
        <v>124</v>
      </c>
      <c r="T115" s="16">
        <f t="shared" si="4"/>
        <v>27</v>
      </c>
      <c r="U115" s="53">
        <v>105</v>
      </c>
      <c r="V115" s="38">
        <f t="shared" si="6"/>
        <v>2835</v>
      </c>
      <c r="W115" s="53">
        <v>3</v>
      </c>
      <c r="X115" s="53" t="s">
        <v>46</v>
      </c>
      <c r="Y115" s="53" t="s">
        <v>78</v>
      </c>
      <c r="Z115" s="53" t="s">
        <v>102</v>
      </c>
      <c r="AA115" s="53" t="s">
        <v>90</v>
      </c>
      <c r="AB115" s="53" t="s">
        <v>158</v>
      </c>
      <c r="AC115" s="76"/>
      <c r="AD115" s="76"/>
      <c r="AE115" s="76"/>
      <c r="AF115" s="76"/>
      <c r="AG115" s="76"/>
      <c r="AH115" s="76"/>
    </row>
    <row r="116" spans="1:34" x14ac:dyDescent="0.15">
      <c r="A116" s="53" t="s">
        <v>41</v>
      </c>
      <c r="B116" s="53" t="s">
        <v>157</v>
      </c>
      <c r="C116" s="62">
        <v>2018</v>
      </c>
      <c r="D116" s="63" t="s">
        <v>188</v>
      </c>
      <c r="E116" s="53" t="s">
        <v>205</v>
      </c>
      <c r="F116" s="53" t="s">
        <v>206</v>
      </c>
      <c r="G116" s="53" t="s">
        <v>42</v>
      </c>
      <c r="H116" s="53" t="s">
        <v>164</v>
      </c>
      <c r="I116" s="53" t="s">
        <v>159</v>
      </c>
      <c r="J116" s="53" t="s">
        <v>38</v>
      </c>
      <c r="K116" s="53" t="s">
        <v>161</v>
      </c>
      <c r="L116" s="53">
        <v>1</v>
      </c>
      <c r="N116" s="53">
        <v>5</v>
      </c>
      <c r="O116" s="53">
        <v>0.75</v>
      </c>
      <c r="P116" s="53">
        <v>0.85</v>
      </c>
      <c r="Q116" s="75">
        <f t="shared" si="7"/>
        <v>0.8</v>
      </c>
      <c r="R116" s="53">
        <v>13.5</v>
      </c>
      <c r="S116" s="53">
        <v>118</v>
      </c>
      <c r="T116" s="16">
        <f t="shared" si="4"/>
        <v>30</v>
      </c>
      <c r="U116" s="53">
        <v>419</v>
      </c>
      <c r="V116" s="16">
        <f t="shared" si="6"/>
        <v>2514</v>
      </c>
      <c r="W116" s="53">
        <v>2</v>
      </c>
      <c r="X116" s="53" t="s">
        <v>46</v>
      </c>
      <c r="Y116" s="53" t="s">
        <v>78</v>
      </c>
      <c r="Z116" s="53" t="s">
        <v>102</v>
      </c>
      <c r="AA116" s="53" t="s">
        <v>90</v>
      </c>
      <c r="AB116" s="53" t="s">
        <v>158</v>
      </c>
    </row>
    <row r="117" spans="1:34" x14ac:dyDescent="0.15">
      <c r="A117" s="53" t="s">
        <v>41</v>
      </c>
      <c r="B117" s="53" t="s">
        <v>157</v>
      </c>
      <c r="C117" s="62">
        <v>2018</v>
      </c>
      <c r="D117" s="63" t="s">
        <v>188</v>
      </c>
      <c r="E117" s="53" t="s">
        <v>205</v>
      </c>
      <c r="F117" s="53" t="s">
        <v>206</v>
      </c>
      <c r="G117" s="53" t="s">
        <v>42</v>
      </c>
      <c r="H117" s="53" t="s">
        <v>164</v>
      </c>
      <c r="I117" s="53" t="s">
        <v>159</v>
      </c>
      <c r="J117" s="53" t="s">
        <v>38</v>
      </c>
      <c r="K117" s="53" t="s">
        <v>161</v>
      </c>
      <c r="L117" s="53">
        <v>2</v>
      </c>
      <c r="N117" s="53">
        <v>5</v>
      </c>
      <c r="O117" s="53">
        <v>0.9</v>
      </c>
      <c r="P117" s="53">
        <v>0.85</v>
      </c>
      <c r="Q117" s="75">
        <f t="shared" si="7"/>
        <v>0.875</v>
      </c>
      <c r="R117" s="53">
        <v>15.9</v>
      </c>
      <c r="S117" s="53">
        <v>116</v>
      </c>
      <c r="T117" s="16">
        <f t="shared" si="4"/>
        <v>30</v>
      </c>
      <c r="U117" s="53">
        <v>419</v>
      </c>
      <c r="V117" s="16">
        <f t="shared" si="6"/>
        <v>2514</v>
      </c>
      <c r="W117" s="53">
        <v>2</v>
      </c>
      <c r="X117" s="53" t="s">
        <v>46</v>
      </c>
      <c r="Y117" s="53" t="s">
        <v>78</v>
      </c>
      <c r="Z117" s="53" t="s">
        <v>102</v>
      </c>
      <c r="AA117" s="53" t="s">
        <v>90</v>
      </c>
      <c r="AB117" s="53" t="s">
        <v>158</v>
      </c>
    </row>
    <row r="118" spans="1:34" x14ac:dyDescent="0.15">
      <c r="A118" s="53" t="s">
        <v>41</v>
      </c>
      <c r="B118" s="53" t="s">
        <v>157</v>
      </c>
      <c r="C118" s="62">
        <v>2018</v>
      </c>
      <c r="D118" s="63" t="s">
        <v>188</v>
      </c>
      <c r="E118" s="53" t="s">
        <v>205</v>
      </c>
      <c r="F118" s="53" t="s">
        <v>206</v>
      </c>
      <c r="G118" s="53" t="s">
        <v>42</v>
      </c>
      <c r="H118" s="53" t="s">
        <v>164</v>
      </c>
      <c r="I118" s="53" t="s">
        <v>159</v>
      </c>
      <c r="J118" s="53" t="s">
        <v>38</v>
      </c>
      <c r="K118" s="53" t="s">
        <v>161</v>
      </c>
      <c r="L118" s="53">
        <v>3</v>
      </c>
      <c r="N118" s="53">
        <v>5</v>
      </c>
      <c r="O118" s="53">
        <v>0.85</v>
      </c>
      <c r="P118" s="53">
        <v>0.9</v>
      </c>
      <c r="Q118" s="75">
        <f t="shared" si="7"/>
        <v>0.875</v>
      </c>
      <c r="R118" s="53">
        <v>16</v>
      </c>
      <c r="S118" s="53">
        <v>115</v>
      </c>
      <c r="T118" s="16">
        <f t="shared" si="4"/>
        <v>30</v>
      </c>
      <c r="U118" s="53">
        <v>419</v>
      </c>
      <c r="V118" s="16">
        <f t="shared" si="6"/>
        <v>2514</v>
      </c>
      <c r="W118" s="53">
        <v>2</v>
      </c>
      <c r="X118" s="53" t="s">
        <v>46</v>
      </c>
      <c r="Y118" s="53" t="s">
        <v>78</v>
      </c>
      <c r="Z118" s="53" t="s">
        <v>102</v>
      </c>
      <c r="AA118" s="53" t="s">
        <v>90</v>
      </c>
      <c r="AB118" s="53" t="s">
        <v>158</v>
      </c>
    </row>
    <row r="119" spans="1:34" x14ac:dyDescent="0.15">
      <c r="A119" s="53" t="s">
        <v>41</v>
      </c>
      <c r="B119" s="53" t="s">
        <v>157</v>
      </c>
      <c r="C119" s="62">
        <v>2019</v>
      </c>
      <c r="D119" s="63" t="s">
        <v>188</v>
      </c>
      <c r="E119" s="53" t="s">
        <v>205</v>
      </c>
      <c r="F119" s="53" t="s">
        <v>206</v>
      </c>
      <c r="G119" s="53" t="s">
        <v>42</v>
      </c>
      <c r="H119" s="53" t="s">
        <v>160</v>
      </c>
      <c r="I119" s="53" t="s">
        <v>159</v>
      </c>
      <c r="J119" s="53" t="s">
        <v>38</v>
      </c>
      <c r="K119" s="53" t="s">
        <v>161</v>
      </c>
      <c r="L119" s="53">
        <v>1</v>
      </c>
      <c r="N119" s="53">
        <v>1</v>
      </c>
      <c r="O119" s="53">
        <v>0.4</v>
      </c>
      <c r="P119" s="53">
        <v>0.5</v>
      </c>
      <c r="Q119" s="75">
        <f t="shared" si="7"/>
        <v>0.45</v>
      </c>
      <c r="R119" s="53">
        <v>12.8</v>
      </c>
      <c r="S119" s="53">
        <v>123</v>
      </c>
      <c r="T119" s="16">
        <f t="shared" si="4"/>
        <v>27</v>
      </c>
      <c r="U119" s="53">
        <v>105</v>
      </c>
      <c r="V119" s="16">
        <f t="shared" si="6"/>
        <v>2835</v>
      </c>
      <c r="W119" s="53">
        <v>2</v>
      </c>
      <c r="X119" s="53" t="s">
        <v>46</v>
      </c>
      <c r="Y119" s="53" t="s">
        <v>78</v>
      </c>
      <c r="Z119" s="53" t="s">
        <v>102</v>
      </c>
      <c r="AA119" s="53" t="s">
        <v>90</v>
      </c>
      <c r="AB119" s="53" t="s">
        <v>158</v>
      </c>
      <c r="AC119" s="76"/>
      <c r="AD119" s="76"/>
      <c r="AE119" s="76"/>
      <c r="AF119" s="76"/>
      <c r="AG119" s="76"/>
      <c r="AH119" s="76"/>
    </row>
    <row r="120" spans="1:34" x14ac:dyDescent="0.15">
      <c r="A120" s="53" t="s">
        <v>41</v>
      </c>
      <c r="B120" s="53" t="s">
        <v>157</v>
      </c>
      <c r="C120" s="62">
        <v>2019</v>
      </c>
      <c r="D120" s="63" t="s">
        <v>188</v>
      </c>
      <c r="E120" s="53" t="s">
        <v>205</v>
      </c>
      <c r="F120" s="53" t="s">
        <v>206</v>
      </c>
      <c r="G120" s="53" t="s">
        <v>42</v>
      </c>
      <c r="H120" s="53" t="s">
        <v>160</v>
      </c>
      <c r="I120" s="53" t="s">
        <v>159</v>
      </c>
      <c r="J120" s="53" t="s">
        <v>38</v>
      </c>
      <c r="K120" s="53" t="s">
        <v>161</v>
      </c>
      <c r="L120" s="53">
        <v>2</v>
      </c>
      <c r="N120" s="53">
        <v>1</v>
      </c>
      <c r="O120" s="53">
        <v>0.4</v>
      </c>
      <c r="P120" s="53">
        <v>0.45</v>
      </c>
      <c r="Q120" s="75">
        <f t="shared" si="7"/>
        <v>0.42500000000000004</v>
      </c>
      <c r="R120" s="53">
        <v>14.1</v>
      </c>
      <c r="S120" s="53">
        <v>120</v>
      </c>
      <c r="T120" s="16">
        <f t="shared" si="4"/>
        <v>30</v>
      </c>
      <c r="U120" s="53">
        <v>105</v>
      </c>
      <c r="V120" s="16">
        <f t="shared" si="6"/>
        <v>3150</v>
      </c>
      <c r="W120" s="53">
        <v>2</v>
      </c>
      <c r="X120" s="53" t="s">
        <v>46</v>
      </c>
      <c r="Y120" s="53" t="s">
        <v>78</v>
      </c>
      <c r="Z120" s="53" t="s">
        <v>102</v>
      </c>
      <c r="AA120" s="53" t="s">
        <v>90</v>
      </c>
      <c r="AB120" s="53" t="s">
        <v>158</v>
      </c>
      <c r="AC120" s="76"/>
      <c r="AD120" s="76"/>
      <c r="AE120" s="76"/>
      <c r="AF120" s="76"/>
      <c r="AG120" s="76"/>
      <c r="AH120" s="76"/>
    </row>
    <row r="121" spans="1:34" x14ac:dyDescent="0.15">
      <c r="A121" s="53" t="s">
        <v>41</v>
      </c>
      <c r="B121" s="53" t="s">
        <v>157</v>
      </c>
      <c r="C121" s="62">
        <v>2019</v>
      </c>
      <c r="D121" s="63" t="s">
        <v>188</v>
      </c>
      <c r="E121" s="53" t="s">
        <v>205</v>
      </c>
      <c r="F121" s="53" t="s">
        <v>206</v>
      </c>
      <c r="G121" s="53" t="s">
        <v>42</v>
      </c>
      <c r="H121" s="53" t="s">
        <v>160</v>
      </c>
      <c r="I121" s="53" t="s">
        <v>159</v>
      </c>
      <c r="J121" s="53" t="s">
        <v>38</v>
      </c>
      <c r="K121" s="53" t="s">
        <v>161</v>
      </c>
      <c r="L121" s="53">
        <v>3</v>
      </c>
      <c r="N121" s="53">
        <v>1</v>
      </c>
      <c r="O121" s="53">
        <v>0.5</v>
      </c>
      <c r="P121" s="53">
        <v>0.4</v>
      </c>
      <c r="Q121" s="75">
        <f t="shared" si="7"/>
        <v>0.45</v>
      </c>
      <c r="R121" s="53">
        <v>13.8</v>
      </c>
      <c r="S121" s="53">
        <v>120</v>
      </c>
      <c r="T121" s="16">
        <f t="shared" si="4"/>
        <v>30</v>
      </c>
      <c r="U121" s="53">
        <v>105</v>
      </c>
      <c r="V121" s="38">
        <f t="shared" si="6"/>
        <v>3150</v>
      </c>
      <c r="W121" s="53">
        <v>2</v>
      </c>
      <c r="X121" s="53" t="s">
        <v>46</v>
      </c>
      <c r="Y121" s="53" t="s">
        <v>78</v>
      </c>
      <c r="Z121" s="53" t="s">
        <v>102</v>
      </c>
      <c r="AA121" s="53" t="s">
        <v>90</v>
      </c>
      <c r="AB121" s="53" t="s">
        <v>158</v>
      </c>
      <c r="AC121" s="76"/>
      <c r="AD121" s="76"/>
      <c r="AE121" s="76"/>
      <c r="AF121" s="76"/>
      <c r="AG121" s="76"/>
      <c r="AH121" s="76"/>
    </row>
    <row r="122" spans="1:34" x14ac:dyDescent="0.15">
      <c r="A122" s="53" t="s">
        <v>41</v>
      </c>
      <c r="B122" s="53" t="s">
        <v>157</v>
      </c>
      <c r="C122" s="62">
        <v>2019</v>
      </c>
      <c r="D122" s="63" t="s">
        <v>188</v>
      </c>
      <c r="E122" s="53" t="s">
        <v>205</v>
      </c>
      <c r="F122" s="53" t="s">
        <v>206</v>
      </c>
      <c r="G122" s="53" t="s">
        <v>42</v>
      </c>
      <c r="H122" s="53" t="s">
        <v>160</v>
      </c>
      <c r="I122" s="53" t="s">
        <v>159</v>
      </c>
      <c r="J122" s="53" t="s">
        <v>38</v>
      </c>
      <c r="K122" s="53" t="s">
        <v>161</v>
      </c>
      <c r="L122" s="53">
        <v>1</v>
      </c>
      <c r="N122" s="53">
        <v>5</v>
      </c>
      <c r="O122" s="53">
        <v>0.25</v>
      </c>
      <c r="P122" s="53">
        <v>0.25</v>
      </c>
      <c r="Q122" s="75">
        <f t="shared" si="7"/>
        <v>0.25</v>
      </c>
      <c r="R122" s="53">
        <v>15.7</v>
      </c>
      <c r="S122" s="53">
        <v>114</v>
      </c>
      <c r="T122" s="16">
        <f t="shared" si="4"/>
        <v>30</v>
      </c>
      <c r="U122" s="53">
        <v>419</v>
      </c>
      <c r="V122" s="16">
        <f t="shared" si="6"/>
        <v>2514</v>
      </c>
      <c r="W122" s="53">
        <v>1</v>
      </c>
      <c r="X122" s="53" t="s">
        <v>46</v>
      </c>
      <c r="Y122" s="53" t="s">
        <v>78</v>
      </c>
      <c r="Z122" s="53" t="s">
        <v>102</v>
      </c>
      <c r="AA122" s="53" t="s">
        <v>90</v>
      </c>
      <c r="AB122" s="53" t="s">
        <v>158</v>
      </c>
      <c r="AC122" s="76"/>
      <c r="AD122" s="76"/>
      <c r="AE122" s="76"/>
      <c r="AF122" s="76"/>
      <c r="AG122" s="76"/>
      <c r="AH122" s="76"/>
    </row>
    <row r="123" spans="1:34" x14ac:dyDescent="0.15">
      <c r="A123" s="53" t="s">
        <v>41</v>
      </c>
      <c r="B123" s="53" t="s">
        <v>157</v>
      </c>
      <c r="C123" s="62">
        <v>2019</v>
      </c>
      <c r="D123" s="63" t="s">
        <v>188</v>
      </c>
      <c r="E123" s="53" t="s">
        <v>205</v>
      </c>
      <c r="F123" s="53" t="s">
        <v>206</v>
      </c>
      <c r="G123" s="53" t="s">
        <v>42</v>
      </c>
      <c r="H123" s="53" t="s">
        <v>160</v>
      </c>
      <c r="I123" s="53" t="s">
        <v>159</v>
      </c>
      <c r="J123" s="53" t="s">
        <v>38</v>
      </c>
      <c r="K123" s="53" t="s">
        <v>161</v>
      </c>
      <c r="L123" s="53">
        <v>2</v>
      </c>
      <c r="N123" s="53">
        <v>5</v>
      </c>
      <c r="O123" s="53">
        <v>0.35</v>
      </c>
      <c r="P123" s="53">
        <v>0.3</v>
      </c>
      <c r="Q123" s="75">
        <f t="shared" si="7"/>
        <v>0.32499999999999996</v>
      </c>
      <c r="R123" s="53">
        <v>15.2</v>
      </c>
      <c r="S123" s="53">
        <v>105</v>
      </c>
      <c r="T123" s="16">
        <f t="shared" si="4"/>
        <v>33</v>
      </c>
      <c r="U123" s="53">
        <v>419</v>
      </c>
      <c r="V123" s="16">
        <f t="shared" si="6"/>
        <v>2765.4</v>
      </c>
      <c r="W123" s="53">
        <v>1</v>
      </c>
      <c r="X123" s="53" t="s">
        <v>46</v>
      </c>
      <c r="Y123" s="53" t="s">
        <v>78</v>
      </c>
      <c r="Z123" s="53" t="s">
        <v>102</v>
      </c>
      <c r="AA123" s="53" t="s">
        <v>90</v>
      </c>
      <c r="AB123" s="53" t="s">
        <v>158</v>
      </c>
      <c r="AC123" s="76"/>
      <c r="AD123" s="76"/>
      <c r="AE123" s="76"/>
      <c r="AF123" s="76"/>
      <c r="AG123" s="76"/>
      <c r="AH123" s="76"/>
    </row>
    <row r="124" spans="1:34" x14ac:dyDescent="0.15">
      <c r="A124" s="53" t="s">
        <v>41</v>
      </c>
      <c r="B124" s="53" t="s">
        <v>157</v>
      </c>
      <c r="C124" s="62">
        <v>2019</v>
      </c>
      <c r="D124" s="63" t="s">
        <v>188</v>
      </c>
      <c r="E124" s="53" t="s">
        <v>205</v>
      </c>
      <c r="F124" s="53" t="s">
        <v>206</v>
      </c>
      <c r="G124" s="53" t="s">
        <v>42</v>
      </c>
      <c r="H124" s="53" t="s">
        <v>160</v>
      </c>
      <c r="I124" s="53" t="s">
        <v>159</v>
      </c>
      <c r="J124" s="53" t="s">
        <v>38</v>
      </c>
      <c r="K124" s="53" t="s">
        <v>161</v>
      </c>
      <c r="L124" s="53">
        <v>3</v>
      </c>
      <c r="N124" s="53">
        <v>5</v>
      </c>
      <c r="O124" s="53">
        <v>0.25</v>
      </c>
      <c r="P124" s="53">
        <v>0.25</v>
      </c>
      <c r="Q124" s="75">
        <f t="shared" si="7"/>
        <v>0.25</v>
      </c>
      <c r="R124" s="53">
        <v>13.7</v>
      </c>
      <c r="S124" s="53">
        <v>108</v>
      </c>
      <c r="T124" s="16">
        <f t="shared" si="4"/>
        <v>33</v>
      </c>
      <c r="U124" s="53">
        <v>419</v>
      </c>
      <c r="V124" s="38">
        <f t="shared" si="6"/>
        <v>2765.4</v>
      </c>
      <c r="W124" s="53">
        <v>1</v>
      </c>
      <c r="X124" s="53" t="s">
        <v>46</v>
      </c>
      <c r="Y124" s="53" t="s">
        <v>78</v>
      </c>
      <c r="Z124" s="53" t="s">
        <v>102</v>
      </c>
      <c r="AA124" s="53" t="s">
        <v>90</v>
      </c>
      <c r="AB124" s="53" t="s">
        <v>158</v>
      </c>
      <c r="AC124" s="76"/>
      <c r="AD124" s="76"/>
      <c r="AE124" s="76"/>
      <c r="AF124" s="76"/>
      <c r="AG124" s="76"/>
      <c r="AH124" s="76"/>
    </row>
    <row r="125" spans="1:34" x14ac:dyDescent="0.15">
      <c r="A125" s="53" t="s">
        <v>41</v>
      </c>
      <c r="B125" s="53" t="s">
        <v>157</v>
      </c>
      <c r="C125" s="62">
        <v>2019</v>
      </c>
      <c r="D125" s="63" t="s">
        <v>188</v>
      </c>
      <c r="E125" s="53" t="s">
        <v>211</v>
      </c>
      <c r="F125" s="53" t="s">
        <v>212</v>
      </c>
      <c r="G125" s="53" t="s">
        <v>42</v>
      </c>
      <c r="H125" s="53" t="s">
        <v>160</v>
      </c>
      <c r="I125" s="53" t="s">
        <v>159</v>
      </c>
      <c r="J125" s="53" t="s">
        <v>38</v>
      </c>
      <c r="K125" s="53" t="s">
        <v>161</v>
      </c>
      <c r="L125" s="53">
        <v>1</v>
      </c>
      <c r="N125" s="53">
        <v>1</v>
      </c>
      <c r="O125" s="53">
        <v>0.65</v>
      </c>
      <c r="P125" s="53">
        <v>0.5</v>
      </c>
      <c r="Q125" s="75">
        <f t="shared" si="7"/>
        <v>0.57499999999999996</v>
      </c>
      <c r="R125" s="53">
        <v>15.8</v>
      </c>
      <c r="S125" s="53">
        <v>125</v>
      </c>
      <c r="T125" s="16">
        <f t="shared" si="4"/>
        <v>27</v>
      </c>
      <c r="U125" s="53">
        <v>104</v>
      </c>
      <c r="V125" s="38">
        <f t="shared" si="6"/>
        <v>2808</v>
      </c>
      <c r="W125" s="53">
        <v>3</v>
      </c>
      <c r="X125" s="53" t="s">
        <v>46</v>
      </c>
      <c r="Y125" s="53" t="s">
        <v>78</v>
      </c>
      <c r="Z125" s="53" t="s">
        <v>69</v>
      </c>
      <c r="AA125" s="53" t="s">
        <v>102</v>
      </c>
      <c r="AB125" s="53" t="s">
        <v>158</v>
      </c>
    </row>
    <row r="126" spans="1:34" x14ac:dyDescent="0.15">
      <c r="A126" s="53" t="s">
        <v>41</v>
      </c>
      <c r="B126" s="53" t="s">
        <v>157</v>
      </c>
      <c r="C126" s="62">
        <v>2019</v>
      </c>
      <c r="D126" s="63" t="s">
        <v>188</v>
      </c>
      <c r="E126" s="53" t="s">
        <v>211</v>
      </c>
      <c r="F126" s="53" t="s">
        <v>212</v>
      </c>
      <c r="G126" s="53" t="s">
        <v>42</v>
      </c>
      <c r="H126" s="53" t="s">
        <v>160</v>
      </c>
      <c r="I126" s="53" t="s">
        <v>159</v>
      </c>
      <c r="J126" s="53" t="s">
        <v>38</v>
      </c>
      <c r="K126" s="53" t="s">
        <v>161</v>
      </c>
      <c r="L126" s="53">
        <v>2</v>
      </c>
      <c r="N126" s="53">
        <v>1</v>
      </c>
      <c r="O126" s="53">
        <v>0.4</v>
      </c>
      <c r="P126" s="53">
        <v>0.55000000000000004</v>
      </c>
      <c r="Q126" s="75">
        <f t="shared" si="7"/>
        <v>0.47500000000000003</v>
      </c>
      <c r="R126" s="53">
        <v>16</v>
      </c>
      <c r="S126" s="53">
        <v>128</v>
      </c>
      <c r="T126" s="16">
        <f t="shared" si="4"/>
        <v>27</v>
      </c>
      <c r="U126" s="53">
        <v>104</v>
      </c>
      <c r="V126" s="38">
        <f t="shared" si="6"/>
        <v>2808</v>
      </c>
      <c r="W126" s="53">
        <v>3</v>
      </c>
      <c r="X126" s="53" t="s">
        <v>46</v>
      </c>
      <c r="Y126" s="53" t="s">
        <v>78</v>
      </c>
      <c r="Z126" s="53" t="s">
        <v>69</v>
      </c>
      <c r="AA126" s="53" t="s">
        <v>102</v>
      </c>
      <c r="AB126" s="53" t="s">
        <v>158</v>
      </c>
    </row>
    <row r="127" spans="1:34" x14ac:dyDescent="0.15">
      <c r="A127" s="53" t="s">
        <v>41</v>
      </c>
      <c r="B127" s="53" t="s">
        <v>157</v>
      </c>
      <c r="C127" s="62">
        <v>2019</v>
      </c>
      <c r="D127" s="63" t="s">
        <v>188</v>
      </c>
      <c r="E127" s="53" t="s">
        <v>211</v>
      </c>
      <c r="F127" s="53" t="s">
        <v>212</v>
      </c>
      <c r="G127" s="53" t="s">
        <v>42</v>
      </c>
      <c r="H127" s="53" t="s">
        <v>160</v>
      </c>
      <c r="I127" s="53" t="s">
        <v>159</v>
      </c>
      <c r="J127" s="53" t="s">
        <v>38</v>
      </c>
      <c r="K127" s="53" t="s">
        <v>161</v>
      </c>
      <c r="L127" s="53">
        <v>3</v>
      </c>
      <c r="N127" s="53">
        <v>1</v>
      </c>
      <c r="O127" s="53">
        <v>0.65</v>
      </c>
      <c r="P127" s="53">
        <v>0.45</v>
      </c>
      <c r="Q127" s="75">
        <f t="shared" si="7"/>
        <v>0.55000000000000004</v>
      </c>
      <c r="R127" s="53">
        <v>12.4</v>
      </c>
      <c r="S127" s="53">
        <v>124</v>
      </c>
      <c r="T127" s="16">
        <f t="shared" si="4"/>
        <v>27</v>
      </c>
      <c r="U127" s="53">
        <v>104</v>
      </c>
      <c r="V127" s="38">
        <f t="shared" si="6"/>
        <v>2808</v>
      </c>
      <c r="W127" s="53">
        <v>3</v>
      </c>
      <c r="X127" s="53" t="s">
        <v>46</v>
      </c>
      <c r="Y127" s="53" t="s">
        <v>78</v>
      </c>
      <c r="Z127" s="53" t="s">
        <v>69</v>
      </c>
      <c r="AA127" s="53" t="s">
        <v>102</v>
      </c>
      <c r="AB127" s="53" t="s">
        <v>158</v>
      </c>
    </row>
    <row r="128" spans="1:34" x14ac:dyDescent="0.15">
      <c r="A128" s="53" t="s">
        <v>41</v>
      </c>
      <c r="B128" s="53" t="s">
        <v>157</v>
      </c>
      <c r="C128" s="62">
        <v>2019</v>
      </c>
      <c r="D128" s="63" t="s">
        <v>188</v>
      </c>
      <c r="E128" s="53" t="s">
        <v>211</v>
      </c>
      <c r="F128" s="53" t="s">
        <v>212</v>
      </c>
      <c r="G128" s="53" t="s">
        <v>42</v>
      </c>
      <c r="H128" s="53" t="s">
        <v>160</v>
      </c>
      <c r="I128" s="53" t="s">
        <v>159</v>
      </c>
      <c r="J128" s="53" t="s">
        <v>38</v>
      </c>
      <c r="K128" s="53" t="s">
        <v>161</v>
      </c>
      <c r="L128" s="53">
        <v>1</v>
      </c>
      <c r="N128" s="53">
        <v>4</v>
      </c>
      <c r="O128" s="53">
        <v>0.35</v>
      </c>
      <c r="P128" s="53">
        <v>0.5</v>
      </c>
      <c r="Q128" s="75">
        <f t="shared" si="7"/>
        <v>0.42499999999999999</v>
      </c>
      <c r="R128" s="53">
        <v>14.4</v>
      </c>
      <c r="S128" s="53">
        <v>123</v>
      </c>
      <c r="T128" s="16">
        <f t="shared" si="4"/>
        <v>27</v>
      </c>
      <c r="U128" s="53">
        <v>407</v>
      </c>
      <c r="V128" s="38">
        <f t="shared" si="6"/>
        <v>2747.25</v>
      </c>
      <c r="W128" s="53">
        <v>2</v>
      </c>
      <c r="X128" s="53" t="s">
        <v>46</v>
      </c>
      <c r="Y128" s="53" t="s">
        <v>78</v>
      </c>
      <c r="Z128" s="53" t="s">
        <v>69</v>
      </c>
      <c r="AA128" s="53" t="s">
        <v>102</v>
      </c>
      <c r="AB128" s="53" t="s">
        <v>158</v>
      </c>
      <c r="AC128" s="76"/>
      <c r="AD128" s="76"/>
      <c r="AE128" s="76"/>
      <c r="AF128" s="76"/>
      <c r="AG128" s="76"/>
      <c r="AH128" s="76"/>
    </row>
    <row r="129" spans="1:34" x14ac:dyDescent="0.15">
      <c r="A129" s="53" t="s">
        <v>41</v>
      </c>
      <c r="B129" s="53" t="s">
        <v>157</v>
      </c>
      <c r="C129" s="62">
        <v>2019</v>
      </c>
      <c r="D129" s="63" t="s">
        <v>188</v>
      </c>
      <c r="E129" s="53" t="s">
        <v>211</v>
      </c>
      <c r="F129" s="53" t="s">
        <v>212</v>
      </c>
      <c r="G129" s="53" t="s">
        <v>42</v>
      </c>
      <c r="H129" s="53" t="s">
        <v>160</v>
      </c>
      <c r="I129" s="53" t="s">
        <v>159</v>
      </c>
      <c r="J129" s="53" t="s">
        <v>38</v>
      </c>
      <c r="K129" s="53" t="s">
        <v>161</v>
      </c>
      <c r="L129" s="53">
        <v>2</v>
      </c>
      <c r="N129" s="53">
        <v>4</v>
      </c>
      <c r="O129" s="53">
        <v>0.45</v>
      </c>
      <c r="P129" s="53">
        <v>0.35</v>
      </c>
      <c r="Q129" s="75">
        <f t="shared" si="7"/>
        <v>0.4</v>
      </c>
      <c r="R129" s="53">
        <v>13.5</v>
      </c>
      <c r="S129" s="53">
        <v>122</v>
      </c>
      <c r="T129" s="16">
        <f t="shared" si="4"/>
        <v>27</v>
      </c>
      <c r="U129" s="53">
        <v>407</v>
      </c>
      <c r="V129" s="38">
        <f t="shared" si="6"/>
        <v>2747.25</v>
      </c>
      <c r="W129" s="53">
        <v>2</v>
      </c>
      <c r="X129" s="53" t="s">
        <v>46</v>
      </c>
      <c r="Y129" s="53" t="s">
        <v>78</v>
      </c>
      <c r="Z129" s="53" t="s">
        <v>69</v>
      </c>
      <c r="AA129" s="53" t="s">
        <v>102</v>
      </c>
      <c r="AB129" s="53" t="s">
        <v>158</v>
      </c>
      <c r="AC129" s="76"/>
      <c r="AD129" s="76"/>
      <c r="AE129" s="76"/>
      <c r="AF129" s="76"/>
      <c r="AG129" s="76"/>
      <c r="AH129" s="76"/>
    </row>
    <row r="130" spans="1:34" x14ac:dyDescent="0.15">
      <c r="A130" s="53" t="s">
        <v>41</v>
      </c>
      <c r="B130" s="53" t="s">
        <v>157</v>
      </c>
      <c r="C130" s="62">
        <v>2019</v>
      </c>
      <c r="D130" s="63" t="s">
        <v>188</v>
      </c>
      <c r="E130" s="53" t="s">
        <v>211</v>
      </c>
      <c r="F130" s="53" t="s">
        <v>212</v>
      </c>
      <c r="G130" s="53" t="s">
        <v>42</v>
      </c>
      <c r="H130" s="53" t="s">
        <v>160</v>
      </c>
      <c r="I130" s="53" t="s">
        <v>159</v>
      </c>
      <c r="J130" s="53" t="s">
        <v>38</v>
      </c>
      <c r="K130" s="53" t="s">
        <v>161</v>
      </c>
      <c r="L130" s="53">
        <v>3</v>
      </c>
      <c r="N130" s="53">
        <v>4</v>
      </c>
      <c r="O130" s="53">
        <v>0.5</v>
      </c>
      <c r="P130" s="53">
        <v>0.25</v>
      </c>
      <c r="Q130" s="75">
        <f t="shared" si="7"/>
        <v>0.375</v>
      </c>
      <c r="R130" s="53">
        <v>15.2</v>
      </c>
      <c r="S130" s="53">
        <v>124</v>
      </c>
      <c r="T130" s="16">
        <f t="shared" si="4"/>
        <v>27</v>
      </c>
      <c r="U130" s="53">
        <v>407</v>
      </c>
      <c r="V130" s="38">
        <f t="shared" si="6"/>
        <v>2747.25</v>
      </c>
      <c r="W130" s="53">
        <v>2</v>
      </c>
      <c r="X130" s="53" t="s">
        <v>46</v>
      </c>
      <c r="Y130" s="53" t="s">
        <v>78</v>
      </c>
      <c r="Z130" s="53" t="s">
        <v>69</v>
      </c>
      <c r="AA130" s="53" t="s">
        <v>102</v>
      </c>
      <c r="AB130" s="53" t="s">
        <v>158</v>
      </c>
      <c r="AC130" s="76"/>
      <c r="AD130" s="76"/>
      <c r="AE130" s="76"/>
      <c r="AF130" s="76"/>
      <c r="AG130" s="76"/>
      <c r="AH130" s="76"/>
    </row>
    <row r="131" spans="1:34" x14ac:dyDescent="0.15">
      <c r="A131" s="53" t="s">
        <v>41</v>
      </c>
      <c r="B131" s="53" t="s">
        <v>157</v>
      </c>
      <c r="C131" s="62">
        <v>2019</v>
      </c>
      <c r="D131" s="63" t="s">
        <v>188</v>
      </c>
      <c r="E131" s="53" t="s">
        <v>211</v>
      </c>
      <c r="F131" s="53" t="s">
        <v>212</v>
      </c>
      <c r="G131" s="53" t="s">
        <v>42</v>
      </c>
      <c r="H131" s="53" t="s">
        <v>164</v>
      </c>
      <c r="I131" s="53" t="s">
        <v>159</v>
      </c>
      <c r="J131" s="53" t="s">
        <v>38</v>
      </c>
      <c r="K131" s="53" t="s">
        <v>161</v>
      </c>
      <c r="L131" s="53">
        <v>1</v>
      </c>
      <c r="N131" s="53">
        <v>1</v>
      </c>
      <c r="O131" s="53">
        <v>1</v>
      </c>
      <c r="P131" s="53">
        <v>1.2</v>
      </c>
      <c r="Q131" s="16">
        <f t="shared" si="7"/>
        <v>1.1000000000000001</v>
      </c>
      <c r="R131" s="53">
        <v>11.2</v>
      </c>
      <c r="S131" s="53">
        <v>127</v>
      </c>
      <c r="T131" s="16">
        <f t="shared" si="4"/>
        <v>27</v>
      </c>
      <c r="U131" s="53">
        <v>104</v>
      </c>
      <c r="V131" s="38">
        <f t="shared" si="6"/>
        <v>2808</v>
      </c>
      <c r="W131" s="53">
        <v>3</v>
      </c>
      <c r="X131" s="53" t="s">
        <v>46</v>
      </c>
      <c r="Y131" s="53" t="s">
        <v>78</v>
      </c>
      <c r="Z131" s="53" t="s">
        <v>69</v>
      </c>
      <c r="AA131" s="53" t="s">
        <v>102</v>
      </c>
      <c r="AB131" s="53" t="s">
        <v>158</v>
      </c>
      <c r="AC131" s="76"/>
      <c r="AD131" s="76"/>
      <c r="AE131" s="76"/>
      <c r="AF131" s="76"/>
      <c r="AG131" s="76"/>
      <c r="AH131" s="76"/>
    </row>
    <row r="132" spans="1:34" x14ac:dyDescent="0.15">
      <c r="A132" s="53" t="s">
        <v>41</v>
      </c>
      <c r="B132" s="53" t="s">
        <v>157</v>
      </c>
      <c r="C132" s="62">
        <v>2019</v>
      </c>
      <c r="D132" s="63" t="s">
        <v>188</v>
      </c>
      <c r="E132" s="53" t="s">
        <v>211</v>
      </c>
      <c r="F132" s="53" t="s">
        <v>212</v>
      </c>
      <c r="G132" s="53" t="s">
        <v>42</v>
      </c>
      <c r="H132" s="53" t="s">
        <v>164</v>
      </c>
      <c r="I132" s="53" t="s">
        <v>159</v>
      </c>
      <c r="J132" s="53" t="s">
        <v>38</v>
      </c>
      <c r="K132" s="53" t="s">
        <v>161</v>
      </c>
      <c r="L132" s="53">
        <v>2</v>
      </c>
      <c r="N132" s="53">
        <v>1</v>
      </c>
      <c r="O132" s="53">
        <v>1.2</v>
      </c>
      <c r="P132" s="53">
        <v>1.35</v>
      </c>
      <c r="Q132" s="16">
        <f t="shared" si="7"/>
        <v>1.2749999999999999</v>
      </c>
      <c r="R132" s="53">
        <v>10.8</v>
      </c>
      <c r="S132" s="53">
        <v>125</v>
      </c>
      <c r="T132" s="16">
        <f t="shared" si="4"/>
        <v>27</v>
      </c>
      <c r="U132" s="53">
        <v>104</v>
      </c>
      <c r="V132" s="38">
        <f t="shared" si="6"/>
        <v>2808</v>
      </c>
      <c r="W132" s="53">
        <v>3</v>
      </c>
      <c r="X132" s="53" t="s">
        <v>46</v>
      </c>
      <c r="Y132" s="53" t="s">
        <v>78</v>
      </c>
      <c r="Z132" s="53" t="s">
        <v>69</v>
      </c>
      <c r="AA132" s="53" t="s">
        <v>102</v>
      </c>
      <c r="AB132" s="53" t="s">
        <v>158</v>
      </c>
      <c r="AC132" s="76"/>
      <c r="AD132" s="76"/>
      <c r="AE132" s="76"/>
      <c r="AF132" s="76"/>
      <c r="AG132" s="76"/>
      <c r="AH132" s="76"/>
    </row>
    <row r="133" spans="1:34" x14ac:dyDescent="0.15">
      <c r="A133" s="53" t="s">
        <v>41</v>
      </c>
      <c r="B133" s="53" t="s">
        <v>157</v>
      </c>
      <c r="C133" s="62">
        <v>2019</v>
      </c>
      <c r="D133" s="63" t="s">
        <v>188</v>
      </c>
      <c r="E133" s="53" t="s">
        <v>211</v>
      </c>
      <c r="F133" s="53" t="s">
        <v>212</v>
      </c>
      <c r="G133" s="53" t="s">
        <v>42</v>
      </c>
      <c r="H133" s="53" t="s">
        <v>164</v>
      </c>
      <c r="I133" s="53" t="s">
        <v>159</v>
      </c>
      <c r="J133" s="53" t="s">
        <v>38</v>
      </c>
      <c r="K133" s="53" t="s">
        <v>161</v>
      </c>
      <c r="L133" s="53">
        <v>3</v>
      </c>
      <c r="N133" s="53">
        <v>1</v>
      </c>
      <c r="O133" s="53">
        <v>1.35</v>
      </c>
      <c r="P133" s="53">
        <v>1.2</v>
      </c>
      <c r="Q133" s="16">
        <f t="shared" si="7"/>
        <v>1.2749999999999999</v>
      </c>
      <c r="R133" s="53">
        <v>10</v>
      </c>
      <c r="S133" s="53">
        <v>128</v>
      </c>
      <c r="T133" s="38">
        <f t="shared" ref="T133:T136" si="8">IF(H133="","",IF(OR(H133="GREEN",H133="GK"),IF(S133&gt;=$AX$2,VLOOKUP(S133,$AX$2:$AY$10,2,1),""),IF(S133&gt;=$AZ$2,VLOOKUP(S133,$AZ$2:$BA$10,2,1),"")))</f>
        <v>27</v>
      </c>
      <c r="U133" s="53">
        <v>104</v>
      </c>
      <c r="V133" s="38">
        <f t="shared" si="6"/>
        <v>2808</v>
      </c>
      <c r="W133" s="53">
        <v>3</v>
      </c>
      <c r="X133" s="53" t="s">
        <v>46</v>
      </c>
      <c r="Y133" s="53" t="s">
        <v>78</v>
      </c>
      <c r="Z133" s="53" t="s">
        <v>69</v>
      </c>
      <c r="AA133" s="53" t="s">
        <v>102</v>
      </c>
      <c r="AB133" s="53" t="s">
        <v>158</v>
      </c>
      <c r="AC133" s="76"/>
      <c r="AD133" s="76"/>
      <c r="AE133" s="76"/>
      <c r="AF133" s="76"/>
      <c r="AG133" s="76"/>
      <c r="AH133" s="76"/>
    </row>
    <row r="134" spans="1:34" x14ac:dyDescent="0.15">
      <c r="A134" s="53" t="s">
        <v>41</v>
      </c>
      <c r="B134" s="53" t="s">
        <v>157</v>
      </c>
      <c r="C134" s="62">
        <v>2019</v>
      </c>
      <c r="D134" s="63" t="s">
        <v>188</v>
      </c>
      <c r="E134" s="53" t="s">
        <v>211</v>
      </c>
      <c r="F134" s="53" t="s">
        <v>212</v>
      </c>
      <c r="G134" s="53" t="s">
        <v>42</v>
      </c>
      <c r="H134" s="53" t="s">
        <v>164</v>
      </c>
      <c r="I134" s="53" t="s">
        <v>159</v>
      </c>
      <c r="J134" s="53" t="s">
        <v>38</v>
      </c>
      <c r="K134" s="53" t="s">
        <v>161</v>
      </c>
      <c r="L134" s="53">
        <v>1</v>
      </c>
      <c r="N134" s="53">
        <v>4</v>
      </c>
      <c r="O134" s="53">
        <v>1.5</v>
      </c>
      <c r="P134" s="53">
        <v>1.25</v>
      </c>
      <c r="Q134" s="16">
        <f t="shared" si="7"/>
        <v>1.375</v>
      </c>
      <c r="R134" s="53">
        <v>13.5</v>
      </c>
      <c r="S134" s="53">
        <v>122</v>
      </c>
      <c r="T134" s="38">
        <f t="shared" si="8"/>
        <v>27</v>
      </c>
      <c r="U134" s="53">
        <v>407</v>
      </c>
      <c r="V134" s="38">
        <f t="shared" si="6"/>
        <v>2747.25</v>
      </c>
      <c r="W134" s="53">
        <v>2</v>
      </c>
      <c r="X134" s="53" t="s">
        <v>46</v>
      </c>
      <c r="Y134" s="53" t="s">
        <v>78</v>
      </c>
      <c r="Z134" s="53" t="s">
        <v>69</v>
      </c>
      <c r="AA134" s="53" t="s">
        <v>102</v>
      </c>
      <c r="AB134" s="53" t="s">
        <v>158</v>
      </c>
      <c r="AC134" s="76"/>
      <c r="AD134" s="76"/>
      <c r="AE134" s="76"/>
      <c r="AF134" s="76"/>
      <c r="AG134" s="76"/>
      <c r="AH134" s="76"/>
    </row>
    <row r="135" spans="1:34" x14ac:dyDescent="0.15">
      <c r="A135" s="53" t="s">
        <v>41</v>
      </c>
      <c r="B135" s="53" t="s">
        <v>157</v>
      </c>
      <c r="C135" s="62">
        <v>2019</v>
      </c>
      <c r="D135" s="63" t="s">
        <v>188</v>
      </c>
      <c r="E135" s="53" t="s">
        <v>211</v>
      </c>
      <c r="F135" s="53" t="s">
        <v>212</v>
      </c>
      <c r="G135" s="53" t="s">
        <v>42</v>
      </c>
      <c r="H135" s="53" t="s">
        <v>164</v>
      </c>
      <c r="I135" s="53" t="s">
        <v>159</v>
      </c>
      <c r="J135" s="53" t="s">
        <v>38</v>
      </c>
      <c r="K135" s="53" t="s">
        <v>161</v>
      </c>
      <c r="L135" s="53">
        <v>2</v>
      </c>
      <c r="N135" s="53">
        <v>4</v>
      </c>
      <c r="O135" s="53">
        <v>1</v>
      </c>
      <c r="P135" s="53">
        <v>1.3</v>
      </c>
      <c r="Q135" s="16">
        <f t="shared" si="7"/>
        <v>1.1499999999999999</v>
      </c>
      <c r="R135" s="53">
        <v>13.4</v>
      </c>
      <c r="S135" s="53">
        <v>118</v>
      </c>
      <c r="T135" s="38">
        <f t="shared" si="8"/>
        <v>30</v>
      </c>
      <c r="U135" s="53">
        <v>407</v>
      </c>
      <c r="V135" s="38">
        <f t="shared" si="6"/>
        <v>3052.5</v>
      </c>
      <c r="W135" s="53">
        <v>2</v>
      </c>
      <c r="X135" s="53" t="s">
        <v>46</v>
      </c>
      <c r="Y135" s="53" t="s">
        <v>78</v>
      </c>
      <c r="Z135" s="53" t="s">
        <v>69</v>
      </c>
      <c r="AA135" s="53" t="s">
        <v>102</v>
      </c>
      <c r="AB135" s="53" t="s">
        <v>158</v>
      </c>
      <c r="AC135" s="76"/>
      <c r="AD135" s="76"/>
      <c r="AE135" s="76"/>
      <c r="AF135" s="76"/>
      <c r="AG135" s="76"/>
      <c r="AH135" s="76"/>
    </row>
    <row r="136" spans="1:34" x14ac:dyDescent="0.15">
      <c r="A136" s="53" t="s">
        <v>41</v>
      </c>
      <c r="B136" s="53" t="s">
        <v>157</v>
      </c>
      <c r="C136" s="62">
        <v>2019</v>
      </c>
      <c r="D136" s="63" t="s">
        <v>188</v>
      </c>
      <c r="E136" s="53" t="s">
        <v>211</v>
      </c>
      <c r="F136" s="53" t="s">
        <v>212</v>
      </c>
      <c r="G136" s="53" t="s">
        <v>42</v>
      </c>
      <c r="H136" s="53" t="s">
        <v>164</v>
      </c>
      <c r="I136" s="53" t="s">
        <v>159</v>
      </c>
      <c r="J136" s="53" t="s">
        <v>38</v>
      </c>
      <c r="K136" s="53" t="s">
        <v>161</v>
      </c>
      <c r="L136" s="53">
        <v>3</v>
      </c>
      <c r="N136" s="53">
        <v>4</v>
      </c>
      <c r="O136" s="53">
        <v>1.4</v>
      </c>
      <c r="P136" s="53">
        <v>1.5</v>
      </c>
      <c r="Q136" s="16">
        <f t="shared" si="7"/>
        <v>1.45</v>
      </c>
      <c r="R136" s="53">
        <v>13.5</v>
      </c>
      <c r="S136" s="53">
        <v>120</v>
      </c>
      <c r="T136" s="38">
        <f t="shared" si="8"/>
        <v>30</v>
      </c>
      <c r="U136" s="53">
        <v>407</v>
      </c>
      <c r="V136" s="38">
        <f t="shared" si="6"/>
        <v>3052.5</v>
      </c>
      <c r="W136" s="53">
        <v>2</v>
      </c>
      <c r="X136" s="53" t="s">
        <v>46</v>
      </c>
      <c r="Y136" s="53" t="s">
        <v>78</v>
      </c>
      <c r="Z136" s="53" t="s">
        <v>69</v>
      </c>
      <c r="AA136" s="53" t="s">
        <v>102</v>
      </c>
      <c r="AB136" s="53" t="s">
        <v>158</v>
      </c>
      <c r="AC136" s="76"/>
      <c r="AD136" s="76"/>
      <c r="AE136" s="76"/>
      <c r="AF136" s="76"/>
      <c r="AG136" s="76"/>
      <c r="AH136" s="76"/>
    </row>
    <row r="137" spans="1:34" x14ac:dyDescent="0.15">
      <c r="C137" s="62"/>
      <c r="D137" s="63"/>
      <c r="T137" s="38"/>
      <c r="V137" s="38"/>
    </row>
    <row r="138" spans="1:34" x14ac:dyDescent="0.15">
      <c r="C138" s="62"/>
      <c r="D138" s="63"/>
      <c r="T138" s="38"/>
      <c r="V138" s="38"/>
    </row>
    <row r="139" spans="1:34" x14ac:dyDescent="0.15">
      <c r="C139" s="62"/>
      <c r="D139" s="63"/>
      <c r="T139" s="38"/>
      <c r="V139" s="38"/>
    </row>
    <row r="140" spans="1:34" x14ac:dyDescent="0.15">
      <c r="C140" s="62"/>
      <c r="D140" s="63"/>
      <c r="T140" s="38"/>
      <c r="V140" s="38"/>
    </row>
    <row r="141" spans="1:34" x14ac:dyDescent="0.15">
      <c r="C141" s="62"/>
      <c r="D141" s="63"/>
      <c r="T141" s="38"/>
      <c r="V141" s="38"/>
    </row>
    <row r="142" spans="1:34" x14ac:dyDescent="0.15">
      <c r="C142" s="62"/>
      <c r="D142" s="63"/>
      <c r="T142" s="38"/>
      <c r="V142" s="38"/>
    </row>
    <row r="143" spans="1:34" x14ac:dyDescent="0.15">
      <c r="Q143" s="75"/>
    </row>
    <row r="144" spans="1:34" x14ac:dyDescent="0.15">
      <c r="Q144" s="75"/>
    </row>
    <row r="145" spans="17:22" x14ac:dyDescent="0.15">
      <c r="Q145" s="75"/>
    </row>
    <row r="146" spans="17:22" x14ac:dyDescent="0.15">
      <c r="Q146" s="75" t="str">
        <f t="shared" ref="Q146:Q209" si="9">IF(OR(O146="",P146=""),"",AVERAGE(O146,P146))</f>
        <v/>
      </c>
      <c r="T146" s="16" t="str">
        <f t="shared" ref="T146:T209" si="10">IF(H146="","",IF(OR(H146="GREEN",H146="GK"),IF(S146&gt;=$AX$2,VLOOKUP(S146,$AX$2:$AY$10,2,1),""),IF(S146&gt;=$AZ$2,VLOOKUP(S146,$AZ$2:$BA$10,2,1),"")))</f>
        <v/>
      </c>
      <c r="V146" s="16" t="str">
        <f t="shared" ref="V146:V209" si="11">IF(OR(N146="",U146="",T146=""),"",U146/N146*T146)</f>
        <v/>
      </c>
    </row>
    <row r="147" spans="17:22" x14ac:dyDescent="0.15">
      <c r="Q147" s="75" t="str">
        <f t="shared" si="9"/>
        <v/>
      </c>
      <c r="T147" s="16" t="str">
        <f t="shared" si="10"/>
        <v/>
      </c>
      <c r="V147" s="16" t="str">
        <f t="shared" si="11"/>
        <v/>
      </c>
    </row>
    <row r="148" spans="17:22" x14ac:dyDescent="0.15">
      <c r="Q148" s="75" t="str">
        <f t="shared" si="9"/>
        <v/>
      </c>
      <c r="T148" s="16" t="str">
        <f t="shared" si="10"/>
        <v/>
      </c>
      <c r="V148" s="16" t="str">
        <f t="shared" si="11"/>
        <v/>
      </c>
    </row>
    <row r="149" spans="17:22" x14ac:dyDescent="0.15">
      <c r="Q149" s="75" t="str">
        <f t="shared" si="9"/>
        <v/>
      </c>
      <c r="T149" s="16" t="str">
        <f t="shared" si="10"/>
        <v/>
      </c>
      <c r="V149" s="16" t="str">
        <f t="shared" si="11"/>
        <v/>
      </c>
    </row>
    <row r="150" spans="17:22" x14ac:dyDescent="0.15">
      <c r="Q150" s="75" t="str">
        <f t="shared" si="9"/>
        <v/>
      </c>
      <c r="T150" s="16" t="str">
        <f t="shared" si="10"/>
        <v/>
      </c>
      <c r="V150" s="16" t="str">
        <f t="shared" si="11"/>
        <v/>
      </c>
    </row>
    <row r="151" spans="17:22" x14ac:dyDescent="0.15">
      <c r="Q151" s="75" t="str">
        <f t="shared" si="9"/>
        <v/>
      </c>
      <c r="T151" s="16" t="str">
        <f t="shared" si="10"/>
        <v/>
      </c>
      <c r="V151" s="16" t="str">
        <f t="shared" si="11"/>
        <v/>
      </c>
    </row>
    <row r="152" spans="17:22" x14ac:dyDescent="0.15">
      <c r="Q152" s="75" t="str">
        <f t="shared" si="9"/>
        <v/>
      </c>
      <c r="T152" s="16" t="str">
        <f t="shared" si="10"/>
        <v/>
      </c>
      <c r="V152" s="16" t="str">
        <f t="shared" si="11"/>
        <v/>
      </c>
    </row>
    <row r="153" spans="17:22" x14ac:dyDescent="0.15">
      <c r="Q153" s="75" t="str">
        <f t="shared" si="9"/>
        <v/>
      </c>
      <c r="T153" s="16" t="str">
        <f t="shared" si="10"/>
        <v/>
      </c>
      <c r="V153" s="16" t="str">
        <f t="shared" si="11"/>
        <v/>
      </c>
    </row>
    <row r="154" spans="17:22" x14ac:dyDescent="0.15">
      <c r="Q154" s="75" t="str">
        <f t="shared" si="9"/>
        <v/>
      </c>
      <c r="T154" s="16" t="str">
        <f t="shared" si="10"/>
        <v/>
      </c>
      <c r="V154" s="16" t="str">
        <f t="shared" si="11"/>
        <v/>
      </c>
    </row>
    <row r="155" spans="17:22" x14ac:dyDescent="0.15">
      <c r="Q155" s="75" t="str">
        <f t="shared" si="9"/>
        <v/>
      </c>
      <c r="T155" s="16" t="str">
        <f t="shared" si="10"/>
        <v/>
      </c>
      <c r="V155" s="16" t="str">
        <f t="shared" si="11"/>
        <v/>
      </c>
    </row>
    <row r="156" spans="17:22" x14ac:dyDescent="0.15">
      <c r="Q156" s="75" t="str">
        <f t="shared" si="9"/>
        <v/>
      </c>
      <c r="T156" s="16" t="str">
        <f t="shared" si="10"/>
        <v/>
      </c>
      <c r="V156" s="16" t="str">
        <f t="shared" si="11"/>
        <v/>
      </c>
    </row>
    <row r="157" spans="17:22" x14ac:dyDescent="0.15">
      <c r="Q157" s="75" t="str">
        <f t="shared" si="9"/>
        <v/>
      </c>
      <c r="T157" s="16" t="str">
        <f t="shared" si="10"/>
        <v/>
      </c>
      <c r="V157" s="16" t="str">
        <f t="shared" si="11"/>
        <v/>
      </c>
    </row>
    <row r="158" spans="17:22" x14ac:dyDescent="0.15">
      <c r="Q158" s="75" t="str">
        <f t="shared" si="9"/>
        <v/>
      </c>
      <c r="T158" s="16" t="str">
        <f t="shared" si="10"/>
        <v/>
      </c>
      <c r="V158" s="16" t="str">
        <f t="shared" si="11"/>
        <v/>
      </c>
    </row>
    <row r="159" spans="17:22" x14ac:dyDescent="0.15">
      <c r="Q159" s="75" t="str">
        <f t="shared" si="9"/>
        <v/>
      </c>
      <c r="T159" s="16" t="str">
        <f t="shared" si="10"/>
        <v/>
      </c>
      <c r="V159" s="16" t="str">
        <f t="shared" si="11"/>
        <v/>
      </c>
    </row>
    <row r="160" spans="17:22" x14ac:dyDescent="0.15">
      <c r="Q160" s="75" t="str">
        <f t="shared" si="9"/>
        <v/>
      </c>
      <c r="T160" s="16" t="str">
        <f t="shared" si="10"/>
        <v/>
      </c>
      <c r="V160" s="16" t="str">
        <f t="shared" si="11"/>
        <v/>
      </c>
    </row>
    <row r="161" spans="17:22" x14ac:dyDescent="0.15">
      <c r="Q161" s="75" t="str">
        <f t="shared" si="9"/>
        <v/>
      </c>
      <c r="T161" s="16" t="str">
        <f t="shared" si="10"/>
        <v/>
      </c>
      <c r="V161" s="16" t="str">
        <f t="shared" si="11"/>
        <v/>
      </c>
    </row>
    <row r="162" spans="17:22" x14ac:dyDescent="0.15">
      <c r="Q162" s="75" t="str">
        <f t="shared" si="9"/>
        <v/>
      </c>
      <c r="T162" s="16" t="str">
        <f t="shared" si="10"/>
        <v/>
      </c>
      <c r="V162" s="16" t="str">
        <f t="shared" si="11"/>
        <v/>
      </c>
    </row>
    <row r="163" spans="17:22" x14ac:dyDescent="0.15">
      <c r="Q163" s="75" t="str">
        <f t="shared" si="9"/>
        <v/>
      </c>
      <c r="T163" s="16" t="str">
        <f t="shared" si="10"/>
        <v/>
      </c>
      <c r="V163" s="16" t="str">
        <f t="shared" si="11"/>
        <v/>
      </c>
    </row>
    <row r="164" spans="17:22" x14ac:dyDescent="0.15">
      <c r="Q164" s="75" t="str">
        <f t="shared" si="9"/>
        <v/>
      </c>
      <c r="T164" s="16" t="str">
        <f t="shared" si="10"/>
        <v/>
      </c>
      <c r="V164" s="16" t="str">
        <f t="shared" si="11"/>
        <v/>
      </c>
    </row>
    <row r="165" spans="17:22" x14ac:dyDescent="0.15">
      <c r="Q165" s="75" t="str">
        <f t="shared" si="9"/>
        <v/>
      </c>
      <c r="T165" s="16" t="str">
        <f t="shared" si="10"/>
        <v/>
      </c>
      <c r="V165" s="16" t="str">
        <f t="shared" si="11"/>
        <v/>
      </c>
    </row>
    <row r="166" spans="17:22" x14ac:dyDescent="0.15">
      <c r="Q166" s="75" t="str">
        <f t="shared" si="9"/>
        <v/>
      </c>
      <c r="T166" s="16" t="str">
        <f t="shared" si="10"/>
        <v/>
      </c>
      <c r="V166" s="16" t="str">
        <f t="shared" si="11"/>
        <v/>
      </c>
    </row>
    <row r="167" spans="17:22" x14ac:dyDescent="0.15">
      <c r="Q167" s="75" t="str">
        <f t="shared" si="9"/>
        <v/>
      </c>
      <c r="T167" s="16" t="str">
        <f t="shared" si="10"/>
        <v/>
      </c>
      <c r="V167" s="16" t="str">
        <f t="shared" si="11"/>
        <v/>
      </c>
    </row>
    <row r="168" spans="17:22" x14ac:dyDescent="0.15">
      <c r="Q168" s="75" t="str">
        <f t="shared" si="9"/>
        <v/>
      </c>
      <c r="T168" s="16" t="str">
        <f t="shared" si="10"/>
        <v/>
      </c>
      <c r="V168" s="16" t="str">
        <f t="shared" si="11"/>
        <v/>
      </c>
    </row>
    <row r="169" spans="17:22" x14ac:dyDescent="0.15">
      <c r="Q169" s="75" t="str">
        <f t="shared" si="9"/>
        <v/>
      </c>
      <c r="T169" s="16" t="str">
        <f t="shared" si="10"/>
        <v/>
      </c>
      <c r="V169" s="16" t="str">
        <f t="shared" si="11"/>
        <v/>
      </c>
    </row>
    <row r="170" spans="17:22" x14ac:dyDescent="0.15">
      <c r="Q170" s="75" t="str">
        <f t="shared" si="9"/>
        <v/>
      </c>
      <c r="T170" s="16" t="str">
        <f t="shared" si="10"/>
        <v/>
      </c>
      <c r="V170" s="16" t="str">
        <f t="shared" si="11"/>
        <v/>
      </c>
    </row>
    <row r="171" spans="17:22" x14ac:dyDescent="0.15">
      <c r="Q171" s="75" t="str">
        <f t="shared" si="9"/>
        <v/>
      </c>
      <c r="T171" s="16" t="str">
        <f t="shared" si="10"/>
        <v/>
      </c>
      <c r="V171" s="16" t="str">
        <f t="shared" si="11"/>
        <v/>
      </c>
    </row>
    <row r="172" spans="17:22" x14ac:dyDescent="0.15">
      <c r="Q172" s="75" t="str">
        <f t="shared" si="9"/>
        <v/>
      </c>
      <c r="T172" s="16" t="str">
        <f t="shared" si="10"/>
        <v/>
      </c>
      <c r="V172" s="16" t="str">
        <f t="shared" si="11"/>
        <v/>
      </c>
    </row>
    <row r="173" spans="17:22" x14ac:dyDescent="0.15">
      <c r="Q173" s="75" t="str">
        <f t="shared" si="9"/>
        <v/>
      </c>
      <c r="T173" s="16" t="str">
        <f t="shared" si="10"/>
        <v/>
      </c>
      <c r="V173" s="16" t="str">
        <f t="shared" si="11"/>
        <v/>
      </c>
    </row>
    <row r="174" spans="17:22" x14ac:dyDescent="0.15">
      <c r="Q174" s="75" t="str">
        <f t="shared" si="9"/>
        <v/>
      </c>
      <c r="T174" s="16" t="str">
        <f t="shared" si="10"/>
        <v/>
      </c>
      <c r="V174" s="16" t="str">
        <f t="shared" si="11"/>
        <v/>
      </c>
    </row>
    <row r="175" spans="17:22" x14ac:dyDescent="0.15">
      <c r="Q175" s="75" t="str">
        <f t="shared" si="9"/>
        <v/>
      </c>
      <c r="T175" s="16" t="str">
        <f t="shared" si="10"/>
        <v/>
      </c>
      <c r="V175" s="16" t="str">
        <f t="shared" si="11"/>
        <v/>
      </c>
    </row>
    <row r="176" spans="17:22" x14ac:dyDescent="0.15">
      <c r="Q176" s="75" t="str">
        <f t="shared" si="9"/>
        <v/>
      </c>
      <c r="T176" s="16" t="str">
        <f t="shared" si="10"/>
        <v/>
      </c>
      <c r="V176" s="16" t="str">
        <f t="shared" si="11"/>
        <v/>
      </c>
    </row>
    <row r="177" spans="17:22" x14ac:dyDescent="0.15">
      <c r="Q177" s="75" t="str">
        <f t="shared" si="9"/>
        <v/>
      </c>
      <c r="T177" s="16" t="str">
        <f t="shared" si="10"/>
        <v/>
      </c>
      <c r="V177" s="16" t="str">
        <f t="shared" si="11"/>
        <v/>
      </c>
    </row>
    <row r="178" spans="17:22" x14ac:dyDescent="0.15">
      <c r="Q178" s="75" t="str">
        <f t="shared" si="9"/>
        <v/>
      </c>
      <c r="T178" s="16" t="str">
        <f t="shared" si="10"/>
        <v/>
      </c>
      <c r="V178" s="16" t="str">
        <f t="shared" si="11"/>
        <v/>
      </c>
    </row>
    <row r="179" spans="17:22" x14ac:dyDescent="0.15">
      <c r="Q179" s="75" t="str">
        <f t="shared" si="9"/>
        <v/>
      </c>
      <c r="T179" s="16" t="str">
        <f t="shared" si="10"/>
        <v/>
      </c>
      <c r="V179" s="16" t="str">
        <f t="shared" si="11"/>
        <v/>
      </c>
    </row>
    <row r="180" spans="17:22" x14ac:dyDescent="0.15">
      <c r="Q180" s="75" t="str">
        <f t="shared" si="9"/>
        <v/>
      </c>
      <c r="T180" s="16" t="str">
        <f t="shared" si="10"/>
        <v/>
      </c>
      <c r="V180" s="16" t="str">
        <f t="shared" si="11"/>
        <v/>
      </c>
    </row>
    <row r="181" spans="17:22" x14ac:dyDescent="0.15">
      <c r="Q181" s="75" t="str">
        <f t="shared" si="9"/>
        <v/>
      </c>
      <c r="T181" s="16" t="str">
        <f t="shared" si="10"/>
        <v/>
      </c>
      <c r="V181" s="16" t="str">
        <f t="shared" si="11"/>
        <v/>
      </c>
    </row>
    <row r="182" spans="17:22" x14ac:dyDescent="0.15">
      <c r="Q182" s="75" t="str">
        <f t="shared" si="9"/>
        <v/>
      </c>
      <c r="T182" s="16" t="str">
        <f t="shared" si="10"/>
        <v/>
      </c>
      <c r="V182" s="16" t="str">
        <f t="shared" si="11"/>
        <v/>
      </c>
    </row>
    <row r="183" spans="17:22" x14ac:dyDescent="0.15">
      <c r="Q183" s="75" t="str">
        <f t="shared" si="9"/>
        <v/>
      </c>
      <c r="T183" s="16" t="str">
        <f t="shared" si="10"/>
        <v/>
      </c>
      <c r="V183" s="16" t="str">
        <f t="shared" si="11"/>
        <v/>
      </c>
    </row>
    <row r="184" spans="17:22" x14ac:dyDescent="0.15">
      <c r="Q184" s="75" t="str">
        <f t="shared" si="9"/>
        <v/>
      </c>
      <c r="T184" s="16" t="str">
        <f t="shared" si="10"/>
        <v/>
      </c>
      <c r="V184" s="16" t="str">
        <f t="shared" si="11"/>
        <v/>
      </c>
    </row>
    <row r="185" spans="17:22" x14ac:dyDescent="0.15">
      <c r="Q185" s="75" t="str">
        <f t="shared" si="9"/>
        <v/>
      </c>
      <c r="T185" s="16" t="str">
        <f t="shared" si="10"/>
        <v/>
      </c>
      <c r="V185" s="16" t="str">
        <f t="shared" si="11"/>
        <v/>
      </c>
    </row>
    <row r="186" spans="17:22" x14ac:dyDescent="0.15">
      <c r="Q186" s="75" t="str">
        <f t="shared" si="9"/>
        <v/>
      </c>
      <c r="T186" s="16" t="str">
        <f t="shared" si="10"/>
        <v/>
      </c>
      <c r="V186" s="16" t="str">
        <f t="shared" si="11"/>
        <v/>
      </c>
    </row>
    <row r="187" spans="17:22" x14ac:dyDescent="0.15">
      <c r="Q187" s="75" t="str">
        <f t="shared" si="9"/>
        <v/>
      </c>
      <c r="T187" s="16" t="str">
        <f t="shared" si="10"/>
        <v/>
      </c>
      <c r="V187" s="16" t="str">
        <f t="shared" si="11"/>
        <v/>
      </c>
    </row>
    <row r="188" spans="17:22" x14ac:dyDescent="0.15">
      <c r="Q188" s="75" t="str">
        <f t="shared" si="9"/>
        <v/>
      </c>
      <c r="T188" s="16" t="str">
        <f t="shared" si="10"/>
        <v/>
      </c>
      <c r="V188" s="16" t="str">
        <f t="shared" si="11"/>
        <v/>
      </c>
    </row>
    <row r="189" spans="17:22" x14ac:dyDescent="0.15">
      <c r="Q189" s="75" t="str">
        <f t="shared" si="9"/>
        <v/>
      </c>
      <c r="T189" s="16" t="str">
        <f t="shared" si="10"/>
        <v/>
      </c>
      <c r="V189" s="16" t="str">
        <f t="shared" si="11"/>
        <v/>
      </c>
    </row>
    <row r="190" spans="17:22" x14ac:dyDescent="0.15">
      <c r="Q190" s="75" t="str">
        <f t="shared" si="9"/>
        <v/>
      </c>
      <c r="T190" s="16" t="str">
        <f t="shared" si="10"/>
        <v/>
      </c>
      <c r="V190" s="16" t="str">
        <f t="shared" si="11"/>
        <v/>
      </c>
    </row>
    <row r="191" spans="17:22" x14ac:dyDescent="0.15">
      <c r="Q191" s="75" t="str">
        <f t="shared" si="9"/>
        <v/>
      </c>
      <c r="T191" s="16" t="str">
        <f t="shared" si="10"/>
        <v/>
      </c>
      <c r="V191" s="16" t="str">
        <f t="shared" si="11"/>
        <v/>
      </c>
    </row>
    <row r="192" spans="17:22" x14ac:dyDescent="0.15">
      <c r="Q192" s="75" t="str">
        <f t="shared" si="9"/>
        <v/>
      </c>
      <c r="T192" s="16" t="str">
        <f t="shared" si="10"/>
        <v/>
      </c>
      <c r="V192" s="16" t="str">
        <f t="shared" si="11"/>
        <v/>
      </c>
    </row>
    <row r="193" spans="17:22" x14ac:dyDescent="0.15">
      <c r="Q193" s="75" t="str">
        <f t="shared" si="9"/>
        <v/>
      </c>
      <c r="T193" s="16" t="str">
        <f t="shared" si="10"/>
        <v/>
      </c>
      <c r="V193" s="16" t="str">
        <f t="shared" si="11"/>
        <v/>
      </c>
    </row>
    <row r="194" spans="17:22" x14ac:dyDescent="0.15">
      <c r="Q194" s="75" t="str">
        <f t="shared" si="9"/>
        <v/>
      </c>
      <c r="T194" s="16" t="str">
        <f t="shared" si="10"/>
        <v/>
      </c>
      <c r="V194" s="16" t="str">
        <f t="shared" si="11"/>
        <v/>
      </c>
    </row>
    <row r="195" spans="17:22" x14ac:dyDescent="0.15">
      <c r="Q195" s="75" t="str">
        <f t="shared" si="9"/>
        <v/>
      </c>
      <c r="T195" s="16" t="str">
        <f t="shared" si="10"/>
        <v/>
      </c>
      <c r="V195" s="16" t="str">
        <f t="shared" si="11"/>
        <v/>
      </c>
    </row>
    <row r="196" spans="17:22" x14ac:dyDescent="0.15">
      <c r="Q196" s="75" t="str">
        <f t="shared" si="9"/>
        <v/>
      </c>
      <c r="T196" s="16" t="str">
        <f t="shared" si="10"/>
        <v/>
      </c>
      <c r="V196" s="16" t="str">
        <f t="shared" si="11"/>
        <v/>
      </c>
    </row>
    <row r="197" spans="17:22" x14ac:dyDescent="0.15">
      <c r="Q197" s="75" t="str">
        <f t="shared" si="9"/>
        <v/>
      </c>
      <c r="T197" s="16" t="str">
        <f t="shared" si="10"/>
        <v/>
      </c>
      <c r="V197" s="16" t="str">
        <f t="shared" si="11"/>
        <v/>
      </c>
    </row>
    <row r="198" spans="17:22" x14ac:dyDescent="0.15">
      <c r="Q198" s="75" t="str">
        <f t="shared" si="9"/>
        <v/>
      </c>
      <c r="T198" s="16" t="str">
        <f t="shared" si="10"/>
        <v/>
      </c>
      <c r="V198" s="16" t="str">
        <f t="shared" si="11"/>
        <v/>
      </c>
    </row>
    <row r="199" spans="17:22" x14ac:dyDescent="0.15">
      <c r="Q199" s="75" t="str">
        <f t="shared" si="9"/>
        <v/>
      </c>
      <c r="T199" s="16" t="str">
        <f t="shared" si="10"/>
        <v/>
      </c>
      <c r="V199" s="16" t="str">
        <f t="shared" si="11"/>
        <v/>
      </c>
    </row>
    <row r="200" spans="17:22" x14ac:dyDescent="0.15">
      <c r="Q200" s="75" t="str">
        <f t="shared" si="9"/>
        <v/>
      </c>
      <c r="T200" s="16" t="str">
        <f t="shared" si="10"/>
        <v/>
      </c>
      <c r="V200" s="16" t="str">
        <f t="shared" si="11"/>
        <v/>
      </c>
    </row>
    <row r="201" spans="17:22" x14ac:dyDescent="0.15">
      <c r="Q201" s="75" t="str">
        <f t="shared" si="9"/>
        <v/>
      </c>
      <c r="T201" s="16" t="str">
        <f t="shared" si="10"/>
        <v/>
      </c>
      <c r="V201" s="16" t="str">
        <f t="shared" si="11"/>
        <v/>
      </c>
    </row>
    <row r="202" spans="17:22" x14ac:dyDescent="0.15">
      <c r="Q202" s="75" t="str">
        <f t="shared" si="9"/>
        <v/>
      </c>
      <c r="T202" s="16" t="str">
        <f t="shared" si="10"/>
        <v/>
      </c>
      <c r="V202" s="16" t="str">
        <f t="shared" si="11"/>
        <v/>
      </c>
    </row>
    <row r="203" spans="17:22" x14ac:dyDescent="0.15">
      <c r="Q203" s="75" t="str">
        <f t="shared" si="9"/>
        <v/>
      </c>
      <c r="T203" s="16" t="str">
        <f t="shared" si="10"/>
        <v/>
      </c>
      <c r="V203" s="16" t="str">
        <f t="shared" si="11"/>
        <v/>
      </c>
    </row>
    <row r="204" spans="17:22" x14ac:dyDescent="0.15">
      <c r="Q204" s="75" t="str">
        <f t="shared" si="9"/>
        <v/>
      </c>
      <c r="T204" s="16" t="str">
        <f t="shared" si="10"/>
        <v/>
      </c>
      <c r="V204" s="16" t="str">
        <f t="shared" si="11"/>
        <v/>
      </c>
    </row>
    <row r="205" spans="17:22" x14ac:dyDescent="0.15">
      <c r="Q205" s="75" t="str">
        <f t="shared" si="9"/>
        <v/>
      </c>
      <c r="T205" s="16" t="str">
        <f t="shared" si="10"/>
        <v/>
      </c>
      <c r="V205" s="16" t="str">
        <f t="shared" si="11"/>
        <v/>
      </c>
    </row>
    <row r="206" spans="17:22" x14ac:dyDescent="0.15">
      <c r="Q206" s="75" t="str">
        <f t="shared" si="9"/>
        <v/>
      </c>
      <c r="T206" s="16" t="str">
        <f t="shared" si="10"/>
        <v/>
      </c>
      <c r="V206" s="16" t="str">
        <f t="shared" si="11"/>
        <v/>
      </c>
    </row>
    <row r="207" spans="17:22" x14ac:dyDescent="0.15">
      <c r="Q207" s="75" t="str">
        <f t="shared" si="9"/>
        <v/>
      </c>
      <c r="T207" s="16" t="str">
        <f t="shared" si="10"/>
        <v/>
      </c>
      <c r="V207" s="16" t="str">
        <f t="shared" si="11"/>
        <v/>
      </c>
    </row>
    <row r="208" spans="17:22" x14ac:dyDescent="0.15">
      <c r="Q208" s="75" t="str">
        <f t="shared" si="9"/>
        <v/>
      </c>
      <c r="T208" s="16" t="str">
        <f t="shared" si="10"/>
        <v/>
      </c>
      <c r="V208" s="16" t="str">
        <f t="shared" si="11"/>
        <v/>
      </c>
    </row>
    <row r="209" spans="17:22" x14ac:dyDescent="0.15">
      <c r="Q209" s="75" t="str">
        <f t="shared" si="9"/>
        <v/>
      </c>
      <c r="T209" s="16" t="str">
        <f t="shared" si="10"/>
        <v/>
      </c>
      <c r="V209" s="16" t="str">
        <f t="shared" si="11"/>
        <v/>
      </c>
    </row>
    <row r="210" spans="17:22" x14ac:dyDescent="0.15">
      <c r="Q210" s="75" t="str">
        <f t="shared" ref="Q210:Q273" si="12">IF(OR(O210="",P210=""),"",AVERAGE(O210,P210))</f>
        <v/>
      </c>
      <c r="T210" s="16" t="str">
        <f t="shared" ref="T210:T273" si="13">IF(H210="","",IF(OR(H210="GREEN",H210="GK"),IF(S210&gt;=$AX$2,VLOOKUP(S210,$AX$2:$AY$10,2,1),""),IF(S210&gt;=$AZ$2,VLOOKUP(S210,$AZ$2:$BA$10,2,1),"")))</f>
        <v/>
      </c>
      <c r="V210" s="16" t="str">
        <f t="shared" ref="V210:V273" si="14">IF(OR(N210="",U210="",T210=""),"",U210/N210*T210)</f>
        <v/>
      </c>
    </row>
    <row r="211" spans="17:22" x14ac:dyDescent="0.15">
      <c r="Q211" s="75" t="str">
        <f t="shared" si="12"/>
        <v/>
      </c>
      <c r="T211" s="16" t="str">
        <f t="shared" si="13"/>
        <v/>
      </c>
      <c r="V211" s="16" t="str">
        <f t="shared" si="14"/>
        <v/>
      </c>
    </row>
    <row r="212" spans="17:22" x14ac:dyDescent="0.15">
      <c r="Q212" s="75" t="str">
        <f t="shared" si="12"/>
        <v/>
      </c>
      <c r="T212" s="16" t="str">
        <f t="shared" si="13"/>
        <v/>
      </c>
      <c r="V212" s="16" t="str">
        <f t="shared" si="14"/>
        <v/>
      </c>
    </row>
    <row r="213" spans="17:22" x14ac:dyDescent="0.15">
      <c r="Q213" s="75" t="str">
        <f t="shared" si="12"/>
        <v/>
      </c>
      <c r="T213" s="16" t="str">
        <f t="shared" si="13"/>
        <v/>
      </c>
      <c r="V213" s="16" t="str">
        <f t="shared" si="14"/>
        <v/>
      </c>
    </row>
    <row r="214" spans="17:22" x14ac:dyDescent="0.15">
      <c r="Q214" s="75" t="str">
        <f t="shared" si="12"/>
        <v/>
      </c>
      <c r="T214" s="16" t="str">
        <f t="shared" si="13"/>
        <v/>
      </c>
      <c r="V214" s="16" t="str">
        <f t="shared" si="14"/>
        <v/>
      </c>
    </row>
    <row r="215" spans="17:22" x14ac:dyDescent="0.15">
      <c r="Q215" s="75" t="str">
        <f t="shared" si="12"/>
        <v/>
      </c>
      <c r="T215" s="16" t="str">
        <f t="shared" si="13"/>
        <v/>
      </c>
      <c r="V215" s="16" t="str">
        <f t="shared" si="14"/>
        <v/>
      </c>
    </row>
    <row r="216" spans="17:22" x14ac:dyDescent="0.15">
      <c r="Q216" s="75" t="str">
        <f t="shared" si="12"/>
        <v/>
      </c>
      <c r="T216" s="16" t="str">
        <f t="shared" si="13"/>
        <v/>
      </c>
      <c r="V216" s="16" t="str">
        <f t="shared" si="14"/>
        <v/>
      </c>
    </row>
    <row r="217" spans="17:22" x14ac:dyDescent="0.15">
      <c r="Q217" s="75" t="str">
        <f t="shared" si="12"/>
        <v/>
      </c>
      <c r="T217" s="16" t="str">
        <f t="shared" si="13"/>
        <v/>
      </c>
      <c r="V217" s="16" t="str">
        <f t="shared" si="14"/>
        <v/>
      </c>
    </row>
    <row r="218" spans="17:22" x14ac:dyDescent="0.15">
      <c r="Q218" s="75" t="str">
        <f t="shared" si="12"/>
        <v/>
      </c>
      <c r="T218" s="16" t="str">
        <f t="shared" si="13"/>
        <v/>
      </c>
      <c r="V218" s="16" t="str">
        <f t="shared" si="14"/>
        <v/>
      </c>
    </row>
    <row r="219" spans="17:22" x14ac:dyDescent="0.15">
      <c r="Q219" s="75" t="str">
        <f t="shared" si="12"/>
        <v/>
      </c>
      <c r="T219" s="16" t="str">
        <f t="shared" si="13"/>
        <v/>
      </c>
      <c r="V219" s="16" t="str">
        <f t="shared" si="14"/>
        <v/>
      </c>
    </row>
    <row r="220" spans="17:22" x14ac:dyDescent="0.15">
      <c r="Q220" s="75" t="str">
        <f t="shared" si="12"/>
        <v/>
      </c>
      <c r="T220" s="16" t="str">
        <f t="shared" si="13"/>
        <v/>
      </c>
      <c r="V220" s="16" t="str">
        <f t="shared" si="14"/>
        <v/>
      </c>
    </row>
    <row r="221" spans="17:22" x14ac:dyDescent="0.15">
      <c r="Q221" s="75" t="str">
        <f t="shared" si="12"/>
        <v/>
      </c>
      <c r="T221" s="16" t="str">
        <f t="shared" si="13"/>
        <v/>
      </c>
      <c r="V221" s="16" t="str">
        <f t="shared" si="14"/>
        <v/>
      </c>
    </row>
    <row r="222" spans="17:22" x14ac:dyDescent="0.15">
      <c r="Q222" s="75" t="str">
        <f t="shared" si="12"/>
        <v/>
      </c>
      <c r="T222" s="16" t="str">
        <f t="shared" si="13"/>
        <v/>
      </c>
      <c r="V222" s="16" t="str">
        <f t="shared" si="14"/>
        <v/>
      </c>
    </row>
    <row r="223" spans="17:22" x14ac:dyDescent="0.15">
      <c r="Q223" s="75" t="str">
        <f t="shared" si="12"/>
        <v/>
      </c>
      <c r="T223" s="16" t="str">
        <f t="shared" si="13"/>
        <v/>
      </c>
      <c r="V223" s="16" t="str">
        <f t="shared" si="14"/>
        <v/>
      </c>
    </row>
    <row r="224" spans="17:22" x14ac:dyDescent="0.15">
      <c r="Q224" s="75" t="str">
        <f t="shared" si="12"/>
        <v/>
      </c>
      <c r="T224" s="16" t="str">
        <f t="shared" si="13"/>
        <v/>
      </c>
      <c r="V224" s="16" t="str">
        <f t="shared" si="14"/>
        <v/>
      </c>
    </row>
    <row r="225" spans="17:22" x14ac:dyDescent="0.15">
      <c r="Q225" s="75" t="str">
        <f t="shared" si="12"/>
        <v/>
      </c>
      <c r="T225" s="16" t="str">
        <f t="shared" si="13"/>
        <v/>
      </c>
      <c r="V225" s="16" t="str">
        <f t="shared" si="14"/>
        <v/>
      </c>
    </row>
    <row r="226" spans="17:22" x14ac:dyDescent="0.15">
      <c r="Q226" s="75" t="str">
        <f t="shared" si="12"/>
        <v/>
      </c>
      <c r="T226" s="16" t="str">
        <f t="shared" si="13"/>
        <v/>
      </c>
      <c r="V226" s="16" t="str">
        <f t="shared" si="14"/>
        <v/>
      </c>
    </row>
    <row r="227" spans="17:22" x14ac:dyDescent="0.15">
      <c r="Q227" s="75" t="str">
        <f t="shared" si="12"/>
        <v/>
      </c>
      <c r="T227" s="16" t="str">
        <f t="shared" si="13"/>
        <v/>
      </c>
      <c r="V227" s="16" t="str">
        <f t="shared" si="14"/>
        <v/>
      </c>
    </row>
    <row r="228" spans="17:22" x14ac:dyDescent="0.15">
      <c r="Q228" s="75" t="str">
        <f t="shared" si="12"/>
        <v/>
      </c>
      <c r="T228" s="16" t="str">
        <f t="shared" si="13"/>
        <v/>
      </c>
      <c r="V228" s="16" t="str">
        <f t="shared" si="14"/>
        <v/>
      </c>
    </row>
    <row r="229" spans="17:22" x14ac:dyDescent="0.15">
      <c r="Q229" s="75" t="str">
        <f t="shared" si="12"/>
        <v/>
      </c>
      <c r="T229" s="16" t="str">
        <f t="shared" si="13"/>
        <v/>
      </c>
      <c r="V229" s="16" t="str">
        <f t="shared" si="14"/>
        <v/>
      </c>
    </row>
    <row r="230" spans="17:22" x14ac:dyDescent="0.15">
      <c r="Q230" s="75" t="str">
        <f t="shared" si="12"/>
        <v/>
      </c>
      <c r="T230" s="16" t="str">
        <f t="shared" si="13"/>
        <v/>
      </c>
      <c r="V230" s="16" t="str">
        <f t="shared" si="14"/>
        <v/>
      </c>
    </row>
    <row r="231" spans="17:22" x14ac:dyDescent="0.15">
      <c r="Q231" s="75" t="str">
        <f t="shared" si="12"/>
        <v/>
      </c>
      <c r="T231" s="16" t="str">
        <f t="shared" si="13"/>
        <v/>
      </c>
      <c r="V231" s="16" t="str">
        <f t="shared" si="14"/>
        <v/>
      </c>
    </row>
    <row r="232" spans="17:22" x14ac:dyDescent="0.15">
      <c r="Q232" s="75" t="str">
        <f t="shared" si="12"/>
        <v/>
      </c>
      <c r="T232" s="16" t="str">
        <f t="shared" si="13"/>
        <v/>
      </c>
      <c r="V232" s="16" t="str">
        <f t="shared" si="14"/>
        <v/>
      </c>
    </row>
    <row r="233" spans="17:22" x14ac:dyDescent="0.15">
      <c r="Q233" s="75" t="str">
        <f t="shared" si="12"/>
        <v/>
      </c>
      <c r="T233" s="16" t="str">
        <f t="shared" si="13"/>
        <v/>
      </c>
      <c r="V233" s="16" t="str">
        <f t="shared" si="14"/>
        <v/>
      </c>
    </row>
    <row r="234" spans="17:22" x14ac:dyDescent="0.15">
      <c r="Q234" s="75" t="str">
        <f t="shared" si="12"/>
        <v/>
      </c>
      <c r="T234" s="16" t="str">
        <f t="shared" si="13"/>
        <v/>
      </c>
      <c r="V234" s="16" t="str">
        <f t="shared" si="14"/>
        <v/>
      </c>
    </row>
    <row r="235" spans="17:22" x14ac:dyDescent="0.15">
      <c r="Q235" s="75" t="str">
        <f t="shared" si="12"/>
        <v/>
      </c>
      <c r="T235" s="16" t="str">
        <f t="shared" si="13"/>
        <v/>
      </c>
      <c r="V235" s="16" t="str">
        <f t="shared" si="14"/>
        <v/>
      </c>
    </row>
    <row r="236" spans="17:22" x14ac:dyDescent="0.15">
      <c r="Q236" s="75" t="str">
        <f t="shared" si="12"/>
        <v/>
      </c>
      <c r="T236" s="16" t="str">
        <f t="shared" si="13"/>
        <v/>
      </c>
      <c r="V236" s="16" t="str">
        <f t="shared" si="14"/>
        <v/>
      </c>
    </row>
    <row r="237" spans="17:22" x14ac:dyDescent="0.15">
      <c r="Q237" s="75" t="str">
        <f t="shared" si="12"/>
        <v/>
      </c>
      <c r="T237" s="16" t="str">
        <f t="shared" si="13"/>
        <v/>
      </c>
      <c r="V237" s="16" t="str">
        <f t="shared" si="14"/>
        <v/>
      </c>
    </row>
    <row r="238" spans="17:22" x14ac:dyDescent="0.15">
      <c r="Q238" s="75" t="str">
        <f t="shared" si="12"/>
        <v/>
      </c>
      <c r="T238" s="16" t="str">
        <f t="shared" si="13"/>
        <v/>
      </c>
      <c r="V238" s="16" t="str">
        <f t="shared" si="14"/>
        <v/>
      </c>
    </row>
    <row r="239" spans="17:22" x14ac:dyDescent="0.15">
      <c r="Q239" s="75" t="str">
        <f t="shared" si="12"/>
        <v/>
      </c>
      <c r="T239" s="16" t="str">
        <f t="shared" si="13"/>
        <v/>
      </c>
      <c r="V239" s="16" t="str">
        <f t="shared" si="14"/>
        <v/>
      </c>
    </row>
    <row r="240" spans="17:22" x14ac:dyDescent="0.15">
      <c r="Q240" s="75" t="str">
        <f t="shared" si="12"/>
        <v/>
      </c>
      <c r="T240" s="16" t="str">
        <f t="shared" si="13"/>
        <v/>
      </c>
      <c r="V240" s="16" t="str">
        <f t="shared" si="14"/>
        <v/>
      </c>
    </row>
    <row r="241" spans="17:22" x14ac:dyDescent="0.15">
      <c r="Q241" s="75" t="str">
        <f t="shared" si="12"/>
        <v/>
      </c>
      <c r="T241" s="16" t="str">
        <f t="shared" si="13"/>
        <v/>
      </c>
      <c r="V241" s="16" t="str">
        <f t="shared" si="14"/>
        <v/>
      </c>
    </row>
    <row r="242" spans="17:22" x14ac:dyDescent="0.15">
      <c r="Q242" s="75" t="str">
        <f t="shared" si="12"/>
        <v/>
      </c>
      <c r="T242" s="16" t="str">
        <f t="shared" si="13"/>
        <v/>
      </c>
      <c r="V242" s="16" t="str">
        <f t="shared" si="14"/>
        <v/>
      </c>
    </row>
    <row r="243" spans="17:22" x14ac:dyDescent="0.15">
      <c r="Q243" s="75" t="str">
        <f t="shared" si="12"/>
        <v/>
      </c>
      <c r="T243" s="16" t="str">
        <f t="shared" si="13"/>
        <v/>
      </c>
      <c r="V243" s="16" t="str">
        <f t="shared" si="14"/>
        <v/>
      </c>
    </row>
    <row r="244" spans="17:22" x14ac:dyDescent="0.15">
      <c r="Q244" s="75" t="str">
        <f t="shared" si="12"/>
        <v/>
      </c>
      <c r="T244" s="16" t="str">
        <f t="shared" si="13"/>
        <v/>
      </c>
      <c r="V244" s="16" t="str">
        <f t="shared" si="14"/>
        <v/>
      </c>
    </row>
    <row r="245" spans="17:22" x14ac:dyDescent="0.15">
      <c r="Q245" s="75" t="str">
        <f t="shared" si="12"/>
        <v/>
      </c>
      <c r="T245" s="16" t="str">
        <f t="shared" si="13"/>
        <v/>
      </c>
      <c r="V245" s="16" t="str">
        <f t="shared" si="14"/>
        <v/>
      </c>
    </row>
    <row r="246" spans="17:22" x14ac:dyDescent="0.15">
      <c r="Q246" s="75" t="str">
        <f t="shared" si="12"/>
        <v/>
      </c>
      <c r="T246" s="16" t="str">
        <f t="shared" si="13"/>
        <v/>
      </c>
      <c r="V246" s="16" t="str">
        <f t="shared" si="14"/>
        <v/>
      </c>
    </row>
    <row r="247" spans="17:22" x14ac:dyDescent="0.15">
      <c r="Q247" s="75" t="str">
        <f t="shared" si="12"/>
        <v/>
      </c>
      <c r="T247" s="16" t="str">
        <f t="shared" si="13"/>
        <v/>
      </c>
      <c r="V247" s="16" t="str">
        <f t="shared" si="14"/>
        <v/>
      </c>
    </row>
    <row r="248" spans="17:22" x14ac:dyDescent="0.15">
      <c r="Q248" s="75" t="str">
        <f t="shared" si="12"/>
        <v/>
      </c>
      <c r="T248" s="16" t="str">
        <f t="shared" si="13"/>
        <v/>
      </c>
      <c r="V248" s="16" t="str">
        <f t="shared" si="14"/>
        <v/>
      </c>
    </row>
    <row r="249" spans="17:22" x14ac:dyDescent="0.15">
      <c r="Q249" s="75" t="str">
        <f t="shared" si="12"/>
        <v/>
      </c>
      <c r="T249" s="16" t="str">
        <f t="shared" si="13"/>
        <v/>
      </c>
      <c r="V249" s="16" t="str">
        <f t="shared" si="14"/>
        <v/>
      </c>
    </row>
    <row r="250" spans="17:22" x14ac:dyDescent="0.15">
      <c r="Q250" s="75" t="str">
        <f t="shared" si="12"/>
        <v/>
      </c>
      <c r="T250" s="16" t="str">
        <f t="shared" si="13"/>
        <v/>
      </c>
      <c r="V250" s="16" t="str">
        <f t="shared" si="14"/>
        <v/>
      </c>
    </row>
    <row r="251" spans="17:22" x14ac:dyDescent="0.15">
      <c r="Q251" s="75" t="str">
        <f t="shared" si="12"/>
        <v/>
      </c>
      <c r="T251" s="16" t="str">
        <f t="shared" si="13"/>
        <v/>
      </c>
      <c r="V251" s="16" t="str">
        <f t="shared" si="14"/>
        <v/>
      </c>
    </row>
    <row r="252" spans="17:22" x14ac:dyDescent="0.15">
      <c r="Q252" s="75" t="str">
        <f t="shared" si="12"/>
        <v/>
      </c>
      <c r="T252" s="16" t="str">
        <f t="shared" si="13"/>
        <v/>
      </c>
      <c r="V252" s="16" t="str">
        <f t="shared" si="14"/>
        <v/>
      </c>
    </row>
    <row r="253" spans="17:22" x14ac:dyDescent="0.15">
      <c r="Q253" s="75" t="str">
        <f t="shared" si="12"/>
        <v/>
      </c>
      <c r="T253" s="16" t="str">
        <f t="shared" si="13"/>
        <v/>
      </c>
      <c r="V253" s="16" t="str">
        <f t="shared" si="14"/>
        <v/>
      </c>
    </row>
    <row r="254" spans="17:22" x14ac:dyDescent="0.15">
      <c r="Q254" s="75" t="str">
        <f t="shared" si="12"/>
        <v/>
      </c>
      <c r="T254" s="16" t="str">
        <f t="shared" si="13"/>
        <v/>
      </c>
      <c r="V254" s="16" t="str">
        <f t="shared" si="14"/>
        <v/>
      </c>
    </row>
    <row r="255" spans="17:22" x14ac:dyDescent="0.15">
      <c r="Q255" s="75" t="str">
        <f t="shared" si="12"/>
        <v/>
      </c>
      <c r="T255" s="16" t="str">
        <f t="shared" si="13"/>
        <v/>
      </c>
      <c r="V255" s="16" t="str">
        <f t="shared" si="14"/>
        <v/>
      </c>
    </row>
    <row r="256" spans="17:22" x14ac:dyDescent="0.15">
      <c r="Q256" s="75" t="str">
        <f t="shared" si="12"/>
        <v/>
      </c>
      <c r="T256" s="16" t="str">
        <f t="shared" si="13"/>
        <v/>
      </c>
      <c r="V256" s="16" t="str">
        <f t="shared" si="14"/>
        <v/>
      </c>
    </row>
    <row r="257" spans="17:22" x14ac:dyDescent="0.15">
      <c r="Q257" s="75" t="str">
        <f t="shared" si="12"/>
        <v/>
      </c>
      <c r="T257" s="16" t="str">
        <f t="shared" si="13"/>
        <v/>
      </c>
      <c r="V257" s="16" t="str">
        <f t="shared" si="14"/>
        <v/>
      </c>
    </row>
    <row r="258" spans="17:22" x14ac:dyDescent="0.15">
      <c r="Q258" s="75" t="str">
        <f t="shared" si="12"/>
        <v/>
      </c>
      <c r="T258" s="16" t="str">
        <f t="shared" si="13"/>
        <v/>
      </c>
      <c r="V258" s="16" t="str">
        <f t="shared" si="14"/>
        <v/>
      </c>
    </row>
    <row r="259" spans="17:22" x14ac:dyDescent="0.15">
      <c r="Q259" s="75" t="str">
        <f t="shared" si="12"/>
        <v/>
      </c>
      <c r="T259" s="16" t="str">
        <f t="shared" si="13"/>
        <v/>
      </c>
      <c r="V259" s="16" t="str">
        <f t="shared" si="14"/>
        <v/>
      </c>
    </row>
    <row r="260" spans="17:22" x14ac:dyDescent="0.15">
      <c r="Q260" s="75" t="str">
        <f t="shared" si="12"/>
        <v/>
      </c>
      <c r="T260" s="16" t="str">
        <f t="shared" si="13"/>
        <v/>
      </c>
      <c r="V260" s="16" t="str">
        <f t="shared" si="14"/>
        <v/>
      </c>
    </row>
    <row r="261" spans="17:22" x14ac:dyDescent="0.15">
      <c r="Q261" s="75" t="str">
        <f t="shared" si="12"/>
        <v/>
      </c>
      <c r="T261" s="16" t="str">
        <f t="shared" si="13"/>
        <v/>
      </c>
      <c r="V261" s="16" t="str">
        <f t="shared" si="14"/>
        <v/>
      </c>
    </row>
    <row r="262" spans="17:22" x14ac:dyDescent="0.15">
      <c r="Q262" s="75" t="str">
        <f t="shared" si="12"/>
        <v/>
      </c>
      <c r="T262" s="16" t="str">
        <f t="shared" si="13"/>
        <v/>
      </c>
      <c r="V262" s="16" t="str">
        <f t="shared" si="14"/>
        <v/>
      </c>
    </row>
    <row r="263" spans="17:22" x14ac:dyDescent="0.15">
      <c r="Q263" s="75" t="str">
        <f t="shared" si="12"/>
        <v/>
      </c>
      <c r="T263" s="16" t="str">
        <f t="shared" si="13"/>
        <v/>
      </c>
      <c r="V263" s="16" t="str">
        <f t="shared" si="14"/>
        <v/>
      </c>
    </row>
    <row r="264" spans="17:22" x14ac:dyDescent="0.15">
      <c r="Q264" s="75" t="str">
        <f t="shared" si="12"/>
        <v/>
      </c>
      <c r="T264" s="16" t="str">
        <f t="shared" si="13"/>
        <v/>
      </c>
      <c r="V264" s="16" t="str">
        <f t="shared" si="14"/>
        <v/>
      </c>
    </row>
    <row r="265" spans="17:22" x14ac:dyDescent="0.15">
      <c r="Q265" s="75" t="str">
        <f t="shared" si="12"/>
        <v/>
      </c>
      <c r="T265" s="16" t="str">
        <f t="shared" si="13"/>
        <v/>
      </c>
      <c r="V265" s="16" t="str">
        <f t="shared" si="14"/>
        <v/>
      </c>
    </row>
    <row r="266" spans="17:22" x14ac:dyDescent="0.15">
      <c r="Q266" s="75" t="str">
        <f t="shared" si="12"/>
        <v/>
      </c>
      <c r="T266" s="16" t="str">
        <f t="shared" si="13"/>
        <v/>
      </c>
      <c r="V266" s="16" t="str">
        <f t="shared" si="14"/>
        <v/>
      </c>
    </row>
    <row r="267" spans="17:22" x14ac:dyDescent="0.15">
      <c r="Q267" s="75" t="str">
        <f t="shared" si="12"/>
        <v/>
      </c>
      <c r="T267" s="16" t="str">
        <f t="shared" si="13"/>
        <v/>
      </c>
      <c r="V267" s="16" t="str">
        <f t="shared" si="14"/>
        <v/>
      </c>
    </row>
    <row r="268" spans="17:22" x14ac:dyDescent="0.15">
      <c r="Q268" s="75" t="str">
        <f t="shared" si="12"/>
        <v/>
      </c>
      <c r="T268" s="16" t="str">
        <f t="shared" si="13"/>
        <v/>
      </c>
      <c r="V268" s="16" t="str">
        <f t="shared" si="14"/>
        <v/>
      </c>
    </row>
    <row r="269" spans="17:22" x14ac:dyDescent="0.15">
      <c r="Q269" s="75" t="str">
        <f t="shared" si="12"/>
        <v/>
      </c>
      <c r="T269" s="16" t="str">
        <f t="shared" si="13"/>
        <v/>
      </c>
      <c r="V269" s="16" t="str">
        <f t="shared" si="14"/>
        <v/>
      </c>
    </row>
    <row r="270" spans="17:22" x14ac:dyDescent="0.15">
      <c r="Q270" s="75" t="str">
        <f t="shared" si="12"/>
        <v/>
      </c>
      <c r="T270" s="16" t="str">
        <f t="shared" si="13"/>
        <v/>
      </c>
      <c r="V270" s="16" t="str">
        <f t="shared" si="14"/>
        <v/>
      </c>
    </row>
    <row r="271" spans="17:22" x14ac:dyDescent="0.15">
      <c r="Q271" s="75" t="str">
        <f t="shared" si="12"/>
        <v/>
      </c>
      <c r="T271" s="16" t="str">
        <f t="shared" si="13"/>
        <v/>
      </c>
      <c r="V271" s="16" t="str">
        <f t="shared" si="14"/>
        <v/>
      </c>
    </row>
    <row r="272" spans="17:22" x14ac:dyDescent="0.15">
      <c r="Q272" s="75" t="str">
        <f t="shared" si="12"/>
        <v/>
      </c>
      <c r="T272" s="16" t="str">
        <f t="shared" si="13"/>
        <v/>
      </c>
      <c r="V272" s="16" t="str">
        <f t="shared" si="14"/>
        <v/>
      </c>
    </row>
    <row r="273" spans="17:22" x14ac:dyDescent="0.15">
      <c r="Q273" s="75" t="str">
        <f t="shared" si="12"/>
        <v/>
      </c>
      <c r="T273" s="16" t="str">
        <f t="shared" si="13"/>
        <v/>
      </c>
      <c r="V273" s="16" t="str">
        <f t="shared" si="14"/>
        <v/>
      </c>
    </row>
    <row r="274" spans="17:22" x14ac:dyDescent="0.15">
      <c r="Q274" s="75" t="str">
        <f t="shared" ref="Q274:Q337" si="15">IF(OR(O274="",P274=""),"",AVERAGE(O274,P274))</f>
        <v/>
      </c>
      <c r="T274" s="16" t="str">
        <f t="shared" ref="T274:T337" si="16">IF(H274="","",IF(OR(H274="GREEN",H274="GK"),IF(S274&gt;=$AX$2,VLOOKUP(S274,$AX$2:$AY$10,2,1),""),IF(S274&gt;=$AZ$2,VLOOKUP(S274,$AZ$2:$BA$10,2,1),"")))</f>
        <v/>
      </c>
      <c r="V274" s="16" t="str">
        <f t="shared" ref="V274:V337" si="17">IF(OR(N274="",U274="",T274=""),"",U274/N274*T274)</f>
        <v/>
      </c>
    </row>
    <row r="275" spans="17:22" x14ac:dyDescent="0.15">
      <c r="Q275" s="75" t="str">
        <f t="shared" si="15"/>
        <v/>
      </c>
      <c r="T275" s="16" t="str">
        <f t="shared" si="16"/>
        <v/>
      </c>
      <c r="V275" s="16" t="str">
        <f t="shared" si="17"/>
        <v/>
      </c>
    </row>
    <row r="276" spans="17:22" x14ac:dyDescent="0.15">
      <c r="Q276" s="75" t="str">
        <f t="shared" si="15"/>
        <v/>
      </c>
      <c r="T276" s="16" t="str">
        <f t="shared" si="16"/>
        <v/>
      </c>
      <c r="V276" s="16" t="str">
        <f t="shared" si="17"/>
        <v/>
      </c>
    </row>
    <row r="277" spans="17:22" x14ac:dyDescent="0.15">
      <c r="Q277" s="75" t="str">
        <f t="shared" si="15"/>
        <v/>
      </c>
      <c r="T277" s="16" t="str">
        <f t="shared" si="16"/>
        <v/>
      </c>
      <c r="V277" s="16" t="str">
        <f t="shared" si="17"/>
        <v/>
      </c>
    </row>
    <row r="278" spans="17:22" x14ac:dyDescent="0.15">
      <c r="Q278" s="75" t="str">
        <f t="shared" si="15"/>
        <v/>
      </c>
      <c r="T278" s="16" t="str">
        <f t="shared" si="16"/>
        <v/>
      </c>
      <c r="V278" s="16" t="str">
        <f t="shared" si="17"/>
        <v/>
      </c>
    </row>
    <row r="279" spans="17:22" x14ac:dyDescent="0.15">
      <c r="Q279" s="75" t="str">
        <f t="shared" si="15"/>
        <v/>
      </c>
      <c r="T279" s="16" t="str">
        <f t="shared" si="16"/>
        <v/>
      </c>
      <c r="V279" s="16" t="str">
        <f t="shared" si="17"/>
        <v/>
      </c>
    </row>
    <row r="280" spans="17:22" x14ac:dyDescent="0.15">
      <c r="Q280" s="75" t="str">
        <f t="shared" si="15"/>
        <v/>
      </c>
      <c r="T280" s="16" t="str">
        <f t="shared" si="16"/>
        <v/>
      </c>
      <c r="V280" s="16" t="str">
        <f t="shared" si="17"/>
        <v/>
      </c>
    </row>
    <row r="281" spans="17:22" x14ac:dyDescent="0.15">
      <c r="Q281" s="75" t="str">
        <f t="shared" si="15"/>
        <v/>
      </c>
      <c r="T281" s="16" t="str">
        <f t="shared" si="16"/>
        <v/>
      </c>
      <c r="V281" s="16" t="str">
        <f t="shared" si="17"/>
        <v/>
      </c>
    </row>
    <row r="282" spans="17:22" x14ac:dyDescent="0.15">
      <c r="Q282" s="75" t="str">
        <f t="shared" si="15"/>
        <v/>
      </c>
      <c r="T282" s="16" t="str">
        <f t="shared" si="16"/>
        <v/>
      </c>
      <c r="V282" s="16" t="str">
        <f t="shared" si="17"/>
        <v/>
      </c>
    </row>
    <row r="283" spans="17:22" x14ac:dyDescent="0.15">
      <c r="Q283" s="75" t="str">
        <f t="shared" si="15"/>
        <v/>
      </c>
      <c r="T283" s="16" t="str">
        <f t="shared" si="16"/>
        <v/>
      </c>
      <c r="V283" s="16" t="str">
        <f t="shared" si="17"/>
        <v/>
      </c>
    </row>
    <row r="284" spans="17:22" x14ac:dyDescent="0.15">
      <c r="Q284" s="75" t="str">
        <f t="shared" si="15"/>
        <v/>
      </c>
      <c r="T284" s="16" t="str">
        <f t="shared" si="16"/>
        <v/>
      </c>
      <c r="V284" s="16" t="str">
        <f t="shared" si="17"/>
        <v/>
      </c>
    </row>
    <row r="285" spans="17:22" x14ac:dyDescent="0.15">
      <c r="Q285" s="75" t="str">
        <f t="shared" si="15"/>
        <v/>
      </c>
      <c r="T285" s="16" t="str">
        <f t="shared" si="16"/>
        <v/>
      </c>
      <c r="V285" s="16" t="str">
        <f t="shared" si="17"/>
        <v/>
      </c>
    </row>
    <row r="286" spans="17:22" x14ac:dyDescent="0.15">
      <c r="Q286" s="75" t="str">
        <f t="shared" si="15"/>
        <v/>
      </c>
      <c r="T286" s="16" t="str">
        <f t="shared" si="16"/>
        <v/>
      </c>
      <c r="V286" s="16" t="str">
        <f t="shared" si="17"/>
        <v/>
      </c>
    </row>
    <row r="287" spans="17:22" x14ac:dyDescent="0.15">
      <c r="Q287" s="75" t="str">
        <f t="shared" si="15"/>
        <v/>
      </c>
      <c r="T287" s="16" t="str">
        <f t="shared" si="16"/>
        <v/>
      </c>
      <c r="V287" s="16" t="str">
        <f t="shared" si="17"/>
        <v/>
      </c>
    </row>
    <row r="288" spans="17:22" x14ac:dyDescent="0.15">
      <c r="Q288" s="75" t="str">
        <f t="shared" si="15"/>
        <v/>
      </c>
      <c r="T288" s="16" t="str">
        <f t="shared" si="16"/>
        <v/>
      </c>
      <c r="V288" s="16" t="str">
        <f t="shared" si="17"/>
        <v/>
      </c>
    </row>
    <row r="289" spans="17:22" x14ac:dyDescent="0.15">
      <c r="Q289" s="75" t="str">
        <f t="shared" si="15"/>
        <v/>
      </c>
      <c r="T289" s="16" t="str">
        <f t="shared" si="16"/>
        <v/>
      </c>
      <c r="V289" s="16" t="str">
        <f t="shared" si="17"/>
        <v/>
      </c>
    </row>
    <row r="290" spans="17:22" x14ac:dyDescent="0.15">
      <c r="Q290" s="75" t="str">
        <f t="shared" si="15"/>
        <v/>
      </c>
      <c r="T290" s="16" t="str">
        <f t="shared" si="16"/>
        <v/>
      </c>
      <c r="V290" s="16" t="str">
        <f t="shared" si="17"/>
        <v/>
      </c>
    </row>
    <row r="291" spans="17:22" x14ac:dyDescent="0.15">
      <c r="Q291" s="75" t="str">
        <f t="shared" si="15"/>
        <v/>
      </c>
      <c r="T291" s="16" t="str">
        <f t="shared" si="16"/>
        <v/>
      </c>
      <c r="V291" s="16" t="str">
        <f t="shared" si="17"/>
        <v/>
      </c>
    </row>
    <row r="292" spans="17:22" x14ac:dyDescent="0.15">
      <c r="Q292" s="75" t="str">
        <f t="shared" si="15"/>
        <v/>
      </c>
      <c r="T292" s="16" t="str">
        <f t="shared" si="16"/>
        <v/>
      </c>
      <c r="V292" s="16" t="str">
        <f t="shared" si="17"/>
        <v/>
      </c>
    </row>
    <row r="293" spans="17:22" x14ac:dyDescent="0.15">
      <c r="Q293" s="75" t="str">
        <f t="shared" si="15"/>
        <v/>
      </c>
      <c r="T293" s="16" t="str">
        <f t="shared" si="16"/>
        <v/>
      </c>
      <c r="V293" s="16" t="str">
        <f t="shared" si="17"/>
        <v/>
      </c>
    </row>
    <row r="294" spans="17:22" x14ac:dyDescent="0.15">
      <c r="Q294" s="75" t="str">
        <f t="shared" si="15"/>
        <v/>
      </c>
      <c r="T294" s="16" t="str">
        <f t="shared" si="16"/>
        <v/>
      </c>
      <c r="V294" s="16" t="str">
        <f t="shared" si="17"/>
        <v/>
      </c>
    </row>
    <row r="295" spans="17:22" x14ac:dyDescent="0.15">
      <c r="Q295" s="75" t="str">
        <f t="shared" si="15"/>
        <v/>
      </c>
      <c r="T295" s="16" t="str">
        <f t="shared" si="16"/>
        <v/>
      </c>
      <c r="V295" s="16" t="str">
        <f t="shared" si="17"/>
        <v/>
      </c>
    </row>
    <row r="296" spans="17:22" x14ac:dyDescent="0.15">
      <c r="Q296" s="75" t="str">
        <f t="shared" si="15"/>
        <v/>
      </c>
      <c r="T296" s="16" t="str">
        <f t="shared" si="16"/>
        <v/>
      </c>
      <c r="V296" s="16" t="str">
        <f t="shared" si="17"/>
        <v/>
      </c>
    </row>
    <row r="297" spans="17:22" x14ac:dyDescent="0.15">
      <c r="Q297" s="75" t="str">
        <f t="shared" si="15"/>
        <v/>
      </c>
      <c r="T297" s="16" t="str">
        <f t="shared" si="16"/>
        <v/>
      </c>
      <c r="V297" s="16" t="str">
        <f t="shared" si="17"/>
        <v/>
      </c>
    </row>
    <row r="298" spans="17:22" x14ac:dyDescent="0.15">
      <c r="Q298" s="75" t="str">
        <f t="shared" si="15"/>
        <v/>
      </c>
      <c r="T298" s="16" t="str">
        <f t="shared" si="16"/>
        <v/>
      </c>
      <c r="V298" s="16" t="str">
        <f t="shared" si="17"/>
        <v/>
      </c>
    </row>
    <row r="299" spans="17:22" x14ac:dyDescent="0.15">
      <c r="Q299" s="75" t="str">
        <f t="shared" si="15"/>
        <v/>
      </c>
      <c r="T299" s="16" t="str">
        <f t="shared" si="16"/>
        <v/>
      </c>
      <c r="V299" s="16" t="str">
        <f t="shared" si="17"/>
        <v/>
      </c>
    </row>
    <row r="300" spans="17:22" x14ac:dyDescent="0.15">
      <c r="Q300" s="75" t="str">
        <f t="shared" si="15"/>
        <v/>
      </c>
      <c r="T300" s="16" t="str">
        <f t="shared" si="16"/>
        <v/>
      </c>
      <c r="V300" s="16" t="str">
        <f t="shared" si="17"/>
        <v/>
      </c>
    </row>
    <row r="301" spans="17:22" x14ac:dyDescent="0.15">
      <c r="Q301" s="75" t="str">
        <f t="shared" si="15"/>
        <v/>
      </c>
      <c r="T301" s="16" t="str">
        <f t="shared" si="16"/>
        <v/>
      </c>
      <c r="V301" s="16" t="str">
        <f t="shared" si="17"/>
        <v/>
      </c>
    </row>
    <row r="302" spans="17:22" x14ac:dyDescent="0.15">
      <c r="Q302" s="75" t="str">
        <f t="shared" si="15"/>
        <v/>
      </c>
      <c r="T302" s="16" t="str">
        <f t="shared" si="16"/>
        <v/>
      </c>
      <c r="V302" s="16" t="str">
        <f t="shared" si="17"/>
        <v/>
      </c>
    </row>
    <row r="303" spans="17:22" x14ac:dyDescent="0.15">
      <c r="Q303" s="75" t="str">
        <f t="shared" si="15"/>
        <v/>
      </c>
      <c r="T303" s="16" t="str">
        <f t="shared" si="16"/>
        <v/>
      </c>
      <c r="V303" s="16" t="str">
        <f t="shared" si="17"/>
        <v/>
      </c>
    </row>
    <row r="304" spans="17:22" x14ac:dyDescent="0.15">
      <c r="Q304" s="75" t="str">
        <f t="shared" si="15"/>
        <v/>
      </c>
      <c r="T304" s="16" t="str">
        <f t="shared" si="16"/>
        <v/>
      </c>
      <c r="V304" s="16" t="str">
        <f t="shared" si="17"/>
        <v/>
      </c>
    </row>
    <row r="305" spans="17:22" x14ac:dyDescent="0.15">
      <c r="Q305" s="75" t="str">
        <f t="shared" si="15"/>
        <v/>
      </c>
      <c r="T305" s="16" t="str">
        <f t="shared" si="16"/>
        <v/>
      </c>
      <c r="V305" s="16" t="str">
        <f t="shared" si="17"/>
        <v/>
      </c>
    </row>
    <row r="306" spans="17:22" x14ac:dyDescent="0.15">
      <c r="Q306" s="75" t="str">
        <f t="shared" si="15"/>
        <v/>
      </c>
      <c r="T306" s="16" t="str">
        <f t="shared" si="16"/>
        <v/>
      </c>
      <c r="V306" s="16" t="str">
        <f t="shared" si="17"/>
        <v/>
      </c>
    </row>
    <row r="307" spans="17:22" x14ac:dyDescent="0.15">
      <c r="Q307" s="75" t="str">
        <f t="shared" si="15"/>
        <v/>
      </c>
      <c r="T307" s="16" t="str">
        <f t="shared" si="16"/>
        <v/>
      </c>
      <c r="V307" s="16" t="str">
        <f t="shared" si="17"/>
        <v/>
      </c>
    </row>
    <row r="308" spans="17:22" x14ac:dyDescent="0.15">
      <c r="Q308" s="75" t="str">
        <f t="shared" si="15"/>
        <v/>
      </c>
      <c r="T308" s="16" t="str">
        <f t="shared" si="16"/>
        <v/>
      </c>
      <c r="V308" s="16" t="str">
        <f t="shared" si="17"/>
        <v/>
      </c>
    </row>
    <row r="309" spans="17:22" x14ac:dyDescent="0.15">
      <c r="Q309" s="75" t="str">
        <f t="shared" si="15"/>
        <v/>
      </c>
      <c r="T309" s="16" t="str">
        <f t="shared" si="16"/>
        <v/>
      </c>
      <c r="V309" s="16" t="str">
        <f t="shared" si="17"/>
        <v/>
      </c>
    </row>
    <row r="310" spans="17:22" x14ac:dyDescent="0.15">
      <c r="Q310" s="75" t="str">
        <f t="shared" si="15"/>
        <v/>
      </c>
      <c r="T310" s="16" t="str">
        <f t="shared" si="16"/>
        <v/>
      </c>
      <c r="V310" s="16" t="str">
        <f t="shared" si="17"/>
        <v/>
      </c>
    </row>
    <row r="311" spans="17:22" x14ac:dyDescent="0.15">
      <c r="Q311" s="75" t="str">
        <f t="shared" si="15"/>
        <v/>
      </c>
      <c r="T311" s="16" t="str">
        <f t="shared" si="16"/>
        <v/>
      </c>
      <c r="V311" s="16" t="str">
        <f t="shared" si="17"/>
        <v/>
      </c>
    </row>
    <row r="312" spans="17:22" x14ac:dyDescent="0.15">
      <c r="Q312" s="75" t="str">
        <f t="shared" si="15"/>
        <v/>
      </c>
      <c r="T312" s="16" t="str">
        <f t="shared" si="16"/>
        <v/>
      </c>
      <c r="V312" s="16" t="str">
        <f t="shared" si="17"/>
        <v/>
      </c>
    </row>
    <row r="313" spans="17:22" x14ac:dyDescent="0.15">
      <c r="Q313" s="75" t="str">
        <f t="shared" si="15"/>
        <v/>
      </c>
      <c r="T313" s="16" t="str">
        <f t="shared" si="16"/>
        <v/>
      </c>
      <c r="V313" s="16" t="str">
        <f t="shared" si="17"/>
        <v/>
      </c>
    </row>
    <row r="314" spans="17:22" x14ac:dyDescent="0.15">
      <c r="Q314" s="75" t="str">
        <f t="shared" si="15"/>
        <v/>
      </c>
      <c r="T314" s="16" t="str">
        <f t="shared" si="16"/>
        <v/>
      </c>
      <c r="V314" s="16" t="str">
        <f t="shared" si="17"/>
        <v/>
      </c>
    </row>
    <row r="315" spans="17:22" x14ac:dyDescent="0.15">
      <c r="Q315" s="75" t="str">
        <f t="shared" si="15"/>
        <v/>
      </c>
      <c r="T315" s="16" t="str">
        <f t="shared" si="16"/>
        <v/>
      </c>
      <c r="V315" s="16" t="str">
        <f t="shared" si="17"/>
        <v/>
      </c>
    </row>
    <row r="316" spans="17:22" x14ac:dyDescent="0.15">
      <c r="Q316" s="75" t="str">
        <f t="shared" si="15"/>
        <v/>
      </c>
      <c r="T316" s="16" t="str">
        <f t="shared" si="16"/>
        <v/>
      </c>
      <c r="V316" s="16" t="str">
        <f t="shared" si="17"/>
        <v/>
      </c>
    </row>
    <row r="317" spans="17:22" x14ac:dyDescent="0.15">
      <c r="Q317" s="75" t="str">
        <f t="shared" si="15"/>
        <v/>
      </c>
      <c r="T317" s="16" t="str">
        <f t="shared" si="16"/>
        <v/>
      </c>
      <c r="V317" s="16" t="str">
        <f t="shared" si="17"/>
        <v/>
      </c>
    </row>
    <row r="318" spans="17:22" x14ac:dyDescent="0.15">
      <c r="Q318" s="75" t="str">
        <f t="shared" si="15"/>
        <v/>
      </c>
      <c r="T318" s="16" t="str">
        <f t="shared" si="16"/>
        <v/>
      </c>
      <c r="V318" s="16" t="str">
        <f t="shared" si="17"/>
        <v/>
      </c>
    </row>
    <row r="319" spans="17:22" x14ac:dyDescent="0.15">
      <c r="Q319" s="75" t="str">
        <f t="shared" si="15"/>
        <v/>
      </c>
      <c r="T319" s="16" t="str">
        <f t="shared" si="16"/>
        <v/>
      </c>
      <c r="V319" s="16" t="str">
        <f t="shared" si="17"/>
        <v/>
      </c>
    </row>
    <row r="320" spans="17:22" x14ac:dyDescent="0.15">
      <c r="Q320" s="75" t="str">
        <f t="shared" si="15"/>
        <v/>
      </c>
      <c r="T320" s="16" t="str">
        <f t="shared" si="16"/>
        <v/>
      </c>
      <c r="V320" s="16" t="str">
        <f t="shared" si="17"/>
        <v/>
      </c>
    </row>
    <row r="321" spans="17:22" x14ac:dyDescent="0.15">
      <c r="Q321" s="75" t="str">
        <f t="shared" si="15"/>
        <v/>
      </c>
      <c r="T321" s="16" t="str">
        <f t="shared" si="16"/>
        <v/>
      </c>
      <c r="V321" s="16" t="str">
        <f t="shared" si="17"/>
        <v/>
      </c>
    </row>
    <row r="322" spans="17:22" x14ac:dyDescent="0.15">
      <c r="Q322" s="75" t="str">
        <f t="shared" si="15"/>
        <v/>
      </c>
      <c r="T322" s="16" t="str">
        <f t="shared" si="16"/>
        <v/>
      </c>
      <c r="V322" s="16" t="str">
        <f t="shared" si="17"/>
        <v/>
      </c>
    </row>
    <row r="323" spans="17:22" x14ac:dyDescent="0.15">
      <c r="Q323" s="75" t="str">
        <f t="shared" si="15"/>
        <v/>
      </c>
      <c r="T323" s="16" t="str">
        <f t="shared" si="16"/>
        <v/>
      </c>
      <c r="V323" s="16" t="str">
        <f t="shared" si="17"/>
        <v/>
      </c>
    </row>
    <row r="324" spans="17:22" x14ac:dyDescent="0.15">
      <c r="Q324" s="75" t="str">
        <f t="shared" si="15"/>
        <v/>
      </c>
      <c r="T324" s="16" t="str">
        <f t="shared" si="16"/>
        <v/>
      </c>
      <c r="V324" s="16" t="str">
        <f t="shared" si="17"/>
        <v/>
      </c>
    </row>
    <row r="325" spans="17:22" x14ac:dyDescent="0.15">
      <c r="Q325" s="75" t="str">
        <f t="shared" si="15"/>
        <v/>
      </c>
      <c r="T325" s="16" t="str">
        <f t="shared" si="16"/>
        <v/>
      </c>
      <c r="V325" s="16" t="str">
        <f t="shared" si="17"/>
        <v/>
      </c>
    </row>
    <row r="326" spans="17:22" x14ac:dyDescent="0.15">
      <c r="Q326" s="75" t="str">
        <f t="shared" si="15"/>
        <v/>
      </c>
      <c r="T326" s="16" t="str">
        <f t="shared" si="16"/>
        <v/>
      </c>
      <c r="V326" s="16" t="str">
        <f t="shared" si="17"/>
        <v/>
      </c>
    </row>
    <row r="327" spans="17:22" x14ac:dyDescent="0.15">
      <c r="Q327" s="75" t="str">
        <f t="shared" si="15"/>
        <v/>
      </c>
      <c r="T327" s="16" t="str">
        <f t="shared" si="16"/>
        <v/>
      </c>
      <c r="V327" s="16" t="str">
        <f t="shared" si="17"/>
        <v/>
      </c>
    </row>
    <row r="328" spans="17:22" x14ac:dyDescent="0.15">
      <c r="Q328" s="75" t="str">
        <f t="shared" si="15"/>
        <v/>
      </c>
      <c r="T328" s="16" t="str">
        <f t="shared" si="16"/>
        <v/>
      </c>
      <c r="V328" s="16" t="str">
        <f t="shared" si="17"/>
        <v/>
      </c>
    </row>
    <row r="329" spans="17:22" x14ac:dyDescent="0.15">
      <c r="Q329" s="75" t="str">
        <f t="shared" si="15"/>
        <v/>
      </c>
      <c r="T329" s="16" t="str">
        <f t="shared" si="16"/>
        <v/>
      </c>
      <c r="V329" s="16" t="str">
        <f t="shared" si="17"/>
        <v/>
      </c>
    </row>
    <row r="330" spans="17:22" x14ac:dyDescent="0.15">
      <c r="Q330" s="75" t="str">
        <f t="shared" si="15"/>
        <v/>
      </c>
      <c r="T330" s="16" t="str">
        <f t="shared" si="16"/>
        <v/>
      </c>
      <c r="V330" s="16" t="str">
        <f t="shared" si="17"/>
        <v/>
      </c>
    </row>
    <row r="331" spans="17:22" x14ac:dyDescent="0.15">
      <c r="Q331" s="75" t="str">
        <f t="shared" si="15"/>
        <v/>
      </c>
      <c r="T331" s="16" t="str">
        <f t="shared" si="16"/>
        <v/>
      </c>
      <c r="V331" s="16" t="str">
        <f t="shared" si="17"/>
        <v/>
      </c>
    </row>
    <row r="332" spans="17:22" x14ac:dyDescent="0.15">
      <c r="Q332" s="75" t="str">
        <f t="shared" si="15"/>
        <v/>
      </c>
      <c r="T332" s="16" t="str">
        <f t="shared" si="16"/>
        <v/>
      </c>
      <c r="V332" s="16" t="str">
        <f t="shared" si="17"/>
        <v/>
      </c>
    </row>
    <row r="333" spans="17:22" x14ac:dyDescent="0.15">
      <c r="Q333" s="75" t="str">
        <f t="shared" si="15"/>
        <v/>
      </c>
      <c r="T333" s="16" t="str">
        <f t="shared" si="16"/>
        <v/>
      </c>
      <c r="V333" s="16" t="str">
        <f t="shared" si="17"/>
        <v/>
      </c>
    </row>
    <row r="334" spans="17:22" x14ac:dyDescent="0.15">
      <c r="Q334" s="75" t="str">
        <f t="shared" si="15"/>
        <v/>
      </c>
      <c r="T334" s="16" t="str">
        <f t="shared" si="16"/>
        <v/>
      </c>
      <c r="V334" s="16" t="str">
        <f t="shared" si="17"/>
        <v/>
      </c>
    </row>
    <row r="335" spans="17:22" x14ac:dyDescent="0.15">
      <c r="Q335" s="75" t="str">
        <f t="shared" si="15"/>
        <v/>
      </c>
      <c r="T335" s="16" t="str">
        <f t="shared" si="16"/>
        <v/>
      </c>
      <c r="V335" s="16" t="str">
        <f t="shared" si="17"/>
        <v/>
      </c>
    </row>
    <row r="336" spans="17:22" x14ac:dyDescent="0.15">
      <c r="Q336" s="75" t="str">
        <f t="shared" si="15"/>
        <v/>
      </c>
      <c r="T336" s="16" t="str">
        <f t="shared" si="16"/>
        <v/>
      </c>
      <c r="V336" s="16" t="str">
        <f t="shared" si="17"/>
        <v/>
      </c>
    </row>
    <row r="337" spans="17:22" x14ac:dyDescent="0.15">
      <c r="Q337" s="75" t="str">
        <f t="shared" si="15"/>
        <v/>
      </c>
      <c r="T337" s="16" t="str">
        <f t="shared" si="16"/>
        <v/>
      </c>
      <c r="V337" s="16" t="str">
        <f t="shared" si="17"/>
        <v/>
      </c>
    </row>
    <row r="338" spans="17:22" x14ac:dyDescent="0.15">
      <c r="Q338" s="75" t="str">
        <f t="shared" ref="Q338:Q396" si="18">IF(OR(O338="",P338=""),"",AVERAGE(O338,P338))</f>
        <v/>
      </c>
      <c r="T338" s="16" t="str">
        <f t="shared" ref="T338:T396" si="19">IF(H338="","",IF(OR(H338="GREEN",H338="GK"),IF(S338&gt;=$AX$2,VLOOKUP(S338,$AX$2:$AY$10,2,1),""),IF(S338&gt;=$AZ$2,VLOOKUP(S338,$AZ$2:$BA$10,2,1),"")))</f>
        <v/>
      </c>
      <c r="V338" s="16" t="str">
        <f t="shared" ref="V338:V401" si="20">IF(OR(N338="",U338="",T338=""),"",U338/N338*T338)</f>
        <v/>
      </c>
    </row>
    <row r="339" spans="17:22" x14ac:dyDescent="0.15">
      <c r="Q339" s="75" t="str">
        <f t="shared" si="18"/>
        <v/>
      </c>
      <c r="T339" s="16" t="str">
        <f t="shared" si="19"/>
        <v/>
      </c>
      <c r="V339" s="16" t="str">
        <f t="shared" si="20"/>
        <v/>
      </c>
    </row>
    <row r="340" spans="17:22" x14ac:dyDescent="0.15">
      <c r="Q340" s="75" t="str">
        <f t="shared" si="18"/>
        <v/>
      </c>
      <c r="T340" s="16" t="str">
        <f t="shared" si="19"/>
        <v/>
      </c>
      <c r="V340" s="16" t="str">
        <f t="shared" si="20"/>
        <v/>
      </c>
    </row>
    <row r="341" spans="17:22" x14ac:dyDescent="0.15">
      <c r="Q341" s="75" t="str">
        <f t="shared" si="18"/>
        <v/>
      </c>
      <c r="T341" s="16" t="str">
        <f t="shared" si="19"/>
        <v/>
      </c>
      <c r="V341" s="16" t="str">
        <f t="shared" si="20"/>
        <v/>
      </c>
    </row>
    <row r="342" spans="17:22" x14ac:dyDescent="0.15">
      <c r="Q342" s="75" t="str">
        <f t="shared" si="18"/>
        <v/>
      </c>
      <c r="T342" s="16" t="str">
        <f t="shared" si="19"/>
        <v/>
      </c>
      <c r="V342" s="16" t="str">
        <f t="shared" si="20"/>
        <v/>
      </c>
    </row>
    <row r="343" spans="17:22" x14ac:dyDescent="0.15">
      <c r="Q343" s="75" t="str">
        <f t="shared" si="18"/>
        <v/>
      </c>
      <c r="T343" s="16" t="str">
        <f t="shared" si="19"/>
        <v/>
      </c>
      <c r="V343" s="16" t="str">
        <f t="shared" si="20"/>
        <v/>
      </c>
    </row>
    <row r="344" spans="17:22" x14ac:dyDescent="0.15">
      <c r="Q344" s="75" t="str">
        <f t="shared" si="18"/>
        <v/>
      </c>
      <c r="T344" s="16" t="str">
        <f t="shared" si="19"/>
        <v/>
      </c>
      <c r="V344" s="16" t="str">
        <f t="shared" si="20"/>
        <v/>
      </c>
    </row>
    <row r="345" spans="17:22" x14ac:dyDescent="0.15">
      <c r="Q345" s="75" t="str">
        <f t="shared" si="18"/>
        <v/>
      </c>
      <c r="T345" s="16" t="str">
        <f t="shared" si="19"/>
        <v/>
      </c>
      <c r="V345" s="16" t="str">
        <f t="shared" si="20"/>
        <v/>
      </c>
    </row>
    <row r="346" spans="17:22" x14ac:dyDescent="0.15">
      <c r="Q346" s="75" t="str">
        <f t="shared" si="18"/>
        <v/>
      </c>
      <c r="T346" s="16" t="str">
        <f t="shared" si="19"/>
        <v/>
      </c>
      <c r="V346" s="16" t="str">
        <f t="shared" si="20"/>
        <v/>
      </c>
    </row>
    <row r="347" spans="17:22" x14ac:dyDescent="0.15">
      <c r="Q347" s="75" t="str">
        <f t="shared" si="18"/>
        <v/>
      </c>
      <c r="T347" s="16" t="str">
        <f t="shared" si="19"/>
        <v/>
      </c>
      <c r="V347" s="16" t="str">
        <f t="shared" si="20"/>
        <v/>
      </c>
    </row>
    <row r="348" spans="17:22" x14ac:dyDescent="0.15">
      <c r="T348" s="16" t="str">
        <f t="shared" si="19"/>
        <v/>
      </c>
      <c r="V348" s="16" t="str">
        <f t="shared" si="20"/>
        <v/>
      </c>
    </row>
    <row r="349" spans="17:22" x14ac:dyDescent="0.15">
      <c r="T349" s="16" t="str">
        <f t="shared" si="19"/>
        <v/>
      </c>
      <c r="V349" s="16" t="str">
        <f t="shared" si="20"/>
        <v/>
      </c>
    </row>
    <row r="350" spans="17:22" x14ac:dyDescent="0.15">
      <c r="T350" s="16" t="str">
        <f t="shared" si="19"/>
        <v/>
      </c>
      <c r="V350" s="16" t="str">
        <f t="shared" si="20"/>
        <v/>
      </c>
    </row>
    <row r="351" spans="17:22" x14ac:dyDescent="0.15">
      <c r="T351" s="16" t="str">
        <f t="shared" si="19"/>
        <v/>
      </c>
      <c r="V351" s="16" t="str">
        <f t="shared" si="20"/>
        <v/>
      </c>
    </row>
    <row r="352" spans="17:22" x14ac:dyDescent="0.15">
      <c r="T352" s="16" t="str">
        <f t="shared" si="19"/>
        <v/>
      </c>
      <c r="V352" s="16" t="str">
        <f t="shared" si="20"/>
        <v/>
      </c>
    </row>
    <row r="353" spans="20:22" x14ac:dyDescent="0.15">
      <c r="T353" s="16" t="str">
        <f t="shared" si="19"/>
        <v/>
      </c>
      <c r="V353" s="16" t="str">
        <f t="shared" si="20"/>
        <v/>
      </c>
    </row>
    <row r="354" spans="20:22" x14ac:dyDescent="0.15">
      <c r="T354" s="16" t="str">
        <f t="shared" si="19"/>
        <v/>
      </c>
      <c r="V354" s="16" t="str">
        <f t="shared" si="20"/>
        <v/>
      </c>
    </row>
    <row r="355" spans="20:22" x14ac:dyDescent="0.15">
      <c r="T355" s="16" t="str">
        <f t="shared" si="19"/>
        <v/>
      </c>
      <c r="V355" s="16" t="str">
        <f t="shared" si="20"/>
        <v/>
      </c>
    </row>
    <row r="356" spans="20:22" x14ac:dyDescent="0.15">
      <c r="T356" s="16" t="str">
        <f t="shared" si="19"/>
        <v/>
      </c>
    </row>
    <row r="357" spans="20:22" x14ac:dyDescent="0.15">
      <c r="T357" s="16" t="str">
        <f t="shared" si="19"/>
        <v/>
      </c>
    </row>
    <row r="358" spans="20:22" x14ac:dyDescent="0.15">
      <c r="T358" s="16" t="str">
        <f t="shared" si="19"/>
        <v/>
      </c>
    </row>
    <row r="359" spans="20:22" x14ac:dyDescent="0.15">
      <c r="T359" s="16" t="str">
        <f t="shared" si="19"/>
        <v/>
      </c>
    </row>
    <row r="360" spans="20:22" x14ac:dyDescent="0.15">
      <c r="T360" s="16" t="str">
        <f t="shared" si="19"/>
        <v/>
      </c>
    </row>
    <row r="361" spans="20:22" x14ac:dyDescent="0.15">
      <c r="T361" s="16" t="str">
        <f t="shared" si="19"/>
        <v/>
      </c>
    </row>
    <row r="362" spans="20:22" x14ac:dyDescent="0.15">
      <c r="T362" s="16" t="str">
        <f t="shared" si="19"/>
        <v/>
      </c>
    </row>
    <row r="363" spans="20:22" x14ac:dyDescent="0.15">
      <c r="T363" s="16" t="str">
        <f t="shared" si="19"/>
        <v/>
      </c>
    </row>
    <row r="364" spans="20:22" x14ac:dyDescent="0.15">
      <c r="T364" s="16" t="str">
        <f t="shared" si="19"/>
        <v/>
      </c>
    </row>
    <row r="365" spans="20:22" x14ac:dyDescent="0.15">
      <c r="T365" s="16" t="str">
        <f t="shared" si="19"/>
        <v/>
      </c>
    </row>
    <row r="366" spans="20:22" x14ac:dyDescent="0.15">
      <c r="T366" s="16" t="str">
        <f t="shared" si="19"/>
        <v/>
      </c>
    </row>
    <row r="367" spans="20:22" x14ac:dyDescent="0.15">
      <c r="T367" s="16" t="str">
        <f t="shared" si="19"/>
        <v/>
      </c>
    </row>
    <row r="368" spans="20:22" x14ac:dyDescent="0.15">
      <c r="T368" s="16" t="str">
        <f t="shared" si="19"/>
        <v/>
      </c>
    </row>
    <row r="369" spans="20:20" x14ac:dyDescent="0.15">
      <c r="T369" s="16" t="str">
        <f t="shared" si="19"/>
        <v/>
      </c>
    </row>
    <row r="370" spans="20:20" x14ac:dyDescent="0.15">
      <c r="T370" s="16" t="str">
        <f t="shared" si="19"/>
        <v/>
      </c>
    </row>
    <row r="371" spans="20:20" x14ac:dyDescent="0.15">
      <c r="T371" s="16" t="str">
        <f t="shared" si="19"/>
        <v/>
      </c>
    </row>
    <row r="372" spans="20:20" x14ac:dyDescent="0.15">
      <c r="T372" s="16" t="str">
        <f t="shared" si="19"/>
        <v/>
      </c>
    </row>
    <row r="373" spans="20:20" x14ac:dyDescent="0.15">
      <c r="T373" s="16" t="str">
        <f t="shared" si="19"/>
        <v/>
      </c>
    </row>
    <row r="374" spans="20:20" x14ac:dyDescent="0.15">
      <c r="T374" s="16" t="str">
        <f t="shared" si="19"/>
        <v/>
      </c>
    </row>
    <row r="375" spans="20:20" x14ac:dyDescent="0.15">
      <c r="T375" s="16" t="str">
        <f t="shared" si="19"/>
        <v/>
      </c>
    </row>
  </sheetData>
  <autoFilter ref="A1:BA375" xr:uid="{00000000-0009-0000-0000-000001000000}"/>
  <phoneticPr fontId="3"/>
  <dataValidations count="14">
    <dataValidation type="list" allowBlank="1" showInputMessage="1" showErrorMessage="1" sqref="X2:X331" xr:uid="{92E5B9F3-5399-4819-9A28-203245ABCD8F}">
      <formula1>$AT$2:$AT$3</formula1>
    </dataValidation>
    <dataValidation type="decimal" allowBlank="1" showInputMessage="1" showErrorMessage="1" error="硬度を正しく入力して下さい。" sqref="O2:P331" xr:uid="{81FB7556-F8C4-4F6F-97A2-871BF791CB74}">
      <formula1>0</formula1>
      <formula2>7</formula2>
    </dataValidation>
    <dataValidation type="list" allowBlank="1" showInputMessage="1" showErrorMessage="1" sqref="K2:K147" xr:uid="{84F4EC24-8AB3-4738-B0DA-63536C75E533}">
      <formula1>$AR$2:$AR$23</formula1>
    </dataValidation>
    <dataValidation type="list" allowBlank="1" showInputMessage="1" showErrorMessage="1" sqref="H2:H331" xr:uid="{15817C73-D865-4363-802C-391D144B0FFD}">
      <formula1>$AL$2:$AL$8</formula1>
    </dataValidation>
    <dataValidation type="list" allowBlank="1" showInputMessage="1" showErrorMessage="1" sqref="G2:G331" xr:uid="{8CE65643-C291-4654-A4FB-A2F03FABBA28}">
      <formula1>$AJ$2:$AJ$4</formula1>
    </dataValidation>
    <dataValidation type="list" allowBlank="1" showInputMessage="1" showErrorMessage="1" sqref="I2:I331" xr:uid="{7961F699-5DA8-4669-B465-AED865DE15C1}">
      <formula1>$AN$5:$AN$6</formula1>
    </dataValidation>
    <dataValidation allowBlank="1" showInputMessage="1" showErrorMessage="1" sqref="B2:B142" xr:uid="{B6DDF385-6658-4D9D-BB1F-84D7C0AE1673}"/>
    <dataValidation type="list" allowBlank="1" showInputMessage="1" showErrorMessage="1" sqref="E1:E65485" xr:uid="{0AB0E8BE-9B53-4A7D-85D3-054C4592F200}">
      <formula1>$AG$2:$AG$11</formula1>
    </dataValidation>
    <dataValidation type="list" allowBlank="1" showInputMessage="1" showErrorMessage="1" sqref="J2:J331" xr:uid="{6FCA5908-8A66-4485-9010-3850DD4B641B}">
      <formula1>$AP$2:$AP$19</formula1>
    </dataValidation>
    <dataValidation type="list" allowBlank="1" showInputMessage="1" showErrorMessage="1" sqref="F1:F65485" xr:uid="{E017BE9D-6FDC-470F-B7DD-F965BEFB7B8E}">
      <formula1>$AH$2:$AH$11</formula1>
    </dataValidation>
    <dataValidation type="list" allowBlank="1" showInputMessage="1" showErrorMessage="1" sqref="Y2:AA142" xr:uid="{6B24B540-3EF2-45DD-8600-3F0C4B237ED1}">
      <formula1>$AV$2:$AV$23</formula1>
    </dataValidation>
    <dataValidation type="list" allowBlank="1" showInputMessage="1" showErrorMessage="1" sqref="A2:A331" xr:uid="{4301E5A6-6D9C-44A0-8AF4-57FA5727FD2B}">
      <formula1>$AE$2:$AE$16</formula1>
    </dataValidation>
    <dataValidation type="list" allowBlank="1" showInputMessage="1" showErrorMessage="1" sqref="Y143:AA331" xr:uid="{972EB76C-D33D-4232-AAF2-467732388619}">
      <formula1>$AV$2:$AV$16</formula1>
    </dataValidation>
    <dataValidation type="list" allowBlank="1" showInputMessage="1" showErrorMessage="1" sqref="K148:K331" xr:uid="{96A80ABA-E895-43DC-9733-860A417AF5E5}">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794C7-146D-4AFF-AD91-959741086E4D}">
  <dimension ref="A1:BA82"/>
  <sheetViews>
    <sheetView zoomScale="70" zoomScaleNormal="70" workbookViewId="0">
      <selection activeCell="D2" sqref="D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233</v>
      </c>
      <c r="C2" s="53">
        <v>2019</v>
      </c>
      <c r="D2" s="81" t="s">
        <v>234</v>
      </c>
      <c r="E2" s="53" t="s">
        <v>235</v>
      </c>
      <c r="F2" s="53" t="s">
        <v>236</v>
      </c>
      <c r="G2" s="53" t="s">
        <v>42</v>
      </c>
      <c r="H2" s="53" t="s">
        <v>164</v>
      </c>
      <c r="I2" s="53" t="s">
        <v>198</v>
      </c>
      <c r="J2" s="53" t="s">
        <v>38</v>
      </c>
      <c r="K2" s="53" t="s">
        <v>161</v>
      </c>
      <c r="L2" s="53">
        <v>1</v>
      </c>
      <c r="N2" s="53">
        <v>5</v>
      </c>
      <c r="O2" s="53">
        <v>0.75</v>
      </c>
      <c r="P2" s="53">
        <v>0.75</v>
      </c>
      <c r="Q2" s="75">
        <f t="shared" ref="Q2:Q58" si="0">IF(OR(O2="",P2=""),"",AVERAGE(O2,P2))</f>
        <v>0.75</v>
      </c>
      <c r="R2" s="53">
        <v>15.4</v>
      </c>
      <c r="S2" s="53">
        <v>96</v>
      </c>
      <c r="T2" s="16">
        <f t="shared" ref="T2:T58" si="1">IF(H2="","",IF(OR(H2="GREEN",H2="GK"),IF(S2&gt;=$AX$2,VLOOKUP(S2,$AX$2:$AY$10,2,1),""),IF(S2&gt;=$AZ$2,VLOOKUP(S2,$AZ$2:$BA$10,2,1),"")))</f>
        <v>36</v>
      </c>
      <c r="U2" s="53">
        <v>539</v>
      </c>
      <c r="V2" s="16">
        <f t="shared" ref="V2:V58" si="2">IF(OR(N2="",U2="",T2=""),"",U2/N2*T2)</f>
        <v>3880.7999999999997</v>
      </c>
      <c r="W2" s="53">
        <v>1</v>
      </c>
      <c r="X2" s="53" t="s">
        <v>46</v>
      </c>
      <c r="Y2" s="53" t="s">
        <v>90</v>
      </c>
      <c r="Z2" s="53" t="s">
        <v>78</v>
      </c>
      <c r="AA2" s="53" t="s">
        <v>106</v>
      </c>
      <c r="AB2" s="53" t="s">
        <v>237</v>
      </c>
      <c r="AE2" s="64" t="s">
        <v>35</v>
      </c>
      <c r="AG2" s="23" t="s">
        <v>238</v>
      </c>
      <c r="AH2" s="82" t="s">
        <v>239</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233</v>
      </c>
      <c r="C3" s="53">
        <v>2019</v>
      </c>
      <c r="D3" s="81" t="s">
        <v>234</v>
      </c>
      <c r="E3" s="53" t="s">
        <v>235</v>
      </c>
      <c r="F3" s="53" t="s">
        <v>236</v>
      </c>
      <c r="G3" s="53" t="s">
        <v>42</v>
      </c>
      <c r="H3" s="53" t="s">
        <v>164</v>
      </c>
      <c r="I3" s="53" t="s">
        <v>198</v>
      </c>
      <c r="J3" s="53" t="s">
        <v>38</v>
      </c>
      <c r="K3" s="53" t="s">
        <v>161</v>
      </c>
      <c r="L3" s="53">
        <v>2</v>
      </c>
      <c r="N3" s="53">
        <v>5</v>
      </c>
      <c r="O3" s="53">
        <v>0.9</v>
      </c>
      <c r="P3" s="53">
        <v>0.85</v>
      </c>
      <c r="Q3" s="75">
        <f t="shared" si="0"/>
        <v>0.875</v>
      </c>
      <c r="R3" s="53">
        <v>14.2</v>
      </c>
      <c r="S3" s="53">
        <v>98</v>
      </c>
      <c r="T3" s="16">
        <f t="shared" si="1"/>
        <v>36</v>
      </c>
      <c r="U3" s="53">
        <v>539</v>
      </c>
      <c r="V3" s="16">
        <f t="shared" si="2"/>
        <v>3880.7999999999997</v>
      </c>
      <c r="W3" s="53">
        <v>1</v>
      </c>
      <c r="X3" s="53" t="s">
        <v>46</v>
      </c>
      <c r="Y3" s="53" t="s">
        <v>90</v>
      </c>
      <c r="Z3" s="53" t="s">
        <v>78</v>
      </c>
      <c r="AA3" s="53" t="s">
        <v>106</v>
      </c>
      <c r="AB3" s="53" t="s">
        <v>237</v>
      </c>
      <c r="AE3" s="22" t="s">
        <v>41</v>
      </c>
      <c r="AG3" s="23" t="s">
        <v>240</v>
      </c>
      <c r="AH3" s="82" t="s">
        <v>236</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233</v>
      </c>
      <c r="C4" s="53">
        <v>2019</v>
      </c>
      <c r="D4" s="81" t="s">
        <v>234</v>
      </c>
      <c r="E4" s="53" t="s">
        <v>235</v>
      </c>
      <c r="F4" s="53" t="s">
        <v>236</v>
      </c>
      <c r="G4" s="53" t="s">
        <v>42</v>
      </c>
      <c r="H4" s="53" t="s">
        <v>164</v>
      </c>
      <c r="I4" s="53" t="s">
        <v>198</v>
      </c>
      <c r="J4" s="53" t="s">
        <v>38</v>
      </c>
      <c r="K4" s="53" t="s">
        <v>161</v>
      </c>
      <c r="L4" s="53">
        <v>3</v>
      </c>
      <c r="N4" s="53">
        <v>5</v>
      </c>
      <c r="O4" s="53">
        <v>0.8</v>
      </c>
      <c r="P4" s="53">
        <v>0.85</v>
      </c>
      <c r="Q4" s="75">
        <f t="shared" si="0"/>
        <v>0.82499999999999996</v>
      </c>
      <c r="R4" s="53">
        <v>13.9</v>
      </c>
      <c r="S4" s="53">
        <v>106</v>
      </c>
      <c r="T4" s="16">
        <f t="shared" si="1"/>
        <v>33</v>
      </c>
      <c r="U4" s="53">
        <v>539</v>
      </c>
      <c r="V4" s="16">
        <f t="shared" si="2"/>
        <v>3557.4</v>
      </c>
      <c r="W4" s="53">
        <v>1</v>
      </c>
      <c r="X4" s="53" t="s">
        <v>46</v>
      </c>
      <c r="Y4" s="53" t="s">
        <v>90</v>
      </c>
      <c r="Z4" s="53" t="s">
        <v>78</v>
      </c>
      <c r="AA4" s="53" t="s">
        <v>106</v>
      </c>
      <c r="AB4" s="53" t="s">
        <v>237</v>
      </c>
      <c r="AE4" s="22" t="s">
        <v>34</v>
      </c>
      <c r="AG4" s="23" t="s">
        <v>241</v>
      </c>
      <c r="AH4" s="82" t="s">
        <v>242</v>
      </c>
      <c r="AJ4" s="27" t="s">
        <v>48</v>
      </c>
      <c r="AL4" s="27" t="s">
        <v>243</v>
      </c>
      <c r="AN4" s="28" t="s">
        <v>49</v>
      </c>
      <c r="AP4" s="23" t="s">
        <v>93</v>
      </c>
      <c r="AR4" s="23" t="s">
        <v>121</v>
      </c>
      <c r="AT4" s="28"/>
      <c r="AV4" s="23" t="s">
        <v>50</v>
      </c>
      <c r="AX4" s="24">
        <v>75</v>
      </c>
      <c r="AY4" s="25">
        <v>42</v>
      </c>
      <c r="AZ4" s="25">
        <v>76</v>
      </c>
      <c r="BA4" s="26">
        <v>39</v>
      </c>
    </row>
    <row r="5" spans="1:53" x14ac:dyDescent="0.15">
      <c r="A5" s="53" t="s">
        <v>56</v>
      </c>
      <c r="B5" s="53" t="s">
        <v>233</v>
      </c>
      <c r="C5" s="53">
        <v>2019</v>
      </c>
      <c r="D5" s="81" t="s">
        <v>234</v>
      </c>
      <c r="E5" s="53" t="s">
        <v>235</v>
      </c>
      <c r="F5" s="53" t="s">
        <v>236</v>
      </c>
      <c r="G5" s="53" t="s">
        <v>42</v>
      </c>
      <c r="H5" s="53" t="s">
        <v>160</v>
      </c>
      <c r="I5" s="53" t="s">
        <v>198</v>
      </c>
      <c r="J5" s="53" t="s">
        <v>38</v>
      </c>
      <c r="K5" s="53" t="s">
        <v>161</v>
      </c>
      <c r="L5" s="53">
        <v>1</v>
      </c>
      <c r="N5" s="53">
        <v>1</v>
      </c>
      <c r="O5" s="53">
        <v>0.55000000000000004</v>
      </c>
      <c r="P5" s="53">
        <v>0.55000000000000004</v>
      </c>
      <c r="Q5" s="75">
        <f t="shared" si="0"/>
        <v>0.55000000000000004</v>
      </c>
      <c r="R5" s="53">
        <v>17.899999999999999</v>
      </c>
      <c r="S5" s="53">
        <v>147</v>
      </c>
      <c r="T5" s="16">
        <f t="shared" si="1"/>
        <v>22</v>
      </c>
      <c r="U5" s="53">
        <v>183</v>
      </c>
      <c r="V5" s="16">
        <f t="shared" si="2"/>
        <v>4026</v>
      </c>
      <c r="W5" s="53">
        <v>2</v>
      </c>
      <c r="X5" s="53" t="s">
        <v>46</v>
      </c>
      <c r="Y5" s="53" t="s">
        <v>90</v>
      </c>
      <c r="Z5" s="53" t="s">
        <v>78</v>
      </c>
      <c r="AA5" s="53" t="s">
        <v>106</v>
      </c>
      <c r="AB5" s="53" t="s">
        <v>237</v>
      </c>
      <c r="AE5" s="22" t="s">
        <v>51</v>
      </c>
      <c r="AG5" s="23" t="s">
        <v>244</v>
      </c>
      <c r="AH5" s="82" t="s">
        <v>245</v>
      </c>
      <c r="AJ5" s="28"/>
      <c r="AL5" s="73" t="s">
        <v>66</v>
      </c>
      <c r="AN5" s="73" t="s">
        <v>52</v>
      </c>
      <c r="AP5" s="23" t="s">
        <v>246</v>
      </c>
      <c r="AR5" s="23" t="s">
        <v>54</v>
      </c>
      <c r="AV5" s="23" t="s">
        <v>55</v>
      </c>
      <c r="AX5" s="24">
        <v>84</v>
      </c>
      <c r="AY5" s="25">
        <v>39</v>
      </c>
      <c r="AZ5" s="25">
        <v>84</v>
      </c>
      <c r="BA5" s="26">
        <v>36</v>
      </c>
    </row>
    <row r="6" spans="1:53" x14ac:dyDescent="0.15">
      <c r="A6" s="53" t="s">
        <v>56</v>
      </c>
      <c r="B6" s="53" t="s">
        <v>233</v>
      </c>
      <c r="C6" s="53">
        <v>2019</v>
      </c>
      <c r="D6" s="81" t="s">
        <v>234</v>
      </c>
      <c r="E6" s="53" t="s">
        <v>235</v>
      </c>
      <c r="F6" s="53" t="s">
        <v>236</v>
      </c>
      <c r="G6" s="53" t="s">
        <v>42</v>
      </c>
      <c r="H6" s="53" t="s">
        <v>160</v>
      </c>
      <c r="I6" s="53" t="s">
        <v>198</v>
      </c>
      <c r="J6" s="53" t="s">
        <v>38</v>
      </c>
      <c r="K6" s="53" t="s">
        <v>161</v>
      </c>
      <c r="L6" s="53">
        <v>2</v>
      </c>
      <c r="N6" s="53">
        <v>1</v>
      </c>
      <c r="O6" s="53">
        <v>0.5</v>
      </c>
      <c r="P6" s="53">
        <v>0.5</v>
      </c>
      <c r="Q6" s="75">
        <f t="shared" si="0"/>
        <v>0.5</v>
      </c>
      <c r="R6" s="53">
        <v>17.100000000000001</v>
      </c>
      <c r="S6" s="53">
        <v>149</v>
      </c>
      <c r="T6" s="16">
        <f t="shared" si="1"/>
        <v>22</v>
      </c>
      <c r="U6" s="53">
        <v>183</v>
      </c>
      <c r="V6" s="16">
        <f t="shared" si="2"/>
        <v>4026</v>
      </c>
      <c r="W6" s="53">
        <v>2</v>
      </c>
      <c r="X6" s="53" t="s">
        <v>46</v>
      </c>
      <c r="Y6" s="53" t="s">
        <v>90</v>
      </c>
      <c r="Z6" s="53" t="s">
        <v>78</v>
      </c>
      <c r="AA6" s="53" t="s">
        <v>106</v>
      </c>
      <c r="AB6" s="53" t="s">
        <v>237</v>
      </c>
      <c r="AE6" s="22" t="s">
        <v>56</v>
      </c>
      <c r="AG6" s="23" t="s">
        <v>247</v>
      </c>
      <c r="AH6" s="82" t="s">
        <v>245</v>
      </c>
      <c r="AL6" s="73" t="s">
        <v>99</v>
      </c>
      <c r="AN6" s="73" t="s">
        <v>57</v>
      </c>
      <c r="AP6" s="23" t="s">
        <v>53</v>
      </c>
      <c r="AR6" s="23" t="s">
        <v>59</v>
      </c>
      <c r="AV6" s="23" t="s">
        <v>60</v>
      </c>
      <c r="AX6" s="24">
        <v>97</v>
      </c>
      <c r="AY6" s="25">
        <v>36</v>
      </c>
      <c r="AZ6" s="25">
        <v>99</v>
      </c>
      <c r="BA6" s="26">
        <v>33</v>
      </c>
    </row>
    <row r="7" spans="1:53" x14ac:dyDescent="0.15">
      <c r="A7" s="53" t="s">
        <v>56</v>
      </c>
      <c r="B7" s="53" t="s">
        <v>233</v>
      </c>
      <c r="C7" s="53">
        <v>2019</v>
      </c>
      <c r="D7" s="81" t="s">
        <v>234</v>
      </c>
      <c r="E7" s="53" t="s">
        <v>235</v>
      </c>
      <c r="F7" s="53" t="s">
        <v>236</v>
      </c>
      <c r="G7" s="53" t="s">
        <v>42</v>
      </c>
      <c r="H7" s="53" t="s">
        <v>160</v>
      </c>
      <c r="I7" s="53" t="s">
        <v>198</v>
      </c>
      <c r="J7" s="53" t="s">
        <v>38</v>
      </c>
      <c r="K7" s="53" t="s">
        <v>161</v>
      </c>
      <c r="L7" s="53">
        <v>3</v>
      </c>
      <c r="N7" s="53">
        <v>1</v>
      </c>
      <c r="O7" s="53">
        <v>0.5</v>
      </c>
      <c r="P7" s="53">
        <v>0.55000000000000004</v>
      </c>
      <c r="Q7" s="75">
        <f t="shared" si="0"/>
        <v>0.52500000000000002</v>
      </c>
      <c r="R7" s="53">
        <v>17.7</v>
      </c>
      <c r="S7" s="53">
        <v>148</v>
      </c>
      <c r="T7" s="16">
        <f t="shared" si="1"/>
        <v>22</v>
      </c>
      <c r="U7" s="53">
        <v>183</v>
      </c>
      <c r="V7" s="16">
        <f t="shared" si="2"/>
        <v>4026</v>
      </c>
      <c r="W7" s="53">
        <v>2</v>
      </c>
      <c r="X7" s="53" t="s">
        <v>46</v>
      </c>
      <c r="Y7" s="53" t="s">
        <v>90</v>
      </c>
      <c r="Z7" s="53" t="s">
        <v>78</v>
      </c>
      <c r="AA7" s="53" t="s">
        <v>106</v>
      </c>
      <c r="AB7" s="53" t="s">
        <v>237</v>
      </c>
      <c r="AE7" s="22" t="s">
        <v>61</v>
      </c>
      <c r="AG7" s="23" t="s">
        <v>248</v>
      </c>
      <c r="AH7" s="82" t="s">
        <v>249</v>
      </c>
      <c r="AL7" s="83" t="s">
        <v>109</v>
      </c>
      <c r="AP7" s="23" t="s">
        <v>58</v>
      </c>
      <c r="AR7" s="23" t="s">
        <v>122</v>
      </c>
      <c r="AV7" s="23" t="s">
        <v>64</v>
      </c>
      <c r="AX7" s="24">
        <v>109</v>
      </c>
      <c r="AY7" s="25">
        <v>33</v>
      </c>
      <c r="AZ7" s="25">
        <v>113</v>
      </c>
      <c r="BA7" s="26">
        <v>30</v>
      </c>
    </row>
    <row r="8" spans="1:53" x14ac:dyDescent="0.15">
      <c r="A8" s="53" t="s">
        <v>56</v>
      </c>
      <c r="B8" s="53" t="s">
        <v>233</v>
      </c>
      <c r="C8" s="53">
        <v>2019</v>
      </c>
      <c r="D8" s="81" t="s">
        <v>234</v>
      </c>
      <c r="E8" s="53" t="s">
        <v>250</v>
      </c>
      <c r="F8" s="53" t="s">
        <v>236</v>
      </c>
      <c r="G8" s="53" t="s">
        <v>42</v>
      </c>
      <c r="H8" s="53" t="s">
        <v>164</v>
      </c>
      <c r="I8" s="53" t="s">
        <v>159</v>
      </c>
      <c r="J8" s="53" t="s">
        <v>38</v>
      </c>
      <c r="K8" s="53" t="s">
        <v>161</v>
      </c>
      <c r="L8" s="53">
        <v>1</v>
      </c>
      <c r="N8" s="53">
        <v>6</v>
      </c>
      <c r="O8" s="53">
        <v>0.75</v>
      </c>
      <c r="P8" s="53">
        <v>0.7</v>
      </c>
      <c r="Q8" s="75">
        <f t="shared" si="0"/>
        <v>0.72499999999999998</v>
      </c>
      <c r="R8" s="53">
        <v>16</v>
      </c>
      <c r="S8" s="53">
        <v>102</v>
      </c>
      <c r="T8" s="16">
        <f t="shared" si="1"/>
        <v>33</v>
      </c>
      <c r="U8" s="53">
        <v>538</v>
      </c>
      <c r="V8" s="16">
        <f t="shared" si="2"/>
        <v>2959</v>
      </c>
      <c r="W8" s="53">
        <v>3</v>
      </c>
      <c r="X8" s="53" t="s">
        <v>46</v>
      </c>
      <c r="Y8" s="53" t="s">
        <v>102</v>
      </c>
      <c r="Z8" s="53" t="s">
        <v>78</v>
      </c>
      <c r="AA8" s="53" t="s">
        <v>90</v>
      </c>
      <c r="AB8" s="53" t="s">
        <v>237</v>
      </c>
      <c r="AE8" s="22" t="s">
        <v>59</v>
      </c>
      <c r="AG8" s="23" t="s">
        <v>251</v>
      </c>
      <c r="AH8" s="82" t="s">
        <v>249</v>
      </c>
      <c r="AL8" s="83" t="s">
        <v>134</v>
      </c>
      <c r="AP8" s="23" t="s">
        <v>62</v>
      </c>
      <c r="AR8" s="23" t="s">
        <v>81</v>
      </c>
      <c r="AV8" s="23" t="s">
        <v>97</v>
      </c>
      <c r="AX8" s="24">
        <v>119</v>
      </c>
      <c r="AY8" s="25">
        <v>30</v>
      </c>
      <c r="AZ8" s="25">
        <v>121</v>
      </c>
      <c r="BA8" s="26">
        <v>27</v>
      </c>
    </row>
    <row r="9" spans="1:53" x14ac:dyDescent="0.15">
      <c r="A9" s="53" t="s">
        <v>56</v>
      </c>
      <c r="B9" s="53" t="s">
        <v>233</v>
      </c>
      <c r="C9" s="53">
        <v>2019</v>
      </c>
      <c r="D9" s="81" t="s">
        <v>234</v>
      </c>
      <c r="E9" s="53" t="s">
        <v>250</v>
      </c>
      <c r="F9" s="53" t="s">
        <v>236</v>
      </c>
      <c r="G9" s="53" t="s">
        <v>42</v>
      </c>
      <c r="H9" s="53" t="s">
        <v>164</v>
      </c>
      <c r="I9" s="53" t="s">
        <v>159</v>
      </c>
      <c r="J9" s="53" t="s">
        <v>38</v>
      </c>
      <c r="K9" s="53" t="s">
        <v>161</v>
      </c>
      <c r="L9" s="53">
        <v>2</v>
      </c>
      <c r="N9" s="53">
        <v>6</v>
      </c>
      <c r="O9" s="53">
        <v>0.75</v>
      </c>
      <c r="P9" s="53">
        <v>0.8</v>
      </c>
      <c r="Q9" s="75">
        <f t="shared" si="0"/>
        <v>0.77500000000000002</v>
      </c>
      <c r="R9" s="53">
        <v>14.7</v>
      </c>
      <c r="S9" s="53">
        <v>99</v>
      </c>
      <c r="T9" s="16">
        <f t="shared" si="1"/>
        <v>33</v>
      </c>
      <c r="U9" s="53">
        <v>538</v>
      </c>
      <c r="V9" s="16">
        <f t="shared" si="2"/>
        <v>2959</v>
      </c>
      <c r="W9" s="53">
        <v>3</v>
      </c>
      <c r="X9" s="53" t="s">
        <v>46</v>
      </c>
      <c r="Y9" s="53" t="s">
        <v>102</v>
      </c>
      <c r="Z9" s="53" t="s">
        <v>78</v>
      </c>
      <c r="AA9" s="53" t="s">
        <v>90</v>
      </c>
      <c r="AB9" s="53" t="s">
        <v>237</v>
      </c>
      <c r="AE9" s="22" t="s">
        <v>98</v>
      </c>
      <c r="AG9" s="23" t="s">
        <v>235</v>
      </c>
      <c r="AH9" s="23" t="s">
        <v>236</v>
      </c>
      <c r="AL9" s="73"/>
      <c r="AP9" s="23" t="s">
        <v>95</v>
      </c>
      <c r="AR9" s="23" t="s">
        <v>89</v>
      </c>
      <c r="AV9" s="23" t="s">
        <v>102</v>
      </c>
      <c r="AX9" s="24">
        <v>128</v>
      </c>
      <c r="AY9" s="25">
        <v>27</v>
      </c>
      <c r="AZ9" s="25">
        <v>129</v>
      </c>
      <c r="BA9" s="26">
        <v>25</v>
      </c>
    </row>
    <row r="10" spans="1:53" x14ac:dyDescent="0.15">
      <c r="A10" s="53" t="s">
        <v>56</v>
      </c>
      <c r="B10" s="53" t="s">
        <v>233</v>
      </c>
      <c r="C10" s="53">
        <v>2019</v>
      </c>
      <c r="D10" s="81" t="s">
        <v>234</v>
      </c>
      <c r="E10" s="53" t="s">
        <v>250</v>
      </c>
      <c r="F10" s="53" t="s">
        <v>236</v>
      </c>
      <c r="G10" s="53" t="s">
        <v>42</v>
      </c>
      <c r="H10" s="53" t="s">
        <v>164</v>
      </c>
      <c r="I10" s="53" t="s">
        <v>159</v>
      </c>
      <c r="J10" s="53" t="s">
        <v>38</v>
      </c>
      <c r="K10" s="53" t="s">
        <v>161</v>
      </c>
      <c r="L10" s="53">
        <v>3</v>
      </c>
      <c r="N10" s="53">
        <v>6</v>
      </c>
      <c r="O10" s="53">
        <v>0.95</v>
      </c>
      <c r="P10" s="53">
        <v>0.7</v>
      </c>
      <c r="Q10" s="75">
        <f t="shared" si="0"/>
        <v>0.82499999999999996</v>
      </c>
      <c r="R10" s="53">
        <v>14.7</v>
      </c>
      <c r="S10" s="53">
        <v>101</v>
      </c>
      <c r="T10" s="16">
        <f t="shared" si="1"/>
        <v>33</v>
      </c>
      <c r="U10" s="53">
        <v>538</v>
      </c>
      <c r="V10" s="16">
        <f t="shared" si="2"/>
        <v>2959</v>
      </c>
      <c r="W10" s="53">
        <v>3</v>
      </c>
      <c r="X10" s="53" t="s">
        <v>46</v>
      </c>
      <c r="Y10" s="53" t="s">
        <v>102</v>
      </c>
      <c r="Z10" s="53" t="s">
        <v>78</v>
      </c>
      <c r="AA10" s="53" t="s">
        <v>90</v>
      </c>
      <c r="AB10" s="53" t="s">
        <v>237</v>
      </c>
      <c r="AE10" s="22" t="s">
        <v>103</v>
      </c>
      <c r="AG10" s="23" t="s">
        <v>248</v>
      </c>
      <c r="AH10" s="82" t="s">
        <v>245</v>
      </c>
      <c r="AL10" s="83"/>
      <c r="AP10" s="23" t="s">
        <v>100</v>
      </c>
      <c r="AR10" s="23" t="s">
        <v>123</v>
      </c>
      <c r="AV10" s="23" t="s">
        <v>106</v>
      </c>
      <c r="AX10" s="24">
        <v>138</v>
      </c>
      <c r="AY10" s="25">
        <v>25</v>
      </c>
      <c r="AZ10" s="25">
        <v>138</v>
      </c>
      <c r="BA10" s="26">
        <v>22</v>
      </c>
    </row>
    <row r="11" spans="1:53" x14ac:dyDescent="0.15">
      <c r="A11" s="53" t="s">
        <v>56</v>
      </c>
      <c r="B11" s="53" t="s">
        <v>233</v>
      </c>
      <c r="C11" s="53">
        <v>2019</v>
      </c>
      <c r="D11" s="81" t="s">
        <v>234</v>
      </c>
      <c r="E11" s="53" t="s">
        <v>250</v>
      </c>
      <c r="F11" s="53" t="s">
        <v>236</v>
      </c>
      <c r="G11" s="53" t="s">
        <v>42</v>
      </c>
      <c r="H11" s="53" t="s">
        <v>160</v>
      </c>
      <c r="I11" s="53" t="s">
        <v>159</v>
      </c>
      <c r="J11" s="53" t="s">
        <v>38</v>
      </c>
      <c r="K11" s="53" t="s">
        <v>161</v>
      </c>
      <c r="L11" s="53">
        <v>1</v>
      </c>
      <c r="N11" s="53">
        <v>1</v>
      </c>
      <c r="O11" s="53">
        <v>0.9</v>
      </c>
      <c r="P11" s="53">
        <v>0.8</v>
      </c>
      <c r="Q11" s="75">
        <f t="shared" si="0"/>
        <v>0.85000000000000009</v>
      </c>
      <c r="R11" s="53">
        <v>14.9</v>
      </c>
      <c r="S11" s="53">
        <v>127</v>
      </c>
      <c r="T11" s="16">
        <f t="shared" si="1"/>
        <v>27</v>
      </c>
      <c r="U11" s="53">
        <v>138</v>
      </c>
      <c r="V11" s="16">
        <f t="shared" si="2"/>
        <v>3726</v>
      </c>
      <c r="W11" s="53">
        <v>5</v>
      </c>
      <c r="X11" s="53" t="s">
        <v>46</v>
      </c>
      <c r="Y11" s="53" t="s">
        <v>102</v>
      </c>
      <c r="Z11" s="53" t="s">
        <v>78</v>
      </c>
      <c r="AA11" s="53" t="s">
        <v>90</v>
      </c>
      <c r="AB11" s="53" t="s">
        <v>237</v>
      </c>
      <c r="AE11" s="22" t="s">
        <v>65</v>
      </c>
      <c r="AG11" s="23" t="s">
        <v>247</v>
      </c>
      <c r="AH11" s="82" t="s">
        <v>245</v>
      </c>
      <c r="AJ11" s="83"/>
      <c r="AP11" s="23" t="s">
        <v>104</v>
      </c>
      <c r="AR11" s="23" t="s">
        <v>87</v>
      </c>
      <c r="AV11" s="23" t="s">
        <v>69</v>
      </c>
    </row>
    <row r="12" spans="1:53" x14ac:dyDescent="0.15">
      <c r="A12" s="53" t="s">
        <v>56</v>
      </c>
      <c r="B12" s="53" t="s">
        <v>233</v>
      </c>
      <c r="C12" s="53">
        <v>2019</v>
      </c>
      <c r="D12" s="81" t="s">
        <v>234</v>
      </c>
      <c r="E12" s="53" t="s">
        <v>250</v>
      </c>
      <c r="F12" s="53" t="s">
        <v>236</v>
      </c>
      <c r="G12" s="53" t="s">
        <v>42</v>
      </c>
      <c r="H12" s="53" t="s">
        <v>160</v>
      </c>
      <c r="I12" s="53" t="s">
        <v>159</v>
      </c>
      <c r="J12" s="53" t="s">
        <v>38</v>
      </c>
      <c r="K12" s="53" t="s">
        <v>161</v>
      </c>
      <c r="L12" s="53">
        <v>2</v>
      </c>
      <c r="N12" s="53">
        <v>1</v>
      </c>
      <c r="O12" s="53">
        <v>0.85</v>
      </c>
      <c r="P12" s="53">
        <v>0.9</v>
      </c>
      <c r="Q12" s="75">
        <f t="shared" si="0"/>
        <v>0.875</v>
      </c>
      <c r="R12" s="53">
        <v>15.8</v>
      </c>
      <c r="S12" s="53">
        <v>131</v>
      </c>
      <c r="T12" s="16">
        <f t="shared" si="1"/>
        <v>25</v>
      </c>
      <c r="U12" s="53">
        <v>138</v>
      </c>
      <c r="V12" s="16">
        <f t="shared" si="2"/>
        <v>3450</v>
      </c>
      <c r="W12" s="53">
        <v>5</v>
      </c>
      <c r="X12" s="53" t="s">
        <v>46</v>
      </c>
      <c r="Y12" s="53" t="s">
        <v>102</v>
      </c>
      <c r="Z12" s="53" t="s">
        <v>78</v>
      </c>
      <c r="AA12" s="53" t="s">
        <v>90</v>
      </c>
      <c r="AB12" s="53" t="s">
        <v>237</v>
      </c>
      <c r="AE12" s="22" t="s">
        <v>70</v>
      </c>
      <c r="AG12" s="23" t="s">
        <v>240</v>
      </c>
      <c r="AH12" s="82" t="s">
        <v>245</v>
      </c>
      <c r="AJ12" s="83"/>
      <c r="AP12" s="23" t="s">
        <v>67</v>
      </c>
      <c r="AR12" s="23" t="s">
        <v>124</v>
      </c>
      <c r="AV12" s="23" t="s">
        <v>72</v>
      </c>
    </row>
    <row r="13" spans="1:53" x14ac:dyDescent="0.15">
      <c r="A13" s="53" t="s">
        <v>56</v>
      </c>
      <c r="B13" s="53" t="s">
        <v>233</v>
      </c>
      <c r="C13" s="53">
        <v>2019</v>
      </c>
      <c r="D13" s="81" t="s">
        <v>234</v>
      </c>
      <c r="E13" s="53" t="s">
        <v>250</v>
      </c>
      <c r="F13" s="53" t="s">
        <v>236</v>
      </c>
      <c r="G13" s="53" t="s">
        <v>42</v>
      </c>
      <c r="H13" s="53" t="s">
        <v>160</v>
      </c>
      <c r="I13" s="53" t="s">
        <v>159</v>
      </c>
      <c r="J13" s="53" t="s">
        <v>38</v>
      </c>
      <c r="K13" s="53" t="s">
        <v>161</v>
      </c>
      <c r="L13" s="53">
        <v>3</v>
      </c>
      <c r="N13" s="53">
        <v>1</v>
      </c>
      <c r="O13" s="53">
        <v>0.7</v>
      </c>
      <c r="P13" s="53">
        <v>0.8</v>
      </c>
      <c r="Q13" s="75">
        <f t="shared" si="0"/>
        <v>0.75</v>
      </c>
      <c r="R13" s="53">
        <v>16.3</v>
      </c>
      <c r="S13" s="53">
        <v>128</v>
      </c>
      <c r="T13" s="16">
        <f t="shared" si="1"/>
        <v>27</v>
      </c>
      <c r="U13" s="53">
        <v>138</v>
      </c>
      <c r="V13" s="16">
        <f t="shared" si="2"/>
        <v>3726</v>
      </c>
      <c r="W13" s="53">
        <v>5</v>
      </c>
      <c r="X13" s="53" t="s">
        <v>46</v>
      </c>
      <c r="Y13" s="53" t="s">
        <v>102</v>
      </c>
      <c r="Z13" s="53" t="s">
        <v>78</v>
      </c>
      <c r="AA13" s="53" t="s">
        <v>90</v>
      </c>
      <c r="AB13" s="53" t="s">
        <v>237</v>
      </c>
      <c r="AE13" s="22" t="s">
        <v>73</v>
      </c>
      <c r="AP13" s="23" t="s">
        <v>71</v>
      </c>
      <c r="AR13" s="23" t="s">
        <v>103</v>
      </c>
      <c r="AV13" s="23" t="s">
        <v>75</v>
      </c>
    </row>
    <row r="14" spans="1:53" x14ac:dyDescent="0.15">
      <c r="A14" s="53" t="s">
        <v>56</v>
      </c>
      <c r="B14" s="53" t="s">
        <v>233</v>
      </c>
      <c r="C14" s="53">
        <v>2019</v>
      </c>
      <c r="D14" s="81" t="s">
        <v>234</v>
      </c>
      <c r="E14" s="53" t="s">
        <v>162</v>
      </c>
      <c r="F14" s="53" t="s">
        <v>252</v>
      </c>
      <c r="G14" s="53" t="s">
        <v>42</v>
      </c>
      <c r="H14" s="53" t="s">
        <v>164</v>
      </c>
      <c r="I14" s="53" t="s">
        <v>159</v>
      </c>
      <c r="J14" s="53" t="s">
        <v>38</v>
      </c>
      <c r="K14" s="53" t="s">
        <v>161</v>
      </c>
      <c r="L14" s="53">
        <v>1</v>
      </c>
      <c r="N14" s="53">
        <v>1</v>
      </c>
      <c r="O14" s="53">
        <v>1.05</v>
      </c>
      <c r="P14" s="53">
        <v>1.1499999999999999</v>
      </c>
      <c r="Q14" s="75">
        <f t="shared" si="0"/>
        <v>1.1000000000000001</v>
      </c>
      <c r="R14" s="53">
        <v>15.2</v>
      </c>
      <c r="S14" s="53">
        <v>120</v>
      </c>
      <c r="T14" s="16">
        <f t="shared" si="1"/>
        <v>30</v>
      </c>
      <c r="U14" s="53">
        <v>106</v>
      </c>
      <c r="V14" s="16">
        <f t="shared" si="2"/>
        <v>3180</v>
      </c>
      <c r="W14" s="53">
        <v>2</v>
      </c>
      <c r="X14" s="53" t="s">
        <v>46</v>
      </c>
      <c r="Y14" s="53" t="s">
        <v>90</v>
      </c>
      <c r="Z14" s="53" t="s">
        <v>84</v>
      </c>
      <c r="AA14" s="53" t="s">
        <v>102</v>
      </c>
      <c r="AB14" s="53" t="s">
        <v>237</v>
      </c>
      <c r="AE14" s="22" t="s">
        <v>76</v>
      </c>
      <c r="AP14" s="23" t="s">
        <v>74</v>
      </c>
      <c r="AR14" s="23" t="s">
        <v>125</v>
      </c>
      <c r="AV14" s="23" t="s">
        <v>78</v>
      </c>
    </row>
    <row r="15" spans="1:53" x14ac:dyDescent="0.15">
      <c r="A15" s="53" t="s">
        <v>56</v>
      </c>
      <c r="B15" s="53" t="s">
        <v>233</v>
      </c>
      <c r="C15" s="53">
        <v>2019</v>
      </c>
      <c r="D15" s="81" t="s">
        <v>234</v>
      </c>
      <c r="E15" s="53" t="s">
        <v>162</v>
      </c>
      <c r="F15" s="53" t="s">
        <v>252</v>
      </c>
      <c r="G15" s="53" t="s">
        <v>42</v>
      </c>
      <c r="H15" s="53" t="s">
        <v>164</v>
      </c>
      <c r="I15" s="53" t="s">
        <v>159</v>
      </c>
      <c r="J15" s="53" t="s">
        <v>38</v>
      </c>
      <c r="K15" s="53" t="s">
        <v>161</v>
      </c>
      <c r="L15" s="53">
        <v>2</v>
      </c>
      <c r="N15" s="53">
        <v>1</v>
      </c>
      <c r="O15" s="53">
        <v>0.65</v>
      </c>
      <c r="P15" s="53">
        <v>0.7</v>
      </c>
      <c r="Q15" s="75">
        <f t="shared" si="0"/>
        <v>0.67500000000000004</v>
      </c>
      <c r="R15" s="53">
        <v>15</v>
      </c>
      <c r="S15" s="53">
        <v>117</v>
      </c>
      <c r="T15" s="16">
        <f t="shared" si="1"/>
        <v>30</v>
      </c>
      <c r="U15" s="53">
        <v>106</v>
      </c>
      <c r="V15" s="16">
        <f t="shared" si="2"/>
        <v>3180</v>
      </c>
      <c r="W15" s="53">
        <v>2</v>
      </c>
      <c r="X15" s="53" t="s">
        <v>46</v>
      </c>
      <c r="Y15" s="53" t="s">
        <v>90</v>
      </c>
      <c r="Z15" s="53" t="s">
        <v>84</v>
      </c>
      <c r="AA15" s="53" t="s">
        <v>102</v>
      </c>
      <c r="AB15" s="53" t="s">
        <v>237</v>
      </c>
      <c r="AE15" s="22" t="s">
        <v>79</v>
      </c>
      <c r="AP15" s="23" t="s">
        <v>77</v>
      </c>
      <c r="AR15" s="23" t="s">
        <v>94</v>
      </c>
      <c r="AV15" s="23" t="s">
        <v>107</v>
      </c>
    </row>
    <row r="16" spans="1:53" x14ac:dyDescent="0.15">
      <c r="A16" s="53" t="s">
        <v>56</v>
      </c>
      <c r="B16" s="53" t="s">
        <v>233</v>
      </c>
      <c r="C16" s="53">
        <v>2019</v>
      </c>
      <c r="D16" s="81" t="s">
        <v>234</v>
      </c>
      <c r="E16" s="53" t="s">
        <v>162</v>
      </c>
      <c r="F16" s="53" t="s">
        <v>252</v>
      </c>
      <c r="G16" s="53" t="s">
        <v>42</v>
      </c>
      <c r="H16" s="53" t="s">
        <v>164</v>
      </c>
      <c r="I16" s="53" t="s">
        <v>159</v>
      </c>
      <c r="J16" s="53" t="s">
        <v>38</v>
      </c>
      <c r="K16" s="53" t="s">
        <v>161</v>
      </c>
      <c r="L16" s="53">
        <v>3</v>
      </c>
      <c r="N16" s="53">
        <v>1</v>
      </c>
      <c r="O16" s="53">
        <v>0.7</v>
      </c>
      <c r="P16" s="53">
        <v>0.75</v>
      </c>
      <c r="Q16" s="75">
        <f t="shared" si="0"/>
        <v>0.72499999999999998</v>
      </c>
      <c r="R16" s="53">
        <v>15.1</v>
      </c>
      <c r="S16" s="53">
        <v>122</v>
      </c>
      <c r="T16" s="16">
        <f t="shared" si="1"/>
        <v>27</v>
      </c>
      <c r="U16" s="53">
        <v>106</v>
      </c>
      <c r="V16" s="16">
        <f t="shared" si="2"/>
        <v>2862</v>
      </c>
      <c r="W16" s="53">
        <v>2</v>
      </c>
      <c r="X16" s="53" t="s">
        <v>46</v>
      </c>
      <c r="Y16" s="53" t="s">
        <v>90</v>
      </c>
      <c r="Z16" s="53" t="s">
        <v>84</v>
      </c>
      <c r="AA16" s="53" t="s">
        <v>102</v>
      </c>
      <c r="AB16" s="53" t="s">
        <v>237</v>
      </c>
      <c r="AE16" s="22" t="s">
        <v>82</v>
      </c>
      <c r="AP16" s="23" t="s">
        <v>80</v>
      </c>
      <c r="AR16" s="23" t="s">
        <v>63</v>
      </c>
      <c r="AV16" s="23" t="s">
        <v>84</v>
      </c>
    </row>
    <row r="17" spans="1:48" x14ac:dyDescent="0.15">
      <c r="A17" s="53" t="s">
        <v>56</v>
      </c>
      <c r="B17" s="53" t="s">
        <v>233</v>
      </c>
      <c r="C17" s="53">
        <v>2019</v>
      </c>
      <c r="D17" s="81" t="s">
        <v>234</v>
      </c>
      <c r="E17" s="53" t="s">
        <v>162</v>
      </c>
      <c r="F17" s="53" t="s">
        <v>252</v>
      </c>
      <c r="G17" s="53" t="s">
        <v>42</v>
      </c>
      <c r="H17" s="53" t="s">
        <v>160</v>
      </c>
      <c r="I17" s="53" t="s">
        <v>159</v>
      </c>
      <c r="J17" s="53" t="s">
        <v>38</v>
      </c>
      <c r="K17" s="53" t="s">
        <v>161</v>
      </c>
      <c r="L17" s="53">
        <v>1</v>
      </c>
      <c r="N17" s="53">
        <v>1</v>
      </c>
      <c r="O17" s="53">
        <v>0.65</v>
      </c>
      <c r="P17" s="53">
        <v>0.65</v>
      </c>
      <c r="Q17" s="75">
        <f t="shared" si="0"/>
        <v>0.65</v>
      </c>
      <c r="R17" s="53">
        <v>16.2</v>
      </c>
      <c r="S17" s="53">
        <v>115</v>
      </c>
      <c r="T17" s="16">
        <f t="shared" si="1"/>
        <v>30</v>
      </c>
      <c r="U17" s="53">
        <v>138</v>
      </c>
      <c r="V17" s="16">
        <f t="shared" si="2"/>
        <v>4140</v>
      </c>
      <c r="W17" s="53">
        <v>2</v>
      </c>
      <c r="X17" s="53" t="s">
        <v>46</v>
      </c>
      <c r="Y17" s="53" t="s">
        <v>90</v>
      </c>
      <c r="Z17" s="53" t="s">
        <v>84</v>
      </c>
      <c r="AA17" s="53" t="s">
        <v>102</v>
      </c>
      <c r="AB17" s="53" t="s">
        <v>237</v>
      </c>
      <c r="AE17" s="22" t="s">
        <v>85</v>
      </c>
      <c r="AP17" s="27" t="s">
        <v>110</v>
      </c>
      <c r="AR17" s="23" t="s">
        <v>96</v>
      </c>
      <c r="AV17" s="23" t="s">
        <v>86</v>
      </c>
    </row>
    <row r="18" spans="1:48" x14ac:dyDescent="0.15">
      <c r="A18" s="53" t="s">
        <v>56</v>
      </c>
      <c r="B18" s="53" t="s">
        <v>233</v>
      </c>
      <c r="C18" s="53">
        <v>2019</v>
      </c>
      <c r="D18" s="81" t="s">
        <v>234</v>
      </c>
      <c r="E18" s="53" t="s">
        <v>162</v>
      </c>
      <c r="F18" s="53" t="s">
        <v>252</v>
      </c>
      <c r="G18" s="53" t="s">
        <v>42</v>
      </c>
      <c r="H18" s="53" t="s">
        <v>160</v>
      </c>
      <c r="I18" s="53" t="s">
        <v>159</v>
      </c>
      <c r="J18" s="53" t="s">
        <v>38</v>
      </c>
      <c r="K18" s="53" t="s">
        <v>161</v>
      </c>
      <c r="L18" s="53">
        <v>2</v>
      </c>
      <c r="N18" s="53">
        <v>1</v>
      </c>
      <c r="O18" s="53">
        <v>0.55000000000000004</v>
      </c>
      <c r="P18" s="53">
        <v>0.6</v>
      </c>
      <c r="Q18" s="75">
        <f t="shared" si="0"/>
        <v>0.57499999999999996</v>
      </c>
      <c r="R18" s="53">
        <v>16.399999999999999</v>
      </c>
      <c r="S18" s="53">
        <v>116</v>
      </c>
      <c r="T18" s="16">
        <f t="shared" si="1"/>
        <v>30</v>
      </c>
      <c r="U18" s="53">
        <v>138</v>
      </c>
      <c r="V18" s="16">
        <f t="shared" si="2"/>
        <v>4140</v>
      </c>
      <c r="W18" s="53">
        <v>2</v>
      </c>
      <c r="X18" s="53" t="s">
        <v>46</v>
      </c>
      <c r="Y18" s="53" t="s">
        <v>90</v>
      </c>
      <c r="Z18" s="53" t="s">
        <v>84</v>
      </c>
      <c r="AA18" s="53" t="s">
        <v>102</v>
      </c>
      <c r="AB18" s="53" t="s">
        <v>237</v>
      </c>
      <c r="AE18" s="22" t="s">
        <v>87</v>
      </c>
      <c r="AP18" s="27" t="s">
        <v>111</v>
      </c>
      <c r="AR18" s="23" t="s">
        <v>101</v>
      </c>
      <c r="AV18" s="23" t="s">
        <v>88</v>
      </c>
    </row>
    <row r="19" spans="1:48" x14ac:dyDescent="0.15">
      <c r="A19" s="53" t="s">
        <v>56</v>
      </c>
      <c r="B19" s="53" t="s">
        <v>233</v>
      </c>
      <c r="C19" s="53">
        <v>2019</v>
      </c>
      <c r="D19" s="81" t="s">
        <v>234</v>
      </c>
      <c r="E19" s="53" t="s">
        <v>162</v>
      </c>
      <c r="F19" s="53" t="s">
        <v>252</v>
      </c>
      <c r="G19" s="53" t="s">
        <v>42</v>
      </c>
      <c r="H19" s="53" t="s">
        <v>160</v>
      </c>
      <c r="I19" s="53" t="s">
        <v>159</v>
      </c>
      <c r="J19" s="53" t="s">
        <v>38</v>
      </c>
      <c r="K19" s="53" t="s">
        <v>161</v>
      </c>
      <c r="L19" s="53">
        <v>3</v>
      </c>
      <c r="N19" s="53">
        <v>1</v>
      </c>
      <c r="O19" s="53">
        <v>0.7</v>
      </c>
      <c r="P19" s="53">
        <v>0.75</v>
      </c>
      <c r="Q19" s="75">
        <f t="shared" si="0"/>
        <v>0.72499999999999998</v>
      </c>
      <c r="R19" s="53">
        <v>14.3</v>
      </c>
      <c r="S19" s="53">
        <v>111</v>
      </c>
      <c r="T19" s="16">
        <f t="shared" si="1"/>
        <v>33</v>
      </c>
      <c r="U19" s="53">
        <v>138</v>
      </c>
      <c r="V19" s="16">
        <f t="shared" si="2"/>
        <v>4554</v>
      </c>
      <c r="W19" s="53">
        <v>2</v>
      </c>
      <c r="X19" s="53" t="s">
        <v>46</v>
      </c>
      <c r="Y19" s="53" t="s">
        <v>90</v>
      </c>
      <c r="Z19" s="53" t="s">
        <v>84</v>
      </c>
      <c r="AA19" s="53" t="s">
        <v>102</v>
      </c>
      <c r="AB19" s="53" t="s">
        <v>237</v>
      </c>
      <c r="AE19" s="35" t="s">
        <v>89</v>
      </c>
      <c r="AP19" s="27" t="s">
        <v>112</v>
      </c>
      <c r="AR19" s="23" t="s">
        <v>126</v>
      </c>
      <c r="AV19" s="23" t="s">
        <v>90</v>
      </c>
    </row>
    <row r="20" spans="1:48" x14ac:dyDescent="0.15">
      <c r="A20" s="53" t="s">
        <v>56</v>
      </c>
      <c r="B20" s="53" t="s">
        <v>233</v>
      </c>
      <c r="C20" s="53">
        <v>2019</v>
      </c>
      <c r="D20" s="81" t="s">
        <v>234</v>
      </c>
      <c r="E20" s="53" t="s">
        <v>253</v>
      </c>
      <c r="F20" s="53" t="s">
        <v>254</v>
      </c>
      <c r="G20" s="53" t="s">
        <v>42</v>
      </c>
      <c r="H20" s="53" t="s">
        <v>164</v>
      </c>
      <c r="I20" s="53" t="s">
        <v>159</v>
      </c>
      <c r="J20" s="53" t="s">
        <v>38</v>
      </c>
      <c r="K20" s="53" t="s">
        <v>161</v>
      </c>
      <c r="L20" s="53">
        <v>1</v>
      </c>
      <c r="N20" s="53">
        <v>1</v>
      </c>
      <c r="O20" s="53">
        <v>0.9</v>
      </c>
      <c r="P20" s="53">
        <v>0.9</v>
      </c>
      <c r="Q20" s="75">
        <f t="shared" si="0"/>
        <v>0.9</v>
      </c>
      <c r="R20" s="53">
        <v>13</v>
      </c>
      <c r="S20" s="53">
        <v>119</v>
      </c>
      <c r="T20" s="16">
        <f t="shared" si="1"/>
        <v>30</v>
      </c>
      <c r="U20" s="53">
        <v>138</v>
      </c>
      <c r="V20" s="16">
        <f t="shared" si="2"/>
        <v>4140</v>
      </c>
      <c r="W20" s="53">
        <v>2</v>
      </c>
      <c r="X20" s="53" t="s">
        <v>46</v>
      </c>
      <c r="Y20" s="53" t="s">
        <v>84</v>
      </c>
      <c r="Z20" s="53" t="s">
        <v>78</v>
      </c>
      <c r="AA20" s="53" t="s">
        <v>102</v>
      </c>
      <c r="AB20" s="53" t="s">
        <v>237</v>
      </c>
      <c r="AP20" s="27" t="s">
        <v>113</v>
      </c>
      <c r="AR20" s="23" t="s">
        <v>105</v>
      </c>
      <c r="AV20" s="27" t="s">
        <v>135</v>
      </c>
    </row>
    <row r="21" spans="1:48" x14ac:dyDescent="0.15">
      <c r="A21" s="53" t="s">
        <v>56</v>
      </c>
      <c r="B21" s="53" t="s">
        <v>233</v>
      </c>
      <c r="C21" s="53">
        <v>2019</v>
      </c>
      <c r="D21" s="81" t="s">
        <v>234</v>
      </c>
      <c r="E21" s="53" t="s">
        <v>253</v>
      </c>
      <c r="F21" s="53" t="s">
        <v>254</v>
      </c>
      <c r="G21" s="53" t="s">
        <v>42</v>
      </c>
      <c r="H21" s="53" t="s">
        <v>164</v>
      </c>
      <c r="I21" s="53" t="s">
        <v>159</v>
      </c>
      <c r="J21" s="53" t="s">
        <v>38</v>
      </c>
      <c r="K21" s="53" t="s">
        <v>161</v>
      </c>
      <c r="L21" s="53">
        <v>2</v>
      </c>
      <c r="N21" s="53">
        <v>1</v>
      </c>
      <c r="O21" s="53">
        <v>0.85</v>
      </c>
      <c r="P21" s="53">
        <v>0.85</v>
      </c>
      <c r="Q21" s="75">
        <f t="shared" si="0"/>
        <v>0.85</v>
      </c>
      <c r="R21" s="53">
        <v>13</v>
      </c>
      <c r="S21" s="53">
        <v>121</v>
      </c>
      <c r="T21" s="16">
        <f t="shared" si="1"/>
        <v>27</v>
      </c>
      <c r="U21" s="53">
        <v>138</v>
      </c>
      <c r="V21" s="16">
        <f t="shared" si="2"/>
        <v>3726</v>
      </c>
      <c r="W21" s="53">
        <v>2</v>
      </c>
      <c r="X21" s="53" t="s">
        <v>46</v>
      </c>
      <c r="Y21" s="53" t="s">
        <v>84</v>
      </c>
      <c r="Z21" s="53" t="s">
        <v>78</v>
      </c>
      <c r="AA21" s="53" t="s">
        <v>102</v>
      </c>
      <c r="AB21" s="53" t="s">
        <v>237</v>
      </c>
      <c r="AP21" s="27" t="s">
        <v>114</v>
      </c>
      <c r="AR21" s="23" t="s">
        <v>68</v>
      </c>
      <c r="AV21" s="28" t="s">
        <v>255</v>
      </c>
    </row>
    <row r="22" spans="1:48" x14ac:dyDescent="0.15">
      <c r="A22" s="53" t="s">
        <v>56</v>
      </c>
      <c r="B22" s="53" t="s">
        <v>233</v>
      </c>
      <c r="C22" s="53">
        <v>2019</v>
      </c>
      <c r="D22" s="81" t="s">
        <v>234</v>
      </c>
      <c r="E22" s="53" t="s">
        <v>253</v>
      </c>
      <c r="F22" s="53" t="s">
        <v>254</v>
      </c>
      <c r="G22" s="53" t="s">
        <v>42</v>
      </c>
      <c r="H22" s="53" t="s">
        <v>164</v>
      </c>
      <c r="I22" s="53" t="s">
        <v>159</v>
      </c>
      <c r="J22" s="53" t="s">
        <v>38</v>
      </c>
      <c r="K22" s="53" t="s">
        <v>161</v>
      </c>
      <c r="L22" s="53">
        <v>3</v>
      </c>
      <c r="N22" s="53">
        <v>1</v>
      </c>
      <c r="O22" s="53">
        <v>0.75</v>
      </c>
      <c r="P22" s="53">
        <v>0.7</v>
      </c>
      <c r="Q22" s="75">
        <f t="shared" si="0"/>
        <v>0.72499999999999998</v>
      </c>
      <c r="R22" s="53">
        <v>13.3</v>
      </c>
      <c r="S22" s="53">
        <v>129</v>
      </c>
      <c r="T22" s="16">
        <f t="shared" si="1"/>
        <v>25</v>
      </c>
      <c r="U22" s="53">
        <v>138</v>
      </c>
      <c r="V22" s="16">
        <f t="shared" si="2"/>
        <v>3450</v>
      </c>
      <c r="W22" s="53">
        <v>2</v>
      </c>
      <c r="X22" s="53" t="s">
        <v>46</v>
      </c>
      <c r="Y22" s="53" t="s">
        <v>84</v>
      </c>
      <c r="Z22" s="53" t="s">
        <v>78</v>
      </c>
      <c r="AA22" s="53" t="s">
        <v>102</v>
      </c>
      <c r="AB22" s="53" t="s">
        <v>237</v>
      </c>
      <c r="AP22" s="27" t="s">
        <v>115</v>
      </c>
      <c r="AR22" s="23" t="s">
        <v>83</v>
      </c>
    </row>
    <row r="23" spans="1:48" x14ac:dyDescent="0.15">
      <c r="A23" s="53" t="s">
        <v>56</v>
      </c>
      <c r="B23" s="53" t="s">
        <v>233</v>
      </c>
      <c r="C23" s="53">
        <v>2019</v>
      </c>
      <c r="D23" s="81" t="s">
        <v>234</v>
      </c>
      <c r="E23" s="53" t="s">
        <v>253</v>
      </c>
      <c r="F23" s="53" t="s">
        <v>254</v>
      </c>
      <c r="G23" s="53" t="s">
        <v>42</v>
      </c>
      <c r="H23" s="53" t="s">
        <v>160</v>
      </c>
      <c r="I23" s="53" t="s">
        <v>159</v>
      </c>
      <c r="J23" s="53" t="s">
        <v>38</v>
      </c>
      <c r="K23" s="53" t="s">
        <v>161</v>
      </c>
      <c r="L23" s="53">
        <v>1</v>
      </c>
      <c r="N23" s="53">
        <v>1</v>
      </c>
      <c r="O23" s="53">
        <v>0.55000000000000004</v>
      </c>
      <c r="P23" s="53">
        <v>0.55000000000000004</v>
      </c>
      <c r="Q23" s="75">
        <f t="shared" si="0"/>
        <v>0.55000000000000004</v>
      </c>
      <c r="R23" s="53">
        <v>17.100000000000001</v>
      </c>
      <c r="S23" s="53">
        <v>129</v>
      </c>
      <c r="T23" s="16">
        <f t="shared" si="1"/>
        <v>25</v>
      </c>
      <c r="U23" s="53">
        <v>138</v>
      </c>
      <c r="V23" s="16">
        <f t="shared" si="2"/>
        <v>3450</v>
      </c>
      <c r="W23" s="53">
        <v>2</v>
      </c>
      <c r="X23" s="53" t="s">
        <v>46</v>
      </c>
      <c r="Y23" s="53" t="s">
        <v>84</v>
      </c>
      <c r="Z23" s="53" t="s">
        <v>78</v>
      </c>
      <c r="AA23" s="53" t="s">
        <v>102</v>
      </c>
      <c r="AB23" s="53" t="s">
        <v>237</v>
      </c>
      <c r="AP23" s="27" t="s">
        <v>137</v>
      </c>
      <c r="AR23" s="23" t="s">
        <v>61</v>
      </c>
    </row>
    <row r="24" spans="1:48" x14ac:dyDescent="0.15">
      <c r="A24" s="53" t="s">
        <v>56</v>
      </c>
      <c r="B24" s="53" t="s">
        <v>233</v>
      </c>
      <c r="C24" s="53">
        <v>2019</v>
      </c>
      <c r="D24" s="81" t="s">
        <v>234</v>
      </c>
      <c r="E24" s="53" t="s">
        <v>253</v>
      </c>
      <c r="F24" s="53" t="s">
        <v>254</v>
      </c>
      <c r="G24" s="53" t="s">
        <v>42</v>
      </c>
      <c r="H24" s="53" t="s">
        <v>160</v>
      </c>
      <c r="I24" s="53" t="s">
        <v>159</v>
      </c>
      <c r="J24" s="53" t="s">
        <v>38</v>
      </c>
      <c r="K24" s="53" t="s">
        <v>161</v>
      </c>
      <c r="L24" s="53">
        <v>2</v>
      </c>
      <c r="N24" s="53">
        <v>1</v>
      </c>
      <c r="O24" s="53">
        <v>0.55000000000000004</v>
      </c>
      <c r="P24" s="53">
        <v>0.55000000000000004</v>
      </c>
      <c r="Q24" s="75">
        <f t="shared" si="0"/>
        <v>0.55000000000000004</v>
      </c>
      <c r="R24" s="53">
        <v>16.399999999999999</v>
      </c>
      <c r="S24" s="53">
        <v>129</v>
      </c>
      <c r="T24" s="16">
        <f t="shared" si="1"/>
        <v>25</v>
      </c>
      <c r="U24" s="53">
        <v>138</v>
      </c>
      <c r="V24" s="16">
        <f t="shared" si="2"/>
        <v>3450</v>
      </c>
      <c r="W24" s="53">
        <v>2</v>
      </c>
      <c r="X24" s="53" t="s">
        <v>46</v>
      </c>
      <c r="Y24" s="53" t="s">
        <v>84</v>
      </c>
      <c r="Z24" s="53" t="s">
        <v>78</v>
      </c>
      <c r="AA24" s="53" t="s">
        <v>102</v>
      </c>
      <c r="AB24" s="53" t="s">
        <v>237</v>
      </c>
      <c r="AP24" s="27" t="s">
        <v>138</v>
      </c>
      <c r="AR24" s="23" t="s">
        <v>91</v>
      </c>
    </row>
    <row r="25" spans="1:48" x14ac:dyDescent="0.15">
      <c r="A25" s="53" t="s">
        <v>56</v>
      </c>
      <c r="B25" s="53" t="s">
        <v>233</v>
      </c>
      <c r="C25" s="53">
        <v>2019</v>
      </c>
      <c r="D25" s="81" t="s">
        <v>234</v>
      </c>
      <c r="E25" s="53" t="s">
        <v>253</v>
      </c>
      <c r="F25" s="53" t="s">
        <v>254</v>
      </c>
      <c r="G25" s="53" t="s">
        <v>42</v>
      </c>
      <c r="H25" s="53" t="s">
        <v>160</v>
      </c>
      <c r="I25" s="53" t="s">
        <v>159</v>
      </c>
      <c r="J25" s="53" t="s">
        <v>38</v>
      </c>
      <c r="K25" s="53" t="s">
        <v>161</v>
      </c>
      <c r="L25" s="53">
        <v>3</v>
      </c>
      <c r="N25" s="53">
        <v>1</v>
      </c>
      <c r="O25" s="53">
        <v>0.55000000000000004</v>
      </c>
      <c r="P25" s="53">
        <v>0.55000000000000004</v>
      </c>
      <c r="Q25" s="75">
        <f t="shared" si="0"/>
        <v>0.55000000000000004</v>
      </c>
      <c r="R25" s="53">
        <v>17.399999999999999</v>
      </c>
      <c r="S25" s="53">
        <v>125</v>
      </c>
      <c r="T25" s="16">
        <f t="shared" si="1"/>
        <v>27</v>
      </c>
      <c r="U25" s="53">
        <v>138</v>
      </c>
      <c r="V25" s="16">
        <f t="shared" si="2"/>
        <v>3726</v>
      </c>
      <c r="W25" s="53">
        <v>2</v>
      </c>
      <c r="X25" s="53" t="s">
        <v>46</v>
      </c>
      <c r="Y25" s="53" t="s">
        <v>84</v>
      </c>
      <c r="Z25" s="53" t="s">
        <v>78</v>
      </c>
      <c r="AA25" s="53" t="s">
        <v>102</v>
      </c>
      <c r="AB25" s="53" t="s">
        <v>237</v>
      </c>
      <c r="AP25" s="27" t="s">
        <v>116</v>
      </c>
      <c r="AR25" s="27" t="s">
        <v>92</v>
      </c>
    </row>
    <row r="26" spans="1:48" x14ac:dyDescent="0.15">
      <c r="A26" s="53" t="s">
        <v>56</v>
      </c>
      <c r="B26" s="53" t="s">
        <v>233</v>
      </c>
      <c r="C26" s="53">
        <v>2019</v>
      </c>
      <c r="D26" s="81" t="s">
        <v>234</v>
      </c>
      <c r="E26" s="53" t="s">
        <v>256</v>
      </c>
      <c r="F26" s="53" t="s">
        <v>252</v>
      </c>
      <c r="G26" s="53" t="s">
        <v>42</v>
      </c>
      <c r="H26" s="53" t="s">
        <v>164</v>
      </c>
      <c r="I26" s="53" t="s">
        <v>159</v>
      </c>
      <c r="J26" s="53" t="s">
        <v>38</v>
      </c>
      <c r="K26" s="53" t="s">
        <v>161</v>
      </c>
      <c r="L26" s="53">
        <v>1</v>
      </c>
      <c r="N26" s="53">
        <v>1</v>
      </c>
      <c r="O26" s="53">
        <v>0.7</v>
      </c>
      <c r="P26" s="53">
        <v>0.7</v>
      </c>
      <c r="Q26" s="16">
        <f t="shared" si="0"/>
        <v>0.7</v>
      </c>
      <c r="R26" s="53">
        <v>12.1</v>
      </c>
      <c r="S26" s="53">
        <v>127</v>
      </c>
      <c r="T26" s="16">
        <f t="shared" si="1"/>
        <v>27</v>
      </c>
      <c r="U26" s="53">
        <v>105</v>
      </c>
      <c r="V26" s="16">
        <f t="shared" si="2"/>
        <v>2835</v>
      </c>
      <c r="W26" s="53">
        <v>2</v>
      </c>
      <c r="X26" s="53" t="s">
        <v>39</v>
      </c>
      <c r="Y26" s="53" t="s">
        <v>90</v>
      </c>
      <c r="Z26" s="53" t="s">
        <v>84</v>
      </c>
      <c r="AA26" s="53" t="s">
        <v>78</v>
      </c>
      <c r="AB26" s="53" t="s">
        <v>237</v>
      </c>
      <c r="AP26" s="27" t="s">
        <v>117</v>
      </c>
      <c r="AR26" s="53" t="s">
        <v>153</v>
      </c>
    </row>
    <row r="27" spans="1:48" x14ac:dyDescent="0.15">
      <c r="A27" s="53" t="s">
        <v>56</v>
      </c>
      <c r="B27" s="53" t="s">
        <v>233</v>
      </c>
      <c r="C27" s="53">
        <v>2019</v>
      </c>
      <c r="D27" s="81" t="s">
        <v>234</v>
      </c>
      <c r="E27" s="53" t="s">
        <v>256</v>
      </c>
      <c r="F27" s="53" t="s">
        <v>252</v>
      </c>
      <c r="G27" s="53" t="s">
        <v>42</v>
      </c>
      <c r="H27" s="53" t="s">
        <v>164</v>
      </c>
      <c r="I27" s="53" t="s">
        <v>159</v>
      </c>
      <c r="J27" s="53" t="s">
        <v>38</v>
      </c>
      <c r="K27" s="53" t="s">
        <v>161</v>
      </c>
      <c r="L27" s="53">
        <v>2</v>
      </c>
      <c r="N27" s="53">
        <v>1</v>
      </c>
      <c r="O27" s="53">
        <v>0.8</v>
      </c>
      <c r="P27" s="53">
        <v>0.75</v>
      </c>
      <c r="Q27" s="16">
        <f t="shared" si="0"/>
        <v>0.77500000000000002</v>
      </c>
      <c r="R27" s="53">
        <v>14.7</v>
      </c>
      <c r="S27" s="53">
        <v>129</v>
      </c>
      <c r="T27" s="16">
        <f t="shared" si="1"/>
        <v>25</v>
      </c>
      <c r="U27" s="53">
        <v>105</v>
      </c>
      <c r="V27" s="16">
        <f t="shared" si="2"/>
        <v>2625</v>
      </c>
      <c r="W27" s="53">
        <v>2</v>
      </c>
      <c r="X27" s="53" t="s">
        <v>39</v>
      </c>
      <c r="Y27" s="53" t="s">
        <v>90</v>
      </c>
      <c r="Z27" s="53" t="s">
        <v>84</v>
      </c>
      <c r="AA27" s="53" t="s">
        <v>78</v>
      </c>
      <c r="AB27" s="53" t="s">
        <v>237</v>
      </c>
      <c r="AP27" s="27" t="s">
        <v>118</v>
      </c>
    </row>
    <row r="28" spans="1:48" x14ac:dyDescent="0.15">
      <c r="A28" s="53" t="s">
        <v>56</v>
      </c>
      <c r="B28" s="53" t="s">
        <v>233</v>
      </c>
      <c r="C28" s="53">
        <v>2019</v>
      </c>
      <c r="D28" s="81" t="s">
        <v>234</v>
      </c>
      <c r="E28" s="53" t="s">
        <v>256</v>
      </c>
      <c r="F28" s="53" t="s">
        <v>252</v>
      </c>
      <c r="G28" s="53" t="s">
        <v>42</v>
      </c>
      <c r="H28" s="53" t="s">
        <v>164</v>
      </c>
      <c r="I28" s="53" t="s">
        <v>159</v>
      </c>
      <c r="J28" s="53" t="s">
        <v>38</v>
      </c>
      <c r="K28" s="53" t="s">
        <v>161</v>
      </c>
      <c r="L28" s="53">
        <v>3</v>
      </c>
      <c r="N28" s="53">
        <v>1</v>
      </c>
      <c r="O28" s="53">
        <v>0.7</v>
      </c>
      <c r="P28" s="53">
        <v>0.7</v>
      </c>
      <c r="Q28" s="16">
        <f t="shared" si="0"/>
        <v>0.7</v>
      </c>
      <c r="R28" s="53">
        <v>15</v>
      </c>
      <c r="S28" s="53">
        <v>129</v>
      </c>
      <c r="T28" s="16">
        <f t="shared" si="1"/>
        <v>25</v>
      </c>
      <c r="U28" s="53">
        <v>105</v>
      </c>
      <c r="V28" s="16">
        <f t="shared" si="2"/>
        <v>2625</v>
      </c>
      <c r="W28" s="53">
        <v>2</v>
      </c>
      <c r="X28" s="53" t="s">
        <v>39</v>
      </c>
      <c r="Y28" s="53" t="s">
        <v>90</v>
      </c>
      <c r="Z28" s="53" t="s">
        <v>84</v>
      </c>
      <c r="AA28" s="53" t="s">
        <v>78</v>
      </c>
      <c r="AB28" s="53" t="s">
        <v>237</v>
      </c>
    </row>
    <row r="29" spans="1:48" x14ac:dyDescent="0.15">
      <c r="A29" s="53" t="s">
        <v>56</v>
      </c>
      <c r="B29" s="53" t="s">
        <v>233</v>
      </c>
      <c r="C29" s="53">
        <v>2019</v>
      </c>
      <c r="D29" s="81" t="s">
        <v>234</v>
      </c>
      <c r="E29" s="53" t="s">
        <v>256</v>
      </c>
      <c r="F29" s="53" t="s">
        <v>252</v>
      </c>
      <c r="G29" s="53" t="s">
        <v>42</v>
      </c>
      <c r="H29" s="53" t="s">
        <v>160</v>
      </c>
      <c r="I29" s="53" t="s">
        <v>159</v>
      </c>
      <c r="J29" s="53" t="s">
        <v>38</v>
      </c>
      <c r="K29" s="53" t="s">
        <v>161</v>
      </c>
      <c r="L29" s="53">
        <v>1</v>
      </c>
      <c r="N29" s="53">
        <v>1</v>
      </c>
      <c r="O29" s="53">
        <v>0.6</v>
      </c>
      <c r="P29" s="53">
        <v>0.6</v>
      </c>
      <c r="Q29" s="16">
        <f t="shared" si="0"/>
        <v>0.6</v>
      </c>
      <c r="R29" s="53">
        <v>18.2</v>
      </c>
      <c r="S29" s="53">
        <v>116</v>
      </c>
      <c r="T29" s="16">
        <f t="shared" si="1"/>
        <v>30</v>
      </c>
      <c r="U29" s="53">
        <v>105</v>
      </c>
      <c r="V29" s="16">
        <f t="shared" si="2"/>
        <v>3150</v>
      </c>
      <c r="W29" s="53">
        <v>2</v>
      </c>
      <c r="X29" s="53" t="s">
        <v>39</v>
      </c>
      <c r="Y29" s="53" t="s">
        <v>90</v>
      </c>
      <c r="Z29" s="53" t="s">
        <v>84</v>
      </c>
      <c r="AA29" s="53" t="s">
        <v>78</v>
      </c>
      <c r="AB29" s="53" t="s">
        <v>237</v>
      </c>
    </row>
    <row r="30" spans="1:48" x14ac:dyDescent="0.15">
      <c r="A30" s="53" t="s">
        <v>56</v>
      </c>
      <c r="B30" s="53" t="s">
        <v>233</v>
      </c>
      <c r="C30" s="53">
        <v>2019</v>
      </c>
      <c r="D30" s="81" t="s">
        <v>234</v>
      </c>
      <c r="E30" s="53" t="s">
        <v>256</v>
      </c>
      <c r="F30" s="53" t="s">
        <v>252</v>
      </c>
      <c r="G30" s="53" t="s">
        <v>42</v>
      </c>
      <c r="H30" s="53" t="s">
        <v>160</v>
      </c>
      <c r="I30" s="53" t="s">
        <v>159</v>
      </c>
      <c r="J30" s="53" t="s">
        <v>38</v>
      </c>
      <c r="K30" s="53" t="s">
        <v>161</v>
      </c>
      <c r="L30" s="53">
        <v>2</v>
      </c>
      <c r="N30" s="53">
        <v>1</v>
      </c>
      <c r="O30" s="53">
        <v>0.7</v>
      </c>
      <c r="P30" s="53">
        <v>0.55000000000000004</v>
      </c>
      <c r="Q30" s="16">
        <f t="shared" si="0"/>
        <v>0.625</v>
      </c>
      <c r="R30" s="53">
        <v>14.7</v>
      </c>
      <c r="S30" s="53">
        <v>115</v>
      </c>
      <c r="T30" s="16">
        <f t="shared" si="1"/>
        <v>30</v>
      </c>
      <c r="U30" s="53">
        <v>105</v>
      </c>
      <c r="V30" s="16">
        <f t="shared" si="2"/>
        <v>3150</v>
      </c>
      <c r="W30" s="53">
        <v>2</v>
      </c>
      <c r="X30" s="53" t="s">
        <v>39</v>
      </c>
      <c r="Y30" s="53" t="s">
        <v>90</v>
      </c>
      <c r="Z30" s="53" t="s">
        <v>84</v>
      </c>
      <c r="AA30" s="53" t="s">
        <v>78</v>
      </c>
      <c r="AB30" s="53" t="s">
        <v>237</v>
      </c>
    </row>
    <row r="31" spans="1:48" x14ac:dyDescent="0.15">
      <c r="A31" s="53" t="s">
        <v>56</v>
      </c>
      <c r="B31" s="53" t="s">
        <v>233</v>
      </c>
      <c r="C31" s="53">
        <v>2019</v>
      </c>
      <c r="D31" s="81" t="s">
        <v>234</v>
      </c>
      <c r="E31" s="53" t="s">
        <v>256</v>
      </c>
      <c r="F31" s="53" t="s">
        <v>252</v>
      </c>
      <c r="G31" s="53" t="s">
        <v>42</v>
      </c>
      <c r="H31" s="53" t="s">
        <v>160</v>
      </c>
      <c r="I31" s="53" t="s">
        <v>159</v>
      </c>
      <c r="J31" s="53" t="s">
        <v>38</v>
      </c>
      <c r="K31" s="53" t="s">
        <v>161</v>
      </c>
      <c r="L31" s="53">
        <v>3</v>
      </c>
      <c r="N31" s="53">
        <v>1</v>
      </c>
      <c r="O31" s="53">
        <v>0.65</v>
      </c>
      <c r="P31" s="53">
        <v>0.65</v>
      </c>
      <c r="Q31" s="16">
        <f t="shared" si="0"/>
        <v>0.65</v>
      </c>
      <c r="R31" s="53">
        <v>15.5</v>
      </c>
      <c r="S31" s="53">
        <v>126</v>
      </c>
      <c r="T31" s="16">
        <f t="shared" si="1"/>
        <v>27</v>
      </c>
      <c r="U31" s="53">
        <v>105</v>
      </c>
      <c r="V31" s="16">
        <f t="shared" si="2"/>
        <v>2835</v>
      </c>
      <c r="W31" s="53">
        <v>2</v>
      </c>
      <c r="X31" s="53" t="s">
        <v>39</v>
      </c>
      <c r="Y31" s="53" t="s">
        <v>90</v>
      </c>
      <c r="Z31" s="53" t="s">
        <v>84</v>
      </c>
      <c r="AA31" s="53" t="s">
        <v>78</v>
      </c>
      <c r="AB31" s="53" t="s">
        <v>237</v>
      </c>
    </row>
    <row r="32" spans="1:48" x14ac:dyDescent="0.15">
      <c r="A32" s="53" t="s">
        <v>56</v>
      </c>
      <c r="B32" s="53" t="s">
        <v>233</v>
      </c>
      <c r="C32" s="53">
        <v>2019</v>
      </c>
      <c r="D32" s="81" t="s">
        <v>234</v>
      </c>
      <c r="E32" s="53" t="s">
        <v>162</v>
      </c>
      <c r="F32" s="53" t="s">
        <v>249</v>
      </c>
      <c r="G32" s="53" t="s">
        <v>42</v>
      </c>
      <c r="H32" s="53" t="s">
        <v>164</v>
      </c>
      <c r="I32" s="53" t="s">
        <v>159</v>
      </c>
      <c r="J32" s="53" t="s">
        <v>38</v>
      </c>
      <c r="K32" s="53" t="s">
        <v>161</v>
      </c>
      <c r="L32" s="53">
        <v>1</v>
      </c>
      <c r="N32" s="53">
        <v>1</v>
      </c>
      <c r="O32" s="53">
        <v>0.7</v>
      </c>
      <c r="P32" s="53">
        <v>0.7</v>
      </c>
      <c r="Q32" s="16">
        <f t="shared" si="0"/>
        <v>0.7</v>
      </c>
      <c r="R32" s="53">
        <v>16</v>
      </c>
      <c r="S32" s="53">
        <v>121</v>
      </c>
      <c r="T32" s="16">
        <f t="shared" si="1"/>
        <v>27</v>
      </c>
      <c r="U32" s="53">
        <v>106</v>
      </c>
      <c r="V32" s="16">
        <f t="shared" si="2"/>
        <v>2862</v>
      </c>
      <c r="W32" s="53">
        <v>2</v>
      </c>
      <c r="X32" s="53" t="s">
        <v>46</v>
      </c>
      <c r="Y32" s="53" t="s">
        <v>90</v>
      </c>
      <c r="Z32" s="53" t="s">
        <v>84</v>
      </c>
      <c r="AA32" s="53" t="s">
        <v>78</v>
      </c>
      <c r="AB32" s="53" t="s">
        <v>237</v>
      </c>
    </row>
    <row r="33" spans="1:28" x14ac:dyDescent="0.15">
      <c r="A33" s="53" t="s">
        <v>56</v>
      </c>
      <c r="B33" s="53" t="s">
        <v>233</v>
      </c>
      <c r="C33" s="53">
        <v>2019</v>
      </c>
      <c r="D33" s="81" t="s">
        <v>234</v>
      </c>
      <c r="E33" s="53" t="s">
        <v>162</v>
      </c>
      <c r="F33" s="53" t="s">
        <v>249</v>
      </c>
      <c r="G33" s="53" t="s">
        <v>42</v>
      </c>
      <c r="H33" s="53" t="s">
        <v>164</v>
      </c>
      <c r="I33" s="53" t="s">
        <v>159</v>
      </c>
      <c r="J33" s="53" t="s">
        <v>38</v>
      </c>
      <c r="K33" s="53" t="s">
        <v>161</v>
      </c>
      <c r="L33" s="53">
        <v>2</v>
      </c>
      <c r="N33" s="53">
        <v>1</v>
      </c>
      <c r="O33" s="53">
        <v>0.6</v>
      </c>
      <c r="P33" s="53">
        <v>0.6</v>
      </c>
      <c r="Q33" s="16">
        <f t="shared" si="0"/>
        <v>0.6</v>
      </c>
      <c r="R33" s="53">
        <v>16.7</v>
      </c>
      <c r="S33" s="53">
        <v>120</v>
      </c>
      <c r="T33" s="16">
        <f t="shared" si="1"/>
        <v>30</v>
      </c>
      <c r="U33" s="53">
        <v>106</v>
      </c>
      <c r="V33" s="16">
        <f t="shared" si="2"/>
        <v>3180</v>
      </c>
      <c r="W33" s="53">
        <v>2</v>
      </c>
      <c r="X33" s="53" t="s">
        <v>46</v>
      </c>
      <c r="Y33" s="53" t="s">
        <v>90</v>
      </c>
      <c r="Z33" s="53" t="s">
        <v>84</v>
      </c>
      <c r="AA33" s="53" t="s">
        <v>78</v>
      </c>
      <c r="AB33" s="53" t="s">
        <v>237</v>
      </c>
    </row>
    <row r="34" spans="1:28" x14ac:dyDescent="0.15">
      <c r="A34" s="53" t="s">
        <v>56</v>
      </c>
      <c r="B34" s="53" t="s">
        <v>233</v>
      </c>
      <c r="C34" s="53">
        <v>2019</v>
      </c>
      <c r="D34" s="81" t="s">
        <v>234</v>
      </c>
      <c r="E34" s="53" t="s">
        <v>162</v>
      </c>
      <c r="F34" s="53" t="s">
        <v>249</v>
      </c>
      <c r="G34" s="53" t="s">
        <v>42</v>
      </c>
      <c r="H34" s="53" t="s">
        <v>164</v>
      </c>
      <c r="I34" s="53" t="s">
        <v>159</v>
      </c>
      <c r="J34" s="53" t="s">
        <v>38</v>
      </c>
      <c r="K34" s="53" t="s">
        <v>161</v>
      </c>
      <c r="L34" s="53">
        <v>3</v>
      </c>
      <c r="N34" s="53">
        <v>1</v>
      </c>
      <c r="O34" s="53">
        <v>0.8</v>
      </c>
      <c r="P34" s="53">
        <v>0.8</v>
      </c>
      <c r="Q34" s="16">
        <f t="shared" si="0"/>
        <v>0.8</v>
      </c>
      <c r="R34" s="53">
        <v>15.4</v>
      </c>
      <c r="S34" s="53">
        <v>121</v>
      </c>
      <c r="T34" s="16">
        <f t="shared" si="1"/>
        <v>27</v>
      </c>
      <c r="U34" s="53">
        <v>106</v>
      </c>
      <c r="V34" s="16">
        <f t="shared" si="2"/>
        <v>2862</v>
      </c>
      <c r="W34" s="53">
        <v>2</v>
      </c>
      <c r="X34" s="53" t="s">
        <v>46</v>
      </c>
      <c r="Y34" s="53" t="s">
        <v>90</v>
      </c>
      <c r="Z34" s="53" t="s">
        <v>84</v>
      </c>
      <c r="AA34" s="53" t="s">
        <v>78</v>
      </c>
      <c r="AB34" s="53" t="s">
        <v>237</v>
      </c>
    </row>
    <row r="35" spans="1:28" x14ac:dyDescent="0.15">
      <c r="A35" s="53" t="s">
        <v>56</v>
      </c>
      <c r="B35" s="53" t="s">
        <v>233</v>
      </c>
      <c r="C35" s="53">
        <v>2019</v>
      </c>
      <c r="D35" s="81" t="s">
        <v>234</v>
      </c>
      <c r="E35" s="53" t="s">
        <v>162</v>
      </c>
      <c r="F35" s="53" t="s">
        <v>249</v>
      </c>
      <c r="G35" s="53" t="s">
        <v>42</v>
      </c>
      <c r="H35" s="53" t="s">
        <v>160</v>
      </c>
      <c r="I35" s="53" t="s">
        <v>159</v>
      </c>
      <c r="J35" s="53" t="s">
        <v>38</v>
      </c>
      <c r="K35" s="53" t="s">
        <v>161</v>
      </c>
      <c r="L35" s="53">
        <v>1</v>
      </c>
      <c r="N35" s="53">
        <v>1</v>
      </c>
      <c r="O35" s="53">
        <v>0.6</v>
      </c>
      <c r="P35" s="53">
        <v>0.65</v>
      </c>
      <c r="Q35" s="16">
        <f t="shared" si="0"/>
        <v>0.625</v>
      </c>
      <c r="R35" s="53">
        <v>16</v>
      </c>
      <c r="S35" s="53">
        <v>108</v>
      </c>
      <c r="T35" s="16">
        <f t="shared" si="1"/>
        <v>33</v>
      </c>
      <c r="U35" s="53">
        <v>138</v>
      </c>
      <c r="V35" s="16">
        <f t="shared" si="2"/>
        <v>4554</v>
      </c>
      <c r="W35" s="53">
        <v>2</v>
      </c>
      <c r="X35" s="53" t="s">
        <v>46</v>
      </c>
      <c r="Y35" s="53" t="s">
        <v>90</v>
      </c>
      <c r="Z35" s="53" t="s">
        <v>84</v>
      </c>
      <c r="AA35" s="53" t="s">
        <v>78</v>
      </c>
      <c r="AB35" s="53" t="s">
        <v>237</v>
      </c>
    </row>
    <row r="36" spans="1:28" x14ac:dyDescent="0.15">
      <c r="A36" s="53" t="s">
        <v>56</v>
      </c>
      <c r="B36" s="53" t="s">
        <v>233</v>
      </c>
      <c r="C36" s="53">
        <v>2019</v>
      </c>
      <c r="D36" s="81" t="s">
        <v>234</v>
      </c>
      <c r="E36" s="53" t="s">
        <v>162</v>
      </c>
      <c r="F36" s="53" t="s">
        <v>249</v>
      </c>
      <c r="G36" s="53" t="s">
        <v>42</v>
      </c>
      <c r="H36" s="53" t="s">
        <v>160</v>
      </c>
      <c r="I36" s="53" t="s">
        <v>159</v>
      </c>
      <c r="J36" s="53" t="s">
        <v>38</v>
      </c>
      <c r="K36" s="53" t="s">
        <v>161</v>
      </c>
      <c r="L36" s="53">
        <v>2</v>
      </c>
      <c r="N36" s="53">
        <v>1</v>
      </c>
      <c r="O36" s="53">
        <v>0.65</v>
      </c>
      <c r="P36" s="53">
        <v>0.7</v>
      </c>
      <c r="Q36" s="16">
        <f t="shared" si="0"/>
        <v>0.67500000000000004</v>
      </c>
      <c r="R36" s="53">
        <v>14.4</v>
      </c>
      <c r="S36" s="53">
        <v>112</v>
      </c>
      <c r="T36" s="16">
        <f t="shared" si="1"/>
        <v>33</v>
      </c>
      <c r="U36" s="53">
        <v>138</v>
      </c>
      <c r="V36" s="16">
        <f t="shared" si="2"/>
        <v>4554</v>
      </c>
      <c r="W36" s="53">
        <v>2</v>
      </c>
      <c r="X36" s="53" t="s">
        <v>46</v>
      </c>
      <c r="Y36" s="53" t="s">
        <v>90</v>
      </c>
      <c r="Z36" s="53" t="s">
        <v>84</v>
      </c>
      <c r="AA36" s="53" t="s">
        <v>78</v>
      </c>
      <c r="AB36" s="53" t="s">
        <v>237</v>
      </c>
    </row>
    <row r="37" spans="1:28" x14ac:dyDescent="0.15">
      <c r="A37" s="53" t="s">
        <v>56</v>
      </c>
      <c r="B37" s="53" t="s">
        <v>233</v>
      </c>
      <c r="C37" s="53">
        <v>2019</v>
      </c>
      <c r="D37" s="81" t="s">
        <v>234</v>
      </c>
      <c r="E37" s="53" t="s">
        <v>162</v>
      </c>
      <c r="F37" s="53" t="s">
        <v>249</v>
      </c>
      <c r="G37" s="53" t="s">
        <v>42</v>
      </c>
      <c r="H37" s="53" t="s">
        <v>160</v>
      </c>
      <c r="I37" s="53" t="s">
        <v>159</v>
      </c>
      <c r="J37" s="53" t="s">
        <v>38</v>
      </c>
      <c r="K37" s="53" t="s">
        <v>161</v>
      </c>
      <c r="L37" s="53">
        <v>3</v>
      </c>
      <c r="N37" s="53">
        <v>1</v>
      </c>
      <c r="O37" s="53">
        <v>0.7</v>
      </c>
      <c r="P37" s="53">
        <v>0.65</v>
      </c>
      <c r="Q37" s="16">
        <f t="shared" si="0"/>
        <v>0.67500000000000004</v>
      </c>
      <c r="R37" s="53">
        <v>15.9</v>
      </c>
      <c r="S37" s="53">
        <v>110</v>
      </c>
      <c r="T37" s="16">
        <f t="shared" si="1"/>
        <v>33</v>
      </c>
      <c r="U37" s="53">
        <v>138</v>
      </c>
      <c r="V37" s="16">
        <f t="shared" si="2"/>
        <v>4554</v>
      </c>
      <c r="W37" s="53">
        <v>2</v>
      </c>
      <c r="X37" s="53" t="s">
        <v>46</v>
      </c>
      <c r="Y37" s="53" t="s">
        <v>90</v>
      </c>
      <c r="Z37" s="53" t="s">
        <v>84</v>
      </c>
      <c r="AA37" s="53" t="s">
        <v>78</v>
      </c>
      <c r="AB37" s="53" t="s">
        <v>237</v>
      </c>
    </row>
    <row r="38" spans="1:28" x14ac:dyDescent="0.15">
      <c r="A38" s="53" t="s">
        <v>56</v>
      </c>
      <c r="B38" s="53" t="s">
        <v>233</v>
      </c>
      <c r="C38" s="53">
        <v>2019</v>
      </c>
      <c r="D38" s="81" t="s">
        <v>234</v>
      </c>
      <c r="E38" s="53" t="s">
        <v>257</v>
      </c>
      <c r="F38" s="53" t="s">
        <v>249</v>
      </c>
      <c r="G38" s="53" t="s">
        <v>42</v>
      </c>
      <c r="H38" s="53" t="s">
        <v>164</v>
      </c>
      <c r="I38" s="53" t="s">
        <v>159</v>
      </c>
      <c r="J38" s="53" t="s">
        <v>38</v>
      </c>
      <c r="K38" s="53" t="s">
        <v>161</v>
      </c>
      <c r="L38" s="53">
        <v>1</v>
      </c>
      <c r="N38" s="53">
        <v>1</v>
      </c>
      <c r="O38" s="53">
        <v>0.55000000000000004</v>
      </c>
      <c r="P38" s="53">
        <v>0.7</v>
      </c>
      <c r="Q38" s="16">
        <f t="shared" si="0"/>
        <v>0.625</v>
      </c>
      <c r="R38" s="53">
        <v>14.4</v>
      </c>
      <c r="S38" s="53">
        <v>130</v>
      </c>
      <c r="T38" s="16">
        <f t="shared" si="1"/>
        <v>25</v>
      </c>
      <c r="U38" s="53">
        <v>138</v>
      </c>
      <c r="V38" s="16">
        <f t="shared" si="2"/>
        <v>3450</v>
      </c>
      <c r="W38" s="53">
        <v>1</v>
      </c>
      <c r="X38" s="53" t="s">
        <v>39</v>
      </c>
      <c r="Y38" s="53" t="s">
        <v>90</v>
      </c>
      <c r="Z38" s="53" t="s">
        <v>88</v>
      </c>
      <c r="AA38" s="53" t="s">
        <v>78</v>
      </c>
      <c r="AB38" s="53" t="s">
        <v>237</v>
      </c>
    </row>
    <row r="39" spans="1:28" x14ac:dyDescent="0.15">
      <c r="A39" s="53" t="s">
        <v>56</v>
      </c>
      <c r="B39" s="53" t="s">
        <v>233</v>
      </c>
      <c r="C39" s="53">
        <v>2019</v>
      </c>
      <c r="D39" s="81" t="s">
        <v>234</v>
      </c>
      <c r="E39" s="53" t="s">
        <v>257</v>
      </c>
      <c r="F39" s="53" t="s">
        <v>249</v>
      </c>
      <c r="G39" s="53" t="s">
        <v>42</v>
      </c>
      <c r="H39" s="53" t="s">
        <v>164</v>
      </c>
      <c r="I39" s="53" t="s">
        <v>159</v>
      </c>
      <c r="J39" s="53" t="s">
        <v>38</v>
      </c>
      <c r="K39" s="53" t="s">
        <v>161</v>
      </c>
      <c r="L39" s="53">
        <v>2</v>
      </c>
      <c r="N39" s="53">
        <v>1</v>
      </c>
      <c r="O39" s="53">
        <v>0.65</v>
      </c>
      <c r="P39" s="53">
        <v>0.75</v>
      </c>
      <c r="Q39" s="16">
        <f t="shared" si="0"/>
        <v>0.7</v>
      </c>
      <c r="R39" s="53">
        <v>15.3</v>
      </c>
      <c r="S39" s="53">
        <v>131</v>
      </c>
      <c r="T39" s="16">
        <f t="shared" si="1"/>
        <v>25</v>
      </c>
      <c r="U39" s="53">
        <v>138</v>
      </c>
      <c r="V39" s="16">
        <f t="shared" si="2"/>
        <v>3450</v>
      </c>
      <c r="W39" s="53">
        <v>1</v>
      </c>
      <c r="X39" s="53" t="s">
        <v>39</v>
      </c>
      <c r="Y39" s="53" t="s">
        <v>90</v>
      </c>
      <c r="Z39" s="53" t="s">
        <v>88</v>
      </c>
      <c r="AA39" s="53" t="s">
        <v>78</v>
      </c>
      <c r="AB39" s="53" t="s">
        <v>237</v>
      </c>
    </row>
    <row r="40" spans="1:28" x14ac:dyDescent="0.15">
      <c r="A40" s="53" t="s">
        <v>56</v>
      </c>
      <c r="B40" s="53" t="s">
        <v>233</v>
      </c>
      <c r="C40" s="53">
        <v>2019</v>
      </c>
      <c r="D40" s="81" t="s">
        <v>234</v>
      </c>
      <c r="E40" s="53" t="s">
        <v>257</v>
      </c>
      <c r="F40" s="53" t="s">
        <v>249</v>
      </c>
      <c r="G40" s="53" t="s">
        <v>42</v>
      </c>
      <c r="H40" s="53" t="s">
        <v>164</v>
      </c>
      <c r="I40" s="53" t="s">
        <v>159</v>
      </c>
      <c r="J40" s="53" t="s">
        <v>38</v>
      </c>
      <c r="K40" s="53" t="s">
        <v>161</v>
      </c>
      <c r="L40" s="53">
        <v>3</v>
      </c>
      <c r="N40" s="53">
        <v>1</v>
      </c>
      <c r="O40" s="53">
        <v>0.8</v>
      </c>
      <c r="P40" s="53">
        <v>0.75</v>
      </c>
      <c r="Q40" s="16">
        <f t="shared" si="0"/>
        <v>0.77500000000000002</v>
      </c>
      <c r="R40" s="53">
        <v>14.3</v>
      </c>
      <c r="S40" s="53">
        <v>131</v>
      </c>
      <c r="T40" s="16">
        <f t="shared" si="1"/>
        <v>25</v>
      </c>
      <c r="U40" s="53">
        <v>138</v>
      </c>
      <c r="V40" s="16">
        <f t="shared" si="2"/>
        <v>3450</v>
      </c>
      <c r="W40" s="53">
        <v>1</v>
      </c>
      <c r="X40" s="53" t="s">
        <v>39</v>
      </c>
      <c r="Y40" s="53" t="s">
        <v>90</v>
      </c>
      <c r="Z40" s="53" t="s">
        <v>88</v>
      </c>
      <c r="AA40" s="53" t="s">
        <v>78</v>
      </c>
      <c r="AB40" s="53" t="s">
        <v>237</v>
      </c>
    </row>
    <row r="41" spans="1:28" x14ac:dyDescent="0.15">
      <c r="A41" s="53" t="s">
        <v>56</v>
      </c>
      <c r="B41" s="53" t="s">
        <v>233</v>
      </c>
      <c r="C41" s="53">
        <v>2019</v>
      </c>
      <c r="D41" s="81" t="s">
        <v>234</v>
      </c>
      <c r="E41" s="53" t="s">
        <v>257</v>
      </c>
      <c r="F41" s="53" t="s">
        <v>249</v>
      </c>
      <c r="G41" s="53" t="s">
        <v>42</v>
      </c>
      <c r="H41" s="53" t="s">
        <v>160</v>
      </c>
      <c r="I41" s="53" t="s">
        <v>159</v>
      </c>
      <c r="J41" s="53" t="s">
        <v>38</v>
      </c>
      <c r="K41" s="53" t="s">
        <v>161</v>
      </c>
      <c r="L41" s="53">
        <v>1</v>
      </c>
      <c r="N41" s="53">
        <v>1</v>
      </c>
      <c r="O41" s="53">
        <v>0.55000000000000004</v>
      </c>
      <c r="P41" s="53">
        <v>0.5</v>
      </c>
      <c r="Q41" s="16">
        <f t="shared" si="0"/>
        <v>0.52500000000000002</v>
      </c>
      <c r="R41" s="53">
        <v>15.9</v>
      </c>
      <c r="S41" s="53">
        <v>129</v>
      </c>
      <c r="T41" s="16">
        <f t="shared" si="1"/>
        <v>25</v>
      </c>
      <c r="U41" s="53">
        <v>150</v>
      </c>
      <c r="V41" s="16">
        <f t="shared" si="2"/>
        <v>3750</v>
      </c>
      <c r="W41" s="53">
        <v>1</v>
      </c>
      <c r="X41" s="53" t="s">
        <v>39</v>
      </c>
      <c r="Y41" s="53" t="s">
        <v>90</v>
      </c>
      <c r="Z41" s="53" t="s">
        <v>88</v>
      </c>
      <c r="AA41" s="53" t="s">
        <v>78</v>
      </c>
      <c r="AB41" s="53" t="s">
        <v>237</v>
      </c>
    </row>
    <row r="42" spans="1:28" x14ac:dyDescent="0.15">
      <c r="A42" s="53" t="s">
        <v>56</v>
      </c>
      <c r="B42" s="53" t="s">
        <v>233</v>
      </c>
      <c r="C42" s="53">
        <v>2019</v>
      </c>
      <c r="D42" s="81" t="s">
        <v>234</v>
      </c>
      <c r="E42" s="53" t="s">
        <v>257</v>
      </c>
      <c r="F42" s="53" t="s">
        <v>249</v>
      </c>
      <c r="G42" s="53" t="s">
        <v>42</v>
      </c>
      <c r="H42" s="53" t="s">
        <v>160</v>
      </c>
      <c r="I42" s="53" t="s">
        <v>159</v>
      </c>
      <c r="J42" s="53" t="s">
        <v>38</v>
      </c>
      <c r="K42" s="53" t="s">
        <v>161</v>
      </c>
      <c r="L42" s="53">
        <v>2</v>
      </c>
      <c r="N42" s="53">
        <v>1</v>
      </c>
      <c r="O42" s="53">
        <v>0.9</v>
      </c>
      <c r="P42" s="53">
        <v>0.8</v>
      </c>
      <c r="Q42" s="16">
        <f t="shared" si="0"/>
        <v>0.85000000000000009</v>
      </c>
      <c r="R42" s="53">
        <v>15.1</v>
      </c>
      <c r="S42" s="53">
        <v>133</v>
      </c>
      <c r="T42" s="16">
        <f t="shared" si="1"/>
        <v>25</v>
      </c>
      <c r="U42" s="53">
        <v>150</v>
      </c>
      <c r="V42" s="16">
        <f t="shared" si="2"/>
        <v>3750</v>
      </c>
      <c r="W42" s="53">
        <v>1</v>
      </c>
      <c r="X42" s="53" t="s">
        <v>39</v>
      </c>
      <c r="Y42" s="53" t="s">
        <v>90</v>
      </c>
      <c r="Z42" s="53" t="s">
        <v>88</v>
      </c>
      <c r="AA42" s="53" t="s">
        <v>78</v>
      </c>
      <c r="AB42" s="53" t="s">
        <v>237</v>
      </c>
    </row>
    <row r="43" spans="1:28" x14ac:dyDescent="0.15">
      <c r="A43" s="53" t="s">
        <v>56</v>
      </c>
      <c r="B43" s="53" t="s">
        <v>233</v>
      </c>
      <c r="C43" s="53">
        <v>2019</v>
      </c>
      <c r="D43" s="81" t="s">
        <v>234</v>
      </c>
      <c r="E43" s="53" t="s">
        <v>257</v>
      </c>
      <c r="F43" s="53" t="s">
        <v>249</v>
      </c>
      <c r="G43" s="53" t="s">
        <v>42</v>
      </c>
      <c r="H43" s="53" t="s">
        <v>160</v>
      </c>
      <c r="I43" s="53" t="s">
        <v>159</v>
      </c>
      <c r="J43" s="53" t="s">
        <v>38</v>
      </c>
      <c r="K43" s="53" t="s">
        <v>161</v>
      </c>
      <c r="L43" s="53">
        <v>3</v>
      </c>
      <c r="N43" s="53">
        <v>1</v>
      </c>
      <c r="O43" s="53">
        <v>0.85</v>
      </c>
      <c r="P43" s="53">
        <v>0.75</v>
      </c>
      <c r="Q43" s="16">
        <f t="shared" si="0"/>
        <v>0.8</v>
      </c>
      <c r="R43" s="53">
        <v>16.3</v>
      </c>
      <c r="S43" s="53">
        <v>127</v>
      </c>
      <c r="T43" s="16">
        <f t="shared" si="1"/>
        <v>27</v>
      </c>
      <c r="U43" s="53">
        <v>150</v>
      </c>
      <c r="V43" s="16">
        <f t="shared" si="2"/>
        <v>4050</v>
      </c>
      <c r="W43" s="53">
        <v>1</v>
      </c>
      <c r="X43" s="53" t="s">
        <v>39</v>
      </c>
      <c r="Y43" s="53" t="s">
        <v>90</v>
      </c>
      <c r="Z43" s="53" t="s">
        <v>88</v>
      </c>
      <c r="AA43" s="53" t="s">
        <v>78</v>
      </c>
      <c r="AB43" s="53" t="s">
        <v>237</v>
      </c>
    </row>
    <row r="44" spans="1:28" x14ac:dyDescent="0.15">
      <c r="A44" s="53" t="s">
        <v>56</v>
      </c>
      <c r="B44" s="53" t="s">
        <v>233</v>
      </c>
      <c r="C44" s="53">
        <v>2019</v>
      </c>
      <c r="D44" s="81" t="s">
        <v>234</v>
      </c>
      <c r="E44" s="53" t="s">
        <v>258</v>
      </c>
      <c r="F44" s="53" t="s">
        <v>239</v>
      </c>
      <c r="G44" s="53" t="s">
        <v>42</v>
      </c>
      <c r="H44" s="53" t="s">
        <v>164</v>
      </c>
      <c r="I44" s="53" t="s">
        <v>159</v>
      </c>
      <c r="J44" s="53" t="s">
        <v>38</v>
      </c>
      <c r="K44" s="53" t="s">
        <v>161</v>
      </c>
      <c r="L44" s="53">
        <v>1</v>
      </c>
      <c r="N44" s="53">
        <v>5</v>
      </c>
      <c r="O44" s="53">
        <v>0.9</v>
      </c>
      <c r="P44" s="53">
        <v>0.95</v>
      </c>
      <c r="Q44" s="16">
        <f t="shared" si="0"/>
        <v>0.92500000000000004</v>
      </c>
      <c r="R44" s="53">
        <v>14.7</v>
      </c>
      <c r="S44" s="53">
        <v>105</v>
      </c>
      <c r="T44" s="16">
        <f t="shared" si="1"/>
        <v>33</v>
      </c>
      <c r="U44" s="53">
        <v>429</v>
      </c>
      <c r="V44" s="16">
        <f t="shared" si="2"/>
        <v>2831.4</v>
      </c>
      <c r="W44" s="53">
        <v>1</v>
      </c>
      <c r="X44" s="53" t="s">
        <v>39</v>
      </c>
      <c r="Y44" s="53" t="s">
        <v>90</v>
      </c>
      <c r="Z44" s="53" t="s">
        <v>84</v>
      </c>
      <c r="AA44" s="53" t="s">
        <v>78</v>
      </c>
      <c r="AB44" s="53" t="s">
        <v>237</v>
      </c>
    </row>
    <row r="45" spans="1:28" x14ac:dyDescent="0.15">
      <c r="A45" s="53" t="s">
        <v>56</v>
      </c>
      <c r="B45" s="53" t="s">
        <v>233</v>
      </c>
      <c r="C45" s="53">
        <v>2019</v>
      </c>
      <c r="D45" s="81" t="s">
        <v>234</v>
      </c>
      <c r="E45" s="53" t="s">
        <v>258</v>
      </c>
      <c r="F45" s="53" t="s">
        <v>239</v>
      </c>
      <c r="G45" s="53" t="s">
        <v>42</v>
      </c>
      <c r="H45" s="53" t="s">
        <v>164</v>
      </c>
      <c r="I45" s="53" t="s">
        <v>159</v>
      </c>
      <c r="J45" s="53" t="s">
        <v>38</v>
      </c>
      <c r="K45" s="53" t="s">
        <v>161</v>
      </c>
      <c r="L45" s="53">
        <v>2</v>
      </c>
      <c r="N45" s="53">
        <v>5</v>
      </c>
      <c r="O45" s="53">
        <v>0.85</v>
      </c>
      <c r="P45" s="53">
        <v>0.9</v>
      </c>
      <c r="Q45" s="16">
        <f t="shared" si="0"/>
        <v>0.875</v>
      </c>
      <c r="R45" s="53">
        <v>14.2</v>
      </c>
      <c r="S45" s="53">
        <v>98</v>
      </c>
      <c r="T45" s="16">
        <f t="shared" si="1"/>
        <v>36</v>
      </c>
      <c r="U45" s="53">
        <v>429</v>
      </c>
      <c r="V45" s="16">
        <f t="shared" si="2"/>
        <v>3088.7999999999997</v>
      </c>
      <c r="W45" s="53">
        <v>1</v>
      </c>
      <c r="X45" s="53" t="s">
        <v>39</v>
      </c>
      <c r="Y45" s="53" t="s">
        <v>90</v>
      </c>
      <c r="Z45" s="53" t="s">
        <v>84</v>
      </c>
      <c r="AA45" s="53" t="s">
        <v>78</v>
      </c>
      <c r="AB45" s="53" t="s">
        <v>237</v>
      </c>
    </row>
    <row r="46" spans="1:28" x14ac:dyDescent="0.15">
      <c r="A46" s="53" t="s">
        <v>56</v>
      </c>
      <c r="B46" s="53" t="s">
        <v>233</v>
      </c>
      <c r="C46" s="53">
        <v>2019</v>
      </c>
      <c r="D46" s="81" t="s">
        <v>234</v>
      </c>
      <c r="E46" s="53" t="s">
        <v>258</v>
      </c>
      <c r="F46" s="53" t="s">
        <v>239</v>
      </c>
      <c r="G46" s="53" t="s">
        <v>42</v>
      </c>
      <c r="H46" s="53" t="s">
        <v>164</v>
      </c>
      <c r="I46" s="53" t="s">
        <v>159</v>
      </c>
      <c r="J46" s="53" t="s">
        <v>38</v>
      </c>
      <c r="K46" s="53" t="s">
        <v>161</v>
      </c>
      <c r="L46" s="53">
        <v>3</v>
      </c>
      <c r="N46" s="53">
        <v>5</v>
      </c>
      <c r="O46" s="53">
        <v>0.95</v>
      </c>
      <c r="P46" s="53">
        <v>0.85</v>
      </c>
      <c r="Q46" s="16">
        <f t="shared" si="0"/>
        <v>0.89999999999999991</v>
      </c>
      <c r="R46" s="53">
        <v>14</v>
      </c>
      <c r="S46" s="53">
        <v>96</v>
      </c>
      <c r="T46" s="16">
        <f t="shared" si="1"/>
        <v>36</v>
      </c>
      <c r="U46" s="53">
        <v>429</v>
      </c>
      <c r="V46" s="16">
        <f t="shared" si="2"/>
        <v>3088.7999999999997</v>
      </c>
      <c r="W46" s="53">
        <v>1</v>
      </c>
      <c r="X46" s="53" t="s">
        <v>39</v>
      </c>
      <c r="Y46" s="53" t="s">
        <v>90</v>
      </c>
      <c r="Z46" s="53" t="s">
        <v>84</v>
      </c>
      <c r="AA46" s="53" t="s">
        <v>78</v>
      </c>
      <c r="AB46" s="53" t="s">
        <v>237</v>
      </c>
    </row>
    <row r="47" spans="1:28" x14ac:dyDescent="0.15">
      <c r="A47" s="53" t="s">
        <v>56</v>
      </c>
      <c r="B47" s="53" t="s">
        <v>233</v>
      </c>
      <c r="C47" s="53">
        <v>2019</v>
      </c>
      <c r="D47" s="81" t="s">
        <v>234</v>
      </c>
      <c r="E47" s="53" t="s">
        <v>250</v>
      </c>
      <c r="F47" s="53" t="s">
        <v>252</v>
      </c>
      <c r="G47" s="53" t="s">
        <v>42</v>
      </c>
      <c r="H47" s="53" t="s">
        <v>164</v>
      </c>
      <c r="I47" s="53" t="s">
        <v>159</v>
      </c>
      <c r="J47" s="53" t="s">
        <v>38</v>
      </c>
      <c r="K47" s="53" t="s">
        <v>161</v>
      </c>
      <c r="L47" s="53">
        <v>1</v>
      </c>
      <c r="N47" s="53">
        <v>6</v>
      </c>
      <c r="O47" s="53">
        <v>0.55000000000000004</v>
      </c>
      <c r="P47" s="53">
        <v>0.6</v>
      </c>
      <c r="Q47" s="16">
        <f t="shared" si="0"/>
        <v>0.57499999999999996</v>
      </c>
      <c r="R47" s="53">
        <v>14.3</v>
      </c>
      <c r="S47" s="53">
        <v>94</v>
      </c>
      <c r="T47" s="16">
        <f t="shared" si="1"/>
        <v>36</v>
      </c>
      <c r="U47" s="53">
        <v>430</v>
      </c>
      <c r="V47" s="16">
        <f t="shared" si="2"/>
        <v>2580</v>
      </c>
      <c r="W47" s="53">
        <v>2</v>
      </c>
      <c r="X47" s="53" t="s">
        <v>46</v>
      </c>
      <c r="Y47" s="53" t="s">
        <v>78</v>
      </c>
      <c r="Z47" s="53" t="s">
        <v>102</v>
      </c>
      <c r="AA47" s="53" t="s">
        <v>90</v>
      </c>
      <c r="AB47" s="53" t="s">
        <v>237</v>
      </c>
    </row>
    <row r="48" spans="1:28" x14ac:dyDescent="0.15">
      <c r="A48" s="53" t="s">
        <v>56</v>
      </c>
      <c r="B48" s="53" t="s">
        <v>233</v>
      </c>
      <c r="C48" s="53">
        <v>2019</v>
      </c>
      <c r="D48" s="81" t="s">
        <v>234</v>
      </c>
      <c r="E48" s="53" t="s">
        <v>250</v>
      </c>
      <c r="F48" s="53" t="s">
        <v>252</v>
      </c>
      <c r="G48" s="53" t="s">
        <v>42</v>
      </c>
      <c r="H48" s="53" t="s">
        <v>164</v>
      </c>
      <c r="I48" s="53" t="s">
        <v>159</v>
      </c>
      <c r="J48" s="53" t="s">
        <v>38</v>
      </c>
      <c r="K48" s="53" t="s">
        <v>161</v>
      </c>
      <c r="L48" s="53">
        <v>2</v>
      </c>
      <c r="N48" s="53">
        <v>6</v>
      </c>
      <c r="O48" s="53">
        <v>0.75</v>
      </c>
      <c r="P48" s="53">
        <v>0.75</v>
      </c>
      <c r="Q48" s="16">
        <f t="shared" si="0"/>
        <v>0.75</v>
      </c>
      <c r="R48" s="53">
        <v>13.5</v>
      </c>
      <c r="S48" s="53">
        <v>92</v>
      </c>
      <c r="T48" s="16">
        <f t="shared" si="1"/>
        <v>36</v>
      </c>
      <c r="U48" s="53">
        <v>430</v>
      </c>
      <c r="V48" s="16">
        <f t="shared" si="2"/>
        <v>2580</v>
      </c>
      <c r="W48" s="53">
        <v>2</v>
      </c>
      <c r="X48" s="53" t="s">
        <v>46</v>
      </c>
      <c r="Y48" s="53" t="s">
        <v>78</v>
      </c>
      <c r="Z48" s="53" t="s">
        <v>102</v>
      </c>
      <c r="AA48" s="53" t="s">
        <v>90</v>
      </c>
      <c r="AB48" s="53" t="s">
        <v>237</v>
      </c>
    </row>
    <row r="49" spans="1:28" x14ac:dyDescent="0.15">
      <c r="A49" s="53" t="s">
        <v>56</v>
      </c>
      <c r="B49" s="53" t="s">
        <v>233</v>
      </c>
      <c r="C49" s="53">
        <v>2019</v>
      </c>
      <c r="D49" s="81" t="s">
        <v>234</v>
      </c>
      <c r="E49" s="53" t="s">
        <v>250</v>
      </c>
      <c r="F49" s="53" t="s">
        <v>252</v>
      </c>
      <c r="G49" s="53" t="s">
        <v>42</v>
      </c>
      <c r="H49" s="53" t="s">
        <v>164</v>
      </c>
      <c r="I49" s="53" t="s">
        <v>159</v>
      </c>
      <c r="J49" s="53" t="s">
        <v>38</v>
      </c>
      <c r="K49" s="53" t="s">
        <v>161</v>
      </c>
      <c r="L49" s="53">
        <v>3</v>
      </c>
      <c r="N49" s="53">
        <v>6</v>
      </c>
      <c r="O49" s="53">
        <v>0.85</v>
      </c>
      <c r="P49" s="53">
        <v>0.7</v>
      </c>
      <c r="Q49" s="16">
        <f t="shared" si="0"/>
        <v>0.77499999999999991</v>
      </c>
      <c r="R49" s="53">
        <v>13.6</v>
      </c>
      <c r="S49" s="53">
        <v>95</v>
      </c>
      <c r="T49" s="16">
        <f t="shared" si="1"/>
        <v>36</v>
      </c>
      <c r="U49" s="53">
        <v>430</v>
      </c>
      <c r="V49" s="16">
        <f t="shared" si="2"/>
        <v>2580</v>
      </c>
      <c r="W49" s="53">
        <v>2</v>
      </c>
      <c r="X49" s="53" t="s">
        <v>46</v>
      </c>
      <c r="Y49" s="53" t="s">
        <v>78</v>
      </c>
      <c r="Z49" s="53" t="s">
        <v>102</v>
      </c>
      <c r="AA49" s="53" t="s">
        <v>90</v>
      </c>
      <c r="AB49" s="53" t="s">
        <v>237</v>
      </c>
    </row>
    <row r="50" spans="1:28" x14ac:dyDescent="0.15">
      <c r="A50" s="53" t="s">
        <v>56</v>
      </c>
      <c r="B50" s="53" t="s">
        <v>233</v>
      </c>
      <c r="C50" s="53">
        <v>2019</v>
      </c>
      <c r="D50" s="81" t="s">
        <v>234</v>
      </c>
      <c r="E50" s="53" t="s">
        <v>250</v>
      </c>
      <c r="F50" s="53" t="s">
        <v>252</v>
      </c>
      <c r="G50" s="53" t="s">
        <v>42</v>
      </c>
      <c r="H50" s="53" t="s">
        <v>160</v>
      </c>
      <c r="I50" s="53" t="s">
        <v>159</v>
      </c>
      <c r="J50" s="53" t="s">
        <v>38</v>
      </c>
      <c r="K50" s="53" t="s">
        <v>161</v>
      </c>
      <c r="L50" s="53">
        <v>1</v>
      </c>
      <c r="N50" s="53">
        <v>6</v>
      </c>
      <c r="O50" s="53">
        <v>0.65</v>
      </c>
      <c r="P50" s="53">
        <v>0.6</v>
      </c>
      <c r="Q50" s="16">
        <f t="shared" si="0"/>
        <v>0.625</v>
      </c>
      <c r="R50" s="53">
        <v>15.4</v>
      </c>
      <c r="S50" s="53">
        <v>103</v>
      </c>
      <c r="T50" s="16">
        <f t="shared" si="1"/>
        <v>33</v>
      </c>
      <c r="U50" s="53">
        <v>518</v>
      </c>
      <c r="V50" s="16">
        <f t="shared" si="2"/>
        <v>2849</v>
      </c>
      <c r="W50" s="53">
        <v>3</v>
      </c>
      <c r="X50" s="53" t="s">
        <v>46</v>
      </c>
      <c r="Y50" s="53" t="s">
        <v>78</v>
      </c>
      <c r="Z50" s="53" t="s">
        <v>102</v>
      </c>
      <c r="AA50" s="53" t="s">
        <v>90</v>
      </c>
      <c r="AB50" s="53" t="s">
        <v>237</v>
      </c>
    </row>
    <row r="51" spans="1:28" x14ac:dyDescent="0.15">
      <c r="A51" s="53" t="s">
        <v>56</v>
      </c>
      <c r="B51" s="53" t="s">
        <v>233</v>
      </c>
      <c r="C51" s="53">
        <v>2019</v>
      </c>
      <c r="D51" s="81" t="s">
        <v>234</v>
      </c>
      <c r="E51" s="53" t="s">
        <v>250</v>
      </c>
      <c r="F51" s="53" t="s">
        <v>252</v>
      </c>
      <c r="G51" s="53" t="s">
        <v>42</v>
      </c>
      <c r="H51" s="53" t="s">
        <v>160</v>
      </c>
      <c r="I51" s="53" t="s">
        <v>159</v>
      </c>
      <c r="J51" s="53" t="s">
        <v>38</v>
      </c>
      <c r="K51" s="53" t="s">
        <v>161</v>
      </c>
      <c r="L51" s="53">
        <v>2</v>
      </c>
      <c r="N51" s="53">
        <v>6</v>
      </c>
      <c r="O51" s="53">
        <v>0.7</v>
      </c>
      <c r="P51" s="53">
        <v>0.75</v>
      </c>
      <c r="Q51" s="16">
        <f t="shared" si="0"/>
        <v>0.72499999999999998</v>
      </c>
      <c r="R51" s="53">
        <v>15.3</v>
      </c>
      <c r="S51" s="53">
        <v>105</v>
      </c>
      <c r="T51" s="16">
        <f t="shared" si="1"/>
        <v>33</v>
      </c>
      <c r="U51" s="53">
        <v>518</v>
      </c>
      <c r="V51" s="16">
        <f t="shared" si="2"/>
        <v>2849</v>
      </c>
      <c r="W51" s="53">
        <v>3</v>
      </c>
      <c r="X51" s="53" t="s">
        <v>46</v>
      </c>
      <c r="Y51" s="53" t="s">
        <v>78</v>
      </c>
      <c r="Z51" s="53" t="s">
        <v>102</v>
      </c>
      <c r="AA51" s="53" t="s">
        <v>90</v>
      </c>
      <c r="AB51" s="53" t="s">
        <v>237</v>
      </c>
    </row>
    <row r="52" spans="1:28" x14ac:dyDescent="0.15">
      <c r="A52" s="53" t="s">
        <v>56</v>
      </c>
      <c r="B52" s="53" t="s">
        <v>233</v>
      </c>
      <c r="C52" s="53">
        <v>2019</v>
      </c>
      <c r="D52" s="81" t="s">
        <v>234</v>
      </c>
      <c r="E52" s="53" t="s">
        <v>250</v>
      </c>
      <c r="F52" s="53" t="s">
        <v>252</v>
      </c>
      <c r="G52" s="53" t="s">
        <v>42</v>
      </c>
      <c r="H52" s="53" t="s">
        <v>160</v>
      </c>
      <c r="I52" s="53" t="s">
        <v>159</v>
      </c>
      <c r="J52" s="53" t="s">
        <v>38</v>
      </c>
      <c r="K52" s="53" t="s">
        <v>161</v>
      </c>
      <c r="L52" s="53">
        <v>3</v>
      </c>
      <c r="N52" s="53">
        <v>6</v>
      </c>
      <c r="O52" s="53">
        <v>0.65</v>
      </c>
      <c r="P52" s="53">
        <v>0.7</v>
      </c>
      <c r="Q52" s="16">
        <f t="shared" si="0"/>
        <v>0.67500000000000004</v>
      </c>
      <c r="R52" s="53">
        <v>15</v>
      </c>
      <c r="S52" s="53">
        <v>97</v>
      </c>
      <c r="T52" s="16">
        <f t="shared" si="1"/>
        <v>36</v>
      </c>
      <c r="U52" s="53">
        <v>518</v>
      </c>
      <c r="V52" s="16">
        <f t="shared" si="2"/>
        <v>3108</v>
      </c>
      <c r="W52" s="53">
        <v>3</v>
      </c>
      <c r="X52" s="53" t="s">
        <v>46</v>
      </c>
      <c r="Y52" s="53" t="s">
        <v>78</v>
      </c>
      <c r="Z52" s="53" t="s">
        <v>102</v>
      </c>
      <c r="AA52" s="53" t="s">
        <v>90</v>
      </c>
      <c r="AB52" s="53" t="s">
        <v>237</v>
      </c>
    </row>
    <row r="53" spans="1:28" x14ac:dyDescent="0.15">
      <c r="A53" s="53" t="s">
        <v>56</v>
      </c>
      <c r="B53" s="53" t="s">
        <v>233</v>
      </c>
      <c r="C53" s="53">
        <v>2019</v>
      </c>
      <c r="D53" s="81" t="s">
        <v>234</v>
      </c>
      <c r="E53" s="53" t="s">
        <v>259</v>
      </c>
      <c r="F53" s="53" t="s">
        <v>252</v>
      </c>
      <c r="G53" s="53" t="s">
        <v>42</v>
      </c>
      <c r="H53" s="53" t="s">
        <v>164</v>
      </c>
      <c r="I53" s="53" t="s">
        <v>159</v>
      </c>
      <c r="J53" s="53" t="s">
        <v>38</v>
      </c>
      <c r="K53" s="53" t="s">
        <v>161</v>
      </c>
      <c r="L53" s="53">
        <v>1</v>
      </c>
      <c r="N53" s="53">
        <v>5</v>
      </c>
      <c r="O53" s="53">
        <v>0.6</v>
      </c>
      <c r="P53" s="53">
        <v>0.55000000000000004</v>
      </c>
      <c r="Q53" s="16">
        <f t="shared" si="0"/>
        <v>0.57499999999999996</v>
      </c>
      <c r="R53" s="53">
        <v>15.2</v>
      </c>
      <c r="S53" s="53">
        <v>100</v>
      </c>
      <c r="T53" s="16">
        <f t="shared" si="1"/>
        <v>33</v>
      </c>
      <c r="U53" s="53">
        <v>430</v>
      </c>
      <c r="V53" s="16">
        <f t="shared" si="2"/>
        <v>2838</v>
      </c>
      <c r="W53" s="53">
        <v>4</v>
      </c>
      <c r="X53" s="53" t="s">
        <v>46</v>
      </c>
      <c r="Y53" s="53" t="s">
        <v>78</v>
      </c>
      <c r="Z53" s="53" t="s">
        <v>226</v>
      </c>
      <c r="AA53" s="53" t="s">
        <v>102</v>
      </c>
      <c r="AB53" s="53" t="s">
        <v>237</v>
      </c>
    </row>
    <row r="54" spans="1:28" x14ac:dyDescent="0.15">
      <c r="A54" s="53" t="s">
        <v>56</v>
      </c>
      <c r="B54" s="53" t="s">
        <v>233</v>
      </c>
      <c r="C54" s="53">
        <v>2019</v>
      </c>
      <c r="D54" s="81" t="s">
        <v>234</v>
      </c>
      <c r="E54" s="53" t="s">
        <v>259</v>
      </c>
      <c r="F54" s="53" t="s">
        <v>252</v>
      </c>
      <c r="G54" s="53" t="s">
        <v>42</v>
      </c>
      <c r="H54" s="53" t="s">
        <v>164</v>
      </c>
      <c r="I54" s="53" t="s">
        <v>159</v>
      </c>
      <c r="J54" s="53" t="s">
        <v>38</v>
      </c>
      <c r="K54" s="53" t="s">
        <v>161</v>
      </c>
      <c r="L54" s="53">
        <v>2</v>
      </c>
      <c r="N54" s="53">
        <v>5</v>
      </c>
      <c r="O54" s="53">
        <v>0.65</v>
      </c>
      <c r="P54" s="53">
        <v>0.6</v>
      </c>
      <c r="Q54" s="16">
        <f t="shared" si="0"/>
        <v>0.625</v>
      </c>
      <c r="R54" s="53">
        <v>14.4</v>
      </c>
      <c r="S54" s="53">
        <v>101</v>
      </c>
      <c r="T54" s="16">
        <f t="shared" si="1"/>
        <v>33</v>
      </c>
      <c r="U54" s="53">
        <v>430</v>
      </c>
      <c r="V54" s="16">
        <f t="shared" si="2"/>
        <v>2838</v>
      </c>
      <c r="W54" s="53">
        <v>4</v>
      </c>
      <c r="X54" s="53" t="s">
        <v>46</v>
      </c>
      <c r="Y54" s="53" t="s">
        <v>78</v>
      </c>
      <c r="Z54" s="53" t="s">
        <v>226</v>
      </c>
      <c r="AA54" s="53" t="s">
        <v>102</v>
      </c>
      <c r="AB54" s="53" t="s">
        <v>237</v>
      </c>
    </row>
    <row r="55" spans="1:28" x14ac:dyDescent="0.15">
      <c r="A55" s="53" t="s">
        <v>56</v>
      </c>
      <c r="B55" s="53" t="s">
        <v>233</v>
      </c>
      <c r="C55" s="53">
        <v>2019</v>
      </c>
      <c r="D55" s="81" t="s">
        <v>234</v>
      </c>
      <c r="E55" s="53" t="s">
        <v>259</v>
      </c>
      <c r="F55" s="53" t="s">
        <v>252</v>
      </c>
      <c r="G55" s="53" t="s">
        <v>42</v>
      </c>
      <c r="H55" s="53" t="s">
        <v>164</v>
      </c>
      <c r="I55" s="53" t="s">
        <v>159</v>
      </c>
      <c r="J55" s="53" t="s">
        <v>38</v>
      </c>
      <c r="K55" s="53" t="s">
        <v>161</v>
      </c>
      <c r="L55" s="53">
        <v>3</v>
      </c>
      <c r="N55" s="53">
        <v>5</v>
      </c>
      <c r="O55" s="53">
        <v>0.55000000000000004</v>
      </c>
      <c r="P55" s="53">
        <v>0.55000000000000004</v>
      </c>
      <c r="Q55" s="16">
        <f t="shared" si="0"/>
        <v>0.55000000000000004</v>
      </c>
      <c r="R55" s="53">
        <v>12.2</v>
      </c>
      <c r="S55" s="53">
        <v>96</v>
      </c>
      <c r="T55" s="16">
        <f t="shared" si="1"/>
        <v>36</v>
      </c>
      <c r="U55" s="53">
        <v>430</v>
      </c>
      <c r="V55" s="16">
        <f t="shared" si="2"/>
        <v>3096</v>
      </c>
      <c r="W55" s="53">
        <v>4</v>
      </c>
      <c r="X55" s="53" t="s">
        <v>46</v>
      </c>
      <c r="Y55" s="53" t="s">
        <v>78</v>
      </c>
      <c r="Z55" s="53" t="s">
        <v>226</v>
      </c>
      <c r="AA55" s="53" t="s">
        <v>102</v>
      </c>
      <c r="AB55" s="53" t="s">
        <v>237</v>
      </c>
    </row>
    <row r="56" spans="1:28" x14ac:dyDescent="0.15">
      <c r="A56" s="53" t="s">
        <v>56</v>
      </c>
      <c r="B56" s="53" t="s">
        <v>233</v>
      </c>
      <c r="C56" s="53">
        <v>2019</v>
      </c>
      <c r="D56" s="81" t="s">
        <v>234</v>
      </c>
      <c r="E56" s="53" t="s">
        <v>259</v>
      </c>
      <c r="F56" s="53" t="s">
        <v>252</v>
      </c>
      <c r="G56" s="53" t="s">
        <v>42</v>
      </c>
      <c r="H56" s="53" t="s">
        <v>160</v>
      </c>
      <c r="I56" s="53" t="s">
        <v>159</v>
      </c>
      <c r="J56" s="53" t="s">
        <v>38</v>
      </c>
      <c r="K56" s="53" t="s">
        <v>161</v>
      </c>
      <c r="L56" s="53">
        <v>1</v>
      </c>
      <c r="N56" s="53">
        <v>5</v>
      </c>
      <c r="O56" s="53">
        <v>0.6</v>
      </c>
      <c r="P56" s="53">
        <v>0.6</v>
      </c>
      <c r="Q56" s="16">
        <f t="shared" si="0"/>
        <v>0.6</v>
      </c>
      <c r="R56" s="53">
        <v>16.600000000000001</v>
      </c>
      <c r="S56" s="53">
        <v>118</v>
      </c>
      <c r="T56" s="16">
        <f t="shared" si="1"/>
        <v>30</v>
      </c>
      <c r="U56" s="53">
        <v>646</v>
      </c>
      <c r="V56" s="16">
        <f t="shared" si="2"/>
        <v>3875.9999999999995</v>
      </c>
      <c r="W56" s="53">
        <v>4</v>
      </c>
      <c r="X56" s="53" t="s">
        <v>46</v>
      </c>
      <c r="Y56" s="53" t="s">
        <v>78</v>
      </c>
      <c r="Z56" s="53" t="s">
        <v>226</v>
      </c>
      <c r="AA56" s="53" t="s">
        <v>102</v>
      </c>
      <c r="AB56" s="53" t="s">
        <v>237</v>
      </c>
    </row>
    <row r="57" spans="1:28" x14ac:dyDescent="0.15">
      <c r="A57" s="53" t="s">
        <v>56</v>
      </c>
      <c r="B57" s="53" t="s">
        <v>233</v>
      </c>
      <c r="C57" s="53">
        <v>2019</v>
      </c>
      <c r="D57" s="81" t="s">
        <v>234</v>
      </c>
      <c r="E57" s="53" t="s">
        <v>259</v>
      </c>
      <c r="F57" s="53" t="s">
        <v>252</v>
      </c>
      <c r="G57" s="53" t="s">
        <v>42</v>
      </c>
      <c r="H57" s="53" t="s">
        <v>160</v>
      </c>
      <c r="I57" s="53" t="s">
        <v>159</v>
      </c>
      <c r="J57" s="53" t="s">
        <v>38</v>
      </c>
      <c r="K57" s="53" t="s">
        <v>161</v>
      </c>
      <c r="L57" s="53">
        <v>2</v>
      </c>
      <c r="N57" s="53">
        <v>5</v>
      </c>
      <c r="O57" s="53">
        <v>0.5</v>
      </c>
      <c r="P57" s="53">
        <v>0.5</v>
      </c>
      <c r="Q57" s="16">
        <f t="shared" si="0"/>
        <v>0.5</v>
      </c>
      <c r="R57" s="53">
        <v>15.2</v>
      </c>
      <c r="S57" s="53">
        <v>118</v>
      </c>
      <c r="T57" s="16">
        <f t="shared" si="1"/>
        <v>30</v>
      </c>
      <c r="U57" s="53">
        <v>646</v>
      </c>
      <c r="V57" s="16">
        <f t="shared" si="2"/>
        <v>3875.9999999999995</v>
      </c>
      <c r="W57" s="53">
        <v>4</v>
      </c>
      <c r="X57" s="53" t="s">
        <v>46</v>
      </c>
      <c r="Y57" s="53" t="s">
        <v>78</v>
      </c>
      <c r="Z57" s="53" t="s">
        <v>226</v>
      </c>
      <c r="AA57" s="53" t="s">
        <v>102</v>
      </c>
      <c r="AB57" s="53" t="s">
        <v>237</v>
      </c>
    </row>
    <row r="58" spans="1:28" x14ac:dyDescent="0.15">
      <c r="A58" s="53" t="s">
        <v>56</v>
      </c>
      <c r="B58" s="53" t="s">
        <v>233</v>
      </c>
      <c r="C58" s="53">
        <v>2019</v>
      </c>
      <c r="D58" s="81" t="s">
        <v>234</v>
      </c>
      <c r="E58" s="53" t="s">
        <v>259</v>
      </c>
      <c r="F58" s="53" t="s">
        <v>252</v>
      </c>
      <c r="G58" s="53" t="s">
        <v>42</v>
      </c>
      <c r="H58" s="53" t="s">
        <v>160</v>
      </c>
      <c r="I58" s="53" t="s">
        <v>159</v>
      </c>
      <c r="J58" s="53" t="s">
        <v>38</v>
      </c>
      <c r="K58" s="53" t="s">
        <v>161</v>
      </c>
      <c r="L58" s="53">
        <v>3</v>
      </c>
      <c r="N58" s="53">
        <v>5</v>
      </c>
      <c r="O58" s="53">
        <v>0.65</v>
      </c>
      <c r="P58" s="53">
        <v>0.55000000000000004</v>
      </c>
      <c r="Q58" s="16">
        <f t="shared" si="0"/>
        <v>0.60000000000000009</v>
      </c>
      <c r="R58" s="53">
        <v>16.100000000000001</v>
      </c>
      <c r="S58" s="53">
        <v>125</v>
      </c>
      <c r="T58" s="16">
        <f t="shared" si="1"/>
        <v>27</v>
      </c>
      <c r="U58" s="53">
        <v>646</v>
      </c>
      <c r="V58" s="16">
        <f t="shared" si="2"/>
        <v>3488.3999999999996</v>
      </c>
      <c r="W58" s="53">
        <v>4</v>
      </c>
      <c r="X58" s="53" t="s">
        <v>46</v>
      </c>
      <c r="Y58" s="53" t="s">
        <v>78</v>
      </c>
      <c r="Z58" s="53" t="s">
        <v>226</v>
      </c>
      <c r="AA58" s="53" t="s">
        <v>102</v>
      </c>
      <c r="AB58" s="53" t="s">
        <v>237</v>
      </c>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198828A8-D77C-45A3-9058-9AAA281C6B18}">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199B993E-AA41-4A17-AD3C-95A6598701EC}">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4C53A10B-877E-4611-9429-57DEA7C85C0A}">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95DE00BA-F0D3-4AA5-B63C-338FD842B84D}">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EF5924DB-AC25-423A-9261-8F922F55A8E1}">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D838260D-4152-4E66-A521-BCA9A879487C}"/>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47D96174-6B7A-4DA8-9D44-21733003E92B}">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8C6FD85D-02FF-4967-958A-5071EA68415A}">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AC41937F-CC69-4C24-93F4-3D510DE1C4C5}">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AF666EA5-5926-4F31-AB3B-9551F89DF245}">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53BB93DE-2D87-480B-A448-C05450C74A4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D9B2F2F3-639D-48F9-8E59-9AB180363E42}">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9B77158A-7AC2-4086-AB92-180F086C4E69}">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FF26C949-911C-490F-A741-7F37745F0C1C}">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BE73E1C3-68E2-4D9F-B37E-59765B962AC9}">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2:O500 P2:P500" xr:uid="{71EEC0A7-DE65-49D9-8C55-32C678C142F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A64DBBCB-BFEC-4CD4-ABCB-66DBCE2874A2}">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9B84EB14-C70F-4C1A-B73F-93B3E223C203}">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D33D9-D963-469D-B347-9D8A03BC11AE}">
  <dimension ref="A1:BA91"/>
  <sheetViews>
    <sheetView zoomScale="70" zoomScaleNormal="70" workbookViewId="0">
      <selection activeCell="A2" sqref="A2"/>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172</v>
      </c>
      <c r="Q1" s="88" t="s">
        <v>173</v>
      </c>
      <c r="R1" s="86" t="s">
        <v>174</v>
      </c>
      <c r="S1" s="86" t="s">
        <v>175</v>
      </c>
      <c r="T1" s="88" t="s">
        <v>19</v>
      </c>
      <c r="U1" s="89" t="s">
        <v>108</v>
      </c>
      <c r="V1" s="90" t="s">
        <v>20</v>
      </c>
      <c r="W1" s="86" t="s">
        <v>176</v>
      </c>
      <c r="X1" s="87" t="s">
        <v>22</v>
      </c>
      <c r="Y1" s="87" t="s">
        <v>23</v>
      </c>
      <c r="Z1" s="87" t="s">
        <v>24</v>
      </c>
      <c r="AA1" s="91" t="s">
        <v>25</v>
      </c>
      <c r="AB1" s="92" t="s">
        <v>177</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260</v>
      </c>
      <c r="AY1" s="99" t="s">
        <v>180</v>
      </c>
      <c r="AZ1" s="99" t="s">
        <v>261</v>
      </c>
      <c r="BA1" s="100" t="s">
        <v>182</v>
      </c>
    </row>
    <row r="2" spans="1:53" x14ac:dyDescent="0.15">
      <c r="A2" s="93" t="s">
        <v>51</v>
      </c>
      <c r="B2" s="93" t="s">
        <v>157</v>
      </c>
      <c r="C2" s="93">
        <v>2019</v>
      </c>
      <c r="D2" s="101" t="s">
        <v>262</v>
      </c>
      <c r="E2" s="93" t="s">
        <v>263</v>
      </c>
      <c r="F2" s="93" t="s">
        <v>264</v>
      </c>
      <c r="G2" s="93" t="s">
        <v>42</v>
      </c>
      <c r="H2" s="93" t="s">
        <v>164</v>
      </c>
      <c r="I2" s="93" t="s">
        <v>159</v>
      </c>
      <c r="J2" s="93" t="s">
        <v>38</v>
      </c>
      <c r="K2" s="93" t="s">
        <v>161</v>
      </c>
      <c r="L2" s="93">
        <v>1</v>
      </c>
      <c r="N2" s="93">
        <v>1</v>
      </c>
      <c r="O2" s="93">
        <v>0.65</v>
      </c>
      <c r="P2" s="93">
        <v>0.55000000000000004</v>
      </c>
      <c r="Q2" s="102">
        <f t="shared" ref="Q2:Q65" si="0">IF(OR(O2="",P2=""),"",AVERAGE(O2,P2))</f>
        <v>0.60000000000000009</v>
      </c>
      <c r="R2" s="93">
        <v>16.5</v>
      </c>
      <c r="S2" s="93">
        <v>122</v>
      </c>
      <c r="T2" s="103">
        <f t="shared" ref="T2:T65" si="1">IF(H2="","",IF(OR(H2="GREEN",H2="GK"),IF(S2&gt;=$AX$2,VLOOKUP(S2,$AX$2:$AY$12,2,1),""),IF(S2&gt;=$AZ$2,VLOOKUP(S2,$AZ$2:$BA$12,2,1),"")))</f>
        <v>27</v>
      </c>
      <c r="U2" s="93">
        <v>98</v>
      </c>
      <c r="V2" s="104">
        <f t="shared" ref="V2:V65" si="2">IF(OR(N2="",U2="",T2=""),"",U2/N2*T2)</f>
        <v>2646</v>
      </c>
      <c r="W2" s="93">
        <v>10</v>
      </c>
      <c r="X2" s="93" t="s">
        <v>46</v>
      </c>
      <c r="Y2" s="93" t="s">
        <v>69</v>
      </c>
      <c r="Z2" s="93" t="s">
        <v>102</v>
      </c>
      <c r="AA2" s="93" t="s">
        <v>78</v>
      </c>
      <c r="AB2" s="93" t="s">
        <v>158</v>
      </c>
      <c r="AE2" s="105" t="s">
        <v>35</v>
      </c>
      <c r="AG2" s="106" t="s">
        <v>211</v>
      </c>
      <c r="AH2" s="106" t="s">
        <v>265</v>
      </c>
      <c r="AJ2" s="106" t="s">
        <v>36</v>
      </c>
      <c r="AL2" s="106" t="s">
        <v>185</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262</v>
      </c>
      <c r="E3" s="93" t="s">
        <v>263</v>
      </c>
      <c r="F3" s="93" t="s">
        <v>264</v>
      </c>
      <c r="G3" s="93" t="s">
        <v>42</v>
      </c>
      <c r="H3" s="93" t="s">
        <v>164</v>
      </c>
      <c r="I3" s="93" t="s">
        <v>159</v>
      </c>
      <c r="J3" s="93" t="s">
        <v>38</v>
      </c>
      <c r="K3" s="93" t="s">
        <v>161</v>
      </c>
      <c r="L3" s="93">
        <v>2</v>
      </c>
      <c r="N3" s="93">
        <v>1</v>
      </c>
      <c r="O3" s="93">
        <v>0.25</v>
      </c>
      <c r="P3" s="93">
        <v>0.6</v>
      </c>
      <c r="Q3" s="102">
        <f t="shared" si="0"/>
        <v>0.42499999999999999</v>
      </c>
      <c r="R3" s="93">
        <v>16.100000000000001</v>
      </c>
      <c r="S3" s="93">
        <v>118</v>
      </c>
      <c r="T3" s="103">
        <f t="shared" si="1"/>
        <v>30</v>
      </c>
      <c r="U3" s="93">
        <v>98</v>
      </c>
      <c r="V3" s="104">
        <f t="shared" si="2"/>
        <v>2940</v>
      </c>
      <c r="W3" s="93">
        <v>10</v>
      </c>
      <c r="X3" s="93" t="s">
        <v>46</v>
      </c>
      <c r="Y3" s="93" t="s">
        <v>69</v>
      </c>
      <c r="Z3" s="93" t="s">
        <v>102</v>
      </c>
      <c r="AA3" s="93" t="s">
        <v>78</v>
      </c>
      <c r="AB3" s="93" t="s">
        <v>158</v>
      </c>
      <c r="AE3" s="110" t="s">
        <v>41</v>
      </c>
      <c r="AG3" s="106" t="s">
        <v>266</v>
      </c>
      <c r="AH3" s="106" t="s">
        <v>267</v>
      </c>
      <c r="AJ3" s="111" t="s">
        <v>42</v>
      </c>
      <c r="AL3" s="111" t="s">
        <v>187</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262</v>
      </c>
      <c r="E4" s="93" t="s">
        <v>263</v>
      </c>
      <c r="F4" s="93" t="s">
        <v>264</v>
      </c>
      <c r="G4" s="93" t="s">
        <v>42</v>
      </c>
      <c r="H4" s="93" t="s">
        <v>164</v>
      </c>
      <c r="I4" s="93" t="s">
        <v>159</v>
      </c>
      <c r="J4" s="93" t="s">
        <v>38</v>
      </c>
      <c r="K4" s="93" t="s">
        <v>161</v>
      </c>
      <c r="L4" s="93">
        <v>3</v>
      </c>
      <c r="N4" s="93">
        <v>1</v>
      </c>
      <c r="O4" s="93">
        <v>0.7</v>
      </c>
      <c r="P4" s="93">
        <v>0.65</v>
      </c>
      <c r="Q4" s="102">
        <f t="shared" si="0"/>
        <v>0.67500000000000004</v>
      </c>
      <c r="R4" s="93">
        <v>16.3</v>
      </c>
      <c r="S4" s="93">
        <v>122</v>
      </c>
      <c r="T4" s="103">
        <f t="shared" si="1"/>
        <v>27</v>
      </c>
      <c r="U4" s="93">
        <v>98</v>
      </c>
      <c r="V4" s="104">
        <f t="shared" si="2"/>
        <v>2646</v>
      </c>
      <c r="W4" s="93">
        <v>10</v>
      </c>
      <c r="X4" s="93" t="s">
        <v>46</v>
      </c>
      <c r="Y4" s="93" t="s">
        <v>69</v>
      </c>
      <c r="Z4" s="93" t="s">
        <v>102</v>
      </c>
      <c r="AA4" s="93" t="s">
        <v>78</v>
      </c>
      <c r="AB4" s="93" t="s">
        <v>158</v>
      </c>
      <c r="AE4" s="110" t="s">
        <v>34</v>
      </c>
      <c r="AG4" s="106" t="s">
        <v>268</v>
      </c>
      <c r="AH4" s="106" t="s">
        <v>269</v>
      </c>
      <c r="AJ4" s="115" t="s">
        <v>48</v>
      </c>
      <c r="AL4" s="115" t="s">
        <v>190</v>
      </c>
      <c r="AN4" s="116" t="s">
        <v>191</v>
      </c>
      <c r="AP4" s="111" t="s">
        <v>192</v>
      </c>
      <c r="AR4" s="111" t="s">
        <v>193</v>
      </c>
      <c r="AT4" s="116"/>
      <c r="AV4" s="111" t="s">
        <v>50</v>
      </c>
      <c r="AX4" s="112">
        <v>75</v>
      </c>
      <c r="AY4" s="113">
        <v>42</v>
      </c>
      <c r="AZ4" s="113">
        <v>76</v>
      </c>
      <c r="BA4" s="114">
        <v>39</v>
      </c>
    </row>
    <row r="5" spans="1:53" x14ac:dyDescent="0.15">
      <c r="A5" s="93" t="s">
        <v>51</v>
      </c>
      <c r="B5" s="93" t="s">
        <v>157</v>
      </c>
      <c r="C5" s="93">
        <v>2019</v>
      </c>
      <c r="D5" s="101" t="s">
        <v>262</v>
      </c>
      <c r="E5" s="93" t="s">
        <v>263</v>
      </c>
      <c r="F5" s="93" t="s">
        <v>264</v>
      </c>
      <c r="G5" s="93" t="s">
        <v>42</v>
      </c>
      <c r="H5" s="93" t="s">
        <v>160</v>
      </c>
      <c r="I5" s="93" t="s">
        <v>159</v>
      </c>
      <c r="J5" s="93" t="s">
        <v>38</v>
      </c>
      <c r="K5" s="93" t="s">
        <v>161</v>
      </c>
      <c r="L5" s="93">
        <v>1</v>
      </c>
      <c r="N5" s="93">
        <v>1</v>
      </c>
      <c r="O5" s="93">
        <v>0.5</v>
      </c>
      <c r="P5" s="93">
        <v>0.6</v>
      </c>
      <c r="Q5" s="102">
        <f t="shared" si="0"/>
        <v>0.55000000000000004</v>
      </c>
      <c r="R5" s="93">
        <v>17.7</v>
      </c>
      <c r="S5" s="93">
        <v>132</v>
      </c>
      <c r="T5" s="103">
        <f t="shared" si="1"/>
        <v>25</v>
      </c>
      <c r="U5" s="93">
        <v>138</v>
      </c>
      <c r="V5" s="104">
        <f t="shared" si="2"/>
        <v>3450</v>
      </c>
      <c r="W5" s="93">
        <v>10</v>
      </c>
      <c r="X5" s="93" t="s">
        <v>46</v>
      </c>
      <c r="Y5" s="93" t="s">
        <v>69</v>
      </c>
      <c r="Z5" s="93" t="s">
        <v>102</v>
      </c>
      <c r="AA5" s="93" t="s">
        <v>78</v>
      </c>
      <c r="AB5" s="93" t="s">
        <v>158</v>
      </c>
      <c r="AE5" s="110" t="s">
        <v>51</v>
      </c>
      <c r="AG5" s="106" t="s">
        <v>270</v>
      </c>
      <c r="AH5" s="106" t="s">
        <v>264</v>
      </c>
      <c r="AJ5" s="116"/>
      <c r="AL5" s="117" t="s">
        <v>164</v>
      </c>
      <c r="AN5" s="117" t="s">
        <v>159</v>
      </c>
      <c r="AP5" s="111" t="s">
        <v>195</v>
      </c>
      <c r="AR5" s="111" t="s">
        <v>54</v>
      </c>
      <c r="AV5" s="111" t="s">
        <v>55</v>
      </c>
      <c r="AX5" s="112">
        <v>84</v>
      </c>
      <c r="AY5" s="113">
        <v>39</v>
      </c>
      <c r="AZ5" s="113">
        <v>84</v>
      </c>
      <c r="BA5" s="114">
        <v>36</v>
      </c>
    </row>
    <row r="6" spans="1:53" x14ac:dyDescent="0.15">
      <c r="A6" s="93" t="s">
        <v>51</v>
      </c>
      <c r="B6" s="93" t="s">
        <v>157</v>
      </c>
      <c r="C6" s="93">
        <v>2019</v>
      </c>
      <c r="D6" s="101" t="s">
        <v>262</v>
      </c>
      <c r="E6" s="93" t="s">
        <v>263</v>
      </c>
      <c r="F6" s="93" t="s">
        <v>264</v>
      </c>
      <c r="G6" s="93" t="s">
        <v>42</v>
      </c>
      <c r="H6" s="93" t="s">
        <v>160</v>
      </c>
      <c r="I6" s="93" t="s">
        <v>159</v>
      </c>
      <c r="J6" s="93" t="s">
        <v>38</v>
      </c>
      <c r="K6" s="93" t="s">
        <v>161</v>
      </c>
      <c r="L6" s="93">
        <v>2</v>
      </c>
      <c r="N6" s="93">
        <v>1</v>
      </c>
      <c r="O6" s="93">
        <v>0.7</v>
      </c>
      <c r="P6" s="93">
        <v>0.55000000000000004</v>
      </c>
      <c r="Q6" s="102">
        <f t="shared" si="0"/>
        <v>0.625</v>
      </c>
      <c r="R6" s="93">
        <v>17.5</v>
      </c>
      <c r="S6" s="93">
        <v>134</v>
      </c>
      <c r="T6" s="103">
        <f t="shared" si="1"/>
        <v>25</v>
      </c>
      <c r="U6" s="93">
        <v>138</v>
      </c>
      <c r="V6" s="104">
        <f t="shared" si="2"/>
        <v>3450</v>
      </c>
      <c r="W6" s="93">
        <v>10</v>
      </c>
      <c r="X6" s="93" t="s">
        <v>46</v>
      </c>
      <c r="Y6" s="93" t="s">
        <v>69</v>
      </c>
      <c r="Z6" s="93" t="s">
        <v>102</v>
      </c>
      <c r="AA6" s="93" t="s">
        <v>78</v>
      </c>
      <c r="AB6" s="93" t="s">
        <v>158</v>
      </c>
      <c r="AE6" s="110" t="s">
        <v>56</v>
      </c>
      <c r="AG6" s="106" t="s">
        <v>271</v>
      </c>
      <c r="AH6" s="106" t="s">
        <v>272</v>
      </c>
      <c r="AL6" s="117" t="s">
        <v>197</v>
      </c>
      <c r="AN6" s="117" t="s">
        <v>198</v>
      </c>
      <c r="AP6" s="111" t="s">
        <v>53</v>
      </c>
      <c r="AR6" s="111" t="s">
        <v>59</v>
      </c>
      <c r="AV6" s="111" t="s">
        <v>60</v>
      </c>
      <c r="AX6" s="112">
        <v>97</v>
      </c>
      <c r="AY6" s="113">
        <v>36</v>
      </c>
      <c r="AZ6" s="113">
        <v>99</v>
      </c>
      <c r="BA6" s="114">
        <v>33</v>
      </c>
    </row>
    <row r="7" spans="1:53" x14ac:dyDescent="0.15">
      <c r="A7" s="93" t="s">
        <v>51</v>
      </c>
      <c r="B7" s="93" t="s">
        <v>157</v>
      </c>
      <c r="C7" s="93">
        <v>2019</v>
      </c>
      <c r="D7" s="101" t="s">
        <v>262</v>
      </c>
      <c r="E7" s="93" t="s">
        <v>263</v>
      </c>
      <c r="F7" s="93" t="s">
        <v>264</v>
      </c>
      <c r="G7" s="93" t="s">
        <v>42</v>
      </c>
      <c r="H7" s="93" t="s">
        <v>160</v>
      </c>
      <c r="I7" s="93" t="s">
        <v>159</v>
      </c>
      <c r="J7" s="93" t="s">
        <v>38</v>
      </c>
      <c r="K7" s="93" t="s">
        <v>161</v>
      </c>
      <c r="L7" s="93">
        <v>3</v>
      </c>
      <c r="N7" s="93">
        <v>1</v>
      </c>
      <c r="O7" s="93">
        <v>0.65</v>
      </c>
      <c r="P7" s="93">
        <v>0.65</v>
      </c>
      <c r="Q7" s="102">
        <f t="shared" si="0"/>
        <v>0.65</v>
      </c>
      <c r="R7" s="93">
        <v>18</v>
      </c>
      <c r="S7" s="93">
        <v>140</v>
      </c>
      <c r="T7" s="103">
        <f t="shared" si="1"/>
        <v>22</v>
      </c>
      <c r="U7" s="93">
        <v>138</v>
      </c>
      <c r="V7" s="104">
        <f t="shared" si="2"/>
        <v>3036</v>
      </c>
      <c r="W7" s="93">
        <v>10</v>
      </c>
      <c r="X7" s="93" t="s">
        <v>46</v>
      </c>
      <c r="Y7" s="93" t="s">
        <v>69</v>
      </c>
      <c r="Z7" s="93" t="s">
        <v>102</v>
      </c>
      <c r="AA7" s="93" t="s">
        <v>78</v>
      </c>
      <c r="AB7" s="93" t="s">
        <v>158</v>
      </c>
      <c r="AE7" s="110" t="s">
        <v>61</v>
      </c>
      <c r="AG7" s="106" t="s">
        <v>273</v>
      </c>
      <c r="AH7" s="106" t="s">
        <v>265</v>
      </c>
      <c r="AL7" s="93" t="s">
        <v>200</v>
      </c>
      <c r="AP7" s="111" t="s">
        <v>58</v>
      </c>
      <c r="AR7" s="111" t="s">
        <v>201</v>
      </c>
      <c r="AV7" s="111" t="s">
        <v>64</v>
      </c>
      <c r="AX7" s="112">
        <v>109</v>
      </c>
      <c r="AY7" s="113">
        <v>33</v>
      </c>
      <c r="AZ7" s="113">
        <v>113</v>
      </c>
      <c r="BA7" s="114">
        <v>30</v>
      </c>
    </row>
    <row r="8" spans="1:53" x14ac:dyDescent="0.15">
      <c r="A8" s="93" t="s">
        <v>51</v>
      </c>
      <c r="B8" s="93" t="s">
        <v>157</v>
      </c>
      <c r="C8" s="93">
        <v>2019</v>
      </c>
      <c r="D8" s="101" t="s">
        <v>262</v>
      </c>
      <c r="E8" s="93" t="s">
        <v>266</v>
      </c>
      <c r="F8" s="93" t="s">
        <v>267</v>
      </c>
      <c r="G8" s="93" t="s">
        <v>36</v>
      </c>
      <c r="H8" s="93" t="s">
        <v>164</v>
      </c>
      <c r="I8" s="93" t="s">
        <v>159</v>
      </c>
      <c r="J8" s="93" t="s">
        <v>38</v>
      </c>
      <c r="K8" s="93" t="s">
        <v>161</v>
      </c>
      <c r="L8" s="93">
        <v>1</v>
      </c>
      <c r="N8" s="93">
        <v>1</v>
      </c>
      <c r="O8" s="93">
        <v>0.65</v>
      </c>
      <c r="P8" s="93">
        <v>0.75</v>
      </c>
      <c r="Q8" s="102">
        <f t="shared" si="0"/>
        <v>0.7</v>
      </c>
      <c r="R8" s="93">
        <v>14.8</v>
      </c>
      <c r="S8" s="93">
        <v>150</v>
      </c>
      <c r="T8" s="103">
        <f t="shared" si="1"/>
        <v>22</v>
      </c>
      <c r="U8" s="93">
        <v>138</v>
      </c>
      <c r="V8" s="104">
        <f t="shared" si="2"/>
        <v>3036</v>
      </c>
      <c r="W8" s="93">
        <v>7</v>
      </c>
      <c r="X8" s="93" t="s">
        <v>46</v>
      </c>
      <c r="Y8" s="93" t="s">
        <v>78</v>
      </c>
      <c r="Z8" s="93" t="s">
        <v>102</v>
      </c>
      <c r="AA8" s="93" t="s">
        <v>69</v>
      </c>
      <c r="AB8" s="93" t="s">
        <v>158</v>
      </c>
      <c r="AE8" s="110" t="s">
        <v>59</v>
      </c>
      <c r="AG8" s="106" t="s">
        <v>274</v>
      </c>
      <c r="AH8" s="106" t="s">
        <v>275</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262</v>
      </c>
      <c r="E9" s="93" t="s">
        <v>266</v>
      </c>
      <c r="F9" s="93" t="s">
        <v>267</v>
      </c>
      <c r="G9" s="93" t="s">
        <v>36</v>
      </c>
      <c r="H9" s="93" t="s">
        <v>164</v>
      </c>
      <c r="I9" s="93" t="s">
        <v>159</v>
      </c>
      <c r="J9" s="93" t="s">
        <v>38</v>
      </c>
      <c r="K9" s="93" t="s">
        <v>161</v>
      </c>
      <c r="L9" s="93">
        <v>2</v>
      </c>
      <c r="N9" s="93">
        <v>1</v>
      </c>
      <c r="O9" s="93">
        <v>0.7</v>
      </c>
      <c r="P9" s="93">
        <v>0.7</v>
      </c>
      <c r="Q9" s="102">
        <f t="shared" si="0"/>
        <v>0.7</v>
      </c>
      <c r="R9" s="93">
        <v>14.3</v>
      </c>
      <c r="S9" s="93">
        <v>148</v>
      </c>
      <c r="T9" s="103">
        <f t="shared" si="1"/>
        <v>22</v>
      </c>
      <c r="U9" s="93">
        <v>138</v>
      </c>
      <c r="V9" s="104">
        <f t="shared" si="2"/>
        <v>3036</v>
      </c>
      <c r="W9" s="93">
        <v>7</v>
      </c>
      <c r="X9" s="93" t="s">
        <v>46</v>
      </c>
      <c r="Y9" s="93" t="s">
        <v>78</v>
      </c>
      <c r="Z9" s="93" t="s">
        <v>102</v>
      </c>
      <c r="AA9" s="93" t="s">
        <v>69</v>
      </c>
      <c r="AB9" s="93" t="s">
        <v>158</v>
      </c>
      <c r="AE9" s="110" t="s">
        <v>204</v>
      </c>
      <c r="AG9" s="106" t="s">
        <v>276</v>
      </c>
      <c r="AH9" s="106" t="s">
        <v>264</v>
      </c>
      <c r="AL9" s="117"/>
      <c r="AP9" s="111" t="s">
        <v>95</v>
      </c>
      <c r="AR9" s="111" t="s">
        <v>207</v>
      </c>
      <c r="AV9" s="111" t="s">
        <v>102</v>
      </c>
      <c r="AX9" s="112">
        <v>128</v>
      </c>
      <c r="AY9" s="113">
        <v>27</v>
      </c>
      <c r="AZ9" s="113">
        <v>129</v>
      </c>
      <c r="BA9" s="114">
        <v>25</v>
      </c>
    </row>
    <row r="10" spans="1:53" x14ac:dyDescent="0.15">
      <c r="A10" s="93" t="s">
        <v>51</v>
      </c>
      <c r="B10" s="93" t="s">
        <v>157</v>
      </c>
      <c r="C10" s="93">
        <v>2019</v>
      </c>
      <c r="D10" s="101" t="s">
        <v>262</v>
      </c>
      <c r="E10" s="93" t="s">
        <v>266</v>
      </c>
      <c r="F10" s="93" t="s">
        <v>267</v>
      </c>
      <c r="G10" s="93" t="s">
        <v>36</v>
      </c>
      <c r="H10" s="93" t="s">
        <v>164</v>
      </c>
      <c r="I10" s="93" t="s">
        <v>159</v>
      </c>
      <c r="J10" s="93" t="s">
        <v>38</v>
      </c>
      <c r="K10" s="93" t="s">
        <v>161</v>
      </c>
      <c r="L10" s="93">
        <v>3</v>
      </c>
      <c r="N10" s="93">
        <v>1</v>
      </c>
      <c r="O10" s="93">
        <v>0.75</v>
      </c>
      <c r="P10" s="93">
        <v>0.6</v>
      </c>
      <c r="Q10" s="102">
        <f t="shared" si="0"/>
        <v>0.67500000000000004</v>
      </c>
      <c r="R10" s="93">
        <v>13.7</v>
      </c>
      <c r="S10" s="93">
        <v>146</v>
      </c>
      <c r="T10" s="103">
        <f t="shared" si="1"/>
        <v>22</v>
      </c>
      <c r="U10" s="93">
        <v>138</v>
      </c>
      <c r="V10" s="104">
        <f t="shared" si="2"/>
        <v>3036</v>
      </c>
      <c r="W10" s="93">
        <v>7</v>
      </c>
      <c r="X10" s="93" t="s">
        <v>46</v>
      </c>
      <c r="Y10" s="93" t="s">
        <v>78</v>
      </c>
      <c r="Z10" s="93" t="s">
        <v>102</v>
      </c>
      <c r="AA10" s="93" t="s">
        <v>69</v>
      </c>
      <c r="AB10" s="93" t="s">
        <v>158</v>
      </c>
      <c r="AE10" s="110" t="s">
        <v>208</v>
      </c>
      <c r="AG10" s="106" t="s">
        <v>263</v>
      </c>
      <c r="AH10" s="111" t="s">
        <v>264</v>
      </c>
      <c r="AP10" s="111" t="s">
        <v>100</v>
      </c>
      <c r="AR10" s="111" t="s">
        <v>210</v>
      </c>
      <c r="AV10" s="111" t="s">
        <v>106</v>
      </c>
      <c r="AX10" s="112">
        <v>138</v>
      </c>
      <c r="AY10" s="113">
        <v>25</v>
      </c>
      <c r="AZ10" s="113">
        <v>138</v>
      </c>
      <c r="BA10" s="114">
        <v>22</v>
      </c>
    </row>
    <row r="11" spans="1:53" x14ac:dyDescent="0.15">
      <c r="A11" s="93" t="s">
        <v>51</v>
      </c>
      <c r="B11" s="93" t="s">
        <v>157</v>
      </c>
      <c r="C11" s="93">
        <v>2019</v>
      </c>
      <c r="D11" s="101" t="s">
        <v>262</v>
      </c>
      <c r="E11" s="93" t="s">
        <v>266</v>
      </c>
      <c r="F11" s="93" t="s">
        <v>267</v>
      </c>
      <c r="G11" s="93" t="s">
        <v>36</v>
      </c>
      <c r="H11" s="93" t="s">
        <v>160</v>
      </c>
      <c r="I11" s="93" t="s">
        <v>159</v>
      </c>
      <c r="J11" s="93" t="s">
        <v>38</v>
      </c>
      <c r="K11" s="93" t="s">
        <v>161</v>
      </c>
      <c r="L11" s="93">
        <v>1</v>
      </c>
      <c r="N11" s="93">
        <v>1</v>
      </c>
      <c r="O11" s="93">
        <v>0.55000000000000004</v>
      </c>
      <c r="P11" s="93">
        <v>0.65</v>
      </c>
      <c r="Q11" s="102">
        <f t="shared" si="0"/>
        <v>0.60000000000000009</v>
      </c>
      <c r="R11" s="93">
        <v>16.600000000000001</v>
      </c>
      <c r="S11" s="93">
        <v>140</v>
      </c>
      <c r="T11" s="103">
        <f t="shared" si="1"/>
        <v>22</v>
      </c>
      <c r="U11" s="93">
        <v>138</v>
      </c>
      <c r="V11" s="104">
        <f t="shared" si="2"/>
        <v>3036</v>
      </c>
      <c r="W11" s="93">
        <v>7</v>
      </c>
      <c r="X11" s="93" t="s">
        <v>46</v>
      </c>
      <c r="Y11" s="93" t="s">
        <v>78</v>
      </c>
      <c r="Z11" s="93" t="s">
        <v>102</v>
      </c>
      <c r="AA11" s="93" t="s">
        <v>69</v>
      </c>
      <c r="AB11" s="93" t="s">
        <v>158</v>
      </c>
      <c r="AE11" s="110" t="s">
        <v>68</v>
      </c>
      <c r="AG11" s="106" t="s">
        <v>139</v>
      </c>
      <c r="AH11" s="111" t="s">
        <v>277</v>
      </c>
      <c r="AP11" s="111" t="s">
        <v>104</v>
      </c>
      <c r="AR11" s="111" t="s">
        <v>213</v>
      </c>
      <c r="AV11" s="111" t="s">
        <v>69</v>
      </c>
      <c r="AX11" s="112">
        <v>151</v>
      </c>
      <c r="AY11" s="113">
        <v>22</v>
      </c>
      <c r="AZ11" s="113">
        <v>152</v>
      </c>
      <c r="BA11" s="114">
        <v>18</v>
      </c>
    </row>
    <row r="12" spans="1:53" x14ac:dyDescent="0.15">
      <c r="A12" s="93" t="s">
        <v>51</v>
      </c>
      <c r="B12" s="93" t="s">
        <v>157</v>
      </c>
      <c r="C12" s="93">
        <v>2019</v>
      </c>
      <c r="D12" s="101" t="s">
        <v>262</v>
      </c>
      <c r="E12" s="93" t="s">
        <v>266</v>
      </c>
      <c r="F12" s="93" t="s">
        <v>267</v>
      </c>
      <c r="G12" s="93" t="s">
        <v>36</v>
      </c>
      <c r="H12" s="93" t="s">
        <v>160</v>
      </c>
      <c r="I12" s="93" t="s">
        <v>159</v>
      </c>
      <c r="J12" s="93" t="s">
        <v>38</v>
      </c>
      <c r="K12" s="93" t="s">
        <v>161</v>
      </c>
      <c r="L12" s="93">
        <v>2</v>
      </c>
      <c r="N12" s="93">
        <v>1</v>
      </c>
      <c r="O12" s="93">
        <v>0.25</v>
      </c>
      <c r="P12" s="93">
        <v>0.65</v>
      </c>
      <c r="Q12" s="102">
        <f t="shared" si="0"/>
        <v>0.45</v>
      </c>
      <c r="R12" s="93">
        <v>16.2</v>
      </c>
      <c r="S12" s="93">
        <v>136</v>
      </c>
      <c r="T12" s="103">
        <f t="shared" si="1"/>
        <v>25</v>
      </c>
      <c r="U12" s="93">
        <v>138</v>
      </c>
      <c r="V12" s="104">
        <f t="shared" si="2"/>
        <v>3450</v>
      </c>
      <c r="W12" s="93">
        <v>7</v>
      </c>
      <c r="X12" s="93" t="s">
        <v>46</v>
      </c>
      <c r="Y12" s="93" t="s">
        <v>78</v>
      </c>
      <c r="Z12" s="93" t="s">
        <v>102</v>
      </c>
      <c r="AA12" s="93" t="s">
        <v>69</v>
      </c>
      <c r="AB12" s="93" t="s">
        <v>158</v>
      </c>
      <c r="AE12" s="110" t="s">
        <v>214</v>
      </c>
      <c r="AG12" s="111"/>
      <c r="AH12" s="111"/>
      <c r="AP12" s="111" t="s">
        <v>67</v>
      </c>
      <c r="AR12" s="111" t="s">
        <v>215</v>
      </c>
      <c r="AV12" s="111" t="s">
        <v>72</v>
      </c>
      <c r="AX12" s="118">
        <v>180</v>
      </c>
      <c r="AY12" s="119">
        <v>18</v>
      </c>
      <c r="AZ12" s="119">
        <v>181</v>
      </c>
      <c r="BA12" s="120">
        <v>16</v>
      </c>
    </row>
    <row r="13" spans="1:53" x14ac:dyDescent="0.15">
      <c r="A13" s="93" t="s">
        <v>51</v>
      </c>
      <c r="B13" s="93" t="s">
        <v>157</v>
      </c>
      <c r="C13" s="93">
        <v>2019</v>
      </c>
      <c r="D13" s="101" t="s">
        <v>262</v>
      </c>
      <c r="E13" s="93" t="s">
        <v>266</v>
      </c>
      <c r="F13" s="93" t="s">
        <v>267</v>
      </c>
      <c r="G13" s="93" t="s">
        <v>36</v>
      </c>
      <c r="H13" s="93" t="s">
        <v>160</v>
      </c>
      <c r="I13" s="93" t="s">
        <v>159</v>
      </c>
      <c r="J13" s="93" t="s">
        <v>38</v>
      </c>
      <c r="K13" s="93" t="s">
        <v>161</v>
      </c>
      <c r="L13" s="93">
        <v>3</v>
      </c>
      <c r="N13" s="93">
        <v>1</v>
      </c>
      <c r="O13" s="93">
        <v>0.7</v>
      </c>
      <c r="P13" s="93">
        <v>0.6</v>
      </c>
      <c r="Q13" s="102">
        <f t="shared" si="0"/>
        <v>0.64999999999999991</v>
      </c>
      <c r="R13" s="93">
        <v>16.8</v>
      </c>
      <c r="S13" s="93">
        <v>144</v>
      </c>
      <c r="T13" s="103">
        <f t="shared" si="1"/>
        <v>22</v>
      </c>
      <c r="U13" s="93">
        <v>138</v>
      </c>
      <c r="V13" s="104">
        <f t="shared" si="2"/>
        <v>3036</v>
      </c>
      <c r="W13" s="93">
        <v>7</v>
      </c>
      <c r="X13" s="93" t="s">
        <v>46</v>
      </c>
      <c r="Y13" s="93" t="s">
        <v>78</v>
      </c>
      <c r="Z13" s="93" t="s">
        <v>102</v>
      </c>
      <c r="AA13" s="93" t="s">
        <v>69</v>
      </c>
      <c r="AB13" s="93" t="s">
        <v>158</v>
      </c>
      <c r="AE13" s="110" t="s">
        <v>216</v>
      </c>
      <c r="AG13" s="111"/>
      <c r="AH13" s="111"/>
      <c r="AP13" s="111" t="s">
        <v>71</v>
      </c>
      <c r="AR13" s="111" t="s">
        <v>208</v>
      </c>
      <c r="AV13" s="111" t="s">
        <v>75</v>
      </c>
    </row>
    <row r="14" spans="1:53" x14ac:dyDescent="0.15">
      <c r="A14" s="93" t="s">
        <v>51</v>
      </c>
      <c r="B14" s="93" t="s">
        <v>157</v>
      </c>
      <c r="C14" s="93">
        <v>2019</v>
      </c>
      <c r="D14" s="101" t="s">
        <v>262</v>
      </c>
      <c r="E14" s="93" t="s">
        <v>139</v>
      </c>
      <c r="F14" s="93" t="s">
        <v>277</v>
      </c>
      <c r="G14" s="93" t="s">
        <v>42</v>
      </c>
      <c r="H14" s="93" t="s">
        <v>164</v>
      </c>
      <c r="I14" s="93" t="s">
        <v>159</v>
      </c>
      <c r="J14" s="93" t="s">
        <v>38</v>
      </c>
      <c r="K14" s="93" t="s">
        <v>161</v>
      </c>
      <c r="L14" s="93">
        <v>1</v>
      </c>
      <c r="N14" s="93">
        <v>1</v>
      </c>
      <c r="O14" s="93">
        <v>0.8</v>
      </c>
      <c r="P14" s="93">
        <v>0.7</v>
      </c>
      <c r="Q14" s="102">
        <f t="shared" si="0"/>
        <v>0.75</v>
      </c>
      <c r="R14" s="93">
        <v>16.899999999999999</v>
      </c>
      <c r="S14" s="93">
        <v>108</v>
      </c>
      <c r="T14" s="103">
        <f t="shared" si="1"/>
        <v>33</v>
      </c>
      <c r="U14" s="93">
        <v>98</v>
      </c>
      <c r="V14" s="104">
        <f t="shared" si="2"/>
        <v>3234</v>
      </c>
      <c r="W14" s="93">
        <v>11</v>
      </c>
      <c r="X14" s="93" t="s">
        <v>46</v>
      </c>
      <c r="Y14" s="93" t="s">
        <v>78</v>
      </c>
      <c r="Z14" s="93" t="s">
        <v>90</v>
      </c>
      <c r="AA14" s="93" t="s">
        <v>69</v>
      </c>
      <c r="AB14" s="93" t="s">
        <v>158</v>
      </c>
      <c r="AE14" s="110" t="s">
        <v>96</v>
      </c>
      <c r="AG14" s="111"/>
      <c r="AH14" s="111"/>
      <c r="AP14" s="111" t="s">
        <v>74</v>
      </c>
      <c r="AR14" s="111" t="s">
        <v>217</v>
      </c>
      <c r="AV14" s="111" t="s">
        <v>78</v>
      </c>
    </row>
    <row r="15" spans="1:53" x14ac:dyDescent="0.15">
      <c r="A15" s="93" t="s">
        <v>51</v>
      </c>
      <c r="B15" s="93" t="s">
        <v>157</v>
      </c>
      <c r="C15" s="93">
        <v>2019</v>
      </c>
      <c r="D15" s="101" t="s">
        <v>262</v>
      </c>
      <c r="E15" s="93" t="s">
        <v>139</v>
      </c>
      <c r="F15" s="93" t="s">
        <v>277</v>
      </c>
      <c r="G15" s="93" t="s">
        <v>42</v>
      </c>
      <c r="H15" s="93" t="s">
        <v>164</v>
      </c>
      <c r="I15" s="93" t="s">
        <v>159</v>
      </c>
      <c r="J15" s="93" t="s">
        <v>38</v>
      </c>
      <c r="K15" s="93" t="s">
        <v>161</v>
      </c>
      <c r="L15" s="93">
        <v>2</v>
      </c>
      <c r="N15" s="93">
        <v>1</v>
      </c>
      <c r="O15" s="93">
        <v>0.9</v>
      </c>
      <c r="P15" s="93">
        <v>0.95</v>
      </c>
      <c r="Q15" s="102">
        <f t="shared" si="0"/>
        <v>0.92500000000000004</v>
      </c>
      <c r="R15" s="93">
        <v>16.3</v>
      </c>
      <c r="S15" s="93">
        <v>114</v>
      </c>
      <c r="T15" s="103">
        <f t="shared" si="1"/>
        <v>30</v>
      </c>
      <c r="U15" s="93">
        <v>98</v>
      </c>
      <c r="V15" s="104">
        <f t="shared" si="2"/>
        <v>2940</v>
      </c>
      <c r="W15" s="93">
        <v>11</v>
      </c>
      <c r="X15" s="93" t="s">
        <v>46</v>
      </c>
      <c r="Y15" s="93" t="s">
        <v>78</v>
      </c>
      <c r="Z15" s="93" t="s">
        <v>90</v>
      </c>
      <c r="AA15" s="93" t="s">
        <v>69</v>
      </c>
      <c r="AB15" s="93" t="s">
        <v>158</v>
      </c>
      <c r="AE15" s="110" t="s">
        <v>218</v>
      </c>
      <c r="AG15" s="111"/>
      <c r="AH15" s="111"/>
      <c r="AP15" s="111" t="s">
        <v>77</v>
      </c>
      <c r="AR15" s="111" t="s">
        <v>80</v>
      </c>
      <c r="AV15" s="111" t="s">
        <v>107</v>
      </c>
    </row>
    <row r="16" spans="1:53" x14ac:dyDescent="0.15">
      <c r="A16" s="93" t="s">
        <v>51</v>
      </c>
      <c r="B16" s="93" t="s">
        <v>157</v>
      </c>
      <c r="C16" s="93">
        <v>2019</v>
      </c>
      <c r="D16" s="101" t="s">
        <v>262</v>
      </c>
      <c r="E16" s="93" t="s">
        <v>139</v>
      </c>
      <c r="F16" s="93" t="s">
        <v>277</v>
      </c>
      <c r="G16" s="93" t="s">
        <v>42</v>
      </c>
      <c r="H16" s="93" t="s">
        <v>164</v>
      </c>
      <c r="I16" s="93" t="s">
        <v>159</v>
      </c>
      <c r="J16" s="93" t="s">
        <v>38</v>
      </c>
      <c r="K16" s="93" t="s">
        <v>161</v>
      </c>
      <c r="L16" s="93">
        <v>3</v>
      </c>
      <c r="N16" s="93">
        <v>1</v>
      </c>
      <c r="O16" s="93">
        <v>0.75</v>
      </c>
      <c r="P16" s="93">
        <v>0.85</v>
      </c>
      <c r="Q16" s="102">
        <f t="shared" si="0"/>
        <v>0.8</v>
      </c>
      <c r="R16" s="93">
        <v>16.7</v>
      </c>
      <c r="S16" s="93">
        <v>106</v>
      </c>
      <c r="T16" s="103">
        <f t="shared" si="1"/>
        <v>33</v>
      </c>
      <c r="U16" s="93">
        <v>98</v>
      </c>
      <c r="V16" s="104">
        <f t="shared" si="2"/>
        <v>3234</v>
      </c>
      <c r="W16" s="93">
        <v>11</v>
      </c>
      <c r="X16" s="93" t="s">
        <v>46</v>
      </c>
      <c r="Y16" s="93" t="s">
        <v>78</v>
      </c>
      <c r="Z16" s="93" t="s">
        <v>90</v>
      </c>
      <c r="AA16" s="93" t="s">
        <v>69</v>
      </c>
      <c r="AB16" s="93" t="s">
        <v>158</v>
      </c>
      <c r="AE16" s="110" t="s">
        <v>219</v>
      </c>
      <c r="AG16" s="116"/>
      <c r="AH16" s="116"/>
      <c r="AP16" s="111" t="s">
        <v>80</v>
      </c>
      <c r="AR16" s="111" t="s">
        <v>63</v>
      </c>
      <c r="AV16" s="111" t="s">
        <v>84</v>
      </c>
    </row>
    <row r="17" spans="1:48" x14ac:dyDescent="0.15">
      <c r="A17" s="93" t="s">
        <v>51</v>
      </c>
      <c r="B17" s="93" t="s">
        <v>157</v>
      </c>
      <c r="C17" s="93">
        <v>2019</v>
      </c>
      <c r="D17" s="101" t="s">
        <v>262</v>
      </c>
      <c r="E17" s="93" t="s">
        <v>139</v>
      </c>
      <c r="F17" s="93" t="s">
        <v>277</v>
      </c>
      <c r="G17" s="93" t="s">
        <v>42</v>
      </c>
      <c r="H17" s="93" t="s">
        <v>160</v>
      </c>
      <c r="I17" s="93" t="s">
        <v>159</v>
      </c>
      <c r="J17" s="93" t="s">
        <v>38</v>
      </c>
      <c r="K17" s="93" t="s">
        <v>161</v>
      </c>
      <c r="L17" s="93">
        <v>1</v>
      </c>
      <c r="N17" s="93">
        <v>1</v>
      </c>
      <c r="O17" s="93">
        <v>0.6</v>
      </c>
      <c r="P17" s="93">
        <v>0.65</v>
      </c>
      <c r="Q17" s="102">
        <f t="shared" si="0"/>
        <v>0.625</v>
      </c>
      <c r="R17" s="93">
        <v>17.5</v>
      </c>
      <c r="S17" s="93">
        <v>110</v>
      </c>
      <c r="T17" s="103">
        <f t="shared" si="1"/>
        <v>33</v>
      </c>
      <c r="U17" s="93">
        <v>98</v>
      </c>
      <c r="V17" s="104">
        <f t="shared" si="2"/>
        <v>3234</v>
      </c>
      <c r="W17" s="93">
        <v>11</v>
      </c>
      <c r="X17" s="93" t="s">
        <v>46</v>
      </c>
      <c r="Y17" s="93" t="s">
        <v>78</v>
      </c>
      <c r="Z17" s="93" t="s">
        <v>90</v>
      </c>
      <c r="AA17" s="93" t="s">
        <v>69</v>
      </c>
      <c r="AB17" s="93" t="s">
        <v>158</v>
      </c>
      <c r="AE17" s="110" t="s">
        <v>220</v>
      </c>
      <c r="AP17" s="115" t="s">
        <v>221</v>
      </c>
      <c r="AR17" s="111" t="s">
        <v>96</v>
      </c>
      <c r="AV17" s="111" t="s">
        <v>86</v>
      </c>
    </row>
    <row r="18" spans="1:48" x14ac:dyDescent="0.15">
      <c r="A18" s="93" t="s">
        <v>51</v>
      </c>
      <c r="B18" s="93" t="s">
        <v>157</v>
      </c>
      <c r="C18" s="93">
        <v>2019</v>
      </c>
      <c r="D18" s="101" t="s">
        <v>262</v>
      </c>
      <c r="E18" s="93" t="s">
        <v>139</v>
      </c>
      <c r="F18" s="93" t="s">
        <v>277</v>
      </c>
      <c r="G18" s="93" t="s">
        <v>42</v>
      </c>
      <c r="H18" s="93" t="s">
        <v>160</v>
      </c>
      <c r="I18" s="93" t="s">
        <v>159</v>
      </c>
      <c r="J18" s="93" t="s">
        <v>38</v>
      </c>
      <c r="K18" s="93" t="s">
        <v>161</v>
      </c>
      <c r="L18" s="93">
        <v>2</v>
      </c>
      <c r="N18" s="93">
        <v>1</v>
      </c>
      <c r="O18" s="93">
        <v>0.7</v>
      </c>
      <c r="P18" s="93">
        <v>0.6</v>
      </c>
      <c r="Q18" s="102">
        <f t="shared" si="0"/>
        <v>0.64999999999999991</v>
      </c>
      <c r="R18" s="93">
        <v>18.399999999999999</v>
      </c>
      <c r="S18" s="93">
        <v>116</v>
      </c>
      <c r="T18" s="103">
        <f t="shared" si="1"/>
        <v>30</v>
      </c>
      <c r="U18" s="93">
        <v>98</v>
      </c>
      <c r="V18" s="104">
        <f t="shared" si="2"/>
        <v>2940</v>
      </c>
      <c r="W18" s="93">
        <v>11</v>
      </c>
      <c r="X18" s="93" t="s">
        <v>46</v>
      </c>
      <c r="Y18" s="93" t="s">
        <v>78</v>
      </c>
      <c r="Z18" s="93" t="s">
        <v>90</v>
      </c>
      <c r="AA18" s="93" t="s">
        <v>69</v>
      </c>
      <c r="AB18" s="93" t="s">
        <v>158</v>
      </c>
      <c r="AE18" s="110" t="s">
        <v>213</v>
      </c>
      <c r="AP18" s="115" t="s">
        <v>222</v>
      </c>
      <c r="AR18" s="111" t="s">
        <v>101</v>
      </c>
      <c r="AV18" s="111" t="s">
        <v>88</v>
      </c>
    </row>
    <row r="19" spans="1:48" x14ac:dyDescent="0.15">
      <c r="A19" s="93" t="s">
        <v>51</v>
      </c>
      <c r="B19" s="93" t="s">
        <v>157</v>
      </c>
      <c r="C19" s="93">
        <v>2019</v>
      </c>
      <c r="D19" s="101" t="s">
        <v>262</v>
      </c>
      <c r="E19" s="93" t="s">
        <v>139</v>
      </c>
      <c r="F19" s="93" t="s">
        <v>277</v>
      </c>
      <c r="G19" s="93" t="s">
        <v>42</v>
      </c>
      <c r="H19" s="93" t="s">
        <v>160</v>
      </c>
      <c r="I19" s="93" t="s">
        <v>159</v>
      </c>
      <c r="J19" s="93" t="s">
        <v>38</v>
      </c>
      <c r="K19" s="93" t="s">
        <v>161</v>
      </c>
      <c r="L19" s="93">
        <v>3</v>
      </c>
      <c r="N19" s="93">
        <v>1</v>
      </c>
      <c r="O19" s="93">
        <v>0.55000000000000004</v>
      </c>
      <c r="P19" s="93">
        <v>0.55000000000000004</v>
      </c>
      <c r="Q19" s="102">
        <f t="shared" si="0"/>
        <v>0.55000000000000004</v>
      </c>
      <c r="R19" s="93">
        <v>17.899999999999999</v>
      </c>
      <c r="S19" s="93">
        <v>106</v>
      </c>
      <c r="T19" s="103">
        <f t="shared" si="1"/>
        <v>33</v>
      </c>
      <c r="U19" s="93">
        <v>98</v>
      </c>
      <c r="V19" s="104">
        <f t="shared" si="2"/>
        <v>3234</v>
      </c>
      <c r="W19" s="93">
        <v>11</v>
      </c>
      <c r="X19" s="93" t="s">
        <v>46</v>
      </c>
      <c r="Y19" s="93" t="s">
        <v>78</v>
      </c>
      <c r="Z19" s="93" t="s">
        <v>90</v>
      </c>
      <c r="AA19" s="93" t="s">
        <v>69</v>
      </c>
      <c r="AB19" s="93" t="s">
        <v>158</v>
      </c>
      <c r="AE19" s="121" t="s">
        <v>207</v>
      </c>
      <c r="AP19" s="115" t="s">
        <v>223</v>
      </c>
      <c r="AR19" s="111" t="s">
        <v>224</v>
      </c>
      <c r="AV19" s="111" t="s">
        <v>90</v>
      </c>
    </row>
    <row r="20" spans="1:48" x14ac:dyDescent="0.15">
      <c r="A20" s="93" t="s">
        <v>51</v>
      </c>
      <c r="B20" s="93" t="s">
        <v>157</v>
      </c>
      <c r="C20" s="93">
        <v>2019</v>
      </c>
      <c r="D20" s="101" t="s">
        <v>262</v>
      </c>
      <c r="E20" s="93" t="s">
        <v>271</v>
      </c>
      <c r="F20" s="93" t="s">
        <v>272</v>
      </c>
      <c r="G20" s="93" t="s">
        <v>36</v>
      </c>
      <c r="H20" s="93" t="s">
        <v>164</v>
      </c>
      <c r="I20" s="93" t="s">
        <v>159</v>
      </c>
      <c r="J20" s="93" t="s">
        <v>38</v>
      </c>
      <c r="K20" s="93" t="s">
        <v>161</v>
      </c>
      <c r="L20" s="93">
        <v>1</v>
      </c>
      <c r="N20" s="93">
        <v>1</v>
      </c>
      <c r="O20" s="93">
        <v>0.8</v>
      </c>
      <c r="P20" s="93">
        <v>0.8</v>
      </c>
      <c r="Q20" s="102">
        <f t="shared" si="0"/>
        <v>0.8</v>
      </c>
      <c r="R20" s="93">
        <v>17.7</v>
      </c>
      <c r="S20" s="93">
        <v>140</v>
      </c>
      <c r="T20" s="103">
        <f t="shared" si="1"/>
        <v>22</v>
      </c>
      <c r="U20" s="93">
        <v>98</v>
      </c>
      <c r="V20" s="104">
        <f t="shared" si="2"/>
        <v>2156</v>
      </c>
      <c r="W20" s="93">
        <v>8</v>
      </c>
      <c r="X20" s="93" t="s">
        <v>46</v>
      </c>
      <c r="Y20" s="93" t="s">
        <v>78</v>
      </c>
      <c r="Z20" s="93" t="s">
        <v>90</v>
      </c>
      <c r="AA20" s="93" t="s">
        <v>69</v>
      </c>
      <c r="AB20" s="93" t="s">
        <v>158</v>
      </c>
      <c r="AE20" s="121"/>
      <c r="AP20" s="115" t="s">
        <v>225</v>
      </c>
      <c r="AR20" s="111" t="s">
        <v>105</v>
      </c>
      <c r="AV20" s="115" t="s">
        <v>226</v>
      </c>
    </row>
    <row r="21" spans="1:48" x14ac:dyDescent="0.15">
      <c r="A21" s="93" t="s">
        <v>51</v>
      </c>
      <c r="B21" s="93" t="s">
        <v>157</v>
      </c>
      <c r="C21" s="93">
        <v>2019</v>
      </c>
      <c r="D21" s="101" t="s">
        <v>262</v>
      </c>
      <c r="E21" s="93" t="s">
        <v>271</v>
      </c>
      <c r="F21" s="93" t="s">
        <v>272</v>
      </c>
      <c r="G21" s="93" t="s">
        <v>36</v>
      </c>
      <c r="H21" s="93" t="s">
        <v>164</v>
      </c>
      <c r="I21" s="93" t="s">
        <v>159</v>
      </c>
      <c r="J21" s="93" t="s">
        <v>38</v>
      </c>
      <c r="K21" s="93" t="s">
        <v>161</v>
      </c>
      <c r="L21" s="93">
        <v>2</v>
      </c>
      <c r="N21" s="93">
        <v>1</v>
      </c>
      <c r="O21" s="93">
        <v>0.9</v>
      </c>
      <c r="P21" s="93">
        <v>0.75</v>
      </c>
      <c r="Q21" s="102">
        <f t="shared" si="0"/>
        <v>0.82499999999999996</v>
      </c>
      <c r="R21" s="93">
        <v>17.5</v>
      </c>
      <c r="S21" s="93">
        <v>142</v>
      </c>
      <c r="T21" s="103">
        <f t="shared" si="1"/>
        <v>22</v>
      </c>
      <c r="U21" s="93">
        <v>98</v>
      </c>
      <c r="V21" s="104">
        <f t="shared" si="2"/>
        <v>2156</v>
      </c>
      <c r="W21" s="93">
        <v>8</v>
      </c>
      <c r="X21" s="93" t="s">
        <v>46</v>
      </c>
      <c r="Y21" s="93" t="s">
        <v>78</v>
      </c>
      <c r="Z21" s="93" t="s">
        <v>90</v>
      </c>
      <c r="AA21" s="93" t="s">
        <v>69</v>
      </c>
      <c r="AB21" s="93" t="s">
        <v>158</v>
      </c>
      <c r="AE21" s="116"/>
      <c r="AP21" s="115" t="s">
        <v>227</v>
      </c>
      <c r="AR21" s="111" t="s">
        <v>68</v>
      </c>
      <c r="AV21" s="115" t="s">
        <v>228</v>
      </c>
    </row>
    <row r="22" spans="1:48" x14ac:dyDescent="0.15">
      <c r="A22" s="93" t="s">
        <v>51</v>
      </c>
      <c r="B22" s="93" t="s">
        <v>157</v>
      </c>
      <c r="C22" s="93">
        <v>2019</v>
      </c>
      <c r="D22" s="101" t="s">
        <v>262</v>
      </c>
      <c r="E22" s="93" t="s">
        <v>271</v>
      </c>
      <c r="F22" s="93" t="s">
        <v>272</v>
      </c>
      <c r="G22" s="93" t="s">
        <v>36</v>
      </c>
      <c r="H22" s="93" t="s">
        <v>164</v>
      </c>
      <c r="I22" s="93" t="s">
        <v>159</v>
      </c>
      <c r="J22" s="93" t="s">
        <v>38</v>
      </c>
      <c r="K22" s="93" t="s">
        <v>161</v>
      </c>
      <c r="L22" s="93">
        <v>3</v>
      </c>
      <c r="N22" s="93">
        <v>1</v>
      </c>
      <c r="O22" s="93">
        <v>0.75</v>
      </c>
      <c r="P22" s="93">
        <v>0.85</v>
      </c>
      <c r="Q22" s="102">
        <f t="shared" si="0"/>
        <v>0.8</v>
      </c>
      <c r="R22" s="93">
        <v>16.899999999999999</v>
      </c>
      <c r="S22" s="93">
        <v>146</v>
      </c>
      <c r="T22" s="103">
        <f t="shared" si="1"/>
        <v>22</v>
      </c>
      <c r="U22" s="93">
        <v>98</v>
      </c>
      <c r="V22" s="104">
        <f t="shared" si="2"/>
        <v>2156</v>
      </c>
      <c r="W22" s="93">
        <v>8</v>
      </c>
      <c r="X22" s="93" t="s">
        <v>46</v>
      </c>
      <c r="Y22" s="93" t="s">
        <v>78</v>
      </c>
      <c r="Z22" s="93" t="s">
        <v>90</v>
      </c>
      <c r="AA22" s="93" t="s">
        <v>69</v>
      </c>
      <c r="AB22" s="93" t="s">
        <v>158</v>
      </c>
      <c r="AP22" s="115" t="s">
        <v>229</v>
      </c>
      <c r="AR22" s="111" t="s">
        <v>83</v>
      </c>
      <c r="AV22" s="115"/>
    </row>
    <row r="23" spans="1:48" x14ac:dyDescent="0.15">
      <c r="A23" s="93" t="s">
        <v>51</v>
      </c>
      <c r="B23" s="93" t="s">
        <v>157</v>
      </c>
      <c r="C23" s="93">
        <v>2019</v>
      </c>
      <c r="D23" s="101" t="s">
        <v>262</v>
      </c>
      <c r="E23" s="93" t="s">
        <v>271</v>
      </c>
      <c r="F23" s="93" t="s">
        <v>272</v>
      </c>
      <c r="G23" s="93" t="s">
        <v>36</v>
      </c>
      <c r="H23" s="93" t="s">
        <v>160</v>
      </c>
      <c r="I23" s="93" t="s">
        <v>159</v>
      </c>
      <c r="J23" s="93" t="s">
        <v>38</v>
      </c>
      <c r="K23" s="93" t="s">
        <v>161</v>
      </c>
      <c r="L23" s="93">
        <v>1</v>
      </c>
      <c r="N23" s="93">
        <v>1</v>
      </c>
      <c r="O23" s="93">
        <v>0.7</v>
      </c>
      <c r="P23" s="93">
        <v>0.7</v>
      </c>
      <c r="Q23" s="102">
        <f t="shared" si="0"/>
        <v>0.7</v>
      </c>
      <c r="R23" s="93">
        <v>17.2</v>
      </c>
      <c r="S23" s="93">
        <v>148</v>
      </c>
      <c r="T23" s="103">
        <f t="shared" si="1"/>
        <v>22</v>
      </c>
      <c r="U23" s="93">
        <v>128</v>
      </c>
      <c r="V23" s="104">
        <f t="shared" si="2"/>
        <v>2816</v>
      </c>
      <c r="W23" s="93">
        <v>8</v>
      </c>
      <c r="X23" s="93" t="s">
        <v>46</v>
      </c>
      <c r="Y23" s="93" t="s">
        <v>78</v>
      </c>
      <c r="Z23" s="93" t="s">
        <v>90</v>
      </c>
      <c r="AA23" s="93" t="s">
        <v>69</v>
      </c>
      <c r="AB23" s="93" t="s">
        <v>158</v>
      </c>
      <c r="AP23" s="115" t="s">
        <v>278</v>
      </c>
      <c r="AR23" s="111" t="s">
        <v>61</v>
      </c>
    </row>
    <row r="24" spans="1:48" x14ac:dyDescent="0.15">
      <c r="A24" s="93" t="s">
        <v>51</v>
      </c>
      <c r="B24" s="93" t="s">
        <v>157</v>
      </c>
      <c r="C24" s="93">
        <v>2019</v>
      </c>
      <c r="D24" s="101" t="s">
        <v>262</v>
      </c>
      <c r="E24" s="93" t="s">
        <v>271</v>
      </c>
      <c r="F24" s="93" t="s">
        <v>272</v>
      </c>
      <c r="G24" s="93" t="s">
        <v>36</v>
      </c>
      <c r="H24" s="93" t="s">
        <v>160</v>
      </c>
      <c r="I24" s="93" t="s">
        <v>159</v>
      </c>
      <c r="J24" s="93" t="s">
        <v>38</v>
      </c>
      <c r="K24" s="93" t="s">
        <v>161</v>
      </c>
      <c r="L24" s="93">
        <v>2</v>
      </c>
      <c r="N24" s="93">
        <v>1</v>
      </c>
      <c r="O24" s="93">
        <v>0.65</v>
      </c>
      <c r="P24" s="93">
        <v>0.55000000000000004</v>
      </c>
      <c r="Q24" s="102">
        <f t="shared" si="0"/>
        <v>0.60000000000000009</v>
      </c>
      <c r="R24" s="93">
        <v>16.3</v>
      </c>
      <c r="S24" s="93">
        <v>146</v>
      </c>
      <c r="T24" s="103">
        <f t="shared" si="1"/>
        <v>22</v>
      </c>
      <c r="U24" s="93">
        <v>128</v>
      </c>
      <c r="V24" s="104">
        <f t="shared" si="2"/>
        <v>2816</v>
      </c>
      <c r="W24" s="93">
        <v>8</v>
      </c>
      <c r="X24" s="93" t="s">
        <v>46</v>
      </c>
      <c r="Y24" s="93" t="s">
        <v>78</v>
      </c>
      <c r="Z24" s="93" t="s">
        <v>90</v>
      </c>
      <c r="AA24" s="93" t="s">
        <v>69</v>
      </c>
      <c r="AB24" s="93" t="s">
        <v>158</v>
      </c>
      <c r="AP24" s="115" t="s">
        <v>279</v>
      </c>
      <c r="AR24" s="111" t="s">
        <v>91</v>
      </c>
    </row>
    <row r="25" spans="1:48" x14ac:dyDescent="0.15">
      <c r="A25" s="93" t="s">
        <v>51</v>
      </c>
      <c r="B25" s="93" t="s">
        <v>157</v>
      </c>
      <c r="C25" s="93">
        <v>2019</v>
      </c>
      <c r="D25" s="101" t="s">
        <v>262</v>
      </c>
      <c r="E25" s="93" t="s">
        <v>271</v>
      </c>
      <c r="F25" s="93" t="s">
        <v>272</v>
      </c>
      <c r="G25" s="93" t="s">
        <v>36</v>
      </c>
      <c r="H25" s="93" t="s">
        <v>160</v>
      </c>
      <c r="I25" s="93" t="s">
        <v>159</v>
      </c>
      <c r="J25" s="93" t="s">
        <v>38</v>
      </c>
      <c r="K25" s="93" t="s">
        <v>161</v>
      </c>
      <c r="L25" s="93">
        <v>3</v>
      </c>
      <c r="N25" s="93">
        <v>1</v>
      </c>
      <c r="O25" s="93">
        <v>0.55000000000000004</v>
      </c>
      <c r="P25" s="93">
        <v>0.5</v>
      </c>
      <c r="Q25" s="102">
        <f t="shared" si="0"/>
        <v>0.52500000000000002</v>
      </c>
      <c r="R25" s="93">
        <v>15.9</v>
      </c>
      <c r="S25" s="93">
        <v>142</v>
      </c>
      <c r="T25" s="103">
        <f t="shared" si="1"/>
        <v>22</v>
      </c>
      <c r="U25" s="93">
        <v>128</v>
      </c>
      <c r="V25" s="104">
        <f t="shared" si="2"/>
        <v>2816</v>
      </c>
      <c r="W25" s="93">
        <v>8</v>
      </c>
      <c r="X25" s="93" t="s">
        <v>46</v>
      </c>
      <c r="Y25" s="93" t="s">
        <v>78</v>
      </c>
      <c r="Z25" s="93" t="s">
        <v>90</v>
      </c>
      <c r="AA25" s="93" t="s">
        <v>69</v>
      </c>
      <c r="AB25" s="93" t="s">
        <v>158</v>
      </c>
      <c r="AP25" s="115" t="s">
        <v>280</v>
      </c>
      <c r="AR25" s="115" t="s">
        <v>51</v>
      </c>
    </row>
    <row r="26" spans="1:48" x14ac:dyDescent="0.15">
      <c r="A26" s="93" t="s">
        <v>51</v>
      </c>
      <c r="B26" s="93" t="s">
        <v>157</v>
      </c>
      <c r="C26" s="93">
        <v>2019</v>
      </c>
      <c r="D26" s="101" t="s">
        <v>262</v>
      </c>
      <c r="E26" s="93" t="s">
        <v>211</v>
      </c>
      <c r="F26" s="93" t="s">
        <v>265</v>
      </c>
      <c r="G26" s="93" t="s">
        <v>42</v>
      </c>
      <c r="H26" s="93" t="s">
        <v>164</v>
      </c>
      <c r="I26" s="93" t="s">
        <v>159</v>
      </c>
      <c r="J26" s="93" t="s">
        <v>38</v>
      </c>
      <c r="K26" s="93" t="s">
        <v>161</v>
      </c>
      <c r="L26" s="93">
        <v>1</v>
      </c>
      <c r="N26" s="93">
        <v>1</v>
      </c>
      <c r="O26" s="93">
        <v>0.8</v>
      </c>
      <c r="P26" s="93">
        <v>0.65</v>
      </c>
      <c r="Q26" s="102">
        <f t="shared" si="0"/>
        <v>0.72500000000000009</v>
      </c>
      <c r="R26" s="93">
        <v>16.3</v>
      </c>
      <c r="S26" s="93">
        <v>134</v>
      </c>
      <c r="T26" s="103">
        <f t="shared" si="1"/>
        <v>25</v>
      </c>
      <c r="U26" s="93">
        <v>127</v>
      </c>
      <c r="V26" s="104">
        <f t="shared" si="2"/>
        <v>3175</v>
      </c>
      <c r="W26" s="93">
        <v>9</v>
      </c>
      <c r="X26" s="93" t="s">
        <v>46</v>
      </c>
      <c r="Y26" s="93" t="s">
        <v>102</v>
      </c>
      <c r="Z26" s="93" t="s">
        <v>84</v>
      </c>
      <c r="AA26" s="93" t="s">
        <v>69</v>
      </c>
      <c r="AB26" s="93" t="s">
        <v>158</v>
      </c>
      <c r="AP26" s="115" t="s">
        <v>230</v>
      </c>
      <c r="AR26" s="93" t="s">
        <v>231</v>
      </c>
    </row>
    <row r="27" spans="1:48" x14ac:dyDescent="0.15">
      <c r="A27" s="93" t="s">
        <v>51</v>
      </c>
      <c r="B27" s="93" t="s">
        <v>157</v>
      </c>
      <c r="C27" s="93">
        <v>2019</v>
      </c>
      <c r="D27" s="101" t="s">
        <v>262</v>
      </c>
      <c r="E27" s="93" t="s">
        <v>211</v>
      </c>
      <c r="F27" s="93" t="s">
        <v>265</v>
      </c>
      <c r="G27" s="93" t="s">
        <v>42</v>
      </c>
      <c r="H27" s="93" t="s">
        <v>164</v>
      </c>
      <c r="I27" s="93" t="s">
        <v>159</v>
      </c>
      <c r="J27" s="93" t="s">
        <v>38</v>
      </c>
      <c r="K27" s="93" t="s">
        <v>161</v>
      </c>
      <c r="L27" s="93">
        <v>2</v>
      </c>
      <c r="N27" s="93">
        <v>1</v>
      </c>
      <c r="O27" s="93">
        <v>0.75</v>
      </c>
      <c r="P27" s="93">
        <v>0.9</v>
      </c>
      <c r="Q27" s="102">
        <f t="shared" si="0"/>
        <v>0.82499999999999996</v>
      </c>
      <c r="R27" s="93">
        <v>15.5</v>
      </c>
      <c r="S27" s="93">
        <v>126</v>
      </c>
      <c r="T27" s="103">
        <f t="shared" si="1"/>
        <v>27</v>
      </c>
      <c r="U27" s="93">
        <v>127</v>
      </c>
      <c r="V27" s="104">
        <f t="shared" si="2"/>
        <v>3429</v>
      </c>
      <c r="W27" s="93">
        <v>9</v>
      </c>
      <c r="X27" s="93" t="s">
        <v>46</v>
      </c>
      <c r="Y27" s="93" t="s">
        <v>102</v>
      </c>
      <c r="Z27" s="93" t="s">
        <v>84</v>
      </c>
      <c r="AA27" s="93" t="s">
        <v>69</v>
      </c>
      <c r="AB27" s="93" t="s">
        <v>158</v>
      </c>
      <c r="AP27" s="115" t="s">
        <v>232</v>
      </c>
    </row>
    <row r="28" spans="1:48" x14ac:dyDescent="0.15">
      <c r="A28" s="93" t="s">
        <v>51</v>
      </c>
      <c r="B28" s="93" t="s">
        <v>157</v>
      </c>
      <c r="C28" s="93">
        <v>2019</v>
      </c>
      <c r="D28" s="101" t="s">
        <v>262</v>
      </c>
      <c r="E28" s="93" t="s">
        <v>211</v>
      </c>
      <c r="F28" s="93" t="s">
        <v>265</v>
      </c>
      <c r="G28" s="93" t="s">
        <v>42</v>
      </c>
      <c r="H28" s="93" t="s">
        <v>164</v>
      </c>
      <c r="I28" s="93" t="s">
        <v>159</v>
      </c>
      <c r="J28" s="93" t="s">
        <v>38</v>
      </c>
      <c r="K28" s="93" t="s">
        <v>161</v>
      </c>
      <c r="L28" s="93">
        <v>3</v>
      </c>
      <c r="N28" s="93">
        <v>1</v>
      </c>
      <c r="O28" s="93">
        <v>0.8</v>
      </c>
      <c r="P28" s="93">
        <v>0.8</v>
      </c>
      <c r="Q28" s="102">
        <f t="shared" si="0"/>
        <v>0.8</v>
      </c>
      <c r="R28" s="93">
        <v>15.8</v>
      </c>
      <c r="S28" s="93">
        <v>136</v>
      </c>
      <c r="T28" s="103">
        <f t="shared" si="1"/>
        <v>25</v>
      </c>
      <c r="U28" s="93">
        <v>127</v>
      </c>
      <c r="V28" s="104">
        <f t="shared" si="2"/>
        <v>3175</v>
      </c>
      <c r="W28" s="93">
        <v>9</v>
      </c>
      <c r="X28" s="93" t="s">
        <v>46</v>
      </c>
      <c r="Y28" s="93" t="s">
        <v>102</v>
      </c>
      <c r="Z28" s="93" t="s">
        <v>84</v>
      </c>
      <c r="AA28" s="93" t="s">
        <v>69</v>
      </c>
      <c r="AB28" s="93" t="s">
        <v>158</v>
      </c>
    </row>
    <row r="29" spans="1:48" x14ac:dyDescent="0.15">
      <c r="A29" s="93" t="s">
        <v>51</v>
      </c>
      <c r="B29" s="93" t="s">
        <v>157</v>
      </c>
      <c r="C29" s="93">
        <v>2019</v>
      </c>
      <c r="D29" s="101" t="s">
        <v>262</v>
      </c>
      <c r="E29" s="93" t="s">
        <v>211</v>
      </c>
      <c r="F29" s="93" t="s">
        <v>265</v>
      </c>
      <c r="G29" s="93" t="s">
        <v>42</v>
      </c>
      <c r="H29" s="93" t="s">
        <v>160</v>
      </c>
      <c r="I29" s="93" t="s">
        <v>159</v>
      </c>
      <c r="J29" s="93" t="s">
        <v>38</v>
      </c>
      <c r="K29" s="93" t="s">
        <v>161</v>
      </c>
      <c r="L29" s="93">
        <v>1</v>
      </c>
      <c r="N29" s="93">
        <v>1</v>
      </c>
      <c r="O29" s="93">
        <v>0.75</v>
      </c>
      <c r="P29" s="93">
        <v>0.7</v>
      </c>
      <c r="Q29" s="102">
        <f t="shared" si="0"/>
        <v>0.72499999999999998</v>
      </c>
      <c r="R29" s="93">
        <v>17.7</v>
      </c>
      <c r="S29" s="93">
        <v>162</v>
      </c>
      <c r="T29" s="103">
        <f t="shared" si="1"/>
        <v>18</v>
      </c>
      <c r="U29" s="93">
        <v>127</v>
      </c>
      <c r="V29" s="104">
        <f t="shared" si="2"/>
        <v>2286</v>
      </c>
      <c r="W29" s="93">
        <v>9</v>
      </c>
      <c r="X29" s="93" t="s">
        <v>46</v>
      </c>
      <c r="Y29" s="93" t="s">
        <v>102</v>
      </c>
      <c r="Z29" s="93" t="s">
        <v>84</v>
      </c>
      <c r="AA29" s="93" t="s">
        <v>69</v>
      </c>
      <c r="AB29" s="93" t="s">
        <v>158</v>
      </c>
    </row>
    <row r="30" spans="1:48" x14ac:dyDescent="0.15">
      <c r="A30" s="93" t="s">
        <v>51</v>
      </c>
      <c r="B30" s="93" t="s">
        <v>157</v>
      </c>
      <c r="C30" s="93">
        <v>2019</v>
      </c>
      <c r="D30" s="101" t="s">
        <v>262</v>
      </c>
      <c r="E30" s="93" t="s">
        <v>211</v>
      </c>
      <c r="F30" s="93" t="s">
        <v>265</v>
      </c>
      <c r="G30" s="93" t="s">
        <v>42</v>
      </c>
      <c r="H30" s="93" t="s">
        <v>160</v>
      </c>
      <c r="I30" s="93" t="s">
        <v>159</v>
      </c>
      <c r="J30" s="93" t="s">
        <v>38</v>
      </c>
      <c r="K30" s="93" t="s">
        <v>161</v>
      </c>
      <c r="L30" s="93">
        <v>2</v>
      </c>
      <c r="N30" s="93">
        <v>1</v>
      </c>
      <c r="O30" s="93">
        <v>0.8</v>
      </c>
      <c r="P30" s="93">
        <v>0.7</v>
      </c>
      <c r="Q30" s="102">
        <f t="shared" si="0"/>
        <v>0.75</v>
      </c>
      <c r="R30" s="93">
        <v>18.100000000000001</v>
      </c>
      <c r="S30" s="93">
        <v>164</v>
      </c>
      <c r="T30" s="103">
        <f t="shared" si="1"/>
        <v>18</v>
      </c>
      <c r="U30" s="93">
        <v>127</v>
      </c>
      <c r="V30" s="104">
        <f t="shared" si="2"/>
        <v>2286</v>
      </c>
      <c r="W30" s="93">
        <v>9</v>
      </c>
      <c r="X30" s="93" t="s">
        <v>46</v>
      </c>
      <c r="Y30" s="93" t="s">
        <v>102</v>
      </c>
      <c r="Z30" s="93" t="s">
        <v>84</v>
      </c>
      <c r="AA30" s="93" t="s">
        <v>69</v>
      </c>
      <c r="AB30" s="93" t="s">
        <v>158</v>
      </c>
    </row>
    <row r="31" spans="1:48" x14ac:dyDescent="0.15">
      <c r="A31" s="93" t="s">
        <v>51</v>
      </c>
      <c r="B31" s="93" t="s">
        <v>157</v>
      </c>
      <c r="C31" s="93">
        <v>2019</v>
      </c>
      <c r="D31" s="101" t="s">
        <v>262</v>
      </c>
      <c r="E31" s="93" t="s">
        <v>211</v>
      </c>
      <c r="F31" s="93" t="s">
        <v>265</v>
      </c>
      <c r="G31" s="93" t="s">
        <v>42</v>
      </c>
      <c r="H31" s="93" t="s">
        <v>160</v>
      </c>
      <c r="I31" s="93" t="s">
        <v>159</v>
      </c>
      <c r="J31" s="93" t="s">
        <v>38</v>
      </c>
      <c r="K31" s="93" t="s">
        <v>161</v>
      </c>
      <c r="L31" s="93">
        <v>3</v>
      </c>
      <c r="N31" s="93">
        <v>1</v>
      </c>
      <c r="O31" s="93">
        <v>0.75</v>
      </c>
      <c r="P31" s="93">
        <v>0.8</v>
      </c>
      <c r="Q31" s="102">
        <f t="shared" si="0"/>
        <v>0.77500000000000002</v>
      </c>
      <c r="R31" s="93">
        <v>17.2</v>
      </c>
      <c r="S31" s="93">
        <v>154</v>
      </c>
      <c r="T31" s="103">
        <f t="shared" si="1"/>
        <v>18</v>
      </c>
      <c r="U31" s="93">
        <v>127</v>
      </c>
      <c r="V31" s="104">
        <f t="shared" si="2"/>
        <v>2286</v>
      </c>
      <c r="W31" s="93">
        <v>9</v>
      </c>
      <c r="X31" s="93" t="s">
        <v>46</v>
      </c>
      <c r="Y31" s="93" t="s">
        <v>102</v>
      </c>
      <c r="Z31" s="93" t="s">
        <v>84</v>
      </c>
      <c r="AA31" s="93" t="s">
        <v>69</v>
      </c>
      <c r="AB31" s="93" t="s">
        <v>158</v>
      </c>
    </row>
    <row r="32" spans="1:48" x14ac:dyDescent="0.15">
      <c r="A32" s="93" t="s">
        <v>51</v>
      </c>
      <c r="B32" s="93" t="s">
        <v>157</v>
      </c>
      <c r="C32" s="93">
        <v>2019</v>
      </c>
      <c r="D32" s="101" t="s">
        <v>262</v>
      </c>
      <c r="E32" s="93" t="s">
        <v>273</v>
      </c>
      <c r="F32" s="93" t="s">
        <v>265</v>
      </c>
      <c r="G32" s="93" t="s">
        <v>42</v>
      </c>
      <c r="H32" s="93" t="s">
        <v>164</v>
      </c>
      <c r="I32" s="93" t="s">
        <v>159</v>
      </c>
      <c r="J32" s="93" t="s">
        <v>38</v>
      </c>
      <c r="K32" s="93" t="s">
        <v>161</v>
      </c>
      <c r="L32" s="93">
        <v>1</v>
      </c>
      <c r="N32" s="93">
        <v>4</v>
      </c>
      <c r="O32" s="93">
        <v>1.05</v>
      </c>
      <c r="P32" s="93">
        <v>1</v>
      </c>
      <c r="Q32" s="102">
        <f t="shared" si="0"/>
        <v>1.0249999999999999</v>
      </c>
      <c r="R32" s="93">
        <v>14.9</v>
      </c>
      <c r="S32" s="93">
        <v>95</v>
      </c>
      <c r="T32" s="103">
        <f t="shared" si="1"/>
        <v>36</v>
      </c>
      <c r="U32" s="93">
        <v>398</v>
      </c>
      <c r="V32" s="104">
        <f t="shared" si="2"/>
        <v>3582</v>
      </c>
      <c r="W32" s="93">
        <v>8</v>
      </c>
      <c r="X32" s="93" t="s">
        <v>39</v>
      </c>
      <c r="Y32" s="93" t="s">
        <v>78</v>
      </c>
      <c r="Z32" s="93" t="s">
        <v>102</v>
      </c>
      <c r="AA32" s="93" t="s">
        <v>90</v>
      </c>
      <c r="AB32" s="93" t="s">
        <v>158</v>
      </c>
    </row>
    <row r="33" spans="1:28" x14ac:dyDescent="0.15">
      <c r="A33" s="93" t="s">
        <v>51</v>
      </c>
      <c r="B33" s="93" t="s">
        <v>157</v>
      </c>
      <c r="C33" s="93">
        <v>2019</v>
      </c>
      <c r="D33" s="101" t="s">
        <v>262</v>
      </c>
      <c r="E33" s="93" t="s">
        <v>273</v>
      </c>
      <c r="F33" s="93" t="s">
        <v>265</v>
      </c>
      <c r="G33" s="93" t="s">
        <v>42</v>
      </c>
      <c r="H33" s="93" t="s">
        <v>164</v>
      </c>
      <c r="I33" s="93" t="s">
        <v>159</v>
      </c>
      <c r="J33" s="93" t="s">
        <v>38</v>
      </c>
      <c r="K33" s="93" t="s">
        <v>161</v>
      </c>
      <c r="L33" s="93">
        <v>2</v>
      </c>
      <c r="N33" s="93">
        <v>4</v>
      </c>
      <c r="O33" s="93">
        <v>0.95</v>
      </c>
      <c r="P33" s="93">
        <v>1.1499999999999999</v>
      </c>
      <c r="Q33" s="102">
        <f t="shared" si="0"/>
        <v>1.0499999999999998</v>
      </c>
      <c r="R33" s="93">
        <v>15.1</v>
      </c>
      <c r="S33" s="93">
        <v>106</v>
      </c>
      <c r="T33" s="103">
        <f t="shared" si="1"/>
        <v>33</v>
      </c>
      <c r="U33" s="93">
        <v>398</v>
      </c>
      <c r="V33" s="104">
        <f t="shared" si="2"/>
        <v>3283.5</v>
      </c>
      <c r="W33" s="93">
        <v>8</v>
      </c>
      <c r="X33" s="93" t="s">
        <v>39</v>
      </c>
      <c r="Y33" s="93" t="s">
        <v>78</v>
      </c>
      <c r="Z33" s="93" t="s">
        <v>102</v>
      </c>
      <c r="AA33" s="93" t="s">
        <v>90</v>
      </c>
      <c r="AB33" s="93" t="s">
        <v>158</v>
      </c>
    </row>
    <row r="34" spans="1:28" x14ac:dyDescent="0.15">
      <c r="A34" s="93" t="s">
        <v>51</v>
      </c>
      <c r="B34" s="93" t="s">
        <v>157</v>
      </c>
      <c r="C34" s="93">
        <v>2019</v>
      </c>
      <c r="D34" s="101" t="s">
        <v>262</v>
      </c>
      <c r="E34" s="93" t="s">
        <v>273</v>
      </c>
      <c r="F34" s="93" t="s">
        <v>265</v>
      </c>
      <c r="G34" s="93" t="s">
        <v>42</v>
      </c>
      <c r="H34" s="93" t="s">
        <v>164</v>
      </c>
      <c r="I34" s="93" t="s">
        <v>159</v>
      </c>
      <c r="J34" s="93" t="s">
        <v>38</v>
      </c>
      <c r="K34" s="93" t="s">
        <v>161</v>
      </c>
      <c r="L34" s="93">
        <v>3</v>
      </c>
      <c r="N34" s="93">
        <v>4</v>
      </c>
      <c r="O34" s="93">
        <v>0.9</v>
      </c>
      <c r="P34" s="93">
        <v>0.95</v>
      </c>
      <c r="Q34" s="102">
        <f t="shared" si="0"/>
        <v>0.92500000000000004</v>
      </c>
      <c r="R34" s="93">
        <v>15.3</v>
      </c>
      <c r="S34" s="93">
        <v>98</v>
      </c>
      <c r="T34" s="103">
        <f t="shared" si="1"/>
        <v>36</v>
      </c>
      <c r="U34" s="93">
        <v>398</v>
      </c>
      <c r="V34" s="104">
        <f t="shared" si="2"/>
        <v>3582</v>
      </c>
      <c r="W34" s="93">
        <v>8</v>
      </c>
      <c r="X34" s="93" t="s">
        <v>39</v>
      </c>
      <c r="Y34" s="93" t="s">
        <v>78</v>
      </c>
      <c r="Z34" s="93" t="s">
        <v>102</v>
      </c>
      <c r="AA34" s="93" t="s">
        <v>90</v>
      </c>
      <c r="AB34" s="93" t="s">
        <v>158</v>
      </c>
    </row>
    <row r="35" spans="1:28" x14ac:dyDescent="0.15">
      <c r="A35" s="93" t="s">
        <v>51</v>
      </c>
      <c r="B35" s="93" t="s">
        <v>157</v>
      </c>
      <c r="C35" s="93">
        <v>2019</v>
      </c>
      <c r="D35" s="101" t="s">
        <v>262</v>
      </c>
      <c r="E35" s="93" t="s">
        <v>273</v>
      </c>
      <c r="F35" s="93" t="s">
        <v>265</v>
      </c>
      <c r="G35" s="93" t="s">
        <v>42</v>
      </c>
      <c r="H35" s="93" t="s">
        <v>164</v>
      </c>
      <c r="I35" s="93" t="s">
        <v>198</v>
      </c>
      <c r="J35" s="93" t="s">
        <v>38</v>
      </c>
      <c r="K35" s="93" t="s">
        <v>161</v>
      </c>
      <c r="L35" s="93">
        <v>1</v>
      </c>
      <c r="N35" s="93">
        <v>4</v>
      </c>
      <c r="O35" s="93">
        <v>0.9</v>
      </c>
      <c r="P35" s="93">
        <v>0.8</v>
      </c>
      <c r="Q35" s="102">
        <f t="shared" si="0"/>
        <v>0.85000000000000009</v>
      </c>
      <c r="R35" s="93">
        <v>15.5</v>
      </c>
      <c r="S35" s="93">
        <v>96</v>
      </c>
      <c r="T35" s="103">
        <f t="shared" si="1"/>
        <v>36</v>
      </c>
      <c r="U35" s="93">
        <v>398</v>
      </c>
      <c r="V35" s="104">
        <f t="shared" si="2"/>
        <v>3582</v>
      </c>
      <c r="W35" s="93">
        <v>8</v>
      </c>
      <c r="X35" s="93" t="s">
        <v>39</v>
      </c>
      <c r="Y35" s="93" t="s">
        <v>78</v>
      </c>
      <c r="Z35" s="93" t="s">
        <v>102</v>
      </c>
      <c r="AA35" s="93" t="s">
        <v>90</v>
      </c>
      <c r="AB35" s="93" t="s">
        <v>158</v>
      </c>
    </row>
    <row r="36" spans="1:28" x14ac:dyDescent="0.15">
      <c r="A36" s="93" t="s">
        <v>51</v>
      </c>
      <c r="B36" s="93" t="s">
        <v>157</v>
      </c>
      <c r="C36" s="93">
        <v>2019</v>
      </c>
      <c r="D36" s="101" t="s">
        <v>262</v>
      </c>
      <c r="E36" s="93" t="s">
        <v>273</v>
      </c>
      <c r="F36" s="93" t="s">
        <v>265</v>
      </c>
      <c r="G36" s="93" t="s">
        <v>42</v>
      </c>
      <c r="H36" s="93" t="s">
        <v>164</v>
      </c>
      <c r="I36" s="93" t="s">
        <v>198</v>
      </c>
      <c r="J36" s="93" t="s">
        <v>38</v>
      </c>
      <c r="K36" s="93" t="s">
        <v>161</v>
      </c>
      <c r="L36" s="93">
        <v>2</v>
      </c>
      <c r="N36" s="93">
        <v>4</v>
      </c>
      <c r="O36" s="93">
        <v>0.85</v>
      </c>
      <c r="P36" s="93">
        <v>0.9</v>
      </c>
      <c r="Q36" s="102">
        <f t="shared" si="0"/>
        <v>0.875</v>
      </c>
      <c r="R36" s="93">
        <v>15.3</v>
      </c>
      <c r="S36" s="93">
        <v>95</v>
      </c>
      <c r="T36" s="103">
        <f t="shared" si="1"/>
        <v>36</v>
      </c>
      <c r="U36" s="93">
        <v>398</v>
      </c>
      <c r="V36" s="104">
        <f t="shared" si="2"/>
        <v>3582</v>
      </c>
      <c r="W36" s="93">
        <v>8</v>
      </c>
      <c r="X36" s="93" t="s">
        <v>39</v>
      </c>
      <c r="Y36" s="93" t="s">
        <v>78</v>
      </c>
      <c r="Z36" s="93" t="s">
        <v>102</v>
      </c>
      <c r="AA36" s="93" t="s">
        <v>90</v>
      </c>
      <c r="AB36" s="93" t="s">
        <v>158</v>
      </c>
    </row>
    <row r="37" spans="1:28" x14ac:dyDescent="0.15">
      <c r="A37" s="93" t="s">
        <v>51</v>
      </c>
      <c r="B37" s="93" t="s">
        <v>157</v>
      </c>
      <c r="C37" s="93">
        <v>2019</v>
      </c>
      <c r="D37" s="101" t="s">
        <v>262</v>
      </c>
      <c r="E37" s="93" t="s">
        <v>273</v>
      </c>
      <c r="F37" s="93" t="s">
        <v>265</v>
      </c>
      <c r="G37" s="93" t="s">
        <v>42</v>
      </c>
      <c r="H37" s="93" t="s">
        <v>164</v>
      </c>
      <c r="I37" s="93" t="s">
        <v>198</v>
      </c>
      <c r="J37" s="93" t="s">
        <v>38</v>
      </c>
      <c r="K37" s="93" t="s">
        <v>161</v>
      </c>
      <c r="L37" s="93">
        <v>3</v>
      </c>
      <c r="N37" s="93">
        <v>4</v>
      </c>
      <c r="O37" s="93">
        <v>0.75</v>
      </c>
      <c r="P37" s="93">
        <v>0.95</v>
      </c>
      <c r="Q37" s="102">
        <f t="shared" si="0"/>
        <v>0.85</v>
      </c>
      <c r="R37" s="93">
        <v>16</v>
      </c>
      <c r="S37" s="93">
        <v>106</v>
      </c>
      <c r="T37" s="103">
        <f t="shared" si="1"/>
        <v>33</v>
      </c>
      <c r="U37" s="93">
        <v>398</v>
      </c>
      <c r="V37" s="104">
        <f t="shared" si="2"/>
        <v>3283.5</v>
      </c>
      <c r="W37" s="93">
        <v>8</v>
      </c>
      <c r="X37" s="93" t="s">
        <v>39</v>
      </c>
      <c r="Y37" s="93" t="s">
        <v>78</v>
      </c>
      <c r="Z37" s="93" t="s">
        <v>102</v>
      </c>
      <c r="AA37" s="93" t="s">
        <v>90</v>
      </c>
      <c r="AB37" s="93" t="s">
        <v>158</v>
      </c>
    </row>
    <row r="38" spans="1:28" x14ac:dyDescent="0.15">
      <c r="A38" s="93" t="s">
        <v>51</v>
      </c>
      <c r="B38" s="93" t="s">
        <v>157</v>
      </c>
      <c r="C38" s="93">
        <v>2019</v>
      </c>
      <c r="D38" s="101" t="s">
        <v>262</v>
      </c>
      <c r="E38" s="93" t="s">
        <v>273</v>
      </c>
      <c r="F38" s="93" t="s">
        <v>265</v>
      </c>
      <c r="G38" s="93" t="s">
        <v>42</v>
      </c>
      <c r="H38" s="93" t="s">
        <v>160</v>
      </c>
      <c r="I38" s="93" t="s">
        <v>159</v>
      </c>
      <c r="J38" s="93" t="s">
        <v>38</v>
      </c>
      <c r="K38" s="93" t="s">
        <v>161</v>
      </c>
      <c r="L38" s="93">
        <v>1</v>
      </c>
      <c r="N38" s="93">
        <v>4</v>
      </c>
      <c r="O38" s="93">
        <v>0.25</v>
      </c>
      <c r="P38" s="93">
        <v>0.5</v>
      </c>
      <c r="Q38" s="102">
        <f t="shared" si="0"/>
        <v>0.375</v>
      </c>
      <c r="R38" s="93">
        <v>17.8</v>
      </c>
      <c r="S38" s="93">
        <v>98</v>
      </c>
      <c r="T38" s="103">
        <f t="shared" si="1"/>
        <v>36</v>
      </c>
      <c r="U38" s="93">
        <v>298</v>
      </c>
      <c r="V38" s="104">
        <f t="shared" si="2"/>
        <v>2682</v>
      </c>
      <c r="W38" s="93">
        <v>8</v>
      </c>
      <c r="X38" s="93" t="s">
        <v>39</v>
      </c>
      <c r="Y38" s="93" t="s">
        <v>78</v>
      </c>
      <c r="Z38" s="93" t="s">
        <v>102</v>
      </c>
      <c r="AA38" s="93" t="s">
        <v>90</v>
      </c>
      <c r="AB38" s="93" t="s">
        <v>158</v>
      </c>
    </row>
    <row r="39" spans="1:28" x14ac:dyDescent="0.15">
      <c r="A39" s="93" t="s">
        <v>51</v>
      </c>
      <c r="B39" s="93" t="s">
        <v>157</v>
      </c>
      <c r="C39" s="93">
        <v>2019</v>
      </c>
      <c r="D39" s="101" t="s">
        <v>262</v>
      </c>
      <c r="E39" s="93" t="s">
        <v>273</v>
      </c>
      <c r="F39" s="93" t="s">
        <v>265</v>
      </c>
      <c r="G39" s="93" t="s">
        <v>42</v>
      </c>
      <c r="H39" s="93" t="s">
        <v>160</v>
      </c>
      <c r="I39" s="93" t="s">
        <v>159</v>
      </c>
      <c r="J39" s="93" t="s">
        <v>38</v>
      </c>
      <c r="K39" s="93" t="s">
        <v>161</v>
      </c>
      <c r="L39" s="93">
        <v>2</v>
      </c>
      <c r="N39" s="93">
        <v>4</v>
      </c>
      <c r="O39" s="93">
        <v>0.25</v>
      </c>
      <c r="P39" s="93">
        <v>0.25</v>
      </c>
      <c r="Q39" s="102">
        <f t="shared" si="0"/>
        <v>0.25</v>
      </c>
      <c r="R39" s="93">
        <v>17.399999999999999</v>
      </c>
      <c r="S39" s="93">
        <v>96</v>
      </c>
      <c r="T39" s="103">
        <f t="shared" si="1"/>
        <v>36</v>
      </c>
      <c r="U39" s="93">
        <v>298</v>
      </c>
      <c r="V39" s="104">
        <f t="shared" si="2"/>
        <v>2682</v>
      </c>
      <c r="W39" s="93">
        <v>8</v>
      </c>
      <c r="X39" s="93" t="s">
        <v>39</v>
      </c>
      <c r="Y39" s="93" t="s">
        <v>78</v>
      </c>
      <c r="Z39" s="93" t="s">
        <v>102</v>
      </c>
      <c r="AA39" s="93" t="s">
        <v>90</v>
      </c>
      <c r="AB39" s="93" t="s">
        <v>158</v>
      </c>
    </row>
    <row r="40" spans="1:28" x14ac:dyDescent="0.15">
      <c r="A40" s="93" t="s">
        <v>51</v>
      </c>
      <c r="B40" s="93" t="s">
        <v>157</v>
      </c>
      <c r="C40" s="93">
        <v>2019</v>
      </c>
      <c r="D40" s="101" t="s">
        <v>262</v>
      </c>
      <c r="E40" s="93" t="s">
        <v>273</v>
      </c>
      <c r="F40" s="93" t="s">
        <v>265</v>
      </c>
      <c r="G40" s="93" t="s">
        <v>42</v>
      </c>
      <c r="H40" s="93" t="s">
        <v>160</v>
      </c>
      <c r="I40" s="93" t="s">
        <v>159</v>
      </c>
      <c r="J40" s="93" t="s">
        <v>38</v>
      </c>
      <c r="K40" s="93" t="s">
        <v>161</v>
      </c>
      <c r="L40" s="93">
        <v>3</v>
      </c>
      <c r="N40" s="93">
        <v>4</v>
      </c>
      <c r="O40" s="93">
        <v>0.55000000000000004</v>
      </c>
      <c r="P40" s="93">
        <v>0.5</v>
      </c>
      <c r="Q40" s="102">
        <f t="shared" si="0"/>
        <v>0.52500000000000002</v>
      </c>
      <c r="R40" s="93">
        <v>17.600000000000001</v>
      </c>
      <c r="S40" s="93">
        <v>96</v>
      </c>
      <c r="T40" s="103">
        <f t="shared" si="1"/>
        <v>36</v>
      </c>
      <c r="U40" s="93">
        <v>298</v>
      </c>
      <c r="V40" s="104">
        <f t="shared" si="2"/>
        <v>2682</v>
      </c>
      <c r="W40" s="93">
        <v>8</v>
      </c>
      <c r="X40" s="93" t="s">
        <v>39</v>
      </c>
      <c r="Y40" s="93" t="s">
        <v>78</v>
      </c>
      <c r="Z40" s="93" t="s">
        <v>102</v>
      </c>
      <c r="AA40" s="93" t="s">
        <v>90</v>
      </c>
      <c r="AB40" s="93" t="s">
        <v>158</v>
      </c>
    </row>
    <row r="41" spans="1:28" x14ac:dyDescent="0.15">
      <c r="A41" s="93" t="s">
        <v>51</v>
      </c>
      <c r="B41" s="93" t="s">
        <v>157</v>
      </c>
      <c r="C41" s="93">
        <v>2019</v>
      </c>
      <c r="D41" s="101" t="s">
        <v>262</v>
      </c>
      <c r="E41" s="93" t="s">
        <v>268</v>
      </c>
      <c r="F41" s="93" t="s">
        <v>269</v>
      </c>
      <c r="G41" s="93" t="s">
        <v>42</v>
      </c>
      <c r="H41" s="93" t="s">
        <v>164</v>
      </c>
      <c r="I41" s="93" t="s">
        <v>159</v>
      </c>
      <c r="J41" s="93" t="s">
        <v>38</v>
      </c>
      <c r="K41" s="93" t="s">
        <v>161</v>
      </c>
      <c r="L41" s="93">
        <v>1</v>
      </c>
      <c r="N41" s="93">
        <v>1</v>
      </c>
      <c r="O41" s="93">
        <v>0.9</v>
      </c>
      <c r="P41" s="93">
        <v>0.9</v>
      </c>
      <c r="Q41" s="102">
        <f t="shared" si="0"/>
        <v>0.9</v>
      </c>
      <c r="R41" s="93">
        <v>15.8</v>
      </c>
      <c r="S41" s="93">
        <v>132</v>
      </c>
      <c r="T41" s="103">
        <f t="shared" si="1"/>
        <v>25</v>
      </c>
      <c r="U41" s="93">
        <v>128</v>
      </c>
      <c r="V41" s="104">
        <f t="shared" si="2"/>
        <v>3200</v>
      </c>
      <c r="W41" s="93">
        <v>4</v>
      </c>
      <c r="X41" s="93" t="s">
        <v>39</v>
      </c>
      <c r="Y41" s="93" t="s">
        <v>90</v>
      </c>
      <c r="Z41" s="93" t="s">
        <v>69</v>
      </c>
      <c r="AA41" s="93" t="s">
        <v>102</v>
      </c>
      <c r="AB41" s="93" t="s">
        <v>158</v>
      </c>
    </row>
    <row r="42" spans="1:28" x14ac:dyDescent="0.15">
      <c r="A42" s="93" t="s">
        <v>51</v>
      </c>
      <c r="B42" s="93" t="s">
        <v>157</v>
      </c>
      <c r="C42" s="93">
        <v>2019</v>
      </c>
      <c r="D42" s="101" t="s">
        <v>262</v>
      </c>
      <c r="E42" s="93" t="s">
        <v>268</v>
      </c>
      <c r="F42" s="93" t="s">
        <v>269</v>
      </c>
      <c r="G42" s="93" t="s">
        <v>42</v>
      </c>
      <c r="H42" s="93" t="s">
        <v>164</v>
      </c>
      <c r="I42" s="93" t="s">
        <v>159</v>
      </c>
      <c r="J42" s="93" t="s">
        <v>38</v>
      </c>
      <c r="K42" s="93" t="s">
        <v>161</v>
      </c>
      <c r="L42" s="93">
        <v>2</v>
      </c>
      <c r="N42" s="93">
        <v>1</v>
      </c>
      <c r="O42" s="93">
        <v>0.85</v>
      </c>
      <c r="P42" s="93">
        <v>1.05</v>
      </c>
      <c r="Q42" s="102">
        <f t="shared" si="0"/>
        <v>0.95</v>
      </c>
      <c r="R42" s="93">
        <v>15.3</v>
      </c>
      <c r="S42" s="93">
        <v>128</v>
      </c>
      <c r="T42" s="103">
        <f t="shared" si="1"/>
        <v>27</v>
      </c>
      <c r="U42" s="93">
        <v>128</v>
      </c>
      <c r="V42" s="104">
        <f t="shared" si="2"/>
        <v>3456</v>
      </c>
      <c r="W42" s="93">
        <v>4</v>
      </c>
      <c r="X42" s="93" t="s">
        <v>39</v>
      </c>
      <c r="Y42" s="93" t="s">
        <v>90</v>
      </c>
      <c r="Z42" s="93" t="s">
        <v>69</v>
      </c>
      <c r="AA42" s="93" t="s">
        <v>102</v>
      </c>
      <c r="AB42" s="93" t="s">
        <v>158</v>
      </c>
    </row>
    <row r="43" spans="1:28" x14ac:dyDescent="0.15">
      <c r="A43" s="93" t="s">
        <v>51</v>
      </c>
      <c r="B43" s="93" t="s">
        <v>157</v>
      </c>
      <c r="C43" s="93">
        <v>2019</v>
      </c>
      <c r="D43" s="101" t="s">
        <v>262</v>
      </c>
      <c r="E43" s="93" t="s">
        <v>268</v>
      </c>
      <c r="F43" s="93" t="s">
        <v>269</v>
      </c>
      <c r="G43" s="93" t="s">
        <v>42</v>
      </c>
      <c r="H43" s="93" t="s">
        <v>164</v>
      </c>
      <c r="I43" s="93" t="s">
        <v>159</v>
      </c>
      <c r="J43" s="93" t="s">
        <v>38</v>
      </c>
      <c r="K43" s="93" t="s">
        <v>161</v>
      </c>
      <c r="L43" s="93">
        <v>3</v>
      </c>
      <c r="N43" s="93">
        <v>1</v>
      </c>
      <c r="O43" s="93">
        <v>0.95</v>
      </c>
      <c r="P43" s="93">
        <v>0.7</v>
      </c>
      <c r="Q43" s="102">
        <f t="shared" si="0"/>
        <v>0.82499999999999996</v>
      </c>
      <c r="R43" s="93">
        <v>16</v>
      </c>
      <c r="S43" s="93">
        <v>132</v>
      </c>
      <c r="T43" s="103">
        <f t="shared" si="1"/>
        <v>25</v>
      </c>
      <c r="U43" s="93">
        <v>128</v>
      </c>
      <c r="V43" s="104">
        <f t="shared" si="2"/>
        <v>3200</v>
      </c>
      <c r="W43" s="93">
        <v>4</v>
      </c>
      <c r="X43" s="93" t="s">
        <v>39</v>
      </c>
      <c r="Y43" s="93" t="s">
        <v>90</v>
      </c>
      <c r="Z43" s="93" t="s">
        <v>69</v>
      </c>
      <c r="AA43" s="93" t="s">
        <v>102</v>
      </c>
      <c r="AB43" s="93" t="s">
        <v>158</v>
      </c>
    </row>
    <row r="44" spans="1:28" x14ac:dyDescent="0.15">
      <c r="A44" s="93" t="s">
        <v>51</v>
      </c>
      <c r="B44" s="93" t="s">
        <v>157</v>
      </c>
      <c r="C44" s="93">
        <v>2019</v>
      </c>
      <c r="D44" s="101" t="s">
        <v>262</v>
      </c>
      <c r="E44" s="93" t="s">
        <v>268</v>
      </c>
      <c r="F44" s="93" t="s">
        <v>269</v>
      </c>
      <c r="G44" s="93" t="s">
        <v>42</v>
      </c>
      <c r="H44" s="93" t="s">
        <v>160</v>
      </c>
      <c r="I44" s="93" t="s">
        <v>159</v>
      </c>
      <c r="J44" s="93" t="s">
        <v>38</v>
      </c>
      <c r="K44" s="93" t="s">
        <v>161</v>
      </c>
      <c r="L44" s="93">
        <v>1</v>
      </c>
      <c r="N44" s="93">
        <v>1</v>
      </c>
      <c r="O44" s="93">
        <v>0.8</v>
      </c>
      <c r="P44" s="93">
        <v>0.8</v>
      </c>
      <c r="Q44" s="102">
        <f t="shared" si="0"/>
        <v>0.8</v>
      </c>
      <c r="R44" s="93">
        <v>16.7</v>
      </c>
      <c r="S44" s="93">
        <v>136</v>
      </c>
      <c r="T44" s="103">
        <f t="shared" si="1"/>
        <v>25</v>
      </c>
      <c r="U44" s="93">
        <v>128</v>
      </c>
      <c r="V44" s="104">
        <f t="shared" si="2"/>
        <v>3200</v>
      </c>
      <c r="W44" s="93">
        <v>4</v>
      </c>
      <c r="X44" s="93" t="s">
        <v>39</v>
      </c>
      <c r="Y44" s="93" t="s">
        <v>90</v>
      </c>
      <c r="Z44" s="93" t="s">
        <v>69</v>
      </c>
      <c r="AA44" s="93" t="s">
        <v>102</v>
      </c>
      <c r="AB44" s="93" t="s">
        <v>158</v>
      </c>
    </row>
    <row r="45" spans="1:28" x14ac:dyDescent="0.15">
      <c r="A45" s="93" t="s">
        <v>51</v>
      </c>
      <c r="B45" s="93" t="s">
        <v>157</v>
      </c>
      <c r="C45" s="93">
        <v>2019</v>
      </c>
      <c r="D45" s="101" t="s">
        <v>262</v>
      </c>
      <c r="E45" s="93" t="s">
        <v>268</v>
      </c>
      <c r="F45" s="93" t="s">
        <v>269</v>
      </c>
      <c r="G45" s="93" t="s">
        <v>42</v>
      </c>
      <c r="H45" s="93" t="s">
        <v>160</v>
      </c>
      <c r="I45" s="93" t="s">
        <v>159</v>
      </c>
      <c r="J45" s="93" t="s">
        <v>38</v>
      </c>
      <c r="K45" s="93" t="s">
        <v>161</v>
      </c>
      <c r="L45" s="93">
        <v>2</v>
      </c>
      <c r="N45" s="93">
        <v>1</v>
      </c>
      <c r="O45" s="93">
        <v>0.75</v>
      </c>
      <c r="P45" s="93">
        <v>0.65</v>
      </c>
      <c r="Q45" s="102">
        <f t="shared" si="0"/>
        <v>0.7</v>
      </c>
      <c r="R45" s="93">
        <v>16.100000000000001</v>
      </c>
      <c r="S45" s="93">
        <v>130</v>
      </c>
      <c r="T45" s="103">
        <f t="shared" si="1"/>
        <v>25</v>
      </c>
      <c r="U45" s="93">
        <v>128</v>
      </c>
      <c r="V45" s="104">
        <f t="shared" si="2"/>
        <v>3200</v>
      </c>
      <c r="W45" s="93">
        <v>4</v>
      </c>
      <c r="X45" s="93" t="s">
        <v>39</v>
      </c>
      <c r="Y45" s="93" t="s">
        <v>90</v>
      </c>
      <c r="Z45" s="93" t="s">
        <v>69</v>
      </c>
      <c r="AA45" s="93" t="s">
        <v>102</v>
      </c>
      <c r="AB45" s="93" t="s">
        <v>158</v>
      </c>
    </row>
    <row r="46" spans="1:28" x14ac:dyDescent="0.15">
      <c r="A46" s="93" t="s">
        <v>51</v>
      </c>
      <c r="B46" s="93" t="s">
        <v>157</v>
      </c>
      <c r="C46" s="93">
        <v>2019</v>
      </c>
      <c r="D46" s="101" t="s">
        <v>262</v>
      </c>
      <c r="E46" s="93" t="s">
        <v>268</v>
      </c>
      <c r="F46" s="93" t="s">
        <v>269</v>
      </c>
      <c r="G46" s="93" t="s">
        <v>42</v>
      </c>
      <c r="H46" s="93" t="s">
        <v>160</v>
      </c>
      <c r="I46" s="93" t="s">
        <v>159</v>
      </c>
      <c r="J46" s="93" t="s">
        <v>38</v>
      </c>
      <c r="K46" s="93" t="s">
        <v>161</v>
      </c>
      <c r="L46" s="93">
        <v>3</v>
      </c>
      <c r="N46" s="93">
        <v>1</v>
      </c>
      <c r="O46" s="93">
        <v>0.55000000000000004</v>
      </c>
      <c r="P46" s="93">
        <v>0.7</v>
      </c>
      <c r="Q46" s="102">
        <f t="shared" si="0"/>
        <v>0.625</v>
      </c>
      <c r="R46" s="93">
        <v>16.3</v>
      </c>
      <c r="S46" s="93">
        <v>130</v>
      </c>
      <c r="T46" s="103">
        <f t="shared" si="1"/>
        <v>25</v>
      </c>
      <c r="U46" s="93">
        <v>128</v>
      </c>
      <c r="V46" s="104">
        <f t="shared" si="2"/>
        <v>3200</v>
      </c>
      <c r="W46" s="93">
        <v>4</v>
      </c>
      <c r="X46" s="93" t="s">
        <v>39</v>
      </c>
      <c r="Y46" s="93" t="s">
        <v>90</v>
      </c>
      <c r="Z46" s="93" t="s">
        <v>69</v>
      </c>
      <c r="AA46" s="93" t="s">
        <v>102</v>
      </c>
      <c r="AB46" s="93" t="s">
        <v>158</v>
      </c>
    </row>
    <row r="47" spans="1:28" x14ac:dyDescent="0.15">
      <c r="A47" s="93" t="s">
        <v>51</v>
      </c>
      <c r="B47" s="93" t="s">
        <v>157</v>
      </c>
      <c r="C47" s="93">
        <v>2019</v>
      </c>
      <c r="D47" s="101" t="s">
        <v>262</v>
      </c>
      <c r="E47" s="93" t="s">
        <v>270</v>
      </c>
      <c r="F47" s="93" t="s">
        <v>264</v>
      </c>
      <c r="G47" s="93" t="s">
        <v>36</v>
      </c>
      <c r="H47" s="93" t="s">
        <v>164</v>
      </c>
      <c r="I47" s="93" t="s">
        <v>159</v>
      </c>
      <c r="J47" s="93" t="s">
        <v>38</v>
      </c>
      <c r="K47" s="93" t="s">
        <v>161</v>
      </c>
      <c r="L47" s="93">
        <v>1</v>
      </c>
      <c r="N47" s="93">
        <v>1</v>
      </c>
      <c r="O47" s="93">
        <v>0.75</v>
      </c>
      <c r="P47" s="93">
        <v>0.8</v>
      </c>
      <c r="Q47" s="102">
        <f t="shared" si="0"/>
        <v>0.77500000000000002</v>
      </c>
      <c r="R47" s="93">
        <v>16.899999999999999</v>
      </c>
      <c r="S47" s="93">
        <v>116</v>
      </c>
      <c r="T47" s="103">
        <f t="shared" si="1"/>
        <v>30</v>
      </c>
      <c r="U47" s="93">
        <v>100</v>
      </c>
      <c r="V47" s="104">
        <f t="shared" si="2"/>
        <v>3000</v>
      </c>
      <c r="W47" s="93">
        <v>5</v>
      </c>
      <c r="X47" s="93" t="s">
        <v>46</v>
      </c>
      <c r="Y47" s="93" t="s">
        <v>78</v>
      </c>
      <c r="Z47" s="93" t="s">
        <v>90</v>
      </c>
      <c r="AA47" s="93" t="s">
        <v>55</v>
      </c>
      <c r="AB47" s="93" t="s">
        <v>158</v>
      </c>
    </row>
    <row r="48" spans="1:28" x14ac:dyDescent="0.15">
      <c r="A48" s="93" t="s">
        <v>51</v>
      </c>
      <c r="B48" s="93" t="s">
        <v>157</v>
      </c>
      <c r="C48" s="93">
        <v>2019</v>
      </c>
      <c r="D48" s="101" t="s">
        <v>262</v>
      </c>
      <c r="E48" s="93" t="s">
        <v>270</v>
      </c>
      <c r="F48" s="93" t="s">
        <v>264</v>
      </c>
      <c r="G48" s="93" t="s">
        <v>36</v>
      </c>
      <c r="H48" s="93" t="s">
        <v>164</v>
      </c>
      <c r="I48" s="93" t="s">
        <v>159</v>
      </c>
      <c r="J48" s="93" t="s">
        <v>38</v>
      </c>
      <c r="K48" s="93" t="s">
        <v>161</v>
      </c>
      <c r="L48" s="93">
        <v>2</v>
      </c>
      <c r="N48" s="93">
        <v>1</v>
      </c>
      <c r="O48" s="93">
        <v>0.9</v>
      </c>
      <c r="P48" s="93">
        <v>0.8</v>
      </c>
      <c r="Q48" s="102">
        <f t="shared" si="0"/>
        <v>0.85000000000000009</v>
      </c>
      <c r="R48" s="93">
        <v>16.5</v>
      </c>
      <c r="S48" s="93">
        <v>114</v>
      </c>
      <c r="T48" s="103">
        <f t="shared" si="1"/>
        <v>30</v>
      </c>
      <c r="U48" s="93">
        <v>100</v>
      </c>
      <c r="V48" s="104">
        <f t="shared" si="2"/>
        <v>3000</v>
      </c>
      <c r="W48" s="93">
        <v>5</v>
      </c>
      <c r="X48" s="93" t="s">
        <v>46</v>
      </c>
      <c r="Y48" s="93" t="s">
        <v>78</v>
      </c>
      <c r="Z48" s="93" t="s">
        <v>90</v>
      </c>
      <c r="AA48" s="93" t="s">
        <v>55</v>
      </c>
      <c r="AB48" s="93" t="s">
        <v>158</v>
      </c>
    </row>
    <row r="49" spans="1:28" x14ac:dyDescent="0.15">
      <c r="A49" s="93" t="s">
        <v>51</v>
      </c>
      <c r="B49" s="93" t="s">
        <v>157</v>
      </c>
      <c r="C49" s="93">
        <v>2019</v>
      </c>
      <c r="D49" s="101" t="s">
        <v>262</v>
      </c>
      <c r="E49" s="93" t="s">
        <v>270</v>
      </c>
      <c r="F49" s="93" t="s">
        <v>264</v>
      </c>
      <c r="G49" s="93" t="s">
        <v>36</v>
      </c>
      <c r="H49" s="93" t="s">
        <v>164</v>
      </c>
      <c r="I49" s="93" t="s">
        <v>159</v>
      </c>
      <c r="J49" s="93" t="s">
        <v>38</v>
      </c>
      <c r="K49" s="93" t="s">
        <v>161</v>
      </c>
      <c r="L49" s="93">
        <v>3</v>
      </c>
      <c r="N49" s="93">
        <v>1</v>
      </c>
      <c r="O49" s="93">
        <v>0.85</v>
      </c>
      <c r="P49" s="93">
        <v>0.95</v>
      </c>
      <c r="Q49" s="102">
        <f t="shared" si="0"/>
        <v>0.89999999999999991</v>
      </c>
      <c r="R49" s="93">
        <v>15.7</v>
      </c>
      <c r="S49" s="93">
        <v>110</v>
      </c>
      <c r="T49" s="103">
        <f t="shared" si="1"/>
        <v>33</v>
      </c>
      <c r="U49" s="93">
        <v>100</v>
      </c>
      <c r="V49" s="104">
        <f t="shared" si="2"/>
        <v>3300</v>
      </c>
      <c r="W49" s="93">
        <v>5</v>
      </c>
      <c r="X49" s="93" t="s">
        <v>46</v>
      </c>
      <c r="Y49" s="93" t="s">
        <v>78</v>
      </c>
      <c r="Z49" s="93" t="s">
        <v>90</v>
      </c>
      <c r="AA49" s="93" t="s">
        <v>55</v>
      </c>
      <c r="AB49" s="93" t="s">
        <v>158</v>
      </c>
    </row>
    <row r="50" spans="1:28" x14ac:dyDescent="0.15">
      <c r="A50" s="93" t="s">
        <v>51</v>
      </c>
      <c r="B50" s="93" t="s">
        <v>157</v>
      </c>
      <c r="C50" s="93">
        <v>2019</v>
      </c>
      <c r="D50" s="101" t="s">
        <v>262</v>
      </c>
      <c r="E50" s="93" t="s">
        <v>270</v>
      </c>
      <c r="F50" s="93" t="s">
        <v>264</v>
      </c>
      <c r="G50" s="93" t="s">
        <v>36</v>
      </c>
      <c r="H50" s="93" t="s">
        <v>160</v>
      </c>
      <c r="I50" s="93" t="s">
        <v>159</v>
      </c>
      <c r="J50" s="93" t="s">
        <v>38</v>
      </c>
      <c r="K50" s="93" t="s">
        <v>161</v>
      </c>
      <c r="L50" s="93">
        <v>1</v>
      </c>
      <c r="N50" s="93">
        <v>1</v>
      </c>
      <c r="O50" s="93">
        <v>0.6</v>
      </c>
      <c r="P50" s="93">
        <v>0.55000000000000004</v>
      </c>
      <c r="Q50" s="102">
        <f t="shared" si="0"/>
        <v>0.57499999999999996</v>
      </c>
      <c r="R50" s="93">
        <v>17.8</v>
      </c>
      <c r="S50" s="93">
        <v>108</v>
      </c>
      <c r="T50" s="103">
        <f t="shared" si="1"/>
        <v>33</v>
      </c>
      <c r="U50" s="93">
        <v>138</v>
      </c>
      <c r="V50" s="104">
        <f t="shared" si="2"/>
        <v>4554</v>
      </c>
      <c r="W50" s="93">
        <v>5</v>
      </c>
      <c r="X50" s="93" t="s">
        <v>46</v>
      </c>
      <c r="Y50" s="93" t="s">
        <v>78</v>
      </c>
      <c r="Z50" s="93" t="s">
        <v>90</v>
      </c>
      <c r="AA50" s="93" t="s">
        <v>55</v>
      </c>
      <c r="AB50" s="93" t="s">
        <v>158</v>
      </c>
    </row>
    <row r="51" spans="1:28" x14ac:dyDescent="0.15">
      <c r="A51" s="93" t="s">
        <v>51</v>
      </c>
      <c r="B51" s="93" t="s">
        <v>157</v>
      </c>
      <c r="C51" s="93">
        <v>2019</v>
      </c>
      <c r="D51" s="101" t="s">
        <v>262</v>
      </c>
      <c r="E51" s="93" t="s">
        <v>270</v>
      </c>
      <c r="F51" s="93" t="s">
        <v>264</v>
      </c>
      <c r="G51" s="93" t="s">
        <v>36</v>
      </c>
      <c r="H51" s="93" t="s">
        <v>160</v>
      </c>
      <c r="I51" s="93" t="s">
        <v>159</v>
      </c>
      <c r="J51" s="93" t="s">
        <v>38</v>
      </c>
      <c r="K51" s="93" t="s">
        <v>161</v>
      </c>
      <c r="L51" s="93">
        <v>2</v>
      </c>
      <c r="N51" s="93">
        <v>1</v>
      </c>
      <c r="O51" s="93">
        <v>0.7</v>
      </c>
      <c r="P51" s="93">
        <v>0.7</v>
      </c>
      <c r="Q51" s="102">
        <f t="shared" si="0"/>
        <v>0.7</v>
      </c>
      <c r="R51" s="93">
        <v>17.3</v>
      </c>
      <c r="S51" s="93">
        <v>112</v>
      </c>
      <c r="T51" s="103">
        <f t="shared" si="1"/>
        <v>33</v>
      </c>
      <c r="U51" s="93">
        <v>138</v>
      </c>
      <c r="V51" s="104">
        <f t="shared" si="2"/>
        <v>4554</v>
      </c>
      <c r="W51" s="93">
        <v>5</v>
      </c>
      <c r="X51" s="93" t="s">
        <v>46</v>
      </c>
      <c r="Y51" s="93" t="s">
        <v>78</v>
      </c>
      <c r="Z51" s="93" t="s">
        <v>90</v>
      </c>
      <c r="AA51" s="93" t="s">
        <v>55</v>
      </c>
      <c r="AB51" s="93" t="s">
        <v>158</v>
      </c>
    </row>
    <row r="52" spans="1:28" x14ac:dyDescent="0.15">
      <c r="A52" s="93" t="s">
        <v>51</v>
      </c>
      <c r="B52" s="93" t="s">
        <v>157</v>
      </c>
      <c r="C52" s="93">
        <v>2019</v>
      </c>
      <c r="D52" s="101" t="s">
        <v>262</v>
      </c>
      <c r="E52" s="93" t="s">
        <v>270</v>
      </c>
      <c r="F52" s="93" t="s">
        <v>264</v>
      </c>
      <c r="G52" s="93" t="s">
        <v>36</v>
      </c>
      <c r="H52" s="93" t="s">
        <v>160</v>
      </c>
      <c r="I52" s="93" t="s">
        <v>159</v>
      </c>
      <c r="J52" s="93" t="s">
        <v>38</v>
      </c>
      <c r="K52" s="93" t="s">
        <v>161</v>
      </c>
      <c r="L52" s="93">
        <v>3</v>
      </c>
      <c r="N52" s="93">
        <v>1</v>
      </c>
      <c r="O52" s="93">
        <v>0.65</v>
      </c>
      <c r="P52" s="93">
        <v>0.6</v>
      </c>
      <c r="Q52" s="102">
        <f t="shared" si="0"/>
        <v>0.625</v>
      </c>
      <c r="R52" s="93">
        <v>18.100000000000001</v>
      </c>
      <c r="S52" s="93">
        <v>112</v>
      </c>
      <c r="T52" s="103">
        <f t="shared" si="1"/>
        <v>33</v>
      </c>
      <c r="U52" s="93">
        <v>138</v>
      </c>
      <c r="V52" s="104">
        <f t="shared" si="2"/>
        <v>4554</v>
      </c>
      <c r="W52" s="93">
        <v>5</v>
      </c>
      <c r="X52" s="93" t="s">
        <v>46</v>
      </c>
      <c r="Y52" s="93" t="s">
        <v>78</v>
      </c>
      <c r="Z52" s="93" t="s">
        <v>90</v>
      </c>
      <c r="AA52" s="93" t="s">
        <v>55</v>
      </c>
      <c r="AB52" s="93" t="s">
        <v>158</v>
      </c>
    </row>
    <row r="53" spans="1:28" x14ac:dyDescent="0.15">
      <c r="A53" s="93" t="s">
        <v>51</v>
      </c>
      <c r="B53" s="93" t="s">
        <v>157</v>
      </c>
      <c r="C53" s="93">
        <v>2019</v>
      </c>
      <c r="D53" s="101" t="s">
        <v>262</v>
      </c>
      <c r="E53" s="93" t="s">
        <v>274</v>
      </c>
      <c r="F53" s="93" t="s">
        <v>275</v>
      </c>
      <c r="G53" s="93" t="s">
        <v>36</v>
      </c>
      <c r="H53" s="93" t="s">
        <v>164</v>
      </c>
      <c r="I53" s="93" t="s">
        <v>159</v>
      </c>
      <c r="J53" s="93" t="s">
        <v>38</v>
      </c>
      <c r="K53" s="93" t="s">
        <v>161</v>
      </c>
      <c r="L53" s="93">
        <v>1</v>
      </c>
      <c r="N53" s="93">
        <v>1</v>
      </c>
      <c r="O53" s="93">
        <v>0.8</v>
      </c>
      <c r="P53" s="93">
        <v>0.7</v>
      </c>
      <c r="Q53" s="102">
        <f t="shared" si="0"/>
        <v>0.75</v>
      </c>
      <c r="R53" s="93">
        <v>15</v>
      </c>
      <c r="S53" s="93">
        <v>144</v>
      </c>
      <c r="T53" s="103">
        <f t="shared" si="1"/>
        <v>22</v>
      </c>
      <c r="U53" s="93">
        <v>98</v>
      </c>
      <c r="V53" s="104">
        <f t="shared" si="2"/>
        <v>2156</v>
      </c>
      <c r="W53" s="93">
        <v>6</v>
      </c>
      <c r="X53" s="93" t="s">
        <v>46</v>
      </c>
      <c r="Y53" s="93" t="s">
        <v>78</v>
      </c>
      <c r="Z53" s="93" t="s">
        <v>102</v>
      </c>
      <c r="AA53" s="93" t="s">
        <v>69</v>
      </c>
      <c r="AB53" s="93" t="s">
        <v>158</v>
      </c>
    </row>
    <row r="54" spans="1:28" x14ac:dyDescent="0.15">
      <c r="A54" s="93" t="s">
        <v>51</v>
      </c>
      <c r="B54" s="93" t="s">
        <v>157</v>
      </c>
      <c r="C54" s="93">
        <v>2019</v>
      </c>
      <c r="D54" s="101" t="s">
        <v>262</v>
      </c>
      <c r="E54" s="93" t="s">
        <v>274</v>
      </c>
      <c r="F54" s="93" t="s">
        <v>275</v>
      </c>
      <c r="G54" s="93" t="s">
        <v>36</v>
      </c>
      <c r="H54" s="93" t="s">
        <v>164</v>
      </c>
      <c r="I54" s="93" t="s">
        <v>159</v>
      </c>
      <c r="J54" s="93" t="s">
        <v>38</v>
      </c>
      <c r="K54" s="93" t="s">
        <v>161</v>
      </c>
      <c r="L54" s="93">
        <v>2</v>
      </c>
      <c r="N54" s="93">
        <v>1</v>
      </c>
      <c r="O54" s="93">
        <v>0.85</v>
      </c>
      <c r="P54" s="93">
        <v>0.85</v>
      </c>
      <c r="Q54" s="102">
        <f t="shared" si="0"/>
        <v>0.85</v>
      </c>
      <c r="R54" s="93">
        <v>14.4</v>
      </c>
      <c r="S54" s="93">
        <v>142</v>
      </c>
      <c r="T54" s="103">
        <f t="shared" si="1"/>
        <v>22</v>
      </c>
      <c r="U54" s="93">
        <v>98</v>
      </c>
      <c r="V54" s="104">
        <f t="shared" si="2"/>
        <v>2156</v>
      </c>
      <c r="W54" s="93">
        <v>6</v>
      </c>
      <c r="X54" s="93" t="s">
        <v>46</v>
      </c>
      <c r="Y54" s="93" t="s">
        <v>78</v>
      </c>
      <c r="Z54" s="93" t="s">
        <v>102</v>
      </c>
      <c r="AA54" s="93" t="s">
        <v>69</v>
      </c>
      <c r="AB54" s="93" t="s">
        <v>158</v>
      </c>
    </row>
    <row r="55" spans="1:28" x14ac:dyDescent="0.15">
      <c r="A55" s="93" t="s">
        <v>51</v>
      </c>
      <c r="B55" s="93" t="s">
        <v>157</v>
      </c>
      <c r="C55" s="93">
        <v>2019</v>
      </c>
      <c r="D55" s="101" t="s">
        <v>262</v>
      </c>
      <c r="E55" s="93" t="s">
        <v>274</v>
      </c>
      <c r="F55" s="93" t="s">
        <v>275</v>
      </c>
      <c r="G55" s="93" t="s">
        <v>36</v>
      </c>
      <c r="H55" s="93" t="s">
        <v>164</v>
      </c>
      <c r="I55" s="93" t="s">
        <v>159</v>
      </c>
      <c r="J55" s="93" t="s">
        <v>38</v>
      </c>
      <c r="K55" s="93" t="s">
        <v>161</v>
      </c>
      <c r="L55" s="93">
        <v>3</v>
      </c>
      <c r="N55" s="93">
        <v>1</v>
      </c>
      <c r="O55" s="93">
        <v>0.9</v>
      </c>
      <c r="P55" s="93">
        <v>0.75</v>
      </c>
      <c r="Q55" s="102">
        <f t="shared" si="0"/>
        <v>0.82499999999999996</v>
      </c>
      <c r="R55" s="93">
        <v>14.6</v>
      </c>
      <c r="S55" s="93">
        <v>142</v>
      </c>
      <c r="T55" s="103">
        <f t="shared" si="1"/>
        <v>22</v>
      </c>
      <c r="U55" s="93">
        <v>98</v>
      </c>
      <c r="V55" s="104">
        <f t="shared" si="2"/>
        <v>2156</v>
      </c>
      <c r="W55" s="93">
        <v>6</v>
      </c>
      <c r="X55" s="93" t="s">
        <v>46</v>
      </c>
      <c r="Y55" s="93" t="s">
        <v>78</v>
      </c>
      <c r="Z55" s="93" t="s">
        <v>102</v>
      </c>
      <c r="AA55" s="93" t="s">
        <v>69</v>
      </c>
      <c r="AB55" s="93" t="s">
        <v>158</v>
      </c>
    </row>
    <row r="56" spans="1:28" x14ac:dyDescent="0.15">
      <c r="A56" s="93" t="s">
        <v>51</v>
      </c>
      <c r="B56" s="93" t="s">
        <v>157</v>
      </c>
      <c r="C56" s="93">
        <v>2019</v>
      </c>
      <c r="D56" s="101" t="s">
        <v>262</v>
      </c>
      <c r="E56" s="93" t="s">
        <v>274</v>
      </c>
      <c r="F56" s="93" t="s">
        <v>275</v>
      </c>
      <c r="G56" s="93" t="s">
        <v>36</v>
      </c>
      <c r="H56" s="93" t="s">
        <v>160</v>
      </c>
      <c r="I56" s="93" t="s">
        <v>159</v>
      </c>
      <c r="J56" s="93" t="s">
        <v>38</v>
      </c>
      <c r="K56" s="93" t="s">
        <v>161</v>
      </c>
      <c r="L56" s="93">
        <v>1</v>
      </c>
      <c r="N56" s="93">
        <v>1</v>
      </c>
      <c r="O56" s="93">
        <v>0.65</v>
      </c>
      <c r="P56" s="93">
        <v>0.75</v>
      </c>
      <c r="Q56" s="102">
        <f t="shared" si="0"/>
        <v>0.7</v>
      </c>
      <c r="R56" s="93">
        <v>16.600000000000001</v>
      </c>
      <c r="S56" s="93">
        <v>136</v>
      </c>
      <c r="T56" s="103">
        <f t="shared" si="1"/>
        <v>25</v>
      </c>
      <c r="U56" s="93">
        <v>128</v>
      </c>
      <c r="V56" s="104">
        <f t="shared" si="2"/>
        <v>3200</v>
      </c>
      <c r="W56" s="93">
        <v>6</v>
      </c>
      <c r="X56" s="93" t="s">
        <v>46</v>
      </c>
      <c r="Y56" s="93" t="s">
        <v>78</v>
      </c>
      <c r="Z56" s="93" t="s">
        <v>102</v>
      </c>
      <c r="AA56" s="93" t="s">
        <v>69</v>
      </c>
      <c r="AB56" s="93" t="s">
        <v>158</v>
      </c>
    </row>
    <row r="57" spans="1:28" x14ac:dyDescent="0.15">
      <c r="A57" s="93" t="s">
        <v>51</v>
      </c>
      <c r="B57" s="93" t="s">
        <v>157</v>
      </c>
      <c r="C57" s="93">
        <v>2019</v>
      </c>
      <c r="D57" s="101" t="s">
        <v>262</v>
      </c>
      <c r="E57" s="93" t="s">
        <v>274</v>
      </c>
      <c r="F57" s="93" t="s">
        <v>275</v>
      </c>
      <c r="G57" s="93" t="s">
        <v>36</v>
      </c>
      <c r="H57" s="93" t="s">
        <v>160</v>
      </c>
      <c r="I57" s="93" t="s">
        <v>159</v>
      </c>
      <c r="J57" s="93" t="s">
        <v>38</v>
      </c>
      <c r="K57" s="93" t="s">
        <v>161</v>
      </c>
      <c r="L57" s="93">
        <v>2</v>
      </c>
      <c r="N57" s="93">
        <v>1</v>
      </c>
      <c r="O57" s="93">
        <v>0.7</v>
      </c>
      <c r="P57" s="93">
        <v>0.7</v>
      </c>
      <c r="Q57" s="102">
        <f t="shared" si="0"/>
        <v>0.7</v>
      </c>
      <c r="R57" s="93">
        <v>16.8</v>
      </c>
      <c r="S57" s="93">
        <v>138</v>
      </c>
      <c r="T57" s="103">
        <f t="shared" si="1"/>
        <v>22</v>
      </c>
      <c r="U57" s="93">
        <v>128</v>
      </c>
      <c r="V57" s="104">
        <f t="shared" si="2"/>
        <v>2816</v>
      </c>
      <c r="W57" s="93">
        <v>6</v>
      </c>
      <c r="X57" s="93" t="s">
        <v>46</v>
      </c>
      <c r="Y57" s="93" t="s">
        <v>78</v>
      </c>
      <c r="Z57" s="93" t="s">
        <v>102</v>
      </c>
      <c r="AA57" s="93" t="s">
        <v>69</v>
      </c>
      <c r="AB57" s="93" t="s">
        <v>158</v>
      </c>
    </row>
    <row r="58" spans="1:28" x14ac:dyDescent="0.15">
      <c r="A58" s="93" t="s">
        <v>51</v>
      </c>
      <c r="B58" s="93" t="s">
        <v>157</v>
      </c>
      <c r="C58" s="93">
        <v>2019</v>
      </c>
      <c r="D58" s="101" t="s">
        <v>262</v>
      </c>
      <c r="E58" s="93" t="s">
        <v>274</v>
      </c>
      <c r="F58" s="93" t="s">
        <v>275</v>
      </c>
      <c r="G58" s="93" t="s">
        <v>36</v>
      </c>
      <c r="H58" s="93" t="s">
        <v>160</v>
      </c>
      <c r="I58" s="93" t="s">
        <v>159</v>
      </c>
      <c r="J58" s="93" t="s">
        <v>38</v>
      </c>
      <c r="K58" s="93" t="s">
        <v>161</v>
      </c>
      <c r="L58" s="93">
        <v>3</v>
      </c>
      <c r="N58" s="93">
        <v>1</v>
      </c>
      <c r="O58" s="93">
        <v>0.8</v>
      </c>
      <c r="P58" s="93">
        <v>0.55000000000000004</v>
      </c>
      <c r="Q58" s="102">
        <f t="shared" si="0"/>
        <v>0.67500000000000004</v>
      </c>
      <c r="R58" s="93">
        <v>17.3</v>
      </c>
      <c r="S58" s="93">
        <v>138</v>
      </c>
      <c r="T58" s="103">
        <f t="shared" si="1"/>
        <v>22</v>
      </c>
      <c r="U58" s="93">
        <v>128</v>
      </c>
      <c r="V58" s="104">
        <f t="shared" si="2"/>
        <v>2816</v>
      </c>
      <c r="W58" s="93">
        <v>6</v>
      </c>
      <c r="X58" s="93" t="s">
        <v>46</v>
      </c>
      <c r="Y58" s="93" t="s">
        <v>78</v>
      </c>
      <c r="Z58" s="93" t="s">
        <v>102</v>
      </c>
      <c r="AA58" s="93" t="s">
        <v>69</v>
      </c>
      <c r="AB58" s="93" t="s">
        <v>158</v>
      </c>
    </row>
    <row r="59" spans="1:28" x14ac:dyDescent="0.15">
      <c r="A59" s="93" t="s">
        <v>51</v>
      </c>
      <c r="B59" s="93" t="s">
        <v>157</v>
      </c>
      <c r="C59" s="93">
        <v>2019</v>
      </c>
      <c r="D59" s="101" t="s">
        <v>262</v>
      </c>
      <c r="E59" s="93" t="s">
        <v>276</v>
      </c>
      <c r="F59" s="93" t="s">
        <v>264</v>
      </c>
      <c r="G59" s="93" t="s">
        <v>42</v>
      </c>
      <c r="H59" s="93" t="s">
        <v>164</v>
      </c>
      <c r="I59" s="93" t="s">
        <v>159</v>
      </c>
      <c r="J59" s="93" t="s">
        <v>38</v>
      </c>
      <c r="K59" s="93" t="s">
        <v>161</v>
      </c>
      <c r="L59" s="93">
        <v>1</v>
      </c>
      <c r="N59" s="93">
        <v>1</v>
      </c>
      <c r="O59" s="93">
        <v>0.7</v>
      </c>
      <c r="P59" s="93">
        <v>0.8</v>
      </c>
      <c r="Q59" s="102">
        <f t="shared" si="0"/>
        <v>0.75</v>
      </c>
      <c r="R59" s="93">
        <v>16.3</v>
      </c>
      <c r="S59" s="93">
        <v>120</v>
      </c>
      <c r="T59" s="103">
        <f t="shared" si="1"/>
        <v>30</v>
      </c>
      <c r="U59" s="93">
        <v>128</v>
      </c>
      <c r="V59" s="104">
        <f t="shared" si="2"/>
        <v>3840</v>
      </c>
      <c r="W59" s="93">
        <v>6</v>
      </c>
      <c r="X59" s="93" t="s">
        <v>46</v>
      </c>
      <c r="Y59" s="93" t="s">
        <v>102</v>
      </c>
      <c r="Z59" s="93" t="s">
        <v>78</v>
      </c>
      <c r="AA59" s="93" t="s">
        <v>69</v>
      </c>
      <c r="AB59" s="93" t="s">
        <v>158</v>
      </c>
    </row>
    <row r="60" spans="1:28" x14ac:dyDescent="0.15">
      <c r="A60" s="93" t="s">
        <v>51</v>
      </c>
      <c r="B60" s="93" t="s">
        <v>157</v>
      </c>
      <c r="C60" s="93">
        <v>2019</v>
      </c>
      <c r="D60" s="101" t="s">
        <v>262</v>
      </c>
      <c r="E60" s="93" t="s">
        <v>276</v>
      </c>
      <c r="F60" s="93" t="s">
        <v>264</v>
      </c>
      <c r="G60" s="93" t="s">
        <v>42</v>
      </c>
      <c r="H60" s="93" t="s">
        <v>164</v>
      </c>
      <c r="I60" s="93" t="s">
        <v>159</v>
      </c>
      <c r="J60" s="93" t="s">
        <v>38</v>
      </c>
      <c r="K60" s="93" t="s">
        <v>161</v>
      </c>
      <c r="L60" s="93">
        <v>2</v>
      </c>
      <c r="N60" s="93">
        <v>1</v>
      </c>
      <c r="O60" s="93">
        <v>0.75</v>
      </c>
      <c r="P60" s="93">
        <v>0.75</v>
      </c>
      <c r="Q60" s="102">
        <f t="shared" si="0"/>
        <v>0.75</v>
      </c>
      <c r="R60" s="93">
        <v>15.9</v>
      </c>
      <c r="S60" s="93">
        <v>118</v>
      </c>
      <c r="T60" s="103">
        <f t="shared" si="1"/>
        <v>30</v>
      </c>
      <c r="U60" s="93">
        <v>128</v>
      </c>
      <c r="V60" s="104">
        <f t="shared" si="2"/>
        <v>3840</v>
      </c>
      <c r="W60" s="93">
        <v>6</v>
      </c>
      <c r="X60" s="93" t="s">
        <v>46</v>
      </c>
      <c r="Y60" s="93" t="s">
        <v>102</v>
      </c>
      <c r="Z60" s="93" t="s">
        <v>78</v>
      </c>
      <c r="AA60" s="93" t="s">
        <v>69</v>
      </c>
      <c r="AB60" s="93" t="s">
        <v>158</v>
      </c>
    </row>
    <row r="61" spans="1:28" x14ac:dyDescent="0.15">
      <c r="A61" s="93" t="s">
        <v>51</v>
      </c>
      <c r="B61" s="93" t="s">
        <v>157</v>
      </c>
      <c r="C61" s="93">
        <v>2019</v>
      </c>
      <c r="D61" s="101" t="s">
        <v>262</v>
      </c>
      <c r="E61" s="93" t="s">
        <v>276</v>
      </c>
      <c r="F61" s="93" t="s">
        <v>264</v>
      </c>
      <c r="G61" s="93" t="s">
        <v>42</v>
      </c>
      <c r="H61" s="93" t="s">
        <v>164</v>
      </c>
      <c r="I61" s="93" t="s">
        <v>159</v>
      </c>
      <c r="J61" s="93" t="s">
        <v>38</v>
      </c>
      <c r="K61" s="93" t="s">
        <v>161</v>
      </c>
      <c r="L61" s="93">
        <v>3</v>
      </c>
      <c r="N61" s="93">
        <v>1</v>
      </c>
      <c r="O61" s="93">
        <v>0.65</v>
      </c>
      <c r="P61" s="93">
        <v>0.7</v>
      </c>
      <c r="Q61" s="102">
        <f t="shared" si="0"/>
        <v>0.67500000000000004</v>
      </c>
      <c r="R61" s="93">
        <v>16.7</v>
      </c>
      <c r="S61" s="93">
        <v>126</v>
      </c>
      <c r="T61" s="103">
        <f t="shared" si="1"/>
        <v>27</v>
      </c>
      <c r="U61" s="93">
        <v>128</v>
      </c>
      <c r="V61" s="104">
        <f t="shared" si="2"/>
        <v>3456</v>
      </c>
      <c r="W61" s="93">
        <v>6</v>
      </c>
      <c r="X61" s="93" t="s">
        <v>46</v>
      </c>
      <c r="Y61" s="93" t="s">
        <v>102</v>
      </c>
      <c r="Z61" s="93" t="s">
        <v>78</v>
      </c>
      <c r="AA61" s="93" t="s">
        <v>69</v>
      </c>
      <c r="AB61" s="93" t="s">
        <v>158</v>
      </c>
    </row>
    <row r="62" spans="1:28" x14ac:dyDescent="0.15">
      <c r="A62" s="93" t="s">
        <v>51</v>
      </c>
      <c r="B62" s="93" t="s">
        <v>157</v>
      </c>
      <c r="C62" s="93">
        <v>2019</v>
      </c>
      <c r="D62" s="101" t="s">
        <v>262</v>
      </c>
      <c r="E62" s="93" t="s">
        <v>276</v>
      </c>
      <c r="F62" s="93" t="s">
        <v>264</v>
      </c>
      <c r="G62" s="93" t="s">
        <v>42</v>
      </c>
      <c r="H62" s="93" t="s">
        <v>160</v>
      </c>
      <c r="I62" s="93" t="s">
        <v>159</v>
      </c>
      <c r="J62" s="93" t="s">
        <v>38</v>
      </c>
      <c r="K62" s="93" t="s">
        <v>161</v>
      </c>
      <c r="L62" s="93">
        <v>1</v>
      </c>
      <c r="N62" s="93">
        <v>1</v>
      </c>
      <c r="O62" s="93">
        <v>0.7</v>
      </c>
      <c r="P62" s="93">
        <v>0.6</v>
      </c>
      <c r="Q62" s="102">
        <f t="shared" si="0"/>
        <v>0.64999999999999991</v>
      </c>
      <c r="R62" s="93">
        <v>16.7</v>
      </c>
      <c r="S62" s="93">
        <v>124</v>
      </c>
      <c r="T62" s="103">
        <f t="shared" si="1"/>
        <v>27</v>
      </c>
      <c r="U62" s="93">
        <v>128</v>
      </c>
      <c r="V62" s="104">
        <f t="shared" si="2"/>
        <v>3456</v>
      </c>
      <c r="W62" s="93">
        <v>6</v>
      </c>
      <c r="X62" s="93" t="s">
        <v>46</v>
      </c>
      <c r="Y62" s="93" t="s">
        <v>102</v>
      </c>
      <c r="Z62" s="93" t="s">
        <v>78</v>
      </c>
      <c r="AA62" s="93" t="s">
        <v>69</v>
      </c>
      <c r="AB62" s="93" t="s">
        <v>158</v>
      </c>
    </row>
    <row r="63" spans="1:28" x14ac:dyDescent="0.15">
      <c r="A63" s="93" t="s">
        <v>51</v>
      </c>
      <c r="B63" s="93" t="s">
        <v>157</v>
      </c>
      <c r="C63" s="93">
        <v>2019</v>
      </c>
      <c r="D63" s="101" t="s">
        <v>262</v>
      </c>
      <c r="E63" s="93" t="s">
        <v>276</v>
      </c>
      <c r="F63" s="93" t="s">
        <v>264</v>
      </c>
      <c r="G63" s="93" t="s">
        <v>42</v>
      </c>
      <c r="H63" s="93" t="s">
        <v>160</v>
      </c>
      <c r="I63" s="93" t="s">
        <v>159</v>
      </c>
      <c r="J63" s="93" t="s">
        <v>38</v>
      </c>
      <c r="K63" s="93" t="s">
        <v>161</v>
      </c>
      <c r="L63" s="93">
        <v>2</v>
      </c>
      <c r="N63" s="93">
        <v>1</v>
      </c>
      <c r="O63" s="93">
        <v>0.5</v>
      </c>
      <c r="P63" s="93">
        <v>0.6</v>
      </c>
      <c r="Q63" s="102">
        <f t="shared" si="0"/>
        <v>0.55000000000000004</v>
      </c>
      <c r="R63" s="93">
        <v>17.5</v>
      </c>
      <c r="S63" s="93">
        <v>122</v>
      </c>
      <c r="T63" s="103">
        <f t="shared" si="1"/>
        <v>27</v>
      </c>
      <c r="U63" s="93">
        <v>128</v>
      </c>
      <c r="V63" s="104">
        <f t="shared" si="2"/>
        <v>3456</v>
      </c>
      <c r="W63" s="93">
        <v>6</v>
      </c>
      <c r="X63" s="93" t="s">
        <v>46</v>
      </c>
      <c r="Y63" s="93" t="s">
        <v>102</v>
      </c>
      <c r="Z63" s="93" t="s">
        <v>78</v>
      </c>
      <c r="AA63" s="93" t="s">
        <v>69</v>
      </c>
      <c r="AB63" s="93" t="s">
        <v>158</v>
      </c>
    </row>
    <row r="64" spans="1:28" x14ac:dyDescent="0.15">
      <c r="A64" s="93" t="s">
        <v>51</v>
      </c>
      <c r="B64" s="93" t="s">
        <v>157</v>
      </c>
      <c r="C64" s="93">
        <v>2019</v>
      </c>
      <c r="D64" s="101" t="s">
        <v>262</v>
      </c>
      <c r="E64" s="93" t="s">
        <v>276</v>
      </c>
      <c r="F64" s="93" t="s">
        <v>264</v>
      </c>
      <c r="G64" s="93" t="s">
        <v>42</v>
      </c>
      <c r="H64" s="93" t="s">
        <v>160</v>
      </c>
      <c r="I64" s="93" t="s">
        <v>159</v>
      </c>
      <c r="J64" s="93" t="s">
        <v>38</v>
      </c>
      <c r="K64" s="93" t="s">
        <v>161</v>
      </c>
      <c r="L64" s="93">
        <v>3</v>
      </c>
      <c r="N64" s="93">
        <v>1</v>
      </c>
      <c r="O64" s="93">
        <v>0.7</v>
      </c>
      <c r="P64" s="93">
        <v>0.65</v>
      </c>
      <c r="Q64" s="102">
        <f t="shared" si="0"/>
        <v>0.67500000000000004</v>
      </c>
      <c r="R64" s="93">
        <v>17.899999999999999</v>
      </c>
      <c r="S64" s="93">
        <v>126</v>
      </c>
      <c r="T64" s="103">
        <f t="shared" si="1"/>
        <v>27</v>
      </c>
      <c r="U64" s="93">
        <v>128</v>
      </c>
      <c r="V64" s="104">
        <f t="shared" si="2"/>
        <v>3456</v>
      </c>
      <c r="W64" s="93">
        <v>6</v>
      </c>
      <c r="X64" s="93" t="s">
        <v>46</v>
      </c>
      <c r="Y64" s="93" t="s">
        <v>102</v>
      </c>
      <c r="Z64" s="93" t="s">
        <v>78</v>
      </c>
      <c r="AA64" s="93" t="s">
        <v>69</v>
      </c>
      <c r="AB64" s="93" t="s">
        <v>158</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425C8350-A2A2-4AA0-AFF4-16EC6244D2F5}">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783654CA-7E5B-456A-B4E4-DF904A46D9A9}">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E75C4DF6-43FD-4AFC-8E94-0DC21165A739}">
      <formula1>$AL$4:$AL$12</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56665357-EC6D-4478-AD2C-F0668ECF4658}">
      <formula1>$AN$5:$AN$6</formula1>
    </dataValidation>
    <dataValidation type="list" allowBlank="1" showInputMessage="1" showErrorMessage="1" sqref="Y2:AA500" xr:uid="{808376C4-3522-4E7D-A46D-BBE20243A1B7}">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816BF5AD-956D-4F45-9B16-79469E3988E1}">
      <formula1>$AP$2:$AP$27</formula1>
    </dataValidation>
    <dataValidation type="list" allowBlank="1" showInputMessage="1" showErrorMessage="1" sqref="H2:H500" xr:uid="{44DA745E-FAE0-4102-AE07-B76502FDAB9E}">
      <formula1>$AL$2:$AL$8</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68F0D413-8DE3-4A07-AD1A-2DF9F461E008}">
      <formula1>$AT$2:$AT$3</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1F8865B7-C82F-4431-A399-0224CE2D9FBC}">
      <formula1>$AH$2:$AH$11</formula1>
    </dataValidation>
    <dataValidation type="list" allowBlank="1" showInputMessage="1" showErrorMessage="1" sqref="K2:K89" xr:uid="{74B7B3FC-2BA5-4AD1-A9FF-2CE314726A5B}">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03658521-0428-4CD2-A7FC-4AD6A08B5A57}">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7AF5437E-877F-4B55-B859-92E2BA4E75CE}"/>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056B10FE-69F6-412C-BF93-0684D47466D2}">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6BECB84E-ABF7-4154-84C8-2BEC8215FAB0}">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15CD17BC-9A5C-482E-86DB-D5821FE4EFDE}">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B17CF-E16C-4B37-95F0-DB89C151F896}">
  <sheetPr>
    <pageSetUpPr fitToPage="1"/>
  </sheetPr>
  <dimension ref="A1:BA114"/>
  <sheetViews>
    <sheetView zoomScale="85" zoomScaleNormal="85" workbookViewId="0">
      <selection activeCell="H74" sqref="H74"/>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281</v>
      </c>
      <c r="B1" s="55" t="s">
        <v>1</v>
      </c>
      <c r="C1" s="55" t="s">
        <v>2</v>
      </c>
      <c r="D1" s="56" t="s">
        <v>3</v>
      </c>
      <c r="E1" s="56" t="s">
        <v>282</v>
      </c>
      <c r="F1" s="56" t="s">
        <v>5</v>
      </c>
      <c r="G1" s="56" t="s">
        <v>6</v>
      </c>
      <c r="H1" s="56" t="s">
        <v>283</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233</v>
      </c>
      <c r="C2" s="127">
        <v>2019</v>
      </c>
      <c r="D2" s="128" t="s">
        <v>284</v>
      </c>
      <c r="E2" s="127" t="s">
        <v>285</v>
      </c>
      <c r="F2" s="127" t="s">
        <v>286</v>
      </c>
      <c r="G2" s="127" t="s">
        <v>42</v>
      </c>
      <c r="H2" s="53" t="s">
        <v>164</v>
      </c>
      <c r="I2" s="53" t="s">
        <v>159</v>
      </c>
      <c r="J2" s="127" t="s">
        <v>38</v>
      </c>
      <c r="K2" s="53" t="s">
        <v>161</v>
      </c>
      <c r="L2" s="53">
        <v>1</v>
      </c>
      <c r="M2" s="53"/>
      <c r="N2" s="53">
        <v>4</v>
      </c>
      <c r="O2" s="53">
        <v>0.75</v>
      </c>
      <c r="P2" s="53">
        <v>0.9</v>
      </c>
      <c r="Q2" s="75">
        <f t="shared" ref="Q2:Q65" si="0">IF(OR(O2="",P2=""),"",AVERAGE(O2,P2))</f>
        <v>0.82499999999999996</v>
      </c>
      <c r="R2" s="53">
        <v>12.7</v>
      </c>
      <c r="S2" s="53">
        <v>98</v>
      </c>
      <c r="T2" s="16">
        <f t="shared" ref="T2:T65" si="1">IF(H2="","",IF(OR(H2="GREEN",H2="GK"),IF(S2&gt;=$AX$2,VLOOKUP(S2,$AX$2:$AY$15,2,1),""),IF(S2&gt;=$AZ$2,VLOOKUP(S2,$AZ$2:$BA$15,2,1),"")))</f>
        <v>36</v>
      </c>
      <c r="U2" s="53">
        <v>350</v>
      </c>
      <c r="V2" s="129">
        <f t="shared" ref="V2:V65" si="2">IF(OR(N2="",U2="",T2=""),"",U2/N2*T2)</f>
        <v>3150</v>
      </c>
      <c r="W2" s="53">
        <v>4</v>
      </c>
      <c r="X2" s="127" t="s">
        <v>39</v>
      </c>
      <c r="Y2" s="53" t="s">
        <v>78</v>
      </c>
      <c r="Z2" s="53" t="s">
        <v>69</v>
      </c>
      <c r="AA2" s="53" t="s">
        <v>90</v>
      </c>
      <c r="AB2" s="127" t="s">
        <v>237</v>
      </c>
      <c r="AC2" s="34"/>
      <c r="AE2" s="64" t="s">
        <v>35</v>
      </c>
      <c r="AG2" s="49" t="s">
        <v>285</v>
      </c>
      <c r="AH2" s="49" t="s">
        <v>286</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233</v>
      </c>
      <c r="C3" s="127">
        <v>2019</v>
      </c>
      <c r="D3" s="128" t="s">
        <v>284</v>
      </c>
      <c r="E3" s="127" t="s">
        <v>285</v>
      </c>
      <c r="F3" s="127" t="s">
        <v>286</v>
      </c>
      <c r="G3" s="127" t="s">
        <v>42</v>
      </c>
      <c r="H3" s="53" t="s">
        <v>164</v>
      </c>
      <c r="I3" s="53" t="s">
        <v>159</v>
      </c>
      <c r="J3" s="127" t="s">
        <v>38</v>
      </c>
      <c r="K3" s="53" t="s">
        <v>161</v>
      </c>
      <c r="L3" s="53">
        <v>2</v>
      </c>
      <c r="N3" s="53">
        <v>4</v>
      </c>
      <c r="O3" s="53">
        <v>0.7</v>
      </c>
      <c r="P3" s="53">
        <v>0.6</v>
      </c>
      <c r="Q3" s="75">
        <f t="shared" si="0"/>
        <v>0.64999999999999991</v>
      </c>
      <c r="R3" s="53">
        <v>15.7</v>
      </c>
      <c r="S3" s="53">
        <v>100</v>
      </c>
      <c r="T3" s="16">
        <f t="shared" si="1"/>
        <v>33</v>
      </c>
      <c r="U3" s="53">
        <v>350</v>
      </c>
      <c r="V3" s="129">
        <f t="shared" si="2"/>
        <v>2887.5</v>
      </c>
      <c r="W3" s="53">
        <v>4</v>
      </c>
      <c r="X3" s="127" t="s">
        <v>39</v>
      </c>
      <c r="Y3" s="53" t="s">
        <v>78</v>
      </c>
      <c r="Z3" s="53" t="s">
        <v>69</v>
      </c>
      <c r="AA3" s="53" t="s">
        <v>90</v>
      </c>
      <c r="AB3" s="127" t="s">
        <v>237</v>
      </c>
      <c r="AC3" s="34"/>
      <c r="AE3" s="22" t="s">
        <v>41</v>
      </c>
      <c r="AG3" s="49" t="s">
        <v>287</v>
      </c>
      <c r="AH3" s="49" t="s">
        <v>288</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233</v>
      </c>
      <c r="C4" s="127">
        <v>2019</v>
      </c>
      <c r="D4" s="128" t="s">
        <v>284</v>
      </c>
      <c r="E4" s="127" t="s">
        <v>285</v>
      </c>
      <c r="F4" s="127" t="s">
        <v>286</v>
      </c>
      <c r="G4" s="127" t="s">
        <v>42</v>
      </c>
      <c r="H4" s="53" t="s">
        <v>164</v>
      </c>
      <c r="I4" s="53" t="s">
        <v>159</v>
      </c>
      <c r="J4" s="127" t="s">
        <v>38</v>
      </c>
      <c r="K4" s="53" t="s">
        <v>161</v>
      </c>
      <c r="L4" s="53">
        <v>3</v>
      </c>
      <c r="N4" s="53">
        <v>4</v>
      </c>
      <c r="O4" s="53">
        <v>0.65</v>
      </c>
      <c r="P4" s="53">
        <v>0.6</v>
      </c>
      <c r="Q4" s="75">
        <f t="shared" si="0"/>
        <v>0.625</v>
      </c>
      <c r="R4" s="53">
        <v>12.9</v>
      </c>
      <c r="S4" s="53">
        <v>97</v>
      </c>
      <c r="T4" s="16">
        <f t="shared" si="1"/>
        <v>36</v>
      </c>
      <c r="U4" s="53">
        <v>350</v>
      </c>
      <c r="V4" s="129">
        <f t="shared" si="2"/>
        <v>3150</v>
      </c>
      <c r="W4" s="53">
        <v>4</v>
      </c>
      <c r="X4" s="127" t="s">
        <v>39</v>
      </c>
      <c r="Y4" s="53" t="s">
        <v>78</v>
      </c>
      <c r="Z4" s="53" t="s">
        <v>69</v>
      </c>
      <c r="AA4" s="53" t="s">
        <v>90</v>
      </c>
      <c r="AB4" s="127" t="s">
        <v>237</v>
      </c>
      <c r="AC4" s="34"/>
      <c r="AE4" s="22" t="s">
        <v>34</v>
      </c>
      <c r="AG4" s="49" t="s">
        <v>289</v>
      </c>
      <c r="AH4" s="49" t="s">
        <v>290</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233</v>
      </c>
      <c r="C5" s="127">
        <v>2019</v>
      </c>
      <c r="D5" s="128" t="s">
        <v>284</v>
      </c>
      <c r="E5" s="127" t="s">
        <v>285</v>
      </c>
      <c r="F5" s="127" t="s">
        <v>286</v>
      </c>
      <c r="G5" s="127" t="s">
        <v>42</v>
      </c>
      <c r="H5" s="53" t="s">
        <v>160</v>
      </c>
      <c r="I5" s="53" t="s">
        <v>159</v>
      </c>
      <c r="J5" s="127" t="s">
        <v>38</v>
      </c>
      <c r="K5" s="53" t="s">
        <v>161</v>
      </c>
      <c r="L5" s="53">
        <v>1</v>
      </c>
      <c r="N5" s="53">
        <v>1</v>
      </c>
      <c r="O5" s="53">
        <v>0.7</v>
      </c>
      <c r="P5" s="53">
        <v>0.5</v>
      </c>
      <c r="Q5" s="75">
        <f t="shared" si="0"/>
        <v>0.6</v>
      </c>
      <c r="R5" s="53">
        <v>18</v>
      </c>
      <c r="S5" s="53">
        <v>132</v>
      </c>
      <c r="T5" s="16">
        <f t="shared" si="1"/>
        <v>25</v>
      </c>
      <c r="U5" s="53">
        <v>138</v>
      </c>
      <c r="V5" s="129">
        <f t="shared" si="2"/>
        <v>3450</v>
      </c>
      <c r="W5" s="53">
        <v>4</v>
      </c>
      <c r="X5" s="127" t="s">
        <v>39</v>
      </c>
      <c r="Y5" s="53" t="s">
        <v>78</v>
      </c>
      <c r="Z5" s="53" t="s">
        <v>69</v>
      </c>
      <c r="AA5" s="53" t="s">
        <v>90</v>
      </c>
      <c r="AB5" s="127" t="s">
        <v>237</v>
      </c>
      <c r="AC5" s="34"/>
      <c r="AE5" s="22" t="s">
        <v>51</v>
      </c>
      <c r="AG5" s="49" t="s">
        <v>291</v>
      </c>
      <c r="AH5" s="49" t="s">
        <v>292</v>
      </c>
      <c r="AJ5" s="27"/>
      <c r="AL5" s="73" t="s">
        <v>66</v>
      </c>
      <c r="AN5" s="73" t="s">
        <v>52</v>
      </c>
      <c r="AP5" s="23" t="s">
        <v>119</v>
      </c>
      <c r="AR5" s="23" t="s">
        <v>54</v>
      </c>
      <c r="AV5" s="23" t="s">
        <v>55</v>
      </c>
      <c r="AX5" s="24">
        <v>84</v>
      </c>
      <c r="AY5" s="25">
        <v>39</v>
      </c>
      <c r="AZ5" s="25">
        <v>84</v>
      </c>
      <c r="BA5" s="26">
        <v>36</v>
      </c>
    </row>
    <row r="6" spans="1:53" x14ac:dyDescent="0.15">
      <c r="A6" s="127" t="s">
        <v>61</v>
      </c>
      <c r="B6" s="127" t="s">
        <v>233</v>
      </c>
      <c r="C6" s="127">
        <v>2019</v>
      </c>
      <c r="D6" s="128" t="s">
        <v>284</v>
      </c>
      <c r="E6" s="127" t="s">
        <v>285</v>
      </c>
      <c r="F6" s="127" t="s">
        <v>286</v>
      </c>
      <c r="G6" s="127" t="s">
        <v>42</v>
      </c>
      <c r="H6" s="53" t="s">
        <v>160</v>
      </c>
      <c r="I6" s="53" t="s">
        <v>159</v>
      </c>
      <c r="J6" s="127" t="s">
        <v>38</v>
      </c>
      <c r="K6" s="53" t="s">
        <v>161</v>
      </c>
      <c r="L6" s="53">
        <v>2</v>
      </c>
      <c r="N6" s="53">
        <v>1</v>
      </c>
      <c r="O6" s="53">
        <v>0.65</v>
      </c>
      <c r="P6" s="53">
        <v>0.5</v>
      </c>
      <c r="Q6" s="75">
        <f t="shared" si="0"/>
        <v>0.57499999999999996</v>
      </c>
      <c r="R6" s="53">
        <v>18.8</v>
      </c>
      <c r="S6" s="53">
        <v>127</v>
      </c>
      <c r="T6" s="16">
        <f t="shared" si="1"/>
        <v>27</v>
      </c>
      <c r="U6" s="53">
        <v>138</v>
      </c>
      <c r="V6" s="129">
        <f t="shared" si="2"/>
        <v>3726</v>
      </c>
      <c r="W6" s="53">
        <v>4</v>
      </c>
      <c r="X6" s="127" t="s">
        <v>39</v>
      </c>
      <c r="Y6" s="53" t="s">
        <v>78</v>
      </c>
      <c r="Z6" s="53" t="s">
        <v>69</v>
      </c>
      <c r="AA6" s="53" t="s">
        <v>90</v>
      </c>
      <c r="AB6" s="127" t="s">
        <v>237</v>
      </c>
      <c r="AC6" s="34"/>
      <c r="AE6" s="22" t="s">
        <v>56</v>
      </c>
      <c r="AG6" s="49" t="s">
        <v>293</v>
      </c>
      <c r="AH6" s="49" t="s">
        <v>294</v>
      </c>
      <c r="AJ6" s="27"/>
      <c r="AL6" s="73" t="s">
        <v>99</v>
      </c>
      <c r="AN6" s="73" t="s">
        <v>57</v>
      </c>
      <c r="AP6" s="23" t="s">
        <v>53</v>
      </c>
      <c r="AR6" s="23" t="s">
        <v>59</v>
      </c>
      <c r="AV6" s="23" t="s">
        <v>60</v>
      </c>
      <c r="AX6" s="24">
        <v>97</v>
      </c>
      <c r="AY6" s="25">
        <v>36</v>
      </c>
      <c r="AZ6" s="25">
        <v>99</v>
      </c>
      <c r="BA6" s="26">
        <v>33</v>
      </c>
    </row>
    <row r="7" spans="1:53" x14ac:dyDescent="0.15">
      <c r="A7" s="127" t="s">
        <v>61</v>
      </c>
      <c r="B7" s="127" t="s">
        <v>233</v>
      </c>
      <c r="C7" s="127">
        <v>2019</v>
      </c>
      <c r="D7" s="128" t="s">
        <v>284</v>
      </c>
      <c r="E7" s="127" t="s">
        <v>285</v>
      </c>
      <c r="F7" s="127" t="s">
        <v>286</v>
      </c>
      <c r="G7" s="127" t="s">
        <v>42</v>
      </c>
      <c r="H7" s="53" t="s">
        <v>160</v>
      </c>
      <c r="I7" s="53" t="s">
        <v>159</v>
      </c>
      <c r="J7" s="127" t="s">
        <v>38</v>
      </c>
      <c r="K7" s="53" t="s">
        <v>161</v>
      </c>
      <c r="L7" s="53">
        <v>3</v>
      </c>
      <c r="N7" s="53">
        <v>1</v>
      </c>
      <c r="P7" s="53">
        <v>0.5</v>
      </c>
      <c r="Q7" s="75" t="str">
        <f t="shared" si="0"/>
        <v/>
      </c>
      <c r="R7" s="53">
        <v>17.899999999999999</v>
      </c>
      <c r="S7" s="53">
        <v>132</v>
      </c>
      <c r="T7" s="16">
        <f t="shared" si="1"/>
        <v>25</v>
      </c>
      <c r="U7" s="53">
        <v>138</v>
      </c>
      <c r="V7" s="129">
        <f t="shared" si="2"/>
        <v>3450</v>
      </c>
      <c r="W7" s="53">
        <v>4</v>
      </c>
      <c r="X7" s="127" t="s">
        <v>39</v>
      </c>
      <c r="Y7" s="53" t="s">
        <v>78</v>
      </c>
      <c r="Z7" s="53" t="s">
        <v>69</v>
      </c>
      <c r="AA7" s="53" t="s">
        <v>90</v>
      </c>
      <c r="AB7" s="127" t="s">
        <v>237</v>
      </c>
      <c r="AC7" s="34"/>
      <c r="AE7" s="22" t="s">
        <v>61</v>
      </c>
      <c r="AG7" s="49" t="s">
        <v>295</v>
      </c>
      <c r="AH7" s="49" t="s">
        <v>296</v>
      </c>
      <c r="AJ7" s="27"/>
      <c r="AL7" s="34" t="s">
        <v>109</v>
      </c>
      <c r="AN7" s="73"/>
      <c r="AP7" s="23" t="s">
        <v>58</v>
      </c>
      <c r="AR7" s="23" t="s">
        <v>122</v>
      </c>
      <c r="AV7" s="23" t="s">
        <v>64</v>
      </c>
      <c r="AX7" s="24">
        <v>109</v>
      </c>
      <c r="AY7" s="25">
        <v>33</v>
      </c>
      <c r="AZ7" s="25">
        <v>113</v>
      </c>
      <c r="BA7" s="26">
        <v>30</v>
      </c>
    </row>
    <row r="8" spans="1:53" x14ac:dyDescent="0.15">
      <c r="A8" s="127" t="s">
        <v>61</v>
      </c>
      <c r="B8" s="127" t="s">
        <v>233</v>
      </c>
      <c r="C8" s="127">
        <v>2019</v>
      </c>
      <c r="D8" s="128" t="s">
        <v>284</v>
      </c>
      <c r="E8" s="127" t="s">
        <v>287</v>
      </c>
      <c r="F8" s="127" t="s">
        <v>288</v>
      </c>
      <c r="G8" s="127" t="s">
        <v>42</v>
      </c>
      <c r="H8" s="53" t="s">
        <v>164</v>
      </c>
      <c r="I8" s="53" t="s">
        <v>159</v>
      </c>
      <c r="J8" s="127" t="s">
        <v>38</v>
      </c>
      <c r="K8" s="53" t="s">
        <v>161</v>
      </c>
      <c r="L8" s="53">
        <v>1</v>
      </c>
      <c r="N8" s="53">
        <v>4</v>
      </c>
      <c r="O8" s="53">
        <v>0.5</v>
      </c>
      <c r="P8" s="53">
        <v>0.6</v>
      </c>
      <c r="Q8" s="75">
        <f t="shared" si="0"/>
        <v>0.55000000000000004</v>
      </c>
      <c r="R8" s="53">
        <v>17.899999999999999</v>
      </c>
      <c r="S8" s="53">
        <v>127</v>
      </c>
      <c r="T8" s="16">
        <f t="shared" si="1"/>
        <v>27</v>
      </c>
      <c r="U8" s="53">
        <v>128</v>
      </c>
      <c r="V8" s="129">
        <f t="shared" si="2"/>
        <v>864</v>
      </c>
      <c r="W8" s="53">
        <v>5</v>
      </c>
      <c r="X8" s="127" t="s">
        <v>46</v>
      </c>
      <c r="Y8" s="53" t="s">
        <v>102</v>
      </c>
      <c r="Z8" s="53" t="s">
        <v>78</v>
      </c>
      <c r="AA8" s="53" t="s">
        <v>90</v>
      </c>
      <c r="AB8" s="127" t="s">
        <v>237</v>
      </c>
      <c r="AC8" s="34"/>
      <c r="AE8" s="22" t="s">
        <v>59</v>
      </c>
      <c r="AG8" s="49" t="s">
        <v>297</v>
      </c>
      <c r="AH8" s="49" t="s">
        <v>298</v>
      </c>
      <c r="AJ8" s="28"/>
      <c r="AL8" s="34" t="s">
        <v>134</v>
      </c>
      <c r="AN8" s="73"/>
      <c r="AP8" s="23" t="s">
        <v>62</v>
      </c>
      <c r="AR8" s="23" t="s">
        <v>81</v>
      </c>
      <c r="AV8" s="23" t="s">
        <v>97</v>
      </c>
      <c r="AX8" s="24">
        <v>119</v>
      </c>
      <c r="AY8" s="25">
        <v>30</v>
      </c>
      <c r="AZ8" s="25">
        <v>121</v>
      </c>
      <c r="BA8" s="26">
        <v>27</v>
      </c>
    </row>
    <row r="9" spans="1:53" x14ac:dyDescent="0.15">
      <c r="A9" s="127" t="s">
        <v>61</v>
      </c>
      <c r="B9" s="127" t="s">
        <v>233</v>
      </c>
      <c r="C9" s="127">
        <v>2019</v>
      </c>
      <c r="D9" s="128" t="s">
        <v>284</v>
      </c>
      <c r="E9" s="127" t="s">
        <v>287</v>
      </c>
      <c r="F9" s="127" t="s">
        <v>288</v>
      </c>
      <c r="G9" s="127" t="s">
        <v>42</v>
      </c>
      <c r="H9" s="53" t="s">
        <v>164</v>
      </c>
      <c r="I9" s="53" t="s">
        <v>159</v>
      </c>
      <c r="J9" s="127" t="s">
        <v>38</v>
      </c>
      <c r="K9" s="53" t="s">
        <v>161</v>
      </c>
      <c r="L9" s="53">
        <v>2</v>
      </c>
      <c r="N9" s="53">
        <v>4</v>
      </c>
      <c r="O9" s="53">
        <v>0.85</v>
      </c>
      <c r="P9" s="53">
        <v>0.5</v>
      </c>
      <c r="Q9" s="75">
        <f t="shared" si="0"/>
        <v>0.67500000000000004</v>
      </c>
      <c r="R9" s="34">
        <v>17.3</v>
      </c>
      <c r="S9" s="53">
        <v>132</v>
      </c>
      <c r="T9" s="16">
        <f t="shared" si="1"/>
        <v>25</v>
      </c>
      <c r="U9" s="53">
        <v>128</v>
      </c>
      <c r="V9" s="129">
        <f t="shared" si="2"/>
        <v>800</v>
      </c>
      <c r="W9" s="53">
        <v>5</v>
      </c>
      <c r="X9" s="127" t="s">
        <v>46</v>
      </c>
      <c r="Y9" s="53" t="s">
        <v>102</v>
      </c>
      <c r="Z9" s="53" t="s">
        <v>78</v>
      </c>
      <c r="AA9" s="53" t="s">
        <v>90</v>
      </c>
      <c r="AB9" s="127" t="s">
        <v>237</v>
      </c>
      <c r="AC9" s="34"/>
      <c r="AE9" s="22" t="s">
        <v>98</v>
      </c>
      <c r="AG9" s="49" t="s">
        <v>133</v>
      </c>
      <c r="AH9" s="49" t="s">
        <v>299</v>
      </c>
      <c r="AL9" s="73"/>
      <c r="AN9" s="73"/>
      <c r="AP9" s="23" t="s">
        <v>95</v>
      </c>
      <c r="AR9" s="23" t="s">
        <v>89</v>
      </c>
      <c r="AV9" s="23" t="s">
        <v>102</v>
      </c>
      <c r="AX9" s="24">
        <v>128</v>
      </c>
      <c r="AY9" s="25">
        <v>27</v>
      </c>
      <c r="AZ9" s="25">
        <v>129</v>
      </c>
      <c r="BA9" s="26">
        <v>25</v>
      </c>
    </row>
    <row r="10" spans="1:53" x14ac:dyDescent="0.15">
      <c r="A10" s="127" t="s">
        <v>61</v>
      </c>
      <c r="B10" s="127" t="s">
        <v>233</v>
      </c>
      <c r="C10" s="127">
        <v>2019</v>
      </c>
      <c r="D10" s="128" t="s">
        <v>284</v>
      </c>
      <c r="E10" s="127" t="s">
        <v>287</v>
      </c>
      <c r="F10" s="127" t="s">
        <v>288</v>
      </c>
      <c r="G10" s="127" t="s">
        <v>42</v>
      </c>
      <c r="H10" s="53" t="s">
        <v>164</v>
      </c>
      <c r="I10" s="53" t="s">
        <v>159</v>
      </c>
      <c r="J10" s="127" t="s">
        <v>38</v>
      </c>
      <c r="K10" s="53" t="s">
        <v>161</v>
      </c>
      <c r="L10" s="53">
        <v>3</v>
      </c>
      <c r="N10" s="53">
        <v>4</v>
      </c>
      <c r="O10" s="53">
        <v>0.5</v>
      </c>
      <c r="P10" s="53">
        <v>0.5</v>
      </c>
      <c r="Q10" s="75">
        <f t="shared" si="0"/>
        <v>0.5</v>
      </c>
      <c r="R10" s="53">
        <v>17.399999999999999</v>
      </c>
      <c r="S10" s="53">
        <v>133</v>
      </c>
      <c r="T10" s="16">
        <f t="shared" si="1"/>
        <v>25</v>
      </c>
      <c r="U10" s="53">
        <v>128</v>
      </c>
      <c r="V10" s="129">
        <f t="shared" si="2"/>
        <v>800</v>
      </c>
      <c r="W10" s="53">
        <v>5</v>
      </c>
      <c r="X10" s="127" t="s">
        <v>46</v>
      </c>
      <c r="Y10" s="53" t="s">
        <v>102</v>
      </c>
      <c r="Z10" s="53" t="s">
        <v>78</v>
      </c>
      <c r="AA10" s="53" t="s">
        <v>90</v>
      </c>
      <c r="AB10" s="127" t="s">
        <v>237</v>
      </c>
      <c r="AC10" s="34"/>
      <c r="AE10" s="22" t="s">
        <v>103</v>
      </c>
      <c r="AG10" s="49" t="s">
        <v>300</v>
      </c>
      <c r="AH10" s="49" t="s">
        <v>301</v>
      </c>
      <c r="AL10" s="27"/>
      <c r="AP10" s="23" t="s">
        <v>100</v>
      </c>
      <c r="AR10" s="23" t="s">
        <v>123</v>
      </c>
      <c r="AV10" s="23" t="s">
        <v>106</v>
      </c>
      <c r="AX10" s="24">
        <v>138</v>
      </c>
      <c r="AY10" s="25">
        <v>25</v>
      </c>
      <c r="AZ10" s="25">
        <v>138</v>
      </c>
      <c r="BA10" s="26">
        <v>22</v>
      </c>
    </row>
    <row r="11" spans="1:53" x14ac:dyDescent="0.15">
      <c r="A11" s="127" t="s">
        <v>61</v>
      </c>
      <c r="B11" s="127" t="s">
        <v>233</v>
      </c>
      <c r="C11" s="127">
        <v>2019</v>
      </c>
      <c r="D11" s="128" t="s">
        <v>284</v>
      </c>
      <c r="E11" s="127" t="s">
        <v>287</v>
      </c>
      <c r="F11" s="127" t="s">
        <v>288</v>
      </c>
      <c r="G11" s="127" t="s">
        <v>42</v>
      </c>
      <c r="H11" s="53" t="s">
        <v>160</v>
      </c>
      <c r="I11" s="53" t="s">
        <v>159</v>
      </c>
      <c r="J11" s="127" t="s">
        <v>38</v>
      </c>
      <c r="K11" s="53" t="s">
        <v>161</v>
      </c>
      <c r="L11" s="53">
        <v>1</v>
      </c>
      <c r="N11" s="53">
        <v>1</v>
      </c>
      <c r="O11" s="53">
        <v>0.5</v>
      </c>
      <c r="P11" s="53">
        <v>0.5</v>
      </c>
      <c r="Q11" s="75">
        <f t="shared" si="0"/>
        <v>0.5</v>
      </c>
      <c r="R11" s="53">
        <v>17.600000000000001</v>
      </c>
      <c r="S11" s="53">
        <v>124</v>
      </c>
      <c r="T11" s="16">
        <f t="shared" si="1"/>
        <v>27</v>
      </c>
      <c r="U11" s="53">
        <v>128</v>
      </c>
      <c r="V11" s="129">
        <f t="shared" si="2"/>
        <v>3456</v>
      </c>
      <c r="W11" s="53">
        <v>5</v>
      </c>
      <c r="X11" s="127" t="s">
        <v>46</v>
      </c>
      <c r="Y11" s="53" t="s">
        <v>102</v>
      </c>
      <c r="Z11" s="53" t="s">
        <v>78</v>
      </c>
      <c r="AA11" s="53" t="s">
        <v>90</v>
      </c>
      <c r="AB11" s="127" t="s">
        <v>237</v>
      </c>
      <c r="AC11" s="34"/>
      <c r="AE11" s="22" t="s">
        <v>65</v>
      </c>
      <c r="AG11" s="49" t="s">
        <v>302</v>
      </c>
      <c r="AH11" s="49" t="s">
        <v>301</v>
      </c>
      <c r="AL11" s="134"/>
      <c r="AP11" s="23" t="s">
        <v>104</v>
      </c>
      <c r="AR11" s="23" t="s">
        <v>87</v>
      </c>
      <c r="AV11" s="135" t="s">
        <v>303</v>
      </c>
      <c r="AX11" s="24">
        <v>151</v>
      </c>
      <c r="AY11" s="25">
        <v>22</v>
      </c>
      <c r="AZ11" s="25">
        <v>152</v>
      </c>
      <c r="BA11" s="26">
        <v>18</v>
      </c>
    </row>
    <row r="12" spans="1:53" x14ac:dyDescent="0.15">
      <c r="A12" s="127" t="s">
        <v>61</v>
      </c>
      <c r="B12" s="127" t="s">
        <v>233</v>
      </c>
      <c r="C12" s="127">
        <v>2019</v>
      </c>
      <c r="D12" s="128" t="s">
        <v>284</v>
      </c>
      <c r="E12" s="127" t="s">
        <v>287</v>
      </c>
      <c r="F12" s="127" t="s">
        <v>288</v>
      </c>
      <c r="G12" s="127" t="s">
        <v>42</v>
      </c>
      <c r="H12" s="53" t="s">
        <v>160</v>
      </c>
      <c r="I12" s="53" t="s">
        <v>159</v>
      </c>
      <c r="J12" s="127" t="s">
        <v>38</v>
      </c>
      <c r="K12" s="53" t="s">
        <v>161</v>
      </c>
      <c r="L12" s="53">
        <v>2</v>
      </c>
      <c r="N12" s="53">
        <v>1</v>
      </c>
      <c r="O12" s="53">
        <v>0.75</v>
      </c>
      <c r="P12" s="53">
        <v>0.5</v>
      </c>
      <c r="Q12" s="75">
        <f t="shared" si="0"/>
        <v>0.625</v>
      </c>
      <c r="R12" s="34">
        <v>18.399999999999999</v>
      </c>
      <c r="S12" s="53">
        <v>128</v>
      </c>
      <c r="T12" s="16">
        <f t="shared" si="1"/>
        <v>27</v>
      </c>
      <c r="U12" s="53">
        <v>128</v>
      </c>
      <c r="V12" s="129">
        <f t="shared" si="2"/>
        <v>3456</v>
      </c>
      <c r="W12" s="53">
        <v>5</v>
      </c>
      <c r="X12" s="127" t="s">
        <v>46</v>
      </c>
      <c r="Y12" s="53" t="s">
        <v>102</v>
      </c>
      <c r="Z12" s="53" t="s">
        <v>78</v>
      </c>
      <c r="AA12" s="53" t="s">
        <v>90</v>
      </c>
      <c r="AB12" s="127" t="s">
        <v>237</v>
      </c>
      <c r="AC12" s="34"/>
      <c r="AE12" s="22" t="s">
        <v>70</v>
      </c>
      <c r="AG12" s="23"/>
      <c r="AH12" s="22"/>
      <c r="AL12" s="134"/>
      <c r="AP12" s="23" t="s">
        <v>67</v>
      </c>
      <c r="AR12" s="23" t="s">
        <v>124</v>
      </c>
      <c r="AV12" s="135" t="s">
        <v>304</v>
      </c>
      <c r="AX12" s="24">
        <v>180</v>
      </c>
      <c r="AY12" s="25">
        <v>18</v>
      </c>
      <c r="AZ12" s="25">
        <v>181</v>
      </c>
      <c r="BA12" s="26">
        <v>16</v>
      </c>
    </row>
    <row r="13" spans="1:53" x14ac:dyDescent="0.15">
      <c r="A13" s="127" t="s">
        <v>61</v>
      </c>
      <c r="B13" s="127" t="s">
        <v>233</v>
      </c>
      <c r="C13" s="127">
        <v>2019</v>
      </c>
      <c r="D13" s="128" t="s">
        <v>284</v>
      </c>
      <c r="E13" s="127" t="s">
        <v>287</v>
      </c>
      <c r="F13" s="127" t="s">
        <v>288</v>
      </c>
      <c r="G13" s="127" t="s">
        <v>42</v>
      </c>
      <c r="H13" s="53" t="s">
        <v>160</v>
      </c>
      <c r="I13" s="53" t="s">
        <v>159</v>
      </c>
      <c r="J13" s="127" t="s">
        <v>38</v>
      </c>
      <c r="K13" s="53" t="s">
        <v>161</v>
      </c>
      <c r="L13" s="53">
        <v>3</v>
      </c>
      <c r="N13" s="53">
        <v>1</v>
      </c>
      <c r="O13" s="53">
        <v>0.6</v>
      </c>
      <c r="P13" s="53">
        <v>0.6</v>
      </c>
      <c r="Q13" s="75">
        <f t="shared" si="0"/>
        <v>0.6</v>
      </c>
      <c r="R13" s="53">
        <v>18.399999999999999</v>
      </c>
      <c r="S13" s="53">
        <v>122</v>
      </c>
      <c r="T13" s="16">
        <f t="shared" si="1"/>
        <v>27</v>
      </c>
      <c r="U13" s="53">
        <v>128</v>
      </c>
      <c r="V13" s="129">
        <f t="shared" si="2"/>
        <v>3456</v>
      </c>
      <c r="W13" s="53">
        <v>5</v>
      </c>
      <c r="X13" s="127" t="s">
        <v>46</v>
      </c>
      <c r="Y13" s="53" t="s">
        <v>102</v>
      </c>
      <c r="Z13" s="53" t="s">
        <v>78</v>
      </c>
      <c r="AA13" s="53" t="s">
        <v>90</v>
      </c>
      <c r="AB13" s="127" t="s">
        <v>237</v>
      </c>
      <c r="AC13" s="34"/>
      <c r="AE13" s="22" t="s">
        <v>73</v>
      </c>
      <c r="AG13" s="23"/>
      <c r="AH13" s="22"/>
      <c r="AL13" s="136"/>
      <c r="AP13" s="23" t="s">
        <v>71</v>
      </c>
      <c r="AR13" s="23" t="s">
        <v>103</v>
      </c>
      <c r="AV13" s="135" t="s">
        <v>305</v>
      </c>
      <c r="AX13" s="24"/>
      <c r="AY13" s="25"/>
      <c r="AZ13" s="25"/>
      <c r="BA13" s="26"/>
    </row>
    <row r="14" spans="1:53" x14ac:dyDescent="0.15">
      <c r="A14" s="127" t="s">
        <v>61</v>
      </c>
      <c r="B14" s="127" t="s">
        <v>233</v>
      </c>
      <c r="C14" s="127">
        <v>2019</v>
      </c>
      <c r="D14" s="128" t="s">
        <v>284</v>
      </c>
      <c r="E14" s="127" t="s">
        <v>289</v>
      </c>
      <c r="F14" s="127" t="s">
        <v>290</v>
      </c>
      <c r="G14" s="127" t="s">
        <v>42</v>
      </c>
      <c r="H14" s="53" t="s">
        <v>164</v>
      </c>
      <c r="I14" s="53" t="s">
        <v>159</v>
      </c>
      <c r="J14" s="127" t="s">
        <v>38</v>
      </c>
      <c r="K14" s="53" t="s">
        <v>161</v>
      </c>
      <c r="L14" s="53">
        <v>1</v>
      </c>
      <c r="N14" s="53">
        <v>4</v>
      </c>
      <c r="O14" s="53">
        <v>0.65</v>
      </c>
      <c r="P14" s="53">
        <v>0.75</v>
      </c>
      <c r="Q14" s="75">
        <f t="shared" si="0"/>
        <v>0.7</v>
      </c>
      <c r="R14" s="53">
        <v>16.600000000000001</v>
      </c>
      <c r="S14" s="53">
        <v>117</v>
      </c>
      <c r="T14" s="16">
        <f t="shared" si="1"/>
        <v>30</v>
      </c>
      <c r="U14" s="53">
        <v>298</v>
      </c>
      <c r="V14" s="129">
        <f t="shared" si="2"/>
        <v>2235</v>
      </c>
      <c r="W14" s="53">
        <v>8</v>
      </c>
      <c r="X14" s="127" t="s">
        <v>46</v>
      </c>
      <c r="Y14" s="53" t="s">
        <v>69</v>
      </c>
      <c r="Z14" s="53" t="s">
        <v>78</v>
      </c>
      <c r="AA14" s="53" t="s">
        <v>102</v>
      </c>
      <c r="AB14" s="127" t="s">
        <v>237</v>
      </c>
      <c r="AC14" s="34"/>
      <c r="AE14" s="22" t="s">
        <v>76</v>
      </c>
      <c r="AG14" s="23"/>
      <c r="AH14" s="22"/>
      <c r="AL14" s="34"/>
      <c r="AP14" s="23" t="s">
        <v>74</v>
      </c>
      <c r="AR14" s="23" t="s">
        <v>125</v>
      </c>
      <c r="AV14" s="135" t="s">
        <v>306</v>
      </c>
      <c r="AX14" s="24"/>
      <c r="AY14" s="25"/>
      <c r="AZ14" s="25"/>
      <c r="BA14" s="26"/>
    </row>
    <row r="15" spans="1:53" x14ac:dyDescent="0.15">
      <c r="A15" s="127" t="s">
        <v>61</v>
      </c>
      <c r="B15" s="127" t="s">
        <v>233</v>
      </c>
      <c r="C15" s="127">
        <v>2019</v>
      </c>
      <c r="D15" s="128" t="s">
        <v>284</v>
      </c>
      <c r="E15" s="127" t="s">
        <v>289</v>
      </c>
      <c r="F15" s="127" t="s">
        <v>290</v>
      </c>
      <c r="G15" s="127" t="s">
        <v>42</v>
      </c>
      <c r="H15" s="53" t="s">
        <v>164</v>
      </c>
      <c r="I15" s="53" t="s">
        <v>159</v>
      </c>
      <c r="J15" s="127" t="s">
        <v>38</v>
      </c>
      <c r="K15" s="53" t="s">
        <v>161</v>
      </c>
      <c r="L15" s="53">
        <v>2</v>
      </c>
      <c r="N15" s="53">
        <v>4</v>
      </c>
      <c r="O15" s="53">
        <v>0.75</v>
      </c>
      <c r="P15" s="53">
        <v>0.5</v>
      </c>
      <c r="Q15" s="75">
        <f t="shared" si="0"/>
        <v>0.625</v>
      </c>
      <c r="R15" s="34">
        <v>14.4</v>
      </c>
      <c r="S15" s="53">
        <v>118</v>
      </c>
      <c r="T15" s="16">
        <f t="shared" si="1"/>
        <v>30</v>
      </c>
      <c r="U15" s="53">
        <v>298</v>
      </c>
      <c r="V15" s="129">
        <f t="shared" si="2"/>
        <v>2235</v>
      </c>
      <c r="W15" s="53">
        <v>8</v>
      </c>
      <c r="X15" s="127" t="s">
        <v>46</v>
      </c>
      <c r="Y15" s="53" t="s">
        <v>69</v>
      </c>
      <c r="Z15" s="53" t="s">
        <v>78</v>
      </c>
      <c r="AA15" s="53" t="s">
        <v>102</v>
      </c>
      <c r="AB15" s="127" t="s">
        <v>237</v>
      </c>
      <c r="AC15" s="34"/>
      <c r="AE15" s="22" t="s">
        <v>79</v>
      </c>
      <c r="AG15" s="23"/>
      <c r="AH15" s="23"/>
      <c r="AL15" s="34"/>
      <c r="AP15" s="23" t="s">
        <v>77</v>
      </c>
      <c r="AR15" s="23" t="s">
        <v>94</v>
      </c>
      <c r="AV15" s="135" t="s">
        <v>307</v>
      </c>
      <c r="AX15" s="31"/>
      <c r="AY15" s="32"/>
      <c r="AZ15" s="32"/>
      <c r="BA15" s="33"/>
    </row>
    <row r="16" spans="1:53" x14ac:dyDescent="0.15">
      <c r="A16" s="127" t="s">
        <v>61</v>
      </c>
      <c r="B16" s="127" t="s">
        <v>233</v>
      </c>
      <c r="C16" s="127">
        <v>2019</v>
      </c>
      <c r="D16" s="128" t="s">
        <v>284</v>
      </c>
      <c r="E16" s="127" t="s">
        <v>289</v>
      </c>
      <c r="F16" s="127" t="s">
        <v>290</v>
      </c>
      <c r="G16" s="127" t="s">
        <v>42</v>
      </c>
      <c r="H16" s="53" t="s">
        <v>164</v>
      </c>
      <c r="I16" s="53" t="s">
        <v>159</v>
      </c>
      <c r="J16" s="127" t="s">
        <v>38</v>
      </c>
      <c r="K16" s="53" t="s">
        <v>161</v>
      </c>
      <c r="L16" s="53">
        <v>3</v>
      </c>
      <c r="N16" s="53">
        <v>4</v>
      </c>
      <c r="O16" s="53">
        <v>0.5</v>
      </c>
      <c r="P16" s="53">
        <v>0.5</v>
      </c>
      <c r="Q16" s="75">
        <f t="shared" si="0"/>
        <v>0.5</v>
      </c>
      <c r="R16" s="53">
        <v>15.1</v>
      </c>
      <c r="S16" s="53">
        <v>89</v>
      </c>
      <c r="T16" s="16">
        <f t="shared" si="1"/>
        <v>36</v>
      </c>
      <c r="U16" s="53">
        <v>298</v>
      </c>
      <c r="V16" s="129">
        <f t="shared" si="2"/>
        <v>2682</v>
      </c>
      <c r="W16" s="53">
        <v>8</v>
      </c>
      <c r="X16" s="127" t="s">
        <v>46</v>
      </c>
      <c r="Y16" s="53" t="s">
        <v>69</v>
      </c>
      <c r="Z16" s="53" t="s">
        <v>78</v>
      </c>
      <c r="AA16" s="53" t="s">
        <v>102</v>
      </c>
      <c r="AB16" s="127" t="s">
        <v>237</v>
      </c>
      <c r="AC16" s="34"/>
      <c r="AE16" s="22" t="s">
        <v>82</v>
      </c>
      <c r="AG16" s="23"/>
      <c r="AH16" s="23"/>
      <c r="AP16" s="23" t="s">
        <v>80</v>
      </c>
      <c r="AR16" s="23" t="s">
        <v>63</v>
      </c>
      <c r="AV16" s="135" t="s">
        <v>308</v>
      </c>
    </row>
    <row r="17" spans="1:48" x14ac:dyDescent="0.15">
      <c r="A17" s="127" t="s">
        <v>61</v>
      </c>
      <c r="B17" s="127" t="s">
        <v>233</v>
      </c>
      <c r="C17" s="127">
        <v>2019</v>
      </c>
      <c r="D17" s="128" t="s">
        <v>284</v>
      </c>
      <c r="E17" s="127" t="s">
        <v>289</v>
      </c>
      <c r="F17" s="127" t="s">
        <v>290</v>
      </c>
      <c r="G17" s="127" t="s">
        <v>42</v>
      </c>
      <c r="H17" s="53" t="s">
        <v>160</v>
      </c>
      <c r="I17" s="53" t="s">
        <v>159</v>
      </c>
      <c r="J17" s="127" t="s">
        <v>38</v>
      </c>
      <c r="K17" s="53" t="s">
        <v>161</v>
      </c>
      <c r="L17" s="53">
        <v>1</v>
      </c>
      <c r="N17" s="53">
        <v>1</v>
      </c>
      <c r="O17" s="53">
        <v>0.65</v>
      </c>
      <c r="P17" s="53">
        <v>0.5</v>
      </c>
      <c r="Q17" s="75">
        <f t="shared" si="0"/>
        <v>0.57499999999999996</v>
      </c>
      <c r="R17" s="53">
        <v>19.600000000000001</v>
      </c>
      <c r="S17" s="53">
        <v>99</v>
      </c>
      <c r="T17" s="16">
        <f t="shared" si="1"/>
        <v>33</v>
      </c>
      <c r="U17" s="53">
        <v>158</v>
      </c>
      <c r="V17" s="129">
        <f t="shared" si="2"/>
        <v>5214</v>
      </c>
      <c r="W17" s="53">
        <v>8</v>
      </c>
      <c r="X17" s="127" t="s">
        <v>46</v>
      </c>
      <c r="Y17" s="53" t="s">
        <v>69</v>
      </c>
      <c r="Z17" s="53" t="s">
        <v>78</v>
      </c>
      <c r="AA17" s="53" t="s">
        <v>102</v>
      </c>
      <c r="AB17" s="127" t="s">
        <v>237</v>
      </c>
      <c r="AC17" s="34"/>
      <c r="AE17" s="22" t="s">
        <v>85</v>
      </c>
      <c r="AP17" s="27" t="s">
        <v>110</v>
      </c>
      <c r="AR17" s="23" t="s">
        <v>96</v>
      </c>
      <c r="AV17" s="135" t="s">
        <v>255</v>
      </c>
    </row>
    <row r="18" spans="1:48" x14ac:dyDescent="0.15">
      <c r="A18" s="127" t="s">
        <v>61</v>
      </c>
      <c r="B18" s="127" t="s">
        <v>233</v>
      </c>
      <c r="C18" s="127">
        <v>2019</v>
      </c>
      <c r="D18" s="128" t="s">
        <v>284</v>
      </c>
      <c r="E18" s="127" t="s">
        <v>289</v>
      </c>
      <c r="F18" s="127" t="s">
        <v>290</v>
      </c>
      <c r="G18" s="127" t="s">
        <v>42</v>
      </c>
      <c r="H18" s="53" t="s">
        <v>160</v>
      </c>
      <c r="I18" s="53" t="s">
        <v>159</v>
      </c>
      <c r="J18" s="127" t="s">
        <v>38</v>
      </c>
      <c r="K18" s="53" t="s">
        <v>161</v>
      </c>
      <c r="L18" s="53">
        <v>2</v>
      </c>
      <c r="N18" s="53">
        <v>1</v>
      </c>
      <c r="O18" s="53">
        <v>0.5</v>
      </c>
      <c r="P18" s="53">
        <v>0.5</v>
      </c>
      <c r="Q18" s="75">
        <f t="shared" si="0"/>
        <v>0.5</v>
      </c>
      <c r="R18" s="34">
        <v>19.399999999999999</v>
      </c>
      <c r="S18" s="53">
        <v>83</v>
      </c>
      <c r="T18" s="16">
        <f t="shared" si="1"/>
        <v>39</v>
      </c>
      <c r="U18" s="53">
        <v>158</v>
      </c>
      <c r="V18" s="129">
        <f t="shared" si="2"/>
        <v>6162</v>
      </c>
      <c r="W18" s="53">
        <v>8</v>
      </c>
      <c r="X18" s="127" t="s">
        <v>46</v>
      </c>
      <c r="Y18" s="53" t="s">
        <v>69</v>
      </c>
      <c r="Z18" s="53" t="s">
        <v>78</v>
      </c>
      <c r="AA18" s="53" t="s">
        <v>102</v>
      </c>
      <c r="AB18" s="127" t="s">
        <v>237</v>
      </c>
      <c r="AC18" s="34"/>
      <c r="AE18" s="22" t="s">
        <v>87</v>
      </c>
      <c r="AP18" s="27" t="s">
        <v>111</v>
      </c>
      <c r="AR18" s="23" t="s">
        <v>101</v>
      </c>
      <c r="AV18" s="135" t="s">
        <v>135</v>
      </c>
    </row>
    <row r="19" spans="1:48" x14ac:dyDescent="0.15">
      <c r="A19" s="127" t="s">
        <v>61</v>
      </c>
      <c r="B19" s="127" t="s">
        <v>233</v>
      </c>
      <c r="C19" s="127">
        <v>2019</v>
      </c>
      <c r="D19" s="128" t="s">
        <v>284</v>
      </c>
      <c r="E19" s="127" t="s">
        <v>289</v>
      </c>
      <c r="F19" s="127" t="s">
        <v>290</v>
      </c>
      <c r="G19" s="127" t="s">
        <v>42</v>
      </c>
      <c r="H19" s="53" t="s">
        <v>160</v>
      </c>
      <c r="I19" s="53" t="s">
        <v>159</v>
      </c>
      <c r="J19" s="127" t="s">
        <v>38</v>
      </c>
      <c r="K19" s="53" t="s">
        <v>161</v>
      </c>
      <c r="L19" s="53">
        <v>3</v>
      </c>
      <c r="N19" s="53">
        <v>1</v>
      </c>
      <c r="O19" s="34">
        <v>0.5</v>
      </c>
      <c r="P19" s="53">
        <v>0.5</v>
      </c>
      <c r="Q19" s="75">
        <f t="shared" si="0"/>
        <v>0.5</v>
      </c>
      <c r="R19" s="53">
        <v>19.399999999999999</v>
      </c>
      <c r="S19" s="53">
        <v>159</v>
      </c>
      <c r="T19" s="16">
        <f t="shared" si="1"/>
        <v>18</v>
      </c>
      <c r="U19" s="53">
        <v>158</v>
      </c>
      <c r="V19" s="129">
        <f t="shared" si="2"/>
        <v>2844</v>
      </c>
      <c r="W19" s="53">
        <v>8</v>
      </c>
      <c r="X19" s="127" t="s">
        <v>46</v>
      </c>
      <c r="Y19" s="53" t="s">
        <v>69</v>
      </c>
      <c r="Z19" s="53" t="s">
        <v>78</v>
      </c>
      <c r="AA19" s="53" t="s">
        <v>102</v>
      </c>
      <c r="AB19" s="127" t="s">
        <v>237</v>
      </c>
      <c r="AC19" s="34"/>
      <c r="AE19" s="35" t="s">
        <v>89</v>
      </c>
      <c r="AP19" s="27" t="s">
        <v>112</v>
      </c>
      <c r="AR19" s="23" t="s">
        <v>126</v>
      </c>
      <c r="AV19" s="135" t="s">
        <v>309</v>
      </c>
    </row>
    <row r="20" spans="1:48" x14ac:dyDescent="0.15">
      <c r="A20" s="127" t="s">
        <v>61</v>
      </c>
      <c r="B20" s="127" t="s">
        <v>233</v>
      </c>
      <c r="C20" s="127">
        <v>2019</v>
      </c>
      <c r="D20" s="128" t="s">
        <v>284</v>
      </c>
      <c r="E20" s="127" t="s">
        <v>291</v>
      </c>
      <c r="F20" s="127" t="s">
        <v>292</v>
      </c>
      <c r="G20" s="127" t="s">
        <v>42</v>
      </c>
      <c r="H20" s="53" t="s">
        <v>164</v>
      </c>
      <c r="I20" s="53" t="s">
        <v>159</v>
      </c>
      <c r="J20" s="127" t="s">
        <v>38</v>
      </c>
      <c r="K20" s="53" t="s">
        <v>161</v>
      </c>
      <c r="L20" s="53">
        <v>1</v>
      </c>
      <c r="N20" s="53">
        <v>1</v>
      </c>
      <c r="O20" s="53">
        <v>0.5</v>
      </c>
      <c r="P20" s="53">
        <v>0.5</v>
      </c>
      <c r="Q20" s="75">
        <f t="shared" si="0"/>
        <v>0.5</v>
      </c>
      <c r="R20" s="53">
        <v>18.399999999999999</v>
      </c>
      <c r="S20" s="53">
        <v>153</v>
      </c>
      <c r="T20" s="16">
        <f t="shared" si="1"/>
        <v>18</v>
      </c>
      <c r="U20" s="53">
        <v>128</v>
      </c>
      <c r="V20" s="129">
        <f t="shared" si="2"/>
        <v>2304</v>
      </c>
      <c r="W20" s="53">
        <v>10</v>
      </c>
      <c r="X20" s="127" t="s">
        <v>46</v>
      </c>
      <c r="Y20" s="53" t="s">
        <v>102</v>
      </c>
      <c r="Z20" s="53" t="s">
        <v>310</v>
      </c>
      <c r="AA20" s="53" t="s">
        <v>69</v>
      </c>
      <c r="AB20" s="127" t="s">
        <v>237</v>
      </c>
      <c r="AC20" s="34"/>
      <c r="AE20" s="22"/>
      <c r="AP20" s="27" t="s">
        <v>113</v>
      </c>
      <c r="AR20" s="23" t="s">
        <v>105</v>
      </c>
      <c r="AV20" s="135" t="s">
        <v>311</v>
      </c>
    </row>
    <row r="21" spans="1:48" x14ac:dyDescent="0.15">
      <c r="A21" s="127" t="s">
        <v>61</v>
      </c>
      <c r="B21" s="127" t="s">
        <v>233</v>
      </c>
      <c r="C21" s="127">
        <v>2019</v>
      </c>
      <c r="D21" s="128" t="s">
        <v>284</v>
      </c>
      <c r="E21" s="127" t="s">
        <v>291</v>
      </c>
      <c r="F21" s="127" t="s">
        <v>292</v>
      </c>
      <c r="G21" s="127" t="s">
        <v>42</v>
      </c>
      <c r="H21" s="53" t="s">
        <v>164</v>
      </c>
      <c r="I21" s="53" t="s">
        <v>159</v>
      </c>
      <c r="J21" s="127" t="s">
        <v>38</v>
      </c>
      <c r="K21" s="53" t="s">
        <v>161</v>
      </c>
      <c r="L21" s="53">
        <v>2</v>
      </c>
      <c r="N21" s="53">
        <v>1</v>
      </c>
      <c r="O21" s="53">
        <v>0.85</v>
      </c>
      <c r="P21" s="53">
        <v>1</v>
      </c>
      <c r="Q21" s="75">
        <f t="shared" si="0"/>
        <v>0.92500000000000004</v>
      </c>
      <c r="R21" s="53">
        <v>17.899999999999999</v>
      </c>
      <c r="S21" s="53">
        <v>161</v>
      </c>
      <c r="T21" s="16">
        <f t="shared" si="1"/>
        <v>18</v>
      </c>
      <c r="U21" s="53">
        <v>128</v>
      </c>
      <c r="V21" s="129">
        <f t="shared" si="2"/>
        <v>2304</v>
      </c>
      <c r="W21" s="53">
        <v>10</v>
      </c>
      <c r="X21" s="127" t="s">
        <v>46</v>
      </c>
      <c r="Y21" s="53" t="s">
        <v>102</v>
      </c>
      <c r="Z21" s="53" t="s">
        <v>310</v>
      </c>
      <c r="AA21" s="53" t="s">
        <v>69</v>
      </c>
      <c r="AB21" s="127" t="s">
        <v>237</v>
      </c>
      <c r="AC21" s="34"/>
      <c r="AE21" s="22"/>
      <c r="AP21" s="27" t="s">
        <v>114</v>
      </c>
      <c r="AR21" s="23" t="s">
        <v>68</v>
      </c>
      <c r="AV21" s="135" t="s">
        <v>312</v>
      </c>
    </row>
    <row r="22" spans="1:48" x14ac:dyDescent="0.15">
      <c r="A22" s="127" t="s">
        <v>61</v>
      </c>
      <c r="B22" s="127" t="s">
        <v>233</v>
      </c>
      <c r="C22" s="127">
        <v>2019</v>
      </c>
      <c r="D22" s="128" t="s">
        <v>284</v>
      </c>
      <c r="E22" s="127" t="s">
        <v>291</v>
      </c>
      <c r="F22" s="127" t="s">
        <v>292</v>
      </c>
      <c r="G22" s="127" t="s">
        <v>42</v>
      </c>
      <c r="H22" s="53" t="s">
        <v>164</v>
      </c>
      <c r="I22" s="53" t="s">
        <v>159</v>
      </c>
      <c r="J22" s="127" t="s">
        <v>38</v>
      </c>
      <c r="K22" s="53" t="s">
        <v>161</v>
      </c>
      <c r="L22" s="53">
        <v>3</v>
      </c>
      <c r="N22" s="53">
        <v>1</v>
      </c>
      <c r="O22" s="53">
        <v>0.7</v>
      </c>
      <c r="P22" s="53">
        <v>0.75</v>
      </c>
      <c r="Q22" s="75">
        <f t="shared" si="0"/>
        <v>0.72499999999999998</v>
      </c>
      <c r="R22" s="53">
        <v>17.5</v>
      </c>
      <c r="S22" s="53">
        <v>132</v>
      </c>
      <c r="T22" s="16">
        <f t="shared" si="1"/>
        <v>25</v>
      </c>
      <c r="U22" s="53">
        <v>128</v>
      </c>
      <c r="V22" s="129">
        <f t="shared" si="2"/>
        <v>3200</v>
      </c>
      <c r="W22" s="53">
        <v>10</v>
      </c>
      <c r="X22" s="127" t="s">
        <v>46</v>
      </c>
      <c r="Y22" s="53" t="s">
        <v>102</v>
      </c>
      <c r="Z22" s="53" t="s">
        <v>310</v>
      </c>
      <c r="AA22" s="53" t="s">
        <v>69</v>
      </c>
      <c r="AB22" s="127" t="s">
        <v>237</v>
      </c>
      <c r="AC22" s="34"/>
      <c r="AE22" s="35"/>
      <c r="AP22" s="27" t="s">
        <v>115</v>
      </c>
      <c r="AR22" s="23" t="s">
        <v>83</v>
      </c>
      <c r="AV22" s="23"/>
    </row>
    <row r="23" spans="1:48" x14ac:dyDescent="0.15">
      <c r="A23" s="127" t="s">
        <v>61</v>
      </c>
      <c r="B23" s="127" t="s">
        <v>233</v>
      </c>
      <c r="C23" s="127">
        <v>2019</v>
      </c>
      <c r="D23" s="128" t="s">
        <v>284</v>
      </c>
      <c r="E23" s="127" t="s">
        <v>291</v>
      </c>
      <c r="F23" s="127" t="s">
        <v>292</v>
      </c>
      <c r="G23" s="127" t="s">
        <v>42</v>
      </c>
      <c r="H23" s="53" t="s">
        <v>164</v>
      </c>
      <c r="I23" s="53" t="s">
        <v>198</v>
      </c>
      <c r="J23" s="127" t="s">
        <v>38</v>
      </c>
      <c r="K23" s="53" t="s">
        <v>161</v>
      </c>
      <c r="L23" s="53">
        <v>1</v>
      </c>
      <c r="N23" s="53">
        <v>5</v>
      </c>
      <c r="O23" s="53">
        <v>0.85</v>
      </c>
      <c r="P23" s="53">
        <v>0.65</v>
      </c>
      <c r="Q23" s="75">
        <f t="shared" si="0"/>
        <v>0.75</v>
      </c>
      <c r="R23" s="53">
        <v>18</v>
      </c>
      <c r="S23" s="53">
        <v>134</v>
      </c>
      <c r="T23" s="16">
        <f t="shared" si="1"/>
        <v>25</v>
      </c>
      <c r="U23" s="53">
        <v>398</v>
      </c>
      <c r="V23" s="129">
        <f t="shared" si="2"/>
        <v>1989.9999999999998</v>
      </c>
      <c r="W23" s="53">
        <v>10</v>
      </c>
      <c r="X23" s="127" t="s">
        <v>46</v>
      </c>
      <c r="Y23" s="53" t="s">
        <v>102</v>
      </c>
      <c r="Z23" s="53" t="s">
        <v>310</v>
      </c>
      <c r="AA23" s="53" t="s">
        <v>69</v>
      </c>
      <c r="AB23" s="127" t="s">
        <v>237</v>
      </c>
      <c r="AC23" s="34"/>
      <c r="AE23" s="22"/>
      <c r="AP23" s="27" t="s">
        <v>113</v>
      </c>
      <c r="AR23" s="23" t="s">
        <v>105</v>
      </c>
      <c r="AV23" s="135" t="s">
        <v>311</v>
      </c>
    </row>
    <row r="24" spans="1:48" x14ac:dyDescent="0.15">
      <c r="A24" s="127" t="s">
        <v>61</v>
      </c>
      <c r="B24" s="127" t="s">
        <v>233</v>
      </c>
      <c r="C24" s="127">
        <v>2019</v>
      </c>
      <c r="D24" s="128" t="s">
        <v>284</v>
      </c>
      <c r="E24" s="127" t="s">
        <v>291</v>
      </c>
      <c r="F24" s="127" t="s">
        <v>292</v>
      </c>
      <c r="G24" s="127" t="s">
        <v>42</v>
      </c>
      <c r="H24" s="53" t="s">
        <v>164</v>
      </c>
      <c r="I24" s="53" t="s">
        <v>198</v>
      </c>
      <c r="J24" s="127" t="s">
        <v>38</v>
      </c>
      <c r="K24" s="53" t="s">
        <v>161</v>
      </c>
      <c r="L24" s="53">
        <v>2</v>
      </c>
      <c r="N24" s="53">
        <v>5</v>
      </c>
      <c r="O24" s="53">
        <v>0.5</v>
      </c>
      <c r="P24" s="53">
        <v>0.5</v>
      </c>
      <c r="Q24" s="75">
        <f t="shared" si="0"/>
        <v>0.5</v>
      </c>
      <c r="R24" s="53">
        <v>17.399999999999999</v>
      </c>
      <c r="S24" s="53">
        <v>127</v>
      </c>
      <c r="T24" s="16">
        <f t="shared" si="1"/>
        <v>27</v>
      </c>
      <c r="U24" s="53">
        <v>398</v>
      </c>
      <c r="V24" s="129">
        <f t="shared" si="2"/>
        <v>2149.1999999999998</v>
      </c>
      <c r="W24" s="53">
        <v>10</v>
      </c>
      <c r="X24" s="127" t="s">
        <v>46</v>
      </c>
      <c r="Y24" s="53" t="s">
        <v>102</v>
      </c>
      <c r="Z24" s="53" t="s">
        <v>310</v>
      </c>
      <c r="AA24" s="53" t="s">
        <v>69</v>
      </c>
      <c r="AB24" s="127" t="s">
        <v>237</v>
      </c>
      <c r="AC24" s="34"/>
      <c r="AE24" s="22"/>
      <c r="AP24" s="27" t="s">
        <v>114</v>
      </c>
      <c r="AR24" s="23" t="s">
        <v>68</v>
      </c>
      <c r="AV24" s="135" t="s">
        <v>312</v>
      </c>
    </row>
    <row r="25" spans="1:48" x14ac:dyDescent="0.15">
      <c r="A25" s="127" t="s">
        <v>61</v>
      </c>
      <c r="B25" s="127" t="s">
        <v>233</v>
      </c>
      <c r="C25" s="127">
        <v>2019</v>
      </c>
      <c r="D25" s="128" t="s">
        <v>284</v>
      </c>
      <c r="E25" s="127" t="s">
        <v>291</v>
      </c>
      <c r="F25" s="127" t="s">
        <v>292</v>
      </c>
      <c r="G25" s="127" t="s">
        <v>42</v>
      </c>
      <c r="H25" s="53" t="s">
        <v>164</v>
      </c>
      <c r="I25" s="53" t="s">
        <v>198</v>
      </c>
      <c r="J25" s="127" t="s">
        <v>38</v>
      </c>
      <c r="K25" s="53" t="s">
        <v>161</v>
      </c>
      <c r="L25" s="53">
        <v>3</v>
      </c>
      <c r="N25" s="53">
        <v>5</v>
      </c>
      <c r="O25" s="53">
        <v>0.5</v>
      </c>
      <c r="P25" s="53">
        <v>0.5</v>
      </c>
      <c r="Q25" s="75">
        <f t="shared" si="0"/>
        <v>0.5</v>
      </c>
      <c r="R25" s="53">
        <v>17.3</v>
      </c>
      <c r="S25" s="53">
        <v>74</v>
      </c>
      <c r="T25" s="16">
        <f t="shared" si="1"/>
        <v>42</v>
      </c>
      <c r="U25" s="53">
        <v>398</v>
      </c>
      <c r="V25" s="129">
        <f t="shared" si="2"/>
        <v>3343.2</v>
      </c>
      <c r="W25" s="53">
        <v>10</v>
      </c>
      <c r="X25" s="127" t="s">
        <v>46</v>
      </c>
      <c r="Y25" s="53" t="s">
        <v>102</v>
      </c>
      <c r="Z25" s="53" t="s">
        <v>310</v>
      </c>
      <c r="AA25" s="53" t="s">
        <v>69</v>
      </c>
      <c r="AB25" s="127" t="s">
        <v>237</v>
      </c>
      <c r="AC25" s="34"/>
      <c r="AE25" s="35"/>
      <c r="AP25" s="27" t="s">
        <v>115</v>
      </c>
      <c r="AR25" s="23" t="s">
        <v>83</v>
      </c>
      <c r="AV25" s="23"/>
    </row>
    <row r="26" spans="1:48" x14ac:dyDescent="0.15">
      <c r="A26" s="127" t="s">
        <v>61</v>
      </c>
      <c r="B26" s="127" t="s">
        <v>233</v>
      </c>
      <c r="C26" s="127">
        <v>2019</v>
      </c>
      <c r="D26" s="128" t="s">
        <v>284</v>
      </c>
      <c r="E26" s="127" t="s">
        <v>291</v>
      </c>
      <c r="F26" s="127" t="s">
        <v>292</v>
      </c>
      <c r="G26" s="127" t="s">
        <v>42</v>
      </c>
      <c r="H26" s="53" t="s">
        <v>160</v>
      </c>
      <c r="I26" s="53" t="s">
        <v>159</v>
      </c>
      <c r="J26" s="127" t="s">
        <v>38</v>
      </c>
      <c r="K26" s="53" t="s">
        <v>161</v>
      </c>
      <c r="L26" s="53">
        <v>1</v>
      </c>
      <c r="N26" s="53">
        <v>4</v>
      </c>
      <c r="O26" s="53">
        <v>0.5</v>
      </c>
      <c r="P26" s="53">
        <v>0.5</v>
      </c>
      <c r="Q26" s="75">
        <f t="shared" si="0"/>
        <v>0.5</v>
      </c>
      <c r="R26" s="53">
        <v>17.7</v>
      </c>
      <c r="S26" s="53">
        <v>79</v>
      </c>
      <c r="T26" s="16">
        <f t="shared" si="1"/>
        <v>39</v>
      </c>
      <c r="U26" s="53">
        <v>68</v>
      </c>
      <c r="V26" s="129">
        <f t="shared" si="2"/>
        <v>663</v>
      </c>
      <c r="W26" s="53">
        <v>10</v>
      </c>
      <c r="X26" s="127" t="s">
        <v>46</v>
      </c>
      <c r="Y26" s="53" t="s">
        <v>102</v>
      </c>
      <c r="Z26" s="53" t="s">
        <v>310</v>
      </c>
      <c r="AA26" s="53" t="s">
        <v>69</v>
      </c>
      <c r="AB26" s="127" t="s">
        <v>237</v>
      </c>
      <c r="AC26" s="34"/>
      <c r="AE26" s="22"/>
      <c r="AP26" s="27" t="s">
        <v>137</v>
      </c>
      <c r="AR26" s="23" t="s">
        <v>61</v>
      </c>
    </row>
    <row r="27" spans="1:48" x14ac:dyDescent="0.15">
      <c r="A27" s="127" t="s">
        <v>61</v>
      </c>
      <c r="B27" s="127" t="s">
        <v>233</v>
      </c>
      <c r="C27" s="127">
        <v>2019</v>
      </c>
      <c r="D27" s="128" t="s">
        <v>284</v>
      </c>
      <c r="E27" s="127" t="s">
        <v>291</v>
      </c>
      <c r="F27" s="127" t="s">
        <v>292</v>
      </c>
      <c r="G27" s="127" t="s">
        <v>42</v>
      </c>
      <c r="H27" s="53" t="s">
        <v>160</v>
      </c>
      <c r="I27" s="53" t="s">
        <v>159</v>
      </c>
      <c r="J27" s="127" t="s">
        <v>38</v>
      </c>
      <c r="K27" s="53" t="s">
        <v>161</v>
      </c>
      <c r="L27" s="53">
        <v>2</v>
      </c>
      <c r="N27" s="53">
        <v>4</v>
      </c>
      <c r="O27" s="53">
        <v>0.5</v>
      </c>
      <c r="P27" s="53">
        <v>0.5</v>
      </c>
      <c r="Q27" s="75">
        <f t="shared" si="0"/>
        <v>0.5</v>
      </c>
      <c r="R27" s="53">
        <v>17.399999999999999</v>
      </c>
      <c r="S27" s="53">
        <v>78</v>
      </c>
      <c r="T27" s="16">
        <f t="shared" si="1"/>
        <v>39</v>
      </c>
      <c r="U27" s="53">
        <v>68</v>
      </c>
      <c r="V27" s="129">
        <f t="shared" si="2"/>
        <v>663</v>
      </c>
      <c r="W27" s="53">
        <v>10</v>
      </c>
      <c r="X27" s="127" t="s">
        <v>46</v>
      </c>
      <c r="Y27" s="53" t="s">
        <v>102</v>
      </c>
      <c r="Z27" s="53" t="s">
        <v>310</v>
      </c>
      <c r="AA27" s="53" t="s">
        <v>69</v>
      </c>
      <c r="AB27" s="127" t="s">
        <v>237</v>
      </c>
      <c r="AC27" s="34"/>
      <c r="AE27" s="22"/>
      <c r="AP27" s="27" t="s">
        <v>138</v>
      </c>
      <c r="AR27" s="23" t="s">
        <v>91</v>
      </c>
    </row>
    <row r="28" spans="1:48" x14ac:dyDescent="0.15">
      <c r="A28" s="127" t="s">
        <v>61</v>
      </c>
      <c r="B28" s="127" t="s">
        <v>233</v>
      </c>
      <c r="C28" s="127">
        <v>2019</v>
      </c>
      <c r="D28" s="128" t="s">
        <v>284</v>
      </c>
      <c r="E28" s="127" t="s">
        <v>291</v>
      </c>
      <c r="F28" s="127" t="s">
        <v>292</v>
      </c>
      <c r="G28" s="127" t="s">
        <v>42</v>
      </c>
      <c r="H28" s="53" t="s">
        <v>160</v>
      </c>
      <c r="I28" s="53" t="s">
        <v>159</v>
      </c>
      <c r="J28" s="127" t="s">
        <v>38</v>
      </c>
      <c r="K28" s="53" t="s">
        <v>161</v>
      </c>
      <c r="L28" s="53">
        <v>3</v>
      </c>
      <c r="N28" s="53">
        <v>4</v>
      </c>
      <c r="O28" s="34">
        <v>0.5</v>
      </c>
      <c r="P28" s="53">
        <v>0.5</v>
      </c>
      <c r="Q28" s="75">
        <f t="shared" si="0"/>
        <v>0.5</v>
      </c>
      <c r="R28" s="53">
        <v>17.399999999999999</v>
      </c>
      <c r="S28" s="53">
        <v>107</v>
      </c>
      <c r="T28" s="16">
        <f t="shared" si="1"/>
        <v>33</v>
      </c>
      <c r="U28" s="53">
        <v>68</v>
      </c>
      <c r="V28" s="129">
        <f t="shared" si="2"/>
        <v>561</v>
      </c>
      <c r="W28" s="53">
        <v>10</v>
      </c>
      <c r="X28" s="127" t="s">
        <v>46</v>
      </c>
      <c r="Y28" s="53" t="s">
        <v>102</v>
      </c>
      <c r="Z28" s="53" t="s">
        <v>310</v>
      </c>
      <c r="AA28" s="53" t="s">
        <v>69</v>
      </c>
      <c r="AB28" s="127" t="s">
        <v>237</v>
      </c>
      <c r="AC28" s="34"/>
      <c r="AE28" s="35"/>
      <c r="AP28" s="27" t="s">
        <v>116</v>
      </c>
      <c r="AR28" s="27" t="s">
        <v>92</v>
      </c>
    </row>
    <row r="29" spans="1:48" x14ac:dyDescent="0.15">
      <c r="A29" s="127" t="s">
        <v>61</v>
      </c>
      <c r="B29" s="127" t="s">
        <v>233</v>
      </c>
      <c r="C29" s="127">
        <v>2019</v>
      </c>
      <c r="D29" s="128" t="s">
        <v>284</v>
      </c>
      <c r="E29" s="127" t="s">
        <v>293</v>
      </c>
      <c r="F29" s="127" t="s">
        <v>294</v>
      </c>
      <c r="G29" s="127" t="s">
        <v>42</v>
      </c>
      <c r="H29" s="53" t="s">
        <v>164</v>
      </c>
      <c r="I29" s="53" t="s">
        <v>198</v>
      </c>
      <c r="J29" s="127" t="s">
        <v>38</v>
      </c>
      <c r="K29" s="53" t="s">
        <v>161</v>
      </c>
      <c r="L29" s="53">
        <v>1</v>
      </c>
      <c r="N29" s="53">
        <v>1</v>
      </c>
      <c r="O29" s="34">
        <v>0.5</v>
      </c>
      <c r="P29" s="53">
        <v>0.5</v>
      </c>
      <c r="Q29" s="75">
        <f t="shared" si="0"/>
        <v>0.5</v>
      </c>
      <c r="R29" s="53">
        <v>16.100000000000001</v>
      </c>
      <c r="S29" s="53">
        <v>96</v>
      </c>
      <c r="T29" s="16">
        <f t="shared" si="1"/>
        <v>36</v>
      </c>
      <c r="U29" s="53">
        <v>93</v>
      </c>
      <c r="V29" s="129">
        <f t="shared" si="2"/>
        <v>3348</v>
      </c>
      <c r="W29" s="53">
        <v>6</v>
      </c>
      <c r="X29" s="127" t="s">
        <v>39</v>
      </c>
      <c r="Y29" s="53" t="s">
        <v>78</v>
      </c>
      <c r="Z29" s="53" t="s">
        <v>102</v>
      </c>
      <c r="AA29" s="53" t="s">
        <v>90</v>
      </c>
      <c r="AB29" s="127" t="s">
        <v>237</v>
      </c>
      <c r="AC29" s="34"/>
      <c r="AD29" s="34"/>
      <c r="AE29" s="35"/>
      <c r="AP29" s="27" t="s">
        <v>117</v>
      </c>
      <c r="AR29" s="23" t="s">
        <v>153</v>
      </c>
    </row>
    <row r="30" spans="1:48" x14ac:dyDescent="0.15">
      <c r="A30" s="127" t="s">
        <v>61</v>
      </c>
      <c r="B30" s="127" t="s">
        <v>233</v>
      </c>
      <c r="C30" s="127">
        <v>2019</v>
      </c>
      <c r="D30" s="128" t="s">
        <v>284</v>
      </c>
      <c r="E30" s="127" t="s">
        <v>293</v>
      </c>
      <c r="F30" s="127" t="s">
        <v>294</v>
      </c>
      <c r="G30" s="127" t="s">
        <v>42</v>
      </c>
      <c r="H30" s="53" t="s">
        <v>164</v>
      </c>
      <c r="I30" s="53" t="s">
        <v>198</v>
      </c>
      <c r="J30" s="127" t="s">
        <v>38</v>
      </c>
      <c r="K30" s="53" t="s">
        <v>161</v>
      </c>
      <c r="L30" s="53">
        <v>2</v>
      </c>
      <c r="N30" s="53">
        <v>1</v>
      </c>
      <c r="O30" s="34">
        <v>0.65</v>
      </c>
      <c r="P30" s="53">
        <v>0.65</v>
      </c>
      <c r="Q30" s="75">
        <f t="shared" si="0"/>
        <v>0.65</v>
      </c>
      <c r="R30" s="53">
        <v>17.5</v>
      </c>
      <c r="S30" s="53">
        <v>102</v>
      </c>
      <c r="T30" s="16">
        <f t="shared" si="1"/>
        <v>33</v>
      </c>
      <c r="U30" s="53">
        <v>93</v>
      </c>
      <c r="V30" s="129">
        <f t="shared" si="2"/>
        <v>3069</v>
      </c>
      <c r="W30" s="53">
        <v>6</v>
      </c>
      <c r="X30" s="127" t="s">
        <v>39</v>
      </c>
      <c r="Y30" s="53" t="s">
        <v>78</v>
      </c>
      <c r="Z30" s="53" t="s">
        <v>102</v>
      </c>
      <c r="AA30" s="53" t="s">
        <v>90</v>
      </c>
      <c r="AB30" s="127" t="s">
        <v>237</v>
      </c>
      <c r="AC30" s="34"/>
      <c r="AD30" s="34"/>
      <c r="AE30" s="28"/>
      <c r="AP30" s="27" t="s">
        <v>118</v>
      </c>
      <c r="AR30" s="23"/>
    </row>
    <row r="31" spans="1:48" x14ac:dyDescent="0.15">
      <c r="A31" s="127" t="s">
        <v>61</v>
      </c>
      <c r="B31" s="127" t="s">
        <v>233</v>
      </c>
      <c r="C31" s="127">
        <v>2019</v>
      </c>
      <c r="D31" s="128" t="s">
        <v>284</v>
      </c>
      <c r="E31" s="127" t="s">
        <v>293</v>
      </c>
      <c r="F31" s="127" t="s">
        <v>294</v>
      </c>
      <c r="G31" s="127" t="s">
        <v>42</v>
      </c>
      <c r="H31" s="53" t="s">
        <v>164</v>
      </c>
      <c r="I31" s="53" t="s">
        <v>198</v>
      </c>
      <c r="J31" s="127" t="s">
        <v>38</v>
      </c>
      <c r="K31" s="53" t="s">
        <v>161</v>
      </c>
      <c r="L31" s="53">
        <v>3</v>
      </c>
      <c r="N31" s="53">
        <v>1</v>
      </c>
      <c r="O31" s="34">
        <v>0.75</v>
      </c>
      <c r="P31" s="53">
        <v>0.65</v>
      </c>
      <c r="Q31" s="75">
        <f t="shared" si="0"/>
        <v>0.7</v>
      </c>
      <c r="R31" s="53">
        <v>17.100000000000001</v>
      </c>
      <c r="S31" s="53">
        <v>133</v>
      </c>
      <c r="T31" s="16">
        <f t="shared" si="1"/>
        <v>25</v>
      </c>
      <c r="U31" s="53">
        <v>93</v>
      </c>
      <c r="V31" s="129">
        <f t="shared" si="2"/>
        <v>2325</v>
      </c>
      <c r="W31" s="53">
        <v>6</v>
      </c>
      <c r="X31" s="127" t="s">
        <v>39</v>
      </c>
      <c r="Y31" s="53" t="s">
        <v>78</v>
      </c>
      <c r="Z31" s="53" t="s">
        <v>102</v>
      </c>
      <c r="AA31" s="53" t="s">
        <v>90</v>
      </c>
      <c r="AB31" s="127" t="s">
        <v>237</v>
      </c>
      <c r="AC31" s="34"/>
      <c r="AD31" s="34"/>
      <c r="AP31" s="27"/>
      <c r="AR31" s="23"/>
    </row>
    <row r="32" spans="1:48" x14ac:dyDescent="0.15">
      <c r="A32" s="127" t="s">
        <v>61</v>
      </c>
      <c r="B32" s="127" t="s">
        <v>233</v>
      </c>
      <c r="C32" s="127">
        <v>2019</v>
      </c>
      <c r="D32" s="128" t="s">
        <v>284</v>
      </c>
      <c r="E32" s="127" t="s">
        <v>293</v>
      </c>
      <c r="F32" s="127" t="s">
        <v>294</v>
      </c>
      <c r="G32" s="127" t="s">
        <v>42</v>
      </c>
      <c r="H32" s="53" t="s">
        <v>160</v>
      </c>
      <c r="I32" s="53" t="s">
        <v>159</v>
      </c>
      <c r="J32" s="127" t="s">
        <v>38</v>
      </c>
      <c r="K32" s="53" t="s">
        <v>161</v>
      </c>
      <c r="L32" s="53">
        <v>1</v>
      </c>
      <c r="N32" s="53">
        <v>1</v>
      </c>
      <c r="O32" s="34">
        <v>0.65</v>
      </c>
      <c r="P32" s="53">
        <v>0.5</v>
      </c>
      <c r="Q32" s="75">
        <f t="shared" si="0"/>
        <v>0.57499999999999996</v>
      </c>
      <c r="R32" s="53">
        <v>17.600000000000001</v>
      </c>
      <c r="S32" s="53">
        <v>128</v>
      </c>
      <c r="T32" s="16">
        <f t="shared" si="1"/>
        <v>27</v>
      </c>
      <c r="U32" s="53">
        <v>98</v>
      </c>
      <c r="V32" s="129">
        <f t="shared" si="2"/>
        <v>2646</v>
      </c>
      <c r="W32" s="53">
        <v>6</v>
      </c>
      <c r="X32" s="127" t="s">
        <v>39</v>
      </c>
      <c r="Y32" s="53" t="s">
        <v>78</v>
      </c>
      <c r="Z32" s="53" t="s">
        <v>102</v>
      </c>
      <c r="AA32" s="53" t="s">
        <v>90</v>
      </c>
      <c r="AB32" s="127" t="s">
        <v>237</v>
      </c>
      <c r="AC32" s="34"/>
    </row>
    <row r="33" spans="1:29" x14ac:dyDescent="0.15">
      <c r="A33" s="127" t="s">
        <v>61</v>
      </c>
      <c r="B33" s="127" t="s">
        <v>233</v>
      </c>
      <c r="C33" s="127">
        <v>2019</v>
      </c>
      <c r="D33" s="128" t="s">
        <v>284</v>
      </c>
      <c r="E33" s="127" t="s">
        <v>293</v>
      </c>
      <c r="F33" s="127" t="s">
        <v>294</v>
      </c>
      <c r="G33" s="127" t="s">
        <v>42</v>
      </c>
      <c r="H33" s="53" t="s">
        <v>160</v>
      </c>
      <c r="I33" s="53" t="s">
        <v>159</v>
      </c>
      <c r="J33" s="127" t="s">
        <v>38</v>
      </c>
      <c r="K33" s="53" t="s">
        <v>161</v>
      </c>
      <c r="L33" s="53">
        <v>2</v>
      </c>
      <c r="N33" s="53">
        <v>1</v>
      </c>
      <c r="O33" s="34">
        <v>0.5</v>
      </c>
      <c r="P33" s="53">
        <v>0.5</v>
      </c>
      <c r="Q33" s="75">
        <f t="shared" si="0"/>
        <v>0.5</v>
      </c>
      <c r="R33" s="53">
        <v>18.5</v>
      </c>
      <c r="S33" s="53">
        <v>126</v>
      </c>
      <c r="T33" s="16">
        <f t="shared" si="1"/>
        <v>27</v>
      </c>
      <c r="U33" s="53">
        <v>98</v>
      </c>
      <c r="V33" s="129">
        <f t="shared" si="2"/>
        <v>2646</v>
      </c>
      <c r="W33" s="53">
        <v>6</v>
      </c>
      <c r="X33" s="127" t="s">
        <v>39</v>
      </c>
      <c r="Y33" s="53" t="s">
        <v>78</v>
      </c>
      <c r="Z33" s="53" t="s">
        <v>102</v>
      </c>
      <c r="AA33" s="53" t="s">
        <v>90</v>
      </c>
      <c r="AB33" s="127" t="s">
        <v>237</v>
      </c>
      <c r="AC33" s="34"/>
    </row>
    <row r="34" spans="1:29" x14ac:dyDescent="0.15">
      <c r="A34" s="127" t="s">
        <v>61</v>
      </c>
      <c r="B34" s="127" t="s">
        <v>233</v>
      </c>
      <c r="C34" s="127">
        <v>2019</v>
      </c>
      <c r="D34" s="128" t="s">
        <v>284</v>
      </c>
      <c r="E34" s="127" t="s">
        <v>293</v>
      </c>
      <c r="F34" s="127" t="s">
        <v>294</v>
      </c>
      <c r="G34" s="127" t="s">
        <v>42</v>
      </c>
      <c r="H34" s="53" t="s">
        <v>160</v>
      </c>
      <c r="I34" s="53" t="s">
        <v>159</v>
      </c>
      <c r="J34" s="127" t="s">
        <v>38</v>
      </c>
      <c r="K34" s="53" t="s">
        <v>161</v>
      </c>
      <c r="L34" s="53">
        <v>3</v>
      </c>
      <c r="N34" s="53">
        <v>1</v>
      </c>
      <c r="O34" s="34">
        <v>0.5</v>
      </c>
      <c r="P34" s="53">
        <v>0.5</v>
      </c>
      <c r="Q34" s="75">
        <f t="shared" si="0"/>
        <v>0.5</v>
      </c>
      <c r="R34" s="53">
        <v>18.600000000000001</v>
      </c>
      <c r="S34" s="53">
        <v>140</v>
      </c>
      <c r="T34" s="16">
        <f t="shared" si="1"/>
        <v>22</v>
      </c>
      <c r="U34" s="53">
        <v>98</v>
      </c>
      <c r="V34" s="129">
        <f t="shared" si="2"/>
        <v>2156</v>
      </c>
      <c r="W34" s="53">
        <v>6</v>
      </c>
      <c r="X34" s="127" t="s">
        <v>39</v>
      </c>
      <c r="Y34" s="53" t="s">
        <v>78</v>
      </c>
      <c r="Z34" s="53" t="s">
        <v>102</v>
      </c>
      <c r="AA34" s="53" t="s">
        <v>90</v>
      </c>
      <c r="AB34" s="127" t="s">
        <v>237</v>
      </c>
      <c r="AC34" s="34"/>
    </row>
    <row r="35" spans="1:29" x14ac:dyDescent="0.15">
      <c r="A35" s="127" t="s">
        <v>61</v>
      </c>
      <c r="B35" s="127" t="s">
        <v>233</v>
      </c>
      <c r="C35" s="127">
        <v>2019</v>
      </c>
      <c r="D35" s="128" t="s">
        <v>284</v>
      </c>
      <c r="E35" s="127" t="s">
        <v>295</v>
      </c>
      <c r="F35" s="127" t="s">
        <v>296</v>
      </c>
      <c r="G35" s="127" t="s">
        <v>42</v>
      </c>
      <c r="H35" s="53" t="s">
        <v>164</v>
      </c>
      <c r="I35" s="53" t="s">
        <v>159</v>
      </c>
      <c r="J35" s="127" t="s">
        <v>38</v>
      </c>
      <c r="K35" s="53" t="s">
        <v>161</v>
      </c>
      <c r="L35" s="53">
        <v>1</v>
      </c>
      <c r="N35" s="53">
        <v>1</v>
      </c>
      <c r="O35" s="34">
        <v>0.5</v>
      </c>
      <c r="P35" s="53">
        <v>0.5</v>
      </c>
      <c r="Q35" s="75">
        <f t="shared" si="0"/>
        <v>0.5</v>
      </c>
      <c r="R35" s="53">
        <v>16.100000000000001</v>
      </c>
      <c r="S35" s="53">
        <v>108</v>
      </c>
      <c r="T35" s="16">
        <f t="shared" si="1"/>
        <v>33</v>
      </c>
      <c r="U35" s="53">
        <v>128</v>
      </c>
      <c r="V35" s="129">
        <f t="shared" si="2"/>
        <v>4224</v>
      </c>
      <c r="W35" s="53">
        <v>6</v>
      </c>
      <c r="X35" s="127" t="s">
        <v>46</v>
      </c>
      <c r="Y35" s="53" t="s">
        <v>69</v>
      </c>
      <c r="Z35" s="53" t="s">
        <v>313</v>
      </c>
      <c r="AA35" s="53" t="s">
        <v>90</v>
      </c>
      <c r="AB35" s="127" t="s">
        <v>237</v>
      </c>
      <c r="AC35" s="34"/>
    </row>
    <row r="36" spans="1:29" x14ac:dyDescent="0.15">
      <c r="A36" s="127" t="s">
        <v>61</v>
      </c>
      <c r="B36" s="127" t="s">
        <v>233</v>
      </c>
      <c r="C36" s="127">
        <v>2019</v>
      </c>
      <c r="D36" s="128" t="s">
        <v>284</v>
      </c>
      <c r="E36" s="127" t="s">
        <v>295</v>
      </c>
      <c r="F36" s="127" t="s">
        <v>296</v>
      </c>
      <c r="G36" s="127" t="s">
        <v>42</v>
      </c>
      <c r="H36" s="53" t="s">
        <v>164</v>
      </c>
      <c r="I36" s="53" t="s">
        <v>159</v>
      </c>
      <c r="J36" s="127" t="s">
        <v>38</v>
      </c>
      <c r="K36" s="53" t="s">
        <v>161</v>
      </c>
      <c r="L36" s="53">
        <v>2</v>
      </c>
      <c r="N36" s="53">
        <v>1</v>
      </c>
      <c r="O36" s="34">
        <v>0.6</v>
      </c>
      <c r="P36" s="53">
        <v>0.65</v>
      </c>
      <c r="Q36" s="75">
        <f t="shared" si="0"/>
        <v>0.625</v>
      </c>
      <c r="R36" s="53">
        <v>17.2</v>
      </c>
      <c r="S36" s="53">
        <v>109</v>
      </c>
      <c r="T36" s="16">
        <f t="shared" si="1"/>
        <v>33</v>
      </c>
      <c r="U36" s="53">
        <v>128</v>
      </c>
      <c r="V36" s="129">
        <f t="shared" si="2"/>
        <v>4224</v>
      </c>
      <c r="W36" s="53">
        <v>6</v>
      </c>
      <c r="X36" s="127" t="s">
        <v>46</v>
      </c>
      <c r="Y36" s="53" t="s">
        <v>69</v>
      </c>
      <c r="Z36" s="53" t="s">
        <v>313</v>
      </c>
      <c r="AA36" s="53" t="s">
        <v>90</v>
      </c>
      <c r="AB36" s="127" t="s">
        <v>237</v>
      </c>
      <c r="AC36" s="34"/>
    </row>
    <row r="37" spans="1:29" x14ac:dyDescent="0.15">
      <c r="A37" s="127" t="s">
        <v>61</v>
      </c>
      <c r="B37" s="127" t="s">
        <v>233</v>
      </c>
      <c r="C37" s="127">
        <v>2019</v>
      </c>
      <c r="D37" s="128" t="s">
        <v>284</v>
      </c>
      <c r="E37" s="127" t="s">
        <v>295</v>
      </c>
      <c r="F37" s="127" t="s">
        <v>296</v>
      </c>
      <c r="G37" s="127" t="s">
        <v>42</v>
      </c>
      <c r="H37" s="53" t="s">
        <v>164</v>
      </c>
      <c r="I37" s="53" t="s">
        <v>159</v>
      </c>
      <c r="J37" s="127" t="s">
        <v>38</v>
      </c>
      <c r="K37" s="53" t="s">
        <v>161</v>
      </c>
      <c r="L37" s="53">
        <v>3</v>
      </c>
      <c r="N37" s="53">
        <v>1</v>
      </c>
      <c r="O37" s="34">
        <v>0.5</v>
      </c>
      <c r="P37" s="53">
        <v>0.5</v>
      </c>
      <c r="Q37" s="75">
        <f t="shared" si="0"/>
        <v>0.5</v>
      </c>
      <c r="R37" s="53">
        <v>18</v>
      </c>
      <c r="S37" s="53">
        <v>104</v>
      </c>
      <c r="T37" s="16">
        <f t="shared" si="1"/>
        <v>33</v>
      </c>
      <c r="U37" s="53">
        <v>128</v>
      </c>
      <c r="V37" s="129">
        <f t="shared" si="2"/>
        <v>4224</v>
      </c>
      <c r="W37" s="53">
        <v>6</v>
      </c>
      <c r="X37" s="127" t="s">
        <v>46</v>
      </c>
      <c r="Y37" s="53" t="s">
        <v>69</v>
      </c>
      <c r="Z37" s="53" t="s">
        <v>313</v>
      </c>
      <c r="AA37" s="53" t="s">
        <v>90</v>
      </c>
      <c r="AB37" s="127" t="s">
        <v>237</v>
      </c>
      <c r="AC37" s="34"/>
    </row>
    <row r="38" spans="1:29" x14ac:dyDescent="0.15">
      <c r="A38" s="127" t="s">
        <v>61</v>
      </c>
      <c r="B38" s="127" t="s">
        <v>233</v>
      </c>
      <c r="C38" s="127">
        <v>2019</v>
      </c>
      <c r="D38" s="128" t="s">
        <v>284</v>
      </c>
      <c r="E38" s="127" t="s">
        <v>295</v>
      </c>
      <c r="F38" s="127" t="s">
        <v>296</v>
      </c>
      <c r="G38" s="127" t="s">
        <v>42</v>
      </c>
      <c r="H38" s="53" t="s">
        <v>160</v>
      </c>
      <c r="I38" s="53" t="s">
        <v>159</v>
      </c>
      <c r="J38" s="127" t="s">
        <v>38</v>
      </c>
      <c r="K38" s="53" t="s">
        <v>161</v>
      </c>
      <c r="L38" s="53">
        <v>1</v>
      </c>
      <c r="N38" s="53">
        <v>1</v>
      </c>
      <c r="O38" s="34">
        <v>0.5</v>
      </c>
      <c r="P38" s="53">
        <v>0.5</v>
      </c>
      <c r="Q38" s="75">
        <f t="shared" si="0"/>
        <v>0.5</v>
      </c>
      <c r="R38" s="53">
        <v>18.2</v>
      </c>
      <c r="S38" s="53">
        <v>144</v>
      </c>
      <c r="T38" s="16">
        <f t="shared" si="1"/>
        <v>22</v>
      </c>
      <c r="U38" s="53">
        <v>128</v>
      </c>
      <c r="V38" s="129">
        <f t="shared" si="2"/>
        <v>2816</v>
      </c>
      <c r="W38" s="53">
        <v>6</v>
      </c>
      <c r="X38" s="127" t="s">
        <v>46</v>
      </c>
      <c r="Y38" s="53" t="s">
        <v>69</v>
      </c>
      <c r="Z38" s="53" t="s">
        <v>313</v>
      </c>
      <c r="AA38" s="53" t="s">
        <v>90</v>
      </c>
      <c r="AB38" s="127" t="s">
        <v>237</v>
      </c>
      <c r="AC38" s="34"/>
    </row>
    <row r="39" spans="1:29" x14ac:dyDescent="0.15">
      <c r="A39" s="127" t="s">
        <v>61</v>
      </c>
      <c r="B39" s="127" t="s">
        <v>233</v>
      </c>
      <c r="C39" s="127">
        <v>2019</v>
      </c>
      <c r="D39" s="128" t="s">
        <v>284</v>
      </c>
      <c r="E39" s="127" t="s">
        <v>295</v>
      </c>
      <c r="F39" s="127" t="s">
        <v>296</v>
      </c>
      <c r="G39" s="127" t="s">
        <v>42</v>
      </c>
      <c r="H39" s="53" t="s">
        <v>160</v>
      </c>
      <c r="I39" s="53" t="s">
        <v>159</v>
      </c>
      <c r="J39" s="127" t="s">
        <v>38</v>
      </c>
      <c r="K39" s="53" t="s">
        <v>161</v>
      </c>
      <c r="L39" s="53">
        <v>2</v>
      </c>
      <c r="N39" s="53">
        <v>1</v>
      </c>
      <c r="O39" s="34">
        <v>0.5</v>
      </c>
      <c r="P39" s="53">
        <v>0.6</v>
      </c>
      <c r="Q39" s="75">
        <f t="shared" si="0"/>
        <v>0.55000000000000004</v>
      </c>
      <c r="R39" s="53">
        <v>17.899999999999999</v>
      </c>
      <c r="S39" s="53">
        <v>140</v>
      </c>
      <c r="T39" s="16">
        <f t="shared" si="1"/>
        <v>22</v>
      </c>
      <c r="U39" s="53">
        <v>128</v>
      </c>
      <c r="V39" s="129">
        <f t="shared" si="2"/>
        <v>2816</v>
      </c>
      <c r="W39" s="53">
        <v>6</v>
      </c>
      <c r="X39" s="127" t="s">
        <v>46</v>
      </c>
      <c r="Y39" s="53" t="s">
        <v>69</v>
      </c>
      <c r="Z39" s="53" t="s">
        <v>313</v>
      </c>
      <c r="AA39" s="53" t="s">
        <v>90</v>
      </c>
      <c r="AB39" s="127" t="s">
        <v>237</v>
      </c>
      <c r="AC39" s="34"/>
    </row>
    <row r="40" spans="1:29" x14ac:dyDescent="0.15">
      <c r="A40" s="127" t="s">
        <v>61</v>
      </c>
      <c r="B40" s="127" t="s">
        <v>233</v>
      </c>
      <c r="C40" s="127">
        <v>2019</v>
      </c>
      <c r="D40" s="128" t="s">
        <v>284</v>
      </c>
      <c r="E40" s="127" t="s">
        <v>295</v>
      </c>
      <c r="F40" s="127" t="s">
        <v>296</v>
      </c>
      <c r="G40" s="127" t="s">
        <v>42</v>
      </c>
      <c r="H40" s="53" t="s">
        <v>160</v>
      </c>
      <c r="I40" s="53" t="s">
        <v>159</v>
      </c>
      <c r="J40" s="127" t="s">
        <v>38</v>
      </c>
      <c r="K40" s="53" t="s">
        <v>161</v>
      </c>
      <c r="L40" s="53">
        <v>3</v>
      </c>
      <c r="N40" s="53">
        <v>1</v>
      </c>
      <c r="O40" s="53">
        <v>0.75</v>
      </c>
      <c r="P40" s="53">
        <v>0.65</v>
      </c>
      <c r="Q40" s="75">
        <f t="shared" si="0"/>
        <v>0.7</v>
      </c>
      <c r="R40" s="53">
        <v>19.100000000000001</v>
      </c>
      <c r="S40" s="53">
        <v>143</v>
      </c>
      <c r="T40" s="16">
        <f t="shared" si="1"/>
        <v>22</v>
      </c>
      <c r="U40" s="53">
        <v>128</v>
      </c>
      <c r="V40" s="129">
        <f t="shared" si="2"/>
        <v>2816</v>
      </c>
      <c r="W40" s="53">
        <v>6</v>
      </c>
      <c r="X40" s="127" t="s">
        <v>46</v>
      </c>
      <c r="Y40" s="53" t="s">
        <v>69</v>
      </c>
      <c r="Z40" s="53" t="s">
        <v>313</v>
      </c>
      <c r="AA40" s="53" t="s">
        <v>90</v>
      </c>
      <c r="AB40" s="127" t="s">
        <v>237</v>
      </c>
      <c r="AC40" s="34"/>
    </row>
    <row r="41" spans="1:29" x14ac:dyDescent="0.15">
      <c r="A41" s="127" t="s">
        <v>61</v>
      </c>
      <c r="B41" s="127" t="s">
        <v>233</v>
      </c>
      <c r="C41" s="127">
        <v>2019</v>
      </c>
      <c r="D41" s="128" t="s">
        <v>284</v>
      </c>
      <c r="E41" s="127" t="s">
        <v>297</v>
      </c>
      <c r="F41" s="127" t="s">
        <v>298</v>
      </c>
      <c r="G41" s="127" t="s">
        <v>42</v>
      </c>
      <c r="H41" s="53" t="s">
        <v>164</v>
      </c>
      <c r="I41" s="53" t="s">
        <v>159</v>
      </c>
      <c r="J41" s="127" t="s">
        <v>38</v>
      </c>
      <c r="K41" s="53" t="s">
        <v>161</v>
      </c>
      <c r="L41" s="53">
        <v>1</v>
      </c>
      <c r="N41" s="53">
        <v>1</v>
      </c>
      <c r="O41" s="34">
        <v>0.5</v>
      </c>
      <c r="P41" s="53">
        <v>0.5</v>
      </c>
      <c r="Q41" s="75">
        <f t="shared" si="0"/>
        <v>0.5</v>
      </c>
      <c r="R41" s="53">
        <v>18.399999999999999</v>
      </c>
      <c r="S41" s="53">
        <v>108</v>
      </c>
      <c r="T41" s="16">
        <f t="shared" si="1"/>
        <v>33</v>
      </c>
      <c r="U41" s="53">
        <v>321</v>
      </c>
      <c r="V41" s="129">
        <f t="shared" si="2"/>
        <v>10593</v>
      </c>
      <c r="W41" s="53">
        <v>6</v>
      </c>
      <c r="X41" s="127" t="s">
        <v>39</v>
      </c>
      <c r="Y41" s="53" t="s">
        <v>102</v>
      </c>
      <c r="Z41" s="53" t="s">
        <v>90</v>
      </c>
      <c r="AA41" s="53" t="s">
        <v>69</v>
      </c>
      <c r="AB41" s="127" t="s">
        <v>237</v>
      </c>
    </row>
    <row r="42" spans="1:29" x14ac:dyDescent="0.15">
      <c r="A42" s="127" t="s">
        <v>61</v>
      </c>
      <c r="B42" s="127" t="s">
        <v>233</v>
      </c>
      <c r="C42" s="127">
        <v>2020</v>
      </c>
      <c r="D42" s="128" t="s">
        <v>284</v>
      </c>
      <c r="E42" s="127" t="s">
        <v>297</v>
      </c>
      <c r="F42" s="127" t="s">
        <v>298</v>
      </c>
      <c r="G42" s="127" t="s">
        <v>42</v>
      </c>
      <c r="H42" s="53" t="s">
        <v>164</v>
      </c>
      <c r="I42" s="53" t="s">
        <v>159</v>
      </c>
      <c r="J42" s="127" t="s">
        <v>38</v>
      </c>
      <c r="K42" s="53" t="s">
        <v>161</v>
      </c>
      <c r="L42" s="53">
        <v>2</v>
      </c>
      <c r="N42" s="53">
        <v>1</v>
      </c>
      <c r="O42" s="34">
        <v>1</v>
      </c>
      <c r="P42" s="53">
        <v>0.75</v>
      </c>
      <c r="Q42" s="75">
        <f t="shared" si="0"/>
        <v>0.875</v>
      </c>
      <c r="R42" s="53">
        <v>18.399999999999999</v>
      </c>
      <c r="S42" s="53">
        <v>113</v>
      </c>
      <c r="T42" s="16">
        <f t="shared" si="1"/>
        <v>30</v>
      </c>
      <c r="U42" s="53">
        <v>321</v>
      </c>
      <c r="V42" s="129">
        <f t="shared" si="2"/>
        <v>9630</v>
      </c>
      <c r="W42" s="53">
        <v>6</v>
      </c>
      <c r="X42" s="127" t="s">
        <v>39</v>
      </c>
      <c r="Y42" s="53" t="s">
        <v>102</v>
      </c>
      <c r="Z42" s="53" t="s">
        <v>90</v>
      </c>
      <c r="AA42" s="53" t="s">
        <v>69</v>
      </c>
      <c r="AB42" s="127" t="s">
        <v>237</v>
      </c>
    </row>
    <row r="43" spans="1:29" x14ac:dyDescent="0.15">
      <c r="A43" s="127" t="s">
        <v>61</v>
      </c>
      <c r="B43" s="127" t="s">
        <v>233</v>
      </c>
      <c r="C43" s="127">
        <v>2021</v>
      </c>
      <c r="D43" s="128" t="s">
        <v>284</v>
      </c>
      <c r="E43" s="127" t="s">
        <v>297</v>
      </c>
      <c r="F43" s="127" t="s">
        <v>298</v>
      </c>
      <c r="G43" s="127" t="s">
        <v>42</v>
      </c>
      <c r="H43" s="53" t="s">
        <v>164</v>
      </c>
      <c r="I43" s="53" t="s">
        <v>159</v>
      </c>
      <c r="J43" s="127" t="s">
        <v>38</v>
      </c>
      <c r="K43" s="53" t="s">
        <v>161</v>
      </c>
      <c r="L43" s="53">
        <v>3</v>
      </c>
      <c r="N43" s="53">
        <v>1</v>
      </c>
      <c r="O43" s="34">
        <v>0.5</v>
      </c>
      <c r="P43" s="53">
        <v>0.5</v>
      </c>
      <c r="Q43" s="75">
        <f t="shared" si="0"/>
        <v>0.5</v>
      </c>
      <c r="R43" s="53">
        <v>17.5</v>
      </c>
      <c r="S43" s="53">
        <v>112</v>
      </c>
      <c r="T43" s="16">
        <f t="shared" si="1"/>
        <v>33</v>
      </c>
      <c r="U43" s="53">
        <v>321</v>
      </c>
      <c r="V43" s="129">
        <f t="shared" si="2"/>
        <v>10593</v>
      </c>
      <c r="W43" s="53">
        <v>6</v>
      </c>
      <c r="X43" s="127" t="s">
        <v>39</v>
      </c>
      <c r="Y43" s="53" t="s">
        <v>102</v>
      </c>
      <c r="Z43" s="53" t="s">
        <v>90</v>
      </c>
      <c r="AA43" s="53" t="s">
        <v>69</v>
      </c>
      <c r="AB43" s="127" t="s">
        <v>237</v>
      </c>
    </row>
    <row r="44" spans="1:29" x14ac:dyDescent="0.15">
      <c r="A44" s="127" t="s">
        <v>61</v>
      </c>
      <c r="B44" s="127" t="s">
        <v>233</v>
      </c>
      <c r="C44" s="127">
        <v>2022</v>
      </c>
      <c r="D44" s="128" t="s">
        <v>284</v>
      </c>
      <c r="E44" s="127" t="s">
        <v>297</v>
      </c>
      <c r="F44" s="127" t="s">
        <v>298</v>
      </c>
      <c r="G44" s="127" t="s">
        <v>42</v>
      </c>
      <c r="H44" s="53" t="s">
        <v>160</v>
      </c>
      <c r="I44" s="53" t="s">
        <v>159</v>
      </c>
      <c r="J44" s="127" t="s">
        <v>38</v>
      </c>
      <c r="K44" s="53" t="s">
        <v>161</v>
      </c>
      <c r="L44" s="53">
        <v>1</v>
      </c>
      <c r="N44" s="53">
        <v>1</v>
      </c>
      <c r="O44" s="34">
        <v>0.7</v>
      </c>
      <c r="P44" s="53">
        <v>0.65</v>
      </c>
      <c r="Q44" s="75">
        <f t="shared" si="0"/>
        <v>0.67500000000000004</v>
      </c>
      <c r="R44" s="53">
        <v>17.399999999999999</v>
      </c>
      <c r="S44" s="53">
        <v>143</v>
      </c>
      <c r="T44" s="16">
        <f t="shared" si="1"/>
        <v>22</v>
      </c>
      <c r="U44" s="53">
        <v>149</v>
      </c>
      <c r="V44" s="129">
        <f t="shared" si="2"/>
        <v>3278</v>
      </c>
      <c r="W44" s="53">
        <v>6</v>
      </c>
      <c r="X44" s="127" t="s">
        <v>39</v>
      </c>
      <c r="Y44" s="53" t="s">
        <v>102</v>
      </c>
      <c r="Z44" s="53" t="s">
        <v>90</v>
      </c>
      <c r="AA44" s="53" t="s">
        <v>69</v>
      </c>
      <c r="AB44" s="127" t="s">
        <v>237</v>
      </c>
      <c r="AC44" s="34"/>
    </row>
    <row r="45" spans="1:29" x14ac:dyDescent="0.15">
      <c r="A45" s="127" t="s">
        <v>61</v>
      </c>
      <c r="B45" s="127" t="s">
        <v>233</v>
      </c>
      <c r="C45" s="127">
        <v>2023</v>
      </c>
      <c r="D45" s="128" t="s">
        <v>284</v>
      </c>
      <c r="E45" s="127" t="s">
        <v>297</v>
      </c>
      <c r="F45" s="127" t="s">
        <v>298</v>
      </c>
      <c r="G45" s="127" t="s">
        <v>42</v>
      </c>
      <c r="H45" s="53" t="s">
        <v>160</v>
      </c>
      <c r="I45" s="53" t="s">
        <v>159</v>
      </c>
      <c r="J45" s="127" t="s">
        <v>38</v>
      </c>
      <c r="K45" s="53" t="s">
        <v>161</v>
      </c>
      <c r="L45" s="53">
        <v>2</v>
      </c>
      <c r="N45" s="53">
        <v>1</v>
      </c>
      <c r="O45" s="34">
        <v>0.7</v>
      </c>
      <c r="P45" s="53">
        <v>0.65</v>
      </c>
      <c r="Q45" s="75">
        <f t="shared" si="0"/>
        <v>0.67500000000000004</v>
      </c>
      <c r="R45" s="53">
        <v>18.399999999999999</v>
      </c>
      <c r="S45" s="53">
        <v>138</v>
      </c>
      <c r="T45" s="16">
        <f t="shared" si="1"/>
        <v>22</v>
      </c>
      <c r="U45" s="53">
        <v>149</v>
      </c>
      <c r="V45" s="129">
        <f t="shared" si="2"/>
        <v>3278</v>
      </c>
      <c r="W45" s="53">
        <v>6</v>
      </c>
      <c r="X45" s="127" t="s">
        <v>39</v>
      </c>
      <c r="Y45" s="53" t="s">
        <v>102</v>
      </c>
      <c r="Z45" s="53" t="s">
        <v>90</v>
      </c>
      <c r="AA45" s="53" t="s">
        <v>69</v>
      </c>
      <c r="AB45" s="127" t="s">
        <v>237</v>
      </c>
      <c r="AC45" s="34"/>
    </row>
    <row r="46" spans="1:29" x14ac:dyDescent="0.15">
      <c r="A46" s="127" t="s">
        <v>61</v>
      </c>
      <c r="B46" s="127" t="s">
        <v>233</v>
      </c>
      <c r="C46" s="127">
        <v>2024</v>
      </c>
      <c r="D46" s="128" t="s">
        <v>284</v>
      </c>
      <c r="E46" s="127" t="s">
        <v>297</v>
      </c>
      <c r="F46" s="127" t="s">
        <v>298</v>
      </c>
      <c r="G46" s="127" t="s">
        <v>42</v>
      </c>
      <c r="H46" s="53" t="s">
        <v>160</v>
      </c>
      <c r="I46" s="53" t="s">
        <v>159</v>
      </c>
      <c r="J46" s="127" t="s">
        <v>38</v>
      </c>
      <c r="K46" s="53" t="s">
        <v>161</v>
      </c>
      <c r="L46" s="53">
        <v>3</v>
      </c>
      <c r="N46" s="53">
        <v>1</v>
      </c>
      <c r="O46" s="34">
        <v>0.65</v>
      </c>
      <c r="P46" s="53">
        <v>0.5</v>
      </c>
      <c r="Q46" s="75">
        <f t="shared" si="0"/>
        <v>0.57499999999999996</v>
      </c>
      <c r="R46" s="34">
        <v>17.2</v>
      </c>
      <c r="S46" s="53">
        <v>134</v>
      </c>
      <c r="T46" s="16">
        <f t="shared" si="1"/>
        <v>25</v>
      </c>
      <c r="U46" s="53">
        <v>149</v>
      </c>
      <c r="V46" s="129">
        <f t="shared" si="2"/>
        <v>3725</v>
      </c>
      <c r="W46" s="53">
        <v>6</v>
      </c>
      <c r="X46" s="127" t="s">
        <v>39</v>
      </c>
      <c r="Y46" s="53" t="s">
        <v>102</v>
      </c>
      <c r="Z46" s="53" t="s">
        <v>90</v>
      </c>
      <c r="AA46" s="53" t="s">
        <v>69</v>
      </c>
      <c r="AB46" s="127" t="s">
        <v>237</v>
      </c>
      <c r="AC46" s="34"/>
    </row>
    <row r="47" spans="1:29" x14ac:dyDescent="0.15">
      <c r="A47" s="127" t="s">
        <v>61</v>
      </c>
      <c r="B47" s="127" t="s">
        <v>233</v>
      </c>
      <c r="C47" s="127">
        <v>2019</v>
      </c>
      <c r="D47" s="128" t="s">
        <v>284</v>
      </c>
      <c r="E47" s="127" t="s">
        <v>133</v>
      </c>
      <c r="F47" s="127" t="s">
        <v>299</v>
      </c>
      <c r="G47" s="127" t="s">
        <v>42</v>
      </c>
      <c r="H47" s="53" t="s">
        <v>164</v>
      </c>
      <c r="I47" s="53" t="s">
        <v>159</v>
      </c>
      <c r="J47" s="127" t="s">
        <v>38</v>
      </c>
      <c r="K47" s="53" t="s">
        <v>161</v>
      </c>
      <c r="L47" s="53">
        <v>1</v>
      </c>
      <c r="N47" s="53">
        <v>1</v>
      </c>
      <c r="O47" s="53">
        <v>0.75</v>
      </c>
      <c r="P47" s="53">
        <v>0</v>
      </c>
      <c r="Q47" s="75">
        <f t="shared" si="0"/>
        <v>0.375</v>
      </c>
      <c r="R47" s="53">
        <v>16.899999999999999</v>
      </c>
      <c r="S47" s="53">
        <v>120</v>
      </c>
      <c r="T47" s="16">
        <f t="shared" si="1"/>
        <v>30</v>
      </c>
      <c r="U47" s="53">
        <v>98</v>
      </c>
      <c r="V47" s="129">
        <f t="shared" si="2"/>
        <v>2940</v>
      </c>
      <c r="W47" s="53">
        <v>12</v>
      </c>
      <c r="X47" s="127" t="s">
        <v>46</v>
      </c>
      <c r="Y47" s="53" t="s">
        <v>78</v>
      </c>
      <c r="Z47" s="53" t="s">
        <v>102</v>
      </c>
      <c r="AA47" s="53" t="s">
        <v>90</v>
      </c>
      <c r="AB47" s="127" t="s">
        <v>237</v>
      </c>
      <c r="AC47" s="34"/>
    </row>
    <row r="48" spans="1:29" x14ac:dyDescent="0.15">
      <c r="A48" s="127" t="s">
        <v>61</v>
      </c>
      <c r="B48" s="127" t="s">
        <v>233</v>
      </c>
      <c r="C48" s="127">
        <v>2019</v>
      </c>
      <c r="D48" s="128" t="s">
        <v>284</v>
      </c>
      <c r="E48" s="127" t="s">
        <v>133</v>
      </c>
      <c r="F48" s="127" t="s">
        <v>299</v>
      </c>
      <c r="G48" s="127" t="s">
        <v>42</v>
      </c>
      <c r="H48" s="53" t="s">
        <v>164</v>
      </c>
      <c r="I48" s="53" t="s">
        <v>159</v>
      </c>
      <c r="J48" s="127" t="s">
        <v>38</v>
      </c>
      <c r="K48" s="53" t="s">
        <v>161</v>
      </c>
      <c r="L48" s="53">
        <v>2</v>
      </c>
      <c r="N48" s="53">
        <v>1</v>
      </c>
      <c r="O48" s="53">
        <v>0.9</v>
      </c>
      <c r="P48" s="53">
        <v>0.75</v>
      </c>
      <c r="Q48" s="75">
        <f t="shared" si="0"/>
        <v>0.82499999999999996</v>
      </c>
      <c r="R48" s="53">
        <v>17.600000000000001</v>
      </c>
      <c r="S48" s="53">
        <v>128</v>
      </c>
      <c r="T48" s="16">
        <f t="shared" si="1"/>
        <v>27</v>
      </c>
      <c r="U48" s="53">
        <v>98</v>
      </c>
      <c r="V48" s="129">
        <f t="shared" si="2"/>
        <v>2646</v>
      </c>
      <c r="W48" s="53">
        <v>12</v>
      </c>
      <c r="X48" s="127" t="s">
        <v>46</v>
      </c>
      <c r="Y48" s="53" t="s">
        <v>78</v>
      </c>
      <c r="Z48" s="53" t="s">
        <v>102</v>
      </c>
      <c r="AA48" s="53" t="s">
        <v>90</v>
      </c>
      <c r="AB48" s="127" t="s">
        <v>237</v>
      </c>
      <c r="AC48" s="34"/>
    </row>
    <row r="49" spans="1:29" x14ac:dyDescent="0.15">
      <c r="A49" s="127" t="s">
        <v>61</v>
      </c>
      <c r="B49" s="127" t="s">
        <v>233</v>
      </c>
      <c r="C49" s="127">
        <v>2019</v>
      </c>
      <c r="D49" s="128" t="s">
        <v>284</v>
      </c>
      <c r="E49" s="127" t="s">
        <v>133</v>
      </c>
      <c r="F49" s="127" t="s">
        <v>299</v>
      </c>
      <c r="G49" s="127" t="s">
        <v>42</v>
      </c>
      <c r="H49" s="53" t="s">
        <v>164</v>
      </c>
      <c r="I49" s="53" t="s">
        <v>159</v>
      </c>
      <c r="J49" s="127" t="s">
        <v>38</v>
      </c>
      <c r="K49" s="53" t="s">
        <v>161</v>
      </c>
      <c r="L49" s="53">
        <v>3</v>
      </c>
      <c r="N49" s="53">
        <v>1</v>
      </c>
      <c r="O49" s="53">
        <v>0.7</v>
      </c>
      <c r="P49" s="53">
        <v>0.75</v>
      </c>
      <c r="Q49" s="75">
        <f t="shared" si="0"/>
        <v>0.72499999999999998</v>
      </c>
      <c r="R49" s="53">
        <v>17.5</v>
      </c>
      <c r="S49" s="53">
        <v>119</v>
      </c>
      <c r="T49" s="16">
        <f t="shared" si="1"/>
        <v>30</v>
      </c>
      <c r="U49" s="53">
        <v>98</v>
      </c>
      <c r="V49" s="129">
        <f t="shared" si="2"/>
        <v>2940</v>
      </c>
      <c r="W49" s="53">
        <v>12</v>
      </c>
      <c r="X49" s="127" t="s">
        <v>46</v>
      </c>
      <c r="Y49" s="53" t="s">
        <v>78</v>
      </c>
      <c r="Z49" s="53" t="s">
        <v>102</v>
      </c>
      <c r="AA49" s="53" t="s">
        <v>90</v>
      </c>
      <c r="AB49" s="127" t="s">
        <v>237</v>
      </c>
      <c r="AC49" s="34"/>
    </row>
    <row r="50" spans="1:29" x14ac:dyDescent="0.15">
      <c r="A50" s="127" t="s">
        <v>61</v>
      </c>
      <c r="B50" s="127" t="s">
        <v>233</v>
      </c>
      <c r="C50" s="127">
        <v>2019</v>
      </c>
      <c r="D50" s="128" t="s">
        <v>284</v>
      </c>
      <c r="E50" s="127" t="s">
        <v>133</v>
      </c>
      <c r="F50" s="127" t="s">
        <v>299</v>
      </c>
      <c r="G50" s="127" t="s">
        <v>42</v>
      </c>
      <c r="H50" s="53" t="s">
        <v>160</v>
      </c>
      <c r="I50" s="53" t="s">
        <v>159</v>
      </c>
      <c r="J50" s="127" t="s">
        <v>38</v>
      </c>
      <c r="K50" s="53" t="s">
        <v>161</v>
      </c>
      <c r="L50" s="53">
        <v>1</v>
      </c>
      <c r="N50" s="53">
        <v>1</v>
      </c>
      <c r="O50" s="53">
        <v>0.5</v>
      </c>
      <c r="P50" s="53">
        <v>0.5</v>
      </c>
      <c r="Q50" s="75">
        <f t="shared" si="0"/>
        <v>0.5</v>
      </c>
      <c r="R50" s="53">
        <v>18.600000000000001</v>
      </c>
      <c r="S50" s="53">
        <v>139</v>
      </c>
      <c r="T50" s="16">
        <f t="shared" si="1"/>
        <v>22</v>
      </c>
      <c r="U50" s="53">
        <v>148</v>
      </c>
      <c r="V50" s="129">
        <f t="shared" si="2"/>
        <v>3256</v>
      </c>
      <c r="W50" s="53">
        <v>12</v>
      </c>
      <c r="X50" s="127" t="s">
        <v>46</v>
      </c>
      <c r="Y50" s="53" t="s">
        <v>78</v>
      </c>
      <c r="Z50" s="53" t="s">
        <v>102</v>
      </c>
      <c r="AA50" s="53" t="s">
        <v>90</v>
      </c>
      <c r="AB50" s="127" t="s">
        <v>237</v>
      </c>
      <c r="AC50" s="34"/>
    </row>
    <row r="51" spans="1:29" x14ac:dyDescent="0.15">
      <c r="A51" s="127" t="s">
        <v>61</v>
      </c>
      <c r="B51" s="127" t="s">
        <v>233</v>
      </c>
      <c r="C51" s="127">
        <v>2019</v>
      </c>
      <c r="D51" s="128" t="s">
        <v>284</v>
      </c>
      <c r="E51" s="127" t="s">
        <v>133</v>
      </c>
      <c r="F51" s="127" t="s">
        <v>299</v>
      </c>
      <c r="G51" s="127" t="s">
        <v>42</v>
      </c>
      <c r="H51" s="53" t="s">
        <v>160</v>
      </c>
      <c r="I51" s="53" t="s">
        <v>159</v>
      </c>
      <c r="J51" s="127" t="s">
        <v>38</v>
      </c>
      <c r="K51" s="53" t="s">
        <v>161</v>
      </c>
      <c r="L51" s="53">
        <v>2</v>
      </c>
      <c r="N51" s="53">
        <v>1</v>
      </c>
      <c r="O51" s="53">
        <v>0.7</v>
      </c>
      <c r="P51" s="53">
        <v>0.75</v>
      </c>
      <c r="Q51" s="75">
        <f t="shared" si="0"/>
        <v>0.72499999999999998</v>
      </c>
      <c r="R51" s="53">
        <v>16.8</v>
      </c>
      <c r="S51" s="53">
        <v>144</v>
      </c>
      <c r="T51" s="16">
        <f t="shared" si="1"/>
        <v>22</v>
      </c>
      <c r="U51" s="53">
        <v>148</v>
      </c>
      <c r="V51" s="129">
        <f t="shared" si="2"/>
        <v>3256</v>
      </c>
      <c r="W51" s="53">
        <v>12</v>
      </c>
      <c r="X51" s="127" t="s">
        <v>46</v>
      </c>
      <c r="Y51" s="53" t="s">
        <v>78</v>
      </c>
      <c r="Z51" s="53" t="s">
        <v>102</v>
      </c>
      <c r="AA51" s="53" t="s">
        <v>90</v>
      </c>
      <c r="AB51" s="127" t="s">
        <v>237</v>
      </c>
      <c r="AC51" s="34"/>
    </row>
    <row r="52" spans="1:29" x14ac:dyDescent="0.15">
      <c r="A52" s="127" t="s">
        <v>61</v>
      </c>
      <c r="B52" s="127" t="s">
        <v>233</v>
      </c>
      <c r="C52" s="127">
        <v>2019</v>
      </c>
      <c r="D52" s="128" t="s">
        <v>284</v>
      </c>
      <c r="E52" s="127" t="s">
        <v>133</v>
      </c>
      <c r="F52" s="127" t="s">
        <v>299</v>
      </c>
      <c r="G52" s="127" t="s">
        <v>42</v>
      </c>
      <c r="H52" s="53" t="s">
        <v>160</v>
      </c>
      <c r="I52" s="53" t="s">
        <v>159</v>
      </c>
      <c r="J52" s="127" t="s">
        <v>38</v>
      </c>
      <c r="K52" s="53" t="s">
        <v>161</v>
      </c>
      <c r="L52" s="53">
        <v>3</v>
      </c>
      <c r="N52" s="53">
        <v>1</v>
      </c>
      <c r="O52" s="53">
        <v>0.6</v>
      </c>
      <c r="P52" s="53">
        <v>0.7</v>
      </c>
      <c r="Q52" s="75">
        <f t="shared" si="0"/>
        <v>0.64999999999999991</v>
      </c>
      <c r="R52" s="53">
        <v>19.3</v>
      </c>
      <c r="S52" s="53">
        <v>140</v>
      </c>
      <c r="T52" s="16">
        <f t="shared" si="1"/>
        <v>22</v>
      </c>
      <c r="U52" s="53">
        <v>148</v>
      </c>
      <c r="V52" s="129">
        <f t="shared" si="2"/>
        <v>3256</v>
      </c>
      <c r="W52" s="53">
        <v>12</v>
      </c>
      <c r="X52" s="127" t="s">
        <v>46</v>
      </c>
      <c r="Y52" s="53" t="s">
        <v>78</v>
      </c>
      <c r="Z52" s="53" t="s">
        <v>102</v>
      </c>
      <c r="AA52" s="53" t="s">
        <v>90</v>
      </c>
      <c r="AB52" s="127" t="s">
        <v>237</v>
      </c>
      <c r="AC52" s="34"/>
    </row>
    <row r="53" spans="1:29" x14ac:dyDescent="0.15">
      <c r="A53" s="127" t="s">
        <v>61</v>
      </c>
      <c r="B53" s="127" t="s">
        <v>233</v>
      </c>
      <c r="C53" s="127">
        <v>2019</v>
      </c>
      <c r="D53" s="128" t="s">
        <v>284</v>
      </c>
      <c r="E53" s="127" t="s">
        <v>300</v>
      </c>
      <c r="F53" s="127" t="s">
        <v>301</v>
      </c>
      <c r="G53" s="127" t="s">
        <v>42</v>
      </c>
      <c r="H53" s="53" t="s">
        <v>164</v>
      </c>
      <c r="I53" s="53" t="s">
        <v>159</v>
      </c>
      <c r="J53" s="127" t="s">
        <v>38</v>
      </c>
      <c r="K53" s="53" t="s">
        <v>161</v>
      </c>
      <c r="L53" s="53">
        <v>1</v>
      </c>
      <c r="N53" s="53">
        <v>1</v>
      </c>
      <c r="O53" s="53">
        <v>0.5</v>
      </c>
      <c r="P53" s="53">
        <v>0.5</v>
      </c>
      <c r="Q53" s="75">
        <f t="shared" si="0"/>
        <v>0.5</v>
      </c>
      <c r="R53" s="53">
        <v>18</v>
      </c>
      <c r="S53" s="53">
        <v>98</v>
      </c>
      <c r="T53" s="16">
        <f t="shared" si="1"/>
        <v>36</v>
      </c>
      <c r="U53" s="53">
        <v>79</v>
      </c>
      <c r="V53" s="129">
        <f t="shared" si="2"/>
        <v>2844</v>
      </c>
      <c r="W53" s="53">
        <v>12</v>
      </c>
      <c r="X53" s="127" t="s">
        <v>46</v>
      </c>
      <c r="Y53" s="53" t="s">
        <v>78</v>
      </c>
      <c r="Z53" s="53" t="s">
        <v>102</v>
      </c>
      <c r="AA53" s="53" t="s">
        <v>90</v>
      </c>
      <c r="AB53" s="127" t="s">
        <v>237</v>
      </c>
      <c r="AC53" s="34"/>
    </row>
    <row r="54" spans="1:29" x14ac:dyDescent="0.15">
      <c r="A54" s="127" t="s">
        <v>61</v>
      </c>
      <c r="B54" s="127" t="s">
        <v>233</v>
      </c>
      <c r="C54" s="127">
        <v>2019</v>
      </c>
      <c r="D54" s="128" t="s">
        <v>284</v>
      </c>
      <c r="E54" s="127" t="s">
        <v>300</v>
      </c>
      <c r="F54" s="127" t="s">
        <v>301</v>
      </c>
      <c r="G54" s="127" t="s">
        <v>42</v>
      </c>
      <c r="H54" s="53" t="s">
        <v>164</v>
      </c>
      <c r="I54" s="53" t="s">
        <v>159</v>
      </c>
      <c r="J54" s="127" t="s">
        <v>38</v>
      </c>
      <c r="K54" s="53" t="s">
        <v>161</v>
      </c>
      <c r="L54" s="53">
        <v>2</v>
      </c>
      <c r="N54" s="53">
        <v>1</v>
      </c>
      <c r="O54" s="53">
        <v>0.5</v>
      </c>
      <c r="P54" s="53">
        <v>0.5</v>
      </c>
      <c r="Q54" s="75">
        <f t="shared" si="0"/>
        <v>0.5</v>
      </c>
      <c r="R54" s="53">
        <v>17.399999999999999</v>
      </c>
      <c r="S54" s="53">
        <v>99</v>
      </c>
      <c r="T54" s="16">
        <f t="shared" si="1"/>
        <v>33</v>
      </c>
      <c r="U54" s="53">
        <v>79</v>
      </c>
      <c r="V54" s="129">
        <f t="shared" si="2"/>
        <v>2607</v>
      </c>
      <c r="W54" s="53">
        <v>12</v>
      </c>
      <c r="X54" s="127" t="s">
        <v>46</v>
      </c>
      <c r="Y54" s="53" t="s">
        <v>78</v>
      </c>
      <c r="Z54" s="53" t="s">
        <v>102</v>
      </c>
      <c r="AA54" s="53" t="s">
        <v>90</v>
      </c>
      <c r="AB54" s="127" t="s">
        <v>237</v>
      </c>
      <c r="AC54" s="34"/>
    </row>
    <row r="55" spans="1:29" x14ac:dyDescent="0.15">
      <c r="A55" s="127" t="s">
        <v>61</v>
      </c>
      <c r="B55" s="127" t="s">
        <v>233</v>
      </c>
      <c r="C55" s="127">
        <v>2019</v>
      </c>
      <c r="D55" s="128" t="s">
        <v>284</v>
      </c>
      <c r="E55" s="127" t="s">
        <v>300</v>
      </c>
      <c r="F55" s="127" t="s">
        <v>301</v>
      </c>
      <c r="G55" s="127" t="s">
        <v>42</v>
      </c>
      <c r="H55" s="53" t="s">
        <v>164</v>
      </c>
      <c r="I55" s="53" t="s">
        <v>159</v>
      </c>
      <c r="J55" s="127" t="s">
        <v>38</v>
      </c>
      <c r="K55" s="53" t="s">
        <v>161</v>
      </c>
      <c r="L55" s="53">
        <v>3</v>
      </c>
      <c r="N55" s="53">
        <v>1</v>
      </c>
      <c r="O55" s="53">
        <v>0.5</v>
      </c>
      <c r="P55" s="53">
        <v>0.65</v>
      </c>
      <c r="Q55" s="75">
        <f t="shared" si="0"/>
        <v>0.57499999999999996</v>
      </c>
      <c r="R55" s="53">
        <v>13.4</v>
      </c>
      <c r="S55" s="53">
        <v>95</v>
      </c>
      <c r="T55" s="16">
        <f t="shared" si="1"/>
        <v>36</v>
      </c>
      <c r="U55" s="53">
        <v>79</v>
      </c>
      <c r="V55" s="129">
        <f t="shared" si="2"/>
        <v>2844</v>
      </c>
      <c r="W55" s="53">
        <v>12</v>
      </c>
      <c r="X55" s="127" t="s">
        <v>46</v>
      </c>
      <c r="Y55" s="53" t="s">
        <v>78</v>
      </c>
      <c r="Z55" s="53" t="s">
        <v>102</v>
      </c>
      <c r="AA55" s="53" t="s">
        <v>90</v>
      </c>
      <c r="AB55" s="127" t="s">
        <v>237</v>
      </c>
      <c r="AC55" s="34"/>
    </row>
    <row r="56" spans="1:29" x14ac:dyDescent="0.15">
      <c r="A56" s="127" t="s">
        <v>61</v>
      </c>
      <c r="B56" s="127" t="s">
        <v>233</v>
      </c>
      <c r="C56" s="127">
        <v>2019</v>
      </c>
      <c r="D56" s="128" t="s">
        <v>284</v>
      </c>
      <c r="E56" s="127" t="s">
        <v>300</v>
      </c>
      <c r="F56" s="127" t="s">
        <v>301</v>
      </c>
      <c r="G56" s="127" t="s">
        <v>42</v>
      </c>
      <c r="H56" s="53" t="s">
        <v>164</v>
      </c>
      <c r="I56" s="53" t="s">
        <v>198</v>
      </c>
      <c r="J56" s="127" t="s">
        <v>38</v>
      </c>
      <c r="K56" s="53" t="s">
        <v>161</v>
      </c>
      <c r="L56" s="53">
        <v>1</v>
      </c>
      <c r="N56" s="53">
        <v>5</v>
      </c>
      <c r="O56" s="53">
        <v>0.5</v>
      </c>
      <c r="P56" s="53">
        <v>0.5</v>
      </c>
      <c r="Q56" s="75">
        <f t="shared" si="0"/>
        <v>0.5</v>
      </c>
      <c r="R56" s="53">
        <v>19.3</v>
      </c>
      <c r="S56" s="53">
        <v>76</v>
      </c>
      <c r="T56" s="16">
        <f t="shared" si="1"/>
        <v>39</v>
      </c>
      <c r="U56" s="53">
        <v>398</v>
      </c>
      <c r="V56" s="129">
        <f t="shared" si="2"/>
        <v>3104.3999999999996</v>
      </c>
      <c r="W56" s="53">
        <v>12</v>
      </c>
      <c r="X56" s="127" t="s">
        <v>46</v>
      </c>
      <c r="Y56" s="53" t="s">
        <v>78</v>
      </c>
      <c r="Z56" s="53" t="s">
        <v>102</v>
      </c>
      <c r="AA56" s="53" t="s">
        <v>90</v>
      </c>
      <c r="AB56" s="127" t="s">
        <v>237</v>
      </c>
      <c r="AC56" s="34"/>
    </row>
    <row r="57" spans="1:29" x14ac:dyDescent="0.15">
      <c r="A57" s="127" t="s">
        <v>61</v>
      </c>
      <c r="B57" s="127" t="s">
        <v>233</v>
      </c>
      <c r="C57" s="127">
        <v>2019</v>
      </c>
      <c r="D57" s="128" t="s">
        <v>284</v>
      </c>
      <c r="E57" s="127" t="s">
        <v>300</v>
      </c>
      <c r="F57" s="127" t="s">
        <v>301</v>
      </c>
      <c r="G57" s="127" t="s">
        <v>42</v>
      </c>
      <c r="H57" s="53" t="s">
        <v>164</v>
      </c>
      <c r="I57" s="53" t="s">
        <v>198</v>
      </c>
      <c r="J57" s="127" t="s">
        <v>38</v>
      </c>
      <c r="K57" s="53" t="s">
        <v>161</v>
      </c>
      <c r="L57" s="53">
        <v>2</v>
      </c>
      <c r="N57" s="53">
        <v>5</v>
      </c>
      <c r="O57" s="53">
        <v>0.5</v>
      </c>
      <c r="P57" s="53">
        <v>0.5</v>
      </c>
      <c r="Q57" s="75">
        <f t="shared" si="0"/>
        <v>0.5</v>
      </c>
      <c r="R57" s="53">
        <v>17.3</v>
      </c>
      <c r="S57" s="53">
        <v>79</v>
      </c>
      <c r="T57" s="16">
        <f t="shared" si="1"/>
        <v>39</v>
      </c>
      <c r="U57" s="53">
        <v>398</v>
      </c>
      <c r="V57" s="129">
        <f t="shared" si="2"/>
        <v>3104.3999999999996</v>
      </c>
      <c r="W57" s="53">
        <v>12</v>
      </c>
      <c r="X57" s="127" t="s">
        <v>46</v>
      </c>
      <c r="Y57" s="53" t="s">
        <v>78</v>
      </c>
      <c r="Z57" s="53" t="s">
        <v>102</v>
      </c>
      <c r="AA57" s="53" t="s">
        <v>90</v>
      </c>
      <c r="AB57" s="127" t="s">
        <v>237</v>
      </c>
      <c r="AC57" s="34"/>
    </row>
    <row r="58" spans="1:29" x14ac:dyDescent="0.15">
      <c r="A58" s="127" t="s">
        <v>61</v>
      </c>
      <c r="B58" s="127" t="s">
        <v>233</v>
      </c>
      <c r="C58" s="127">
        <v>2019</v>
      </c>
      <c r="D58" s="128" t="s">
        <v>284</v>
      </c>
      <c r="E58" s="127" t="s">
        <v>300</v>
      </c>
      <c r="F58" s="127" t="s">
        <v>301</v>
      </c>
      <c r="G58" s="127" t="s">
        <v>42</v>
      </c>
      <c r="H58" s="53" t="s">
        <v>164</v>
      </c>
      <c r="I58" s="53" t="s">
        <v>198</v>
      </c>
      <c r="J58" s="127" t="s">
        <v>38</v>
      </c>
      <c r="K58" s="53" t="s">
        <v>161</v>
      </c>
      <c r="L58" s="53">
        <v>3</v>
      </c>
      <c r="N58" s="53">
        <v>5</v>
      </c>
      <c r="O58" s="53">
        <v>0.75</v>
      </c>
      <c r="P58" s="53">
        <v>0.75</v>
      </c>
      <c r="Q58" s="75">
        <f t="shared" si="0"/>
        <v>0.75</v>
      </c>
      <c r="R58" s="53">
        <v>18.399999999999999</v>
      </c>
      <c r="S58" s="53">
        <v>75</v>
      </c>
      <c r="T58" s="16">
        <f t="shared" si="1"/>
        <v>42</v>
      </c>
      <c r="U58" s="53">
        <v>398</v>
      </c>
      <c r="V58" s="129">
        <f t="shared" si="2"/>
        <v>3343.2</v>
      </c>
      <c r="W58" s="53">
        <v>12</v>
      </c>
      <c r="X58" s="127" t="s">
        <v>46</v>
      </c>
      <c r="Y58" s="53" t="s">
        <v>78</v>
      </c>
      <c r="Z58" s="53" t="s">
        <v>102</v>
      </c>
      <c r="AA58" s="53" t="s">
        <v>90</v>
      </c>
      <c r="AB58" s="127" t="s">
        <v>237</v>
      </c>
      <c r="AC58" s="34"/>
    </row>
    <row r="59" spans="1:29" x14ac:dyDescent="0.15">
      <c r="A59" s="127" t="s">
        <v>61</v>
      </c>
      <c r="B59" s="127" t="s">
        <v>233</v>
      </c>
      <c r="C59" s="127">
        <v>2019</v>
      </c>
      <c r="D59" s="128" t="s">
        <v>284</v>
      </c>
      <c r="E59" s="127" t="s">
        <v>300</v>
      </c>
      <c r="F59" s="127" t="s">
        <v>301</v>
      </c>
      <c r="G59" s="127" t="s">
        <v>42</v>
      </c>
      <c r="H59" s="53" t="s">
        <v>160</v>
      </c>
      <c r="I59" s="53" t="s">
        <v>159</v>
      </c>
      <c r="J59" s="127" t="s">
        <v>38</v>
      </c>
      <c r="K59" s="53" t="s">
        <v>161</v>
      </c>
      <c r="L59" s="53">
        <v>1</v>
      </c>
      <c r="N59" s="53">
        <v>1</v>
      </c>
      <c r="O59" s="53">
        <v>0.5</v>
      </c>
      <c r="P59" s="53">
        <v>0.5</v>
      </c>
      <c r="Q59" s="75">
        <f t="shared" si="0"/>
        <v>0.5</v>
      </c>
      <c r="R59" s="53">
        <v>17.2</v>
      </c>
      <c r="S59" s="53">
        <v>106</v>
      </c>
      <c r="T59" s="16">
        <f t="shared" si="1"/>
        <v>33</v>
      </c>
      <c r="U59" s="53">
        <v>138</v>
      </c>
      <c r="V59" s="129">
        <f t="shared" si="2"/>
        <v>4554</v>
      </c>
      <c r="W59" s="53">
        <v>12</v>
      </c>
      <c r="X59" s="127" t="s">
        <v>46</v>
      </c>
      <c r="Y59" s="53" t="s">
        <v>78</v>
      </c>
      <c r="Z59" s="53" t="s">
        <v>102</v>
      </c>
      <c r="AA59" s="53" t="s">
        <v>90</v>
      </c>
      <c r="AB59" s="127" t="s">
        <v>237</v>
      </c>
      <c r="AC59" s="34"/>
    </row>
    <row r="60" spans="1:29" x14ac:dyDescent="0.15">
      <c r="A60" s="127" t="s">
        <v>61</v>
      </c>
      <c r="B60" s="127" t="s">
        <v>233</v>
      </c>
      <c r="C60" s="127">
        <v>2019</v>
      </c>
      <c r="D60" s="128" t="s">
        <v>284</v>
      </c>
      <c r="E60" s="127" t="s">
        <v>300</v>
      </c>
      <c r="F60" s="127" t="s">
        <v>301</v>
      </c>
      <c r="G60" s="127" t="s">
        <v>42</v>
      </c>
      <c r="H60" s="53" t="s">
        <v>160</v>
      </c>
      <c r="I60" s="53" t="s">
        <v>159</v>
      </c>
      <c r="J60" s="127" t="s">
        <v>38</v>
      </c>
      <c r="K60" s="53" t="s">
        <v>161</v>
      </c>
      <c r="L60" s="53">
        <v>2</v>
      </c>
      <c r="N60" s="53">
        <v>1</v>
      </c>
      <c r="O60" s="53">
        <v>0.5</v>
      </c>
      <c r="P60" s="53">
        <v>0.5</v>
      </c>
      <c r="Q60" s="75">
        <f t="shared" si="0"/>
        <v>0.5</v>
      </c>
      <c r="R60" s="53">
        <v>18.100000000000001</v>
      </c>
      <c r="S60" s="53">
        <v>105</v>
      </c>
      <c r="T60" s="16">
        <f t="shared" si="1"/>
        <v>33</v>
      </c>
      <c r="U60" s="53">
        <v>138</v>
      </c>
      <c r="V60" s="129">
        <f t="shared" si="2"/>
        <v>4554</v>
      </c>
      <c r="W60" s="53">
        <v>12</v>
      </c>
      <c r="X60" s="127" t="s">
        <v>46</v>
      </c>
      <c r="Y60" s="53" t="s">
        <v>78</v>
      </c>
      <c r="Z60" s="53" t="s">
        <v>102</v>
      </c>
      <c r="AA60" s="53" t="s">
        <v>90</v>
      </c>
      <c r="AB60" s="127" t="s">
        <v>237</v>
      </c>
      <c r="AC60" s="34"/>
    </row>
    <row r="61" spans="1:29" x14ac:dyDescent="0.15">
      <c r="A61" s="127" t="s">
        <v>61</v>
      </c>
      <c r="B61" s="127" t="s">
        <v>233</v>
      </c>
      <c r="C61" s="127">
        <v>2019</v>
      </c>
      <c r="D61" s="128" t="s">
        <v>284</v>
      </c>
      <c r="E61" s="127" t="s">
        <v>300</v>
      </c>
      <c r="F61" s="127" t="s">
        <v>301</v>
      </c>
      <c r="G61" s="127" t="s">
        <v>42</v>
      </c>
      <c r="H61" s="53" t="s">
        <v>160</v>
      </c>
      <c r="I61" s="53" t="s">
        <v>159</v>
      </c>
      <c r="J61" s="127" t="s">
        <v>38</v>
      </c>
      <c r="K61" s="53" t="s">
        <v>161</v>
      </c>
      <c r="L61" s="53">
        <v>3</v>
      </c>
      <c r="N61" s="53">
        <v>1</v>
      </c>
      <c r="O61" s="53">
        <v>0.5</v>
      </c>
      <c r="P61" s="53">
        <v>0.5</v>
      </c>
      <c r="Q61" s="75">
        <f t="shared" si="0"/>
        <v>0.5</v>
      </c>
      <c r="R61" s="53">
        <v>17</v>
      </c>
      <c r="S61" s="53">
        <v>107</v>
      </c>
      <c r="T61" s="16">
        <f t="shared" si="1"/>
        <v>33</v>
      </c>
      <c r="U61" s="53">
        <v>138</v>
      </c>
      <c r="V61" s="129">
        <f t="shared" si="2"/>
        <v>4554</v>
      </c>
      <c r="W61" s="53">
        <v>12</v>
      </c>
      <c r="X61" s="127" t="s">
        <v>46</v>
      </c>
      <c r="Y61" s="53" t="s">
        <v>78</v>
      </c>
      <c r="Z61" s="53" t="s">
        <v>102</v>
      </c>
      <c r="AA61" s="53" t="s">
        <v>90</v>
      </c>
      <c r="AB61" s="127" t="s">
        <v>237</v>
      </c>
      <c r="AC61" s="34"/>
    </row>
    <row r="62" spans="1:29" x14ac:dyDescent="0.15">
      <c r="A62" s="127" t="s">
        <v>61</v>
      </c>
      <c r="B62" s="127" t="s">
        <v>233</v>
      </c>
      <c r="C62" s="127">
        <v>2019</v>
      </c>
      <c r="D62" s="128" t="s">
        <v>284</v>
      </c>
      <c r="E62" s="127" t="s">
        <v>302</v>
      </c>
      <c r="F62" s="127" t="s">
        <v>301</v>
      </c>
      <c r="G62" s="127" t="s">
        <v>42</v>
      </c>
      <c r="H62" s="53" t="s">
        <v>164</v>
      </c>
      <c r="I62" s="53" t="s">
        <v>159</v>
      </c>
      <c r="J62" s="127" t="s">
        <v>38</v>
      </c>
      <c r="K62" s="53" t="s">
        <v>161</v>
      </c>
      <c r="L62" s="53">
        <v>1</v>
      </c>
      <c r="N62" s="53">
        <v>1</v>
      </c>
      <c r="O62" s="53">
        <v>0.5</v>
      </c>
      <c r="P62" s="53">
        <v>0.5</v>
      </c>
      <c r="Q62" s="75">
        <f t="shared" si="0"/>
        <v>0.5</v>
      </c>
      <c r="R62" s="53">
        <v>15.6</v>
      </c>
      <c r="S62" s="53">
        <v>128</v>
      </c>
      <c r="T62" s="16">
        <f t="shared" si="1"/>
        <v>27</v>
      </c>
      <c r="U62" s="53">
        <v>138</v>
      </c>
      <c r="V62" s="129">
        <f t="shared" si="2"/>
        <v>3726</v>
      </c>
      <c r="W62" s="53">
        <v>16</v>
      </c>
      <c r="X62" s="127" t="s">
        <v>46</v>
      </c>
      <c r="Y62" s="53" t="s">
        <v>102</v>
      </c>
      <c r="Z62" s="53" t="s">
        <v>90</v>
      </c>
      <c r="AA62" s="53" t="s">
        <v>78</v>
      </c>
      <c r="AB62" s="127" t="s">
        <v>237</v>
      </c>
      <c r="AC62" s="34"/>
    </row>
    <row r="63" spans="1:29" x14ac:dyDescent="0.15">
      <c r="A63" s="127" t="s">
        <v>61</v>
      </c>
      <c r="B63" s="127" t="s">
        <v>233</v>
      </c>
      <c r="C63" s="127">
        <v>2019</v>
      </c>
      <c r="D63" s="128" t="s">
        <v>284</v>
      </c>
      <c r="E63" s="127" t="s">
        <v>302</v>
      </c>
      <c r="F63" s="127" t="s">
        <v>301</v>
      </c>
      <c r="G63" s="127" t="s">
        <v>42</v>
      </c>
      <c r="H63" s="53" t="s">
        <v>164</v>
      </c>
      <c r="I63" s="53" t="s">
        <v>159</v>
      </c>
      <c r="J63" s="127" t="s">
        <v>38</v>
      </c>
      <c r="K63" s="53" t="s">
        <v>161</v>
      </c>
      <c r="L63" s="53">
        <v>2</v>
      </c>
      <c r="N63" s="53">
        <v>1</v>
      </c>
      <c r="O63" s="53">
        <v>0.5</v>
      </c>
      <c r="P63" s="53">
        <v>0.5</v>
      </c>
      <c r="Q63" s="75">
        <f t="shared" si="0"/>
        <v>0.5</v>
      </c>
      <c r="R63" s="53">
        <v>19.7</v>
      </c>
      <c r="S63" s="53">
        <v>136</v>
      </c>
      <c r="T63" s="16">
        <f t="shared" si="1"/>
        <v>25</v>
      </c>
      <c r="U63" s="53">
        <v>138</v>
      </c>
      <c r="V63" s="129">
        <f t="shared" si="2"/>
        <v>3450</v>
      </c>
      <c r="W63" s="53">
        <v>16</v>
      </c>
      <c r="X63" s="127" t="s">
        <v>46</v>
      </c>
      <c r="Y63" s="53" t="s">
        <v>102</v>
      </c>
      <c r="Z63" s="53" t="s">
        <v>90</v>
      </c>
      <c r="AA63" s="53" t="s">
        <v>78</v>
      </c>
      <c r="AB63" s="127" t="s">
        <v>237</v>
      </c>
      <c r="AC63" s="34"/>
    </row>
    <row r="64" spans="1:29" x14ac:dyDescent="0.15">
      <c r="A64" s="127" t="s">
        <v>61</v>
      </c>
      <c r="B64" s="127" t="s">
        <v>233</v>
      </c>
      <c r="C64" s="127">
        <v>2019</v>
      </c>
      <c r="D64" s="128" t="s">
        <v>284</v>
      </c>
      <c r="E64" s="127" t="s">
        <v>302</v>
      </c>
      <c r="F64" s="127" t="s">
        <v>301</v>
      </c>
      <c r="G64" s="127" t="s">
        <v>42</v>
      </c>
      <c r="H64" s="53" t="s">
        <v>164</v>
      </c>
      <c r="I64" s="53" t="s">
        <v>159</v>
      </c>
      <c r="J64" s="127" t="s">
        <v>38</v>
      </c>
      <c r="K64" s="53" t="s">
        <v>161</v>
      </c>
      <c r="L64" s="53">
        <v>3</v>
      </c>
      <c r="N64" s="53">
        <v>1</v>
      </c>
      <c r="O64" s="53">
        <v>0.5</v>
      </c>
      <c r="P64" s="53">
        <v>0.5</v>
      </c>
      <c r="Q64" s="75">
        <f t="shared" si="0"/>
        <v>0.5</v>
      </c>
      <c r="R64" s="53">
        <v>20</v>
      </c>
      <c r="S64" s="53">
        <v>143</v>
      </c>
      <c r="T64" s="16">
        <f t="shared" si="1"/>
        <v>22</v>
      </c>
      <c r="U64" s="53">
        <v>138</v>
      </c>
      <c r="V64" s="129">
        <f t="shared" si="2"/>
        <v>3036</v>
      </c>
      <c r="W64" s="53">
        <v>16</v>
      </c>
      <c r="X64" s="127" t="s">
        <v>46</v>
      </c>
      <c r="Y64" s="53" t="s">
        <v>102</v>
      </c>
      <c r="Z64" s="53" t="s">
        <v>90</v>
      </c>
      <c r="AA64" s="53" t="s">
        <v>78</v>
      </c>
      <c r="AB64" s="127" t="s">
        <v>237</v>
      </c>
      <c r="AC64" s="34"/>
    </row>
    <row r="65" spans="1:29" x14ac:dyDescent="0.15">
      <c r="A65" s="127" t="s">
        <v>61</v>
      </c>
      <c r="B65" s="127" t="s">
        <v>233</v>
      </c>
      <c r="C65" s="127">
        <v>2019</v>
      </c>
      <c r="D65" s="128" t="s">
        <v>284</v>
      </c>
      <c r="E65" s="127" t="s">
        <v>302</v>
      </c>
      <c r="F65" s="127" t="s">
        <v>301</v>
      </c>
      <c r="G65" s="127" t="s">
        <v>42</v>
      </c>
      <c r="H65" s="53" t="s">
        <v>160</v>
      </c>
      <c r="I65" s="53" t="s">
        <v>159</v>
      </c>
      <c r="J65" s="127" t="s">
        <v>38</v>
      </c>
      <c r="K65" s="53" t="s">
        <v>161</v>
      </c>
      <c r="L65" s="53">
        <v>1</v>
      </c>
      <c r="N65" s="53">
        <v>1</v>
      </c>
      <c r="O65" s="53">
        <v>0.5</v>
      </c>
      <c r="P65" s="53">
        <v>0.5</v>
      </c>
      <c r="Q65" s="75">
        <f t="shared" si="0"/>
        <v>0.5</v>
      </c>
      <c r="R65" s="53">
        <v>18.5</v>
      </c>
      <c r="S65" s="53">
        <v>118</v>
      </c>
      <c r="T65" s="16">
        <f t="shared" si="1"/>
        <v>30</v>
      </c>
      <c r="U65" s="53">
        <v>138</v>
      </c>
      <c r="V65" s="129">
        <f t="shared" si="2"/>
        <v>4140</v>
      </c>
      <c r="W65" s="53">
        <v>16</v>
      </c>
      <c r="X65" s="127" t="s">
        <v>46</v>
      </c>
      <c r="Y65" s="53" t="s">
        <v>102</v>
      </c>
      <c r="Z65" s="53" t="s">
        <v>90</v>
      </c>
      <c r="AA65" s="53" t="s">
        <v>78</v>
      </c>
      <c r="AB65" s="127" t="s">
        <v>237</v>
      </c>
    </row>
    <row r="66" spans="1:29" x14ac:dyDescent="0.15">
      <c r="A66" s="127" t="s">
        <v>61</v>
      </c>
      <c r="B66" s="127" t="s">
        <v>233</v>
      </c>
      <c r="C66" s="127">
        <v>2019</v>
      </c>
      <c r="D66" s="128" t="s">
        <v>284</v>
      </c>
      <c r="E66" s="127" t="s">
        <v>302</v>
      </c>
      <c r="F66" s="127" t="s">
        <v>301</v>
      </c>
      <c r="G66" s="127" t="s">
        <v>42</v>
      </c>
      <c r="H66" s="53" t="s">
        <v>160</v>
      </c>
      <c r="I66" s="53" t="s">
        <v>159</v>
      </c>
      <c r="J66" s="127" t="s">
        <v>38</v>
      </c>
      <c r="K66" s="53" t="s">
        <v>161</v>
      </c>
      <c r="L66" s="53">
        <v>2</v>
      </c>
      <c r="N66" s="53">
        <v>1</v>
      </c>
      <c r="O66" s="53">
        <v>0.5</v>
      </c>
      <c r="P66" s="53">
        <v>0.5</v>
      </c>
      <c r="Q66" s="75">
        <f t="shared" ref="Q66:Q98" si="3">IF(OR(O66="",P66=""),"",AVERAGE(O66,P66))</f>
        <v>0.5</v>
      </c>
      <c r="R66" s="53">
        <v>19.2</v>
      </c>
      <c r="S66" s="53">
        <v>124</v>
      </c>
      <c r="T66" s="16">
        <f t="shared" ref="T66:T73" si="4">IF(H66="","",IF(OR(H66="GREEN",H66="GK"),IF(S66&gt;=$AX$2,VLOOKUP(S66,$AX$2:$AY$15,2,1),""),IF(S66&gt;=$AZ$2,VLOOKUP(S66,$AZ$2:$BA$15,2,1),"")))</f>
        <v>27</v>
      </c>
      <c r="U66" s="53">
        <v>138</v>
      </c>
      <c r="V66" s="129">
        <f t="shared" ref="V66:V98" si="5">IF(OR(N66="",U66="",T66=""),"",U66/N66*T66)</f>
        <v>3726</v>
      </c>
      <c r="W66" s="53">
        <v>16</v>
      </c>
      <c r="X66" s="127" t="s">
        <v>46</v>
      </c>
      <c r="Y66" s="53" t="s">
        <v>102</v>
      </c>
      <c r="Z66" s="53" t="s">
        <v>90</v>
      </c>
      <c r="AA66" s="53" t="s">
        <v>78</v>
      </c>
      <c r="AB66" s="127" t="s">
        <v>237</v>
      </c>
    </row>
    <row r="67" spans="1:29" x14ac:dyDescent="0.15">
      <c r="A67" s="127" t="s">
        <v>61</v>
      </c>
      <c r="B67" s="127" t="s">
        <v>233</v>
      </c>
      <c r="C67" s="127">
        <v>2019</v>
      </c>
      <c r="D67" s="128" t="s">
        <v>284</v>
      </c>
      <c r="E67" s="127" t="s">
        <v>302</v>
      </c>
      <c r="F67" s="127" t="s">
        <v>301</v>
      </c>
      <c r="G67" s="127" t="s">
        <v>42</v>
      </c>
      <c r="H67" s="53" t="s">
        <v>160</v>
      </c>
      <c r="I67" s="53" t="s">
        <v>159</v>
      </c>
      <c r="J67" s="127" t="s">
        <v>38</v>
      </c>
      <c r="K67" s="53" t="s">
        <v>161</v>
      </c>
      <c r="L67" s="53">
        <v>3</v>
      </c>
      <c r="N67" s="53">
        <v>1</v>
      </c>
      <c r="O67" s="53">
        <v>0.5</v>
      </c>
      <c r="P67" s="53">
        <v>0.5</v>
      </c>
      <c r="Q67" s="75">
        <f t="shared" si="3"/>
        <v>0.5</v>
      </c>
      <c r="R67" s="53">
        <v>19.399999999999999</v>
      </c>
      <c r="S67" s="53">
        <v>119</v>
      </c>
      <c r="T67" s="16">
        <f t="shared" si="4"/>
        <v>30</v>
      </c>
      <c r="U67" s="53">
        <v>138</v>
      </c>
      <c r="V67" s="129">
        <f t="shared" si="5"/>
        <v>4140</v>
      </c>
      <c r="W67" s="53">
        <v>16</v>
      </c>
      <c r="X67" s="127" t="s">
        <v>46</v>
      </c>
      <c r="Y67" s="53" t="s">
        <v>102</v>
      </c>
      <c r="Z67" s="53" t="s">
        <v>90</v>
      </c>
      <c r="AA67" s="53" t="s">
        <v>78</v>
      </c>
      <c r="AB67" s="127" t="s">
        <v>237</v>
      </c>
    </row>
    <row r="68" spans="1:29" x14ac:dyDescent="0.15">
      <c r="A68" s="127"/>
      <c r="B68" s="127"/>
      <c r="C68" s="127"/>
      <c r="D68" s="128"/>
      <c r="E68" s="127"/>
      <c r="F68" s="127"/>
      <c r="G68" s="127"/>
      <c r="J68" s="127"/>
      <c r="Q68" s="75" t="str">
        <f t="shared" si="3"/>
        <v/>
      </c>
      <c r="T68" s="16" t="str">
        <f t="shared" si="4"/>
        <v/>
      </c>
      <c r="V68" s="129" t="str">
        <f t="shared" si="5"/>
        <v/>
      </c>
      <c r="X68" s="127"/>
      <c r="AB68" s="127"/>
      <c r="AC68" s="34"/>
    </row>
    <row r="69" spans="1:29" x14ac:dyDescent="0.15">
      <c r="A69" s="127"/>
      <c r="B69" s="127"/>
      <c r="C69" s="127"/>
      <c r="D69" s="128"/>
      <c r="E69" s="127"/>
      <c r="F69" s="127"/>
      <c r="G69" s="127"/>
      <c r="J69" s="127"/>
      <c r="Q69" s="75" t="str">
        <f t="shared" si="3"/>
        <v/>
      </c>
      <c r="R69" s="34"/>
      <c r="T69" s="16" t="str">
        <f t="shared" si="4"/>
        <v/>
      </c>
      <c r="V69" s="129" t="str">
        <f t="shared" si="5"/>
        <v/>
      </c>
      <c r="X69" s="127"/>
      <c r="AB69" s="127"/>
      <c r="AC69" s="34"/>
    </row>
    <row r="70" spans="1:29" x14ac:dyDescent="0.15">
      <c r="A70" s="127"/>
      <c r="B70" s="127"/>
      <c r="C70" s="127"/>
      <c r="D70" s="128"/>
      <c r="F70" s="127"/>
      <c r="G70" s="127"/>
      <c r="J70" s="127"/>
      <c r="Q70" s="75" t="str">
        <f t="shared" si="3"/>
        <v/>
      </c>
      <c r="R70" s="34"/>
      <c r="T70" s="16" t="str">
        <f t="shared" si="4"/>
        <v/>
      </c>
      <c r="V70" s="129" t="str">
        <f t="shared" si="5"/>
        <v/>
      </c>
      <c r="X70" s="127"/>
      <c r="AB70" s="127"/>
      <c r="AC70" s="34"/>
    </row>
    <row r="71" spans="1:29" x14ac:dyDescent="0.15">
      <c r="A71" s="127"/>
      <c r="B71" s="127"/>
      <c r="C71" s="127"/>
      <c r="D71" s="128"/>
      <c r="F71" s="127"/>
      <c r="G71" s="127"/>
      <c r="J71" s="127"/>
      <c r="Q71" s="75" t="str">
        <f t="shared" si="3"/>
        <v/>
      </c>
      <c r="T71" s="16" t="str">
        <f t="shared" si="4"/>
        <v/>
      </c>
      <c r="V71" s="129" t="str">
        <f t="shared" si="5"/>
        <v/>
      </c>
      <c r="X71" s="127"/>
      <c r="AB71" s="127"/>
      <c r="AC71" s="34"/>
    </row>
    <row r="72" spans="1:29" x14ac:dyDescent="0.15">
      <c r="A72" s="127"/>
      <c r="B72" s="127"/>
      <c r="C72" s="127"/>
      <c r="D72" s="128"/>
      <c r="F72" s="127"/>
      <c r="G72" s="127"/>
      <c r="J72" s="127"/>
      <c r="Q72" s="75" t="str">
        <f t="shared" si="3"/>
        <v/>
      </c>
      <c r="T72" s="16" t="str">
        <f t="shared" si="4"/>
        <v/>
      </c>
      <c r="V72" s="129" t="str">
        <f t="shared" si="5"/>
        <v/>
      </c>
      <c r="X72" s="127"/>
      <c r="AB72" s="127"/>
      <c r="AC72" s="34"/>
    </row>
    <row r="73" spans="1:29" x14ac:dyDescent="0.15">
      <c r="A73" s="127"/>
      <c r="B73" s="127"/>
      <c r="C73" s="127"/>
      <c r="D73" s="128"/>
      <c r="G73" s="127"/>
      <c r="J73" s="127"/>
      <c r="Q73" s="75" t="str">
        <f t="shared" si="3"/>
        <v/>
      </c>
      <c r="T73" s="16" t="str">
        <f t="shared" si="4"/>
        <v/>
      </c>
      <c r="V73" s="129" t="str">
        <f t="shared" si="5"/>
        <v/>
      </c>
      <c r="X73" s="127"/>
      <c r="AB73" s="127"/>
      <c r="AC73" s="34"/>
    </row>
    <row r="74" spans="1:29" x14ac:dyDescent="0.15">
      <c r="A74" s="127"/>
      <c r="B74" s="127"/>
      <c r="C74" s="127"/>
      <c r="D74" s="128"/>
      <c r="G74" s="127"/>
      <c r="J74" s="127"/>
      <c r="Q74" s="75"/>
      <c r="V74" s="129"/>
      <c r="X74" s="127"/>
      <c r="AB74" s="127"/>
    </row>
    <row r="75" spans="1:29" x14ac:dyDescent="0.15">
      <c r="A75" s="127"/>
      <c r="B75" s="127"/>
      <c r="C75" s="127"/>
      <c r="D75" s="128"/>
      <c r="G75" s="127"/>
      <c r="J75" s="127"/>
      <c r="Q75" s="75"/>
      <c r="V75" s="129"/>
      <c r="X75" s="127"/>
      <c r="AB75" s="127"/>
    </row>
    <row r="76" spans="1:29" x14ac:dyDescent="0.15">
      <c r="A76" s="127"/>
      <c r="B76" s="127"/>
      <c r="C76" s="127"/>
      <c r="D76" s="128"/>
      <c r="G76" s="127"/>
      <c r="J76" s="127"/>
      <c r="Q76" s="75"/>
      <c r="V76" s="129"/>
      <c r="X76" s="127"/>
      <c r="AB76" s="127"/>
    </row>
    <row r="77" spans="1:29" x14ac:dyDescent="0.15">
      <c r="A77" s="127"/>
      <c r="B77" s="127"/>
      <c r="C77" s="127"/>
      <c r="D77" s="128"/>
      <c r="G77" s="127"/>
      <c r="J77" s="127"/>
      <c r="Q77" s="75" t="str">
        <f t="shared" ref="Q77:Q79" si="6">IF(OR(O77="",P77=""),"",AVERAGE(O77,P77))</f>
        <v/>
      </c>
      <c r="T77" s="16" t="str">
        <f>IF(H77="","",IF(OR(H77="GREEN",H77="GK"),IF(S77&gt;=$AX$2,VLOOKUP(S77,$AX$2:$AY$15,2,1),""),IF(S77&gt;=$AZ$2,VLOOKUP(S77,$AZ$2:$BA$15,2,1),"")))</f>
        <v/>
      </c>
      <c r="V77" s="129" t="str">
        <f t="shared" ref="V77:V79" si="7">IF(OR(N77="",U77="",T77=""),"",U77/N77*T77)</f>
        <v/>
      </c>
      <c r="X77" s="127"/>
      <c r="AB77" s="127"/>
    </row>
    <row r="78" spans="1:29" x14ac:dyDescent="0.15">
      <c r="A78" s="127"/>
      <c r="B78" s="127"/>
      <c r="C78" s="127"/>
      <c r="D78" s="128"/>
      <c r="G78" s="127"/>
      <c r="J78" s="127"/>
      <c r="Q78" s="75" t="str">
        <f t="shared" si="6"/>
        <v/>
      </c>
      <c r="T78" s="16" t="str">
        <f>IF(H78="","",IF(OR(H78="GREEN",H78="GK"),IF(S78&gt;=$AX$2,VLOOKUP(S78,$AX$2:$AY$15,2,1),""),IF(S78&gt;=$AZ$2,VLOOKUP(S78,$AZ$2:$BA$15,2,1),"")))</f>
        <v/>
      </c>
      <c r="V78" s="129" t="str">
        <f t="shared" si="7"/>
        <v/>
      </c>
      <c r="X78" s="127"/>
      <c r="AB78" s="127"/>
    </row>
    <row r="79" spans="1:29" x14ac:dyDescent="0.15">
      <c r="A79" s="127"/>
      <c r="B79" s="127"/>
      <c r="C79" s="127"/>
      <c r="D79" s="128"/>
      <c r="G79" s="127"/>
      <c r="J79" s="127"/>
      <c r="Q79" s="75" t="str">
        <f t="shared" si="6"/>
        <v/>
      </c>
      <c r="T79" s="16" t="str">
        <f>IF(H79="","",IF(OR(H79="GREEN",H79="GK"),IF(S79&gt;=$AX$2,VLOOKUP(S79,$AX$2:$AY$15,2,1),""),IF(S79&gt;=$AZ$2,VLOOKUP(S79,$AZ$2:$BA$15,2,1),"")))</f>
        <v/>
      </c>
      <c r="V79" s="129" t="str">
        <f t="shared" si="7"/>
        <v/>
      </c>
      <c r="X79" s="127"/>
      <c r="AB79" s="127"/>
    </row>
    <row r="80" spans="1:29" x14ac:dyDescent="0.15">
      <c r="A80" s="127"/>
      <c r="B80" s="127"/>
      <c r="C80" s="127"/>
      <c r="D80" s="128"/>
      <c r="G80" s="127"/>
      <c r="J80" s="127"/>
      <c r="Q80" s="75"/>
      <c r="V80" s="129"/>
      <c r="X80" s="127"/>
      <c r="AB80" s="127"/>
    </row>
    <row r="81" spans="1:28" x14ac:dyDescent="0.15">
      <c r="A81" s="127"/>
      <c r="B81" s="127"/>
      <c r="C81" s="127"/>
      <c r="D81" s="128"/>
      <c r="G81" s="127"/>
      <c r="J81" s="127"/>
      <c r="Q81" s="75"/>
      <c r="V81" s="129"/>
      <c r="X81" s="127"/>
      <c r="AB81" s="127"/>
    </row>
    <row r="82" spans="1:28" x14ac:dyDescent="0.15">
      <c r="A82" s="127"/>
      <c r="B82" s="127"/>
      <c r="C82" s="127"/>
      <c r="D82" s="128"/>
      <c r="G82" s="127"/>
      <c r="J82" s="127"/>
      <c r="Q82" s="75"/>
      <c r="V82" s="129"/>
      <c r="X82" s="127"/>
      <c r="AB82" s="127"/>
    </row>
    <row r="83" spans="1:28" x14ac:dyDescent="0.15">
      <c r="A83" s="127"/>
      <c r="B83" s="127"/>
      <c r="C83" s="127"/>
      <c r="D83" s="128"/>
      <c r="G83" s="127"/>
      <c r="J83" s="127"/>
      <c r="Q83" s="75"/>
      <c r="V83" s="129"/>
      <c r="X83" s="127"/>
      <c r="AB83" s="127"/>
    </row>
    <row r="84" spans="1:28" x14ac:dyDescent="0.15">
      <c r="A84" s="127"/>
      <c r="B84" s="127"/>
      <c r="C84" s="127"/>
      <c r="D84" s="128"/>
      <c r="G84" s="127"/>
      <c r="J84" s="127"/>
      <c r="Q84" s="75"/>
      <c r="V84" s="129"/>
      <c r="X84" s="127"/>
      <c r="AB84" s="127"/>
    </row>
    <row r="85" spans="1:28" x14ac:dyDescent="0.15">
      <c r="A85" s="127"/>
      <c r="B85" s="127"/>
      <c r="C85" s="127"/>
      <c r="D85" s="128"/>
      <c r="G85" s="127"/>
      <c r="J85" s="127"/>
      <c r="Q85" s="75"/>
      <c r="V85" s="129"/>
      <c r="X85" s="127"/>
      <c r="AB85" s="127"/>
    </row>
    <row r="86" spans="1:28" x14ac:dyDescent="0.15">
      <c r="A86" s="127"/>
      <c r="B86" s="127"/>
      <c r="C86" s="127"/>
      <c r="D86" s="128"/>
      <c r="G86" s="127"/>
      <c r="J86" s="127"/>
      <c r="Q86" s="75"/>
      <c r="V86" s="129"/>
      <c r="X86" s="127"/>
      <c r="AB86" s="127"/>
    </row>
    <row r="87" spans="1:28" x14ac:dyDescent="0.15">
      <c r="A87" s="127"/>
      <c r="B87" s="127"/>
      <c r="C87" s="127"/>
      <c r="D87" s="128"/>
      <c r="G87" s="127"/>
      <c r="J87" s="127"/>
      <c r="Q87" s="75"/>
      <c r="V87" s="129"/>
      <c r="X87" s="127"/>
      <c r="AB87" s="127"/>
    </row>
    <row r="88" spans="1:28" x14ac:dyDescent="0.15">
      <c r="A88" s="127"/>
      <c r="B88" s="127"/>
      <c r="C88" s="127"/>
      <c r="D88" s="128"/>
      <c r="G88" s="127"/>
      <c r="J88" s="127"/>
      <c r="Q88" s="75"/>
      <c r="V88" s="129"/>
      <c r="X88" s="127"/>
      <c r="AB88" s="127"/>
    </row>
    <row r="89" spans="1:28" x14ac:dyDescent="0.15">
      <c r="A89" s="127"/>
      <c r="B89" s="127"/>
      <c r="C89" s="127"/>
      <c r="D89" s="128"/>
      <c r="G89" s="127"/>
      <c r="J89" s="127"/>
      <c r="Q89" s="75"/>
      <c r="V89" s="129"/>
      <c r="X89" s="127"/>
      <c r="AB89" s="127"/>
    </row>
    <row r="90" spans="1:28" x14ac:dyDescent="0.15">
      <c r="A90" s="127"/>
      <c r="B90" s="127"/>
      <c r="C90" s="127"/>
      <c r="D90" s="128"/>
      <c r="G90" s="127"/>
      <c r="J90" s="127"/>
      <c r="Q90" s="75"/>
      <c r="V90" s="129"/>
      <c r="X90" s="127"/>
      <c r="AB90" s="127"/>
    </row>
    <row r="91" spans="1:28" x14ac:dyDescent="0.15">
      <c r="A91" s="127"/>
      <c r="B91" s="127"/>
      <c r="C91" s="127"/>
      <c r="D91" s="128"/>
      <c r="G91" s="127"/>
      <c r="J91" s="127"/>
      <c r="Q91" s="75"/>
      <c r="V91" s="129"/>
      <c r="X91" s="127"/>
      <c r="AB91" s="127"/>
    </row>
    <row r="92" spans="1:28" x14ac:dyDescent="0.15">
      <c r="A92" s="127"/>
      <c r="B92" s="127"/>
      <c r="C92" s="127"/>
      <c r="D92" s="128"/>
      <c r="G92" s="127"/>
      <c r="J92" s="127"/>
      <c r="Q92" s="75"/>
      <c r="V92" s="129"/>
      <c r="X92" s="127"/>
      <c r="AB92" s="127"/>
    </row>
    <row r="93" spans="1:28" x14ac:dyDescent="0.15">
      <c r="A93" s="127"/>
      <c r="B93" s="127"/>
      <c r="C93" s="127"/>
      <c r="D93" s="128"/>
      <c r="G93" s="127"/>
      <c r="J93" s="127"/>
      <c r="Q93" s="75"/>
      <c r="V93" s="129"/>
      <c r="X93" s="127"/>
      <c r="AB93" s="127"/>
    </row>
    <row r="94" spans="1:28" x14ac:dyDescent="0.15">
      <c r="A94" s="127"/>
      <c r="B94" s="127"/>
      <c r="C94" s="127"/>
      <c r="D94" s="128"/>
      <c r="G94" s="127"/>
      <c r="J94" s="127"/>
      <c r="Q94" s="75"/>
      <c r="V94" s="129"/>
      <c r="X94" s="127"/>
      <c r="AB94" s="127"/>
    </row>
    <row r="95" spans="1:28" x14ac:dyDescent="0.15">
      <c r="D95" s="128"/>
    </row>
    <row r="96" spans="1:28" x14ac:dyDescent="0.15">
      <c r="A96" s="127"/>
      <c r="B96" s="127"/>
      <c r="C96" s="127"/>
      <c r="D96" s="128"/>
      <c r="G96" s="127"/>
      <c r="J96" s="127"/>
      <c r="Q96" s="75"/>
      <c r="V96" s="129"/>
      <c r="X96" s="127"/>
      <c r="AB96" s="127"/>
    </row>
    <row r="97" spans="1:28" x14ac:dyDescent="0.15">
      <c r="A97" s="127"/>
      <c r="B97" s="127"/>
      <c r="C97" s="127"/>
      <c r="G97" s="127"/>
      <c r="J97" s="127"/>
      <c r="Q97" s="75"/>
      <c r="V97" s="129"/>
      <c r="X97" s="127"/>
      <c r="AB97" s="127"/>
    </row>
    <row r="98" spans="1:28" x14ac:dyDescent="0.15">
      <c r="A98" s="127"/>
      <c r="B98" s="127"/>
      <c r="C98" s="127"/>
      <c r="D98" s="128"/>
      <c r="G98" s="127"/>
      <c r="J98" s="127"/>
      <c r="Q98" s="75"/>
      <c r="V98" s="129"/>
      <c r="X98" s="127"/>
      <c r="AB98" s="127"/>
    </row>
    <row r="99" spans="1:28" x14ac:dyDescent="0.15">
      <c r="A99" s="127"/>
      <c r="B99" s="127"/>
      <c r="C99" s="127"/>
      <c r="D99" s="128"/>
      <c r="G99" s="127"/>
      <c r="J99" s="127"/>
      <c r="Q99" s="75"/>
      <c r="V99" s="129"/>
      <c r="X99" s="127"/>
      <c r="AB99" s="127"/>
    </row>
    <row r="100" spans="1:28" x14ac:dyDescent="0.15">
      <c r="A100" s="127"/>
      <c r="B100" s="127"/>
      <c r="C100" s="127"/>
      <c r="D100" s="128"/>
      <c r="G100" s="127"/>
      <c r="J100" s="127"/>
      <c r="Q100" s="75"/>
      <c r="V100" s="129"/>
      <c r="X100" s="127"/>
      <c r="AB100" s="127"/>
    </row>
    <row r="101" spans="1:28" x14ac:dyDescent="0.15">
      <c r="A101" s="127"/>
      <c r="B101" s="127"/>
      <c r="C101" s="127"/>
      <c r="D101" s="128"/>
      <c r="G101" s="127"/>
      <c r="J101" s="127"/>
      <c r="Q101" s="75"/>
      <c r="V101" s="129"/>
      <c r="X101" s="127"/>
      <c r="AB101" s="127"/>
    </row>
    <row r="102" spans="1:28" x14ac:dyDescent="0.15">
      <c r="A102" s="127"/>
      <c r="B102" s="127"/>
      <c r="C102" s="127"/>
      <c r="D102" s="128"/>
      <c r="G102" s="127"/>
      <c r="J102" s="127"/>
      <c r="Q102" s="75"/>
      <c r="V102" s="129"/>
      <c r="X102" s="127"/>
      <c r="AB102" s="127"/>
    </row>
    <row r="103" spans="1:28" x14ac:dyDescent="0.15">
      <c r="A103" s="127"/>
      <c r="B103" s="127"/>
      <c r="C103" s="127"/>
      <c r="D103" s="128"/>
      <c r="G103" s="127"/>
      <c r="J103" s="127"/>
      <c r="Q103" s="75"/>
      <c r="V103" s="129"/>
      <c r="X103" s="127"/>
      <c r="AB103" s="127"/>
    </row>
    <row r="104" spans="1:28" x14ac:dyDescent="0.15">
      <c r="A104" s="127"/>
      <c r="B104" s="127"/>
      <c r="C104" s="127"/>
      <c r="D104" s="128"/>
      <c r="G104" s="127"/>
      <c r="J104" s="127"/>
      <c r="Q104" s="75"/>
      <c r="V104" s="129"/>
      <c r="X104" s="127"/>
      <c r="AB104" s="127"/>
    </row>
    <row r="105" spans="1:28" x14ac:dyDescent="0.15">
      <c r="A105" s="127"/>
      <c r="B105" s="127"/>
      <c r="C105" s="127"/>
      <c r="D105" s="128"/>
      <c r="G105" s="127"/>
      <c r="J105" s="127"/>
      <c r="Q105" s="75"/>
      <c r="V105" s="129"/>
      <c r="X105" s="127"/>
      <c r="AB105" s="127"/>
    </row>
    <row r="106" spans="1:28" x14ac:dyDescent="0.15">
      <c r="A106" s="127"/>
      <c r="B106" s="127"/>
      <c r="C106" s="127"/>
      <c r="D106" s="128"/>
      <c r="G106" s="127"/>
      <c r="J106" s="127"/>
      <c r="Q106" s="75"/>
      <c r="V106" s="129"/>
      <c r="X106" s="127"/>
      <c r="AB106" s="127"/>
    </row>
    <row r="107" spans="1:28" x14ac:dyDescent="0.15">
      <c r="A107" s="127"/>
      <c r="B107" s="127"/>
      <c r="C107" s="127"/>
      <c r="D107" s="128"/>
      <c r="G107" s="127"/>
      <c r="J107" s="127"/>
      <c r="Q107" s="75"/>
      <c r="V107" s="129"/>
      <c r="X107" s="127"/>
      <c r="AB107" s="127"/>
    </row>
    <row r="108" spans="1:28" x14ac:dyDescent="0.15">
      <c r="A108" s="127"/>
      <c r="B108" s="127"/>
      <c r="C108" s="127"/>
      <c r="D108" s="128"/>
      <c r="G108" s="127"/>
      <c r="J108" s="127"/>
      <c r="Q108" s="75"/>
      <c r="V108" s="129"/>
      <c r="X108" s="127"/>
      <c r="AB108" s="127"/>
    </row>
    <row r="109" spans="1:28" x14ac:dyDescent="0.15">
      <c r="A109" s="127"/>
      <c r="B109" s="127"/>
      <c r="C109" s="127"/>
      <c r="D109" s="128"/>
      <c r="G109" s="127"/>
      <c r="J109" s="127"/>
      <c r="Q109" s="75"/>
      <c r="V109" s="129"/>
      <c r="X109" s="127"/>
      <c r="AB109" s="127"/>
    </row>
    <row r="110" spans="1:28" x14ac:dyDescent="0.15">
      <c r="A110" s="127"/>
      <c r="B110" s="127"/>
      <c r="C110" s="127"/>
      <c r="D110" s="128"/>
      <c r="G110" s="127"/>
      <c r="J110" s="127"/>
      <c r="Q110" s="75"/>
      <c r="V110" s="129"/>
      <c r="X110" s="127"/>
      <c r="AB110" s="127"/>
    </row>
    <row r="111" spans="1:28" x14ac:dyDescent="0.15">
      <c r="A111" s="127"/>
      <c r="B111" s="127"/>
      <c r="C111" s="127"/>
      <c r="D111" s="128"/>
      <c r="G111" s="127"/>
      <c r="J111" s="127"/>
      <c r="Q111" s="75"/>
      <c r="V111" s="129"/>
      <c r="X111" s="127"/>
      <c r="AB111" s="127"/>
    </row>
    <row r="112" spans="1:28" x14ac:dyDescent="0.15">
      <c r="A112" s="127"/>
      <c r="B112" s="127"/>
      <c r="C112" s="127"/>
      <c r="D112" s="128"/>
      <c r="G112" s="127"/>
      <c r="J112" s="127"/>
      <c r="Q112" s="75"/>
      <c r="V112" s="129"/>
      <c r="X112" s="127"/>
      <c r="AB112" s="127"/>
    </row>
    <row r="113" spans="4:4" x14ac:dyDescent="0.15">
      <c r="D113" s="128"/>
    </row>
    <row r="114" spans="4:4" x14ac:dyDescent="0.15">
      <c r="D114" s="128"/>
    </row>
  </sheetData>
  <autoFilter ref="A1:BA1" xr:uid="{00000000-0009-0000-0000-000004000000}"/>
  <phoneticPr fontId="3"/>
  <dataValidations count="20">
    <dataValidation type="list" allowBlank="1" showInputMessage="1" showErrorMessage="1" sqref="K2:K500" xr:uid="{D1BFE0EE-65AF-4426-8379-25012EB57BB1}">
      <formula1>$AR$2:$AR$28</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E35A01AF-6AC4-4352-BBB6-6A984F5C7A1F}">
      <formula1>$AN$8:$AN$9</formula1>
    </dataValidation>
    <dataValidation type="list" allowBlank="1" showInputMessage="1" showErrorMessage="1" sqref="WVS981805:WVS981894 WLW981805:WLW981894 K64310:K64399 JG64301:JG64390 TC64301:TC64390 ACY64301:ACY64390 AMU64301:AMU64390 AWQ64301:AWQ64390 BGM64301:BGM64390 BQI64301:BQI64390 CAE64301:CAE64390 CKA64301:CKA64390 CTW64301:CTW64390 DDS64301:DDS64390 DNO64301:DNO64390 DXK64301:DXK64390 EHG64301:EHG64390 ERC64301:ERC64390 FAY64301:FAY64390 FKU64301:FKU64390 FUQ64301:FUQ64390 GEM64301:GEM64390 GOI64301:GOI64390 GYE64301:GYE64390 HIA64301:HIA64390 HRW64301:HRW64390 IBS64301:IBS64390 ILO64301:ILO64390 IVK64301:IVK64390 JFG64301:JFG64390 JPC64301:JPC64390 JYY64301:JYY64390 KIU64301:KIU64390 KSQ64301:KSQ64390 LCM64301:LCM64390 LMI64301:LMI64390 LWE64301:LWE64390 MGA64301:MGA64390 MPW64301:MPW64390 MZS64301:MZS64390 NJO64301:NJO64390 NTK64301:NTK64390 ODG64301:ODG64390 ONC64301:ONC64390 OWY64301:OWY64390 PGU64301:PGU64390 PQQ64301:PQQ64390 QAM64301:QAM64390 QKI64301:QKI64390 QUE64301:QUE64390 REA64301:REA64390 RNW64301:RNW64390 RXS64301:RXS64390 SHO64301:SHO64390 SRK64301:SRK64390 TBG64301:TBG64390 TLC64301:TLC64390 TUY64301:TUY64390 UEU64301:UEU64390 UOQ64301:UOQ64390 UYM64301:UYM64390 VII64301:VII64390 VSE64301:VSE64390 WCA64301:WCA64390 WLW64301:WLW64390 WVS64301:WVS64390 K129846:K129935 JG129837:JG129926 TC129837:TC129926 ACY129837:ACY129926 AMU129837:AMU129926 AWQ129837:AWQ129926 BGM129837:BGM129926 BQI129837:BQI129926 CAE129837:CAE129926 CKA129837:CKA129926 CTW129837:CTW129926 DDS129837:DDS129926 DNO129837:DNO129926 DXK129837:DXK129926 EHG129837:EHG129926 ERC129837:ERC129926 FAY129837:FAY129926 FKU129837:FKU129926 FUQ129837:FUQ129926 GEM129837:GEM129926 GOI129837:GOI129926 GYE129837:GYE129926 HIA129837:HIA129926 HRW129837:HRW129926 IBS129837:IBS129926 ILO129837:ILO129926 IVK129837:IVK129926 JFG129837:JFG129926 JPC129837:JPC129926 JYY129837:JYY129926 KIU129837:KIU129926 KSQ129837:KSQ129926 LCM129837:LCM129926 LMI129837:LMI129926 LWE129837:LWE129926 MGA129837:MGA129926 MPW129837:MPW129926 MZS129837:MZS129926 NJO129837:NJO129926 NTK129837:NTK129926 ODG129837:ODG129926 ONC129837:ONC129926 OWY129837:OWY129926 PGU129837:PGU129926 PQQ129837:PQQ129926 QAM129837:QAM129926 QKI129837:QKI129926 QUE129837:QUE129926 REA129837:REA129926 RNW129837:RNW129926 RXS129837:RXS129926 SHO129837:SHO129926 SRK129837:SRK129926 TBG129837:TBG129926 TLC129837:TLC129926 TUY129837:TUY129926 UEU129837:UEU129926 UOQ129837:UOQ129926 UYM129837:UYM129926 VII129837:VII129926 VSE129837:VSE129926 WCA129837:WCA129926 WLW129837:WLW129926 WVS129837:WVS129926 K195382:K195471 JG195373:JG195462 TC195373:TC195462 ACY195373:ACY195462 AMU195373:AMU195462 AWQ195373:AWQ195462 BGM195373:BGM195462 BQI195373:BQI195462 CAE195373:CAE195462 CKA195373:CKA195462 CTW195373:CTW195462 DDS195373:DDS195462 DNO195373:DNO195462 DXK195373:DXK195462 EHG195373:EHG195462 ERC195373:ERC195462 FAY195373:FAY195462 FKU195373:FKU195462 FUQ195373:FUQ195462 GEM195373:GEM195462 GOI195373:GOI195462 GYE195373:GYE195462 HIA195373:HIA195462 HRW195373:HRW195462 IBS195373:IBS195462 ILO195373:ILO195462 IVK195373:IVK195462 JFG195373:JFG195462 JPC195373:JPC195462 JYY195373:JYY195462 KIU195373:KIU195462 KSQ195373:KSQ195462 LCM195373:LCM195462 LMI195373:LMI195462 LWE195373:LWE195462 MGA195373:MGA195462 MPW195373:MPW195462 MZS195373:MZS195462 NJO195373:NJO195462 NTK195373:NTK195462 ODG195373:ODG195462 ONC195373:ONC195462 OWY195373:OWY195462 PGU195373:PGU195462 PQQ195373:PQQ195462 QAM195373:QAM195462 QKI195373:QKI195462 QUE195373:QUE195462 REA195373:REA195462 RNW195373:RNW195462 RXS195373:RXS195462 SHO195373:SHO195462 SRK195373:SRK195462 TBG195373:TBG195462 TLC195373:TLC195462 TUY195373:TUY195462 UEU195373:UEU195462 UOQ195373:UOQ195462 UYM195373:UYM195462 VII195373:VII195462 VSE195373:VSE195462 WCA195373:WCA195462 WLW195373:WLW195462 WVS195373:WVS195462 K260918:K261007 JG260909:JG260998 TC260909:TC260998 ACY260909:ACY260998 AMU260909:AMU260998 AWQ260909:AWQ260998 BGM260909:BGM260998 BQI260909:BQI260998 CAE260909:CAE260998 CKA260909:CKA260998 CTW260909:CTW260998 DDS260909:DDS260998 DNO260909:DNO260998 DXK260909:DXK260998 EHG260909:EHG260998 ERC260909:ERC260998 FAY260909:FAY260998 FKU260909:FKU260998 FUQ260909:FUQ260998 GEM260909:GEM260998 GOI260909:GOI260998 GYE260909:GYE260998 HIA260909:HIA260998 HRW260909:HRW260998 IBS260909:IBS260998 ILO260909:ILO260998 IVK260909:IVK260998 JFG260909:JFG260998 JPC260909:JPC260998 JYY260909:JYY260998 KIU260909:KIU260998 KSQ260909:KSQ260998 LCM260909:LCM260998 LMI260909:LMI260998 LWE260909:LWE260998 MGA260909:MGA260998 MPW260909:MPW260998 MZS260909:MZS260998 NJO260909:NJO260998 NTK260909:NTK260998 ODG260909:ODG260998 ONC260909:ONC260998 OWY260909:OWY260998 PGU260909:PGU260998 PQQ260909:PQQ260998 QAM260909:QAM260998 QKI260909:QKI260998 QUE260909:QUE260998 REA260909:REA260998 RNW260909:RNW260998 RXS260909:RXS260998 SHO260909:SHO260998 SRK260909:SRK260998 TBG260909:TBG260998 TLC260909:TLC260998 TUY260909:TUY260998 UEU260909:UEU260998 UOQ260909:UOQ260998 UYM260909:UYM260998 VII260909:VII260998 VSE260909:VSE260998 WCA260909:WCA260998 WLW260909:WLW260998 WVS260909:WVS260998 K326454:K326543 JG326445:JG326534 TC326445:TC326534 ACY326445:ACY326534 AMU326445:AMU326534 AWQ326445:AWQ326534 BGM326445:BGM326534 BQI326445:BQI326534 CAE326445:CAE326534 CKA326445:CKA326534 CTW326445:CTW326534 DDS326445:DDS326534 DNO326445:DNO326534 DXK326445:DXK326534 EHG326445:EHG326534 ERC326445:ERC326534 FAY326445:FAY326534 FKU326445:FKU326534 FUQ326445:FUQ326534 GEM326445:GEM326534 GOI326445:GOI326534 GYE326445:GYE326534 HIA326445:HIA326534 HRW326445:HRW326534 IBS326445:IBS326534 ILO326445:ILO326534 IVK326445:IVK326534 JFG326445:JFG326534 JPC326445:JPC326534 JYY326445:JYY326534 KIU326445:KIU326534 KSQ326445:KSQ326534 LCM326445:LCM326534 LMI326445:LMI326534 LWE326445:LWE326534 MGA326445:MGA326534 MPW326445:MPW326534 MZS326445:MZS326534 NJO326445:NJO326534 NTK326445:NTK326534 ODG326445:ODG326534 ONC326445:ONC326534 OWY326445:OWY326534 PGU326445:PGU326534 PQQ326445:PQQ326534 QAM326445:QAM326534 QKI326445:QKI326534 QUE326445:QUE326534 REA326445:REA326534 RNW326445:RNW326534 RXS326445:RXS326534 SHO326445:SHO326534 SRK326445:SRK326534 TBG326445:TBG326534 TLC326445:TLC326534 TUY326445:TUY326534 UEU326445:UEU326534 UOQ326445:UOQ326534 UYM326445:UYM326534 VII326445:VII326534 VSE326445:VSE326534 WCA326445:WCA326534 WLW326445:WLW326534 WVS326445:WVS326534 K391990:K392079 JG391981:JG392070 TC391981:TC392070 ACY391981:ACY392070 AMU391981:AMU392070 AWQ391981:AWQ392070 BGM391981:BGM392070 BQI391981:BQI392070 CAE391981:CAE392070 CKA391981:CKA392070 CTW391981:CTW392070 DDS391981:DDS392070 DNO391981:DNO392070 DXK391981:DXK392070 EHG391981:EHG392070 ERC391981:ERC392070 FAY391981:FAY392070 FKU391981:FKU392070 FUQ391981:FUQ392070 GEM391981:GEM392070 GOI391981:GOI392070 GYE391981:GYE392070 HIA391981:HIA392070 HRW391981:HRW392070 IBS391981:IBS392070 ILO391981:ILO392070 IVK391981:IVK392070 JFG391981:JFG392070 JPC391981:JPC392070 JYY391981:JYY392070 KIU391981:KIU392070 KSQ391981:KSQ392070 LCM391981:LCM392070 LMI391981:LMI392070 LWE391981:LWE392070 MGA391981:MGA392070 MPW391981:MPW392070 MZS391981:MZS392070 NJO391981:NJO392070 NTK391981:NTK392070 ODG391981:ODG392070 ONC391981:ONC392070 OWY391981:OWY392070 PGU391981:PGU392070 PQQ391981:PQQ392070 QAM391981:QAM392070 QKI391981:QKI392070 QUE391981:QUE392070 REA391981:REA392070 RNW391981:RNW392070 RXS391981:RXS392070 SHO391981:SHO392070 SRK391981:SRK392070 TBG391981:TBG392070 TLC391981:TLC392070 TUY391981:TUY392070 UEU391981:UEU392070 UOQ391981:UOQ392070 UYM391981:UYM392070 VII391981:VII392070 VSE391981:VSE392070 WCA391981:WCA392070 WLW391981:WLW392070 WVS391981:WVS392070 K457526:K457615 JG457517:JG457606 TC457517:TC457606 ACY457517:ACY457606 AMU457517:AMU457606 AWQ457517:AWQ457606 BGM457517:BGM457606 BQI457517:BQI457606 CAE457517:CAE457606 CKA457517:CKA457606 CTW457517:CTW457606 DDS457517:DDS457606 DNO457517:DNO457606 DXK457517:DXK457606 EHG457517:EHG457606 ERC457517:ERC457606 FAY457517:FAY457606 FKU457517:FKU457606 FUQ457517:FUQ457606 GEM457517:GEM457606 GOI457517:GOI457606 GYE457517:GYE457606 HIA457517:HIA457606 HRW457517:HRW457606 IBS457517:IBS457606 ILO457517:ILO457606 IVK457517:IVK457606 JFG457517:JFG457606 JPC457517:JPC457606 JYY457517:JYY457606 KIU457517:KIU457606 KSQ457517:KSQ457606 LCM457517:LCM457606 LMI457517:LMI457606 LWE457517:LWE457606 MGA457517:MGA457606 MPW457517:MPW457606 MZS457517:MZS457606 NJO457517:NJO457606 NTK457517:NTK457606 ODG457517:ODG457606 ONC457517:ONC457606 OWY457517:OWY457606 PGU457517:PGU457606 PQQ457517:PQQ457606 QAM457517:QAM457606 QKI457517:QKI457606 QUE457517:QUE457606 REA457517:REA457606 RNW457517:RNW457606 RXS457517:RXS457606 SHO457517:SHO457606 SRK457517:SRK457606 TBG457517:TBG457606 TLC457517:TLC457606 TUY457517:TUY457606 UEU457517:UEU457606 UOQ457517:UOQ457606 UYM457517:UYM457606 VII457517:VII457606 VSE457517:VSE457606 WCA457517:WCA457606 WLW457517:WLW457606 WVS457517:WVS457606 K523062:K523151 JG523053:JG523142 TC523053:TC523142 ACY523053:ACY523142 AMU523053:AMU523142 AWQ523053:AWQ523142 BGM523053:BGM523142 BQI523053:BQI523142 CAE523053:CAE523142 CKA523053:CKA523142 CTW523053:CTW523142 DDS523053:DDS523142 DNO523053:DNO523142 DXK523053:DXK523142 EHG523053:EHG523142 ERC523053:ERC523142 FAY523053:FAY523142 FKU523053:FKU523142 FUQ523053:FUQ523142 GEM523053:GEM523142 GOI523053:GOI523142 GYE523053:GYE523142 HIA523053:HIA523142 HRW523053:HRW523142 IBS523053:IBS523142 ILO523053:ILO523142 IVK523053:IVK523142 JFG523053:JFG523142 JPC523053:JPC523142 JYY523053:JYY523142 KIU523053:KIU523142 KSQ523053:KSQ523142 LCM523053:LCM523142 LMI523053:LMI523142 LWE523053:LWE523142 MGA523053:MGA523142 MPW523053:MPW523142 MZS523053:MZS523142 NJO523053:NJO523142 NTK523053:NTK523142 ODG523053:ODG523142 ONC523053:ONC523142 OWY523053:OWY523142 PGU523053:PGU523142 PQQ523053:PQQ523142 QAM523053:QAM523142 QKI523053:QKI523142 QUE523053:QUE523142 REA523053:REA523142 RNW523053:RNW523142 RXS523053:RXS523142 SHO523053:SHO523142 SRK523053:SRK523142 TBG523053:TBG523142 TLC523053:TLC523142 TUY523053:TUY523142 UEU523053:UEU523142 UOQ523053:UOQ523142 UYM523053:UYM523142 VII523053:VII523142 VSE523053:VSE523142 WCA523053:WCA523142 WLW523053:WLW523142 WVS523053:WVS523142 K588598:K588687 JG588589:JG588678 TC588589:TC588678 ACY588589:ACY588678 AMU588589:AMU588678 AWQ588589:AWQ588678 BGM588589:BGM588678 BQI588589:BQI588678 CAE588589:CAE588678 CKA588589:CKA588678 CTW588589:CTW588678 DDS588589:DDS588678 DNO588589:DNO588678 DXK588589:DXK588678 EHG588589:EHG588678 ERC588589:ERC588678 FAY588589:FAY588678 FKU588589:FKU588678 FUQ588589:FUQ588678 GEM588589:GEM588678 GOI588589:GOI588678 GYE588589:GYE588678 HIA588589:HIA588678 HRW588589:HRW588678 IBS588589:IBS588678 ILO588589:ILO588678 IVK588589:IVK588678 JFG588589:JFG588678 JPC588589:JPC588678 JYY588589:JYY588678 KIU588589:KIU588678 KSQ588589:KSQ588678 LCM588589:LCM588678 LMI588589:LMI588678 LWE588589:LWE588678 MGA588589:MGA588678 MPW588589:MPW588678 MZS588589:MZS588678 NJO588589:NJO588678 NTK588589:NTK588678 ODG588589:ODG588678 ONC588589:ONC588678 OWY588589:OWY588678 PGU588589:PGU588678 PQQ588589:PQQ588678 QAM588589:QAM588678 QKI588589:QKI588678 QUE588589:QUE588678 REA588589:REA588678 RNW588589:RNW588678 RXS588589:RXS588678 SHO588589:SHO588678 SRK588589:SRK588678 TBG588589:TBG588678 TLC588589:TLC588678 TUY588589:TUY588678 UEU588589:UEU588678 UOQ588589:UOQ588678 UYM588589:UYM588678 VII588589:VII588678 VSE588589:VSE588678 WCA588589:WCA588678 WLW588589:WLW588678 WVS588589:WVS588678 K654134:K654223 JG654125:JG654214 TC654125:TC654214 ACY654125:ACY654214 AMU654125:AMU654214 AWQ654125:AWQ654214 BGM654125:BGM654214 BQI654125:BQI654214 CAE654125:CAE654214 CKA654125:CKA654214 CTW654125:CTW654214 DDS654125:DDS654214 DNO654125:DNO654214 DXK654125:DXK654214 EHG654125:EHG654214 ERC654125:ERC654214 FAY654125:FAY654214 FKU654125:FKU654214 FUQ654125:FUQ654214 GEM654125:GEM654214 GOI654125:GOI654214 GYE654125:GYE654214 HIA654125:HIA654214 HRW654125:HRW654214 IBS654125:IBS654214 ILO654125:ILO654214 IVK654125:IVK654214 JFG654125:JFG654214 JPC654125:JPC654214 JYY654125:JYY654214 KIU654125:KIU654214 KSQ654125:KSQ654214 LCM654125:LCM654214 LMI654125:LMI654214 LWE654125:LWE654214 MGA654125:MGA654214 MPW654125:MPW654214 MZS654125:MZS654214 NJO654125:NJO654214 NTK654125:NTK654214 ODG654125:ODG654214 ONC654125:ONC654214 OWY654125:OWY654214 PGU654125:PGU654214 PQQ654125:PQQ654214 QAM654125:QAM654214 QKI654125:QKI654214 QUE654125:QUE654214 REA654125:REA654214 RNW654125:RNW654214 RXS654125:RXS654214 SHO654125:SHO654214 SRK654125:SRK654214 TBG654125:TBG654214 TLC654125:TLC654214 TUY654125:TUY654214 UEU654125:UEU654214 UOQ654125:UOQ654214 UYM654125:UYM654214 VII654125:VII654214 VSE654125:VSE654214 WCA654125:WCA654214 WLW654125:WLW654214 WVS654125:WVS654214 K719670:K719759 JG719661:JG719750 TC719661:TC719750 ACY719661:ACY719750 AMU719661:AMU719750 AWQ719661:AWQ719750 BGM719661:BGM719750 BQI719661:BQI719750 CAE719661:CAE719750 CKA719661:CKA719750 CTW719661:CTW719750 DDS719661:DDS719750 DNO719661:DNO719750 DXK719661:DXK719750 EHG719661:EHG719750 ERC719661:ERC719750 FAY719661:FAY719750 FKU719661:FKU719750 FUQ719661:FUQ719750 GEM719661:GEM719750 GOI719661:GOI719750 GYE719661:GYE719750 HIA719661:HIA719750 HRW719661:HRW719750 IBS719661:IBS719750 ILO719661:ILO719750 IVK719661:IVK719750 JFG719661:JFG719750 JPC719661:JPC719750 JYY719661:JYY719750 KIU719661:KIU719750 KSQ719661:KSQ719750 LCM719661:LCM719750 LMI719661:LMI719750 LWE719661:LWE719750 MGA719661:MGA719750 MPW719661:MPW719750 MZS719661:MZS719750 NJO719661:NJO719750 NTK719661:NTK719750 ODG719661:ODG719750 ONC719661:ONC719750 OWY719661:OWY719750 PGU719661:PGU719750 PQQ719661:PQQ719750 QAM719661:QAM719750 QKI719661:QKI719750 QUE719661:QUE719750 REA719661:REA719750 RNW719661:RNW719750 RXS719661:RXS719750 SHO719661:SHO719750 SRK719661:SRK719750 TBG719661:TBG719750 TLC719661:TLC719750 TUY719661:TUY719750 UEU719661:UEU719750 UOQ719661:UOQ719750 UYM719661:UYM719750 VII719661:VII719750 VSE719661:VSE719750 WCA719661:WCA719750 WLW719661:WLW719750 WVS719661:WVS719750 K785206:K785295 JG785197:JG785286 TC785197:TC785286 ACY785197:ACY785286 AMU785197:AMU785286 AWQ785197:AWQ785286 BGM785197:BGM785286 BQI785197:BQI785286 CAE785197:CAE785286 CKA785197:CKA785286 CTW785197:CTW785286 DDS785197:DDS785286 DNO785197:DNO785286 DXK785197:DXK785286 EHG785197:EHG785286 ERC785197:ERC785286 FAY785197:FAY785286 FKU785197:FKU785286 FUQ785197:FUQ785286 GEM785197:GEM785286 GOI785197:GOI785286 GYE785197:GYE785286 HIA785197:HIA785286 HRW785197:HRW785286 IBS785197:IBS785286 ILO785197:ILO785286 IVK785197:IVK785286 JFG785197:JFG785286 JPC785197:JPC785286 JYY785197:JYY785286 KIU785197:KIU785286 KSQ785197:KSQ785286 LCM785197:LCM785286 LMI785197:LMI785286 LWE785197:LWE785286 MGA785197:MGA785286 MPW785197:MPW785286 MZS785197:MZS785286 NJO785197:NJO785286 NTK785197:NTK785286 ODG785197:ODG785286 ONC785197:ONC785286 OWY785197:OWY785286 PGU785197:PGU785286 PQQ785197:PQQ785286 QAM785197:QAM785286 QKI785197:QKI785286 QUE785197:QUE785286 REA785197:REA785286 RNW785197:RNW785286 RXS785197:RXS785286 SHO785197:SHO785286 SRK785197:SRK785286 TBG785197:TBG785286 TLC785197:TLC785286 TUY785197:TUY785286 UEU785197:UEU785286 UOQ785197:UOQ785286 UYM785197:UYM785286 VII785197:VII785286 VSE785197:VSE785286 WCA785197:WCA785286 WLW785197:WLW785286 WVS785197:WVS785286 K850742:K850831 JG850733:JG850822 TC850733:TC850822 ACY850733:ACY850822 AMU850733:AMU850822 AWQ850733:AWQ850822 BGM850733:BGM850822 BQI850733:BQI850822 CAE850733:CAE850822 CKA850733:CKA850822 CTW850733:CTW850822 DDS850733:DDS850822 DNO850733:DNO850822 DXK850733:DXK850822 EHG850733:EHG850822 ERC850733:ERC850822 FAY850733:FAY850822 FKU850733:FKU850822 FUQ850733:FUQ850822 GEM850733:GEM850822 GOI850733:GOI850822 GYE850733:GYE850822 HIA850733:HIA850822 HRW850733:HRW850822 IBS850733:IBS850822 ILO850733:ILO850822 IVK850733:IVK850822 JFG850733:JFG850822 JPC850733:JPC850822 JYY850733:JYY850822 KIU850733:KIU850822 KSQ850733:KSQ850822 LCM850733:LCM850822 LMI850733:LMI850822 LWE850733:LWE850822 MGA850733:MGA850822 MPW850733:MPW850822 MZS850733:MZS850822 NJO850733:NJO850822 NTK850733:NTK850822 ODG850733:ODG850822 ONC850733:ONC850822 OWY850733:OWY850822 PGU850733:PGU850822 PQQ850733:PQQ850822 QAM850733:QAM850822 QKI850733:QKI850822 QUE850733:QUE850822 REA850733:REA850822 RNW850733:RNW850822 RXS850733:RXS850822 SHO850733:SHO850822 SRK850733:SRK850822 TBG850733:TBG850822 TLC850733:TLC850822 TUY850733:TUY850822 UEU850733:UEU850822 UOQ850733:UOQ850822 UYM850733:UYM850822 VII850733:VII850822 VSE850733:VSE850822 WCA850733:WCA850822 WLW850733:WLW850822 WVS850733:WVS850822 K916278:K916367 JG916269:JG916358 TC916269:TC916358 ACY916269:ACY916358 AMU916269:AMU916358 AWQ916269:AWQ916358 BGM916269:BGM916358 BQI916269:BQI916358 CAE916269:CAE916358 CKA916269:CKA916358 CTW916269:CTW916358 DDS916269:DDS916358 DNO916269:DNO916358 DXK916269:DXK916358 EHG916269:EHG916358 ERC916269:ERC916358 FAY916269:FAY916358 FKU916269:FKU916358 FUQ916269:FUQ916358 GEM916269:GEM916358 GOI916269:GOI916358 GYE916269:GYE916358 HIA916269:HIA916358 HRW916269:HRW916358 IBS916269:IBS916358 ILO916269:ILO916358 IVK916269:IVK916358 JFG916269:JFG916358 JPC916269:JPC916358 JYY916269:JYY916358 KIU916269:KIU916358 KSQ916269:KSQ916358 LCM916269:LCM916358 LMI916269:LMI916358 LWE916269:LWE916358 MGA916269:MGA916358 MPW916269:MPW916358 MZS916269:MZS916358 NJO916269:NJO916358 NTK916269:NTK916358 ODG916269:ODG916358 ONC916269:ONC916358 OWY916269:OWY916358 PGU916269:PGU916358 PQQ916269:PQQ916358 QAM916269:QAM916358 QKI916269:QKI916358 QUE916269:QUE916358 REA916269:REA916358 RNW916269:RNW916358 RXS916269:RXS916358 SHO916269:SHO916358 SRK916269:SRK916358 TBG916269:TBG916358 TLC916269:TLC916358 TUY916269:TUY916358 UEU916269:UEU916358 UOQ916269:UOQ916358 UYM916269:UYM916358 VII916269:VII916358 VSE916269:VSE916358 WCA916269:WCA916358 WLW916269:WLW916358 WVS916269:WVS916358 K981814:K981903 JG981805:JG981894 TC981805:TC981894 ACY981805:ACY981894 AMU981805:AMU981894 AWQ981805:AWQ981894 BGM981805:BGM981894 BQI981805:BQI981894 CAE981805:CAE981894 CKA981805:CKA981894 CTW981805:CTW981894 DDS981805:DDS981894 DNO981805:DNO981894 DXK981805:DXK981894 EHG981805:EHG981894 ERC981805:ERC981894 FAY981805:FAY981894 FKU981805:FKU981894 FUQ981805:FUQ981894 GEM981805:GEM981894 GOI981805:GOI981894 GYE981805:GYE981894 HIA981805:HIA981894 HRW981805:HRW981894 IBS981805:IBS981894 ILO981805:ILO981894 IVK981805:IVK981894 JFG981805:JFG981894 JPC981805:JPC981894 JYY981805:JYY981894 KIU981805:KIU981894 KSQ981805:KSQ981894 LCM981805:LCM981894 LMI981805:LMI981894 LWE981805:LWE981894 MGA981805:MGA981894 MPW981805:MPW981894 MZS981805:MZS981894 NJO981805:NJO981894 NTK981805:NTK981894 ODG981805:ODG981894 ONC981805:ONC981894 OWY981805:OWY981894 PGU981805:PGU981894 PQQ981805:PQQ981894 QAM981805:QAM981894 QKI981805:QKI981894 QUE981805:QUE981894 REA981805:REA981894 RNW981805:RNW981894 RXS981805:RXS981894 SHO981805:SHO981894 SRK981805:SRK981894 TBG981805:TBG981894 TLC981805:TLC981894 TUY981805:TUY981894 UEU981805:UEU981894 UOQ981805:UOQ981894 UYM981805:UYM981894 VII981805:VII981894 VSE981805:VSE981894 WCA981805:WCA981894 WVS2:WVS73 WLW2:WLW73 WCA2:WCA73 VSE2:VSE73 VII2:VII73 UYM2:UYM73 UOQ2:UOQ73 UEU2:UEU73 TUY2:TUY73 TLC2:TLC73 TBG2:TBG73 SRK2:SRK73 SHO2:SHO73 RXS2:RXS73 RNW2:RNW73 REA2:REA73 QUE2:QUE73 QKI2:QKI73 QAM2:QAM73 PQQ2:PQQ73 PGU2:PGU73 OWY2:OWY73 ONC2:ONC73 ODG2:ODG73 NTK2:NTK73 NJO2:NJO73 MZS2:MZS73 MPW2:MPW73 MGA2:MGA73 LWE2:LWE73 LMI2:LMI73 LCM2:LCM73 KSQ2:KSQ73 KIU2:KIU73 JYY2:JYY73 JPC2:JPC73 JFG2:JFG73 IVK2:IVK73 ILO2:ILO73 IBS2:IBS73 HRW2:HRW73 HIA2:HIA73 GYE2:GYE73 GOI2:GOI73 GEM2:GEM73 FUQ2:FUQ73 FKU2:FKU73 FAY2:FAY73 ERC2:ERC73 EHG2:EHG73 DXK2:DXK73 DNO2:DNO73 DDS2:DDS73 CTW2:CTW73 CKA2:CKA73 CAE2:CAE73 BQI2:BQI73 BGM2:BGM73 AWQ2:AWQ73 AMU2:AMU73 ACY2:ACY73 TC2:TC73 JG2:JG73" xr:uid="{194EB935-5717-4C83-82DD-7D2469B2FC2F}">
      <formula1>$AR$2:$AR$27</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WVR2:WVR73 WLV2:WLV73 WBZ2:WBZ73 VSD2:VSD73 VIH2:VIH73 UYL2:UYL73 UOP2:UOP73 UET2:UET73 TUX2:TUX73 TLB2:TLB73 TBF2:TBF73 SRJ2:SRJ73 SHN2:SHN73 RXR2:RXR73 RNV2:RNV73 RDZ2:RDZ73 QUD2:QUD73 QKH2:QKH73 QAL2:QAL73 PQP2:PQP73 PGT2:PGT73 OWX2:OWX73 ONB2:ONB73 ODF2:ODF73 NTJ2:NTJ73 NJN2:NJN73 MZR2:MZR73 MPV2:MPV73 MFZ2:MFZ73 LWD2:LWD73 LMH2:LMH73 LCL2:LCL73 KSP2:KSP73 KIT2:KIT73 JYX2:JYX73 JPB2:JPB73 JFF2:JFF73 IVJ2:IVJ73 ILN2:ILN73 IBR2:IBR73 HRV2:HRV73 HHZ2:HHZ73 GYD2:GYD73 GOH2:GOH73 GEL2:GEL73 FUP2:FUP73 FKT2:FKT73 FAX2:FAX73 ERB2:ERB73 EHF2:EHF73 DXJ2:DXJ73 DNN2:DNN73 DDR2:DDR73 CTV2:CTV73 CJZ2:CJZ73 CAD2:CAD73 BQH2:BQH73 BGL2:BGL73 AWP2:AWP73 AMT2:AMT73 ACX2:ACX73 TB2:TB73 JF2:JF73" xr:uid="{4746E44A-474C-4E01-9652-566C73C95550}">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6:F981905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80:F916369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4:F850833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8:F785297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2:F719761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6:F654225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600:F588689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4:F523153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8:F457617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2:F392081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6:F326545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20:F261009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4:F195473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8:F129937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2:F64401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49C32E61-BE76-4DF7-B100-89ABD6E21EC2}">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6:E981905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80:E916369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4:E850833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8:E785297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2:E719761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6:E654225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600:E588689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4:E523153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8:E457617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2:E392081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6:E326545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20:E261009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4:E195473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8:E129937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2:E64401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43ABC73D-F9BA-4FCE-9B28-B22C600EA712}">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X96:X500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94" xr:uid="{6D524344-0EA5-487F-80EF-5E29866FD2FB}">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B96:B112 B2:B94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IX2:IX73" xr:uid="{04E57743-C3F9-4D10-B541-E1310F5B6B15}"/>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WVI2:WVI73 WLM2:WLM73 WBQ2:WBQ73 VRU2:VRU73 VHY2:VHY73 UYC2:UYC73 UOG2:UOG73 UEK2:UEK73 TUO2:TUO73 TKS2:TKS73 TAW2:TAW73 SRA2:SRA73 SHE2:SHE73 RXI2:RXI73 RNM2:RNM73 RDQ2:RDQ73 QTU2:QTU73 QJY2:QJY73 QAC2:QAC73 PQG2:PQG73 PGK2:PGK73 OWO2:OWO73 OMS2:OMS73 OCW2:OCW73 NTA2:NTA73 NJE2:NJE73 MZI2:MZI73 MPM2:MPM73 MFQ2:MFQ73 LVU2:LVU73 LLY2:LLY73 LCC2:LCC73 KSG2:KSG73 KIK2:KIK73 JYO2:JYO73 JOS2:JOS73 JEW2:JEW73 IVA2:IVA73 ILE2:ILE73 IBI2:IBI73 HRM2:HRM73 HHQ2:HHQ73 GXU2:GXU73 GNY2:GNY73 GEC2:GEC73 FUG2:FUG73 FKK2:FKK73 FAO2:FAO73 EQS2:EQS73 EGW2:EGW73 DXA2:DXA73 DNE2:DNE73 DDI2:DDI73 CTM2:CTM73 CJQ2:CJQ73 BZU2:BZU73 BPY2:BPY73 BGC2:BGC73 AWG2:AWG73 AMK2:AMK73 ACO2:ACO73 SS2:SS73 IW2:IW73" xr:uid="{BBD1FE87-2EC0-498D-9A76-E3FE7D436DCC}">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G96:G500 G2:G94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JC2:JC73" xr:uid="{DF7FDAF6-C991-49F6-929A-2D031B679BF7}">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07DCEF8C-9B3D-4925-A48C-C46181435807}">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I96:I500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94" xr:uid="{E7D928A4-B4E5-4458-8604-1594DACACB9E}">
      <formula1>$AN$5:$AN$6</formula1>
    </dataValidation>
    <dataValidation type="list" allowBlank="1" showInputMessage="1" showErrorMessage="1" sqref="WWG981805:WWI981888 WCO981805:WCQ981888 WMK981805:WMM981888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JU2:JW73 TQ2:TS73 ADM2:ADO73 ANI2:ANK73 AXE2:AXG73 BHA2:BHC73 BQW2:BQY73 CAS2:CAU73 CKO2:CKQ73 CUK2:CUM73 DEG2:DEI73 DOC2:DOE73 DXY2:DYA73 EHU2:EHW73 ERQ2:ERS73 FBM2:FBO73 FLI2:FLK73 FVE2:FVG73 GFA2:GFC73 GOW2:GOY73 GYS2:GYU73 HIO2:HIQ73 HSK2:HSM73 ICG2:ICI73 IMC2:IME73 IVY2:IWA73 JFU2:JFW73 JPQ2:JPS73 JZM2:JZO73 KJI2:KJK73 KTE2:KTG73 LDA2:LDC73 LMW2:LMY73 LWS2:LWU73 MGO2:MGQ73 MQK2:MQM73 NAG2:NAI73 NKC2:NKE73 NTY2:NUA73 ODU2:ODW73 ONQ2:ONS73 OXM2:OXO73 PHI2:PHK73 PRE2:PRG73 QBA2:QBC73 QKW2:QKY73 QUS2:QUU73 REO2:REQ73 ROK2:ROM73 RYG2:RYI73 SIC2:SIE73 SRY2:SSA73 TBU2:TBW73 TLQ2:TLS73 TVM2:TVO73 UFI2:UFK73 UPE2:UPG73 UZA2:UZC73 VIW2:VIY73 VSS2:VSU73 WCO2:WCQ73 WMK2:WMM73 WWG2:WWI73" xr:uid="{B021C5A5-FDB0-42AF-8514-16E020A00A5D}">
      <formula1>$AV$2:$AV$22</formula1>
    </dataValidation>
    <dataValidation type="list" allowBlank="1" showInputMessage="1" showErrorMessage="1" sqref="J96:J500 J2:J94" xr:uid="{8A77C6CE-A32E-4CF3-B8D5-71FCA734EC78}">
      <formula1>$AP$2:$AP$28</formula1>
    </dataValidation>
    <dataValidation type="list" allowBlank="1" showInputMessage="1" showErrorMessage="1" sqref="F98:F502 F2:F96" xr:uid="{5EB97737-E6D7-4C5C-B92B-9C2C3EA335AD}">
      <formula1>$AH$2:$AH$10</formula1>
    </dataValidation>
    <dataValidation type="list" allowBlank="1" showInputMessage="1" showErrorMessage="1" sqref="E98:E502 E2:E96" xr:uid="{F493B450-2E08-4A58-98BC-756586156BC4}">
      <formula1>$AG$2:$AG$11</formula1>
    </dataValidation>
    <dataValidation type="list" allowBlank="1" showInputMessage="1" showErrorMessage="1" sqref="A96:A500 A2:A94" xr:uid="{7A3A2FEC-E496-4873-A24C-F2D1594332A3}">
      <formula1>$AE$2:$AE$19</formula1>
    </dataValidation>
    <dataValidation type="list" allowBlank="1" showInputMessage="1" showErrorMessage="1" sqref="H96:H500 H2:H94" xr:uid="{76C490B7-DB5D-4F09-82FF-212D934313CA}">
      <formula1>$AL$2:$AL$8</formula1>
    </dataValidation>
    <dataValidation type="list" allowBlank="1" showInputMessage="1" showErrorMessage="1" sqref="Y96:AA500 Y2:AA94" xr:uid="{C773D175-1EC3-4D31-B4AB-D0018001D9A3}">
      <formula1>$AV$2:$AV$21</formula1>
    </dataValidation>
    <dataValidation type="decimal" allowBlank="1" showInputMessage="1" showErrorMessage="1" error="硬度を正しく入力して下さい。" sqref="O96:P500 O18:P19 P15 P13 O68:P94 O26:P46" xr:uid="{44B4EC1C-828B-431E-A5BC-90AA7F138146}">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8B17C-1A44-4E2F-9804-2634AEB4C93B}">
  <dimension ref="A1:BA145"/>
  <sheetViews>
    <sheetView zoomScale="70" zoomScaleNormal="70" workbookViewId="0"/>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314</v>
      </c>
      <c r="O1" s="56" t="s">
        <v>14</v>
      </c>
      <c r="P1" s="56" t="s">
        <v>15</v>
      </c>
      <c r="Q1" s="3" t="s">
        <v>16</v>
      </c>
      <c r="R1" s="56" t="s">
        <v>17</v>
      </c>
      <c r="S1" s="56" t="s">
        <v>18</v>
      </c>
      <c r="T1" s="3" t="s">
        <v>19</v>
      </c>
      <c r="U1" s="58" t="s">
        <v>315</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233</v>
      </c>
      <c r="C2" s="62">
        <v>2019</v>
      </c>
      <c r="D2" s="137" t="s">
        <v>166</v>
      </c>
      <c r="E2" s="53" t="s">
        <v>316</v>
      </c>
      <c r="F2" s="53" t="s">
        <v>317</v>
      </c>
      <c r="G2" s="53" t="s">
        <v>36</v>
      </c>
      <c r="H2" s="53" t="s">
        <v>160</v>
      </c>
      <c r="I2" s="53" t="s">
        <v>159</v>
      </c>
      <c r="J2" s="53" t="s">
        <v>38</v>
      </c>
      <c r="K2" s="53" t="s">
        <v>161</v>
      </c>
      <c r="L2" s="53">
        <v>1</v>
      </c>
      <c r="N2" s="53">
        <v>4</v>
      </c>
      <c r="O2" s="53">
        <v>0.49</v>
      </c>
      <c r="P2" s="53">
        <v>0.4</v>
      </c>
      <c r="Q2" s="75">
        <f>IF(OR(O2="",P2=""),"",AVERAGE(O2,P2))</f>
        <v>0.44500000000000001</v>
      </c>
      <c r="R2" s="53">
        <v>15.2</v>
      </c>
      <c r="S2" s="53">
        <v>105</v>
      </c>
      <c r="T2" s="16">
        <f t="shared" ref="T2:T61" si="0">IF(H2="","",IF(OR(H2="GREEN",H2="GK"),IF(S2&gt;=$AX$2,VLOOKUP(S2,$AX$2:$AY$12,2,1),""),IF(S2&gt;=$AZ$2,VLOOKUP(S2,$AZ$2:$BA$12,2,1),"")))</f>
        <v>33</v>
      </c>
      <c r="U2" s="53">
        <v>398</v>
      </c>
      <c r="V2" s="16">
        <f t="shared" ref="V2:V61" si="1">IF(J2="","",IF(OR(J2="GREEN",J2="GK"),IF(U2&gt;=$AX$2,VLOOKUP(U2,$AX$2:$AY$12,2,1),""),IF(U2&gt;=$AZ$2,VLOOKUP(U2,$AZ$2:$BA$12,2,1),"")))</f>
        <v>16</v>
      </c>
      <c r="W2" s="53">
        <v>3</v>
      </c>
      <c r="X2" s="53" t="s">
        <v>46</v>
      </c>
      <c r="Y2" s="53" t="s">
        <v>78</v>
      </c>
      <c r="Z2" s="53" t="s">
        <v>90</v>
      </c>
      <c r="AA2" s="53" t="s">
        <v>102</v>
      </c>
      <c r="AB2" s="53" t="s">
        <v>318</v>
      </c>
      <c r="AE2" s="64" t="s">
        <v>35</v>
      </c>
      <c r="AG2" s="138" t="s">
        <v>319</v>
      </c>
      <c r="AH2" s="139" t="s">
        <v>320</v>
      </c>
      <c r="AJ2" s="67" t="s">
        <v>36</v>
      </c>
      <c r="AL2" s="67" t="s">
        <v>127</v>
      </c>
      <c r="AN2" s="67" t="s">
        <v>321</v>
      </c>
      <c r="AP2" s="67" t="s">
        <v>38</v>
      </c>
      <c r="AR2" s="67" t="s">
        <v>120</v>
      </c>
      <c r="AT2" s="67" t="s">
        <v>39</v>
      </c>
      <c r="AV2" s="23" t="s">
        <v>55</v>
      </c>
      <c r="AX2" s="68">
        <v>1</v>
      </c>
      <c r="AY2" s="69">
        <v>50</v>
      </c>
      <c r="AZ2" s="69">
        <v>1</v>
      </c>
      <c r="BA2" s="70">
        <v>50</v>
      </c>
    </row>
    <row r="3" spans="1:53" x14ac:dyDescent="0.15">
      <c r="A3" s="53" t="s">
        <v>59</v>
      </c>
      <c r="B3" s="53" t="s">
        <v>233</v>
      </c>
      <c r="C3" s="62">
        <v>2019</v>
      </c>
      <c r="D3" s="137" t="s">
        <v>166</v>
      </c>
      <c r="E3" s="53" t="s">
        <v>316</v>
      </c>
      <c r="F3" s="53" t="s">
        <v>317</v>
      </c>
      <c r="G3" s="53" t="s">
        <v>36</v>
      </c>
      <c r="H3" s="53" t="s">
        <v>160</v>
      </c>
      <c r="I3" s="53" t="s">
        <v>159</v>
      </c>
      <c r="J3" s="53" t="s">
        <v>38</v>
      </c>
      <c r="K3" s="53" t="s">
        <v>161</v>
      </c>
      <c r="L3" s="53">
        <v>2</v>
      </c>
      <c r="N3" s="53">
        <v>4</v>
      </c>
      <c r="O3" s="53">
        <v>0.3</v>
      </c>
      <c r="P3" s="53">
        <v>0.24</v>
      </c>
      <c r="Q3" s="75">
        <f t="shared" ref="Q3:Q61" si="2">IF(OR(O3="",P3=""),"",AVERAGE(O3,P3))</f>
        <v>0.27</v>
      </c>
      <c r="R3" s="53">
        <v>15.1</v>
      </c>
      <c r="S3" s="53">
        <v>104</v>
      </c>
      <c r="T3" s="16">
        <f t="shared" si="0"/>
        <v>33</v>
      </c>
      <c r="U3" s="53">
        <v>398</v>
      </c>
      <c r="V3" s="16">
        <f t="shared" si="1"/>
        <v>16</v>
      </c>
      <c r="W3" s="53">
        <v>3</v>
      </c>
      <c r="X3" s="53" t="s">
        <v>46</v>
      </c>
      <c r="Y3" s="53" t="s">
        <v>78</v>
      </c>
      <c r="Z3" s="53" t="s">
        <v>90</v>
      </c>
      <c r="AA3" s="53" t="s">
        <v>102</v>
      </c>
      <c r="AB3" s="53" t="s">
        <v>318</v>
      </c>
      <c r="AE3" s="22" t="s">
        <v>41</v>
      </c>
      <c r="AG3" s="138" t="s">
        <v>322</v>
      </c>
      <c r="AH3" s="139" t="s">
        <v>317</v>
      </c>
      <c r="AJ3" s="23" t="s">
        <v>42</v>
      </c>
      <c r="AL3" s="23" t="s">
        <v>128</v>
      </c>
      <c r="AN3" s="23" t="s">
        <v>43</v>
      </c>
      <c r="AP3" s="23" t="s">
        <v>44</v>
      </c>
      <c r="AR3" s="23" t="s">
        <v>45</v>
      </c>
      <c r="AT3" s="23" t="s">
        <v>46</v>
      </c>
      <c r="AV3" s="23" t="s">
        <v>323</v>
      </c>
      <c r="AX3" s="24">
        <v>72</v>
      </c>
      <c r="AY3" s="25">
        <v>46</v>
      </c>
      <c r="AZ3" s="25">
        <v>71</v>
      </c>
      <c r="BA3" s="26">
        <v>42</v>
      </c>
    </row>
    <row r="4" spans="1:53" x14ac:dyDescent="0.15">
      <c r="A4" s="53" t="s">
        <v>59</v>
      </c>
      <c r="B4" s="53" t="s">
        <v>233</v>
      </c>
      <c r="C4" s="62">
        <v>2019</v>
      </c>
      <c r="D4" s="137" t="s">
        <v>166</v>
      </c>
      <c r="E4" s="53" t="s">
        <v>316</v>
      </c>
      <c r="F4" s="53" t="s">
        <v>317</v>
      </c>
      <c r="G4" s="53" t="s">
        <v>36</v>
      </c>
      <c r="H4" s="53" t="s">
        <v>160</v>
      </c>
      <c r="I4" s="53" t="s">
        <v>324</v>
      </c>
      <c r="J4" s="53" t="s">
        <v>38</v>
      </c>
      <c r="K4" s="53" t="s">
        <v>161</v>
      </c>
      <c r="L4" s="53">
        <v>3</v>
      </c>
      <c r="N4" s="53">
        <v>4</v>
      </c>
      <c r="O4" s="53">
        <v>0.42</v>
      </c>
      <c r="P4" s="53">
        <v>0.37</v>
      </c>
      <c r="Q4" s="75">
        <f t="shared" si="2"/>
        <v>0.39500000000000002</v>
      </c>
      <c r="R4" s="53">
        <v>15.2</v>
      </c>
      <c r="S4" s="53">
        <v>100</v>
      </c>
      <c r="T4" s="16">
        <f t="shared" si="0"/>
        <v>33</v>
      </c>
      <c r="U4" s="53">
        <v>398</v>
      </c>
      <c r="V4" s="16">
        <f t="shared" si="1"/>
        <v>16</v>
      </c>
      <c r="W4" s="53">
        <v>3</v>
      </c>
      <c r="X4" s="53" t="s">
        <v>46</v>
      </c>
      <c r="Y4" s="53" t="s">
        <v>78</v>
      </c>
      <c r="Z4" s="53" t="s">
        <v>90</v>
      </c>
      <c r="AA4" s="53" t="s">
        <v>102</v>
      </c>
      <c r="AB4" s="53" t="s">
        <v>318</v>
      </c>
      <c r="AE4" s="22" t="s">
        <v>34</v>
      </c>
      <c r="AG4" s="138" t="s">
        <v>325</v>
      </c>
      <c r="AH4" s="139" t="s">
        <v>326</v>
      </c>
      <c r="AJ4" s="27" t="s">
        <v>48</v>
      </c>
      <c r="AL4" s="27" t="s">
        <v>129</v>
      </c>
      <c r="AN4" s="28" t="s">
        <v>49</v>
      </c>
      <c r="AP4" s="23" t="s">
        <v>93</v>
      </c>
      <c r="AR4" s="23" t="s">
        <v>327</v>
      </c>
      <c r="AT4" s="28"/>
      <c r="AV4" s="23" t="s">
        <v>310</v>
      </c>
      <c r="AX4" s="24">
        <v>75</v>
      </c>
      <c r="AY4" s="25">
        <v>42</v>
      </c>
      <c r="AZ4" s="25">
        <v>76</v>
      </c>
      <c r="BA4" s="26">
        <v>39</v>
      </c>
    </row>
    <row r="5" spans="1:53" x14ac:dyDescent="0.15">
      <c r="A5" s="53" t="s">
        <v>59</v>
      </c>
      <c r="B5" s="53" t="s">
        <v>233</v>
      </c>
      <c r="C5" s="62">
        <v>2019</v>
      </c>
      <c r="D5" s="137" t="s">
        <v>166</v>
      </c>
      <c r="E5" s="53" t="s">
        <v>316</v>
      </c>
      <c r="F5" s="53" t="s">
        <v>317</v>
      </c>
      <c r="G5" s="53" t="s">
        <v>36</v>
      </c>
      <c r="H5" s="53" t="s">
        <v>164</v>
      </c>
      <c r="I5" s="53" t="s">
        <v>159</v>
      </c>
      <c r="J5" s="53" t="s">
        <v>38</v>
      </c>
      <c r="K5" s="53" t="s">
        <v>161</v>
      </c>
      <c r="L5" s="53">
        <v>1</v>
      </c>
      <c r="N5" s="53">
        <v>5</v>
      </c>
      <c r="O5" s="53">
        <v>0.5</v>
      </c>
      <c r="P5" s="53">
        <v>0.48</v>
      </c>
      <c r="Q5" s="75">
        <f t="shared" si="2"/>
        <v>0.49</v>
      </c>
      <c r="R5" s="53">
        <v>14.2</v>
      </c>
      <c r="S5" s="53">
        <v>84</v>
      </c>
      <c r="T5" s="16">
        <f t="shared" si="0"/>
        <v>36</v>
      </c>
      <c r="U5" s="53">
        <v>348</v>
      </c>
      <c r="V5" s="16">
        <f t="shared" si="1"/>
        <v>16</v>
      </c>
      <c r="W5" s="53">
        <v>3</v>
      </c>
      <c r="X5" s="53" t="s">
        <v>46</v>
      </c>
      <c r="Y5" s="53" t="s">
        <v>78</v>
      </c>
      <c r="Z5" s="53" t="s">
        <v>90</v>
      </c>
      <c r="AA5" s="53" t="s">
        <v>102</v>
      </c>
      <c r="AB5" s="53" t="s">
        <v>318</v>
      </c>
      <c r="AE5" s="22" t="s">
        <v>51</v>
      </c>
      <c r="AG5" s="138" t="s">
        <v>328</v>
      </c>
      <c r="AH5" s="139" t="s">
        <v>329</v>
      </c>
      <c r="AJ5" s="28"/>
      <c r="AL5" s="73" t="s">
        <v>66</v>
      </c>
      <c r="AN5" s="73" t="s">
        <v>52</v>
      </c>
      <c r="AP5" s="23" t="s">
        <v>246</v>
      </c>
      <c r="AR5" s="23" t="s">
        <v>54</v>
      </c>
      <c r="AV5" s="23" t="s">
        <v>330</v>
      </c>
      <c r="AX5" s="24">
        <v>84</v>
      </c>
      <c r="AY5" s="25">
        <v>39</v>
      </c>
      <c r="AZ5" s="25">
        <v>84</v>
      </c>
      <c r="BA5" s="26">
        <v>36</v>
      </c>
    </row>
    <row r="6" spans="1:53" x14ac:dyDescent="0.15">
      <c r="A6" s="53" t="s">
        <v>59</v>
      </c>
      <c r="B6" s="53" t="s">
        <v>233</v>
      </c>
      <c r="C6" s="62">
        <v>2019</v>
      </c>
      <c r="D6" s="137" t="s">
        <v>166</v>
      </c>
      <c r="E6" s="53" t="s">
        <v>316</v>
      </c>
      <c r="F6" s="53" t="s">
        <v>317</v>
      </c>
      <c r="G6" s="53" t="s">
        <v>36</v>
      </c>
      <c r="H6" s="53" t="s">
        <v>164</v>
      </c>
      <c r="I6" s="53" t="s">
        <v>159</v>
      </c>
      <c r="J6" s="53" t="s">
        <v>38</v>
      </c>
      <c r="K6" s="53" t="s">
        <v>161</v>
      </c>
      <c r="L6" s="53">
        <v>2</v>
      </c>
      <c r="N6" s="53">
        <v>5</v>
      </c>
      <c r="O6" s="53">
        <v>0.55000000000000004</v>
      </c>
      <c r="P6" s="53">
        <v>0.56000000000000005</v>
      </c>
      <c r="Q6" s="75">
        <f t="shared" si="2"/>
        <v>0.55500000000000005</v>
      </c>
      <c r="R6" s="53">
        <v>14</v>
      </c>
      <c r="S6" s="53">
        <v>81</v>
      </c>
      <c r="T6" s="16">
        <f t="shared" si="0"/>
        <v>39</v>
      </c>
      <c r="U6" s="53">
        <v>348</v>
      </c>
      <c r="V6" s="16">
        <f t="shared" si="1"/>
        <v>16</v>
      </c>
      <c r="W6" s="53">
        <v>3</v>
      </c>
      <c r="X6" s="53" t="s">
        <v>46</v>
      </c>
      <c r="Y6" s="53" t="s">
        <v>78</v>
      </c>
      <c r="Z6" s="53" t="s">
        <v>90</v>
      </c>
      <c r="AA6" s="53" t="s">
        <v>102</v>
      </c>
      <c r="AB6" s="53" t="s">
        <v>318</v>
      </c>
      <c r="AE6" s="22" t="s">
        <v>56</v>
      </c>
      <c r="AG6" s="138" t="s">
        <v>331</v>
      </c>
      <c r="AH6" s="139" t="s">
        <v>332</v>
      </c>
      <c r="AL6" s="73" t="s">
        <v>99</v>
      </c>
      <c r="AN6" s="73" t="s">
        <v>57</v>
      </c>
      <c r="AP6" s="23" t="s">
        <v>53</v>
      </c>
      <c r="AR6" s="23" t="s">
        <v>333</v>
      </c>
      <c r="AV6" s="23" t="s">
        <v>60</v>
      </c>
      <c r="AX6" s="24">
        <v>97</v>
      </c>
      <c r="AY6" s="25">
        <v>36</v>
      </c>
      <c r="AZ6" s="25">
        <v>99</v>
      </c>
      <c r="BA6" s="26">
        <v>33</v>
      </c>
    </row>
    <row r="7" spans="1:53" x14ac:dyDescent="0.15">
      <c r="A7" s="53" t="s">
        <v>59</v>
      </c>
      <c r="B7" s="53" t="s">
        <v>233</v>
      </c>
      <c r="C7" s="62">
        <v>2019</v>
      </c>
      <c r="D7" s="137" t="s">
        <v>166</v>
      </c>
      <c r="E7" s="53" t="s">
        <v>316</v>
      </c>
      <c r="F7" s="53" t="s">
        <v>317</v>
      </c>
      <c r="G7" s="53" t="s">
        <v>36</v>
      </c>
      <c r="H7" s="53" t="s">
        <v>164</v>
      </c>
      <c r="I7" s="53" t="s">
        <v>159</v>
      </c>
      <c r="J7" s="53" t="s">
        <v>38</v>
      </c>
      <c r="K7" s="53" t="s">
        <v>161</v>
      </c>
      <c r="L7" s="53">
        <v>3</v>
      </c>
      <c r="N7" s="53">
        <v>5</v>
      </c>
      <c r="O7" s="53">
        <v>0.52</v>
      </c>
      <c r="P7" s="53">
        <v>0.51</v>
      </c>
      <c r="Q7" s="75">
        <f t="shared" si="2"/>
        <v>0.51500000000000001</v>
      </c>
      <c r="R7" s="53">
        <v>14.4</v>
      </c>
      <c r="S7" s="53">
        <v>84</v>
      </c>
      <c r="T7" s="16">
        <f t="shared" si="0"/>
        <v>36</v>
      </c>
      <c r="U7" s="53">
        <v>348</v>
      </c>
      <c r="V7" s="16">
        <f t="shared" si="1"/>
        <v>16</v>
      </c>
      <c r="W7" s="53">
        <v>3</v>
      </c>
      <c r="X7" s="53" t="s">
        <v>46</v>
      </c>
      <c r="Y7" s="53" t="s">
        <v>78</v>
      </c>
      <c r="Z7" s="53" t="s">
        <v>90</v>
      </c>
      <c r="AA7" s="53" t="s">
        <v>102</v>
      </c>
      <c r="AB7" s="53" t="s">
        <v>318</v>
      </c>
      <c r="AE7" s="22" t="s">
        <v>61</v>
      </c>
      <c r="AG7" s="138" t="s">
        <v>334</v>
      </c>
      <c r="AH7" s="139" t="s">
        <v>335</v>
      </c>
      <c r="AL7" s="34" t="s">
        <v>109</v>
      </c>
      <c r="AP7" s="23" t="s">
        <v>58</v>
      </c>
      <c r="AR7" s="23" t="s">
        <v>336</v>
      </c>
      <c r="AV7" s="23" t="s">
        <v>64</v>
      </c>
      <c r="AX7" s="24">
        <v>109</v>
      </c>
      <c r="AY7" s="25">
        <v>33</v>
      </c>
      <c r="AZ7" s="25">
        <v>113</v>
      </c>
      <c r="BA7" s="26">
        <v>30</v>
      </c>
    </row>
    <row r="8" spans="1:53" x14ac:dyDescent="0.15">
      <c r="A8" s="53" t="s">
        <v>59</v>
      </c>
      <c r="B8" s="53" t="s">
        <v>233</v>
      </c>
      <c r="C8" s="62">
        <v>2019</v>
      </c>
      <c r="D8" s="137" t="s">
        <v>166</v>
      </c>
      <c r="E8" s="53" t="s">
        <v>319</v>
      </c>
      <c r="F8" s="53" t="s">
        <v>320</v>
      </c>
      <c r="G8" s="53" t="s">
        <v>36</v>
      </c>
      <c r="H8" s="53" t="s">
        <v>160</v>
      </c>
      <c r="I8" s="53" t="s">
        <v>159</v>
      </c>
      <c r="J8" s="53" t="s">
        <v>38</v>
      </c>
      <c r="K8" s="53" t="s">
        <v>161</v>
      </c>
      <c r="L8" s="53">
        <v>1</v>
      </c>
      <c r="N8" s="53">
        <v>4</v>
      </c>
      <c r="O8" s="53">
        <v>0.3</v>
      </c>
      <c r="P8" s="53">
        <v>0.28999999999999998</v>
      </c>
      <c r="Q8" s="75">
        <f t="shared" si="2"/>
        <v>0.29499999999999998</v>
      </c>
      <c r="R8" s="53">
        <v>14.5</v>
      </c>
      <c r="S8" s="53">
        <v>90</v>
      </c>
      <c r="T8" s="16">
        <f t="shared" si="0"/>
        <v>36</v>
      </c>
      <c r="U8" s="53">
        <v>377</v>
      </c>
      <c r="V8" s="16">
        <f t="shared" si="1"/>
        <v>16</v>
      </c>
      <c r="W8" s="53">
        <v>1</v>
      </c>
      <c r="X8" s="53" t="s">
        <v>39</v>
      </c>
      <c r="Y8" s="53" t="s">
        <v>78</v>
      </c>
      <c r="Z8" s="53" t="s">
        <v>90</v>
      </c>
      <c r="AA8" s="53" t="s">
        <v>69</v>
      </c>
      <c r="AB8" s="53" t="s">
        <v>318</v>
      </c>
      <c r="AE8" s="22" t="s">
        <v>59</v>
      </c>
      <c r="AG8" s="140" t="s">
        <v>162</v>
      </c>
      <c r="AH8" s="139" t="s">
        <v>337</v>
      </c>
      <c r="AL8" s="34" t="s">
        <v>134</v>
      </c>
      <c r="AP8" s="23" t="s">
        <v>62</v>
      </c>
      <c r="AR8" s="23" t="s">
        <v>81</v>
      </c>
      <c r="AV8" s="23" t="s">
        <v>97</v>
      </c>
      <c r="AX8" s="24">
        <v>119</v>
      </c>
      <c r="AY8" s="25">
        <v>30</v>
      </c>
      <c r="AZ8" s="25">
        <v>121</v>
      </c>
      <c r="BA8" s="26">
        <v>27</v>
      </c>
    </row>
    <row r="9" spans="1:53" x14ac:dyDescent="0.15">
      <c r="A9" s="53" t="s">
        <v>59</v>
      </c>
      <c r="B9" s="53" t="s">
        <v>233</v>
      </c>
      <c r="C9" s="62">
        <v>2019</v>
      </c>
      <c r="D9" s="137" t="s">
        <v>166</v>
      </c>
      <c r="E9" s="53" t="s">
        <v>319</v>
      </c>
      <c r="F9" s="53" t="s">
        <v>320</v>
      </c>
      <c r="G9" s="53" t="s">
        <v>36</v>
      </c>
      <c r="H9" s="53" t="s">
        <v>160</v>
      </c>
      <c r="I9" s="53" t="s">
        <v>159</v>
      </c>
      <c r="J9" s="53" t="s">
        <v>38</v>
      </c>
      <c r="K9" s="53" t="s">
        <v>161</v>
      </c>
      <c r="L9" s="53">
        <v>2</v>
      </c>
      <c r="N9" s="53">
        <v>4</v>
      </c>
      <c r="O9" s="53">
        <v>0.31</v>
      </c>
      <c r="P9" s="53">
        <v>0.31</v>
      </c>
      <c r="Q9" s="75">
        <f t="shared" si="2"/>
        <v>0.31</v>
      </c>
      <c r="R9" s="53">
        <v>14.3</v>
      </c>
      <c r="S9" s="53">
        <v>86</v>
      </c>
      <c r="T9" s="16">
        <f t="shared" si="0"/>
        <v>36</v>
      </c>
      <c r="U9" s="53">
        <v>377</v>
      </c>
      <c r="V9" s="16">
        <f t="shared" si="1"/>
        <v>16</v>
      </c>
      <c r="W9" s="53">
        <v>1</v>
      </c>
      <c r="X9" s="53" t="s">
        <v>39</v>
      </c>
      <c r="Y9" s="53" t="s">
        <v>78</v>
      </c>
      <c r="Z9" s="53" t="s">
        <v>90</v>
      </c>
      <c r="AA9" s="53" t="s">
        <v>69</v>
      </c>
      <c r="AB9" s="53" t="s">
        <v>318</v>
      </c>
      <c r="AE9" s="22" t="s">
        <v>98</v>
      </c>
      <c r="AG9" s="140" t="s">
        <v>338</v>
      </c>
      <c r="AH9" s="139" t="s">
        <v>337</v>
      </c>
      <c r="AL9" s="73"/>
      <c r="AP9" s="23" t="s">
        <v>339</v>
      </c>
      <c r="AR9" s="23" t="s">
        <v>89</v>
      </c>
      <c r="AV9" s="23" t="s">
        <v>102</v>
      </c>
      <c r="AX9" s="24">
        <v>128</v>
      </c>
      <c r="AY9" s="25">
        <v>27</v>
      </c>
      <c r="AZ9" s="25">
        <v>129</v>
      </c>
      <c r="BA9" s="26">
        <v>25</v>
      </c>
    </row>
    <row r="10" spans="1:53" x14ac:dyDescent="0.15">
      <c r="A10" s="53" t="s">
        <v>59</v>
      </c>
      <c r="B10" s="53" t="s">
        <v>233</v>
      </c>
      <c r="C10" s="62">
        <v>2019</v>
      </c>
      <c r="D10" s="137" t="s">
        <v>166</v>
      </c>
      <c r="E10" s="53" t="s">
        <v>319</v>
      </c>
      <c r="F10" s="53" t="s">
        <v>320</v>
      </c>
      <c r="G10" s="53" t="s">
        <v>36</v>
      </c>
      <c r="H10" s="53" t="s">
        <v>160</v>
      </c>
      <c r="I10" s="53" t="s">
        <v>159</v>
      </c>
      <c r="J10" s="53" t="s">
        <v>38</v>
      </c>
      <c r="K10" s="53" t="s">
        <v>161</v>
      </c>
      <c r="L10" s="53">
        <v>3</v>
      </c>
      <c r="N10" s="53">
        <v>4</v>
      </c>
      <c r="O10" s="53">
        <v>0.3</v>
      </c>
      <c r="P10" s="53">
        <v>0.25</v>
      </c>
      <c r="Q10" s="75">
        <f t="shared" si="2"/>
        <v>0.27500000000000002</v>
      </c>
      <c r="R10" s="53">
        <v>14.8</v>
      </c>
      <c r="S10" s="53">
        <v>100</v>
      </c>
      <c r="T10" s="16">
        <f t="shared" si="0"/>
        <v>33</v>
      </c>
      <c r="U10" s="53">
        <v>377</v>
      </c>
      <c r="V10" s="16">
        <f t="shared" si="1"/>
        <v>16</v>
      </c>
      <c r="W10" s="53">
        <v>1</v>
      </c>
      <c r="X10" s="53" t="s">
        <v>39</v>
      </c>
      <c r="Y10" s="53" t="s">
        <v>78</v>
      </c>
      <c r="Z10" s="53" t="s">
        <v>90</v>
      </c>
      <c r="AA10" s="53" t="s">
        <v>69</v>
      </c>
      <c r="AB10" s="53" t="s">
        <v>318</v>
      </c>
      <c r="AE10" s="22" t="s">
        <v>103</v>
      </c>
      <c r="AG10" s="138" t="s">
        <v>340</v>
      </c>
      <c r="AH10" s="139" t="s">
        <v>329</v>
      </c>
      <c r="AL10" s="83"/>
      <c r="AP10" s="23" t="s">
        <v>100</v>
      </c>
      <c r="AR10" s="23" t="s">
        <v>123</v>
      </c>
      <c r="AV10" s="23" t="s">
        <v>106</v>
      </c>
      <c r="AX10" s="24">
        <v>138</v>
      </c>
      <c r="AY10" s="25">
        <v>25</v>
      </c>
      <c r="AZ10" s="25">
        <v>138</v>
      </c>
      <c r="BA10" s="26">
        <v>22</v>
      </c>
    </row>
    <row r="11" spans="1:53" x14ac:dyDescent="0.15">
      <c r="A11" s="53" t="s">
        <v>59</v>
      </c>
      <c r="B11" s="53" t="s">
        <v>233</v>
      </c>
      <c r="C11" s="62">
        <v>2019</v>
      </c>
      <c r="D11" s="137" t="s">
        <v>166</v>
      </c>
      <c r="E11" s="53" t="s">
        <v>319</v>
      </c>
      <c r="F11" s="53" t="s">
        <v>320</v>
      </c>
      <c r="G11" s="53" t="s">
        <v>36</v>
      </c>
      <c r="H11" s="53" t="s">
        <v>164</v>
      </c>
      <c r="I11" s="53" t="s">
        <v>159</v>
      </c>
      <c r="J11" s="53" t="s">
        <v>38</v>
      </c>
      <c r="K11" s="53" t="s">
        <v>161</v>
      </c>
      <c r="L11" s="53">
        <v>1</v>
      </c>
      <c r="N11" s="53">
        <v>4</v>
      </c>
      <c r="O11" s="53">
        <v>0.84</v>
      </c>
      <c r="P11" s="53">
        <v>0.93</v>
      </c>
      <c r="Q11" s="75">
        <f t="shared" si="2"/>
        <v>0.88500000000000001</v>
      </c>
      <c r="R11" s="53">
        <v>13.1</v>
      </c>
      <c r="S11" s="53">
        <v>89</v>
      </c>
      <c r="T11" s="16">
        <f t="shared" si="0"/>
        <v>36</v>
      </c>
      <c r="U11" s="53">
        <v>297</v>
      </c>
      <c r="V11" s="16">
        <f t="shared" si="1"/>
        <v>16</v>
      </c>
      <c r="W11" s="53">
        <v>5</v>
      </c>
      <c r="X11" s="53" t="s">
        <v>39</v>
      </c>
      <c r="Y11" s="53" t="s">
        <v>78</v>
      </c>
      <c r="Z11" s="53" t="s">
        <v>90</v>
      </c>
      <c r="AA11" s="53" t="s">
        <v>69</v>
      </c>
      <c r="AB11" s="53" t="s">
        <v>318</v>
      </c>
      <c r="AE11" s="22" t="s">
        <v>65</v>
      </c>
      <c r="AG11" s="140" t="s">
        <v>341</v>
      </c>
      <c r="AH11" s="139" t="s">
        <v>342</v>
      </c>
      <c r="AL11" s="83"/>
      <c r="AP11" s="23" t="s">
        <v>343</v>
      </c>
      <c r="AR11" s="23" t="s">
        <v>344</v>
      </c>
      <c r="AV11" s="23" t="s">
        <v>345</v>
      </c>
      <c r="AX11" s="24">
        <v>151</v>
      </c>
      <c r="AY11" s="25">
        <v>22</v>
      </c>
      <c r="AZ11" s="25">
        <v>152</v>
      </c>
      <c r="BA11" s="26">
        <v>18</v>
      </c>
    </row>
    <row r="12" spans="1:53" x14ac:dyDescent="0.15">
      <c r="A12" s="53" t="s">
        <v>59</v>
      </c>
      <c r="B12" s="53" t="s">
        <v>233</v>
      </c>
      <c r="C12" s="62">
        <v>2019</v>
      </c>
      <c r="D12" s="137" t="s">
        <v>166</v>
      </c>
      <c r="E12" s="53" t="s">
        <v>319</v>
      </c>
      <c r="F12" s="53" t="s">
        <v>320</v>
      </c>
      <c r="G12" s="53" t="s">
        <v>36</v>
      </c>
      <c r="H12" s="53" t="s">
        <v>164</v>
      </c>
      <c r="I12" s="53" t="s">
        <v>159</v>
      </c>
      <c r="J12" s="53" t="s">
        <v>38</v>
      </c>
      <c r="K12" s="53" t="s">
        <v>161</v>
      </c>
      <c r="L12" s="53">
        <v>2</v>
      </c>
      <c r="N12" s="53">
        <v>4</v>
      </c>
      <c r="O12" s="53">
        <v>0.77</v>
      </c>
      <c r="P12" s="53">
        <v>0.82</v>
      </c>
      <c r="Q12" s="75">
        <f t="shared" si="2"/>
        <v>0.79499999999999993</v>
      </c>
      <c r="R12" s="53">
        <v>13.6</v>
      </c>
      <c r="S12" s="53">
        <v>90</v>
      </c>
      <c r="T12" s="16">
        <f t="shared" si="0"/>
        <v>36</v>
      </c>
      <c r="U12" s="53">
        <v>297</v>
      </c>
      <c r="V12" s="16">
        <f t="shared" si="1"/>
        <v>16</v>
      </c>
      <c r="W12" s="53">
        <v>5</v>
      </c>
      <c r="X12" s="53" t="s">
        <v>39</v>
      </c>
      <c r="Y12" s="53" t="s">
        <v>78</v>
      </c>
      <c r="Z12" s="53" t="s">
        <v>90</v>
      </c>
      <c r="AA12" s="53" t="s">
        <v>69</v>
      </c>
      <c r="AB12" s="53" t="s">
        <v>318</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233</v>
      </c>
      <c r="C13" s="62">
        <v>2019</v>
      </c>
      <c r="D13" s="137" t="s">
        <v>166</v>
      </c>
      <c r="E13" s="53" t="s">
        <v>319</v>
      </c>
      <c r="F13" s="53" t="s">
        <v>320</v>
      </c>
      <c r="G13" s="53" t="s">
        <v>36</v>
      </c>
      <c r="H13" s="53" t="s">
        <v>164</v>
      </c>
      <c r="I13" s="53" t="s">
        <v>159</v>
      </c>
      <c r="J13" s="53" t="s">
        <v>38</v>
      </c>
      <c r="K13" s="53" t="s">
        <v>161</v>
      </c>
      <c r="L13" s="53">
        <v>3</v>
      </c>
      <c r="N13" s="53">
        <v>4</v>
      </c>
      <c r="O13" s="53">
        <v>0.81</v>
      </c>
      <c r="P13" s="53">
        <v>0.85</v>
      </c>
      <c r="Q13" s="75">
        <f t="shared" si="2"/>
        <v>0.83000000000000007</v>
      </c>
      <c r="R13" s="53">
        <v>13.3</v>
      </c>
      <c r="S13" s="53">
        <v>92</v>
      </c>
      <c r="T13" s="16">
        <f t="shared" si="0"/>
        <v>36</v>
      </c>
      <c r="U13" s="53">
        <v>297</v>
      </c>
      <c r="V13" s="16">
        <f t="shared" si="1"/>
        <v>16</v>
      </c>
      <c r="W13" s="53">
        <v>5</v>
      </c>
      <c r="X13" s="53" t="s">
        <v>39</v>
      </c>
      <c r="Y13" s="53" t="s">
        <v>78</v>
      </c>
      <c r="Z13" s="53" t="s">
        <v>90</v>
      </c>
      <c r="AA13" s="53" t="s">
        <v>69</v>
      </c>
      <c r="AB13" s="53" t="s">
        <v>318</v>
      </c>
      <c r="AE13" s="22" t="s">
        <v>73</v>
      </c>
      <c r="AG13" s="23"/>
      <c r="AH13" s="23"/>
      <c r="AP13" s="23" t="s">
        <v>71</v>
      </c>
      <c r="AR13" s="23" t="s">
        <v>103</v>
      </c>
      <c r="AV13" s="23" t="s">
        <v>75</v>
      </c>
    </row>
    <row r="14" spans="1:53" x14ac:dyDescent="0.15">
      <c r="A14" s="53" t="s">
        <v>59</v>
      </c>
      <c r="B14" s="53" t="s">
        <v>233</v>
      </c>
      <c r="C14" s="62">
        <v>2019</v>
      </c>
      <c r="D14" s="137" t="s">
        <v>166</v>
      </c>
      <c r="E14" s="53" t="s">
        <v>328</v>
      </c>
      <c r="F14" s="53" t="s">
        <v>329</v>
      </c>
      <c r="G14" s="53" t="s">
        <v>36</v>
      </c>
      <c r="H14" s="53" t="s">
        <v>160</v>
      </c>
      <c r="I14" s="53" t="s">
        <v>159</v>
      </c>
      <c r="J14" s="53" t="s">
        <v>38</v>
      </c>
      <c r="K14" s="53" t="s">
        <v>161</v>
      </c>
      <c r="L14" s="53">
        <v>1</v>
      </c>
      <c r="N14" s="53">
        <v>3</v>
      </c>
      <c r="O14" s="53">
        <v>0.36</v>
      </c>
      <c r="P14" s="53">
        <v>0.44</v>
      </c>
      <c r="Q14" s="75">
        <f t="shared" si="2"/>
        <v>0.4</v>
      </c>
      <c r="R14" s="53">
        <v>16.2</v>
      </c>
      <c r="S14" s="53">
        <v>124</v>
      </c>
      <c r="T14" s="16">
        <f t="shared" si="0"/>
        <v>27</v>
      </c>
      <c r="U14" s="53">
        <v>399</v>
      </c>
      <c r="V14" s="16">
        <f t="shared" si="1"/>
        <v>16</v>
      </c>
      <c r="W14" s="53">
        <v>6</v>
      </c>
      <c r="X14" s="53" t="s">
        <v>39</v>
      </c>
      <c r="Y14" s="53" t="s">
        <v>90</v>
      </c>
      <c r="Z14" s="53" t="s">
        <v>78</v>
      </c>
      <c r="AA14" s="53" t="s">
        <v>69</v>
      </c>
      <c r="AB14" s="53" t="s">
        <v>318</v>
      </c>
      <c r="AE14" s="22" t="s">
        <v>76</v>
      </c>
      <c r="AG14" s="23"/>
      <c r="AH14" s="23"/>
      <c r="AP14" s="23" t="s">
        <v>346</v>
      </c>
      <c r="AR14" s="23" t="s">
        <v>125</v>
      </c>
      <c r="AV14" s="23" t="s">
        <v>78</v>
      </c>
    </row>
    <row r="15" spans="1:53" x14ac:dyDescent="0.15">
      <c r="A15" s="53" t="s">
        <v>59</v>
      </c>
      <c r="B15" s="53" t="s">
        <v>233</v>
      </c>
      <c r="C15" s="62">
        <v>2019</v>
      </c>
      <c r="D15" s="137" t="s">
        <v>166</v>
      </c>
      <c r="E15" s="53" t="s">
        <v>328</v>
      </c>
      <c r="F15" s="53" t="s">
        <v>329</v>
      </c>
      <c r="G15" s="53" t="s">
        <v>36</v>
      </c>
      <c r="H15" s="53" t="s">
        <v>160</v>
      </c>
      <c r="I15" s="53" t="s">
        <v>159</v>
      </c>
      <c r="J15" s="53" t="s">
        <v>38</v>
      </c>
      <c r="K15" s="53" t="s">
        <v>161</v>
      </c>
      <c r="L15" s="53">
        <v>2</v>
      </c>
      <c r="N15" s="53">
        <v>3</v>
      </c>
      <c r="O15" s="53">
        <v>0.51</v>
      </c>
      <c r="P15" s="53">
        <v>0.46</v>
      </c>
      <c r="Q15" s="75">
        <f t="shared" si="2"/>
        <v>0.48499999999999999</v>
      </c>
      <c r="R15" s="53">
        <v>15.9</v>
      </c>
      <c r="S15" s="53">
        <v>125</v>
      </c>
      <c r="T15" s="16">
        <f t="shared" si="0"/>
        <v>27</v>
      </c>
      <c r="U15" s="53">
        <v>399</v>
      </c>
      <c r="V15" s="16">
        <f t="shared" si="1"/>
        <v>16</v>
      </c>
      <c r="W15" s="53">
        <v>6</v>
      </c>
      <c r="X15" s="53" t="s">
        <v>39</v>
      </c>
      <c r="Y15" s="53" t="s">
        <v>90</v>
      </c>
      <c r="Z15" s="53" t="s">
        <v>78</v>
      </c>
      <c r="AA15" s="53" t="s">
        <v>69</v>
      </c>
      <c r="AB15" s="53" t="s">
        <v>318</v>
      </c>
      <c r="AE15" s="22" t="s">
        <v>79</v>
      </c>
      <c r="AG15" s="23"/>
      <c r="AH15" s="23"/>
      <c r="AP15" s="23" t="s">
        <v>347</v>
      </c>
      <c r="AR15" s="23" t="s">
        <v>94</v>
      </c>
      <c r="AV15" s="23" t="s">
        <v>107</v>
      </c>
    </row>
    <row r="16" spans="1:53" x14ac:dyDescent="0.15">
      <c r="A16" s="53" t="s">
        <v>59</v>
      </c>
      <c r="B16" s="53" t="s">
        <v>233</v>
      </c>
      <c r="C16" s="62">
        <v>2019</v>
      </c>
      <c r="D16" s="137" t="s">
        <v>166</v>
      </c>
      <c r="E16" s="53" t="s">
        <v>328</v>
      </c>
      <c r="F16" s="53" t="s">
        <v>329</v>
      </c>
      <c r="G16" s="53" t="s">
        <v>36</v>
      </c>
      <c r="H16" s="53" t="s">
        <v>160</v>
      </c>
      <c r="I16" s="53" t="s">
        <v>159</v>
      </c>
      <c r="J16" s="53" t="s">
        <v>38</v>
      </c>
      <c r="K16" s="53" t="s">
        <v>161</v>
      </c>
      <c r="L16" s="53">
        <v>3</v>
      </c>
      <c r="N16" s="53">
        <v>3</v>
      </c>
      <c r="O16" s="53">
        <v>0.52</v>
      </c>
      <c r="P16" s="53">
        <v>0.53</v>
      </c>
      <c r="Q16" s="75">
        <f t="shared" si="2"/>
        <v>0.52500000000000002</v>
      </c>
      <c r="R16" s="53">
        <v>16.100000000000001</v>
      </c>
      <c r="S16" s="53">
        <v>125</v>
      </c>
      <c r="T16" s="16">
        <f t="shared" si="0"/>
        <v>27</v>
      </c>
      <c r="U16" s="53">
        <v>399</v>
      </c>
      <c r="V16" s="16">
        <f t="shared" si="1"/>
        <v>16</v>
      </c>
      <c r="W16" s="53">
        <v>6</v>
      </c>
      <c r="X16" s="53" t="s">
        <v>39</v>
      </c>
      <c r="Y16" s="53" t="s">
        <v>90</v>
      </c>
      <c r="Z16" s="53" t="s">
        <v>78</v>
      </c>
      <c r="AA16" s="53" t="s">
        <v>69</v>
      </c>
      <c r="AB16" s="53" t="s">
        <v>318</v>
      </c>
      <c r="AE16" s="22" t="s">
        <v>82</v>
      </c>
      <c r="AG16" s="28"/>
      <c r="AH16" s="28"/>
      <c r="AP16" s="23" t="s">
        <v>80</v>
      </c>
      <c r="AR16" s="23" t="s">
        <v>63</v>
      </c>
      <c r="AV16" s="23" t="s">
        <v>84</v>
      </c>
    </row>
    <row r="17" spans="1:48" x14ac:dyDescent="0.15">
      <c r="A17" s="53" t="s">
        <v>59</v>
      </c>
      <c r="B17" s="53" t="s">
        <v>233</v>
      </c>
      <c r="C17" s="62">
        <v>2019</v>
      </c>
      <c r="D17" s="137" t="s">
        <v>166</v>
      </c>
      <c r="E17" s="53" t="s">
        <v>328</v>
      </c>
      <c r="F17" s="53" t="s">
        <v>329</v>
      </c>
      <c r="G17" s="53" t="s">
        <v>36</v>
      </c>
      <c r="H17" s="53" t="s">
        <v>164</v>
      </c>
      <c r="I17" s="53" t="s">
        <v>159</v>
      </c>
      <c r="J17" s="53" t="s">
        <v>38</v>
      </c>
      <c r="K17" s="53" t="s">
        <v>161</v>
      </c>
      <c r="L17" s="53">
        <v>1</v>
      </c>
      <c r="N17" s="53">
        <v>4</v>
      </c>
      <c r="O17" s="53">
        <v>0.46</v>
      </c>
      <c r="P17" s="53">
        <v>0.52</v>
      </c>
      <c r="Q17" s="75">
        <f t="shared" si="2"/>
        <v>0.49</v>
      </c>
      <c r="R17" s="53">
        <v>15</v>
      </c>
      <c r="S17" s="53">
        <v>99</v>
      </c>
      <c r="T17" s="16">
        <f t="shared" si="0"/>
        <v>33</v>
      </c>
      <c r="U17" s="53">
        <v>399</v>
      </c>
      <c r="V17" s="16">
        <f t="shared" si="1"/>
        <v>16</v>
      </c>
      <c r="W17" s="53">
        <v>4</v>
      </c>
      <c r="X17" s="53" t="s">
        <v>39</v>
      </c>
      <c r="Y17" s="53" t="s">
        <v>90</v>
      </c>
      <c r="Z17" s="53" t="s">
        <v>78</v>
      </c>
      <c r="AA17" s="53" t="s">
        <v>69</v>
      </c>
      <c r="AB17" s="53" t="s">
        <v>318</v>
      </c>
      <c r="AE17" s="22" t="s">
        <v>85</v>
      </c>
      <c r="AP17" s="27" t="s">
        <v>110</v>
      </c>
      <c r="AR17" s="23" t="s">
        <v>96</v>
      </c>
      <c r="AV17" s="23" t="s">
        <v>86</v>
      </c>
    </row>
    <row r="18" spans="1:48" x14ac:dyDescent="0.15">
      <c r="A18" s="53" t="s">
        <v>59</v>
      </c>
      <c r="B18" s="53" t="s">
        <v>233</v>
      </c>
      <c r="C18" s="62">
        <v>2019</v>
      </c>
      <c r="D18" s="137" t="s">
        <v>166</v>
      </c>
      <c r="E18" s="53" t="s">
        <v>328</v>
      </c>
      <c r="F18" s="53" t="s">
        <v>329</v>
      </c>
      <c r="G18" s="53" t="s">
        <v>36</v>
      </c>
      <c r="H18" s="53" t="s">
        <v>164</v>
      </c>
      <c r="I18" s="53" t="s">
        <v>159</v>
      </c>
      <c r="J18" s="53" t="s">
        <v>38</v>
      </c>
      <c r="K18" s="53" t="s">
        <v>161</v>
      </c>
      <c r="L18" s="53">
        <v>2</v>
      </c>
      <c r="N18" s="53">
        <v>4</v>
      </c>
      <c r="O18" s="53">
        <v>0.55000000000000004</v>
      </c>
      <c r="P18" s="53">
        <v>0.6</v>
      </c>
      <c r="Q18" s="75">
        <f t="shared" si="2"/>
        <v>0.57499999999999996</v>
      </c>
      <c r="R18" s="53">
        <v>14.1</v>
      </c>
      <c r="S18" s="53">
        <v>101</v>
      </c>
      <c r="T18" s="16">
        <f t="shared" si="0"/>
        <v>33</v>
      </c>
      <c r="U18" s="53">
        <v>399</v>
      </c>
      <c r="V18" s="16">
        <f t="shared" si="1"/>
        <v>16</v>
      </c>
      <c r="W18" s="53">
        <v>4</v>
      </c>
      <c r="X18" s="53" t="s">
        <v>39</v>
      </c>
      <c r="Y18" s="53" t="s">
        <v>90</v>
      </c>
      <c r="Z18" s="53" t="s">
        <v>78</v>
      </c>
      <c r="AA18" s="53" t="s">
        <v>69</v>
      </c>
      <c r="AB18" s="53" t="s">
        <v>318</v>
      </c>
      <c r="AE18" s="22" t="s">
        <v>87</v>
      </c>
      <c r="AP18" s="27" t="s">
        <v>348</v>
      </c>
      <c r="AR18" s="23" t="s">
        <v>101</v>
      </c>
      <c r="AV18" s="23" t="s">
        <v>88</v>
      </c>
    </row>
    <row r="19" spans="1:48" x14ac:dyDescent="0.15">
      <c r="A19" s="53" t="s">
        <v>59</v>
      </c>
      <c r="B19" s="53" t="s">
        <v>233</v>
      </c>
      <c r="C19" s="62">
        <v>2019</v>
      </c>
      <c r="D19" s="137" t="s">
        <v>166</v>
      </c>
      <c r="E19" s="53" t="s">
        <v>328</v>
      </c>
      <c r="F19" s="53" t="s">
        <v>329</v>
      </c>
      <c r="G19" s="53" t="s">
        <v>36</v>
      </c>
      <c r="H19" s="53" t="s">
        <v>164</v>
      </c>
      <c r="I19" s="53" t="s">
        <v>159</v>
      </c>
      <c r="J19" s="53" t="s">
        <v>38</v>
      </c>
      <c r="K19" s="53" t="s">
        <v>161</v>
      </c>
      <c r="L19" s="53">
        <v>3</v>
      </c>
      <c r="N19" s="53">
        <v>4</v>
      </c>
      <c r="O19" s="53">
        <v>0.52</v>
      </c>
      <c r="P19" s="53">
        <v>0.59</v>
      </c>
      <c r="Q19" s="75">
        <f t="shared" si="2"/>
        <v>0.55499999999999994</v>
      </c>
      <c r="R19" s="53">
        <v>14.9</v>
      </c>
      <c r="S19" s="53">
        <v>100</v>
      </c>
      <c r="T19" s="16">
        <f t="shared" si="0"/>
        <v>33</v>
      </c>
      <c r="U19" s="53">
        <v>399</v>
      </c>
      <c r="V19" s="16">
        <f t="shared" si="1"/>
        <v>16</v>
      </c>
      <c r="W19" s="53">
        <v>4</v>
      </c>
      <c r="X19" s="53" t="s">
        <v>39</v>
      </c>
      <c r="Y19" s="53" t="s">
        <v>90</v>
      </c>
      <c r="Z19" s="53" t="s">
        <v>78</v>
      </c>
      <c r="AA19" s="53" t="s">
        <v>69</v>
      </c>
      <c r="AB19" s="53" t="s">
        <v>318</v>
      </c>
      <c r="AE19" s="35" t="s">
        <v>89</v>
      </c>
      <c r="AP19" s="27" t="s">
        <v>112</v>
      </c>
      <c r="AR19" s="23" t="s">
        <v>126</v>
      </c>
      <c r="AV19" s="23" t="s">
        <v>349</v>
      </c>
    </row>
    <row r="20" spans="1:48" x14ac:dyDescent="0.15">
      <c r="A20" s="53" t="s">
        <v>59</v>
      </c>
      <c r="B20" s="53" t="s">
        <v>233</v>
      </c>
      <c r="C20" s="62">
        <v>2019</v>
      </c>
      <c r="D20" s="137" t="s">
        <v>166</v>
      </c>
      <c r="E20" s="53" t="s">
        <v>340</v>
      </c>
      <c r="F20" s="53" t="s">
        <v>329</v>
      </c>
      <c r="G20" s="53" t="s">
        <v>36</v>
      </c>
      <c r="H20" s="53" t="s">
        <v>160</v>
      </c>
      <c r="I20" s="53" t="s">
        <v>159</v>
      </c>
      <c r="J20" s="53" t="s">
        <v>38</v>
      </c>
      <c r="K20" s="53" t="s">
        <v>161</v>
      </c>
      <c r="L20" s="53">
        <v>1</v>
      </c>
      <c r="N20" s="53">
        <v>2</v>
      </c>
      <c r="O20" s="53">
        <v>0.48</v>
      </c>
      <c r="P20" s="53">
        <v>0.4</v>
      </c>
      <c r="Q20" s="75">
        <f t="shared" si="2"/>
        <v>0.44</v>
      </c>
      <c r="R20" s="53">
        <v>16.100000000000001</v>
      </c>
      <c r="S20" s="53">
        <v>155</v>
      </c>
      <c r="T20" s="16">
        <f t="shared" si="0"/>
        <v>18</v>
      </c>
      <c r="U20" s="53">
        <v>429</v>
      </c>
      <c r="V20" s="16">
        <f t="shared" si="1"/>
        <v>16</v>
      </c>
      <c r="W20" s="53">
        <v>2</v>
      </c>
      <c r="X20" s="53" t="s">
        <v>46</v>
      </c>
      <c r="Y20" s="53" t="s">
        <v>78</v>
      </c>
      <c r="Z20" s="53" t="s">
        <v>84</v>
      </c>
      <c r="AA20" s="53" t="s">
        <v>102</v>
      </c>
      <c r="AB20" s="53" t="s">
        <v>318</v>
      </c>
      <c r="AE20" s="35"/>
      <c r="AP20" s="27" t="s">
        <v>113</v>
      </c>
      <c r="AR20" s="23" t="s">
        <v>105</v>
      </c>
      <c r="AV20" s="27" t="s">
        <v>135</v>
      </c>
    </row>
    <row r="21" spans="1:48" x14ac:dyDescent="0.15">
      <c r="A21" s="53" t="s">
        <v>59</v>
      </c>
      <c r="B21" s="53" t="s">
        <v>233</v>
      </c>
      <c r="C21" s="62">
        <v>2019</v>
      </c>
      <c r="D21" s="137" t="s">
        <v>166</v>
      </c>
      <c r="E21" s="53" t="s">
        <v>340</v>
      </c>
      <c r="F21" s="53" t="s">
        <v>329</v>
      </c>
      <c r="G21" s="53" t="s">
        <v>36</v>
      </c>
      <c r="H21" s="53" t="s">
        <v>160</v>
      </c>
      <c r="I21" s="53" t="s">
        <v>159</v>
      </c>
      <c r="J21" s="53" t="s">
        <v>38</v>
      </c>
      <c r="K21" s="53" t="s">
        <v>161</v>
      </c>
      <c r="L21" s="53">
        <v>2</v>
      </c>
      <c r="N21" s="53">
        <v>2</v>
      </c>
      <c r="O21" s="53">
        <v>0.39</v>
      </c>
      <c r="P21" s="53">
        <v>0.37</v>
      </c>
      <c r="Q21" s="75">
        <f t="shared" si="2"/>
        <v>0.38</v>
      </c>
      <c r="R21" s="53">
        <v>16.5</v>
      </c>
      <c r="S21" s="53">
        <v>150</v>
      </c>
      <c r="T21" s="16">
        <f t="shared" si="0"/>
        <v>22</v>
      </c>
      <c r="U21" s="53">
        <v>429</v>
      </c>
      <c r="V21" s="16">
        <f t="shared" si="1"/>
        <v>16</v>
      </c>
      <c r="W21" s="53">
        <v>2</v>
      </c>
      <c r="X21" s="53" t="s">
        <v>46</v>
      </c>
      <c r="Y21" s="53" t="s">
        <v>78</v>
      </c>
      <c r="Z21" s="53" t="s">
        <v>84</v>
      </c>
      <c r="AA21" s="53" t="s">
        <v>102</v>
      </c>
      <c r="AB21" s="53" t="s">
        <v>318</v>
      </c>
      <c r="AE21" s="28"/>
      <c r="AP21" s="27" t="s">
        <v>350</v>
      </c>
      <c r="AR21" s="23" t="s">
        <v>68</v>
      </c>
      <c r="AV21" s="27" t="s">
        <v>136</v>
      </c>
    </row>
    <row r="22" spans="1:48" x14ac:dyDescent="0.15">
      <c r="A22" s="53" t="s">
        <v>59</v>
      </c>
      <c r="B22" s="53" t="s">
        <v>233</v>
      </c>
      <c r="C22" s="62">
        <v>2019</v>
      </c>
      <c r="D22" s="137" t="s">
        <v>166</v>
      </c>
      <c r="E22" s="53" t="s">
        <v>340</v>
      </c>
      <c r="F22" s="53" t="s">
        <v>329</v>
      </c>
      <c r="G22" s="53" t="s">
        <v>36</v>
      </c>
      <c r="H22" s="53" t="s">
        <v>160</v>
      </c>
      <c r="I22" s="53" t="s">
        <v>159</v>
      </c>
      <c r="J22" s="53" t="s">
        <v>38</v>
      </c>
      <c r="K22" s="53" t="s">
        <v>161</v>
      </c>
      <c r="L22" s="53">
        <v>3</v>
      </c>
      <c r="N22" s="53">
        <v>2</v>
      </c>
      <c r="O22" s="53">
        <v>0.42</v>
      </c>
      <c r="P22" s="53">
        <v>0.46</v>
      </c>
      <c r="Q22" s="75">
        <f t="shared" si="2"/>
        <v>0.44</v>
      </c>
      <c r="R22" s="53">
        <v>16.2</v>
      </c>
      <c r="S22" s="53">
        <v>152</v>
      </c>
      <c r="T22" s="16">
        <f t="shared" si="0"/>
        <v>18</v>
      </c>
      <c r="U22" s="53">
        <v>429</v>
      </c>
      <c r="V22" s="16">
        <f t="shared" si="1"/>
        <v>16</v>
      </c>
      <c r="W22" s="53">
        <v>2</v>
      </c>
      <c r="X22" s="53" t="s">
        <v>46</v>
      </c>
      <c r="Y22" s="53" t="s">
        <v>78</v>
      </c>
      <c r="Z22" s="53" t="s">
        <v>84</v>
      </c>
      <c r="AA22" s="53" t="s">
        <v>102</v>
      </c>
      <c r="AB22" s="53" t="s">
        <v>318</v>
      </c>
      <c r="AP22" s="27" t="s">
        <v>351</v>
      </c>
      <c r="AR22" s="23" t="s">
        <v>83</v>
      </c>
      <c r="AV22" s="27" t="s">
        <v>352</v>
      </c>
    </row>
    <row r="23" spans="1:48" x14ac:dyDescent="0.15">
      <c r="A23" s="53" t="s">
        <v>59</v>
      </c>
      <c r="B23" s="53" t="s">
        <v>233</v>
      </c>
      <c r="C23" s="62">
        <v>2019</v>
      </c>
      <c r="D23" s="137" t="s">
        <v>166</v>
      </c>
      <c r="E23" s="53" t="s">
        <v>340</v>
      </c>
      <c r="F23" s="53" t="s">
        <v>329</v>
      </c>
      <c r="G23" s="53" t="s">
        <v>36</v>
      </c>
      <c r="H23" s="53" t="s">
        <v>164</v>
      </c>
      <c r="I23" s="53" t="s">
        <v>159</v>
      </c>
      <c r="J23" s="53" t="s">
        <v>38</v>
      </c>
      <c r="K23" s="53" t="s">
        <v>161</v>
      </c>
      <c r="L23" s="53">
        <v>1</v>
      </c>
      <c r="N23" s="53">
        <v>4</v>
      </c>
      <c r="O23" s="53">
        <v>0.39</v>
      </c>
      <c r="P23" s="53">
        <v>0.34</v>
      </c>
      <c r="Q23" s="75">
        <f t="shared" si="2"/>
        <v>0.36499999999999999</v>
      </c>
      <c r="R23" s="53">
        <v>14</v>
      </c>
      <c r="S23" s="53">
        <v>99</v>
      </c>
      <c r="T23" s="16">
        <f t="shared" si="0"/>
        <v>33</v>
      </c>
      <c r="U23" s="53">
        <v>429</v>
      </c>
      <c r="V23" s="16">
        <f t="shared" si="1"/>
        <v>16</v>
      </c>
      <c r="W23" s="53">
        <v>2</v>
      </c>
      <c r="X23" s="53" t="s">
        <v>46</v>
      </c>
      <c r="Y23" s="53" t="s">
        <v>78</v>
      </c>
      <c r="Z23" s="53" t="s">
        <v>84</v>
      </c>
      <c r="AA23" s="53" t="s">
        <v>102</v>
      </c>
      <c r="AB23" s="53" t="s">
        <v>318</v>
      </c>
      <c r="AP23" s="27" t="s">
        <v>137</v>
      </c>
      <c r="AR23" s="23" t="s">
        <v>61</v>
      </c>
      <c r="AV23" s="27" t="s">
        <v>353</v>
      </c>
    </row>
    <row r="24" spans="1:48" x14ac:dyDescent="0.15">
      <c r="A24" s="53" t="s">
        <v>59</v>
      </c>
      <c r="B24" s="53" t="s">
        <v>233</v>
      </c>
      <c r="C24" s="62">
        <v>2019</v>
      </c>
      <c r="D24" s="137" t="s">
        <v>166</v>
      </c>
      <c r="E24" s="53" t="s">
        <v>340</v>
      </c>
      <c r="F24" s="53" t="s">
        <v>329</v>
      </c>
      <c r="G24" s="53" t="s">
        <v>36</v>
      </c>
      <c r="H24" s="53" t="s">
        <v>164</v>
      </c>
      <c r="I24" s="53" t="s">
        <v>159</v>
      </c>
      <c r="J24" s="53" t="s">
        <v>38</v>
      </c>
      <c r="K24" s="53" t="s">
        <v>161</v>
      </c>
      <c r="L24" s="53">
        <v>2</v>
      </c>
      <c r="N24" s="53">
        <v>4</v>
      </c>
      <c r="O24" s="53">
        <v>0.31</v>
      </c>
      <c r="P24" s="53">
        <v>0.3</v>
      </c>
      <c r="Q24" s="75">
        <f t="shared" si="2"/>
        <v>0.30499999999999999</v>
      </c>
      <c r="R24" s="53">
        <v>15</v>
      </c>
      <c r="S24" s="53">
        <v>95</v>
      </c>
      <c r="T24" s="16">
        <f t="shared" si="0"/>
        <v>36</v>
      </c>
      <c r="U24" s="53">
        <v>429</v>
      </c>
      <c r="V24" s="16">
        <f t="shared" si="1"/>
        <v>16</v>
      </c>
      <c r="W24" s="53">
        <v>2</v>
      </c>
      <c r="X24" s="53" t="s">
        <v>46</v>
      </c>
      <c r="Y24" s="53" t="s">
        <v>78</v>
      </c>
      <c r="Z24" s="53" t="s">
        <v>84</v>
      </c>
      <c r="AA24" s="53" t="s">
        <v>102</v>
      </c>
      <c r="AB24" s="53" t="s">
        <v>318</v>
      </c>
      <c r="AP24" s="27" t="s">
        <v>138</v>
      </c>
      <c r="AR24" s="23" t="s">
        <v>91</v>
      </c>
      <c r="AV24" s="27" t="s">
        <v>354</v>
      </c>
    </row>
    <row r="25" spans="1:48" x14ac:dyDescent="0.15">
      <c r="A25" s="53" t="s">
        <v>59</v>
      </c>
      <c r="B25" s="53" t="s">
        <v>233</v>
      </c>
      <c r="C25" s="62">
        <v>2019</v>
      </c>
      <c r="D25" s="137" t="s">
        <v>166</v>
      </c>
      <c r="E25" s="53" t="s">
        <v>340</v>
      </c>
      <c r="F25" s="53" t="s">
        <v>329</v>
      </c>
      <c r="G25" s="53" t="s">
        <v>36</v>
      </c>
      <c r="H25" s="53" t="s">
        <v>164</v>
      </c>
      <c r="I25" s="53" t="s">
        <v>159</v>
      </c>
      <c r="J25" s="53" t="s">
        <v>38</v>
      </c>
      <c r="K25" s="53" t="s">
        <v>161</v>
      </c>
      <c r="L25" s="53">
        <v>3</v>
      </c>
      <c r="N25" s="53">
        <v>4</v>
      </c>
      <c r="O25" s="53">
        <v>0.38</v>
      </c>
      <c r="P25" s="53">
        <v>0.35</v>
      </c>
      <c r="Q25" s="75">
        <f t="shared" si="2"/>
        <v>0.36499999999999999</v>
      </c>
      <c r="R25" s="53">
        <v>14.1</v>
      </c>
      <c r="S25" s="53">
        <v>101</v>
      </c>
      <c r="T25" s="16">
        <f t="shared" si="0"/>
        <v>33</v>
      </c>
      <c r="U25" s="53">
        <v>429</v>
      </c>
      <c r="V25" s="16">
        <f t="shared" si="1"/>
        <v>16</v>
      </c>
      <c r="W25" s="53">
        <v>2</v>
      </c>
      <c r="X25" s="53" t="s">
        <v>46</v>
      </c>
      <c r="Y25" s="53" t="s">
        <v>78</v>
      </c>
      <c r="Z25" s="53" t="s">
        <v>84</v>
      </c>
      <c r="AA25" s="53" t="s">
        <v>102</v>
      </c>
      <c r="AB25" s="53" t="s">
        <v>318</v>
      </c>
      <c r="AP25" s="27" t="s">
        <v>116</v>
      </c>
      <c r="AR25" s="27" t="s">
        <v>92</v>
      </c>
      <c r="AV25" s="27" t="s">
        <v>355</v>
      </c>
    </row>
    <row r="26" spans="1:48" x14ac:dyDescent="0.15">
      <c r="A26" s="53" t="s">
        <v>59</v>
      </c>
      <c r="B26" s="53" t="s">
        <v>233</v>
      </c>
      <c r="C26" s="62">
        <v>2019</v>
      </c>
      <c r="D26" s="137" t="s">
        <v>166</v>
      </c>
      <c r="E26" s="53" t="s">
        <v>338</v>
      </c>
      <c r="F26" s="53" t="s">
        <v>337</v>
      </c>
      <c r="G26" s="53" t="s">
        <v>36</v>
      </c>
      <c r="H26" s="53" t="s">
        <v>160</v>
      </c>
      <c r="I26" s="53" t="s">
        <v>159</v>
      </c>
      <c r="J26" s="53" t="s">
        <v>38</v>
      </c>
      <c r="K26" s="53" t="s">
        <v>161</v>
      </c>
      <c r="L26" s="53">
        <v>1</v>
      </c>
      <c r="N26" s="53">
        <v>1</v>
      </c>
      <c r="O26" s="53">
        <v>0.47</v>
      </c>
      <c r="P26" s="53">
        <v>0.45</v>
      </c>
      <c r="Q26" s="75">
        <f t="shared" si="2"/>
        <v>0.45999999999999996</v>
      </c>
      <c r="R26" s="53">
        <v>15.6</v>
      </c>
      <c r="S26" s="53">
        <v>126</v>
      </c>
      <c r="T26" s="16">
        <f t="shared" si="0"/>
        <v>27</v>
      </c>
      <c r="U26" s="53">
        <v>138</v>
      </c>
      <c r="V26" s="16">
        <f t="shared" si="1"/>
        <v>22</v>
      </c>
      <c r="W26" s="53">
        <v>2</v>
      </c>
      <c r="X26" s="53" t="s">
        <v>39</v>
      </c>
      <c r="Y26" s="53" t="s">
        <v>78</v>
      </c>
      <c r="Z26" s="53" t="s">
        <v>102</v>
      </c>
      <c r="AA26" s="53" t="s">
        <v>90</v>
      </c>
      <c r="AB26" s="53" t="s">
        <v>318</v>
      </c>
      <c r="AP26" s="27" t="s">
        <v>117</v>
      </c>
      <c r="AR26" s="27" t="s">
        <v>356</v>
      </c>
      <c r="AV26" s="27"/>
    </row>
    <row r="27" spans="1:48" x14ac:dyDescent="0.15">
      <c r="A27" s="53" t="s">
        <v>59</v>
      </c>
      <c r="B27" s="53" t="s">
        <v>233</v>
      </c>
      <c r="C27" s="62">
        <v>2019</v>
      </c>
      <c r="D27" s="137" t="s">
        <v>166</v>
      </c>
      <c r="E27" s="53" t="s">
        <v>338</v>
      </c>
      <c r="F27" s="53" t="s">
        <v>337</v>
      </c>
      <c r="G27" s="53" t="s">
        <v>36</v>
      </c>
      <c r="H27" s="53" t="s">
        <v>160</v>
      </c>
      <c r="I27" s="53" t="s">
        <v>159</v>
      </c>
      <c r="J27" s="53" t="s">
        <v>38</v>
      </c>
      <c r="K27" s="53" t="s">
        <v>161</v>
      </c>
      <c r="L27" s="53">
        <v>2</v>
      </c>
      <c r="N27" s="53">
        <v>1</v>
      </c>
      <c r="O27" s="53">
        <v>0.35</v>
      </c>
      <c r="P27" s="53">
        <v>0.37</v>
      </c>
      <c r="Q27" s="75">
        <f t="shared" si="2"/>
        <v>0.36</v>
      </c>
      <c r="R27" s="53">
        <v>16.100000000000001</v>
      </c>
      <c r="S27" s="53">
        <v>121</v>
      </c>
      <c r="T27" s="16">
        <f t="shared" si="0"/>
        <v>27</v>
      </c>
      <c r="U27" s="53">
        <v>138</v>
      </c>
      <c r="V27" s="16">
        <f t="shared" si="1"/>
        <v>22</v>
      </c>
      <c r="W27" s="53">
        <v>2</v>
      </c>
      <c r="X27" s="53" t="s">
        <v>39</v>
      </c>
      <c r="Y27" s="53" t="s">
        <v>78</v>
      </c>
      <c r="Z27" s="53" t="s">
        <v>102</v>
      </c>
      <c r="AA27" s="53" t="s">
        <v>90</v>
      </c>
      <c r="AB27" s="53" t="s">
        <v>318</v>
      </c>
      <c r="AP27" s="27" t="s">
        <v>118</v>
      </c>
      <c r="AR27" s="28" t="s">
        <v>153</v>
      </c>
      <c r="AV27" s="27"/>
    </row>
    <row r="28" spans="1:48" x14ac:dyDescent="0.15">
      <c r="A28" s="53" t="s">
        <v>59</v>
      </c>
      <c r="B28" s="53" t="s">
        <v>233</v>
      </c>
      <c r="C28" s="62">
        <v>2019</v>
      </c>
      <c r="D28" s="137" t="s">
        <v>166</v>
      </c>
      <c r="E28" s="53" t="s">
        <v>338</v>
      </c>
      <c r="F28" s="53" t="s">
        <v>337</v>
      </c>
      <c r="G28" s="53" t="s">
        <v>36</v>
      </c>
      <c r="H28" s="53" t="s">
        <v>160</v>
      </c>
      <c r="I28" s="53" t="s">
        <v>159</v>
      </c>
      <c r="J28" s="53" t="s">
        <v>38</v>
      </c>
      <c r="K28" s="53" t="s">
        <v>161</v>
      </c>
      <c r="L28" s="53">
        <v>3</v>
      </c>
      <c r="N28" s="53">
        <v>1</v>
      </c>
      <c r="O28" s="53">
        <v>0.37</v>
      </c>
      <c r="P28" s="53">
        <v>0.42</v>
      </c>
      <c r="Q28" s="75">
        <f t="shared" si="2"/>
        <v>0.39500000000000002</v>
      </c>
      <c r="R28" s="53">
        <v>16.2</v>
      </c>
      <c r="S28" s="53">
        <v>120</v>
      </c>
      <c r="T28" s="16">
        <f t="shared" si="0"/>
        <v>30</v>
      </c>
      <c r="U28" s="53">
        <v>138</v>
      </c>
      <c r="V28" s="16">
        <f t="shared" si="1"/>
        <v>22</v>
      </c>
      <c r="W28" s="53">
        <v>2</v>
      </c>
      <c r="X28" s="53" t="s">
        <v>39</v>
      </c>
      <c r="Y28" s="53" t="s">
        <v>78</v>
      </c>
      <c r="Z28" s="53" t="s">
        <v>102</v>
      </c>
      <c r="AA28" s="53" t="s">
        <v>90</v>
      </c>
      <c r="AB28" s="53" t="s">
        <v>318</v>
      </c>
      <c r="AV28" s="27"/>
    </row>
    <row r="29" spans="1:48" x14ac:dyDescent="0.15">
      <c r="A29" s="53" t="s">
        <v>59</v>
      </c>
      <c r="B29" s="53" t="s">
        <v>233</v>
      </c>
      <c r="C29" s="62">
        <v>2019</v>
      </c>
      <c r="D29" s="137" t="s">
        <v>166</v>
      </c>
      <c r="E29" s="53" t="s">
        <v>338</v>
      </c>
      <c r="F29" s="53" t="s">
        <v>337</v>
      </c>
      <c r="G29" s="53" t="s">
        <v>36</v>
      </c>
      <c r="H29" s="53" t="s">
        <v>164</v>
      </c>
      <c r="I29" s="53" t="s">
        <v>159</v>
      </c>
      <c r="J29" s="53" t="s">
        <v>38</v>
      </c>
      <c r="K29" s="53" t="s">
        <v>161</v>
      </c>
      <c r="L29" s="53">
        <v>1</v>
      </c>
      <c r="N29" s="53">
        <v>4</v>
      </c>
      <c r="O29" s="53">
        <v>0.65</v>
      </c>
      <c r="P29" s="53">
        <v>0.59</v>
      </c>
      <c r="Q29" s="75">
        <f t="shared" si="2"/>
        <v>0.62</v>
      </c>
      <c r="R29" s="53">
        <v>13.2</v>
      </c>
      <c r="S29" s="53">
        <v>105</v>
      </c>
      <c r="T29" s="16">
        <f t="shared" si="0"/>
        <v>33</v>
      </c>
      <c r="U29" s="53">
        <v>398</v>
      </c>
      <c r="V29" s="16">
        <f t="shared" si="1"/>
        <v>16</v>
      </c>
      <c r="W29" s="53">
        <v>3</v>
      </c>
      <c r="X29" s="53" t="s">
        <v>39</v>
      </c>
      <c r="Y29" s="53" t="s">
        <v>78</v>
      </c>
      <c r="Z29" s="53" t="s">
        <v>102</v>
      </c>
      <c r="AA29" s="53" t="s">
        <v>90</v>
      </c>
      <c r="AB29" s="53" t="s">
        <v>318</v>
      </c>
      <c r="AV29" s="27"/>
    </row>
    <row r="30" spans="1:48" x14ac:dyDescent="0.15">
      <c r="A30" s="53" t="s">
        <v>59</v>
      </c>
      <c r="B30" s="53" t="s">
        <v>233</v>
      </c>
      <c r="C30" s="62">
        <v>2019</v>
      </c>
      <c r="D30" s="137" t="s">
        <v>166</v>
      </c>
      <c r="E30" s="53" t="s">
        <v>338</v>
      </c>
      <c r="F30" s="53" t="s">
        <v>337</v>
      </c>
      <c r="G30" s="53" t="s">
        <v>36</v>
      </c>
      <c r="H30" s="53" t="s">
        <v>164</v>
      </c>
      <c r="I30" s="53" t="s">
        <v>159</v>
      </c>
      <c r="J30" s="53" t="s">
        <v>38</v>
      </c>
      <c r="K30" s="53" t="s">
        <v>161</v>
      </c>
      <c r="L30" s="53">
        <v>2</v>
      </c>
      <c r="N30" s="53">
        <v>4</v>
      </c>
      <c r="O30" s="53">
        <v>0.52</v>
      </c>
      <c r="P30" s="53">
        <v>0.53</v>
      </c>
      <c r="Q30" s="75">
        <f t="shared" si="2"/>
        <v>0.52500000000000002</v>
      </c>
      <c r="R30" s="53">
        <v>13.8</v>
      </c>
      <c r="S30" s="53">
        <v>96</v>
      </c>
      <c r="T30" s="16">
        <f t="shared" si="0"/>
        <v>36</v>
      </c>
      <c r="U30" s="53">
        <v>398</v>
      </c>
      <c r="V30" s="16">
        <f t="shared" si="1"/>
        <v>16</v>
      </c>
      <c r="W30" s="53">
        <v>3</v>
      </c>
      <c r="X30" s="53" t="s">
        <v>39</v>
      </c>
      <c r="Y30" s="53" t="s">
        <v>78</v>
      </c>
      <c r="Z30" s="53" t="s">
        <v>102</v>
      </c>
      <c r="AA30" s="53" t="s">
        <v>90</v>
      </c>
      <c r="AB30" s="53" t="s">
        <v>318</v>
      </c>
      <c r="AV30" s="27"/>
    </row>
    <row r="31" spans="1:48" x14ac:dyDescent="0.15">
      <c r="A31" s="53" t="s">
        <v>59</v>
      </c>
      <c r="B31" s="53" t="s">
        <v>233</v>
      </c>
      <c r="C31" s="62">
        <v>2019</v>
      </c>
      <c r="D31" s="137" t="s">
        <v>166</v>
      </c>
      <c r="E31" s="53" t="s">
        <v>338</v>
      </c>
      <c r="F31" s="53" t="s">
        <v>337</v>
      </c>
      <c r="G31" s="53" t="s">
        <v>36</v>
      </c>
      <c r="H31" s="53" t="s">
        <v>164</v>
      </c>
      <c r="I31" s="53" t="s">
        <v>159</v>
      </c>
      <c r="J31" s="53" t="s">
        <v>38</v>
      </c>
      <c r="K31" s="53" t="s">
        <v>161</v>
      </c>
      <c r="L31" s="53">
        <v>3</v>
      </c>
      <c r="N31" s="53">
        <v>4</v>
      </c>
      <c r="O31" s="53">
        <v>0.55000000000000004</v>
      </c>
      <c r="P31" s="53">
        <v>0.59</v>
      </c>
      <c r="Q31" s="75">
        <f t="shared" si="2"/>
        <v>0.57000000000000006</v>
      </c>
      <c r="R31" s="53">
        <v>13.5</v>
      </c>
      <c r="S31" s="53">
        <v>99</v>
      </c>
      <c r="T31" s="16">
        <f t="shared" si="0"/>
        <v>33</v>
      </c>
      <c r="U31" s="53">
        <v>398</v>
      </c>
      <c r="V31" s="16">
        <f t="shared" si="1"/>
        <v>16</v>
      </c>
      <c r="W31" s="53">
        <v>3</v>
      </c>
      <c r="X31" s="53" t="s">
        <v>39</v>
      </c>
      <c r="Y31" s="53" t="s">
        <v>78</v>
      </c>
      <c r="Z31" s="53" t="s">
        <v>102</v>
      </c>
      <c r="AA31" s="53" t="s">
        <v>90</v>
      </c>
      <c r="AB31" s="53" t="s">
        <v>318</v>
      </c>
      <c r="AV31" s="27"/>
    </row>
    <row r="32" spans="1:48" x14ac:dyDescent="0.15">
      <c r="A32" s="53" t="s">
        <v>59</v>
      </c>
      <c r="B32" s="53" t="s">
        <v>233</v>
      </c>
      <c r="C32" s="62">
        <v>2019</v>
      </c>
      <c r="D32" s="137" t="s">
        <v>166</v>
      </c>
      <c r="E32" s="53" t="s">
        <v>162</v>
      </c>
      <c r="F32" s="53" t="s">
        <v>337</v>
      </c>
      <c r="G32" s="53" t="s">
        <v>36</v>
      </c>
      <c r="H32" s="53" t="s">
        <v>160</v>
      </c>
      <c r="I32" s="53" t="s">
        <v>159</v>
      </c>
      <c r="J32" s="53" t="s">
        <v>38</v>
      </c>
      <c r="K32" s="53" t="s">
        <v>161</v>
      </c>
      <c r="L32" s="53">
        <v>1</v>
      </c>
      <c r="N32" s="53">
        <v>4</v>
      </c>
      <c r="O32" s="53">
        <v>0.4</v>
      </c>
      <c r="P32" s="53">
        <v>0.36</v>
      </c>
      <c r="Q32" s="75">
        <f t="shared" si="2"/>
        <v>0.38</v>
      </c>
      <c r="R32" s="53">
        <v>14.9</v>
      </c>
      <c r="S32" s="53">
        <v>111</v>
      </c>
      <c r="T32" s="16">
        <f t="shared" si="0"/>
        <v>33</v>
      </c>
      <c r="U32" s="53">
        <v>498</v>
      </c>
      <c r="V32" s="16">
        <f t="shared" si="1"/>
        <v>16</v>
      </c>
      <c r="W32" s="53">
        <v>2</v>
      </c>
      <c r="X32" s="53" t="s">
        <v>46</v>
      </c>
      <c r="Y32" s="53" t="s">
        <v>90</v>
      </c>
      <c r="Z32" s="53" t="s">
        <v>69</v>
      </c>
      <c r="AA32" s="53" t="s">
        <v>55</v>
      </c>
      <c r="AB32" s="53" t="s">
        <v>318</v>
      </c>
      <c r="AV32" s="27"/>
    </row>
    <row r="33" spans="1:48" x14ac:dyDescent="0.15">
      <c r="A33" s="53" t="s">
        <v>59</v>
      </c>
      <c r="B33" s="53" t="s">
        <v>233</v>
      </c>
      <c r="C33" s="62">
        <v>2019</v>
      </c>
      <c r="D33" s="137" t="s">
        <v>166</v>
      </c>
      <c r="E33" s="53" t="s">
        <v>162</v>
      </c>
      <c r="F33" s="53" t="s">
        <v>337</v>
      </c>
      <c r="G33" s="53" t="s">
        <v>36</v>
      </c>
      <c r="H33" s="53" t="s">
        <v>160</v>
      </c>
      <c r="I33" s="53" t="s">
        <v>159</v>
      </c>
      <c r="J33" s="53" t="s">
        <v>38</v>
      </c>
      <c r="K33" s="53" t="s">
        <v>161</v>
      </c>
      <c r="L33" s="53">
        <v>2</v>
      </c>
      <c r="N33" s="53">
        <v>4</v>
      </c>
      <c r="O33" s="53">
        <v>0.28000000000000003</v>
      </c>
      <c r="P33" s="53">
        <v>0.24</v>
      </c>
      <c r="Q33" s="75">
        <f t="shared" si="2"/>
        <v>0.26</v>
      </c>
      <c r="R33" s="53">
        <v>14.3</v>
      </c>
      <c r="S33" s="53">
        <v>110</v>
      </c>
      <c r="T33" s="16">
        <f t="shared" si="0"/>
        <v>33</v>
      </c>
      <c r="U33" s="53">
        <v>498</v>
      </c>
      <c r="V33" s="16">
        <f t="shared" si="1"/>
        <v>16</v>
      </c>
      <c r="W33" s="53">
        <v>2</v>
      </c>
      <c r="X33" s="53" t="s">
        <v>46</v>
      </c>
      <c r="Y33" s="53" t="s">
        <v>90</v>
      </c>
      <c r="Z33" s="53" t="s">
        <v>69</v>
      </c>
      <c r="AA33" s="53" t="s">
        <v>55</v>
      </c>
      <c r="AB33" s="53" t="s">
        <v>318</v>
      </c>
      <c r="AV33" s="27"/>
    </row>
    <row r="34" spans="1:48" x14ac:dyDescent="0.15">
      <c r="A34" s="53" t="s">
        <v>59</v>
      </c>
      <c r="B34" s="53" t="s">
        <v>233</v>
      </c>
      <c r="C34" s="62">
        <v>2019</v>
      </c>
      <c r="D34" s="137" t="s">
        <v>166</v>
      </c>
      <c r="E34" s="53" t="s">
        <v>162</v>
      </c>
      <c r="F34" s="53" t="s">
        <v>337</v>
      </c>
      <c r="G34" s="53" t="s">
        <v>36</v>
      </c>
      <c r="H34" s="53" t="s">
        <v>160</v>
      </c>
      <c r="I34" s="53" t="s">
        <v>159</v>
      </c>
      <c r="J34" s="53" t="s">
        <v>38</v>
      </c>
      <c r="K34" s="53" t="s">
        <v>161</v>
      </c>
      <c r="L34" s="53">
        <v>3</v>
      </c>
      <c r="N34" s="53">
        <v>4</v>
      </c>
      <c r="O34" s="53">
        <v>0.39</v>
      </c>
      <c r="P34" s="53">
        <v>0.44</v>
      </c>
      <c r="Q34" s="75">
        <f t="shared" si="2"/>
        <v>0.41500000000000004</v>
      </c>
      <c r="R34" s="53">
        <v>15.2</v>
      </c>
      <c r="S34" s="53">
        <v>105</v>
      </c>
      <c r="T34" s="16">
        <f t="shared" si="0"/>
        <v>33</v>
      </c>
      <c r="U34" s="53">
        <v>498</v>
      </c>
      <c r="V34" s="16">
        <f t="shared" si="1"/>
        <v>16</v>
      </c>
      <c r="W34" s="53">
        <v>2</v>
      </c>
      <c r="X34" s="53" t="s">
        <v>46</v>
      </c>
      <c r="Y34" s="53" t="s">
        <v>90</v>
      </c>
      <c r="Z34" s="53" t="s">
        <v>69</v>
      </c>
      <c r="AA34" s="53" t="s">
        <v>55</v>
      </c>
      <c r="AB34" s="53" t="s">
        <v>318</v>
      </c>
      <c r="AV34" s="27"/>
    </row>
    <row r="35" spans="1:48" x14ac:dyDescent="0.15">
      <c r="A35" s="53" t="s">
        <v>59</v>
      </c>
      <c r="B35" s="53" t="s">
        <v>233</v>
      </c>
      <c r="C35" s="62">
        <v>2019</v>
      </c>
      <c r="D35" s="137" t="s">
        <v>166</v>
      </c>
      <c r="E35" s="53" t="s">
        <v>162</v>
      </c>
      <c r="F35" s="53" t="s">
        <v>337</v>
      </c>
      <c r="G35" s="53" t="s">
        <v>36</v>
      </c>
      <c r="H35" s="53" t="s">
        <v>164</v>
      </c>
      <c r="I35" s="53" t="s">
        <v>159</v>
      </c>
      <c r="J35" s="53" t="s">
        <v>38</v>
      </c>
      <c r="K35" s="53" t="s">
        <v>161</v>
      </c>
      <c r="L35" s="53">
        <v>1</v>
      </c>
      <c r="N35" s="53">
        <v>4</v>
      </c>
      <c r="O35" s="53">
        <v>0.4</v>
      </c>
      <c r="P35" s="53">
        <v>0.32</v>
      </c>
      <c r="Q35" s="75">
        <f t="shared" si="2"/>
        <v>0.36</v>
      </c>
      <c r="R35" s="53">
        <v>13.6</v>
      </c>
      <c r="S35" s="53">
        <v>85</v>
      </c>
      <c r="T35" s="16">
        <f t="shared" si="0"/>
        <v>36</v>
      </c>
      <c r="U35" s="53">
        <v>398</v>
      </c>
      <c r="V35" s="16">
        <f t="shared" si="1"/>
        <v>16</v>
      </c>
      <c r="W35" s="53">
        <v>5</v>
      </c>
      <c r="X35" s="53" t="s">
        <v>46</v>
      </c>
      <c r="Y35" s="53" t="s">
        <v>90</v>
      </c>
      <c r="Z35" s="53" t="s">
        <v>69</v>
      </c>
      <c r="AA35" s="53" t="s">
        <v>55</v>
      </c>
      <c r="AB35" s="53" t="s">
        <v>318</v>
      </c>
      <c r="AV35" s="27"/>
    </row>
    <row r="36" spans="1:48" x14ac:dyDescent="0.15">
      <c r="A36" s="53" t="s">
        <v>59</v>
      </c>
      <c r="B36" s="53" t="s">
        <v>233</v>
      </c>
      <c r="C36" s="62">
        <v>2019</v>
      </c>
      <c r="D36" s="137" t="s">
        <v>166</v>
      </c>
      <c r="E36" s="53" t="s">
        <v>162</v>
      </c>
      <c r="F36" s="53" t="s">
        <v>337</v>
      </c>
      <c r="G36" s="53" t="s">
        <v>36</v>
      </c>
      <c r="H36" s="53" t="s">
        <v>164</v>
      </c>
      <c r="I36" s="53" t="s">
        <v>159</v>
      </c>
      <c r="J36" s="53" t="s">
        <v>38</v>
      </c>
      <c r="K36" s="53" t="s">
        <v>161</v>
      </c>
      <c r="L36" s="53">
        <v>2</v>
      </c>
      <c r="N36" s="53">
        <v>4</v>
      </c>
      <c r="O36" s="53">
        <v>0.31</v>
      </c>
      <c r="P36" s="53">
        <v>0.28999999999999998</v>
      </c>
      <c r="Q36" s="75">
        <f t="shared" si="2"/>
        <v>0.3</v>
      </c>
      <c r="R36" s="53">
        <v>13.3</v>
      </c>
      <c r="S36" s="53">
        <v>82</v>
      </c>
      <c r="T36" s="16">
        <f t="shared" si="0"/>
        <v>39</v>
      </c>
      <c r="U36" s="53">
        <v>398</v>
      </c>
      <c r="V36" s="16">
        <f t="shared" si="1"/>
        <v>16</v>
      </c>
      <c r="W36" s="53">
        <v>5</v>
      </c>
      <c r="X36" s="53" t="s">
        <v>46</v>
      </c>
      <c r="Y36" s="53" t="s">
        <v>90</v>
      </c>
      <c r="Z36" s="53" t="s">
        <v>69</v>
      </c>
      <c r="AA36" s="53" t="s">
        <v>55</v>
      </c>
      <c r="AB36" s="53" t="s">
        <v>318</v>
      </c>
      <c r="AV36" s="27"/>
    </row>
    <row r="37" spans="1:48" x14ac:dyDescent="0.15">
      <c r="A37" s="53" t="s">
        <v>59</v>
      </c>
      <c r="B37" s="53" t="s">
        <v>233</v>
      </c>
      <c r="C37" s="62">
        <v>2019</v>
      </c>
      <c r="D37" s="137" t="s">
        <v>166</v>
      </c>
      <c r="E37" s="53" t="s">
        <v>162</v>
      </c>
      <c r="F37" s="53" t="s">
        <v>337</v>
      </c>
      <c r="G37" s="53" t="s">
        <v>36</v>
      </c>
      <c r="H37" s="53" t="s">
        <v>164</v>
      </c>
      <c r="I37" s="53" t="s">
        <v>159</v>
      </c>
      <c r="J37" s="53" t="s">
        <v>38</v>
      </c>
      <c r="K37" s="53" t="s">
        <v>161</v>
      </c>
      <c r="L37" s="53">
        <v>3</v>
      </c>
      <c r="N37" s="53">
        <v>4</v>
      </c>
      <c r="O37" s="53">
        <v>0.33</v>
      </c>
      <c r="P37" s="53">
        <v>0.4</v>
      </c>
      <c r="Q37" s="75">
        <f t="shared" si="2"/>
        <v>0.36499999999999999</v>
      </c>
      <c r="R37" s="53">
        <v>13.3</v>
      </c>
      <c r="S37" s="53">
        <v>87</v>
      </c>
      <c r="T37" s="16">
        <f t="shared" si="0"/>
        <v>36</v>
      </c>
      <c r="U37" s="53">
        <v>398</v>
      </c>
      <c r="V37" s="16">
        <f t="shared" si="1"/>
        <v>16</v>
      </c>
      <c r="W37" s="53">
        <v>5</v>
      </c>
      <c r="X37" s="53" t="s">
        <v>46</v>
      </c>
      <c r="Y37" s="53" t="s">
        <v>90</v>
      </c>
      <c r="Z37" s="53" t="s">
        <v>69</v>
      </c>
      <c r="AA37" s="53" t="s">
        <v>55</v>
      </c>
      <c r="AB37" s="53" t="s">
        <v>318</v>
      </c>
      <c r="AV37" s="27"/>
    </row>
    <row r="38" spans="1:48" x14ac:dyDescent="0.15">
      <c r="A38" s="53" t="s">
        <v>59</v>
      </c>
      <c r="B38" s="53" t="s">
        <v>233</v>
      </c>
      <c r="C38" s="62">
        <v>2019</v>
      </c>
      <c r="D38" s="137" t="s">
        <v>166</v>
      </c>
      <c r="E38" s="53" t="s">
        <v>334</v>
      </c>
      <c r="F38" s="53" t="s">
        <v>335</v>
      </c>
      <c r="G38" s="53" t="s">
        <v>36</v>
      </c>
      <c r="H38" s="53" t="s">
        <v>160</v>
      </c>
      <c r="I38" s="53" t="s">
        <v>159</v>
      </c>
      <c r="J38" s="53" t="s">
        <v>38</v>
      </c>
      <c r="K38" s="53" t="s">
        <v>161</v>
      </c>
      <c r="L38" s="53">
        <v>1</v>
      </c>
      <c r="N38" s="53">
        <v>3</v>
      </c>
      <c r="O38" s="53">
        <v>0.22</v>
      </c>
      <c r="P38" s="53">
        <v>0.23</v>
      </c>
      <c r="Q38" s="75">
        <f t="shared" si="2"/>
        <v>0.22500000000000001</v>
      </c>
      <c r="R38" s="53">
        <v>18</v>
      </c>
      <c r="S38" s="53">
        <v>132</v>
      </c>
      <c r="T38" s="16">
        <f t="shared" si="0"/>
        <v>25</v>
      </c>
      <c r="U38" s="53">
        <v>399</v>
      </c>
      <c r="V38" s="16">
        <f t="shared" si="1"/>
        <v>16</v>
      </c>
      <c r="W38" s="53">
        <v>10</v>
      </c>
      <c r="X38" s="53" t="s">
        <v>39</v>
      </c>
      <c r="Y38" s="53" t="s">
        <v>78</v>
      </c>
      <c r="Z38" s="53" t="s">
        <v>90</v>
      </c>
      <c r="AA38" s="53" t="s">
        <v>69</v>
      </c>
      <c r="AB38" s="53" t="s">
        <v>318</v>
      </c>
      <c r="AV38" s="27"/>
    </row>
    <row r="39" spans="1:48" x14ac:dyDescent="0.15">
      <c r="A39" s="53" t="s">
        <v>59</v>
      </c>
      <c r="B39" s="53" t="s">
        <v>233</v>
      </c>
      <c r="C39" s="62">
        <v>2019</v>
      </c>
      <c r="D39" s="137" t="s">
        <v>166</v>
      </c>
      <c r="E39" s="53" t="s">
        <v>334</v>
      </c>
      <c r="F39" s="53" t="s">
        <v>335</v>
      </c>
      <c r="G39" s="53" t="s">
        <v>36</v>
      </c>
      <c r="H39" s="53" t="s">
        <v>160</v>
      </c>
      <c r="I39" s="53" t="s">
        <v>159</v>
      </c>
      <c r="J39" s="53" t="s">
        <v>38</v>
      </c>
      <c r="K39" s="53" t="s">
        <v>161</v>
      </c>
      <c r="L39" s="53">
        <v>2</v>
      </c>
      <c r="N39" s="53">
        <v>3</v>
      </c>
      <c r="O39" s="53">
        <v>0.25</v>
      </c>
      <c r="P39" s="53">
        <v>0.23</v>
      </c>
      <c r="Q39" s="75">
        <f t="shared" si="2"/>
        <v>0.24</v>
      </c>
      <c r="R39" s="53">
        <v>17.399999999999999</v>
      </c>
      <c r="S39" s="53">
        <v>135</v>
      </c>
      <c r="T39" s="16">
        <f t="shared" si="0"/>
        <v>25</v>
      </c>
      <c r="U39" s="53">
        <v>399</v>
      </c>
      <c r="V39" s="16">
        <f t="shared" si="1"/>
        <v>16</v>
      </c>
      <c r="W39" s="53">
        <v>10</v>
      </c>
      <c r="X39" s="53" t="s">
        <v>39</v>
      </c>
      <c r="Y39" s="53" t="s">
        <v>78</v>
      </c>
      <c r="Z39" s="53" t="s">
        <v>90</v>
      </c>
      <c r="AA39" s="53" t="s">
        <v>69</v>
      </c>
      <c r="AB39" s="53" t="s">
        <v>318</v>
      </c>
      <c r="AV39" s="27"/>
    </row>
    <row r="40" spans="1:48" x14ac:dyDescent="0.15">
      <c r="A40" s="53" t="s">
        <v>59</v>
      </c>
      <c r="B40" s="53" t="s">
        <v>233</v>
      </c>
      <c r="C40" s="62">
        <v>2019</v>
      </c>
      <c r="D40" s="137" t="s">
        <v>166</v>
      </c>
      <c r="E40" s="53" t="s">
        <v>334</v>
      </c>
      <c r="F40" s="53" t="s">
        <v>335</v>
      </c>
      <c r="G40" s="53" t="s">
        <v>36</v>
      </c>
      <c r="H40" s="53" t="s">
        <v>160</v>
      </c>
      <c r="I40" s="53" t="s">
        <v>159</v>
      </c>
      <c r="J40" s="53" t="s">
        <v>38</v>
      </c>
      <c r="K40" s="53" t="s">
        <v>161</v>
      </c>
      <c r="L40" s="53">
        <v>3</v>
      </c>
      <c r="N40" s="53">
        <v>3</v>
      </c>
      <c r="O40" s="53">
        <v>0.23</v>
      </c>
      <c r="P40" s="53">
        <v>0.23</v>
      </c>
      <c r="Q40" s="75">
        <f t="shared" si="2"/>
        <v>0.23</v>
      </c>
      <c r="R40" s="53">
        <v>18.3</v>
      </c>
      <c r="S40" s="53">
        <v>131</v>
      </c>
      <c r="T40" s="16">
        <f t="shared" si="0"/>
        <v>25</v>
      </c>
      <c r="U40" s="53">
        <v>399</v>
      </c>
      <c r="V40" s="16">
        <f t="shared" si="1"/>
        <v>16</v>
      </c>
      <c r="W40" s="53">
        <v>10</v>
      </c>
      <c r="X40" s="53" t="s">
        <v>39</v>
      </c>
      <c r="Y40" s="53" t="s">
        <v>78</v>
      </c>
      <c r="Z40" s="53" t="s">
        <v>90</v>
      </c>
      <c r="AA40" s="53" t="s">
        <v>69</v>
      </c>
      <c r="AB40" s="53" t="s">
        <v>318</v>
      </c>
      <c r="AV40" s="27"/>
    </row>
    <row r="41" spans="1:48" x14ac:dyDescent="0.15">
      <c r="A41" s="53" t="s">
        <v>59</v>
      </c>
      <c r="B41" s="53" t="s">
        <v>233</v>
      </c>
      <c r="C41" s="62">
        <v>2019</v>
      </c>
      <c r="D41" s="137" t="s">
        <v>166</v>
      </c>
      <c r="E41" s="53" t="s">
        <v>334</v>
      </c>
      <c r="F41" s="53" t="s">
        <v>335</v>
      </c>
      <c r="G41" s="53" t="s">
        <v>36</v>
      </c>
      <c r="H41" s="53" t="s">
        <v>164</v>
      </c>
      <c r="I41" s="53" t="s">
        <v>159</v>
      </c>
      <c r="J41" s="53" t="s">
        <v>38</v>
      </c>
      <c r="K41" s="53" t="s">
        <v>161</v>
      </c>
      <c r="L41" s="53">
        <v>1</v>
      </c>
      <c r="N41" s="53">
        <v>3</v>
      </c>
      <c r="O41" s="53">
        <v>0.4</v>
      </c>
      <c r="P41" s="53">
        <v>0.44</v>
      </c>
      <c r="Q41" s="75">
        <f t="shared" si="2"/>
        <v>0.42000000000000004</v>
      </c>
      <c r="R41" s="53">
        <v>15.8</v>
      </c>
      <c r="S41" s="53">
        <v>135</v>
      </c>
      <c r="T41" s="16">
        <f t="shared" si="0"/>
        <v>25</v>
      </c>
      <c r="U41" s="53">
        <v>350</v>
      </c>
      <c r="V41" s="16">
        <f t="shared" si="1"/>
        <v>16</v>
      </c>
      <c r="W41" s="53">
        <v>8</v>
      </c>
      <c r="X41" s="53" t="s">
        <v>39</v>
      </c>
      <c r="Y41" s="53" t="s">
        <v>78</v>
      </c>
      <c r="Z41" s="53" t="s">
        <v>90</v>
      </c>
      <c r="AA41" s="53" t="s">
        <v>69</v>
      </c>
      <c r="AB41" s="53" t="s">
        <v>318</v>
      </c>
      <c r="AV41" s="27"/>
    </row>
    <row r="42" spans="1:48" x14ac:dyDescent="0.15">
      <c r="A42" s="53" t="s">
        <v>59</v>
      </c>
      <c r="B42" s="53" t="s">
        <v>233</v>
      </c>
      <c r="C42" s="62">
        <v>2019</v>
      </c>
      <c r="D42" s="137" t="s">
        <v>166</v>
      </c>
      <c r="E42" s="53" t="s">
        <v>334</v>
      </c>
      <c r="F42" s="53" t="s">
        <v>335</v>
      </c>
      <c r="G42" s="53" t="s">
        <v>36</v>
      </c>
      <c r="H42" s="53" t="s">
        <v>164</v>
      </c>
      <c r="I42" s="53" t="s">
        <v>159</v>
      </c>
      <c r="J42" s="53" t="s">
        <v>38</v>
      </c>
      <c r="K42" s="53" t="s">
        <v>161</v>
      </c>
      <c r="L42" s="53">
        <v>2</v>
      </c>
      <c r="N42" s="53">
        <v>3</v>
      </c>
      <c r="O42" s="53">
        <v>0.35</v>
      </c>
      <c r="P42" s="53">
        <v>0.31</v>
      </c>
      <c r="Q42" s="75">
        <f t="shared" si="2"/>
        <v>0.32999999999999996</v>
      </c>
      <c r="R42" s="53">
        <v>15.6</v>
      </c>
      <c r="S42" s="53">
        <v>138</v>
      </c>
      <c r="T42" s="16">
        <f t="shared" si="0"/>
        <v>22</v>
      </c>
      <c r="U42" s="53">
        <v>350</v>
      </c>
      <c r="V42" s="16">
        <f t="shared" si="1"/>
        <v>16</v>
      </c>
      <c r="W42" s="53">
        <v>8</v>
      </c>
      <c r="X42" s="53" t="s">
        <v>39</v>
      </c>
      <c r="Y42" s="53" t="s">
        <v>78</v>
      </c>
      <c r="Z42" s="53" t="s">
        <v>90</v>
      </c>
      <c r="AA42" s="53" t="s">
        <v>69</v>
      </c>
      <c r="AB42" s="53" t="s">
        <v>318</v>
      </c>
      <c r="AV42" s="27"/>
    </row>
    <row r="43" spans="1:48" x14ac:dyDescent="0.15">
      <c r="A43" s="53" t="s">
        <v>59</v>
      </c>
      <c r="B43" s="53" t="s">
        <v>233</v>
      </c>
      <c r="C43" s="62">
        <v>2019</v>
      </c>
      <c r="D43" s="137" t="s">
        <v>166</v>
      </c>
      <c r="E43" s="53" t="s">
        <v>334</v>
      </c>
      <c r="F43" s="53" t="s">
        <v>335</v>
      </c>
      <c r="G43" s="53" t="s">
        <v>36</v>
      </c>
      <c r="H43" s="53" t="s">
        <v>164</v>
      </c>
      <c r="I43" s="53" t="s">
        <v>159</v>
      </c>
      <c r="J43" s="53" t="s">
        <v>38</v>
      </c>
      <c r="K43" s="53" t="s">
        <v>161</v>
      </c>
      <c r="L43" s="53">
        <v>3</v>
      </c>
      <c r="N43" s="53">
        <v>3</v>
      </c>
      <c r="O43" s="53">
        <v>0.32</v>
      </c>
      <c r="P43" s="53">
        <v>0.34</v>
      </c>
      <c r="Q43" s="75">
        <f t="shared" si="2"/>
        <v>0.33</v>
      </c>
      <c r="R43" s="53">
        <v>15.4</v>
      </c>
      <c r="S43" s="53">
        <v>130</v>
      </c>
      <c r="T43" s="16">
        <f t="shared" si="0"/>
        <v>25</v>
      </c>
      <c r="U43" s="53">
        <v>350</v>
      </c>
      <c r="V43" s="16">
        <f t="shared" si="1"/>
        <v>16</v>
      </c>
      <c r="W43" s="53">
        <v>8</v>
      </c>
      <c r="X43" s="53" t="s">
        <v>39</v>
      </c>
      <c r="Y43" s="53" t="s">
        <v>78</v>
      </c>
      <c r="Z43" s="53" t="s">
        <v>90</v>
      </c>
      <c r="AA43" s="53" t="s">
        <v>69</v>
      </c>
      <c r="AB43" s="53" t="s">
        <v>318</v>
      </c>
      <c r="AV43" s="27"/>
    </row>
    <row r="44" spans="1:48" x14ac:dyDescent="0.15">
      <c r="A44" s="53" t="s">
        <v>59</v>
      </c>
      <c r="B44" s="53" t="s">
        <v>233</v>
      </c>
      <c r="C44" s="62">
        <v>2019</v>
      </c>
      <c r="D44" s="137" t="s">
        <v>166</v>
      </c>
      <c r="E44" s="53" t="s">
        <v>325</v>
      </c>
      <c r="F44" s="53" t="s">
        <v>326</v>
      </c>
      <c r="G44" s="53" t="s">
        <v>36</v>
      </c>
      <c r="H44" s="53" t="s">
        <v>160</v>
      </c>
      <c r="I44" s="53" t="s">
        <v>159</v>
      </c>
      <c r="J44" s="53" t="s">
        <v>38</v>
      </c>
      <c r="K44" s="53" t="s">
        <v>161</v>
      </c>
      <c r="L44" s="53">
        <v>1</v>
      </c>
      <c r="N44" s="53">
        <v>4</v>
      </c>
      <c r="O44" s="53">
        <v>0.25</v>
      </c>
      <c r="P44" s="53">
        <v>0.3</v>
      </c>
      <c r="Q44" s="75">
        <f t="shared" si="2"/>
        <v>0.27500000000000002</v>
      </c>
      <c r="R44" s="53">
        <v>16.100000000000001</v>
      </c>
      <c r="S44" s="53">
        <v>110</v>
      </c>
      <c r="T44" s="16">
        <f t="shared" si="0"/>
        <v>33</v>
      </c>
      <c r="U44" s="53">
        <v>450</v>
      </c>
      <c r="V44" s="16">
        <f t="shared" si="1"/>
        <v>16</v>
      </c>
      <c r="W44" s="53">
        <v>1</v>
      </c>
      <c r="X44" s="53" t="s">
        <v>39</v>
      </c>
      <c r="Y44" s="53" t="s">
        <v>69</v>
      </c>
      <c r="Z44" s="53" t="s">
        <v>78</v>
      </c>
      <c r="AA44" s="53" t="s">
        <v>102</v>
      </c>
      <c r="AB44" s="53" t="s">
        <v>318</v>
      </c>
      <c r="AV44" s="27"/>
    </row>
    <row r="45" spans="1:48" x14ac:dyDescent="0.15">
      <c r="A45" s="53" t="s">
        <v>59</v>
      </c>
      <c r="B45" s="53" t="s">
        <v>233</v>
      </c>
      <c r="C45" s="62">
        <v>2019</v>
      </c>
      <c r="D45" s="137" t="s">
        <v>166</v>
      </c>
      <c r="E45" s="53" t="s">
        <v>325</v>
      </c>
      <c r="F45" s="53" t="s">
        <v>326</v>
      </c>
      <c r="G45" s="53" t="s">
        <v>36</v>
      </c>
      <c r="H45" s="53" t="s">
        <v>160</v>
      </c>
      <c r="I45" s="53" t="s">
        <v>159</v>
      </c>
      <c r="J45" s="53" t="s">
        <v>38</v>
      </c>
      <c r="K45" s="53" t="s">
        <v>161</v>
      </c>
      <c r="L45" s="53">
        <v>2</v>
      </c>
      <c r="N45" s="53">
        <v>4</v>
      </c>
      <c r="O45" s="53">
        <v>0.33</v>
      </c>
      <c r="P45" s="53">
        <v>0.38</v>
      </c>
      <c r="Q45" s="75">
        <f t="shared" si="2"/>
        <v>0.35499999999999998</v>
      </c>
      <c r="R45" s="53">
        <v>16.3</v>
      </c>
      <c r="S45" s="53">
        <v>105</v>
      </c>
      <c r="T45" s="16">
        <f t="shared" si="0"/>
        <v>33</v>
      </c>
      <c r="U45" s="53">
        <v>450</v>
      </c>
      <c r="V45" s="16">
        <f t="shared" si="1"/>
        <v>16</v>
      </c>
      <c r="W45" s="53">
        <v>1</v>
      </c>
      <c r="X45" s="53" t="s">
        <v>39</v>
      </c>
      <c r="Y45" s="53" t="s">
        <v>69</v>
      </c>
      <c r="Z45" s="53" t="s">
        <v>78</v>
      </c>
      <c r="AA45" s="53" t="s">
        <v>102</v>
      </c>
      <c r="AB45" s="53" t="s">
        <v>318</v>
      </c>
      <c r="AV45" s="27"/>
    </row>
    <row r="46" spans="1:48" x14ac:dyDescent="0.15">
      <c r="A46" s="53" t="s">
        <v>59</v>
      </c>
      <c r="B46" s="53" t="s">
        <v>233</v>
      </c>
      <c r="C46" s="62">
        <v>2019</v>
      </c>
      <c r="D46" s="137" t="s">
        <v>166</v>
      </c>
      <c r="E46" s="53" t="s">
        <v>325</v>
      </c>
      <c r="F46" s="53" t="s">
        <v>326</v>
      </c>
      <c r="G46" s="53" t="s">
        <v>36</v>
      </c>
      <c r="H46" s="53" t="s">
        <v>160</v>
      </c>
      <c r="I46" s="53" t="s">
        <v>159</v>
      </c>
      <c r="J46" s="53" t="s">
        <v>38</v>
      </c>
      <c r="K46" s="53" t="s">
        <v>161</v>
      </c>
      <c r="L46" s="53">
        <v>3</v>
      </c>
      <c r="N46" s="53">
        <v>4</v>
      </c>
      <c r="O46" s="53">
        <v>0.37</v>
      </c>
      <c r="P46" s="53">
        <v>0.32</v>
      </c>
      <c r="Q46" s="75">
        <f t="shared" si="2"/>
        <v>0.34499999999999997</v>
      </c>
      <c r="R46" s="53">
        <v>16</v>
      </c>
      <c r="S46" s="53">
        <v>110</v>
      </c>
      <c r="T46" s="16">
        <f t="shared" si="0"/>
        <v>33</v>
      </c>
      <c r="U46" s="53">
        <v>450</v>
      </c>
      <c r="V46" s="16">
        <f t="shared" si="1"/>
        <v>16</v>
      </c>
      <c r="W46" s="53">
        <v>1</v>
      </c>
      <c r="X46" s="53" t="s">
        <v>39</v>
      </c>
      <c r="Y46" s="53" t="s">
        <v>69</v>
      </c>
      <c r="Z46" s="53" t="s">
        <v>78</v>
      </c>
      <c r="AA46" s="53" t="s">
        <v>102</v>
      </c>
      <c r="AB46" s="53" t="s">
        <v>318</v>
      </c>
      <c r="AV46" s="27"/>
    </row>
    <row r="47" spans="1:48" x14ac:dyDescent="0.15">
      <c r="A47" s="53" t="s">
        <v>59</v>
      </c>
      <c r="B47" s="53" t="s">
        <v>233</v>
      </c>
      <c r="C47" s="62">
        <v>2019</v>
      </c>
      <c r="D47" s="137" t="s">
        <v>166</v>
      </c>
      <c r="E47" s="53" t="s">
        <v>325</v>
      </c>
      <c r="F47" s="53" t="s">
        <v>326</v>
      </c>
      <c r="G47" s="53" t="s">
        <v>36</v>
      </c>
      <c r="H47" s="53" t="s">
        <v>164</v>
      </c>
      <c r="I47" s="53" t="s">
        <v>159</v>
      </c>
      <c r="J47" s="53" t="s">
        <v>38</v>
      </c>
      <c r="K47" s="53" t="s">
        <v>161</v>
      </c>
      <c r="L47" s="53">
        <v>1</v>
      </c>
      <c r="N47" s="53">
        <v>4</v>
      </c>
      <c r="O47" s="53">
        <v>0.38</v>
      </c>
      <c r="P47" s="53">
        <v>0.35</v>
      </c>
      <c r="Q47" s="75">
        <f t="shared" si="2"/>
        <v>0.36499999999999999</v>
      </c>
      <c r="R47" s="53">
        <v>16</v>
      </c>
      <c r="S47" s="53">
        <v>95</v>
      </c>
      <c r="T47" s="16">
        <f t="shared" si="0"/>
        <v>36</v>
      </c>
      <c r="U47" s="53">
        <v>298</v>
      </c>
      <c r="V47" s="16">
        <f t="shared" si="1"/>
        <v>16</v>
      </c>
      <c r="W47" s="53">
        <v>1</v>
      </c>
      <c r="X47" s="53" t="s">
        <v>39</v>
      </c>
      <c r="Y47" s="53" t="s">
        <v>69</v>
      </c>
      <c r="Z47" s="53" t="s">
        <v>78</v>
      </c>
      <c r="AA47" s="53" t="s">
        <v>102</v>
      </c>
      <c r="AB47" s="53" t="s">
        <v>318</v>
      </c>
      <c r="AV47" s="27"/>
    </row>
    <row r="48" spans="1:48" x14ac:dyDescent="0.15">
      <c r="A48" s="53" t="s">
        <v>59</v>
      </c>
      <c r="B48" s="53" t="s">
        <v>233</v>
      </c>
      <c r="C48" s="62">
        <v>2019</v>
      </c>
      <c r="D48" s="137" t="s">
        <v>166</v>
      </c>
      <c r="E48" s="53" t="s">
        <v>325</v>
      </c>
      <c r="F48" s="53" t="s">
        <v>326</v>
      </c>
      <c r="G48" s="53" t="s">
        <v>36</v>
      </c>
      <c r="H48" s="53" t="s">
        <v>164</v>
      </c>
      <c r="I48" s="53" t="s">
        <v>159</v>
      </c>
      <c r="J48" s="53" t="s">
        <v>38</v>
      </c>
      <c r="K48" s="53" t="s">
        <v>161</v>
      </c>
      <c r="L48" s="53">
        <v>2</v>
      </c>
      <c r="N48" s="53">
        <v>4</v>
      </c>
      <c r="O48" s="53">
        <v>0.74</v>
      </c>
      <c r="P48" s="53">
        <v>0.72</v>
      </c>
      <c r="Q48" s="75">
        <f t="shared" si="2"/>
        <v>0.73</v>
      </c>
      <c r="R48" s="53">
        <v>15.2</v>
      </c>
      <c r="S48" s="53">
        <v>90</v>
      </c>
      <c r="T48" s="16">
        <f t="shared" si="0"/>
        <v>36</v>
      </c>
      <c r="U48" s="53">
        <v>298</v>
      </c>
      <c r="V48" s="16">
        <f t="shared" si="1"/>
        <v>16</v>
      </c>
      <c r="W48" s="53">
        <v>1</v>
      </c>
      <c r="X48" s="53" t="s">
        <v>39</v>
      </c>
      <c r="Y48" s="53" t="s">
        <v>69</v>
      </c>
      <c r="Z48" s="53" t="s">
        <v>78</v>
      </c>
      <c r="AA48" s="53" t="s">
        <v>102</v>
      </c>
      <c r="AB48" s="53" t="s">
        <v>318</v>
      </c>
      <c r="AV48" s="27"/>
    </row>
    <row r="49" spans="1:48" x14ac:dyDescent="0.15">
      <c r="A49" s="53" t="s">
        <v>59</v>
      </c>
      <c r="B49" s="53" t="s">
        <v>233</v>
      </c>
      <c r="C49" s="62">
        <v>2019</v>
      </c>
      <c r="D49" s="137" t="s">
        <v>166</v>
      </c>
      <c r="E49" s="53" t="s">
        <v>325</v>
      </c>
      <c r="F49" s="53" t="s">
        <v>326</v>
      </c>
      <c r="G49" s="53" t="s">
        <v>36</v>
      </c>
      <c r="H49" s="53" t="s">
        <v>164</v>
      </c>
      <c r="I49" s="53" t="s">
        <v>159</v>
      </c>
      <c r="J49" s="53" t="s">
        <v>38</v>
      </c>
      <c r="K49" s="53" t="s">
        <v>161</v>
      </c>
      <c r="L49" s="53">
        <v>3</v>
      </c>
      <c r="N49" s="53">
        <v>4</v>
      </c>
      <c r="O49" s="53">
        <v>0.71</v>
      </c>
      <c r="P49" s="53">
        <v>0.7</v>
      </c>
      <c r="Q49" s="75">
        <f t="shared" si="2"/>
        <v>0.70499999999999996</v>
      </c>
      <c r="R49" s="53">
        <v>15.1</v>
      </c>
      <c r="S49" s="53">
        <v>91</v>
      </c>
      <c r="T49" s="16">
        <f t="shared" si="0"/>
        <v>36</v>
      </c>
      <c r="U49" s="53">
        <v>298</v>
      </c>
      <c r="V49" s="16">
        <f t="shared" si="1"/>
        <v>16</v>
      </c>
      <c r="W49" s="53">
        <v>1</v>
      </c>
      <c r="X49" s="53" t="s">
        <v>39</v>
      </c>
      <c r="Y49" s="53" t="s">
        <v>69</v>
      </c>
      <c r="Z49" s="53" t="s">
        <v>78</v>
      </c>
      <c r="AA49" s="53" t="s">
        <v>102</v>
      </c>
      <c r="AB49" s="53" t="s">
        <v>318</v>
      </c>
      <c r="AV49" s="27"/>
    </row>
    <row r="50" spans="1:48" x14ac:dyDescent="0.15">
      <c r="A50" s="53" t="s">
        <v>59</v>
      </c>
      <c r="B50" s="53" t="s">
        <v>233</v>
      </c>
      <c r="C50" s="62">
        <v>2019</v>
      </c>
      <c r="D50" s="137" t="s">
        <v>166</v>
      </c>
      <c r="E50" s="53" t="s">
        <v>341</v>
      </c>
      <c r="F50" s="53" t="s">
        <v>342</v>
      </c>
      <c r="G50" s="53" t="s">
        <v>36</v>
      </c>
      <c r="H50" s="53" t="s">
        <v>160</v>
      </c>
      <c r="I50" s="53" t="s">
        <v>159</v>
      </c>
      <c r="J50" s="53" t="s">
        <v>38</v>
      </c>
      <c r="K50" s="53" t="s">
        <v>161</v>
      </c>
      <c r="L50" s="53">
        <v>1</v>
      </c>
      <c r="N50" s="53">
        <v>4</v>
      </c>
      <c r="O50" s="53">
        <v>0.24</v>
      </c>
      <c r="P50" s="53">
        <v>0.26</v>
      </c>
      <c r="Q50" s="75">
        <f t="shared" si="2"/>
        <v>0.25</v>
      </c>
      <c r="R50" s="53">
        <v>16.600000000000001</v>
      </c>
      <c r="S50" s="53">
        <v>130</v>
      </c>
      <c r="T50" s="16">
        <f t="shared" si="0"/>
        <v>25</v>
      </c>
      <c r="U50" s="53">
        <v>458</v>
      </c>
      <c r="V50" s="16">
        <f t="shared" si="1"/>
        <v>16</v>
      </c>
      <c r="W50" s="53">
        <v>3</v>
      </c>
      <c r="X50" s="53" t="s">
        <v>46</v>
      </c>
      <c r="Y50" s="53" t="s">
        <v>78</v>
      </c>
      <c r="Z50" s="53" t="s">
        <v>90</v>
      </c>
      <c r="AA50" s="53" t="s">
        <v>69</v>
      </c>
      <c r="AB50" s="53" t="s">
        <v>318</v>
      </c>
      <c r="AV50" s="27"/>
    </row>
    <row r="51" spans="1:48" x14ac:dyDescent="0.15">
      <c r="A51" s="53" t="s">
        <v>59</v>
      </c>
      <c r="B51" s="53" t="s">
        <v>233</v>
      </c>
      <c r="C51" s="62">
        <v>2019</v>
      </c>
      <c r="D51" s="137" t="s">
        <v>166</v>
      </c>
      <c r="E51" s="53" t="s">
        <v>341</v>
      </c>
      <c r="F51" s="53" t="s">
        <v>342</v>
      </c>
      <c r="G51" s="53" t="s">
        <v>36</v>
      </c>
      <c r="H51" s="53" t="s">
        <v>160</v>
      </c>
      <c r="I51" s="53" t="s">
        <v>159</v>
      </c>
      <c r="J51" s="53" t="s">
        <v>38</v>
      </c>
      <c r="K51" s="53" t="s">
        <v>161</v>
      </c>
      <c r="L51" s="53">
        <v>2</v>
      </c>
      <c r="N51" s="53">
        <v>4</v>
      </c>
      <c r="O51" s="53">
        <v>0.25</v>
      </c>
      <c r="P51" s="53">
        <v>0.26</v>
      </c>
      <c r="Q51" s="75">
        <f t="shared" si="2"/>
        <v>0.255</v>
      </c>
      <c r="R51" s="53">
        <v>16.3</v>
      </c>
      <c r="S51" s="53">
        <v>128</v>
      </c>
      <c r="T51" s="16">
        <f t="shared" si="0"/>
        <v>27</v>
      </c>
      <c r="U51" s="53">
        <v>458</v>
      </c>
      <c r="V51" s="16">
        <f t="shared" si="1"/>
        <v>16</v>
      </c>
      <c r="W51" s="53">
        <v>3</v>
      </c>
      <c r="X51" s="53" t="s">
        <v>46</v>
      </c>
      <c r="Y51" s="53" t="s">
        <v>78</v>
      </c>
      <c r="Z51" s="53" t="s">
        <v>90</v>
      </c>
      <c r="AA51" s="53" t="s">
        <v>69</v>
      </c>
      <c r="AB51" s="53" t="s">
        <v>318</v>
      </c>
      <c r="AV51" s="27"/>
    </row>
    <row r="52" spans="1:48" x14ac:dyDescent="0.15">
      <c r="A52" s="53" t="s">
        <v>59</v>
      </c>
      <c r="B52" s="53" t="s">
        <v>233</v>
      </c>
      <c r="C52" s="62">
        <v>2019</v>
      </c>
      <c r="D52" s="137" t="s">
        <v>166</v>
      </c>
      <c r="E52" s="53" t="s">
        <v>341</v>
      </c>
      <c r="F52" s="53" t="s">
        <v>342</v>
      </c>
      <c r="G52" s="53" t="s">
        <v>36</v>
      </c>
      <c r="H52" s="53" t="s">
        <v>160</v>
      </c>
      <c r="I52" s="53" t="s">
        <v>159</v>
      </c>
      <c r="J52" s="53" t="s">
        <v>38</v>
      </c>
      <c r="K52" s="53" t="s">
        <v>161</v>
      </c>
      <c r="L52" s="53">
        <v>3</v>
      </c>
      <c r="N52" s="53">
        <v>4</v>
      </c>
      <c r="O52" s="53">
        <v>0.28999999999999998</v>
      </c>
      <c r="P52" s="53">
        <v>0.27</v>
      </c>
      <c r="Q52" s="75">
        <f t="shared" si="2"/>
        <v>0.28000000000000003</v>
      </c>
      <c r="R52" s="53">
        <v>16.100000000000001</v>
      </c>
      <c r="S52" s="53">
        <v>131</v>
      </c>
      <c r="T52" s="16">
        <f t="shared" si="0"/>
        <v>25</v>
      </c>
      <c r="U52" s="53">
        <v>458</v>
      </c>
      <c r="V52" s="16">
        <f t="shared" si="1"/>
        <v>16</v>
      </c>
      <c r="W52" s="53">
        <v>3</v>
      </c>
      <c r="X52" s="53" t="s">
        <v>46</v>
      </c>
      <c r="Y52" s="53" t="s">
        <v>78</v>
      </c>
      <c r="Z52" s="53" t="s">
        <v>90</v>
      </c>
      <c r="AA52" s="53" t="s">
        <v>69</v>
      </c>
      <c r="AB52" s="53" t="s">
        <v>318</v>
      </c>
      <c r="AV52" s="27"/>
    </row>
    <row r="53" spans="1:48" x14ac:dyDescent="0.15">
      <c r="A53" s="53" t="s">
        <v>59</v>
      </c>
      <c r="B53" s="53" t="s">
        <v>233</v>
      </c>
      <c r="C53" s="62">
        <v>2019</v>
      </c>
      <c r="D53" s="137" t="s">
        <v>166</v>
      </c>
      <c r="E53" s="53" t="s">
        <v>341</v>
      </c>
      <c r="F53" s="53" t="s">
        <v>342</v>
      </c>
      <c r="G53" s="53" t="s">
        <v>36</v>
      </c>
      <c r="H53" s="53" t="s">
        <v>164</v>
      </c>
      <c r="I53" s="53" t="s">
        <v>159</v>
      </c>
      <c r="J53" s="53" t="s">
        <v>38</v>
      </c>
      <c r="K53" s="53" t="s">
        <v>161</v>
      </c>
      <c r="L53" s="53">
        <v>1</v>
      </c>
      <c r="N53" s="53">
        <v>4</v>
      </c>
      <c r="O53" s="53">
        <v>0.48</v>
      </c>
      <c r="P53" s="53">
        <v>0.49</v>
      </c>
      <c r="Q53" s="75">
        <f t="shared" si="2"/>
        <v>0.48499999999999999</v>
      </c>
      <c r="R53" s="53">
        <v>15.3</v>
      </c>
      <c r="S53" s="53">
        <v>135</v>
      </c>
      <c r="T53" s="16">
        <f t="shared" si="0"/>
        <v>25</v>
      </c>
      <c r="U53" s="53">
        <v>358</v>
      </c>
      <c r="V53" s="16">
        <f t="shared" si="1"/>
        <v>16</v>
      </c>
      <c r="W53" s="53">
        <v>3</v>
      </c>
      <c r="X53" s="53" t="s">
        <v>46</v>
      </c>
      <c r="Y53" s="53" t="s">
        <v>78</v>
      </c>
      <c r="Z53" s="53" t="s">
        <v>90</v>
      </c>
      <c r="AA53" s="53" t="s">
        <v>69</v>
      </c>
      <c r="AB53" s="53" t="s">
        <v>318</v>
      </c>
      <c r="AV53" s="27"/>
    </row>
    <row r="54" spans="1:48" x14ac:dyDescent="0.15">
      <c r="A54" s="53" t="s">
        <v>59</v>
      </c>
      <c r="B54" s="53" t="s">
        <v>233</v>
      </c>
      <c r="C54" s="62">
        <v>2019</v>
      </c>
      <c r="D54" s="137" t="s">
        <v>166</v>
      </c>
      <c r="E54" s="53" t="s">
        <v>341</v>
      </c>
      <c r="F54" s="53" t="s">
        <v>342</v>
      </c>
      <c r="G54" s="53" t="s">
        <v>36</v>
      </c>
      <c r="H54" s="53" t="s">
        <v>164</v>
      </c>
      <c r="I54" s="53" t="s">
        <v>159</v>
      </c>
      <c r="J54" s="53" t="s">
        <v>38</v>
      </c>
      <c r="K54" s="53" t="s">
        <v>161</v>
      </c>
      <c r="L54" s="53">
        <v>2</v>
      </c>
      <c r="N54" s="53">
        <v>4</v>
      </c>
      <c r="O54" s="53">
        <v>0.75</v>
      </c>
      <c r="P54" s="53">
        <v>0.73</v>
      </c>
      <c r="Q54" s="75">
        <f t="shared" si="2"/>
        <v>0.74</v>
      </c>
      <c r="R54" s="53">
        <v>12.8</v>
      </c>
      <c r="S54" s="53">
        <v>134</v>
      </c>
      <c r="T54" s="16">
        <f t="shared" si="0"/>
        <v>25</v>
      </c>
      <c r="U54" s="53">
        <v>358</v>
      </c>
      <c r="V54" s="16">
        <f t="shared" si="1"/>
        <v>16</v>
      </c>
      <c r="W54" s="53">
        <v>3</v>
      </c>
      <c r="X54" s="53" t="s">
        <v>46</v>
      </c>
      <c r="Y54" s="53" t="s">
        <v>78</v>
      </c>
      <c r="Z54" s="53" t="s">
        <v>90</v>
      </c>
      <c r="AA54" s="53" t="s">
        <v>69</v>
      </c>
      <c r="AB54" s="53" t="s">
        <v>318</v>
      </c>
      <c r="AV54" s="27"/>
    </row>
    <row r="55" spans="1:48" x14ac:dyDescent="0.15">
      <c r="A55" s="53" t="s">
        <v>59</v>
      </c>
      <c r="B55" s="53" t="s">
        <v>233</v>
      </c>
      <c r="C55" s="62">
        <v>2019</v>
      </c>
      <c r="D55" s="137" t="s">
        <v>166</v>
      </c>
      <c r="E55" s="53" t="s">
        <v>341</v>
      </c>
      <c r="F55" s="53" t="s">
        <v>342</v>
      </c>
      <c r="G55" s="53" t="s">
        <v>36</v>
      </c>
      <c r="H55" s="53" t="s">
        <v>164</v>
      </c>
      <c r="I55" s="53" t="s">
        <v>159</v>
      </c>
      <c r="J55" s="53" t="s">
        <v>38</v>
      </c>
      <c r="K55" s="53" t="s">
        <v>161</v>
      </c>
      <c r="L55" s="53">
        <v>3</v>
      </c>
      <c r="N55" s="53">
        <v>4</v>
      </c>
      <c r="O55" s="53">
        <v>0.77</v>
      </c>
      <c r="P55" s="53">
        <v>0.71</v>
      </c>
      <c r="Q55" s="75">
        <f t="shared" si="2"/>
        <v>0.74</v>
      </c>
      <c r="R55" s="53">
        <v>13.5</v>
      </c>
      <c r="S55" s="53">
        <v>140</v>
      </c>
      <c r="T55" s="16">
        <f t="shared" si="0"/>
        <v>22</v>
      </c>
      <c r="U55" s="53">
        <v>358</v>
      </c>
      <c r="V55" s="16">
        <f t="shared" si="1"/>
        <v>16</v>
      </c>
      <c r="W55" s="53">
        <v>3</v>
      </c>
      <c r="X55" s="53" t="s">
        <v>46</v>
      </c>
      <c r="Y55" s="53" t="s">
        <v>78</v>
      </c>
      <c r="Z55" s="53" t="s">
        <v>90</v>
      </c>
      <c r="AA55" s="53" t="s">
        <v>69</v>
      </c>
      <c r="AB55" s="53" t="s">
        <v>318</v>
      </c>
      <c r="AV55" s="27"/>
    </row>
    <row r="56" spans="1:48" x14ac:dyDescent="0.15">
      <c r="A56" s="53" t="s">
        <v>59</v>
      </c>
      <c r="B56" s="53" t="s">
        <v>233</v>
      </c>
      <c r="C56" s="62">
        <v>2019</v>
      </c>
      <c r="D56" s="137" t="s">
        <v>166</v>
      </c>
      <c r="E56" s="53" t="s">
        <v>331</v>
      </c>
      <c r="F56" s="53" t="s">
        <v>332</v>
      </c>
      <c r="G56" s="53" t="s">
        <v>36</v>
      </c>
      <c r="H56" s="53" t="s">
        <v>160</v>
      </c>
      <c r="I56" s="53" t="s">
        <v>159</v>
      </c>
      <c r="J56" s="53" t="s">
        <v>38</v>
      </c>
      <c r="K56" s="53" t="s">
        <v>161</v>
      </c>
      <c r="L56" s="53">
        <v>1</v>
      </c>
      <c r="N56" s="53">
        <v>4</v>
      </c>
      <c r="O56" s="53">
        <v>0.38</v>
      </c>
      <c r="P56" s="53">
        <v>0.34</v>
      </c>
      <c r="Q56" s="75">
        <f t="shared" si="2"/>
        <v>0.36</v>
      </c>
      <c r="R56" s="53">
        <v>16.7</v>
      </c>
      <c r="S56" s="53">
        <v>106</v>
      </c>
      <c r="T56" s="16">
        <f t="shared" si="0"/>
        <v>33</v>
      </c>
      <c r="U56" s="53">
        <v>518</v>
      </c>
      <c r="V56" s="16">
        <f t="shared" si="1"/>
        <v>16</v>
      </c>
      <c r="W56" s="53">
        <v>3</v>
      </c>
      <c r="X56" s="53" t="s">
        <v>39</v>
      </c>
      <c r="Y56" s="53" t="s">
        <v>90</v>
      </c>
      <c r="Z56" s="53" t="s">
        <v>78</v>
      </c>
      <c r="AA56" s="53" t="s">
        <v>69</v>
      </c>
      <c r="AB56" s="53" t="s">
        <v>318</v>
      </c>
      <c r="AV56" s="27"/>
    </row>
    <row r="57" spans="1:48" x14ac:dyDescent="0.15">
      <c r="A57" s="53" t="s">
        <v>59</v>
      </c>
      <c r="B57" s="53" t="s">
        <v>233</v>
      </c>
      <c r="C57" s="62">
        <v>2019</v>
      </c>
      <c r="D57" s="137" t="s">
        <v>166</v>
      </c>
      <c r="E57" s="53" t="s">
        <v>331</v>
      </c>
      <c r="F57" s="53" t="s">
        <v>332</v>
      </c>
      <c r="G57" s="53" t="s">
        <v>36</v>
      </c>
      <c r="H57" s="53" t="s">
        <v>160</v>
      </c>
      <c r="I57" s="53" t="s">
        <v>159</v>
      </c>
      <c r="J57" s="53" t="s">
        <v>38</v>
      </c>
      <c r="K57" s="53" t="s">
        <v>161</v>
      </c>
      <c r="L57" s="53">
        <v>2</v>
      </c>
      <c r="N57" s="53">
        <v>4</v>
      </c>
      <c r="O57" s="53">
        <v>0.45</v>
      </c>
      <c r="P57" s="53">
        <v>0.44</v>
      </c>
      <c r="Q57" s="75">
        <f t="shared" si="2"/>
        <v>0.44500000000000001</v>
      </c>
      <c r="R57" s="53">
        <v>15.8</v>
      </c>
      <c r="S57" s="53">
        <v>106</v>
      </c>
      <c r="T57" s="16">
        <f t="shared" si="0"/>
        <v>33</v>
      </c>
      <c r="U57" s="53">
        <v>518</v>
      </c>
      <c r="V57" s="16">
        <f t="shared" si="1"/>
        <v>16</v>
      </c>
      <c r="W57" s="53">
        <v>3</v>
      </c>
      <c r="X57" s="53" t="s">
        <v>39</v>
      </c>
      <c r="Y57" s="53" t="s">
        <v>90</v>
      </c>
      <c r="Z57" s="53" t="s">
        <v>78</v>
      </c>
      <c r="AA57" s="53" t="s">
        <v>69</v>
      </c>
      <c r="AB57" s="53" t="s">
        <v>318</v>
      </c>
      <c r="AV57" s="27"/>
    </row>
    <row r="58" spans="1:48" x14ac:dyDescent="0.15">
      <c r="A58" s="53" t="s">
        <v>59</v>
      </c>
      <c r="B58" s="53" t="s">
        <v>233</v>
      </c>
      <c r="C58" s="62">
        <v>2019</v>
      </c>
      <c r="D58" s="137" t="s">
        <v>166</v>
      </c>
      <c r="E58" s="53" t="s">
        <v>331</v>
      </c>
      <c r="F58" s="53" t="s">
        <v>332</v>
      </c>
      <c r="G58" s="53" t="s">
        <v>36</v>
      </c>
      <c r="H58" s="53" t="s">
        <v>160</v>
      </c>
      <c r="I58" s="53" t="s">
        <v>159</v>
      </c>
      <c r="J58" s="53" t="s">
        <v>38</v>
      </c>
      <c r="K58" s="53" t="s">
        <v>161</v>
      </c>
      <c r="L58" s="53">
        <v>3</v>
      </c>
      <c r="N58" s="53">
        <v>4</v>
      </c>
      <c r="O58" s="53">
        <v>0.42</v>
      </c>
      <c r="P58" s="53">
        <v>0.4</v>
      </c>
      <c r="Q58" s="75">
        <f t="shared" si="2"/>
        <v>0.41000000000000003</v>
      </c>
      <c r="R58" s="53">
        <v>15.7</v>
      </c>
      <c r="S58" s="53">
        <v>105</v>
      </c>
      <c r="T58" s="16">
        <f t="shared" si="0"/>
        <v>33</v>
      </c>
      <c r="U58" s="53">
        <v>518</v>
      </c>
      <c r="V58" s="16">
        <f t="shared" si="1"/>
        <v>16</v>
      </c>
      <c r="W58" s="53">
        <v>3</v>
      </c>
      <c r="X58" s="53" t="s">
        <v>39</v>
      </c>
      <c r="Y58" s="53" t="s">
        <v>90</v>
      </c>
      <c r="Z58" s="53" t="s">
        <v>78</v>
      </c>
      <c r="AA58" s="53" t="s">
        <v>69</v>
      </c>
      <c r="AB58" s="53" t="s">
        <v>318</v>
      </c>
      <c r="AV58" s="27"/>
    </row>
    <row r="59" spans="1:48" x14ac:dyDescent="0.15">
      <c r="A59" s="53" t="s">
        <v>59</v>
      </c>
      <c r="B59" s="53" t="s">
        <v>233</v>
      </c>
      <c r="C59" s="62">
        <v>2019</v>
      </c>
      <c r="D59" s="137" t="s">
        <v>166</v>
      </c>
      <c r="E59" s="53" t="s">
        <v>331</v>
      </c>
      <c r="F59" s="53" t="s">
        <v>332</v>
      </c>
      <c r="G59" s="53" t="s">
        <v>36</v>
      </c>
      <c r="H59" s="53" t="s">
        <v>164</v>
      </c>
      <c r="I59" s="53" t="s">
        <v>159</v>
      </c>
      <c r="J59" s="53" t="s">
        <v>38</v>
      </c>
      <c r="K59" s="53" t="s">
        <v>161</v>
      </c>
      <c r="L59" s="53">
        <v>1</v>
      </c>
      <c r="N59" s="53">
        <v>5</v>
      </c>
      <c r="O59" s="53">
        <v>0.26</v>
      </c>
      <c r="P59" s="53">
        <v>0.25</v>
      </c>
      <c r="Q59" s="75">
        <f t="shared" si="2"/>
        <v>0.255</v>
      </c>
      <c r="R59" s="53">
        <v>15</v>
      </c>
      <c r="S59" s="53">
        <v>90</v>
      </c>
      <c r="T59" s="16">
        <f t="shared" si="0"/>
        <v>36</v>
      </c>
      <c r="U59" s="53">
        <v>386</v>
      </c>
      <c r="V59" s="16">
        <f t="shared" si="1"/>
        <v>16</v>
      </c>
      <c r="W59" s="53">
        <v>3</v>
      </c>
      <c r="X59" s="53" t="s">
        <v>39</v>
      </c>
      <c r="Y59" s="53" t="s">
        <v>90</v>
      </c>
      <c r="Z59" s="53" t="s">
        <v>78</v>
      </c>
      <c r="AA59" s="53" t="s">
        <v>69</v>
      </c>
      <c r="AB59" s="53" t="s">
        <v>318</v>
      </c>
      <c r="AV59" s="27"/>
    </row>
    <row r="60" spans="1:48" x14ac:dyDescent="0.15">
      <c r="A60" s="53" t="s">
        <v>59</v>
      </c>
      <c r="B60" s="53" t="s">
        <v>233</v>
      </c>
      <c r="C60" s="62">
        <v>2019</v>
      </c>
      <c r="D60" s="137" t="s">
        <v>166</v>
      </c>
      <c r="E60" s="53" t="s">
        <v>331</v>
      </c>
      <c r="F60" s="53" t="s">
        <v>332</v>
      </c>
      <c r="G60" s="53" t="s">
        <v>36</v>
      </c>
      <c r="H60" s="53" t="s">
        <v>164</v>
      </c>
      <c r="I60" s="53" t="s">
        <v>159</v>
      </c>
      <c r="J60" s="53" t="s">
        <v>38</v>
      </c>
      <c r="K60" s="53" t="s">
        <v>161</v>
      </c>
      <c r="L60" s="53">
        <v>2</v>
      </c>
      <c r="N60" s="53">
        <v>5</v>
      </c>
      <c r="O60" s="53">
        <v>0.49</v>
      </c>
      <c r="P60" s="53">
        <v>0.44</v>
      </c>
      <c r="Q60" s="75">
        <f t="shared" si="2"/>
        <v>0.46499999999999997</v>
      </c>
      <c r="R60" s="53">
        <v>15.6</v>
      </c>
      <c r="S60" s="53">
        <v>91</v>
      </c>
      <c r="T60" s="16">
        <f t="shared" si="0"/>
        <v>36</v>
      </c>
      <c r="U60" s="53">
        <v>386</v>
      </c>
      <c r="V60" s="16">
        <f t="shared" si="1"/>
        <v>16</v>
      </c>
      <c r="W60" s="53">
        <v>3</v>
      </c>
      <c r="X60" s="53" t="s">
        <v>39</v>
      </c>
      <c r="Y60" s="53" t="s">
        <v>90</v>
      </c>
      <c r="Z60" s="53" t="s">
        <v>78</v>
      </c>
      <c r="AA60" s="53" t="s">
        <v>69</v>
      </c>
      <c r="AB60" s="53" t="s">
        <v>318</v>
      </c>
      <c r="AV60" s="27"/>
    </row>
    <row r="61" spans="1:48" x14ac:dyDescent="0.15">
      <c r="A61" s="53" t="s">
        <v>59</v>
      </c>
      <c r="B61" s="53" t="s">
        <v>233</v>
      </c>
      <c r="C61" s="62">
        <v>2019</v>
      </c>
      <c r="D61" s="137" t="s">
        <v>166</v>
      </c>
      <c r="E61" s="53" t="s">
        <v>331</v>
      </c>
      <c r="F61" s="53" t="s">
        <v>332</v>
      </c>
      <c r="G61" s="53" t="s">
        <v>36</v>
      </c>
      <c r="H61" s="53" t="s">
        <v>164</v>
      </c>
      <c r="I61" s="53" t="s">
        <v>159</v>
      </c>
      <c r="J61" s="53" t="s">
        <v>38</v>
      </c>
      <c r="K61" s="53" t="s">
        <v>161</v>
      </c>
      <c r="L61" s="53">
        <v>3</v>
      </c>
      <c r="N61" s="53">
        <v>5</v>
      </c>
      <c r="O61" s="53">
        <v>0.42</v>
      </c>
      <c r="P61" s="53">
        <v>0.5</v>
      </c>
      <c r="Q61" s="75">
        <f t="shared" si="2"/>
        <v>0.45999999999999996</v>
      </c>
      <c r="R61" s="53">
        <v>14.9</v>
      </c>
      <c r="S61" s="53">
        <v>82</v>
      </c>
      <c r="T61" s="16">
        <f t="shared" si="0"/>
        <v>39</v>
      </c>
      <c r="U61" s="53">
        <v>386</v>
      </c>
      <c r="V61" s="16">
        <f t="shared" si="1"/>
        <v>16</v>
      </c>
      <c r="W61" s="53">
        <v>3</v>
      </c>
      <c r="X61" s="53" t="s">
        <v>39</v>
      </c>
      <c r="Y61" s="53" t="s">
        <v>90</v>
      </c>
      <c r="Z61" s="53" t="s">
        <v>78</v>
      </c>
      <c r="AA61" s="53" t="s">
        <v>69</v>
      </c>
      <c r="AB61" s="53" t="s">
        <v>318</v>
      </c>
      <c r="AV61" s="27"/>
    </row>
    <row r="62" spans="1:48" x14ac:dyDescent="0.15">
      <c r="C62" s="62"/>
      <c r="D62" s="137"/>
      <c r="Q62" s="75"/>
      <c r="AV62" s="27"/>
    </row>
    <row r="63" spans="1:48" x14ac:dyDescent="0.15">
      <c r="C63" s="62"/>
      <c r="D63" s="137"/>
      <c r="Q63" s="75"/>
      <c r="AV63" s="27"/>
    </row>
    <row r="64" spans="1:48" x14ac:dyDescent="0.15">
      <c r="C64" s="62"/>
      <c r="D64" s="137"/>
      <c r="Q64" s="75"/>
      <c r="AV64" s="27"/>
    </row>
    <row r="65" spans="3:48" x14ac:dyDescent="0.15">
      <c r="C65" s="62"/>
      <c r="D65" s="137"/>
      <c r="Q65" s="75"/>
      <c r="AV65" s="27"/>
    </row>
    <row r="66" spans="3:48" x14ac:dyDescent="0.15">
      <c r="C66" s="62"/>
      <c r="D66" s="137"/>
      <c r="Q66" s="75"/>
      <c r="AV66" s="27"/>
    </row>
    <row r="67" spans="3:48" x14ac:dyDescent="0.15">
      <c r="C67" s="62"/>
      <c r="D67" s="137"/>
      <c r="Q67" s="75"/>
      <c r="AV67" s="27"/>
    </row>
    <row r="68" spans="3:48" x14ac:dyDescent="0.15">
      <c r="C68" s="62"/>
      <c r="D68" s="137"/>
      <c r="Q68" s="75"/>
      <c r="AV68" s="27"/>
    </row>
    <row r="69" spans="3:48" x14ac:dyDescent="0.15">
      <c r="C69" s="62"/>
      <c r="D69" s="137"/>
      <c r="Q69" s="75"/>
      <c r="AV69" s="27"/>
    </row>
    <row r="70" spans="3:48" x14ac:dyDescent="0.15">
      <c r="C70" s="62"/>
      <c r="D70" s="137"/>
      <c r="Q70" s="75"/>
      <c r="AV70" s="27"/>
    </row>
    <row r="71" spans="3:48" x14ac:dyDescent="0.15">
      <c r="C71" s="62"/>
      <c r="D71" s="137"/>
      <c r="Q71" s="75"/>
      <c r="AV71" s="27"/>
    </row>
    <row r="72" spans="3:48" x14ac:dyDescent="0.15">
      <c r="C72" s="62"/>
      <c r="D72" s="137"/>
      <c r="Q72" s="75"/>
      <c r="AV72" s="27"/>
    </row>
    <row r="73" spans="3:48" x14ac:dyDescent="0.15">
      <c r="C73" s="62"/>
      <c r="D73" s="137"/>
      <c r="Q73" s="75"/>
    </row>
    <row r="74" spans="3:48" x14ac:dyDescent="0.15">
      <c r="C74" s="62"/>
      <c r="D74" s="137"/>
      <c r="Q74" s="75"/>
    </row>
    <row r="75" spans="3:48" x14ac:dyDescent="0.15">
      <c r="C75" s="62"/>
      <c r="D75" s="137"/>
      <c r="Q75" s="75"/>
    </row>
    <row r="76" spans="3:48" x14ac:dyDescent="0.15">
      <c r="C76" s="62"/>
      <c r="Q76" s="75"/>
    </row>
    <row r="77" spans="3:48" x14ac:dyDescent="0.15">
      <c r="C77" s="62"/>
      <c r="Q77" s="75"/>
    </row>
    <row r="78" spans="3:48" x14ac:dyDescent="0.15">
      <c r="C78" s="62"/>
      <c r="Q78" s="75"/>
    </row>
    <row r="79" spans="3:48" x14ac:dyDescent="0.15">
      <c r="C79" s="62"/>
      <c r="Q79" s="75"/>
    </row>
    <row r="80" spans="3: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c r="Q89" s="75"/>
    </row>
    <row r="90" spans="3:22" x14ac:dyDescent="0.15">
      <c r="C90" s="62"/>
      <c r="Q90" s="75"/>
    </row>
    <row r="91" spans="3:22" x14ac:dyDescent="0.15">
      <c r="C91" s="62"/>
      <c r="Q91" s="75"/>
    </row>
    <row r="92" spans="3:22" x14ac:dyDescent="0.15">
      <c r="C92" s="62"/>
    </row>
    <row r="93" spans="3:22" x14ac:dyDescent="0.15">
      <c r="C93" s="62"/>
    </row>
    <row r="94" spans="3:22" x14ac:dyDescent="0.15">
      <c r="Q94" s="16" t="str">
        <f t="shared" ref="Q94:Q145" si="3">IF(OR(O94="",P94=""),"",AVERAGE(O94,P94))</f>
        <v/>
      </c>
      <c r="T94" s="16" t="str">
        <f t="shared" ref="T94:T145" si="4">IF(H94="","",IF(OR(H94="GREEN",H94="GK"),IF(S94&gt;=$AX$2,VLOOKUP(S94,$AX$2:$AY$12,2,1),""),IF(S94&gt;=$AZ$2,VLOOKUP(S94,$AZ$2:$BA$12,2,1),"")))</f>
        <v/>
      </c>
      <c r="V94" s="16" t="str">
        <f t="shared" ref="V94:V145" si="5">IF(J94="","",IF(OR(J94="GREEN",J94="GK"),IF(U94&gt;=$AX$2,VLOOKUP(U94,$AX$2:$AY$12,2,1),""),IF(U94&gt;=$AZ$2,VLOOKUP(U94,$AZ$2:$BA$12,2,1),"")))</f>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sheetData>
  <autoFilter ref="A1:BA145" xr:uid="{00000000-0009-0000-0000-000000000000}"/>
  <phoneticPr fontId="3"/>
  <dataValidations count="19">
    <dataValidation type="list" allowBlank="1" showInputMessage="1" showErrorMessage="1" sqref="K2:K427" xr:uid="{F39D749E-7A98-4943-961E-FB4CCD803B19}">
      <formula1>$AR$2:$AR$27</formula1>
    </dataValidation>
    <dataValidation type="list" allowBlank="1" showInputMessage="1" showErrorMessage="1" sqref="E2:E485" xr:uid="{84152D82-A652-4656-8F88-00C8DE096DA7}">
      <formula1>$AG$2:$AG$11</formula1>
    </dataValidation>
    <dataValidation type="list" allowBlank="1" showInputMessage="1" showErrorMessage="1" sqref="H2:H485" xr:uid="{78B8E302-421F-4DAB-AE2D-AF6C403A9313}">
      <formula1>$AL$2:$AL$8</formula1>
    </dataValidation>
    <dataValidation type="decimal" allowBlank="1" showInputMessage="1" showErrorMessage="1" error="硬度を正しく入力して下さい。" sqref="O2:P485" xr:uid="{0834580F-F70B-4872-89EF-342561A51868}">
      <formula1>0</formula1>
      <formula2>7</formula2>
    </dataValidation>
    <dataValidation type="list" allowBlank="1" showInputMessage="1" showErrorMessage="1" sqref="F2:F1439" xr:uid="{9BB03FC2-2B85-4D18-8371-D7565F10A01A}">
      <formula1>$AH$2:$AH$11</formula1>
    </dataValidation>
    <dataValidation type="list" allowBlank="1" showInputMessage="1" showErrorMessage="1" sqref="Y2:AA576" xr:uid="{C4297ED3-0A45-485C-867B-5B47BAD38C3F}">
      <formula1>$AV$2:$AV$38</formula1>
    </dataValidation>
    <dataValidation type="list" allowBlank="1" showInputMessage="1" showErrorMessage="1" sqref="J2:J72" xr:uid="{5B750AB2-D7C9-4656-9439-22D885AFD41E}">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D58D5FC5-771D-4562-BD46-B454F52DE307}">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0DBD4A91-9DD3-4A66-83AE-8B10340DC710}">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769E0FAF-D194-459F-97B5-8E2F11AA3AB7}">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1BF81958-EE7E-4E8C-9726-8DD3A1865E05}">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4FF044C3-198C-490C-9B53-36622FD62FF5}">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7F7EA2C9-B5B8-44D0-915B-9049CC7A0E90}">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0092A54F-E69D-47EE-81EB-5D49541C86F0}">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605EC7FF-8DB0-43F4-A524-2C7F4C7A4D73}">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FF013A5E-F783-4E2E-A2E9-7BA15971B69E}">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DFB81861-8174-4375-9B28-FDB9571ED243}">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E0D1D41F-E9FE-4F26-A28D-F6E572D7B3DE}">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73113C7A-1CA2-4F78-9753-B3CC855A2E78}">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2DFAD-E201-40C2-94FA-E4D9C17F6612}">
  <dimension ref="A1:BA443"/>
  <sheetViews>
    <sheetView zoomScale="85" zoomScaleNormal="85" zoomScaleSheetLayoutView="100" workbookViewId="0">
      <selection activeCell="E73" sqref="E73"/>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357</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233</v>
      </c>
      <c r="C2" s="146">
        <v>2019</v>
      </c>
      <c r="D2" s="147" t="s">
        <v>284</v>
      </c>
      <c r="E2" s="146" t="s">
        <v>358</v>
      </c>
      <c r="F2" s="146" t="s">
        <v>359</v>
      </c>
      <c r="G2" s="148" t="s">
        <v>36</v>
      </c>
      <c r="H2" s="149" t="s">
        <v>164</v>
      </c>
      <c r="I2" s="127" t="s">
        <v>159</v>
      </c>
      <c r="J2" s="150" t="s">
        <v>38</v>
      </c>
      <c r="K2" s="127" t="s">
        <v>161</v>
      </c>
      <c r="L2" s="151">
        <v>1</v>
      </c>
      <c r="M2" s="152"/>
      <c r="N2" s="152">
        <v>1</v>
      </c>
      <c r="O2" s="152">
        <v>0.95</v>
      </c>
      <c r="P2" s="152">
        <v>0.9</v>
      </c>
      <c r="Q2" s="153">
        <f>IF(OR(O2="",P2=""),"",AVERAGE(O2,P2))</f>
        <v>0.92500000000000004</v>
      </c>
      <c r="R2" s="154">
        <v>13.6</v>
      </c>
      <c r="S2" s="149">
        <v>121</v>
      </c>
      <c r="T2" s="155">
        <f t="shared" ref="T2:T65" si="0">IF(H2="","",IF(OR(H2="GREEN",H2="GK"),IF(S2&gt;=$AX$2,VLOOKUP(S2,$AX$2:$AY$7,2,1),""),IF(S2&gt;=$AZ$2,VLOOKUP(S2,$AZ$2:$BA$7,2,1),"")))</f>
        <v>30</v>
      </c>
      <c r="U2" s="127">
        <v>88</v>
      </c>
      <c r="V2" s="155">
        <f t="shared" ref="V2:V65" si="1">IF(OR(N2="",U2="",T2=""),"",U2/N2*T2)</f>
        <v>2640</v>
      </c>
      <c r="W2" s="156">
        <v>8</v>
      </c>
      <c r="X2" s="157" t="s">
        <v>46</v>
      </c>
      <c r="Y2" s="157" t="s">
        <v>102</v>
      </c>
      <c r="Z2" s="157" t="s">
        <v>90</v>
      </c>
      <c r="AA2" s="157" t="s">
        <v>78</v>
      </c>
      <c r="AB2" s="53" t="s">
        <v>237</v>
      </c>
      <c r="AE2" s="64" t="s">
        <v>35</v>
      </c>
      <c r="AG2" s="67" t="s">
        <v>358</v>
      </c>
      <c r="AH2" s="67" t="s">
        <v>359</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360</v>
      </c>
      <c r="E3" s="158" t="s">
        <v>358</v>
      </c>
      <c r="F3" s="158" t="s">
        <v>359</v>
      </c>
      <c r="G3" s="161" t="s">
        <v>36</v>
      </c>
      <c r="H3" s="127" t="s">
        <v>164</v>
      </c>
      <c r="I3" s="127" t="s">
        <v>159</v>
      </c>
      <c r="J3" s="127" t="s">
        <v>38</v>
      </c>
      <c r="K3" s="127" t="s">
        <v>161</v>
      </c>
      <c r="L3" s="53">
        <v>2</v>
      </c>
      <c r="N3" s="53">
        <v>1</v>
      </c>
      <c r="O3" s="53">
        <v>0.8</v>
      </c>
      <c r="P3" s="34">
        <v>0.75</v>
      </c>
      <c r="Q3" s="162">
        <f t="shared" ref="Q3:Q66" si="2">IF(OR(O3="",P3=""),"",AVERAGE(O3,P3))</f>
        <v>0.77500000000000002</v>
      </c>
      <c r="R3" s="163">
        <v>14</v>
      </c>
      <c r="S3" s="163">
        <v>127</v>
      </c>
      <c r="T3" s="16">
        <f t="shared" si="0"/>
        <v>30</v>
      </c>
      <c r="U3" s="164">
        <v>88</v>
      </c>
      <c r="V3" s="38">
        <f t="shared" si="1"/>
        <v>2640</v>
      </c>
      <c r="W3" s="165">
        <v>8</v>
      </c>
      <c r="X3" s="166" t="s">
        <v>46</v>
      </c>
      <c r="Y3" s="166" t="s">
        <v>102</v>
      </c>
      <c r="Z3" s="166" t="s">
        <v>90</v>
      </c>
      <c r="AA3" s="157" t="s">
        <v>78</v>
      </c>
      <c r="AB3" s="53" t="s">
        <v>158</v>
      </c>
      <c r="AE3" s="22" t="s">
        <v>41</v>
      </c>
      <c r="AG3" s="67" t="s">
        <v>361</v>
      </c>
      <c r="AH3" s="67" t="s">
        <v>362</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360</v>
      </c>
      <c r="E4" s="158" t="s">
        <v>358</v>
      </c>
      <c r="F4" s="158" t="s">
        <v>359</v>
      </c>
      <c r="G4" s="161" t="s">
        <v>36</v>
      </c>
      <c r="H4" s="127" t="s">
        <v>164</v>
      </c>
      <c r="I4" s="127" t="s">
        <v>159</v>
      </c>
      <c r="J4" s="127" t="s">
        <v>38</v>
      </c>
      <c r="K4" s="127" t="s">
        <v>161</v>
      </c>
      <c r="L4" s="53">
        <v>3</v>
      </c>
      <c r="N4" s="53">
        <v>1</v>
      </c>
      <c r="O4" s="53">
        <v>1</v>
      </c>
      <c r="P4" s="34">
        <v>0.9</v>
      </c>
      <c r="Q4" s="75">
        <f t="shared" si="2"/>
        <v>0.95</v>
      </c>
      <c r="R4" s="168">
        <v>13.6</v>
      </c>
      <c r="S4" s="168">
        <v>125</v>
      </c>
      <c r="T4" s="16">
        <f t="shared" si="0"/>
        <v>30</v>
      </c>
      <c r="U4" s="169">
        <v>88</v>
      </c>
      <c r="V4" s="38">
        <f t="shared" si="1"/>
        <v>2640</v>
      </c>
      <c r="W4" s="165">
        <v>8</v>
      </c>
      <c r="X4" s="166" t="s">
        <v>46</v>
      </c>
      <c r="Y4" s="166" t="s">
        <v>102</v>
      </c>
      <c r="Z4" s="166" t="s">
        <v>90</v>
      </c>
      <c r="AA4" s="157" t="s">
        <v>78</v>
      </c>
      <c r="AB4" s="53" t="s">
        <v>158</v>
      </c>
      <c r="AE4" s="22" t="s">
        <v>34</v>
      </c>
      <c r="AG4" s="67" t="s">
        <v>363</v>
      </c>
      <c r="AH4" s="67" t="s">
        <v>362</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360</v>
      </c>
      <c r="E5" s="158" t="s">
        <v>358</v>
      </c>
      <c r="F5" s="158" t="s">
        <v>359</v>
      </c>
      <c r="G5" s="161" t="s">
        <v>36</v>
      </c>
      <c r="H5" s="127" t="s">
        <v>160</v>
      </c>
      <c r="I5" s="127" t="s">
        <v>159</v>
      </c>
      <c r="J5" s="127" t="s">
        <v>38</v>
      </c>
      <c r="K5" s="127" t="s">
        <v>161</v>
      </c>
      <c r="L5" s="53">
        <v>1</v>
      </c>
      <c r="N5" s="53">
        <v>1</v>
      </c>
      <c r="O5" s="53">
        <v>0.8</v>
      </c>
      <c r="P5" s="53">
        <v>0.9</v>
      </c>
      <c r="Q5" s="75">
        <f t="shared" si="2"/>
        <v>0.85000000000000009</v>
      </c>
      <c r="R5" s="168">
        <v>15.5</v>
      </c>
      <c r="S5" s="168">
        <v>119</v>
      </c>
      <c r="T5" s="16">
        <f t="shared" si="0"/>
        <v>30</v>
      </c>
      <c r="U5" s="169">
        <v>98</v>
      </c>
      <c r="V5" s="38">
        <f t="shared" si="1"/>
        <v>2940</v>
      </c>
      <c r="W5" s="165">
        <v>8</v>
      </c>
      <c r="X5" s="166" t="s">
        <v>46</v>
      </c>
      <c r="Y5" s="166" t="s">
        <v>102</v>
      </c>
      <c r="Z5" s="166" t="s">
        <v>90</v>
      </c>
      <c r="AA5" s="157" t="s">
        <v>78</v>
      </c>
      <c r="AB5" s="53" t="s">
        <v>158</v>
      </c>
      <c r="AE5" s="22" t="s">
        <v>51</v>
      </c>
      <c r="AG5" s="67" t="s">
        <v>358</v>
      </c>
      <c r="AH5" s="67" t="s">
        <v>364</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360</v>
      </c>
      <c r="E6" s="158" t="s">
        <v>358</v>
      </c>
      <c r="F6" s="158" t="s">
        <v>359</v>
      </c>
      <c r="G6" s="161" t="s">
        <v>36</v>
      </c>
      <c r="H6" s="127" t="s">
        <v>160</v>
      </c>
      <c r="I6" s="127" t="s">
        <v>159</v>
      </c>
      <c r="J6" s="127" t="s">
        <v>38</v>
      </c>
      <c r="K6" s="127" t="s">
        <v>161</v>
      </c>
      <c r="L6" s="53">
        <v>2</v>
      </c>
      <c r="N6" s="53">
        <v>1</v>
      </c>
      <c r="O6" s="53">
        <v>0.6</v>
      </c>
      <c r="P6" s="53">
        <v>0.65</v>
      </c>
      <c r="Q6" s="75">
        <f t="shared" si="2"/>
        <v>0.625</v>
      </c>
      <c r="R6" s="168">
        <v>16.3</v>
      </c>
      <c r="S6" s="168">
        <v>120</v>
      </c>
      <c r="T6" s="16">
        <f t="shared" si="0"/>
        <v>30</v>
      </c>
      <c r="U6" s="169">
        <v>98</v>
      </c>
      <c r="V6" s="38">
        <f t="shared" si="1"/>
        <v>2940</v>
      </c>
      <c r="W6" s="165">
        <v>8</v>
      </c>
      <c r="X6" s="166" t="s">
        <v>46</v>
      </c>
      <c r="Y6" s="166" t="s">
        <v>102</v>
      </c>
      <c r="Z6" s="166" t="s">
        <v>90</v>
      </c>
      <c r="AA6" s="157" t="s">
        <v>78</v>
      </c>
      <c r="AB6" s="53" t="s">
        <v>158</v>
      </c>
      <c r="AE6" s="22" t="s">
        <v>56</v>
      </c>
      <c r="AG6" s="67" t="s">
        <v>211</v>
      </c>
      <c r="AH6" s="67" t="s">
        <v>365</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360</v>
      </c>
      <c r="E7" s="158" t="s">
        <v>358</v>
      </c>
      <c r="F7" s="158" t="s">
        <v>359</v>
      </c>
      <c r="G7" s="161" t="s">
        <v>36</v>
      </c>
      <c r="H7" s="127" t="s">
        <v>160</v>
      </c>
      <c r="I7" s="127" t="s">
        <v>159</v>
      </c>
      <c r="J7" s="127" t="s">
        <v>38</v>
      </c>
      <c r="K7" s="127" t="s">
        <v>161</v>
      </c>
      <c r="L7" s="53">
        <v>3</v>
      </c>
      <c r="N7" s="53">
        <v>1</v>
      </c>
      <c r="O7" s="53">
        <v>0.75</v>
      </c>
      <c r="P7" s="53">
        <v>0.8</v>
      </c>
      <c r="Q7" s="75">
        <f t="shared" si="2"/>
        <v>0.77500000000000002</v>
      </c>
      <c r="R7" s="168">
        <v>15.8</v>
      </c>
      <c r="S7" s="168">
        <v>124</v>
      </c>
      <c r="T7" s="16">
        <f t="shared" si="0"/>
        <v>30</v>
      </c>
      <c r="U7" s="169">
        <v>98</v>
      </c>
      <c r="V7" s="38">
        <f t="shared" si="1"/>
        <v>2940</v>
      </c>
      <c r="W7" s="165">
        <v>8</v>
      </c>
      <c r="X7" s="166" t="s">
        <v>46</v>
      </c>
      <c r="Y7" s="166" t="s">
        <v>102</v>
      </c>
      <c r="Z7" s="166" t="s">
        <v>90</v>
      </c>
      <c r="AA7" s="157" t="s">
        <v>78</v>
      </c>
      <c r="AB7" s="53" t="s">
        <v>158</v>
      </c>
      <c r="AE7" s="22" t="s">
        <v>61</v>
      </c>
      <c r="AG7" s="67" t="s">
        <v>366</v>
      </c>
      <c r="AH7" s="67" t="s">
        <v>365</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360</v>
      </c>
      <c r="E8" s="159" t="s">
        <v>361</v>
      </c>
      <c r="F8" s="158" t="s">
        <v>362</v>
      </c>
      <c r="G8" s="161" t="s">
        <v>36</v>
      </c>
      <c r="H8" s="127" t="s">
        <v>164</v>
      </c>
      <c r="I8" s="127" t="s">
        <v>159</v>
      </c>
      <c r="J8" s="127" t="s">
        <v>38</v>
      </c>
      <c r="K8" s="127" t="s">
        <v>161</v>
      </c>
      <c r="L8" s="53">
        <v>1</v>
      </c>
      <c r="N8" s="53">
        <v>1</v>
      </c>
      <c r="O8" s="53">
        <v>0.9</v>
      </c>
      <c r="P8" s="53">
        <v>0.8</v>
      </c>
      <c r="Q8" s="75">
        <f t="shared" si="2"/>
        <v>0.85000000000000009</v>
      </c>
      <c r="R8" s="168">
        <v>15.2</v>
      </c>
      <c r="S8" s="168">
        <v>127</v>
      </c>
      <c r="T8" s="16">
        <f t="shared" si="0"/>
        <v>30</v>
      </c>
      <c r="U8" s="164">
        <v>128</v>
      </c>
      <c r="V8" s="38">
        <f t="shared" si="1"/>
        <v>3840</v>
      </c>
      <c r="W8" s="165">
        <v>4</v>
      </c>
      <c r="X8" s="166" t="s">
        <v>46</v>
      </c>
      <c r="Y8" s="172" t="s">
        <v>102</v>
      </c>
      <c r="Z8" s="166" t="s">
        <v>78</v>
      </c>
      <c r="AA8" s="157" t="s">
        <v>88</v>
      </c>
      <c r="AB8" s="53" t="s">
        <v>158</v>
      </c>
      <c r="AE8" s="22" t="s">
        <v>59</v>
      </c>
      <c r="AG8" s="67" t="s">
        <v>211</v>
      </c>
      <c r="AH8" s="67" t="s">
        <v>367</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360</v>
      </c>
      <c r="E9" s="159" t="s">
        <v>361</v>
      </c>
      <c r="F9" s="158" t="s">
        <v>362</v>
      </c>
      <c r="G9" s="161" t="s">
        <v>36</v>
      </c>
      <c r="H9" s="127" t="s">
        <v>368</v>
      </c>
      <c r="I9" s="127" t="s">
        <v>159</v>
      </c>
      <c r="J9" s="127" t="s">
        <v>38</v>
      </c>
      <c r="K9" s="127" t="s">
        <v>161</v>
      </c>
      <c r="L9" s="53">
        <v>2</v>
      </c>
      <c r="N9" s="53">
        <v>1</v>
      </c>
      <c r="O9" s="53">
        <v>0.8</v>
      </c>
      <c r="P9" s="53">
        <v>0.9</v>
      </c>
      <c r="Q9" s="75">
        <f t="shared" si="2"/>
        <v>0.85000000000000009</v>
      </c>
      <c r="R9" s="168">
        <v>15.3</v>
      </c>
      <c r="S9" s="168">
        <v>125</v>
      </c>
      <c r="T9" s="16">
        <f t="shared" si="0"/>
        <v>30</v>
      </c>
      <c r="U9" s="164">
        <v>128</v>
      </c>
      <c r="V9" s="38">
        <f t="shared" si="1"/>
        <v>3840</v>
      </c>
      <c r="W9" s="165">
        <v>4</v>
      </c>
      <c r="X9" s="166" t="s">
        <v>46</v>
      </c>
      <c r="Y9" s="172" t="s">
        <v>102</v>
      </c>
      <c r="Z9" s="166" t="s">
        <v>78</v>
      </c>
      <c r="AA9" s="157" t="s">
        <v>88</v>
      </c>
      <c r="AB9" s="53" t="s">
        <v>158</v>
      </c>
      <c r="AE9" s="22" t="s">
        <v>98</v>
      </c>
      <c r="AG9" s="67" t="s">
        <v>139</v>
      </c>
      <c r="AH9" s="67" t="s">
        <v>367</v>
      </c>
      <c r="AL9" s="73"/>
      <c r="AP9" s="23" t="s">
        <v>95</v>
      </c>
      <c r="AR9" s="23" t="s">
        <v>89</v>
      </c>
      <c r="AV9" s="23" t="s">
        <v>102</v>
      </c>
      <c r="AX9" s="31">
        <v>180</v>
      </c>
      <c r="AY9" s="32">
        <v>18</v>
      </c>
      <c r="AZ9" s="32">
        <v>181</v>
      </c>
      <c r="BA9" s="33">
        <v>16</v>
      </c>
    </row>
    <row r="10" spans="1:53" x14ac:dyDescent="0.15">
      <c r="A10" s="158" t="s">
        <v>34</v>
      </c>
      <c r="B10" s="158" t="s">
        <v>157</v>
      </c>
      <c r="C10" s="158">
        <v>2019</v>
      </c>
      <c r="D10" s="160" t="s">
        <v>360</v>
      </c>
      <c r="E10" s="159" t="s">
        <v>361</v>
      </c>
      <c r="F10" s="158" t="s">
        <v>362</v>
      </c>
      <c r="G10" s="161" t="s">
        <v>36</v>
      </c>
      <c r="H10" s="127" t="s">
        <v>164</v>
      </c>
      <c r="I10" s="127" t="s">
        <v>159</v>
      </c>
      <c r="J10" s="127" t="s">
        <v>38</v>
      </c>
      <c r="K10" s="127" t="s">
        <v>161</v>
      </c>
      <c r="L10" s="53">
        <v>3</v>
      </c>
      <c r="N10" s="53">
        <v>1</v>
      </c>
      <c r="O10" s="53">
        <v>0.8</v>
      </c>
      <c r="P10" s="53">
        <v>0.75</v>
      </c>
      <c r="Q10" s="75">
        <f t="shared" si="2"/>
        <v>0.77500000000000002</v>
      </c>
      <c r="R10" s="168">
        <v>15.5</v>
      </c>
      <c r="S10" s="168">
        <v>122</v>
      </c>
      <c r="T10" s="16">
        <f t="shared" si="0"/>
        <v>30</v>
      </c>
      <c r="U10" s="164">
        <v>128</v>
      </c>
      <c r="V10" s="38">
        <f t="shared" si="1"/>
        <v>3840</v>
      </c>
      <c r="W10" s="165">
        <v>4</v>
      </c>
      <c r="X10" s="166" t="s">
        <v>46</v>
      </c>
      <c r="Y10" s="172" t="s">
        <v>102</v>
      </c>
      <c r="Z10" s="166" t="s">
        <v>78</v>
      </c>
      <c r="AA10" s="157" t="s">
        <v>88</v>
      </c>
      <c r="AB10" s="53" t="s">
        <v>158</v>
      </c>
      <c r="AE10" s="22" t="s">
        <v>103</v>
      </c>
      <c r="AG10" s="67" t="s">
        <v>133</v>
      </c>
      <c r="AH10" s="67" t="s">
        <v>369</v>
      </c>
      <c r="AL10" s="34"/>
      <c r="AP10" s="23" t="s">
        <v>100</v>
      </c>
      <c r="AR10" s="23" t="s">
        <v>123</v>
      </c>
      <c r="AV10" s="23" t="s">
        <v>106</v>
      </c>
    </row>
    <row r="11" spans="1:53" x14ac:dyDescent="0.15">
      <c r="A11" s="158" t="s">
        <v>34</v>
      </c>
      <c r="B11" s="158" t="s">
        <v>157</v>
      </c>
      <c r="C11" s="159">
        <v>2019</v>
      </c>
      <c r="D11" s="160" t="s">
        <v>360</v>
      </c>
      <c r="E11" s="159" t="s">
        <v>361</v>
      </c>
      <c r="F11" s="158" t="s">
        <v>362</v>
      </c>
      <c r="G11" s="161" t="s">
        <v>36</v>
      </c>
      <c r="H11" s="127" t="s">
        <v>160</v>
      </c>
      <c r="I11" s="127" t="s">
        <v>159</v>
      </c>
      <c r="J11" s="127" t="s">
        <v>38</v>
      </c>
      <c r="K11" s="127" t="s">
        <v>161</v>
      </c>
      <c r="L11" s="53">
        <v>1</v>
      </c>
      <c r="N11" s="53">
        <v>1</v>
      </c>
      <c r="O11" s="53">
        <v>0.85</v>
      </c>
      <c r="P11" s="53">
        <v>0.8</v>
      </c>
      <c r="Q11" s="75">
        <f t="shared" si="2"/>
        <v>0.82499999999999996</v>
      </c>
      <c r="R11" s="168">
        <v>14.8</v>
      </c>
      <c r="S11" s="168">
        <v>113</v>
      </c>
      <c r="T11" s="16">
        <f t="shared" si="0"/>
        <v>30</v>
      </c>
      <c r="U11" s="164">
        <v>128</v>
      </c>
      <c r="V11" s="38">
        <f t="shared" si="1"/>
        <v>3840</v>
      </c>
      <c r="W11" s="165">
        <v>4</v>
      </c>
      <c r="X11" s="166" t="s">
        <v>46</v>
      </c>
      <c r="Y11" s="172" t="s">
        <v>102</v>
      </c>
      <c r="Z11" s="166" t="s">
        <v>78</v>
      </c>
      <c r="AA11" s="172" t="s">
        <v>88</v>
      </c>
      <c r="AB11" s="53" t="s">
        <v>158</v>
      </c>
      <c r="AE11" s="22" t="s">
        <v>65</v>
      </c>
      <c r="AG11" s="23" t="s">
        <v>270</v>
      </c>
      <c r="AH11" s="23" t="s">
        <v>370</v>
      </c>
      <c r="AL11" s="34"/>
      <c r="AP11" s="23" t="s">
        <v>104</v>
      </c>
      <c r="AR11" s="23" t="s">
        <v>87</v>
      </c>
      <c r="AV11" s="23" t="s">
        <v>69</v>
      </c>
    </row>
    <row r="12" spans="1:53" x14ac:dyDescent="0.15">
      <c r="A12" s="158" t="s">
        <v>34</v>
      </c>
      <c r="B12" s="158" t="s">
        <v>157</v>
      </c>
      <c r="C12" s="158">
        <v>2019</v>
      </c>
      <c r="D12" s="160" t="s">
        <v>360</v>
      </c>
      <c r="E12" s="159" t="s">
        <v>361</v>
      </c>
      <c r="F12" s="158" t="s">
        <v>362</v>
      </c>
      <c r="G12" s="161" t="s">
        <v>36</v>
      </c>
      <c r="H12" s="127" t="s">
        <v>160</v>
      </c>
      <c r="I12" s="127" t="s">
        <v>159</v>
      </c>
      <c r="J12" s="127" t="s">
        <v>38</v>
      </c>
      <c r="K12" s="127" t="s">
        <v>161</v>
      </c>
      <c r="L12" s="53">
        <v>2</v>
      </c>
      <c r="N12" s="53">
        <v>1</v>
      </c>
      <c r="O12" s="53">
        <v>0.9</v>
      </c>
      <c r="P12" s="53">
        <v>0.8</v>
      </c>
      <c r="Q12" s="75">
        <f t="shared" si="2"/>
        <v>0.85000000000000009</v>
      </c>
      <c r="R12" s="168">
        <v>15.6</v>
      </c>
      <c r="S12" s="168">
        <v>105</v>
      </c>
      <c r="T12" s="16">
        <f t="shared" si="0"/>
        <v>33</v>
      </c>
      <c r="U12" s="164">
        <v>128</v>
      </c>
      <c r="V12" s="38">
        <f t="shared" si="1"/>
        <v>4224</v>
      </c>
      <c r="W12" s="165">
        <v>4</v>
      </c>
      <c r="X12" s="166" t="s">
        <v>46</v>
      </c>
      <c r="Y12" s="172" t="s">
        <v>102</v>
      </c>
      <c r="Z12" s="166" t="s">
        <v>78</v>
      </c>
      <c r="AA12" s="172" t="s">
        <v>88</v>
      </c>
      <c r="AB12" s="53" t="s">
        <v>158</v>
      </c>
      <c r="AE12" s="22" t="s">
        <v>70</v>
      </c>
      <c r="AG12" s="23"/>
      <c r="AH12" s="23"/>
      <c r="AL12" s="34"/>
      <c r="AP12" s="23" t="s">
        <v>67</v>
      </c>
      <c r="AR12" s="23" t="s">
        <v>124</v>
      </c>
      <c r="AV12" s="23" t="s">
        <v>72</v>
      </c>
    </row>
    <row r="13" spans="1:53" x14ac:dyDescent="0.15">
      <c r="A13" s="158" t="s">
        <v>34</v>
      </c>
      <c r="B13" s="158" t="s">
        <v>157</v>
      </c>
      <c r="C13" s="159">
        <v>2019</v>
      </c>
      <c r="D13" s="160" t="s">
        <v>360</v>
      </c>
      <c r="E13" s="159" t="s">
        <v>361</v>
      </c>
      <c r="F13" s="158" t="s">
        <v>362</v>
      </c>
      <c r="G13" s="161" t="s">
        <v>36</v>
      </c>
      <c r="H13" s="127" t="s">
        <v>160</v>
      </c>
      <c r="I13" s="127" t="s">
        <v>159</v>
      </c>
      <c r="J13" s="127" t="s">
        <v>38</v>
      </c>
      <c r="K13" s="127" t="s">
        <v>161</v>
      </c>
      <c r="L13" s="53">
        <v>3</v>
      </c>
      <c r="N13" s="53">
        <v>1</v>
      </c>
      <c r="O13" s="53">
        <v>0.85</v>
      </c>
      <c r="P13" s="53">
        <v>0.9</v>
      </c>
      <c r="Q13" s="75">
        <f t="shared" si="2"/>
        <v>0.875</v>
      </c>
      <c r="R13" s="168">
        <v>15.4</v>
      </c>
      <c r="S13" s="168">
        <v>112</v>
      </c>
      <c r="T13" s="16">
        <f t="shared" si="0"/>
        <v>33</v>
      </c>
      <c r="U13" s="164">
        <v>128</v>
      </c>
      <c r="V13" s="38">
        <f t="shared" si="1"/>
        <v>4224</v>
      </c>
      <c r="W13" s="165">
        <v>4</v>
      </c>
      <c r="X13" s="166" t="s">
        <v>46</v>
      </c>
      <c r="Y13" s="172" t="s">
        <v>102</v>
      </c>
      <c r="Z13" s="166" t="s">
        <v>78</v>
      </c>
      <c r="AA13" s="172" t="s">
        <v>88</v>
      </c>
      <c r="AB13" s="53" t="s">
        <v>158</v>
      </c>
      <c r="AE13" s="22" t="s">
        <v>73</v>
      </c>
      <c r="AG13" s="28"/>
      <c r="AH13" s="28"/>
      <c r="AP13" s="23" t="s">
        <v>71</v>
      </c>
      <c r="AR13" s="23" t="s">
        <v>103</v>
      </c>
      <c r="AV13" s="23" t="s">
        <v>75</v>
      </c>
    </row>
    <row r="14" spans="1:53" x14ac:dyDescent="0.15">
      <c r="A14" s="158" t="s">
        <v>34</v>
      </c>
      <c r="B14" s="158" t="s">
        <v>157</v>
      </c>
      <c r="C14" s="158">
        <v>2019</v>
      </c>
      <c r="D14" s="160" t="s">
        <v>360</v>
      </c>
      <c r="E14" s="159" t="s">
        <v>363</v>
      </c>
      <c r="F14" s="158" t="s">
        <v>362</v>
      </c>
      <c r="G14" s="161" t="s">
        <v>36</v>
      </c>
      <c r="H14" s="127" t="s">
        <v>164</v>
      </c>
      <c r="I14" s="127" t="s">
        <v>159</v>
      </c>
      <c r="J14" s="127" t="s">
        <v>38</v>
      </c>
      <c r="K14" s="127" t="s">
        <v>161</v>
      </c>
      <c r="L14" s="53">
        <v>1</v>
      </c>
      <c r="N14" s="53">
        <v>1</v>
      </c>
      <c r="O14" s="53">
        <v>0.9</v>
      </c>
      <c r="P14" s="53">
        <v>0.8</v>
      </c>
      <c r="Q14" s="75">
        <f t="shared" si="2"/>
        <v>0.85000000000000009</v>
      </c>
      <c r="R14" s="168">
        <v>14.8</v>
      </c>
      <c r="S14" s="168">
        <v>132</v>
      </c>
      <c r="T14" s="16">
        <f t="shared" si="0"/>
        <v>30</v>
      </c>
      <c r="U14" s="164">
        <v>128</v>
      </c>
      <c r="V14" s="38">
        <f t="shared" si="1"/>
        <v>3840</v>
      </c>
      <c r="W14" s="165">
        <v>2</v>
      </c>
      <c r="X14" s="166" t="s">
        <v>46</v>
      </c>
      <c r="Y14" s="172" t="s">
        <v>78</v>
      </c>
      <c r="Z14" s="172" t="s">
        <v>90</v>
      </c>
      <c r="AA14" s="172" t="s">
        <v>69</v>
      </c>
      <c r="AB14" s="53" t="s">
        <v>158</v>
      </c>
      <c r="AC14" s="34"/>
      <c r="AE14" s="22" t="s">
        <v>76</v>
      </c>
      <c r="AP14" s="23" t="s">
        <v>74</v>
      </c>
      <c r="AR14" s="23" t="s">
        <v>125</v>
      </c>
      <c r="AV14" s="23" t="s">
        <v>78</v>
      </c>
    </row>
    <row r="15" spans="1:53" x14ac:dyDescent="0.15">
      <c r="A15" s="158" t="s">
        <v>34</v>
      </c>
      <c r="B15" s="158" t="s">
        <v>157</v>
      </c>
      <c r="C15" s="159">
        <v>2019</v>
      </c>
      <c r="D15" s="160" t="s">
        <v>360</v>
      </c>
      <c r="E15" s="159" t="s">
        <v>363</v>
      </c>
      <c r="F15" s="158" t="s">
        <v>362</v>
      </c>
      <c r="G15" s="161" t="s">
        <v>36</v>
      </c>
      <c r="H15" s="127" t="s">
        <v>164</v>
      </c>
      <c r="I15" s="127" t="s">
        <v>159</v>
      </c>
      <c r="J15" s="127" t="s">
        <v>38</v>
      </c>
      <c r="K15" s="127" t="s">
        <v>161</v>
      </c>
      <c r="L15" s="53">
        <v>2</v>
      </c>
      <c r="N15" s="53">
        <v>1</v>
      </c>
      <c r="O15" s="53">
        <v>0.75</v>
      </c>
      <c r="P15" s="53">
        <v>0.8</v>
      </c>
      <c r="Q15" s="75">
        <f t="shared" si="2"/>
        <v>0.77500000000000002</v>
      </c>
      <c r="R15" s="168">
        <v>15.2</v>
      </c>
      <c r="S15" s="168">
        <v>125</v>
      </c>
      <c r="T15" s="16">
        <f t="shared" si="0"/>
        <v>30</v>
      </c>
      <c r="U15" s="164">
        <v>128</v>
      </c>
      <c r="V15" s="38">
        <f t="shared" si="1"/>
        <v>3840</v>
      </c>
      <c r="W15" s="165">
        <v>2</v>
      </c>
      <c r="X15" s="166" t="s">
        <v>46</v>
      </c>
      <c r="Y15" s="172" t="s">
        <v>78</v>
      </c>
      <c r="Z15" s="172" t="s">
        <v>90</v>
      </c>
      <c r="AA15" s="172" t="s">
        <v>69</v>
      </c>
      <c r="AB15" s="53" t="s">
        <v>158</v>
      </c>
      <c r="AC15" s="34"/>
      <c r="AE15" s="22" t="s">
        <v>79</v>
      </c>
      <c r="AP15" s="23" t="s">
        <v>77</v>
      </c>
      <c r="AR15" s="23" t="s">
        <v>94</v>
      </c>
      <c r="AV15" s="23" t="s">
        <v>107</v>
      </c>
    </row>
    <row r="16" spans="1:53" x14ac:dyDescent="0.15">
      <c r="A16" s="158" t="s">
        <v>34</v>
      </c>
      <c r="B16" s="158" t="s">
        <v>157</v>
      </c>
      <c r="C16" s="158">
        <v>2019</v>
      </c>
      <c r="D16" s="160" t="s">
        <v>360</v>
      </c>
      <c r="E16" s="159" t="s">
        <v>363</v>
      </c>
      <c r="F16" s="158" t="s">
        <v>362</v>
      </c>
      <c r="G16" s="161" t="s">
        <v>36</v>
      </c>
      <c r="H16" s="127" t="s">
        <v>164</v>
      </c>
      <c r="I16" s="127" t="s">
        <v>159</v>
      </c>
      <c r="J16" s="127" t="s">
        <v>38</v>
      </c>
      <c r="K16" s="127" t="s">
        <v>161</v>
      </c>
      <c r="L16" s="53">
        <v>3</v>
      </c>
      <c r="N16" s="53">
        <v>1</v>
      </c>
      <c r="O16" s="53">
        <v>0.8</v>
      </c>
      <c r="P16" s="53">
        <v>0.75</v>
      </c>
      <c r="Q16" s="75">
        <f t="shared" si="2"/>
        <v>0.77500000000000002</v>
      </c>
      <c r="R16" s="168">
        <v>15.4</v>
      </c>
      <c r="S16" s="168">
        <v>127</v>
      </c>
      <c r="T16" s="16">
        <f t="shared" si="0"/>
        <v>30</v>
      </c>
      <c r="U16" s="164">
        <v>128</v>
      </c>
      <c r="V16" s="38">
        <f t="shared" si="1"/>
        <v>3840</v>
      </c>
      <c r="W16" s="165">
        <v>2</v>
      </c>
      <c r="X16" s="166" t="s">
        <v>46</v>
      </c>
      <c r="Y16" s="172" t="s">
        <v>78</v>
      </c>
      <c r="Z16" s="172" t="s">
        <v>90</v>
      </c>
      <c r="AA16" s="172" t="s">
        <v>69</v>
      </c>
      <c r="AB16" s="53" t="s">
        <v>158</v>
      </c>
      <c r="AC16" s="34"/>
      <c r="AE16" s="22" t="s">
        <v>82</v>
      </c>
      <c r="AP16" s="23" t="s">
        <v>80</v>
      </c>
      <c r="AR16" s="23" t="s">
        <v>63</v>
      </c>
      <c r="AV16" s="23" t="s">
        <v>84</v>
      </c>
    </row>
    <row r="17" spans="1:48" x14ac:dyDescent="0.15">
      <c r="A17" s="158" t="s">
        <v>34</v>
      </c>
      <c r="B17" s="158" t="s">
        <v>233</v>
      </c>
      <c r="C17" s="159">
        <v>2019</v>
      </c>
      <c r="D17" s="160" t="s">
        <v>360</v>
      </c>
      <c r="E17" s="159" t="s">
        <v>363</v>
      </c>
      <c r="F17" s="158" t="s">
        <v>362</v>
      </c>
      <c r="G17" s="161" t="s">
        <v>36</v>
      </c>
      <c r="H17" s="127" t="s">
        <v>160</v>
      </c>
      <c r="I17" s="127" t="s">
        <v>159</v>
      </c>
      <c r="J17" s="127" t="s">
        <v>38</v>
      </c>
      <c r="K17" s="127" t="s">
        <v>161</v>
      </c>
      <c r="L17" s="53">
        <v>1</v>
      </c>
      <c r="N17" s="53">
        <v>1</v>
      </c>
      <c r="O17" s="53">
        <v>0.6</v>
      </c>
      <c r="P17" s="53">
        <v>0.6</v>
      </c>
      <c r="Q17" s="75">
        <f t="shared" si="2"/>
        <v>0.6</v>
      </c>
      <c r="R17" s="168">
        <v>16.3</v>
      </c>
      <c r="S17" s="168">
        <v>119</v>
      </c>
      <c r="T17" s="16">
        <f t="shared" si="0"/>
        <v>30</v>
      </c>
      <c r="U17" s="164">
        <v>148</v>
      </c>
      <c r="V17" s="38">
        <f t="shared" si="1"/>
        <v>4440</v>
      </c>
      <c r="W17" s="165">
        <v>2</v>
      </c>
      <c r="X17" s="166" t="s">
        <v>46</v>
      </c>
      <c r="Y17" s="172" t="s">
        <v>78</v>
      </c>
      <c r="Z17" s="172" t="s">
        <v>90</v>
      </c>
      <c r="AA17" s="172" t="s">
        <v>69</v>
      </c>
      <c r="AB17" s="53" t="s">
        <v>158</v>
      </c>
      <c r="AC17" s="34"/>
      <c r="AE17" s="22" t="s">
        <v>85</v>
      </c>
      <c r="AP17" s="27" t="s">
        <v>110</v>
      </c>
      <c r="AR17" s="23" t="s">
        <v>96</v>
      </c>
      <c r="AV17" s="23" t="s">
        <v>86</v>
      </c>
    </row>
    <row r="18" spans="1:48" x14ac:dyDescent="0.15">
      <c r="A18" s="158" t="s">
        <v>34</v>
      </c>
      <c r="B18" s="158" t="s">
        <v>157</v>
      </c>
      <c r="C18" s="158">
        <v>2019</v>
      </c>
      <c r="D18" s="160" t="s">
        <v>360</v>
      </c>
      <c r="E18" s="159" t="s">
        <v>363</v>
      </c>
      <c r="F18" s="158" t="s">
        <v>362</v>
      </c>
      <c r="G18" s="161" t="s">
        <v>36</v>
      </c>
      <c r="H18" s="127" t="s">
        <v>160</v>
      </c>
      <c r="I18" s="127" t="s">
        <v>159</v>
      </c>
      <c r="J18" s="127" t="s">
        <v>38</v>
      </c>
      <c r="K18" s="127" t="s">
        <v>161</v>
      </c>
      <c r="L18" s="53">
        <v>2</v>
      </c>
      <c r="N18" s="53">
        <v>1</v>
      </c>
      <c r="O18" s="53">
        <v>0.65</v>
      </c>
      <c r="P18" s="53">
        <v>0.65</v>
      </c>
      <c r="Q18" s="75">
        <f t="shared" si="2"/>
        <v>0.65</v>
      </c>
      <c r="R18" s="168">
        <v>16.2</v>
      </c>
      <c r="S18" s="168">
        <v>125</v>
      </c>
      <c r="T18" s="16">
        <f t="shared" si="0"/>
        <v>30</v>
      </c>
      <c r="U18" s="164">
        <v>148</v>
      </c>
      <c r="V18" s="38">
        <f t="shared" si="1"/>
        <v>4440</v>
      </c>
      <c r="W18" s="165">
        <v>2</v>
      </c>
      <c r="X18" s="166" t="s">
        <v>46</v>
      </c>
      <c r="Y18" s="172" t="s">
        <v>78</v>
      </c>
      <c r="Z18" s="172" t="s">
        <v>90</v>
      </c>
      <c r="AA18" s="172" t="s">
        <v>69</v>
      </c>
      <c r="AB18" s="53" t="s">
        <v>158</v>
      </c>
      <c r="AC18" s="34"/>
      <c r="AE18" s="22" t="s">
        <v>87</v>
      </c>
      <c r="AP18" s="27" t="s">
        <v>111</v>
      </c>
      <c r="AR18" s="23" t="s">
        <v>101</v>
      </c>
      <c r="AV18" s="23" t="s">
        <v>88</v>
      </c>
    </row>
    <row r="19" spans="1:48" x14ac:dyDescent="0.15">
      <c r="A19" s="158" t="s">
        <v>34</v>
      </c>
      <c r="B19" s="158" t="s">
        <v>157</v>
      </c>
      <c r="C19" s="159">
        <v>2019</v>
      </c>
      <c r="D19" s="160" t="s">
        <v>360</v>
      </c>
      <c r="E19" s="159" t="s">
        <v>363</v>
      </c>
      <c r="F19" s="158" t="s">
        <v>362</v>
      </c>
      <c r="G19" s="161" t="s">
        <v>36</v>
      </c>
      <c r="H19" s="127" t="s">
        <v>160</v>
      </c>
      <c r="I19" s="127" t="s">
        <v>159</v>
      </c>
      <c r="J19" s="127" t="s">
        <v>38</v>
      </c>
      <c r="K19" s="127" t="s">
        <v>161</v>
      </c>
      <c r="L19" s="53">
        <v>3</v>
      </c>
      <c r="N19" s="53">
        <v>1</v>
      </c>
      <c r="O19" s="53">
        <v>0.6</v>
      </c>
      <c r="P19" s="53">
        <v>0.55000000000000004</v>
      </c>
      <c r="Q19" s="75">
        <f t="shared" si="2"/>
        <v>0.57499999999999996</v>
      </c>
      <c r="R19" s="168">
        <v>17.5</v>
      </c>
      <c r="S19" s="168">
        <v>115</v>
      </c>
      <c r="T19" s="16">
        <f t="shared" si="0"/>
        <v>30</v>
      </c>
      <c r="U19" s="164">
        <v>148</v>
      </c>
      <c r="V19" s="38">
        <f t="shared" si="1"/>
        <v>4440</v>
      </c>
      <c r="W19" s="165">
        <v>2</v>
      </c>
      <c r="X19" s="166" t="s">
        <v>46</v>
      </c>
      <c r="Y19" s="172" t="s">
        <v>78</v>
      </c>
      <c r="Z19" s="172" t="s">
        <v>90</v>
      </c>
      <c r="AA19" s="172" t="s">
        <v>69</v>
      </c>
      <c r="AB19" s="53" t="s">
        <v>158</v>
      </c>
      <c r="AC19" s="34"/>
      <c r="AE19" s="35" t="s">
        <v>89</v>
      </c>
      <c r="AP19" s="27" t="s">
        <v>112</v>
      </c>
      <c r="AR19" s="23" t="s">
        <v>126</v>
      </c>
      <c r="AV19" s="23" t="s">
        <v>90</v>
      </c>
    </row>
    <row r="20" spans="1:48" x14ac:dyDescent="0.15">
      <c r="A20" s="158" t="s">
        <v>34</v>
      </c>
      <c r="B20" s="158" t="s">
        <v>157</v>
      </c>
      <c r="C20" s="158">
        <v>2019</v>
      </c>
      <c r="D20" s="160" t="s">
        <v>360</v>
      </c>
      <c r="E20" s="159" t="s">
        <v>358</v>
      </c>
      <c r="F20" s="158" t="s">
        <v>364</v>
      </c>
      <c r="G20" s="161" t="s">
        <v>36</v>
      </c>
      <c r="H20" s="127" t="s">
        <v>164</v>
      </c>
      <c r="I20" s="127" t="s">
        <v>159</v>
      </c>
      <c r="J20" s="127" t="s">
        <v>38</v>
      </c>
      <c r="K20" s="127" t="s">
        <v>161</v>
      </c>
      <c r="L20" s="53">
        <v>1</v>
      </c>
      <c r="N20" s="53">
        <v>1</v>
      </c>
      <c r="O20" s="53">
        <v>0.95</v>
      </c>
      <c r="P20" s="53">
        <v>0.9</v>
      </c>
      <c r="Q20" s="75">
        <f t="shared" si="2"/>
        <v>0.92500000000000004</v>
      </c>
      <c r="R20" s="168">
        <v>13.8</v>
      </c>
      <c r="S20" s="168">
        <v>119</v>
      </c>
      <c r="T20" s="16">
        <f t="shared" si="0"/>
        <v>30</v>
      </c>
      <c r="U20" s="164">
        <v>128</v>
      </c>
      <c r="V20" s="38">
        <f t="shared" si="1"/>
        <v>3840</v>
      </c>
      <c r="W20" s="165">
        <v>4</v>
      </c>
      <c r="X20" s="166" t="s">
        <v>39</v>
      </c>
      <c r="Y20" s="172" t="s">
        <v>90</v>
      </c>
      <c r="Z20" s="172" t="s">
        <v>50</v>
      </c>
      <c r="AA20" s="172" t="s">
        <v>78</v>
      </c>
      <c r="AB20" s="53" t="s">
        <v>158</v>
      </c>
      <c r="AE20" s="35"/>
      <c r="AP20" s="27" t="s">
        <v>113</v>
      </c>
      <c r="AR20" s="23" t="s">
        <v>105</v>
      </c>
      <c r="AV20" s="27" t="s">
        <v>135</v>
      </c>
    </row>
    <row r="21" spans="1:48" x14ac:dyDescent="0.15">
      <c r="A21" s="158" t="s">
        <v>34</v>
      </c>
      <c r="B21" s="158" t="s">
        <v>157</v>
      </c>
      <c r="C21" s="159">
        <v>2019</v>
      </c>
      <c r="D21" s="160" t="s">
        <v>360</v>
      </c>
      <c r="E21" s="159" t="s">
        <v>358</v>
      </c>
      <c r="F21" s="158" t="s">
        <v>364</v>
      </c>
      <c r="G21" s="161" t="s">
        <v>36</v>
      </c>
      <c r="H21" s="127" t="s">
        <v>164</v>
      </c>
      <c r="I21" s="127" t="s">
        <v>159</v>
      </c>
      <c r="J21" s="127" t="s">
        <v>38</v>
      </c>
      <c r="K21" s="127" t="s">
        <v>161</v>
      </c>
      <c r="L21" s="53">
        <v>2</v>
      </c>
      <c r="N21" s="53">
        <v>1</v>
      </c>
      <c r="O21" s="53">
        <v>0.8</v>
      </c>
      <c r="P21" s="53">
        <v>0.7</v>
      </c>
      <c r="Q21" s="75">
        <f t="shared" si="2"/>
        <v>0.75</v>
      </c>
      <c r="R21" s="168">
        <v>14.3</v>
      </c>
      <c r="S21" s="168">
        <v>116</v>
      </c>
      <c r="T21" s="16">
        <f t="shared" si="0"/>
        <v>30</v>
      </c>
      <c r="U21" s="164">
        <v>128</v>
      </c>
      <c r="V21" s="38">
        <f t="shared" si="1"/>
        <v>3840</v>
      </c>
      <c r="W21" s="165">
        <v>4</v>
      </c>
      <c r="X21" s="166" t="s">
        <v>39</v>
      </c>
      <c r="Y21" s="172" t="s">
        <v>90</v>
      </c>
      <c r="Z21" s="172" t="s">
        <v>50</v>
      </c>
      <c r="AA21" s="172" t="s">
        <v>78</v>
      </c>
      <c r="AB21" s="53" t="s">
        <v>158</v>
      </c>
      <c r="AE21" s="28"/>
      <c r="AP21" s="27" t="s">
        <v>114</v>
      </c>
      <c r="AR21" s="23" t="s">
        <v>68</v>
      </c>
      <c r="AV21" s="27" t="s">
        <v>136</v>
      </c>
    </row>
    <row r="22" spans="1:48" x14ac:dyDescent="0.15">
      <c r="A22" s="158" t="s">
        <v>34</v>
      </c>
      <c r="B22" s="158" t="s">
        <v>157</v>
      </c>
      <c r="C22" s="158">
        <v>2019</v>
      </c>
      <c r="D22" s="160" t="s">
        <v>360</v>
      </c>
      <c r="E22" s="159" t="s">
        <v>358</v>
      </c>
      <c r="F22" s="158" t="s">
        <v>364</v>
      </c>
      <c r="G22" s="161" t="s">
        <v>36</v>
      </c>
      <c r="H22" s="127" t="s">
        <v>164</v>
      </c>
      <c r="I22" s="127" t="s">
        <v>159</v>
      </c>
      <c r="J22" s="127" t="s">
        <v>38</v>
      </c>
      <c r="K22" s="127" t="s">
        <v>161</v>
      </c>
      <c r="L22" s="53">
        <v>3</v>
      </c>
      <c r="N22" s="53">
        <v>1</v>
      </c>
      <c r="O22" s="53">
        <v>0.85</v>
      </c>
      <c r="P22" s="34">
        <v>0.8</v>
      </c>
      <c r="Q22" s="75">
        <f t="shared" si="2"/>
        <v>0.82499999999999996</v>
      </c>
      <c r="R22" s="168">
        <v>14.5</v>
      </c>
      <c r="S22" s="168">
        <v>116</v>
      </c>
      <c r="T22" s="16">
        <f t="shared" si="0"/>
        <v>30</v>
      </c>
      <c r="U22" s="164">
        <v>128</v>
      </c>
      <c r="V22" s="38">
        <f t="shared" si="1"/>
        <v>3840</v>
      </c>
      <c r="W22" s="165">
        <v>4</v>
      </c>
      <c r="X22" s="166" t="s">
        <v>39</v>
      </c>
      <c r="Y22" s="172" t="s">
        <v>90</v>
      </c>
      <c r="Z22" s="172" t="s">
        <v>50</v>
      </c>
      <c r="AA22" s="172" t="s">
        <v>78</v>
      </c>
      <c r="AB22" s="53" t="s">
        <v>158</v>
      </c>
      <c r="AP22" s="27" t="s">
        <v>115</v>
      </c>
      <c r="AR22" s="23" t="s">
        <v>83</v>
      </c>
      <c r="AV22" s="23"/>
    </row>
    <row r="23" spans="1:48" x14ac:dyDescent="0.15">
      <c r="A23" s="158" t="s">
        <v>34</v>
      </c>
      <c r="B23" s="158" t="s">
        <v>157</v>
      </c>
      <c r="C23" s="159">
        <v>2019</v>
      </c>
      <c r="D23" s="160" t="s">
        <v>360</v>
      </c>
      <c r="E23" s="159" t="s">
        <v>358</v>
      </c>
      <c r="F23" s="158" t="s">
        <v>364</v>
      </c>
      <c r="G23" s="161" t="s">
        <v>36</v>
      </c>
      <c r="H23" s="127" t="s">
        <v>160</v>
      </c>
      <c r="I23" s="127" t="s">
        <v>159</v>
      </c>
      <c r="J23" s="127" t="s">
        <v>38</v>
      </c>
      <c r="K23" s="127" t="s">
        <v>161</v>
      </c>
      <c r="L23" s="53">
        <v>1</v>
      </c>
      <c r="N23" s="53">
        <v>1</v>
      </c>
      <c r="O23" s="53">
        <v>0.65</v>
      </c>
      <c r="P23" s="34">
        <v>0.7</v>
      </c>
      <c r="Q23" s="75">
        <f t="shared" si="2"/>
        <v>0.67500000000000004</v>
      </c>
      <c r="R23" s="168">
        <v>16.600000000000001</v>
      </c>
      <c r="S23" s="168">
        <v>108</v>
      </c>
      <c r="T23" s="16">
        <f t="shared" si="0"/>
        <v>33</v>
      </c>
      <c r="U23" s="164">
        <v>98</v>
      </c>
      <c r="V23" s="38">
        <f t="shared" si="1"/>
        <v>3234</v>
      </c>
      <c r="W23" s="165">
        <v>4</v>
      </c>
      <c r="X23" s="166" t="s">
        <v>39</v>
      </c>
      <c r="Y23" s="172" t="s">
        <v>90</v>
      </c>
      <c r="Z23" s="172" t="s">
        <v>50</v>
      </c>
      <c r="AA23" s="172" t="s">
        <v>78</v>
      </c>
      <c r="AB23" s="53" t="s">
        <v>158</v>
      </c>
      <c r="AP23" s="27" t="s">
        <v>137</v>
      </c>
      <c r="AR23" s="23" t="s">
        <v>61</v>
      </c>
      <c r="AV23" s="23"/>
    </row>
    <row r="24" spans="1:48" x14ac:dyDescent="0.15">
      <c r="A24" s="158" t="s">
        <v>34</v>
      </c>
      <c r="B24" s="158" t="s">
        <v>157</v>
      </c>
      <c r="C24" s="158">
        <v>2019</v>
      </c>
      <c r="D24" s="160" t="s">
        <v>360</v>
      </c>
      <c r="E24" s="159" t="s">
        <v>358</v>
      </c>
      <c r="F24" s="158" t="s">
        <v>364</v>
      </c>
      <c r="G24" s="161" t="s">
        <v>36</v>
      </c>
      <c r="H24" s="127" t="s">
        <v>160</v>
      </c>
      <c r="I24" s="127" t="s">
        <v>159</v>
      </c>
      <c r="J24" s="127" t="s">
        <v>38</v>
      </c>
      <c r="K24" s="127" t="s">
        <v>161</v>
      </c>
      <c r="L24" s="53">
        <v>2</v>
      </c>
      <c r="N24" s="53">
        <v>1</v>
      </c>
      <c r="O24" s="53">
        <v>0.7</v>
      </c>
      <c r="P24" s="34">
        <v>0.75</v>
      </c>
      <c r="Q24" s="75">
        <f t="shared" si="2"/>
        <v>0.72499999999999998</v>
      </c>
      <c r="R24" s="168">
        <v>15.4</v>
      </c>
      <c r="S24" s="168">
        <v>109</v>
      </c>
      <c r="T24" s="16">
        <f t="shared" si="0"/>
        <v>33</v>
      </c>
      <c r="U24" s="164">
        <v>98</v>
      </c>
      <c r="V24" s="38">
        <f t="shared" si="1"/>
        <v>3234</v>
      </c>
      <c r="W24" s="165">
        <v>4</v>
      </c>
      <c r="X24" s="166" t="s">
        <v>39</v>
      </c>
      <c r="Y24" s="172" t="s">
        <v>90</v>
      </c>
      <c r="Z24" s="172" t="s">
        <v>50</v>
      </c>
      <c r="AA24" s="172" t="s">
        <v>78</v>
      </c>
      <c r="AB24" s="53" t="s">
        <v>158</v>
      </c>
      <c r="AP24" s="27" t="s">
        <v>138</v>
      </c>
      <c r="AR24" s="23" t="s">
        <v>91</v>
      </c>
      <c r="AV24" s="23"/>
    </row>
    <row r="25" spans="1:48" x14ac:dyDescent="0.15">
      <c r="A25" s="158" t="s">
        <v>34</v>
      </c>
      <c r="B25" s="158" t="s">
        <v>157</v>
      </c>
      <c r="C25" s="159">
        <v>2019</v>
      </c>
      <c r="D25" s="160" t="s">
        <v>360</v>
      </c>
      <c r="E25" s="159" t="s">
        <v>358</v>
      </c>
      <c r="F25" s="158" t="s">
        <v>364</v>
      </c>
      <c r="G25" s="161" t="s">
        <v>36</v>
      </c>
      <c r="H25" s="127" t="s">
        <v>160</v>
      </c>
      <c r="I25" s="127" t="s">
        <v>159</v>
      </c>
      <c r="J25" s="127" t="s">
        <v>38</v>
      </c>
      <c r="K25" s="127" t="s">
        <v>161</v>
      </c>
      <c r="L25" s="53">
        <v>3</v>
      </c>
      <c r="N25" s="53">
        <v>1</v>
      </c>
      <c r="O25" s="53">
        <v>0.75</v>
      </c>
      <c r="P25" s="34">
        <v>0.65</v>
      </c>
      <c r="Q25" s="75">
        <f t="shared" si="2"/>
        <v>0.7</v>
      </c>
      <c r="R25" s="168">
        <v>15</v>
      </c>
      <c r="S25" s="168">
        <v>112</v>
      </c>
      <c r="T25" s="16">
        <f t="shared" si="0"/>
        <v>33</v>
      </c>
      <c r="U25" s="164">
        <v>98</v>
      </c>
      <c r="V25" s="38">
        <f t="shared" si="1"/>
        <v>3234</v>
      </c>
      <c r="W25" s="165">
        <v>4</v>
      </c>
      <c r="X25" s="166" t="s">
        <v>39</v>
      </c>
      <c r="Y25" s="172" t="s">
        <v>90</v>
      </c>
      <c r="Z25" s="172" t="s">
        <v>50</v>
      </c>
      <c r="AA25" s="172" t="s">
        <v>78</v>
      </c>
      <c r="AB25" s="53" t="s">
        <v>158</v>
      </c>
      <c r="AP25" s="27" t="s">
        <v>116</v>
      </c>
      <c r="AR25" s="27" t="s">
        <v>92</v>
      </c>
      <c r="AV25" s="23"/>
    </row>
    <row r="26" spans="1:48" x14ac:dyDescent="0.15">
      <c r="A26" s="158" t="s">
        <v>34</v>
      </c>
      <c r="B26" s="158" t="s">
        <v>157</v>
      </c>
      <c r="C26" s="158">
        <v>2019</v>
      </c>
      <c r="D26" s="160" t="s">
        <v>360</v>
      </c>
      <c r="E26" s="159" t="s">
        <v>211</v>
      </c>
      <c r="F26" s="158" t="s">
        <v>365</v>
      </c>
      <c r="G26" s="161" t="s">
        <v>42</v>
      </c>
      <c r="H26" s="127" t="s">
        <v>164</v>
      </c>
      <c r="I26" s="127" t="s">
        <v>159</v>
      </c>
      <c r="J26" s="127" t="s">
        <v>38</v>
      </c>
      <c r="K26" s="127" t="s">
        <v>161</v>
      </c>
      <c r="L26" s="53">
        <v>1</v>
      </c>
      <c r="N26" s="53">
        <v>1</v>
      </c>
      <c r="O26" s="53">
        <v>0.95</v>
      </c>
      <c r="P26" s="53">
        <v>0.8</v>
      </c>
      <c r="Q26" s="75">
        <f t="shared" si="2"/>
        <v>0.875</v>
      </c>
      <c r="R26" s="168">
        <v>13.2</v>
      </c>
      <c r="S26" s="168">
        <v>117</v>
      </c>
      <c r="T26" s="16">
        <f t="shared" si="0"/>
        <v>30</v>
      </c>
      <c r="U26" s="164">
        <v>97</v>
      </c>
      <c r="V26" s="38">
        <f t="shared" si="1"/>
        <v>2910</v>
      </c>
      <c r="W26" s="165">
        <v>6</v>
      </c>
      <c r="X26" s="166" t="s">
        <v>46</v>
      </c>
      <c r="Y26" s="172" t="s">
        <v>78</v>
      </c>
      <c r="Z26" s="172" t="s">
        <v>88</v>
      </c>
      <c r="AA26" s="172" t="s">
        <v>69</v>
      </c>
      <c r="AB26" s="53" t="s">
        <v>158</v>
      </c>
      <c r="AP26" s="27" t="s">
        <v>117</v>
      </c>
      <c r="AR26" s="23" t="s">
        <v>153</v>
      </c>
      <c r="AV26" s="27"/>
    </row>
    <row r="27" spans="1:48" x14ac:dyDescent="0.15">
      <c r="A27" s="158" t="s">
        <v>34</v>
      </c>
      <c r="B27" s="158" t="s">
        <v>157</v>
      </c>
      <c r="C27" s="159">
        <v>2019</v>
      </c>
      <c r="D27" s="160" t="s">
        <v>360</v>
      </c>
      <c r="E27" s="159" t="s">
        <v>211</v>
      </c>
      <c r="F27" s="158" t="s">
        <v>365</v>
      </c>
      <c r="G27" s="161" t="s">
        <v>42</v>
      </c>
      <c r="H27" s="127" t="s">
        <v>164</v>
      </c>
      <c r="I27" s="127" t="s">
        <v>159</v>
      </c>
      <c r="J27" s="127" t="s">
        <v>38</v>
      </c>
      <c r="K27" s="127" t="s">
        <v>161</v>
      </c>
      <c r="L27" s="53">
        <v>2</v>
      </c>
      <c r="N27" s="53">
        <v>1</v>
      </c>
      <c r="O27" s="34">
        <v>1.1000000000000001</v>
      </c>
      <c r="P27" s="53">
        <v>1</v>
      </c>
      <c r="Q27" s="75">
        <f t="shared" si="2"/>
        <v>1.05</v>
      </c>
      <c r="R27" s="168">
        <v>14</v>
      </c>
      <c r="S27" s="168">
        <v>125</v>
      </c>
      <c r="T27" s="16">
        <f t="shared" si="0"/>
        <v>30</v>
      </c>
      <c r="U27" s="164">
        <v>97</v>
      </c>
      <c r="V27" s="38">
        <f t="shared" si="1"/>
        <v>2910</v>
      </c>
      <c r="W27" s="165">
        <v>6</v>
      </c>
      <c r="X27" s="166" t="s">
        <v>46</v>
      </c>
      <c r="Y27" s="172" t="s">
        <v>78</v>
      </c>
      <c r="Z27" s="172" t="s">
        <v>88</v>
      </c>
      <c r="AA27" s="172" t="s">
        <v>69</v>
      </c>
      <c r="AB27" s="53" t="s">
        <v>158</v>
      </c>
      <c r="AP27" s="27" t="s">
        <v>118</v>
      </c>
      <c r="AR27" s="23"/>
    </row>
    <row r="28" spans="1:48" x14ac:dyDescent="0.15">
      <c r="A28" s="158" t="s">
        <v>34</v>
      </c>
      <c r="B28" s="158" t="s">
        <v>157</v>
      </c>
      <c r="C28" s="158">
        <v>2019</v>
      </c>
      <c r="D28" s="160" t="s">
        <v>360</v>
      </c>
      <c r="E28" s="159" t="s">
        <v>211</v>
      </c>
      <c r="F28" s="158" t="s">
        <v>365</v>
      </c>
      <c r="G28" s="161" t="s">
        <v>42</v>
      </c>
      <c r="H28" s="127" t="s">
        <v>164</v>
      </c>
      <c r="I28" s="127" t="s">
        <v>159</v>
      </c>
      <c r="J28" s="127" t="s">
        <v>38</v>
      </c>
      <c r="K28" s="127" t="s">
        <v>161</v>
      </c>
      <c r="L28" s="53">
        <v>3</v>
      </c>
      <c r="N28" s="53">
        <v>1</v>
      </c>
      <c r="O28" s="34">
        <v>1</v>
      </c>
      <c r="P28" s="53">
        <v>1.1499999999999999</v>
      </c>
      <c r="Q28" s="75">
        <f t="shared" si="2"/>
        <v>1.075</v>
      </c>
      <c r="R28" s="168">
        <v>13.6</v>
      </c>
      <c r="S28" s="168">
        <v>120</v>
      </c>
      <c r="T28" s="16">
        <f t="shared" si="0"/>
        <v>30</v>
      </c>
      <c r="U28" s="164">
        <v>97</v>
      </c>
      <c r="V28" s="38">
        <f t="shared" si="1"/>
        <v>2910</v>
      </c>
      <c r="W28" s="165">
        <v>6</v>
      </c>
      <c r="X28" s="166" t="s">
        <v>46</v>
      </c>
      <c r="Y28" s="172" t="s">
        <v>78</v>
      </c>
      <c r="Z28" s="172" t="s">
        <v>88</v>
      </c>
      <c r="AA28" s="172" t="s">
        <v>69</v>
      </c>
      <c r="AB28" s="53" t="s">
        <v>158</v>
      </c>
      <c r="AR28" s="23"/>
    </row>
    <row r="29" spans="1:48" x14ac:dyDescent="0.15">
      <c r="A29" s="158" t="s">
        <v>34</v>
      </c>
      <c r="B29" s="158" t="s">
        <v>157</v>
      </c>
      <c r="C29" s="158">
        <v>2019</v>
      </c>
      <c r="D29" s="160" t="s">
        <v>360</v>
      </c>
      <c r="E29" s="159" t="s">
        <v>211</v>
      </c>
      <c r="F29" s="158" t="s">
        <v>365</v>
      </c>
      <c r="G29" s="161" t="s">
        <v>42</v>
      </c>
      <c r="H29" s="127" t="s">
        <v>160</v>
      </c>
      <c r="I29" s="127" t="s">
        <v>159</v>
      </c>
      <c r="J29" s="127" t="s">
        <v>38</v>
      </c>
      <c r="K29" s="127" t="s">
        <v>161</v>
      </c>
      <c r="L29" s="53">
        <v>1</v>
      </c>
      <c r="N29" s="53">
        <v>1</v>
      </c>
      <c r="O29" s="53">
        <v>0.85</v>
      </c>
      <c r="P29" s="53">
        <v>0.8</v>
      </c>
      <c r="Q29" s="75">
        <f t="shared" si="2"/>
        <v>0.82499999999999996</v>
      </c>
      <c r="R29" s="168">
        <v>16.2</v>
      </c>
      <c r="S29" s="168">
        <v>136</v>
      </c>
      <c r="T29" s="16">
        <f t="shared" si="0"/>
        <v>30</v>
      </c>
      <c r="U29" s="164">
        <v>97</v>
      </c>
      <c r="V29" s="38">
        <f t="shared" si="1"/>
        <v>2910</v>
      </c>
      <c r="W29" s="165">
        <v>6</v>
      </c>
      <c r="X29" s="166" t="s">
        <v>46</v>
      </c>
      <c r="Y29" s="172" t="s">
        <v>78</v>
      </c>
      <c r="Z29" s="172" t="s">
        <v>88</v>
      </c>
      <c r="AA29" s="172" t="s">
        <v>69</v>
      </c>
      <c r="AB29" s="53" t="s">
        <v>158</v>
      </c>
      <c r="AR29" s="28"/>
    </row>
    <row r="30" spans="1:48" x14ac:dyDescent="0.15">
      <c r="A30" s="158" t="s">
        <v>34</v>
      </c>
      <c r="B30" s="158" t="s">
        <v>157</v>
      </c>
      <c r="C30" s="159">
        <v>2019</v>
      </c>
      <c r="D30" s="160" t="s">
        <v>360</v>
      </c>
      <c r="E30" s="159" t="s">
        <v>211</v>
      </c>
      <c r="F30" s="158" t="s">
        <v>365</v>
      </c>
      <c r="G30" s="161" t="s">
        <v>42</v>
      </c>
      <c r="H30" s="127" t="s">
        <v>160</v>
      </c>
      <c r="I30" s="127" t="s">
        <v>159</v>
      </c>
      <c r="J30" s="127" t="s">
        <v>38</v>
      </c>
      <c r="K30" s="127" t="s">
        <v>161</v>
      </c>
      <c r="L30" s="53">
        <v>2</v>
      </c>
      <c r="N30" s="53">
        <v>1</v>
      </c>
      <c r="O30" s="53">
        <v>0.7</v>
      </c>
      <c r="P30" s="53">
        <v>0.8</v>
      </c>
      <c r="Q30" s="75">
        <f t="shared" si="2"/>
        <v>0.75</v>
      </c>
      <c r="R30" s="168">
        <v>15.8</v>
      </c>
      <c r="S30" s="168">
        <v>139</v>
      </c>
      <c r="T30" s="16">
        <f t="shared" si="0"/>
        <v>30</v>
      </c>
      <c r="U30" s="164">
        <v>97</v>
      </c>
      <c r="V30" s="38">
        <f t="shared" si="1"/>
        <v>2910</v>
      </c>
      <c r="W30" s="165">
        <v>6</v>
      </c>
      <c r="X30" s="166" t="s">
        <v>46</v>
      </c>
      <c r="Y30" s="172" t="s">
        <v>78</v>
      </c>
      <c r="Z30" s="172" t="s">
        <v>88</v>
      </c>
      <c r="AA30" s="172" t="s">
        <v>69</v>
      </c>
      <c r="AB30" s="53" t="s">
        <v>158</v>
      </c>
    </row>
    <row r="31" spans="1:48" x14ac:dyDescent="0.15">
      <c r="A31" s="158" t="s">
        <v>34</v>
      </c>
      <c r="B31" s="158" t="s">
        <v>157</v>
      </c>
      <c r="C31" s="158">
        <v>2019</v>
      </c>
      <c r="D31" s="160" t="s">
        <v>360</v>
      </c>
      <c r="E31" s="159" t="s">
        <v>211</v>
      </c>
      <c r="F31" s="158" t="s">
        <v>365</v>
      </c>
      <c r="G31" s="161" t="s">
        <v>42</v>
      </c>
      <c r="H31" s="127" t="s">
        <v>160</v>
      </c>
      <c r="I31" s="127" t="s">
        <v>159</v>
      </c>
      <c r="J31" s="127" t="s">
        <v>38</v>
      </c>
      <c r="K31" s="127" t="s">
        <v>161</v>
      </c>
      <c r="L31" s="53">
        <v>3</v>
      </c>
      <c r="N31" s="53">
        <v>1</v>
      </c>
      <c r="O31" s="53">
        <v>0.75</v>
      </c>
      <c r="P31" s="53">
        <v>0.75</v>
      </c>
      <c r="Q31" s="75">
        <f t="shared" si="2"/>
        <v>0.75</v>
      </c>
      <c r="R31" s="168">
        <v>15.5</v>
      </c>
      <c r="S31" s="168">
        <v>143</v>
      </c>
      <c r="T31" s="16">
        <f t="shared" si="0"/>
        <v>30</v>
      </c>
      <c r="U31" s="164">
        <v>97</v>
      </c>
      <c r="V31" s="38">
        <f t="shared" si="1"/>
        <v>2910</v>
      </c>
      <c r="W31" s="165">
        <v>6</v>
      </c>
      <c r="X31" s="166" t="s">
        <v>46</v>
      </c>
      <c r="Y31" s="172" t="s">
        <v>78</v>
      </c>
      <c r="Z31" s="172" t="s">
        <v>88</v>
      </c>
      <c r="AA31" s="172" t="s">
        <v>69</v>
      </c>
      <c r="AB31" s="53" t="s">
        <v>158</v>
      </c>
    </row>
    <row r="32" spans="1:48" ht="14.25" customHeight="1" x14ac:dyDescent="0.15">
      <c r="A32" s="158" t="s">
        <v>34</v>
      </c>
      <c r="B32" s="158" t="s">
        <v>157</v>
      </c>
      <c r="C32" s="159">
        <v>2019</v>
      </c>
      <c r="D32" s="160" t="s">
        <v>360</v>
      </c>
      <c r="E32" s="159" t="s">
        <v>270</v>
      </c>
      <c r="F32" s="158" t="s">
        <v>365</v>
      </c>
      <c r="G32" s="161" t="s">
        <v>42</v>
      </c>
      <c r="H32" s="127" t="s">
        <v>164</v>
      </c>
      <c r="I32" s="127" t="s">
        <v>159</v>
      </c>
      <c r="J32" s="127" t="s">
        <v>38</v>
      </c>
      <c r="K32" s="127" t="s">
        <v>161</v>
      </c>
      <c r="L32" s="53">
        <v>1</v>
      </c>
      <c r="N32" s="53">
        <v>5</v>
      </c>
      <c r="O32" s="53">
        <v>0.7</v>
      </c>
      <c r="P32" s="53">
        <v>0.65</v>
      </c>
      <c r="Q32" s="75">
        <f t="shared" si="2"/>
        <v>0.67500000000000004</v>
      </c>
      <c r="R32" s="168">
        <v>15.4</v>
      </c>
      <c r="S32" s="168">
        <v>83</v>
      </c>
      <c r="T32" s="16">
        <f t="shared" si="0"/>
        <v>39</v>
      </c>
      <c r="U32" s="164">
        <v>398</v>
      </c>
      <c r="V32" s="38">
        <f t="shared" si="1"/>
        <v>3104.3999999999996</v>
      </c>
      <c r="W32" s="165">
        <v>4</v>
      </c>
      <c r="X32" s="166" t="s">
        <v>46</v>
      </c>
      <c r="Y32" s="172" t="s">
        <v>102</v>
      </c>
      <c r="Z32" s="172" t="s">
        <v>69</v>
      </c>
      <c r="AA32" s="172" t="s">
        <v>88</v>
      </c>
      <c r="AB32" s="53" t="s">
        <v>158</v>
      </c>
    </row>
    <row r="33" spans="1:28" x14ac:dyDescent="0.15">
      <c r="A33" s="158" t="s">
        <v>34</v>
      </c>
      <c r="B33" s="158" t="s">
        <v>157</v>
      </c>
      <c r="C33" s="158">
        <v>2019</v>
      </c>
      <c r="D33" s="160" t="s">
        <v>360</v>
      </c>
      <c r="E33" s="159" t="s">
        <v>270</v>
      </c>
      <c r="F33" s="158" t="s">
        <v>365</v>
      </c>
      <c r="G33" s="161" t="s">
        <v>42</v>
      </c>
      <c r="H33" s="127" t="s">
        <v>164</v>
      </c>
      <c r="I33" s="127" t="s">
        <v>159</v>
      </c>
      <c r="J33" s="127" t="s">
        <v>38</v>
      </c>
      <c r="K33" s="127" t="s">
        <v>161</v>
      </c>
      <c r="L33" s="53">
        <v>2</v>
      </c>
      <c r="N33" s="53">
        <v>5</v>
      </c>
      <c r="O33" s="53">
        <v>0.55000000000000004</v>
      </c>
      <c r="P33" s="53">
        <v>0.6</v>
      </c>
      <c r="Q33" s="75">
        <f t="shared" si="2"/>
        <v>0.57499999999999996</v>
      </c>
      <c r="R33" s="168">
        <v>16.2</v>
      </c>
      <c r="S33" s="168">
        <v>92</v>
      </c>
      <c r="T33" s="16">
        <f t="shared" si="0"/>
        <v>36</v>
      </c>
      <c r="U33" s="164">
        <v>398</v>
      </c>
      <c r="V33" s="38">
        <f t="shared" si="1"/>
        <v>2865.6</v>
      </c>
      <c r="W33" s="165">
        <v>4</v>
      </c>
      <c r="X33" s="166" t="s">
        <v>46</v>
      </c>
      <c r="Y33" s="172" t="s">
        <v>102</v>
      </c>
      <c r="Z33" s="172" t="s">
        <v>69</v>
      </c>
      <c r="AA33" s="172" t="s">
        <v>88</v>
      </c>
      <c r="AB33" s="53" t="s">
        <v>158</v>
      </c>
    </row>
    <row r="34" spans="1:28" x14ac:dyDescent="0.15">
      <c r="A34" s="158" t="s">
        <v>34</v>
      </c>
      <c r="B34" s="158" t="s">
        <v>157</v>
      </c>
      <c r="C34" s="159">
        <v>2019</v>
      </c>
      <c r="D34" s="160" t="s">
        <v>360</v>
      </c>
      <c r="E34" s="159" t="s">
        <v>270</v>
      </c>
      <c r="F34" s="158" t="s">
        <v>365</v>
      </c>
      <c r="G34" s="161" t="s">
        <v>42</v>
      </c>
      <c r="H34" s="127" t="s">
        <v>164</v>
      </c>
      <c r="I34" s="127" t="s">
        <v>159</v>
      </c>
      <c r="J34" s="127" t="s">
        <v>38</v>
      </c>
      <c r="K34" s="127" t="s">
        <v>161</v>
      </c>
      <c r="L34" s="53">
        <v>3</v>
      </c>
      <c r="N34" s="53">
        <v>5</v>
      </c>
      <c r="O34" s="53">
        <v>0.6</v>
      </c>
      <c r="P34" s="34">
        <v>0.65</v>
      </c>
      <c r="Q34" s="75">
        <f t="shared" si="2"/>
        <v>0.625</v>
      </c>
      <c r="R34" s="168">
        <v>15.7</v>
      </c>
      <c r="S34" s="168">
        <v>89</v>
      </c>
      <c r="T34" s="16">
        <f t="shared" si="0"/>
        <v>36</v>
      </c>
      <c r="U34" s="164">
        <v>398</v>
      </c>
      <c r="V34" s="38">
        <f t="shared" si="1"/>
        <v>2865.6</v>
      </c>
      <c r="W34" s="165">
        <v>4</v>
      </c>
      <c r="X34" s="166" t="s">
        <v>46</v>
      </c>
      <c r="Y34" s="172" t="s">
        <v>102</v>
      </c>
      <c r="Z34" s="172" t="s">
        <v>69</v>
      </c>
      <c r="AA34" s="172" t="s">
        <v>88</v>
      </c>
      <c r="AB34" s="53" t="s">
        <v>158</v>
      </c>
    </row>
    <row r="35" spans="1:28" x14ac:dyDescent="0.15">
      <c r="A35" s="158" t="s">
        <v>34</v>
      </c>
      <c r="B35" s="158" t="s">
        <v>157</v>
      </c>
      <c r="C35" s="158">
        <v>2019</v>
      </c>
      <c r="D35" s="160" t="s">
        <v>360</v>
      </c>
      <c r="E35" s="159" t="s">
        <v>270</v>
      </c>
      <c r="F35" s="158" t="s">
        <v>365</v>
      </c>
      <c r="G35" s="161" t="s">
        <v>42</v>
      </c>
      <c r="H35" s="127" t="s">
        <v>160</v>
      </c>
      <c r="I35" s="127" t="s">
        <v>159</v>
      </c>
      <c r="J35" s="127" t="s">
        <v>38</v>
      </c>
      <c r="K35" s="127" t="s">
        <v>161</v>
      </c>
      <c r="L35" s="53">
        <v>1</v>
      </c>
      <c r="N35" s="53">
        <v>4</v>
      </c>
      <c r="O35" s="53">
        <v>0.65</v>
      </c>
      <c r="P35" s="53">
        <v>0.7</v>
      </c>
      <c r="Q35" s="75">
        <f t="shared" si="2"/>
        <v>0.67500000000000004</v>
      </c>
      <c r="R35" s="168">
        <v>15.8</v>
      </c>
      <c r="S35" s="168">
        <v>92</v>
      </c>
      <c r="T35" s="16">
        <f t="shared" si="0"/>
        <v>36</v>
      </c>
      <c r="U35" s="164">
        <v>388</v>
      </c>
      <c r="V35" s="38">
        <f t="shared" si="1"/>
        <v>3492</v>
      </c>
      <c r="W35" s="165">
        <v>4</v>
      </c>
      <c r="X35" s="166" t="s">
        <v>46</v>
      </c>
      <c r="Y35" s="172" t="s">
        <v>102</v>
      </c>
      <c r="Z35" s="172" t="s">
        <v>69</v>
      </c>
      <c r="AA35" s="172" t="s">
        <v>88</v>
      </c>
      <c r="AB35" s="53" t="s">
        <v>158</v>
      </c>
    </row>
    <row r="36" spans="1:28" x14ac:dyDescent="0.15">
      <c r="A36" s="158" t="s">
        <v>34</v>
      </c>
      <c r="B36" s="158" t="s">
        <v>157</v>
      </c>
      <c r="C36" s="159">
        <v>2019</v>
      </c>
      <c r="D36" s="160" t="s">
        <v>360</v>
      </c>
      <c r="E36" s="159" t="s">
        <v>270</v>
      </c>
      <c r="F36" s="158" t="s">
        <v>365</v>
      </c>
      <c r="G36" s="161" t="s">
        <v>42</v>
      </c>
      <c r="H36" s="127" t="s">
        <v>160</v>
      </c>
      <c r="I36" s="127" t="s">
        <v>159</v>
      </c>
      <c r="J36" s="127" t="s">
        <v>38</v>
      </c>
      <c r="K36" s="127" t="s">
        <v>161</v>
      </c>
      <c r="L36" s="53">
        <v>2</v>
      </c>
      <c r="N36" s="53">
        <v>4</v>
      </c>
      <c r="O36" s="53">
        <v>0.6</v>
      </c>
      <c r="P36" s="53">
        <v>0.55000000000000004</v>
      </c>
      <c r="Q36" s="75">
        <f t="shared" si="2"/>
        <v>0.57499999999999996</v>
      </c>
      <c r="R36" s="168">
        <v>15.6</v>
      </c>
      <c r="S36" s="168">
        <v>102</v>
      </c>
      <c r="T36" s="16">
        <f t="shared" si="0"/>
        <v>33</v>
      </c>
      <c r="U36" s="164">
        <v>388</v>
      </c>
      <c r="V36" s="38">
        <f t="shared" si="1"/>
        <v>3201</v>
      </c>
      <c r="W36" s="165">
        <v>4</v>
      </c>
      <c r="X36" s="166" t="s">
        <v>46</v>
      </c>
      <c r="Y36" s="172" t="s">
        <v>102</v>
      </c>
      <c r="Z36" s="172" t="s">
        <v>69</v>
      </c>
      <c r="AA36" s="172" t="s">
        <v>88</v>
      </c>
      <c r="AB36" s="53" t="s">
        <v>158</v>
      </c>
    </row>
    <row r="37" spans="1:28" x14ac:dyDescent="0.15">
      <c r="A37" s="158" t="s">
        <v>34</v>
      </c>
      <c r="B37" s="158" t="s">
        <v>157</v>
      </c>
      <c r="C37" s="158">
        <v>2019</v>
      </c>
      <c r="D37" s="160" t="s">
        <v>360</v>
      </c>
      <c r="E37" s="159" t="s">
        <v>270</v>
      </c>
      <c r="F37" s="158" t="s">
        <v>365</v>
      </c>
      <c r="G37" s="161" t="s">
        <v>42</v>
      </c>
      <c r="H37" s="127" t="s">
        <v>160</v>
      </c>
      <c r="I37" s="127" t="s">
        <v>159</v>
      </c>
      <c r="J37" s="127" t="s">
        <v>38</v>
      </c>
      <c r="K37" s="127" t="s">
        <v>161</v>
      </c>
      <c r="L37" s="53">
        <v>3</v>
      </c>
      <c r="N37" s="53">
        <v>4</v>
      </c>
      <c r="O37" s="53">
        <v>0.45</v>
      </c>
      <c r="P37" s="53">
        <v>0.5</v>
      </c>
      <c r="Q37" s="75">
        <f t="shared" si="2"/>
        <v>0.47499999999999998</v>
      </c>
      <c r="R37" s="168">
        <v>16.2</v>
      </c>
      <c r="S37" s="168">
        <v>101</v>
      </c>
      <c r="T37" s="16">
        <f t="shared" si="0"/>
        <v>33</v>
      </c>
      <c r="U37" s="164">
        <v>388</v>
      </c>
      <c r="V37" s="38">
        <f t="shared" si="1"/>
        <v>3201</v>
      </c>
      <c r="W37" s="165">
        <v>4</v>
      </c>
      <c r="X37" s="166" t="s">
        <v>46</v>
      </c>
      <c r="Y37" s="172" t="s">
        <v>102</v>
      </c>
      <c r="Z37" s="172" t="s">
        <v>69</v>
      </c>
      <c r="AA37" s="172" t="s">
        <v>88</v>
      </c>
      <c r="AB37" s="53" t="s">
        <v>158</v>
      </c>
    </row>
    <row r="38" spans="1:28" x14ac:dyDescent="0.15">
      <c r="A38" s="158" t="s">
        <v>34</v>
      </c>
      <c r="B38" s="158" t="s">
        <v>157</v>
      </c>
      <c r="C38" s="159">
        <v>2019</v>
      </c>
      <c r="D38" s="160" t="s">
        <v>360</v>
      </c>
      <c r="E38" s="159" t="s">
        <v>211</v>
      </c>
      <c r="F38" s="158" t="s">
        <v>367</v>
      </c>
      <c r="G38" s="161" t="s">
        <v>42</v>
      </c>
      <c r="H38" s="127" t="s">
        <v>164</v>
      </c>
      <c r="I38" s="127" t="s">
        <v>159</v>
      </c>
      <c r="J38" s="127" t="s">
        <v>38</v>
      </c>
      <c r="K38" s="127" t="s">
        <v>161</v>
      </c>
      <c r="L38" s="53">
        <v>1</v>
      </c>
      <c r="N38" s="53">
        <v>1</v>
      </c>
      <c r="O38" s="53">
        <v>1</v>
      </c>
      <c r="P38" s="53">
        <v>1.1499999999999999</v>
      </c>
      <c r="Q38" s="75">
        <f t="shared" si="2"/>
        <v>1.075</v>
      </c>
      <c r="R38" s="168">
        <v>14.1</v>
      </c>
      <c r="S38" s="168">
        <v>136</v>
      </c>
      <c r="T38" s="16">
        <f t="shared" si="0"/>
        <v>30</v>
      </c>
      <c r="U38" s="164">
        <v>127</v>
      </c>
      <c r="V38" s="38">
        <f t="shared" si="1"/>
        <v>3810</v>
      </c>
      <c r="W38" s="165">
        <v>4</v>
      </c>
      <c r="X38" s="166" t="s">
        <v>39</v>
      </c>
      <c r="Y38" s="172" t="s">
        <v>102</v>
      </c>
      <c r="Z38" s="172" t="s">
        <v>88</v>
      </c>
      <c r="AA38" s="172" t="s">
        <v>69</v>
      </c>
      <c r="AB38" s="53" t="s">
        <v>158</v>
      </c>
    </row>
    <row r="39" spans="1:28" x14ac:dyDescent="0.15">
      <c r="A39" s="158" t="s">
        <v>34</v>
      </c>
      <c r="B39" s="158" t="s">
        <v>157</v>
      </c>
      <c r="C39" s="158">
        <v>2019</v>
      </c>
      <c r="D39" s="160" t="s">
        <v>360</v>
      </c>
      <c r="E39" s="159" t="s">
        <v>211</v>
      </c>
      <c r="F39" s="158" t="s">
        <v>367</v>
      </c>
      <c r="G39" s="161" t="s">
        <v>42</v>
      </c>
      <c r="H39" s="127" t="s">
        <v>164</v>
      </c>
      <c r="I39" s="127" t="s">
        <v>159</v>
      </c>
      <c r="J39" s="127" t="s">
        <v>38</v>
      </c>
      <c r="K39" s="127" t="s">
        <v>161</v>
      </c>
      <c r="L39" s="53">
        <v>2</v>
      </c>
      <c r="N39" s="53">
        <v>1</v>
      </c>
      <c r="O39" s="53">
        <v>1.1499999999999999</v>
      </c>
      <c r="P39" s="53">
        <v>0.95</v>
      </c>
      <c r="Q39" s="75">
        <f t="shared" si="2"/>
        <v>1.0499999999999998</v>
      </c>
      <c r="R39" s="168">
        <v>14.3</v>
      </c>
      <c r="S39" s="168">
        <v>134</v>
      </c>
      <c r="T39" s="16">
        <f t="shared" si="0"/>
        <v>30</v>
      </c>
      <c r="U39" s="164">
        <v>127</v>
      </c>
      <c r="V39" s="38">
        <f t="shared" si="1"/>
        <v>3810</v>
      </c>
      <c r="W39" s="165">
        <v>4</v>
      </c>
      <c r="X39" s="166" t="s">
        <v>39</v>
      </c>
      <c r="Y39" s="172" t="s">
        <v>102</v>
      </c>
      <c r="Z39" s="172" t="s">
        <v>88</v>
      </c>
      <c r="AA39" s="172" t="s">
        <v>69</v>
      </c>
      <c r="AB39" s="53" t="s">
        <v>158</v>
      </c>
    </row>
    <row r="40" spans="1:28" ht="12.75" customHeight="1" x14ac:dyDescent="0.15">
      <c r="A40" s="158" t="s">
        <v>34</v>
      </c>
      <c r="B40" s="158" t="s">
        <v>157</v>
      </c>
      <c r="C40" s="159">
        <v>2019</v>
      </c>
      <c r="D40" s="160" t="s">
        <v>360</v>
      </c>
      <c r="E40" s="159" t="s">
        <v>211</v>
      </c>
      <c r="F40" s="158" t="s">
        <v>367</v>
      </c>
      <c r="G40" s="161" t="s">
        <v>42</v>
      </c>
      <c r="H40" s="127" t="s">
        <v>164</v>
      </c>
      <c r="I40" s="127" t="s">
        <v>159</v>
      </c>
      <c r="J40" s="127" t="s">
        <v>38</v>
      </c>
      <c r="K40" s="127" t="s">
        <v>161</v>
      </c>
      <c r="L40" s="53">
        <v>3</v>
      </c>
      <c r="N40" s="53">
        <v>1</v>
      </c>
      <c r="O40" s="53">
        <v>0.95</v>
      </c>
      <c r="P40" s="53">
        <v>0.9</v>
      </c>
      <c r="Q40" s="75">
        <f t="shared" si="2"/>
        <v>0.92500000000000004</v>
      </c>
      <c r="R40" s="168">
        <v>13.5</v>
      </c>
      <c r="S40" s="168">
        <v>133</v>
      </c>
      <c r="T40" s="16">
        <f t="shared" si="0"/>
        <v>30</v>
      </c>
      <c r="U40" s="164">
        <v>127</v>
      </c>
      <c r="V40" s="38">
        <f t="shared" si="1"/>
        <v>3810</v>
      </c>
      <c r="W40" s="165">
        <v>4</v>
      </c>
      <c r="X40" s="166" t="s">
        <v>39</v>
      </c>
      <c r="Y40" s="172" t="s">
        <v>102</v>
      </c>
      <c r="Z40" s="172" t="s">
        <v>88</v>
      </c>
      <c r="AA40" s="172" t="s">
        <v>69</v>
      </c>
      <c r="AB40" s="53" t="s">
        <v>158</v>
      </c>
    </row>
    <row r="41" spans="1:28" ht="12.75" customHeight="1" x14ac:dyDescent="0.15">
      <c r="A41" s="127" t="s">
        <v>34</v>
      </c>
      <c r="B41" s="158" t="s">
        <v>157</v>
      </c>
      <c r="C41" s="159">
        <v>2019</v>
      </c>
      <c r="D41" s="160" t="s">
        <v>360</v>
      </c>
      <c r="E41" s="159" t="s">
        <v>211</v>
      </c>
      <c r="F41" s="158" t="s">
        <v>367</v>
      </c>
      <c r="G41" s="161" t="s">
        <v>42</v>
      </c>
      <c r="H41" s="127" t="s">
        <v>160</v>
      </c>
      <c r="I41" s="127" t="s">
        <v>159</v>
      </c>
      <c r="J41" s="127" t="s">
        <v>38</v>
      </c>
      <c r="K41" s="127" t="s">
        <v>161</v>
      </c>
      <c r="L41" s="53">
        <v>1</v>
      </c>
      <c r="N41" s="53">
        <v>1</v>
      </c>
      <c r="O41" s="53">
        <v>0.65</v>
      </c>
      <c r="P41" s="53">
        <v>0.75</v>
      </c>
      <c r="Q41" s="75">
        <f t="shared" si="2"/>
        <v>0.7</v>
      </c>
      <c r="R41" s="168">
        <v>15.2</v>
      </c>
      <c r="S41" s="168">
        <v>149</v>
      </c>
      <c r="T41" s="16">
        <f t="shared" si="0"/>
        <v>30</v>
      </c>
      <c r="U41" s="164">
        <v>127</v>
      </c>
      <c r="V41" s="38">
        <f t="shared" si="1"/>
        <v>3810</v>
      </c>
      <c r="W41" s="53">
        <v>4</v>
      </c>
      <c r="X41" s="166" t="s">
        <v>39</v>
      </c>
      <c r="Y41" s="173" t="s">
        <v>102</v>
      </c>
      <c r="Z41" s="173" t="s">
        <v>88</v>
      </c>
      <c r="AA41" s="173" t="s">
        <v>69</v>
      </c>
      <c r="AB41" s="53" t="s">
        <v>158</v>
      </c>
    </row>
    <row r="42" spans="1:28" ht="12.75" customHeight="1" x14ac:dyDescent="0.15">
      <c r="A42" s="127" t="s">
        <v>34</v>
      </c>
      <c r="B42" s="158" t="s">
        <v>157</v>
      </c>
      <c r="C42" s="159">
        <v>2019</v>
      </c>
      <c r="D42" s="160" t="s">
        <v>360</v>
      </c>
      <c r="E42" s="159" t="s">
        <v>211</v>
      </c>
      <c r="F42" s="158" t="s">
        <v>367</v>
      </c>
      <c r="G42" s="161" t="s">
        <v>42</v>
      </c>
      <c r="H42" s="127" t="s">
        <v>160</v>
      </c>
      <c r="I42" s="127" t="s">
        <v>159</v>
      </c>
      <c r="J42" s="127" t="s">
        <v>38</v>
      </c>
      <c r="K42" s="127" t="s">
        <v>161</v>
      </c>
      <c r="L42" s="53">
        <v>2</v>
      </c>
      <c r="N42" s="53">
        <v>1</v>
      </c>
      <c r="O42" s="53">
        <v>0.7</v>
      </c>
      <c r="P42" s="53">
        <v>0.6</v>
      </c>
      <c r="Q42" s="75">
        <f t="shared" si="2"/>
        <v>0.64999999999999991</v>
      </c>
      <c r="R42" s="168">
        <v>16.100000000000001</v>
      </c>
      <c r="S42" s="168">
        <v>162</v>
      </c>
      <c r="T42" s="16">
        <f t="shared" si="0"/>
        <v>30</v>
      </c>
      <c r="U42" s="164">
        <v>127</v>
      </c>
      <c r="V42" s="38">
        <f t="shared" si="1"/>
        <v>3810</v>
      </c>
      <c r="W42" s="53">
        <v>4</v>
      </c>
      <c r="X42" s="166" t="s">
        <v>39</v>
      </c>
      <c r="Y42" s="173" t="s">
        <v>102</v>
      </c>
      <c r="Z42" s="173" t="s">
        <v>88</v>
      </c>
      <c r="AA42" s="173" t="s">
        <v>69</v>
      </c>
      <c r="AB42" s="53" t="s">
        <v>158</v>
      </c>
    </row>
    <row r="43" spans="1:28" ht="12.75" customHeight="1" x14ac:dyDescent="0.15">
      <c r="A43" s="127" t="s">
        <v>34</v>
      </c>
      <c r="B43" s="158" t="s">
        <v>157</v>
      </c>
      <c r="C43" s="159">
        <v>2019</v>
      </c>
      <c r="D43" s="160" t="s">
        <v>360</v>
      </c>
      <c r="E43" s="159" t="s">
        <v>211</v>
      </c>
      <c r="F43" s="158" t="s">
        <v>367</v>
      </c>
      <c r="G43" s="161" t="s">
        <v>42</v>
      </c>
      <c r="H43" s="127" t="s">
        <v>160</v>
      </c>
      <c r="I43" s="127" t="s">
        <v>159</v>
      </c>
      <c r="J43" s="127" t="s">
        <v>38</v>
      </c>
      <c r="K43" s="127" t="s">
        <v>161</v>
      </c>
      <c r="L43" s="53">
        <v>3</v>
      </c>
      <c r="N43" s="53">
        <v>1</v>
      </c>
      <c r="O43" s="53">
        <v>0.7</v>
      </c>
      <c r="P43" s="53">
        <v>0.65</v>
      </c>
      <c r="Q43" s="75">
        <f t="shared" si="2"/>
        <v>0.67500000000000004</v>
      </c>
      <c r="R43" s="168">
        <v>16.2</v>
      </c>
      <c r="S43" s="168">
        <v>154</v>
      </c>
      <c r="T43" s="16">
        <f t="shared" si="0"/>
        <v>30</v>
      </c>
      <c r="U43" s="164">
        <v>127</v>
      </c>
      <c r="V43" s="38">
        <f t="shared" si="1"/>
        <v>3810</v>
      </c>
      <c r="W43" s="53">
        <v>4</v>
      </c>
      <c r="X43" s="166" t="s">
        <v>39</v>
      </c>
      <c r="Y43" s="173" t="s">
        <v>102</v>
      </c>
      <c r="Z43" s="173" t="s">
        <v>88</v>
      </c>
      <c r="AA43" s="173" t="s">
        <v>69</v>
      </c>
      <c r="AB43" s="53" t="s">
        <v>158</v>
      </c>
    </row>
    <row r="44" spans="1:28" x14ac:dyDescent="0.15">
      <c r="A44" s="53" t="s">
        <v>34</v>
      </c>
      <c r="B44" s="158" t="s">
        <v>157</v>
      </c>
      <c r="C44" s="159">
        <v>2019</v>
      </c>
      <c r="D44" s="160" t="s">
        <v>360</v>
      </c>
      <c r="E44" s="159" t="s">
        <v>139</v>
      </c>
      <c r="F44" s="158" t="s">
        <v>367</v>
      </c>
      <c r="G44" s="161" t="s">
        <v>36</v>
      </c>
      <c r="H44" s="127" t="s">
        <v>164</v>
      </c>
      <c r="I44" s="127" t="s">
        <v>159</v>
      </c>
      <c r="J44" s="53" t="s">
        <v>38</v>
      </c>
      <c r="K44" s="127" t="s">
        <v>161</v>
      </c>
      <c r="L44" s="53">
        <v>1</v>
      </c>
      <c r="N44" s="53">
        <v>1</v>
      </c>
      <c r="O44" s="53">
        <v>0.8</v>
      </c>
      <c r="P44" s="53">
        <v>0.75</v>
      </c>
      <c r="Q44" s="75">
        <f t="shared" si="2"/>
        <v>0.77500000000000002</v>
      </c>
      <c r="R44" s="168">
        <v>15.8</v>
      </c>
      <c r="S44" s="168">
        <v>108</v>
      </c>
      <c r="T44" s="16">
        <f t="shared" si="0"/>
        <v>33</v>
      </c>
      <c r="U44" s="164">
        <v>98</v>
      </c>
      <c r="V44" s="16">
        <f t="shared" si="1"/>
        <v>3234</v>
      </c>
      <c r="W44" s="53">
        <v>16</v>
      </c>
      <c r="X44" s="166" t="s">
        <v>46</v>
      </c>
      <c r="Y44" s="173" t="s">
        <v>88</v>
      </c>
      <c r="Z44" s="173" t="s">
        <v>78</v>
      </c>
      <c r="AA44" s="173" t="s">
        <v>102</v>
      </c>
      <c r="AB44" s="53" t="s">
        <v>158</v>
      </c>
    </row>
    <row r="45" spans="1:28" x14ac:dyDescent="0.15">
      <c r="A45" s="53" t="s">
        <v>34</v>
      </c>
      <c r="B45" s="158" t="s">
        <v>157</v>
      </c>
      <c r="C45" s="158">
        <v>2019</v>
      </c>
      <c r="D45" s="160" t="s">
        <v>360</v>
      </c>
      <c r="E45" s="159" t="s">
        <v>139</v>
      </c>
      <c r="F45" s="158" t="s">
        <v>367</v>
      </c>
      <c r="G45" s="161" t="s">
        <v>36</v>
      </c>
      <c r="H45" s="127" t="s">
        <v>164</v>
      </c>
      <c r="I45" s="127" t="s">
        <v>159</v>
      </c>
      <c r="J45" s="53" t="s">
        <v>38</v>
      </c>
      <c r="K45" s="127" t="s">
        <v>161</v>
      </c>
      <c r="L45" s="53">
        <v>2</v>
      </c>
      <c r="N45" s="53">
        <v>1</v>
      </c>
      <c r="O45" s="53">
        <v>0.75</v>
      </c>
      <c r="P45" s="53">
        <v>0.8</v>
      </c>
      <c r="Q45" s="75">
        <f t="shared" si="2"/>
        <v>0.77500000000000002</v>
      </c>
      <c r="R45" s="168">
        <v>16.100000000000001</v>
      </c>
      <c r="S45" s="168">
        <v>108</v>
      </c>
      <c r="T45" s="16">
        <f t="shared" si="0"/>
        <v>33</v>
      </c>
      <c r="U45" s="164">
        <v>98</v>
      </c>
      <c r="V45" s="16">
        <f t="shared" si="1"/>
        <v>3234</v>
      </c>
      <c r="W45" s="53">
        <v>16</v>
      </c>
      <c r="X45" s="166" t="s">
        <v>46</v>
      </c>
      <c r="Y45" s="173" t="s">
        <v>88</v>
      </c>
      <c r="Z45" s="173" t="s">
        <v>78</v>
      </c>
      <c r="AA45" s="173" t="s">
        <v>102</v>
      </c>
      <c r="AB45" s="53" t="s">
        <v>158</v>
      </c>
    </row>
    <row r="46" spans="1:28" x14ac:dyDescent="0.15">
      <c r="A46" s="53" t="s">
        <v>34</v>
      </c>
      <c r="B46" s="158" t="s">
        <v>157</v>
      </c>
      <c r="C46" s="159">
        <v>2019</v>
      </c>
      <c r="D46" s="160" t="s">
        <v>360</v>
      </c>
      <c r="E46" s="159" t="s">
        <v>139</v>
      </c>
      <c r="F46" s="158" t="s">
        <v>367</v>
      </c>
      <c r="G46" s="161" t="s">
        <v>36</v>
      </c>
      <c r="H46" s="127" t="s">
        <v>164</v>
      </c>
      <c r="I46" s="127" t="s">
        <v>159</v>
      </c>
      <c r="J46" s="53" t="s">
        <v>38</v>
      </c>
      <c r="K46" s="127" t="s">
        <v>161</v>
      </c>
      <c r="L46" s="53">
        <v>3</v>
      </c>
      <c r="N46" s="53">
        <v>1</v>
      </c>
      <c r="O46" s="53">
        <v>0.8</v>
      </c>
      <c r="P46" s="53">
        <v>0.85</v>
      </c>
      <c r="Q46" s="75">
        <f t="shared" si="2"/>
        <v>0.82499999999999996</v>
      </c>
      <c r="R46" s="168">
        <v>15.3</v>
      </c>
      <c r="S46" s="168">
        <v>107</v>
      </c>
      <c r="T46" s="16">
        <f t="shared" si="0"/>
        <v>33</v>
      </c>
      <c r="U46" s="164">
        <v>98</v>
      </c>
      <c r="V46" s="16">
        <f t="shared" si="1"/>
        <v>3234</v>
      </c>
      <c r="W46" s="53">
        <v>16</v>
      </c>
      <c r="X46" s="166" t="s">
        <v>46</v>
      </c>
      <c r="Y46" s="173" t="s">
        <v>88</v>
      </c>
      <c r="Z46" s="173" t="s">
        <v>78</v>
      </c>
      <c r="AA46" s="173" t="s">
        <v>102</v>
      </c>
      <c r="AB46" s="53" t="s">
        <v>158</v>
      </c>
    </row>
    <row r="47" spans="1:28" x14ac:dyDescent="0.15">
      <c r="A47" s="53" t="s">
        <v>34</v>
      </c>
      <c r="B47" s="34" t="s">
        <v>157</v>
      </c>
      <c r="C47" s="53">
        <v>2019</v>
      </c>
      <c r="D47" s="174" t="s">
        <v>360</v>
      </c>
      <c r="E47" s="53" t="s">
        <v>139</v>
      </c>
      <c r="F47" s="158" t="s">
        <v>367</v>
      </c>
      <c r="G47" s="161" t="s">
        <v>36</v>
      </c>
      <c r="H47" s="127" t="s">
        <v>160</v>
      </c>
      <c r="I47" s="127" t="s">
        <v>159</v>
      </c>
      <c r="J47" s="53" t="s">
        <v>38</v>
      </c>
      <c r="K47" s="127" t="s">
        <v>161</v>
      </c>
      <c r="L47" s="53">
        <v>1</v>
      </c>
      <c r="N47" s="53">
        <v>1</v>
      </c>
      <c r="O47" s="53">
        <v>0.65</v>
      </c>
      <c r="P47" s="53">
        <v>0.7</v>
      </c>
      <c r="Q47" s="75">
        <f t="shared" si="2"/>
        <v>0.67500000000000004</v>
      </c>
      <c r="R47" s="168">
        <v>16.7</v>
      </c>
      <c r="S47" s="168">
        <v>103</v>
      </c>
      <c r="T47" s="16">
        <f t="shared" si="0"/>
        <v>33</v>
      </c>
      <c r="U47" s="53">
        <v>127</v>
      </c>
      <c r="V47" s="16">
        <f t="shared" si="1"/>
        <v>4191</v>
      </c>
      <c r="W47" s="53">
        <v>16</v>
      </c>
      <c r="X47" s="166" t="s">
        <v>46</v>
      </c>
      <c r="Y47" s="53" t="s">
        <v>88</v>
      </c>
      <c r="Z47" s="53" t="s">
        <v>78</v>
      </c>
      <c r="AA47" s="53" t="s">
        <v>102</v>
      </c>
      <c r="AB47" s="53" t="s">
        <v>158</v>
      </c>
    </row>
    <row r="48" spans="1:28" x14ac:dyDescent="0.15">
      <c r="A48" s="53" t="s">
        <v>34</v>
      </c>
      <c r="B48" s="34" t="s">
        <v>157</v>
      </c>
      <c r="C48" s="53">
        <v>2019</v>
      </c>
      <c r="D48" s="174" t="s">
        <v>360</v>
      </c>
      <c r="E48" s="53" t="s">
        <v>139</v>
      </c>
      <c r="F48" s="158" t="s">
        <v>367</v>
      </c>
      <c r="G48" s="161" t="s">
        <v>36</v>
      </c>
      <c r="H48" s="127" t="s">
        <v>160</v>
      </c>
      <c r="I48" s="127" t="s">
        <v>159</v>
      </c>
      <c r="J48" s="53" t="s">
        <v>38</v>
      </c>
      <c r="K48" s="127" t="s">
        <v>161</v>
      </c>
      <c r="L48" s="53">
        <v>2</v>
      </c>
      <c r="N48" s="53">
        <v>1</v>
      </c>
      <c r="O48" s="53">
        <v>0.7</v>
      </c>
      <c r="P48" s="53">
        <v>0.6</v>
      </c>
      <c r="Q48" s="75">
        <f t="shared" si="2"/>
        <v>0.64999999999999991</v>
      </c>
      <c r="R48" s="168">
        <v>17.100000000000001</v>
      </c>
      <c r="S48" s="168">
        <v>98</v>
      </c>
      <c r="T48" s="16">
        <f t="shared" si="0"/>
        <v>36</v>
      </c>
      <c r="U48" s="53">
        <v>127</v>
      </c>
      <c r="V48" s="16">
        <f t="shared" si="1"/>
        <v>4572</v>
      </c>
      <c r="W48" s="53">
        <v>16</v>
      </c>
      <c r="X48" s="166" t="s">
        <v>46</v>
      </c>
      <c r="Y48" s="53" t="s">
        <v>88</v>
      </c>
      <c r="Z48" s="53" t="s">
        <v>78</v>
      </c>
      <c r="AA48" s="53" t="s">
        <v>102</v>
      </c>
      <c r="AB48" s="53" t="s">
        <v>158</v>
      </c>
    </row>
    <row r="49" spans="1:28" x14ac:dyDescent="0.15">
      <c r="A49" s="53" t="s">
        <v>34</v>
      </c>
      <c r="B49" s="34" t="s">
        <v>157</v>
      </c>
      <c r="C49" s="53">
        <v>2019</v>
      </c>
      <c r="D49" s="174" t="s">
        <v>360</v>
      </c>
      <c r="E49" s="53" t="s">
        <v>139</v>
      </c>
      <c r="F49" s="158" t="s">
        <v>367</v>
      </c>
      <c r="G49" s="161" t="s">
        <v>36</v>
      </c>
      <c r="H49" s="127" t="s">
        <v>160</v>
      </c>
      <c r="I49" s="127" t="s">
        <v>159</v>
      </c>
      <c r="J49" s="53" t="s">
        <v>38</v>
      </c>
      <c r="K49" s="127" t="s">
        <v>161</v>
      </c>
      <c r="L49" s="53">
        <v>3</v>
      </c>
      <c r="N49" s="53">
        <v>1</v>
      </c>
      <c r="O49" s="53">
        <v>0.8</v>
      </c>
      <c r="P49" s="53">
        <v>0.7</v>
      </c>
      <c r="Q49" s="75">
        <f t="shared" si="2"/>
        <v>0.75</v>
      </c>
      <c r="R49" s="168">
        <v>15.9</v>
      </c>
      <c r="S49" s="168">
        <v>105</v>
      </c>
      <c r="T49" s="16">
        <f t="shared" si="0"/>
        <v>33</v>
      </c>
      <c r="U49" s="53">
        <v>127</v>
      </c>
      <c r="V49" s="16">
        <f t="shared" si="1"/>
        <v>4191</v>
      </c>
      <c r="W49" s="53">
        <v>16</v>
      </c>
      <c r="X49" s="166" t="s">
        <v>46</v>
      </c>
      <c r="Y49" s="53" t="s">
        <v>88</v>
      </c>
      <c r="Z49" s="53" t="s">
        <v>78</v>
      </c>
      <c r="AA49" s="53" t="s">
        <v>102</v>
      </c>
      <c r="AB49" s="53" t="s">
        <v>158</v>
      </c>
    </row>
    <row r="50" spans="1:28" x14ac:dyDescent="0.15">
      <c r="A50" s="53" t="s">
        <v>34</v>
      </c>
      <c r="B50" s="53" t="s">
        <v>157</v>
      </c>
      <c r="C50" s="53">
        <v>2019</v>
      </c>
      <c r="D50" s="174" t="s">
        <v>360</v>
      </c>
      <c r="E50" s="53" t="s">
        <v>133</v>
      </c>
      <c r="F50" s="158" t="s">
        <v>369</v>
      </c>
      <c r="G50" s="161" t="s">
        <v>36</v>
      </c>
      <c r="H50" s="53" t="s">
        <v>164</v>
      </c>
      <c r="I50" s="53" t="s">
        <v>159</v>
      </c>
      <c r="J50" s="53" t="s">
        <v>38</v>
      </c>
      <c r="K50" s="127" t="s">
        <v>161</v>
      </c>
      <c r="L50" s="53">
        <v>1</v>
      </c>
      <c r="N50" s="53">
        <v>1</v>
      </c>
      <c r="O50" s="53">
        <v>0.6</v>
      </c>
      <c r="P50" s="53">
        <v>0.6</v>
      </c>
      <c r="Q50" s="75">
        <f t="shared" si="2"/>
        <v>0.6</v>
      </c>
      <c r="R50" s="53">
        <v>15.5</v>
      </c>
      <c r="S50" s="53">
        <v>126</v>
      </c>
      <c r="T50" s="16">
        <f t="shared" si="0"/>
        <v>30</v>
      </c>
      <c r="U50" s="53">
        <v>98</v>
      </c>
      <c r="V50" s="16">
        <f t="shared" si="1"/>
        <v>2940</v>
      </c>
      <c r="W50" s="53">
        <v>18</v>
      </c>
      <c r="X50" s="166" t="s">
        <v>46</v>
      </c>
      <c r="Y50" s="53" t="s">
        <v>78</v>
      </c>
      <c r="Z50" s="53" t="s">
        <v>102</v>
      </c>
      <c r="AA50" s="53" t="s">
        <v>88</v>
      </c>
      <c r="AB50" s="53" t="s">
        <v>158</v>
      </c>
    </row>
    <row r="51" spans="1:28" x14ac:dyDescent="0.15">
      <c r="A51" s="53" t="s">
        <v>34</v>
      </c>
      <c r="B51" s="53" t="s">
        <v>157</v>
      </c>
      <c r="C51" s="53">
        <v>2019</v>
      </c>
      <c r="D51" s="174" t="s">
        <v>360</v>
      </c>
      <c r="E51" s="53" t="s">
        <v>133</v>
      </c>
      <c r="F51" s="158" t="s">
        <v>369</v>
      </c>
      <c r="G51" s="161" t="s">
        <v>36</v>
      </c>
      <c r="H51" s="53" t="s">
        <v>164</v>
      </c>
      <c r="I51" s="53" t="s">
        <v>159</v>
      </c>
      <c r="J51" s="53" t="s">
        <v>38</v>
      </c>
      <c r="K51" s="127" t="s">
        <v>161</v>
      </c>
      <c r="L51" s="53">
        <v>2</v>
      </c>
      <c r="N51" s="53">
        <v>1</v>
      </c>
      <c r="O51" s="53">
        <v>0.55000000000000004</v>
      </c>
      <c r="P51" s="53">
        <v>0.5</v>
      </c>
      <c r="Q51" s="75">
        <f t="shared" si="2"/>
        <v>0.52500000000000002</v>
      </c>
      <c r="R51" s="53">
        <v>16.399999999999999</v>
      </c>
      <c r="S51" s="53">
        <v>118</v>
      </c>
      <c r="T51" s="16">
        <f t="shared" si="0"/>
        <v>30</v>
      </c>
      <c r="U51" s="53">
        <v>98</v>
      </c>
      <c r="V51" s="16">
        <f t="shared" si="1"/>
        <v>2940</v>
      </c>
      <c r="W51" s="53">
        <v>18</v>
      </c>
      <c r="X51" s="166" t="s">
        <v>46</v>
      </c>
      <c r="Y51" s="53" t="s">
        <v>78</v>
      </c>
      <c r="Z51" s="53" t="s">
        <v>102</v>
      </c>
      <c r="AA51" s="53" t="s">
        <v>88</v>
      </c>
      <c r="AB51" s="53" t="s">
        <v>158</v>
      </c>
    </row>
    <row r="52" spans="1:28" x14ac:dyDescent="0.15">
      <c r="A52" s="53" t="s">
        <v>34</v>
      </c>
      <c r="B52" s="53" t="s">
        <v>157</v>
      </c>
      <c r="C52" s="53">
        <v>2019</v>
      </c>
      <c r="D52" s="174" t="s">
        <v>360</v>
      </c>
      <c r="E52" s="53" t="s">
        <v>133</v>
      </c>
      <c r="F52" s="158" t="s">
        <v>369</v>
      </c>
      <c r="G52" s="161" t="s">
        <v>36</v>
      </c>
      <c r="H52" s="53" t="s">
        <v>164</v>
      </c>
      <c r="I52" s="53" t="s">
        <v>159</v>
      </c>
      <c r="J52" s="53" t="s">
        <v>38</v>
      </c>
      <c r="K52" s="127" t="s">
        <v>161</v>
      </c>
      <c r="L52" s="53">
        <v>3</v>
      </c>
      <c r="N52" s="53">
        <v>1</v>
      </c>
      <c r="O52" s="53">
        <v>0.65</v>
      </c>
      <c r="P52" s="53">
        <v>0.6</v>
      </c>
      <c r="Q52" s="75">
        <f t="shared" si="2"/>
        <v>0.625</v>
      </c>
      <c r="R52" s="53">
        <v>15.8</v>
      </c>
      <c r="S52" s="53">
        <v>121</v>
      </c>
      <c r="T52" s="16">
        <f t="shared" si="0"/>
        <v>30</v>
      </c>
      <c r="U52" s="53">
        <v>98</v>
      </c>
      <c r="V52" s="16">
        <f t="shared" si="1"/>
        <v>2940</v>
      </c>
      <c r="W52" s="53">
        <v>18</v>
      </c>
      <c r="X52" s="166" t="s">
        <v>46</v>
      </c>
      <c r="Y52" s="53" t="s">
        <v>78</v>
      </c>
      <c r="Z52" s="53" t="s">
        <v>102</v>
      </c>
      <c r="AA52" s="53" t="s">
        <v>88</v>
      </c>
      <c r="AB52" s="53" t="s">
        <v>158</v>
      </c>
    </row>
    <row r="53" spans="1:28" x14ac:dyDescent="0.15">
      <c r="A53" s="53" t="s">
        <v>34</v>
      </c>
      <c r="B53" s="53" t="s">
        <v>157</v>
      </c>
      <c r="C53" s="53">
        <v>2019</v>
      </c>
      <c r="D53" s="174" t="s">
        <v>360</v>
      </c>
      <c r="E53" s="53" t="s">
        <v>133</v>
      </c>
      <c r="F53" s="158" t="s">
        <v>369</v>
      </c>
      <c r="G53" s="161" t="s">
        <v>36</v>
      </c>
      <c r="H53" s="53" t="s">
        <v>160</v>
      </c>
      <c r="I53" s="53" t="s">
        <v>159</v>
      </c>
      <c r="J53" s="53" t="s">
        <v>38</v>
      </c>
      <c r="K53" s="127" t="s">
        <v>161</v>
      </c>
      <c r="L53" s="53">
        <v>1</v>
      </c>
      <c r="N53" s="53">
        <v>1</v>
      </c>
      <c r="O53" s="53">
        <v>0.7</v>
      </c>
      <c r="P53" s="53">
        <v>0.65</v>
      </c>
      <c r="Q53" s="75">
        <f t="shared" si="2"/>
        <v>0.67500000000000004</v>
      </c>
      <c r="R53" s="53">
        <v>15.3</v>
      </c>
      <c r="S53" s="53">
        <v>133</v>
      </c>
      <c r="T53" s="16">
        <f t="shared" si="0"/>
        <v>30</v>
      </c>
      <c r="U53" s="53">
        <v>138</v>
      </c>
      <c r="V53" s="16">
        <f t="shared" si="1"/>
        <v>4140</v>
      </c>
      <c r="W53" s="53">
        <v>18</v>
      </c>
      <c r="X53" s="166" t="s">
        <v>46</v>
      </c>
      <c r="Y53" s="53" t="s">
        <v>78</v>
      </c>
      <c r="Z53" s="53" t="s">
        <v>102</v>
      </c>
      <c r="AA53" s="53" t="s">
        <v>88</v>
      </c>
      <c r="AB53" s="53" t="s">
        <v>158</v>
      </c>
    </row>
    <row r="54" spans="1:28" x14ac:dyDescent="0.15">
      <c r="A54" s="53" t="s">
        <v>34</v>
      </c>
      <c r="B54" s="53" t="s">
        <v>157</v>
      </c>
      <c r="C54" s="53">
        <v>2019</v>
      </c>
      <c r="D54" s="174" t="s">
        <v>360</v>
      </c>
      <c r="E54" s="53" t="s">
        <v>133</v>
      </c>
      <c r="F54" s="158" t="s">
        <v>369</v>
      </c>
      <c r="G54" s="161" t="s">
        <v>36</v>
      </c>
      <c r="H54" s="53" t="s">
        <v>160</v>
      </c>
      <c r="I54" s="53" t="s">
        <v>159</v>
      </c>
      <c r="J54" s="53" t="s">
        <v>38</v>
      </c>
      <c r="K54" s="127" t="s">
        <v>161</v>
      </c>
      <c r="L54" s="53">
        <v>2</v>
      </c>
      <c r="N54" s="53">
        <v>1</v>
      </c>
      <c r="O54" s="53">
        <v>0.65</v>
      </c>
      <c r="P54" s="53">
        <v>0.6</v>
      </c>
      <c r="Q54" s="75">
        <f t="shared" si="2"/>
        <v>0.625</v>
      </c>
      <c r="R54" s="53">
        <v>15.6</v>
      </c>
      <c r="S54" s="53">
        <v>134</v>
      </c>
      <c r="T54" s="16">
        <f t="shared" si="0"/>
        <v>30</v>
      </c>
      <c r="U54" s="53">
        <v>138</v>
      </c>
      <c r="V54" s="16">
        <f t="shared" si="1"/>
        <v>4140</v>
      </c>
      <c r="W54" s="53">
        <v>18</v>
      </c>
      <c r="X54" s="166" t="s">
        <v>46</v>
      </c>
      <c r="Y54" s="53" t="s">
        <v>78</v>
      </c>
      <c r="Z54" s="53" t="s">
        <v>102</v>
      </c>
      <c r="AA54" s="53" t="s">
        <v>88</v>
      </c>
      <c r="AB54" s="53" t="s">
        <v>158</v>
      </c>
    </row>
    <row r="55" spans="1:28" x14ac:dyDescent="0.15">
      <c r="A55" s="53" t="s">
        <v>34</v>
      </c>
      <c r="B55" s="53" t="s">
        <v>157</v>
      </c>
      <c r="C55" s="53">
        <v>2019</v>
      </c>
      <c r="D55" s="174" t="s">
        <v>360</v>
      </c>
      <c r="E55" s="53" t="s">
        <v>133</v>
      </c>
      <c r="F55" s="158" t="s">
        <v>369</v>
      </c>
      <c r="G55" s="161" t="s">
        <v>36</v>
      </c>
      <c r="H55" s="53" t="s">
        <v>160</v>
      </c>
      <c r="I55" s="53" t="s">
        <v>159</v>
      </c>
      <c r="J55" s="53" t="s">
        <v>38</v>
      </c>
      <c r="K55" s="127" t="s">
        <v>161</v>
      </c>
      <c r="L55" s="53">
        <v>3</v>
      </c>
      <c r="N55" s="53">
        <v>1</v>
      </c>
      <c r="O55" s="53">
        <v>0.65</v>
      </c>
      <c r="P55" s="53">
        <v>0.5</v>
      </c>
      <c r="Q55" s="75">
        <f t="shared" si="2"/>
        <v>0.57499999999999996</v>
      </c>
      <c r="R55" s="53">
        <v>17.8</v>
      </c>
      <c r="S55" s="53">
        <v>136</v>
      </c>
      <c r="T55" s="16">
        <f t="shared" si="0"/>
        <v>30</v>
      </c>
      <c r="U55" s="53">
        <v>138</v>
      </c>
      <c r="V55" s="16">
        <f t="shared" si="1"/>
        <v>4140</v>
      </c>
      <c r="W55" s="53">
        <v>18</v>
      </c>
      <c r="X55" s="166" t="s">
        <v>46</v>
      </c>
      <c r="Y55" s="53" t="s">
        <v>78</v>
      </c>
      <c r="Z55" s="53" t="s">
        <v>102</v>
      </c>
      <c r="AA55" s="53" t="s">
        <v>88</v>
      </c>
      <c r="AB55" s="53" t="s">
        <v>158</v>
      </c>
    </row>
    <row r="56" spans="1:28" x14ac:dyDescent="0.15">
      <c r="A56" s="53" t="s">
        <v>34</v>
      </c>
      <c r="B56" s="53" t="s">
        <v>157</v>
      </c>
      <c r="C56" s="53">
        <v>2019</v>
      </c>
      <c r="D56" s="174" t="s">
        <v>360</v>
      </c>
      <c r="E56" s="53" t="s">
        <v>270</v>
      </c>
      <c r="F56" s="158" t="s">
        <v>370</v>
      </c>
      <c r="G56" s="161" t="s">
        <v>36</v>
      </c>
      <c r="H56" s="53" t="s">
        <v>164</v>
      </c>
      <c r="I56" s="53" t="s">
        <v>159</v>
      </c>
      <c r="J56" s="53" t="s">
        <v>38</v>
      </c>
      <c r="K56" s="127" t="s">
        <v>161</v>
      </c>
      <c r="L56" s="53">
        <v>1</v>
      </c>
      <c r="N56" s="53">
        <v>5</v>
      </c>
      <c r="O56" s="53">
        <v>0.65</v>
      </c>
      <c r="P56" s="53">
        <v>0.6</v>
      </c>
      <c r="Q56" s="75">
        <f t="shared" si="2"/>
        <v>0.625</v>
      </c>
      <c r="R56" s="53">
        <v>15.5</v>
      </c>
      <c r="S56" s="53">
        <v>84</v>
      </c>
      <c r="T56" s="16">
        <f t="shared" si="0"/>
        <v>36</v>
      </c>
      <c r="U56" s="53">
        <v>398</v>
      </c>
      <c r="V56" s="16">
        <f t="shared" si="1"/>
        <v>2865.6</v>
      </c>
      <c r="W56" s="53">
        <v>4</v>
      </c>
      <c r="X56" s="166" t="s">
        <v>46</v>
      </c>
      <c r="Y56" s="53" t="s">
        <v>102</v>
      </c>
      <c r="Z56" s="53" t="s">
        <v>90</v>
      </c>
      <c r="AA56" s="53" t="s">
        <v>78</v>
      </c>
      <c r="AB56" s="53" t="s">
        <v>158</v>
      </c>
    </row>
    <row r="57" spans="1:28" x14ac:dyDescent="0.15">
      <c r="A57" s="53" t="s">
        <v>34</v>
      </c>
      <c r="B57" s="53" t="s">
        <v>157</v>
      </c>
      <c r="C57" s="53">
        <v>2019</v>
      </c>
      <c r="D57" s="174" t="s">
        <v>360</v>
      </c>
      <c r="E57" s="53" t="s">
        <v>270</v>
      </c>
      <c r="F57" s="158" t="s">
        <v>370</v>
      </c>
      <c r="G57" s="161" t="s">
        <v>36</v>
      </c>
      <c r="H57" s="53" t="s">
        <v>164</v>
      </c>
      <c r="I57" s="53" t="s">
        <v>159</v>
      </c>
      <c r="J57" s="53" t="s">
        <v>38</v>
      </c>
      <c r="K57" s="127" t="s">
        <v>161</v>
      </c>
      <c r="L57" s="53">
        <v>2</v>
      </c>
      <c r="N57" s="53">
        <v>5</v>
      </c>
      <c r="O57" s="53">
        <v>0.6</v>
      </c>
      <c r="P57" s="53">
        <v>0.7</v>
      </c>
      <c r="Q57" s="75">
        <f t="shared" si="2"/>
        <v>0.64999999999999991</v>
      </c>
      <c r="R57" s="53">
        <v>15.8</v>
      </c>
      <c r="S57" s="53">
        <v>88</v>
      </c>
      <c r="T57" s="16">
        <f t="shared" si="0"/>
        <v>36</v>
      </c>
      <c r="U57" s="53">
        <v>398</v>
      </c>
      <c r="V57" s="16">
        <f t="shared" si="1"/>
        <v>2865.6</v>
      </c>
      <c r="W57" s="53">
        <v>4</v>
      </c>
      <c r="X57" s="166" t="s">
        <v>46</v>
      </c>
      <c r="Y57" s="53" t="s">
        <v>102</v>
      </c>
      <c r="Z57" s="53" t="s">
        <v>90</v>
      </c>
      <c r="AA57" s="53" t="s">
        <v>78</v>
      </c>
      <c r="AB57" s="53" t="s">
        <v>158</v>
      </c>
    </row>
    <row r="58" spans="1:28" x14ac:dyDescent="0.15">
      <c r="A58" s="53" t="s">
        <v>34</v>
      </c>
      <c r="B58" s="53" t="s">
        <v>157</v>
      </c>
      <c r="C58" s="53">
        <v>2019</v>
      </c>
      <c r="D58" s="174" t="s">
        <v>360</v>
      </c>
      <c r="E58" s="53" t="s">
        <v>270</v>
      </c>
      <c r="F58" s="158" t="s">
        <v>370</v>
      </c>
      <c r="G58" s="161" t="s">
        <v>36</v>
      </c>
      <c r="H58" s="53" t="s">
        <v>164</v>
      </c>
      <c r="I58" s="53" t="s">
        <v>159</v>
      </c>
      <c r="J58" s="53" t="s">
        <v>38</v>
      </c>
      <c r="K58" s="127" t="s">
        <v>161</v>
      </c>
      <c r="L58" s="53">
        <v>3</v>
      </c>
      <c r="N58" s="53">
        <v>5</v>
      </c>
      <c r="O58" s="53">
        <v>0.55000000000000004</v>
      </c>
      <c r="P58" s="53">
        <v>0.6</v>
      </c>
      <c r="Q58" s="75">
        <f t="shared" si="2"/>
        <v>0.57499999999999996</v>
      </c>
      <c r="R58" s="53">
        <v>15.9</v>
      </c>
      <c r="S58" s="53">
        <v>90</v>
      </c>
      <c r="T58" s="16">
        <f t="shared" si="0"/>
        <v>36</v>
      </c>
      <c r="U58" s="53">
        <v>398</v>
      </c>
      <c r="V58" s="16">
        <f t="shared" si="1"/>
        <v>2865.6</v>
      </c>
      <c r="W58" s="53">
        <v>4</v>
      </c>
      <c r="X58" s="166" t="s">
        <v>46</v>
      </c>
      <c r="Y58" s="53" t="s">
        <v>102</v>
      </c>
      <c r="Z58" s="53" t="s">
        <v>90</v>
      </c>
      <c r="AA58" s="53" t="s">
        <v>78</v>
      </c>
      <c r="AB58" s="53" t="s">
        <v>158</v>
      </c>
    </row>
    <row r="59" spans="1:28" x14ac:dyDescent="0.15">
      <c r="A59" s="53" t="s">
        <v>34</v>
      </c>
      <c r="B59" s="53" t="s">
        <v>157</v>
      </c>
      <c r="C59" s="53">
        <v>2019</v>
      </c>
      <c r="D59" s="174" t="s">
        <v>360</v>
      </c>
      <c r="E59" s="53" t="s">
        <v>270</v>
      </c>
      <c r="F59" s="158" t="s">
        <v>370</v>
      </c>
      <c r="G59" s="161" t="s">
        <v>36</v>
      </c>
      <c r="H59" s="53" t="s">
        <v>160</v>
      </c>
      <c r="I59" s="53" t="s">
        <v>159</v>
      </c>
      <c r="J59" s="53" t="s">
        <v>38</v>
      </c>
      <c r="K59" s="127" t="s">
        <v>161</v>
      </c>
      <c r="L59" s="53">
        <v>1</v>
      </c>
      <c r="N59" s="53">
        <v>4</v>
      </c>
      <c r="O59" s="53">
        <v>0.6</v>
      </c>
      <c r="P59" s="53">
        <v>0.55000000000000004</v>
      </c>
      <c r="Q59" s="75">
        <f t="shared" si="2"/>
        <v>0.57499999999999996</v>
      </c>
      <c r="R59" s="53">
        <v>15.4</v>
      </c>
      <c r="S59" s="53">
        <v>94</v>
      </c>
      <c r="T59" s="16">
        <f t="shared" si="0"/>
        <v>36</v>
      </c>
      <c r="U59" s="53">
        <v>498</v>
      </c>
      <c r="V59" s="16">
        <f t="shared" si="1"/>
        <v>4482</v>
      </c>
      <c r="W59" s="53">
        <v>4</v>
      </c>
      <c r="X59" s="166" t="s">
        <v>46</v>
      </c>
      <c r="Y59" s="53" t="s">
        <v>102</v>
      </c>
      <c r="Z59" s="53" t="s">
        <v>90</v>
      </c>
      <c r="AA59" s="53" t="s">
        <v>78</v>
      </c>
      <c r="AB59" s="53" t="s">
        <v>158</v>
      </c>
    </row>
    <row r="60" spans="1:28" x14ac:dyDescent="0.15">
      <c r="A60" s="53" t="s">
        <v>34</v>
      </c>
      <c r="B60" s="53" t="s">
        <v>157</v>
      </c>
      <c r="C60" s="53">
        <v>2019</v>
      </c>
      <c r="D60" s="174" t="s">
        <v>360</v>
      </c>
      <c r="E60" s="53" t="s">
        <v>270</v>
      </c>
      <c r="F60" s="158" t="s">
        <v>370</v>
      </c>
      <c r="G60" s="161" t="s">
        <v>36</v>
      </c>
      <c r="H60" s="53" t="s">
        <v>160</v>
      </c>
      <c r="I60" s="53" t="s">
        <v>159</v>
      </c>
      <c r="J60" s="53" t="s">
        <v>38</v>
      </c>
      <c r="K60" s="127" t="s">
        <v>161</v>
      </c>
      <c r="L60" s="53">
        <v>2</v>
      </c>
      <c r="N60" s="53">
        <v>4</v>
      </c>
      <c r="O60" s="53">
        <v>0.55000000000000004</v>
      </c>
      <c r="P60" s="53">
        <v>0.6</v>
      </c>
      <c r="Q60" s="75">
        <f t="shared" si="2"/>
        <v>0.57499999999999996</v>
      </c>
      <c r="R60" s="53">
        <v>15.7</v>
      </c>
      <c r="S60" s="53">
        <v>102</v>
      </c>
      <c r="T60" s="16">
        <f t="shared" si="0"/>
        <v>33</v>
      </c>
      <c r="U60" s="53">
        <v>498</v>
      </c>
      <c r="V60" s="16">
        <f t="shared" si="1"/>
        <v>4108.5</v>
      </c>
      <c r="W60" s="53">
        <v>4</v>
      </c>
      <c r="X60" s="166" t="s">
        <v>46</v>
      </c>
      <c r="Y60" s="53" t="s">
        <v>102</v>
      </c>
      <c r="Z60" s="53" t="s">
        <v>90</v>
      </c>
      <c r="AA60" s="53" t="s">
        <v>78</v>
      </c>
      <c r="AB60" s="53" t="s">
        <v>158</v>
      </c>
    </row>
    <row r="61" spans="1:28" x14ac:dyDescent="0.15">
      <c r="A61" s="53" t="s">
        <v>34</v>
      </c>
      <c r="B61" s="53" t="s">
        <v>157</v>
      </c>
      <c r="C61" s="53">
        <v>2019</v>
      </c>
      <c r="D61" s="174" t="s">
        <v>360</v>
      </c>
      <c r="E61" s="53" t="s">
        <v>270</v>
      </c>
      <c r="F61" s="158" t="s">
        <v>370</v>
      </c>
      <c r="G61" s="161" t="s">
        <v>36</v>
      </c>
      <c r="H61" s="53" t="s">
        <v>160</v>
      </c>
      <c r="I61" s="53" t="s">
        <v>159</v>
      </c>
      <c r="J61" s="53" t="s">
        <v>38</v>
      </c>
      <c r="K61" s="127" t="s">
        <v>161</v>
      </c>
      <c r="L61" s="53">
        <v>3</v>
      </c>
      <c r="N61" s="53">
        <v>4</v>
      </c>
      <c r="O61" s="53">
        <v>0.5</v>
      </c>
      <c r="P61" s="53">
        <v>0.5</v>
      </c>
      <c r="Q61" s="75">
        <f t="shared" si="2"/>
        <v>0.5</v>
      </c>
      <c r="R61" s="53">
        <v>16.100000000000001</v>
      </c>
      <c r="S61" s="53">
        <v>105</v>
      </c>
      <c r="T61" s="16">
        <f t="shared" si="0"/>
        <v>33</v>
      </c>
      <c r="U61" s="53">
        <v>498</v>
      </c>
      <c r="V61" s="16">
        <f t="shared" si="1"/>
        <v>4108.5</v>
      </c>
      <c r="W61" s="53">
        <v>4</v>
      </c>
      <c r="X61" s="166" t="s">
        <v>46</v>
      </c>
      <c r="Y61" s="53" t="s">
        <v>102</v>
      </c>
      <c r="Z61" s="53" t="s">
        <v>90</v>
      </c>
      <c r="AA61" s="53" t="s">
        <v>78</v>
      </c>
      <c r="AB61" s="53" t="s">
        <v>158</v>
      </c>
    </row>
    <row r="62" spans="1:28" x14ac:dyDescent="0.15">
      <c r="D62" s="174"/>
      <c r="F62" s="158"/>
      <c r="G62" s="161"/>
      <c r="K62" s="127"/>
      <c r="Q62" s="75" t="str">
        <f t="shared" si="2"/>
        <v/>
      </c>
      <c r="T62" s="16" t="str">
        <f t="shared" si="0"/>
        <v/>
      </c>
      <c r="V62" s="16" t="str">
        <f t="shared" si="1"/>
        <v/>
      </c>
      <c r="X62" s="166"/>
    </row>
    <row r="63" spans="1:28" x14ac:dyDescent="0.15">
      <c r="D63" s="174"/>
      <c r="F63" s="158"/>
      <c r="G63" s="161"/>
      <c r="K63" s="127"/>
      <c r="Q63" s="75" t="str">
        <f t="shared" si="2"/>
        <v/>
      </c>
      <c r="T63" s="16" t="str">
        <f t="shared" si="0"/>
        <v/>
      </c>
      <c r="V63" s="16" t="str">
        <f t="shared" si="1"/>
        <v/>
      </c>
      <c r="X63" s="166"/>
    </row>
    <row r="64" spans="1:28" x14ac:dyDescent="0.15">
      <c r="D64" s="174"/>
      <c r="F64" s="158"/>
      <c r="G64" s="161"/>
      <c r="K64" s="127"/>
      <c r="Q64" s="75" t="str">
        <f t="shared" si="2"/>
        <v/>
      </c>
      <c r="T64" s="16" t="str">
        <f t="shared" si="0"/>
        <v/>
      </c>
      <c r="V64" s="16" t="str">
        <f t="shared" si="1"/>
        <v/>
      </c>
      <c r="X64" s="166"/>
    </row>
    <row r="65" spans="4:24" x14ac:dyDescent="0.15">
      <c r="D65" s="174"/>
      <c r="F65" s="158"/>
      <c r="G65" s="161"/>
      <c r="K65" s="127"/>
      <c r="Q65" s="75" t="str">
        <f t="shared" si="2"/>
        <v/>
      </c>
      <c r="T65" s="16" t="str">
        <f t="shared" si="0"/>
        <v/>
      </c>
      <c r="V65" s="16" t="str">
        <f t="shared" si="1"/>
        <v/>
      </c>
      <c r="X65" s="166"/>
    </row>
    <row r="66" spans="4:24" x14ac:dyDescent="0.15">
      <c r="D66" s="174"/>
      <c r="F66" s="158"/>
      <c r="G66" s="161"/>
      <c r="K66" s="127"/>
      <c r="Q66" s="75" t="str">
        <f t="shared" si="2"/>
        <v/>
      </c>
      <c r="T66" s="16" t="str">
        <f t="shared" ref="T66:T91" si="3">IF(H66="","",IF(OR(H66="GREEN",H66="GK"),IF(S66&gt;=$AX$2,VLOOKUP(S66,$AX$2:$AY$7,2,1),""),IF(S66&gt;=$AZ$2,VLOOKUP(S66,$AZ$2:$BA$7,2,1),"")))</f>
        <v/>
      </c>
      <c r="V66" s="16" t="str">
        <f t="shared" ref="V66:V91" si="4">IF(OR(N66="",U66="",T66=""),"",U66/N66*T66)</f>
        <v/>
      </c>
      <c r="X66" s="166"/>
    </row>
    <row r="67" spans="4:24" x14ac:dyDescent="0.15">
      <c r="D67" s="174"/>
      <c r="F67" s="158"/>
      <c r="G67" s="161"/>
      <c r="K67" s="127"/>
      <c r="Q67" s="75" t="str">
        <f t="shared" ref="Q67:Q92" si="5">IF(OR(O67="",P67=""),"",AVERAGE(O67,P67))</f>
        <v/>
      </c>
      <c r="T67" s="16" t="str">
        <f t="shared" si="3"/>
        <v/>
      </c>
      <c r="V67" s="16" t="str">
        <f t="shared" si="4"/>
        <v/>
      </c>
      <c r="X67" s="166"/>
    </row>
    <row r="68" spans="4:24" x14ac:dyDescent="0.15">
      <c r="D68" s="174"/>
      <c r="F68" s="158"/>
      <c r="G68" s="161"/>
      <c r="K68" s="127"/>
      <c r="Q68" s="75" t="str">
        <f t="shared" si="5"/>
        <v/>
      </c>
      <c r="T68" s="16" t="str">
        <f t="shared" si="3"/>
        <v/>
      </c>
      <c r="V68" s="16" t="str">
        <f t="shared" si="4"/>
        <v/>
      </c>
      <c r="X68" s="166"/>
    </row>
    <row r="69" spans="4:24" x14ac:dyDescent="0.15">
      <c r="D69" s="174"/>
      <c r="F69" s="158"/>
      <c r="G69" s="161"/>
      <c r="K69" s="127"/>
      <c r="Q69" s="75" t="str">
        <f t="shared" si="5"/>
        <v/>
      </c>
      <c r="T69" s="16" t="str">
        <f t="shared" si="3"/>
        <v/>
      </c>
      <c r="V69" s="16" t="str">
        <f t="shared" si="4"/>
        <v/>
      </c>
      <c r="X69" s="166"/>
    </row>
    <row r="70" spans="4:24" x14ac:dyDescent="0.15">
      <c r="D70" s="174"/>
      <c r="F70" s="158"/>
      <c r="G70" s="161"/>
      <c r="K70" s="127"/>
      <c r="Q70" s="75" t="str">
        <f t="shared" si="5"/>
        <v/>
      </c>
      <c r="T70" s="16" t="str">
        <f t="shared" si="3"/>
        <v/>
      </c>
      <c r="V70" s="16" t="str">
        <f t="shared" si="4"/>
        <v/>
      </c>
      <c r="X70" s="166"/>
    </row>
    <row r="71" spans="4:24" x14ac:dyDescent="0.15">
      <c r="D71" s="174"/>
      <c r="F71" s="158"/>
      <c r="G71" s="161"/>
      <c r="K71" s="127"/>
      <c r="Q71" s="75" t="str">
        <f t="shared" si="5"/>
        <v/>
      </c>
      <c r="T71" s="16" t="str">
        <f t="shared" si="3"/>
        <v/>
      </c>
      <c r="V71" s="16" t="str">
        <f t="shared" si="4"/>
        <v/>
      </c>
      <c r="X71" s="166"/>
    </row>
    <row r="72" spans="4:24" x14ac:dyDescent="0.15">
      <c r="D72" s="174"/>
      <c r="F72" s="158"/>
      <c r="G72" s="161"/>
      <c r="K72" s="127"/>
      <c r="Q72" s="75" t="str">
        <f t="shared" si="5"/>
        <v/>
      </c>
      <c r="T72" s="16" t="str">
        <f t="shared" si="3"/>
        <v/>
      </c>
      <c r="V72" s="16" t="str">
        <f t="shared" si="4"/>
        <v/>
      </c>
      <c r="X72" s="166"/>
    </row>
    <row r="73" spans="4:24" x14ac:dyDescent="0.15">
      <c r="D73" s="174"/>
      <c r="F73" s="158"/>
      <c r="G73" s="161"/>
      <c r="K73" s="127"/>
      <c r="Q73" s="75" t="str">
        <f t="shared" si="5"/>
        <v/>
      </c>
      <c r="T73" s="16" t="str">
        <f t="shared" si="3"/>
        <v/>
      </c>
      <c r="V73" s="16" t="str">
        <f t="shared" si="4"/>
        <v/>
      </c>
      <c r="X73" s="166"/>
    </row>
    <row r="74" spans="4:24" x14ac:dyDescent="0.15">
      <c r="D74" s="174"/>
      <c r="F74" s="158"/>
      <c r="G74" s="161"/>
      <c r="K74" s="127"/>
      <c r="Q74" s="75" t="str">
        <f t="shared" si="5"/>
        <v/>
      </c>
      <c r="T74" s="16" t="str">
        <f t="shared" si="3"/>
        <v/>
      </c>
      <c r="V74" s="16" t="str">
        <f t="shared" si="4"/>
        <v/>
      </c>
      <c r="X74" s="166"/>
    </row>
    <row r="75" spans="4:24" x14ac:dyDescent="0.15">
      <c r="D75" s="174"/>
      <c r="F75" s="158"/>
      <c r="G75" s="161"/>
      <c r="K75" s="127"/>
      <c r="Q75" s="75" t="str">
        <f t="shared" si="5"/>
        <v/>
      </c>
      <c r="T75" s="16" t="str">
        <f t="shared" si="3"/>
        <v/>
      </c>
      <c r="V75" s="16" t="str">
        <f t="shared" si="4"/>
        <v/>
      </c>
      <c r="X75" s="166"/>
    </row>
    <row r="76" spans="4:24" x14ac:dyDescent="0.15">
      <c r="D76" s="174"/>
      <c r="F76" s="158"/>
      <c r="G76" s="161"/>
      <c r="K76" s="127"/>
      <c r="Q76" s="75" t="str">
        <f t="shared" si="5"/>
        <v/>
      </c>
      <c r="T76" s="16" t="str">
        <f t="shared" si="3"/>
        <v/>
      </c>
      <c r="V76" s="16" t="str">
        <f t="shared" si="4"/>
        <v/>
      </c>
      <c r="X76" s="166"/>
    </row>
    <row r="77" spans="4:24" x14ac:dyDescent="0.15">
      <c r="D77" s="174"/>
      <c r="F77" s="158"/>
      <c r="G77" s="161"/>
      <c r="K77" s="127"/>
      <c r="Q77" s="75" t="str">
        <f t="shared" si="5"/>
        <v/>
      </c>
      <c r="T77" s="16" t="str">
        <f t="shared" si="3"/>
        <v/>
      </c>
      <c r="V77" s="16" t="str">
        <f t="shared" si="4"/>
        <v/>
      </c>
      <c r="X77" s="166"/>
    </row>
    <row r="78" spans="4:24" x14ac:dyDescent="0.15">
      <c r="D78" s="174"/>
      <c r="F78" s="158"/>
      <c r="G78" s="161"/>
      <c r="K78" s="127"/>
      <c r="Q78" s="75" t="str">
        <f t="shared" si="5"/>
        <v/>
      </c>
      <c r="T78" s="16" t="str">
        <f t="shared" si="3"/>
        <v/>
      </c>
      <c r="V78" s="16" t="str">
        <f t="shared" si="4"/>
        <v/>
      </c>
      <c r="X78" s="166"/>
    </row>
    <row r="79" spans="4:24" x14ac:dyDescent="0.15">
      <c r="D79" s="174"/>
      <c r="F79" s="158"/>
      <c r="G79" s="161"/>
      <c r="K79" s="127"/>
      <c r="Q79" s="75" t="str">
        <f t="shared" si="5"/>
        <v/>
      </c>
      <c r="T79" s="16" t="str">
        <f t="shared" si="3"/>
        <v/>
      </c>
      <c r="V79" s="16" t="str">
        <f t="shared" si="4"/>
        <v/>
      </c>
      <c r="X79" s="166"/>
    </row>
    <row r="80" spans="4:24" x14ac:dyDescent="0.15">
      <c r="K80" s="127"/>
      <c r="Q80" s="75" t="str">
        <f t="shared" si="5"/>
        <v/>
      </c>
      <c r="T80" s="16" t="str">
        <f t="shared" si="3"/>
        <v/>
      </c>
      <c r="V80" s="16" t="str">
        <f t="shared" si="4"/>
        <v/>
      </c>
    </row>
    <row r="81" spans="11:22" x14ac:dyDescent="0.15">
      <c r="K81" s="127"/>
      <c r="Q81" s="75" t="str">
        <f t="shared" si="5"/>
        <v/>
      </c>
      <c r="T81" s="16" t="str">
        <f t="shared" si="3"/>
        <v/>
      </c>
      <c r="V81" s="16" t="str">
        <f t="shared" si="4"/>
        <v/>
      </c>
    </row>
    <row r="82" spans="11:22" x14ac:dyDescent="0.15">
      <c r="K82" s="127"/>
      <c r="Q82" s="75" t="str">
        <f t="shared" si="5"/>
        <v/>
      </c>
      <c r="T82" s="16" t="str">
        <f t="shared" si="3"/>
        <v/>
      </c>
      <c r="V82" s="16" t="str">
        <f t="shared" si="4"/>
        <v/>
      </c>
    </row>
    <row r="83" spans="11:22" x14ac:dyDescent="0.15">
      <c r="K83" s="127"/>
      <c r="Q83" s="75" t="str">
        <f t="shared" si="5"/>
        <v/>
      </c>
      <c r="T83" s="16" t="str">
        <f t="shared" si="3"/>
        <v/>
      </c>
      <c r="V83" s="16" t="str">
        <f t="shared" si="4"/>
        <v/>
      </c>
    </row>
    <row r="84" spans="11:22" x14ac:dyDescent="0.15">
      <c r="K84" s="127"/>
      <c r="Q84" s="75" t="str">
        <f t="shared" si="5"/>
        <v/>
      </c>
      <c r="T84" s="16" t="str">
        <f t="shared" si="3"/>
        <v/>
      </c>
      <c r="V84" s="16" t="str">
        <f t="shared" si="4"/>
        <v/>
      </c>
    </row>
    <row r="85" spans="11:22" x14ac:dyDescent="0.15">
      <c r="K85" s="127"/>
      <c r="Q85" s="75" t="str">
        <f t="shared" si="5"/>
        <v/>
      </c>
      <c r="T85" s="16" t="str">
        <f t="shared" si="3"/>
        <v/>
      </c>
      <c r="V85" s="16" t="str">
        <f t="shared" si="4"/>
        <v/>
      </c>
    </row>
    <row r="86" spans="11:22" x14ac:dyDescent="0.15">
      <c r="K86" s="127"/>
      <c r="Q86" s="75" t="str">
        <f t="shared" si="5"/>
        <v/>
      </c>
      <c r="T86" s="16" t="str">
        <f t="shared" si="3"/>
        <v/>
      </c>
      <c r="V86" s="16" t="str">
        <f t="shared" si="4"/>
        <v/>
      </c>
    </row>
    <row r="87" spans="11:22" x14ac:dyDescent="0.15">
      <c r="K87" s="127"/>
      <c r="Q87" s="75" t="str">
        <f t="shared" si="5"/>
        <v/>
      </c>
      <c r="T87" s="16" t="str">
        <f t="shared" si="3"/>
        <v/>
      </c>
      <c r="V87" s="16" t="str">
        <f t="shared" si="4"/>
        <v/>
      </c>
    </row>
    <row r="88" spans="11:22" x14ac:dyDescent="0.15">
      <c r="K88" s="127"/>
      <c r="Q88" s="75" t="str">
        <f t="shared" si="5"/>
        <v/>
      </c>
      <c r="T88" s="16" t="str">
        <f t="shared" si="3"/>
        <v/>
      </c>
      <c r="V88" s="16" t="str">
        <f t="shared" si="4"/>
        <v/>
      </c>
    </row>
    <row r="89" spans="11:22" x14ac:dyDescent="0.15">
      <c r="K89" s="127"/>
      <c r="Q89" s="75" t="str">
        <f t="shared" si="5"/>
        <v/>
      </c>
      <c r="T89" s="16" t="str">
        <f t="shared" si="3"/>
        <v/>
      </c>
      <c r="V89" s="16" t="str">
        <f t="shared" si="4"/>
        <v/>
      </c>
    </row>
    <row r="90" spans="11:22" x14ac:dyDescent="0.15">
      <c r="K90" s="127"/>
      <c r="Q90" s="75" t="str">
        <f t="shared" si="5"/>
        <v/>
      </c>
      <c r="T90" s="16" t="str">
        <f t="shared" si="3"/>
        <v/>
      </c>
      <c r="V90" s="16" t="str">
        <f t="shared" si="4"/>
        <v/>
      </c>
    </row>
    <row r="91" spans="11:22" x14ac:dyDescent="0.15">
      <c r="K91" s="127"/>
      <c r="Q91" s="75" t="str">
        <f t="shared" si="5"/>
        <v/>
      </c>
      <c r="T91" s="16" t="str">
        <f t="shared" si="3"/>
        <v/>
      </c>
      <c r="V91" s="16" t="str">
        <f t="shared" si="4"/>
        <v/>
      </c>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c r="Q291" s="75"/>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F0A7697C-D7F1-4814-997A-61E90A49EAD5}">
      <formula1>$AH$2:$AH$11</formula1>
    </dataValidation>
    <dataValidation type="list" allowBlank="1" showInputMessage="1" showErrorMessage="1" sqref="E2:E491" xr:uid="{A24FF405-4F2F-4C4A-B4FB-99813F877FB4}">
      <formula1>$AG$2:$AG$11</formula1>
    </dataValidation>
    <dataValidation type="decimal" allowBlank="1" showInputMessage="1" showErrorMessage="1" error="硬度を正しく入力して下さい。" sqref="O2:P491" xr:uid="{E3AD914B-0AF6-405C-BFBD-F4349D3B101F}">
      <formula1>0</formula1>
      <formula2>7</formula2>
    </dataValidation>
    <dataValidation type="list" allowBlank="1" showInputMessage="1" showErrorMessage="1" sqref="Y2:AA491" xr:uid="{0752644E-0EA6-4476-940B-1AF65B9F3138}">
      <formula1>$AV$2:$AV$21</formula1>
    </dataValidation>
    <dataValidation type="list" allowBlank="1" showInputMessage="1" showErrorMessage="1" sqref="K444:K491" xr:uid="{87AF77AC-2121-45E2-A753-31B0AA5BCA40}">
      <formula1>$AR$2:$AR$25</formula1>
    </dataValidation>
    <dataValidation type="list" allowBlank="1" showInputMessage="1" showErrorMessage="1" sqref="I2:I491" xr:uid="{B065CA85-5C38-4B49-912C-B23EE3B4420E}">
      <formula1>$AN$5:$AN$6</formula1>
    </dataValidation>
    <dataValidation type="list" allowBlank="1" showInputMessage="1" showErrorMessage="1" sqref="H2:H491" xr:uid="{535BA37F-B8B4-4F65-9640-F90242B8753A}">
      <formula1>$AL$2:$AL$8</formula1>
    </dataValidation>
    <dataValidation type="list" allowBlank="1" showInputMessage="1" showErrorMessage="1" sqref="A2:A491" xr:uid="{44618C31-9AF9-4DF0-A47A-505F293273DB}">
      <formula1>$AE$2:$AE$19</formula1>
    </dataValidation>
    <dataValidation type="list" allowBlank="1" showInputMessage="1" showErrorMessage="1" sqref="X2:X491" xr:uid="{14911854-1DA9-4726-90CF-C6BFD3AA9C71}">
      <formula1>$AT$2:$AT$3</formula1>
    </dataValidation>
    <dataValidation type="list" allowBlank="1" showInputMessage="1" showErrorMessage="1" sqref="G2:G491" xr:uid="{BC57C3C5-1924-483D-96C6-71D114684836}">
      <formula1>$AJ$2:$AJ$4</formula1>
    </dataValidation>
    <dataValidation type="list" allowBlank="1" showInputMessage="1" showErrorMessage="1" sqref="J2:J491" xr:uid="{F3344CFE-2810-4E9B-BA33-7F2730D90E31}">
      <formula1>$AP$2:$AP$27</formula1>
    </dataValidation>
    <dataValidation operator="equal" allowBlank="1" showInputMessage="1" showErrorMessage="1" sqref="B2:B46" xr:uid="{43EAB03B-F00C-4A2C-A8D6-603B6119EE22}"/>
    <dataValidation type="list" allowBlank="1" showInputMessage="1" showErrorMessage="1" sqref="F492:F64242" xr:uid="{5E4431F5-AFE0-4ACA-A1F5-51E5FB5796A8}">
      <formula1>$AH$2:$AH$8</formula1>
    </dataValidation>
    <dataValidation type="list" allowBlank="1" showInputMessage="1" showErrorMessage="1" sqref="E492:E64242" xr:uid="{C9A836F8-DD0B-4ED2-A49D-A4BEECBB5DC2}">
      <formula1>$AG$2:$AG$9</formula1>
    </dataValidation>
    <dataValidation type="list" allowBlank="1" showInputMessage="1" showErrorMessage="1" sqref="H492:H64242" xr:uid="{89795A8E-DD95-4E59-8B89-C5669A08A7C1}">
      <formula1>$AL$2:$AL$10</formula1>
    </dataValidation>
    <dataValidation type="list" allowBlank="1" showInputMessage="1" showErrorMessage="1" sqref="K492:K64242" xr:uid="{1319A8BD-BF33-438F-9DD2-E102FA379581}">
      <formula1>$AR$2:$AR$28</formula1>
    </dataValidation>
    <dataValidation type="list" allowBlank="1" showInputMessage="1" showErrorMessage="1" sqref="Y492:AA64242" xr:uid="{BBD8673F-D976-4DE3-B643-04704CEE1982}">
      <formula1>$AV$2:$AV$26</formula1>
    </dataValidation>
    <dataValidation type="list" allowBlank="1" showInputMessage="1" showErrorMessage="1" sqref="I492:I64242" xr:uid="{4D1FF7AD-CAD8-4D3F-8909-0DD42E68BBE7}">
      <formula1>$AN$2:$AN$6</formula1>
    </dataValidation>
    <dataValidation type="list" allowBlank="1" showInputMessage="1" showErrorMessage="1" sqref="J492:J64242" xr:uid="{D1ABAD29-3B72-42B9-963B-C3FAA4F473AB}">
      <formula1>$AP$2:$AP$16</formula1>
    </dataValidation>
    <dataValidation type="list" allowBlank="1" showInputMessage="1" showErrorMessage="1" sqref="K2:K443" xr:uid="{17FCB633-1F9F-4F0A-A174-1F3304AB8205}">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709E0-2C00-4943-BD97-AC58352DD6B0}">
  <dimension ref="A1:BA149"/>
  <sheetViews>
    <sheetView zoomScale="85" zoomScaleNormal="85" workbookViewId="0">
      <pane ySplit="1" topLeftCell="A2" activePane="bottomLeft" state="frozen"/>
      <selection pane="bottomLeft" activeCell="G25" sqref="G25"/>
    </sheetView>
  </sheetViews>
  <sheetFormatPr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67.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315</v>
      </c>
      <c r="V1" s="5" t="s">
        <v>20</v>
      </c>
      <c r="W1" s="56" t="s">
        <v>21</v>
      </c>
      <c r="X1" s="45" t="s">
        <v>22</v>
      </c>
      <c r="Y1" s="45" t="s">
        <v>23</v>
      </c>
      <c r="Z1" s="45" t="s">
        <v>371</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233</v>
      </c>
      <c r="C2" s="53">
        <v>2019</v>
      </c>
      <c r="D2" s="176" t="s">
        <v>372</v>
      </c>
      <c r="E2" s="53" t="s">
        <v>270</v>
      </c>
      <c r="F2" s="53" t="s">
        <v>373</v>
      </c>
      <c r="G2" s="53" t="s">
        <v>36</v>
      </c>
      <c r="H2" s="53" t="s">
        <v>164</v>
      </c>
      <c r="I2" s="53" t="s">
        <v>159</v>
      </c>
      <c r="J2" s="53" t="s">
        <v>38</v>
      </c>
      <c r="K2" s="53" t="s">
        <v>161</v>
      </c>
      <c r="L2" s="53">
        <v>1</v>
      </c>
      <c r="N2" s="53">
        <v>1</v>
      </c>
      <c r="O2" s="53">
        <v>0.55000000000000004</v>
      </c>
      <c r="P2" s="53">
        <v>0.45</v>
      </c>
      <c r="Q2" s="75">
        <f t="shared" ref="Q2:Q81" si="0">IF(OR(O2="",P2=""),"",AVERAGE(O2,P2))</f>
        <v>0.5</v>
      </c>
      <c r="R2" s="53">
        <v>14.6</v>
      </c>
      <c r="S2" s="53">
        <v>112</v>
      </c>
      <c r="T2" s="16">
        <f t="shared" ref="T2:T85" si="1">IF(H2="","",IF(OR(H2="GREEN",H2="GK"),IF(S2&gt;=$AX$2,VLOOKUP(S2,$AX$2:$AY$9,2,1),""),IF(S2&gt;=$AZ$2,VLOOKUP(S2,$AZ$2:$BA$9,2,1),"")))</f>
        <v>33</v>
      </c>
      <c r="U2" s="53">
        <v>149</v>
      </c>
      <c r="V2" s="16">
        <f t="shared" ref="V2:V85" si="2">IF(OR(N2="",U2="",T2=""),"",U2/N2*T2)</f>
        <v>4917</v>
      </c>
      <c r="W2" s="53">
        <v>2</v>
      </c>
      <c r="X2" s="53" t="s">
        <v>46</v>
      </c>
      <c r="Y2" s="53" t="s">
        <v>78</v>
      </c>
      <c r="Z2" s="53" t="s">
        <v>69</v>
      </c>
      <c r="AA2" s="53" t="s">
        <v>102</v>
      </c>
      <c r="AB2" s="53" t="s">
        <v>237</v>
      </c>
      <c r="AE2" s="64" t="s">
        <v>35</v>
      </c>
      <c r="AG2" s="177" t="s">
        <v>363</v>
      </c>
      <c r="AH2" s="67" t="s">
        <v>374</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233</v>
      </c>
      <c r="C3" s="53">
        <v>2019</v>
      </c>
      <c r="D3" s="176" t="s">
        <v>372</v>
      </c>
      <c r="E3" s="53" t="s">
        <v>270</v>
      </c>
      <c r="F3" s="53" t="s">
        <v>373</v>
      </c>
      <c r="G3" s="53" t="s">
        <v>36</v>
      </c>
      <c r="H3" s="53" t="s">
        <v>164</v>
      </c>
      <c r="I3" s="53" t="s">
        <v>159</v>
      </c>
      <c r="J3" s="53" t="s">
        <v>38</v>
      </c>
      <c r="K3" s="53" t="s">
        <v>161</v>
      </c>
      <c r="L3" s="53">
        <v>2</v>
      </c>
      <c r="N3" s="53">
        <v>1</v>
      </c>
      <c r="O3" s="53">
        <v>0.7</v>
      </c>
      <c r="P3" s="53">
        <v>0.7</v>
      </c>
      <c r="Q3" s="75">
        <f t="shared" si="0"/>
        <v>0.7</v>
      </c>
      <c r="R3" s="53">
        <v>14.1</v>
      </c>
      <c r="S3" s="53">
        <v>114</v>
      </c>
      <c r="T3" s="16">
        <f t="shared" si="1"/>
        <v>30</v>
      </c>
      <c r="U3" s="53">
        <v>149</v>
      </c>
      <c r="V3" s="16">
        <f t="shared" si="2"/>
        <v>4470</v>
      </c>
      <c r="W3" s="53">
        <v>2</v>
      </c>
      <c r="X3" s="53" t="s">
        <v>46</v>
      </c>
      <c r="Y3" s="53" t="s">
        <v>78</v>
      </c>
      <c r="Z3" s="53" t="s">
        <v>69</v>
      </c>
      <c r="AA3" s="53" t="s">
        <v>102</v>
      </c>
      <c r="AB3" s="53" t="s">
        <v>237</v>
      </c>
      <c r="AE3" s="22" t="s">
        <v>41</v>
      </c>
      <c r="AG3" s="178" t="s">
        <v>375</v>
      </c>
      <c r="AH3" s="67" t="s">
        <v>376</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233</v>
      </c>
      <c r="C4" s="53">
        <v>2019</v>
      </c>
      <c r="D4" s="176" t="s">
        <v>372</v>
      </c>
      <c r="E4" s="53" t="s">
        <v>270</v>
      </c>
      <c r="F4" s="53" t="s">
        <v>373</v>
      </c>
      <c r="G4" s="53" t="s">
        <v>36</v>
      </c>
      <c r="H4" s="53" t="s">
        <v>164</v>
      </c>
      <c r="I4" s="53" t="s">
        <v>159</v>
      </c>
      <c r="J4" s="53" t="s">
        <v>38</v>
      </c>
      <c r="K4" s="53" t="s">
        <v>161</v>
      </c>
      <c r="L4" s="53">
        <v>3</v>
      </c>
      <c r="N4" s="53">
        <v>1</v>
      </c>
      <c r="O4" s="53">
        <v>0.55000000000000004</v>
      </c>
      <c r="P4" s="53">
        <v>0.2</v>
      </c>
      <c r="Q4" s="75">
        <f t="shared" si="0"/>
        <v>0.375</v>
      </c>
      <c r="R4" s="53">
        <v>14.1</v>
      </c>
      <c r="S4" s="53">
        <v>93</v>
      </c>
      <c r="T4" s="16">
        <f t="shared" si="1"/>
        <v>36</v>
      </c>
      <c r="U4" s="53">
        <v>149</v>
      </c>
      <c r="V4" s="16">
        <f t="shared" si="2"/>
        <v>5364</v>
      </c>
      <c r="W4" s="53">
        <v>2</v>
      </c>
      <c r="X4" s="53" t="s">
        <v>46</v>
      </c>
      <c r="Y4" s="53" t="s">
        <v>78</v>
      </c>
      <c r="Z4" s="53" t="s">
        <v>69</v>
      </c>
      <c r="AA4" s="53" t="s">
        <v>102</v>
      </c>
      <c r="AB4" s="53" t="s">
        <v>237</v>
      </c>
      <c r="AE4" s="22" t="s">
        <v>34</v>
      </c>
      <c r="AG4" s="178" t="s">
        <v>377</v>
      </c>
      <c r="AH4" s="67" t="s">
        <v>378</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233</v>
      </c>
      <c r="C5" s="53">
        <v>2019</v>
      </c>
      <c r="D5" s="176" t="s">
        <v>372</v>
      </c>
      <c r="E5" s="53" t="s">
        <v>270</v>
      </c>
      <c r="F5" s="53" t="s">
        <v>373</v>
      </c>
      <c r="G5" s="53" t="s">
        <v>36</v>
      </c>
      <c r="H5" s="53" t="s">
        <v>164</v>
      </c>
      <c r="I5" s="53" t="s">
        <v>159</v>
      </c>
      <c r="J5" s="53" t="s">
        <v>38</v>
      </c>
      <c r="K5" s="53" t="s">
        <v>161</v>
      </c>
      <c r="L5" s="53">
        <v>1</v>
      </c>
      <c r="N5" s="53">
        <v>5</v>
      </c>
      <c r="O5" s="53">
        <v>0.2</v>
      </c>
      <c r="P5" s="53">
        <v>0.2</v>
      </c>
      <c r="Q5" s="75">
        <f t="shared" si="0"/>
        <v>0.2</v>
      </c>
      <c r="R5" s="53">
        <v>13.9</v>
      </c>
      <c r="S5" s="53">
        <v>84</v>
      </c>
      <c r="T5" s="16">
        <f t="shared" si="1"/>
        <v>36</v>
      </c>
      <c r="U5" s="53">
        <v>429</v>
      </c>
      <c r="V5" s="16">
        <f t="shared" si="2"/>
        <v>3088.7999999999997</v>
      </c>
      <c r="W5" s="53">
        <v>2</v>
      </c>
      <c r="X5" s="53" t="s">
        <v>46</v>
      </c>
      <c r="Y5" s="53" t="s">
        <v>78</v>
      </c>
      <c r="Z5" s="53" t="s">
        <v>69</v>
      </c>
      <c r="AA5" s="53" t="s">
        <v>102</v>
      </c>
      <c r="AB5" s="53" t="s">
        <v>237</v>
      </c>
      <c r="AE5" s="22" t="s">
        <v>51</v>
      </c>
      <c r="AG5" s="178" t="s">
        <v>379</v>
      </c>
      <c r="AH5" s="67" t="s">
        <v>380</v>
      </c>
      <c r="AJ5" s="28"/>
      <c r="AL5" s="73" t="s">
        <v>66</v>
      </c>
      <c r="AN5" s="73" t="s">
        <v>52</v>
      </c>
      <c r="AP5" s="23" t="s">
        <v>119</v>
      </c>
      <c r="AR5" s="23" t="s">
        <v>54</v>
      </c>
      <c r="AV5" s="23" t="s">
        <v>55</v>
      </c>
      <c r="AX5" s="24">
        <v>84</v>
      </c>
      <c r="AY5" s="25">
        <v>39</v>
      </c>
      <c r="AZ5" s="25">
        <v>84</v>
      </c>
      <c r="BA5" s="26">
        <v>36</v>
      </c>
    </row>
    <row r="6" spans="1:53" x14ac:dyDescent="0.15">
      <c r="A6" s="53" t="s">
        <v>34</v>
      </c>
      <c r="B6" s="53" t="s">
        <v>233</v>
      </c>
      <c r="C6" s="53">
        <v>2019</v>
      </c>
      <c r="D6" s="176" t="s">
        <v>372</v>
      </c>
      <c r="E6" s="53" t="s">
        <v>270</v>
      </c>
      <c r="F6" s="53" t="s">
        <v>373</v>
      </c>
      <c r="G6" s="53" t="s">
        <v>36</v>
      </c>
      <c r="H6" s="53" t="s">
        <v>164</v>
      </c>
      <c r="I6" s="53" t="s">
        <v>159</v>
      </c>
      <c r="J6" s="53" t="s">
        <v>38</v>
      </c>
      <c r="K6" s="53" t="s">
        <v>161</v>
      </c>
      <c r="L6" s="53">
        <v>2</v>
      </c>
      <c r="N6" s="53">
        <v>5</v>
      </c>
      <c r="O6" s="53">
        <v>0.55000000000000004</v>
      </c>
      <c r="P6" s="53">
        <v>0.6</v>
      </c>
      <c r="Q6" s="75">
        <f t="shared" si="0"/>
        <v>0.57499999999999996</v>
      </c>
      <c r="R6" s="53">
        <v>14.6</v>
      </c>
      <c r="S6" s="53">
        <v>96</v>
      </c>
      <c r="T6" s="16">
        <f t="shared" si="1"/>
        <v>36</v>
      </c>
      <c r="U6" s="53">
        <v>429</v>
      </c>
      <c r="V6" s="16">
        <f t="shared" si="2"/>
        <v>3088.7999999999997</v>
      </c>
      <c r="W6" s="53">
        <v>2</v>
      </c>
      <c r="X6" s="53" t="s">
        <v>46</v>
      </c>
      <c r="Y6" s="53" t="s">
        <v>78</v>
      </c>
      <c r="Z6" s="53" t="s">
        <v>69</v>
      </c>
      <c r="AA6" s="53" t="s">
        <v>102</v>
      </c>
      <c r="AB6" s="53" t="s">
        <v>237</v>
      </c>
      <c r="AE6" s="22" t="s">
        <v>56</v>
      </c>
      <c r="AG6" s="178" t="s">
        <v>381</v>
      </c>
      <c r="AH6" s="67" t="s">
        <v>382</v>
      </c>
      <c r="AL6" s="73" t="s">
        <v>99</v>
      </c>
      <c r="AN6" s="73" t="s">
        <v>57</v>
      </c>
      <c r="AP6" s="23" t="s">
        <v>53</v>
      </c>
      <c r="AR6" s="23" t="s">
        <v>59</v>
      </c>
      <c r="AV6" s="23" t="s">
        <v>60</v>
      </c>
      <c r="AX6" s="24">
        <v>97</v>
      </c>
      <c r="AY6" s="25">
        <v>36</v>
      </c>
      <c r="AZ6" s="25">
        <v>99</v>
      </c>
      <c r="BA6" s="26">
        <v>33</v>
      </c>
    </row>
    <row r="7" spans="1:53" x14ac:dyDescent="0.15">
      <c r="A7" s="53" t="s">
        <v>34</v>
      </c>
      <c r="B7" s="53" t="s">
        <v>233</v>
      </c>
      <c r="C7" s="53">
        <v>2019</v>
      </c>
      <c r="D7" s="176" t="s">
        <v>372</v>
      </c>
      <c r="E7" s="53" t="s">
        <v>270</v>
      </c>
      <c r="F7" s="53" t="s">
        <v>373</v>
      </c>
      <c r="G7" s="53" t="s">
        <v>36</v>
      </c>
      <c r="H7" s="53" t="s">
        <v>164</v>
      </c>
      <c r="I7" s="53" t="s">
        <v>159</v>
      </c>
      <c r="J7" s="53" t="s">
        <v>38</v>
      </c>
      <c r="K7" s="53" t="s">
        <v>161</v>
      </c>
      <c r="L7" s="53">
        <v>3</v>
      </c>
      <c r="N7" s="53">
        <v>5</v>
      </c>
      <c r="O7" s="53">
        <v>0.2</v>
      </c>
      <c r="P7" s="53">
        <v>0.2</v>
      </c>
      <c r="Q7" s="75">
        <f t="shared" si="0"/>
        <v>0.2</v>
      </c>
      <c r="R7" s="53">
        <v>13.7</v>
      </c>
      <c r="S7" s="53">
        <v>94</v>
      </c>
      <c r="T7" s="16">
        <f t="shared" si="1"/>
        <v>36</v>
      </c>
      <c r="U7" s="53">
        <v>429</v>
      </c>
      <c r="V7" s="16">
        <f t="shared" si="2"/>
        <v>3088.7999999999997</v>
      </c>
      <c r="W7" s="53">
        <v>2</v>
      </c>
      <c r="X7" s="53" t="s">
        <v>46</v>
      </c>
      <c r="Y7" s="53" t="s">
        <v>78</v>
      </c>
      <c r="Z7" s="53" t="s">
        <v>69</v>
      </c>
      <c r="AA7" s="53" t="s">
        <v>102</v>
      </c>
      <c r="AB7" s="53" t="s">
        <v>237</v>
      </c>
      <c r="AE7" s="22" t="s">
        <v>61</v>
      </c>
      <c r="AG7" s="178" t="s">
        <v>270</v>
      </c>
      <c r="AH7" s="67" t="s">
        <v>373</v>
      </c>
      <c r="AL7" s="34" t="s">
        <v>109</v>
      </c>
      <c r="AP7" s="23" t="s">
        <v>58</v>
      </c>
      <c r="AR7" s="23" t="s">
        <v>122</v>
      </c>
      <c r="AV7" s="23" t="s">
        <v>64</v>
      </c>
      <c r="AX7" s="24">
        <v>109</v>
      </c>
      <c r="AY7" s="25">
        <v>33</v>
      </c>
      <c r="AZ7" s="25">
        <v>113</v>
      </c>
      <c r="BA7" s="26">
        <v>30</v>
      </c>
    </row>
    <row r="8" spans="1:53" x14ac:dyDescent="0.15">
      <c r="A8" s="53" t="s">
        <v>34</v>
      </c>
      <c r="B8" s="53" t="s">
        <v>233</v>
      </c>
      <c r="C8" s="53">
        <v>2019</v>
      </c>
      <c r="D8" s="176" t="s">
        <v>372</v>
      </c>
      <c r="E8" s="53" t="s">
        <v>270</v>
      </c>
      <c r="F8" s="53" t="s">
        <v>373</v>
      </c>
      <c r="G8" s="53" t="s">
        <v>36</v>
      </c>
      <c r="H8" s="53" t="s">
        <v>160</v>
      </c>
      <c r="I8" s="53" t="s">
        <v>159</v>
      </c>
      <c r="J8" s="53" t="s">
        <v>38</v>
      </c>
      <c r="K8" s="53" t="s">
        <v>161</v>
      </c>
      <c r="L8" s="53">
        <v>1</v>
      </c>
      <c r="N8" s="53">
        <v>1</v>
      </c>
      <c r="O8" s="53">
        <v>0.5</v>
      </c>
      <c r="P8" s="53">
        <v>0.2</v>
      </c>
      <c r="Q8" s="75">
        <f t="shared" si="0"/>
        <v>0.35</v>
      </c>
      <c r="R8" s="53">
        <v>13.8</v>
      </c>
      <c r="S8" s="53">
        <v>100</v>
      </c>
      <c r="T8" s="16">
        <f t="shared" si="1"/>
        <v>33</v>
      </c>
      <c r="U8" s="53">
        <v>149</v>
      </c>
      <c r="V8" s="16">
        <f t="shared" si="2"/>
        <v>4917</v>
      </c>
      <c r="W8" s="53">
        <v>2</v>
      </c>
      <c r="X8" s="53" t="s">
        <v>46</v>
      </c>
      <c r="Y8" s="53" t="s">
        <v>78</v>
      </c>
      <c r="Z8" s="53" t="s">
        <v>69</v>
      </c>
      <c r="AA8" s="53" t="s">
        <v>102</v>
      </c>
      <c r="AB8" s="53" t="s">
        <v>237</v>
      </c>
      <c r="AE8" s="22" t="s">
        <v>59</v>
      </c>
      <c r="AG8" s="178" t="s">
        <v>383</v>
      </c>
      <c r="AH8" s="67" t="s">
        <v>384</v>
      </c>
      <c r="AL8" s="34" t="s">
        <v>134</v>
      </c>
      <c r="AP8" s="23" t="s">
        <v>62</v>
      </c>
      <c r="AR8" s="23" t="s">
        <v>81</v>
      </c>
      <c r="AV8" s="23" t="s">
        <v>97</v>
      </c>
      <c r="AX8" s="24">
        <v>151</v>
      </c>
      <c r="AY8" s="25">
        <v>22</v>
      </c>
      <c r="AZ8" s="25">
        <v>152</v>
      </c>
      <c r="BA8" s="26">
        <v>18</v>
      </c>
    </row>
    <row r="9" spans="1:53" x14ac:dyDescent="0.15">
      <c r="A9" s="53" t="s">
        <v>34</v>
      </c>
      <c r="B9" s="53" t="s">
        <v>233</v>
      </c>
      <c r="C9" s="53">
        <v>2019</v>
      </c>
      <c r="D9" s="176" t="s">
        <v>372</v>
      </c>
      <c r="E9" s="53" t="s">
        <v>270</v>
      </c>
      <c r="F9" s="53" t="s">
        <v>373</v>
      </c>
      <c r="G9" s="53" t="s">
        <v>36</v>
      </c>
      <c r="H9" s="53" t="s">
        <v>160</v>
      </c>
      <c r="I9" s="53" t="s">
        <v>159</v>
      </c>
      <c r="J9" s="53" t="s">
        <v>38</v>
      </c>
      <c r="K9" s="53" t="s">
        <v>161</v>
      </c>
      <c r="L9" s="53">
        <v>2</v>
      </c>
      <c r="N9" s="53">
        <v>1</v>
      </c>
      <c r="O9" s="53">
        <v>0.2</v>
      </c>
      <c r="P9" s="53">
        <v>0.2</v>
      </c>
      <c r="Q9" s="75">
        <f t="shared" si="0"/>
        <v>0.2</v>
      </c>
      <c r="R9" s="53">
        <v>17.399999999999999</v>
      </c>
      <c r="S9" s="53">
        <v>104</v>
      </c>
      <c r="T9" s="16">
        <f t="shared" si="1"/>
        <v>33</v>
      </c>
      <c r="U9" s="53">
        <v>149</v>
      </c>
      <c r="V9" s="16">
        <f t="shared" si="2"/>
        <v>4917</v>
      </c>
      <c r="W9" s="53">
        <v>2</v>
      </c>
      <c r="X9" s="53" t="s">
        <v>46</v>
      </c>
      <c r="Y9" s="53" t="s">
        <v>78</v>
      </c>
      <c r="Z9" s="53" t="s">
        <v>69</v>
      </c>
      <c r="AA9" s="53" t="s">
        <v>102</v>
      </c>
      <c r="AB9" s="53" t="s">
        <v>237</v>
      </c>
      <c r="AE9" s="22" t="s">
        <v>98</v>
      </c>
      <c r="AG9" s="178" t="s">
        <v>385</v>
      </c>
      <c r="AH9" s="67" t="s">
        <v>386</v>
      </c>
      <c r="AL9" s="73"/>
      <c r="AP9" s="23" t="s">
        <v>95</v>
      </c>
      <c r="AR9" s="23" t="s">
        <v>89</v>
      </c>
      <c r="AV9" s="23" t="s">
        <v>102</v>
      </c>
      <c r="AX9" s="31">
        <v>180</v>
      </c>
      <c r="AY9" s="32">
        <v>18</v>
      </c>
      <c r="AZ9" s="32">
        <v>181</v>
      </c>
      <c r="BA9" s="33">
        <v>16</v>
      </c>
    </row>
    <row r="10" spans="1:53" x14ac:dyDescent="0.15">
      <c r="A10" s="53" t="s">
        <v>34</v>
      </c>
      <c r="B10" s="53" t="s">
        <v>233</v>
      </c>
      <c r="C10" s="53">
        <v>2019</v>
      </c>
      <c r="D10" s="176" t="s">
        <v>372</v>
      </c>
      <c r="E10" s="53" t="s">
        <v>270</v>
      </c>
      <c r="F10" s="53" t="s">
        <v>373</v>
      </c>
      <c r="G10" s="53" t="s">
        <v>36</v>
      </c>
      <c r="H10" s="53" t="s">
        <v>160</v>
      </c>
      <c r="I10" s="53" t="s">
        <v>159</v>
      </c>
      <c r="J10" s="53" t="s">
        <v>38</v>
      </c>
      <c r="K10" s="53" t="s">
        <v>161</v>
      </c>
      <c r="L10" s="53">
        <v>3</v>
      </c>
      <c r="N10" s="53">
        <v>1</v>
      </c>
      <c r="O10" s="53">
        <v>0.55000000000000004</v>
      </c>
      <c r="P10" s="53">
        <v>0.7</v>
      </c>
      <c r="Q10" s="75">
        <f t="shared" si="0"/>
        <v>0.625</v>
      </c>
      <c r="R10" s="53">
        <v>13.8</v>
      </c>
      <c r="S10" s="53">
        <v>95</v>
      </c>
      <c r="T10" s="16">
        <f t="shared" si="1"/>
        <v>36</v>
      </c>
      <c r="U10" s="53">
        <v>149</v>
      </c>
      <c r="V10" s="16">
        <f t="shared" si="2"/>
        <v>5364</v>
      </c>
      <c r="W10" s="53">
        <v>2</v>
      </c>
      <c r="X10" s="53" t="s">
        <v>46</v>
      </c>
      <c r="Y10" s="53" t="s">
        <v>78</v>
      </c>
      <c r="Z10" s="53" t="s">
        <v>69</v>
      </c>
      <c r="AA10" s="53" t="s">
        <v>102</v>
      </c>
      <c r="AB10" s="53" t="s">
        <v>237</v>
      </c>
      <c r="AE10" s="22" t="s">
        <v>103</v>
      </c>
      <c r="AG10" s="178" t="s">
        <v>387</v>
      </c>
      <c r="AH10" s="67" t="s">
        <v>388</v>
      </c>
      <c r="AL10" s="34"/>
      <c r="AP10" s="23" t="s">
        <v>100</v>
      </c>
      <c r="AR10" s="23" t="s">
        <v>123</v>
      </c>
      <c r="AV10" s="23" t="s">
        <v>106</v>
      </c>
    </row>
    <row r="11" spans="1:53" x14ac:dyDescent="0.15">
      <c r="A11" s="53" t="s">
        <v>34</v>
      </c>
      <c r="B11" s="53" t="s">
        <v>233</v>
      </c>
      <c r="C11" s="53">
        <v>2019</v>
      </c>
      <c r="D11" s="176" t="s">
        <v>372</v>
      </c>
      <c r="E11" s="53" t="s">
        <v>270</v>
      </c>
      <c r="F11" s="53" t="s">
        <v>373</v>
      </c>
      <c r="G11" s="53" t="s">
        <v>36</v>
      </c>
      <c r="H11" s="53" t="s">
        <v>160</v>
      </c>
      <c r="I11" s="53" t="s">
        <v>159</v>
      </c>
      <c r="J11" s="53" t="s">
        <v>38</v>
      </c>
      <c r="K11" s="53" t="s">
        <v>161</v>
      </c>
      <c r="L11" s="53">
        <v>1</v>
      </c>
      <c r="N11" s="53">
        <v>4</v>
      </c>
      <c r="O11" s="53">
        <v>0.55000000000000004</v>
      </c>
      <c r="P11" s="53">
        <v>0.55000000000000004</v>
      </c>
      <c r="Q11" s="75">
        <f t="shared" si="0"/>
        <v>0.55000000000000004</v>
      </c>
      <c r="R11" s="53">
        <v>12.6</v>
      </c>
      <c r="S11" s="53">
        <v>99</v>
      </c>
      <c r="T11" s="16">
        <f t="shared" si="1"/>
        <v>33</v>
      </c>
      <c r="U11" s="53">
        <v>429</v>
      </c>
      <c r="V11" s="16">
        <f t="shared" si="2"/>
        <v>3539.25</v>
      </c>
      <c r="W11" s="53">
        <v>2</v>
      </c>
      <c r="X11" s="53" t="s">
        <v>46</v>
      </c>
      <c r="Y11" s="53" t="s">
        <v>78</v>
      </c>
      <c r="Z11" s="53" t="s">
        <v>69</v>
      </c>
      <c r="AA11" s="53" t="s">
        <v>102</v>
      </c>
      <c r="AB11" s="53" t="s">
        <v>237</v>
      </c>
      <c r="AE11" s="22" t="s">
        <v>65</v>
      </c>
      <c r="AG11" s="178" t="s">
        <v>211</v>
      </c>
      <c r="AH11" s="67" t="s">
        <v>389</v>
      </c>
      <c r="AL11" s="34"/>
      <c r="AP11" s="23" t="s">
        <v>104</v>
      </c>
      <c r="AR11" s="23" t="s">
        <v>87</v>
      </c>
      <c r="AV11" s="23" t="s">
        <v>69</v>
      </c>
    </row>
    <row r="12" spans="1:53" x14ac:dyDescent="0.15">
      <c r="A12" s="53" t="s">
        <v>34</v>
      </c>
      <c r="B12" s="53" t="s">
        <v>233</v>
      </c>
      <c r="C12" s="53">
        <v>2019</v>
      </c>
      <c r="D12" s="176" t="s">
        <v>372</v>
      </c>
      <c r="E12" s="53" t="s">
        <v>270</v>
      </c>
      <c r="F12" s="53" t="s">
        <v>373</v>
      </c>
      <c r="G12" s="53" t="s">
        <v>36</v>
      </c>
      <c r="H12" s="53" t="s">
        <v>160</v>
      </c>
      <c r="I12" s="53" t="s">
        <v>159</v>
      </c>
      <c r="J12" s="53" t="s">
        <v>38</v>
      </c>
      <c r="K12" s="53" t="s">
        <v>161</v>
      </c>
      <c r="L12" s="53">
        <v>2</v>
      </c>
      <c r="N12" s="53">
        <v>4</v>
      </c>
      <c r="O12" s="53">
        <v>0.55000000000000004</v>
      </c>
      <c r="P12" s="53">
        <v>0.65</v>
      </c>
      <c r="Q12" s="75">
        <f t="shared" si="0"/>
        <v>0.60000000000000009</v>
      </c>
      <c r="R12" s="53">
        <v>14.2</v>
      </c>
      <c r="S12" s="53">
        <v>98</v>
      </c>
      <c r="T12" s="16">
        <f t="shared" si="1"/>
        <v>36</v>
      </c>
      <c r="U12" s="53">
        <v>429</v>
      </c>
      <c r="V12" s="16">
        <f t="shared" si="2"/>
        <v>3861</v>
      </c>
      <c r="W12" s="53">
        <v>2</v>
      </c>
      <c r="X12" s="53" t="s">
        <v>46</v>
      </c>
      <c r="Y12" s="53" t="s">
        <v>78</v>
      </c>
      <c r="Z12" s="53" t="s">
        <v>69</v>
      </c>
      <c r="AA12" s="53" t="s">
        <v>102</v>
      </c>
      <c r="AB12" s="53" t="s">
        <v>237</v>
      </c>
      <c r="AE12" s="22" t="s">
        <v>70</v>
      </c>
      <c r="AG12" s="28"/>
      <c r="AH12" s="23"/>
      <c r="AL12" s="34"/>
      <c r="AP12" s="23" t="s">
        <v>67</v>
      </c>
      <c r="AR12" s="23" t="s">
        <v>124</v>
      </c>
      <c r="AV12" s="23" t="s">
        <v>72</v>
      </c>
    </row>
    <row r="13" spans="1:53" x14ac:dyDescent="0.15">
      <c r="A13" s="53" t="s">
        <v>34</v>
      </c>
      <c r="B13" s="53" t="s">
        <v>233</v>
      </c>
      <c r="C13" s="53">
        <v>2019</v>
      </c>
      <c r="D13" s="176" t="s">
        <v>372</v>
      </c>
      <c r="E13" s="53" t="s">
        <v>270</v>
      </c>
      <c r="F13" s="53" t="s">
        <v>373</v>
      </c>
      <c r="G13" s="53" t="s">
        <v>36</v>
      </c>
      <c r="H13" s="53" t="s">
        <v>160</v>
      </c>
      <c r="I13" s="53" t="s">
        <v>159</v>
      </c>
      <c r="J13" s="53" t="s">
        <v>38</v>
      </c>
      <c r="K13" s="53" t="s">
        <v>161</v>
      </c>
      <c r="L13" s="53">
        <v>3</v>
      </c>
      <c r="N13" s="53">
        <v>4</v>
      </c>
      <c r="O13" s="53">
        <v>0.5</v>
      </c>
      <c r="P13" s="53">
        <v>0.5</v>
      </c>
      <c r="Q13" s="75">
        <f t="shared" si="0"/>
        <v>0.5</v>
      </c>
      <c r="R13" s="53">
        <v>14.3</v>
      </c>
      <c r="S13" s="53">
        <v>100</v>
      </c>
      <c r="T13" s="16">
        <f t="shared" si="1"/>
        <v>33</v>
      </c>
      <c r="U13" s="53">
        <v>429</v>
      </c>
      <c r="V13" s="16">
        <f t="shared" si="2"/>
        <v>3539.25</v>
      </c>
      <c r="W13" s="53">
        <v>2</v>
      </c>
      <c r="X13" s="53" t="s">
        <v>46</v>
      </c>
      <c r="Y13" s="53" t="s">
        <v>78</v>
      </c>
      <c r="Z13" s="53" t="s">
        <v>69</v>
      </c>
      <c r="AA13" s="53" t="s">
        <v>102</v>
      </c>
      <c r="AB13" s="53" t="s">
        <v>237</v>
      </c>
      <c r="AE13" s="22" t="s">
        <v>73</v>
      </c>
      <c r="AH13" s="28"/>
      <c r="AP13" s="23" t="s">
        <v>71</v>
      </c>
      <c r="AR13" s="23" t="s">
        <v>103</v>
      </c>
      <c r="AV13" s="23" t="s">
        <v>75</v>
      </c>
    </row>
    <row r="14" spans="1:53" x14ac:dyDescent="0.15">
      <c r="A14" s="53" t="s">
        <v>34</v>
      </c>
      <c r="B14" s="53" t="s">
        <v>233</v>
      </c>
      <c r="C14" s="53">
        <v>2019</v>
      </c>
      <c r="D14" s="176" t="s">
        <v>372</v>
      </c>
      <c r="E14" s="53" t="s">
        <v>385</v>
      </c>
      <c r="F14" s="53" t="s">
        <v>386</v>
      </c>
      <c r="G14" s="53" t="s">
        <v>36</v>
      </c>
      <c r="H14" s="53" t="s">
        <v>164</v>
      </c>
      <c r="I14" s="53" t="s">
        <v>159</v>
      </c>
      <c r="J14" s="53" t="s">
        <v>38</v>
      </c>
      <c r="K14" s="53" t="s">
        <v>161</v>
      </c>
      <c r="L14" s="53">
        <v>1</v>
      </c>
      <c r="N14" s="53">
        <v>1</v>
      </c>
      <c r="O14" s="53">
        <v>0.2</v>
      </c>
      <c r="P14" s="53">
        <v>0.2</v>
      </c>
      <c r="Q14" s="75">
        <f t="shared" si="0"/>
        <v>0.2</v>
      </c>
      <c r="R14" s="53">
        <v>14.9</v>
      </c>
      <c r="S14" s="53">
        <v>118</v>
      </c>
      <c r="T14" s="16">
        <f t="shared" si="1"/>
        <v>30</v>
      </c>
      <c r="U14" s="53">
        <v>95</v>
      </c>
      <c r="V14" s="16">
        <f t="shared" si="2"/>
        <v>2850</v>
      </c>
      <c r="W14" s="53">
        <v>6</v>
      </c>
      <c r="X14" s="53" t="s">
        <v>46</v>
      </c>
      <c r="Y14" s="53" t="s">
        <v>78</v>
      </c>
      <c r="Z14" s="53" t="s">
        <v>102</v>
      </c>
      <c r="AA14" s="53" t="s">
        <v>69</v>
      </c>
      <c r="AB14" s="53" t="s">
        <v>237</v>
      </c>
      <c r="AE14" s="22" t="s">
        <v>76</v>
      </c>
      <c r="AG14" s="179"/>
      <c r="AP14" s="23" t="s">
        <v>74</v>
      </c>
      <c r="AR14" s="23" t="s">
        <v>125</v>
      </c>
      <c r="AV14" s="23" t="s">
        <v>78</v>
      </c>
    </row>
    <row r="15" spans="1:53" x14ac:dyDescent="0.15">
      <c r="A15" s="53" t="s">
        <v>34</v>
      </c>
      <c r="B15" s="53" t="s">
        <v>233</v>
      </c>
      <c r="C15" s="53">
        <v>2019</v>
      </c>
      <c r="D15" s="176" t="s">
        <v>372</v>
      </c>
      <c r="E15" s="53" t="s">
        <v>385</v>
      </c>
      <c r="F15" s="53" t="s">
        <v>386</v>
      </c>
      <c r="G15" s="53" t="s">
        <v>36</v>
      </c>
      <c r="H15" s="53" t="s">
        <v>164</v>
      </c>
      <c r="I15" s="53" t="s">
        <v>159</v>
      </c>
      <c r="J15" s="53" t="s">
        <v>38</v>
      </c>
      <c r="K15" s="53" t="s">
        <v>161</v>
      </c>
      <c r="L15" s="53">
        <v>2</v>
      </c>
      <c r="N15" s="53">
        <v>1</v>
      </c>
      <c r="O15" s="53">
        <v>0.2</v>
      </c>
      <c r="P15" s="53">
        <v>0.2</v>
      </c>
      <c r="Q15" s="75">
        <f t="shared" si="0"/>
        <v>0.2</v>
      </c>
      <c r="R15" s="53">
        <v>14.7</v>
      </c>
      <c r="S15" s="53">
        <v>92</v>
      </c>
      <c r="T15" s="16">
        <f t="shared" si="1"/>
        <v>36</v>
      </c>
      <c r="U15" s="53">
        <v>95</v>
      </c>
      <c r="V15" s="16">
        <f t="shared" si="2"/>
        <v>3420</v>
      </c>
      <c r="W15" s="53">
        <v>6</v>
      </c>
      <c r="X15" s="53" t="s">
        <v>46</v>
      </c>
      <c r="Y15" s="53" t="s">
        <v>78</v>
      </c>
      <c r="Z15" s="53" t="s">
        <v>102</v>
      </c>
      <c r="AA15" s="53" t="s">
        <v>69</v>
      </c>
      <c r="AB15" s="53" t="s">
        <v>237</v>
      </c>
      <c r="AE15" s="22" t="s">
        <v>79</v>
      </c>
      <c r="AP15" s="23" t="s">
        <v>77</v>
      </c>
      <c r="AR15" s="23" t="s">
        <v>94</v>
      </c>
      <c r="AV15" s="23" t="s">
        <v>107</v>
      </c>
    </row>
    <row r="16" spans="1:53" x14ac:dyDescent="0.15">
      <c r="A16" s="53" t="s">
        <v>34</v>
      </c>
      <c r="B16" s="53" t="s">
        <v>233</v>
      </c>
      <c r="C16" s="53">
        <v>2019</v>
      </c>
      <c r="D16" s="176" t="s">
        <v>372</v>
      </c>
      <c r="E16" s="53" t="s">
        <v>385</v>
      </c>
      <c r="F16" s="53" t="s">
        <v>386</v>
      </c>
      <c r="G16" s="53" t="s">
        <v>36</v>
      </c>
      <c r="H16" s="53" t="s">
        <v>164</v>
      </c>
      <c r="I16" s="53" t="s">
        <v>159</v>
      </c>
      <c r="J16" s="53" t="s">
        <v>38</v>
      </c>
      <c r="K16" s="53" t="s">
        <v>161</v>
      </c>
      <c r="L16" s="53">
        <v>3</v>
      </c>
      <c r="N16" s="53">
        <v>1</v>
      </c>
      <c r="O16" s="53">
        <v>0.5</v>
      </c>
      <c r="P16" s="53">
        <v>0.6</v>
      </c>
      <c r="Q16" s="75">
        <f t="shared" si="0"/>
        <v>0.55000000000000004</v>
      </c>
      <c r="R16" s="53">
        <v>14.3</v>
      </c>
      <c r="S16" s="53">
        <v>120</v>
      </c>
      <c r="T16" s="16">
        <f t="shared" si="1"/>
        <v>30</v>
      </c>
      <c r="U16" s="53">
        <v>95</v>
      </c>
      <c r="V16" s="16">
        <f t="shared" si="2"/>
        <v>2850</v>
      </c>
      <c r="W16" s="53">
        <v>6</v>
      </c>
      <c r="X16" s="53" t="s">
        <v>46</v>
      </c>
      <c r="Y16" s="53" t="s">
        <v>78</v>
      </c>
      <c r="Z16" s="53" t="s">
        <v>102</v>
      </c>
      <c r="AA16" s="53" t="s">
        <v>69</v>
      </c>
      <c r="AB16" s="53" t="s">
        <v>237</v>
      </c>
      <c r="AE16" s="22" t="s">
        <v>82</v>
      </c>
      <c r="AP16" s="23" t="s">
        <v>80</v>
      </c>
      <c r="AR16" s="23" t="s">
        <v>63</v>
      </c>
      <c r="AV16" s="23" t="s">
        <v>84</v>
      </c>
    </row>
    <row r="17" spans="1:48" x14ac:dyDescent="0.15">
      <c r="A17" s="53" t="s">
        <v>34</v>
      </c>
      <c r="B17" s="53" t="s">
        <v>233</v>
      </c>
      <c r="C17" s="53">
        <v>2019</v>
      </c>
      <c r="D17" s="176" t="s">
        <v>372</v>
      </c>
      <c r="E17" s="53" t="s">
        <v>385</v>
      </c>
      <c r="F17" s="53" t="s">
        <v>386</v>
      </c>
      <c r="G17" s="53" t="s">
        <v>36</v>
      </c>
      <c r="H17" s="53" t="s">
        <v>164</v>
      </c>
      <c r="I17" s="53" t="s">
        <v>159</v>
      </c>
      <c r="J17" s="53" t="s">
        <v>38</v>
      </c>
      <c r="K17" s="53" t="s">
        <v>161</v>
      </c>
      <c r="L17" s="53">
        <v>1</v>
      </c>
      <c r="N17" s="53">
        <v>4</v>
      </c>
      <c r="O17" s="53">
        <v>0.2</v>
      </c>
      <c r="P17" s="53">
        <v>0.2</v>
      </c>
      <c r="Q17" s="75">
        <f t="shared" si="0"/>
        <v>0.2</v>
      </c>
      <c r="R17" s="53">
        <v>14.1</v>
      </c>
      <c r="S17" s="53">
        <v>85</v>
      </c>
      <c r="T17" s="16">
        <f t="shared" si="1"/>
        <v>36</v>
      </c>
      <c r="U17" s="53">
        <v>365</v>
      </c>
      <c r="V17" s="16">
        <f t="shared" si="2"/>
        <v>3285</v>
      </c>
      <c r="W17" s="53">
        <v>6</v>
      </c>
      <c r="X17" s="53" t="s">
        <v>46</v>
      </c>
      <c r="Y17" s="53" t="s">
        <v>78</v>
      </c>
      <c r="Z17" s="53" t="s">
        <v>102</v>
      </c>
      <c r="AA17" s="53" t="s">
        <v>69</v>
      </c>
      <c r="AB17" s="53" t="s">
        <v>237</v>
      </c>
      <c r="AE17" s="22" t="s">
        <v>85</v>
      </c>
      <c r="AP17" s="27" t="s">
        <v>110</v>
      </c>
      <c r="AR17" s="23" t="s">
        <v>96</v>
      </c>
      <c r="AV17" s="23" t="s">
        <v>86</v>
      </c>
    </row>
    <row r="18" spans="1:48" x14ac:dyDescent="0.15">
      <c r="A18" s="53" t="s">
        <v>34</v>
      </c>
      <c r="B18" s="53" t="s">
        <v>233</v>
      </c>
      <c r="C18" s="53">
        <v>2019</v>
      </c>
      <c r="D18" s="176" t="s">
        <v>372</v>
      </c>
      <c r="E18" s="53" t="s">
        <v>385</v>
      </c>
      <c r="F18" s="53" t="s">
        <v>386</v>
      </c>
      <c r="G18" s="53" t="s">
        <v>36</v>
      </c>
      <c r="H18" s="53" t="s">
        <v>164</v>
      </c>
      <c r="I18" s="53" t="s">
        <v>159</v>
      </c>
      <c r="J18" s="53" t="s">
        <v>38</v>
      </c>
      <c r="K18" s="53" t="s">
        <v>161</v>
      </c>
      <c r="L18" s="53">
        <v>2</v>
      </c>
      <c r="N18" s="53">
        <v>4</v>
      </c>
      <c r="O18" s="53">
        <v>0.45</v>
      </c>
      <c r="P18" s="53">
        <v>0.45</v>
      </c>
      <c r="Q18" s="75">
        <f t="shared" si="0"/>
        <v>0.45</v>
      </c>
      <c r="R18" s="53">
        <v>14.5</v>
      </c>
      <c r="S18" s="53">
        <v>91</v>
      </c>
      <c r="T18" s="16">
        <f t="shared" si="1"/>
        <v>36</v>
      </c>
      <c r="U18" s="53">
        <v>365</v>
      </c>
      <c r="V18" s="16">
        <f t="shared" si="2"/>
        <v>3285</v>
      </c>
      <c r="W18" s="53">
        <v>6</v>
      </c>
      <c r="X18" s="53" t="s">
        <v>46</v>
      </c>
      <c r="Y18" s="53" t="s">
        <v>78</v>
      </c>
      <c r="Z18" s="53" t="s">
        <v>102</v>
      </c>
      <c r="AA18" s="53" t="s">
        <v>69</v>
      </c>
      <c r="AB18" s="53" t="s">
        <v>237</v>
      </c>
      <c r="AE18" s="22" t="s">
        <v>87</v>
      </c>
      <c r="AP18" s="27" t="s">
        <v>111</v>
      </c>
      <c r="AR18" s="23" t="s">
        <v>101</v>
      </c>
      <c r="AV18" s="23" t="s">
        <v>88</v>
      </c>
    </row>
    <row r="19" spans="1:48" x14ac:dyDescent="0.15">
      <c r="A19" s="53" t="s">
        <v>34</v>
      </c>
      <c r="B19" s="53" t="s">
        <v>233</v>
      </c>
      <c r="C19" s="53">
        <v>2019</v>
      </c>
      <c r="D19" s="176" t="s">
        <v>372</v>
      </c>
      <c r="E19" s="53" t="s">
        <v>385</v>
      </c>
      <c r="F19" s="53" t="s">
        <v>386</v>
      </c>
      <c r="G19" s="53" t="s">
        <v>36</v>
      </c>
      <c r="H19" s="53" t="s">
        <v>164</v>
      </c>
      <c r="I19" s="53" t="s">
        <v>159</v>
      </c>
      <c r="J19" s="53" t="s">
        <v>38</v>
      </c>
      <c r="K19" s="53" t="s">
        <v>161</v>
      </c>
      <c r="L19" s="53">
        <v>3</v>
      </c>
      <c r="N19" s="53">
        <v>4</v>
      </c>
      <c r="O19" s="53">
        <v>0.6</v>
      </c>
      <c r="P19" s="53">
        <v>0.5</v>
      </c>
      <c r="Q19" s="75">
        <f t="shared" si="0"/>
        <v>0.55000000000000004</v>
      </c>
      <c r="R19" s="53">
        <v>14.2</v>
      </c>
      <c r="S19" s="53">
        <v>84</v>
      </c>
      <c r="T19" s="16">
        <f t="shared" si="1"/>
        <v>36</v>
      </c>
      <c r="U19" s="53">
        <v>365</v>
      </c>
      <c r="V19" s="16">
        <f t="shared" si="2"/>
        <v>3285</v>
      </c>
      <c r="W19" s="53">
        <v>6</v>
      </c>
      <c r="X19" s="53" t="s">
        <v>46</v>
      </c>
      <c r="Y19" s="53" t="s">
        <v>78</v>
      </c>
      <c r="Z19" s="53" t="s">
        <v>102</v>
      </c>
      <c r="AA19" s="53" t="s">
        <v>69</v>
      </c>
      <c r="AB19" s="53" t="s">
        <v>237</v>
      </c>
      <c r="AE19" s="35" t="s">
        <v>89</v>
      </c>
      <c r="AP19" s="27" t="s">
        <v>112</v>
      </c>
      <c r="AR19" s="23" t="s">
        <v>126</v>
      </c>
      <c r="AV19" s="23" t="s">
        <v>90</v>
      </c>
    </row>
    <row r="20" spans="1:48" x14ac:dyDescent="0.15">
      <c r="A20" s="53" t="s">
        <v>34</v>
      </c>
      <c r="B20" s="53" t="s">
        <v>233</v>
      </c>
      <c r="C20" s="53">
        <v>2019</v>
      </c>
      <c r="D20" s="176" t="s">
        <v>372</v>
      </c>
      <c r="E20" s="53" t="s">
        <v>385</v>
      </c>
      <c r="F20" s="53" t="s">
        <v>386</v>
      </c>
      <c r="G20" s="53" t="s">
        <v>36</v>
      </c>
      <c r="H20" s="53" t="s">
        <v>160</v>
      </c>
      <c r="I20" s="53" t="s">
        <v>159</v>
      </c>
      <c r="J20" s="53" t="s">
        <v>38</v>
      </c>
      <c r="K20" s="53" t="s">
        <v>161</v>
      </c>
      <c r="L20" s="53">
        <v>1</v>
      </c>
      <c r="N20" s="53">
        <v>1</v>
      </c>
      <c r="O20" s="53">
        <v>0.2</v>
      </c>
      <c r="P20" s="53">
        <v>0.45</v>
      </c>
      <c r="Q20" s="75">
        <f t="shared" si="0"/>
        <v>0.32500000000000001</v>
      </c>
      <c r="R20" s="53">
        <v>14.5</v>
      </c>
      <c r="S20" s="53">
        <v>112</v>
      </c>
      <c r="T20" s="16">
        <f t="shared" si="1"/>
        <v>33</v>
      </c>
      <c r="U20" s="53">
        <v>149</v>
      </c>
      <c r="V20" s="16">
        <f t="shared" si="2"/>
        <v>4917</v>
      </c>
      <c r="W20" s="53">
        <v>5</v>
      </c>
      <c r="X20" s="53" t="s">
        <v>46</v>
      </c>
      <c r="Y20" s="53" t="s">
        <v>78</v>
      </c>
      <c r="Z20" s="53" t="s">
        <v>102</v>
      </c>
      <c r="AA20" s="53" t="s">
        <v>69</v>
      </c>
      <c r="AB20" s="53" t="s">
        <v>237</v>
      </c>
      <c r="AP20" s="27" t="s">
        <v>113</v>
      </c>
      <c r="AR20" s="23" t="s">
        <v>105</v>
      </c>
      <c r="AV20" s="27" t="s">
        <v>135</v>
      </c>
    </row>
    <row r="21" spans="1:48" x14ac:dyDescent="0.15">
      <c r="A21" s="53" t="s">
        <v>34</v>
      </c>
      <c r="B21" s="53" t="s">
        <v>233</v>
      </c>
      <c r="C21" s="53">
        <v>2019</v>
      </c>
      <c r="D21" s="176" t="s">
        <v>372</v>
      </c>
      <c r="E21" s="53" t="s">
        <v>385</v>
      </c>
      <c r="F21" s="53" t="s">
        <v>386</v>
      </c>
      <c r="G21" s="53" t="s">
        <v>36</v>
      </c>
      <c r="H21" s="53" t="s">
        <v>160</v>
      </c>
      <c r="I21" s="53" t="s">
        <v>159</v>
      </c>
      <c r="J21" s="53" t="s">
        <v>38</v>
      </c>
      <c r="K21" s="53" t="s">
        <v>161</v>
      </c>
      <c r="L21" s="53">
        <v>2</v>
      </c>
      <c r="N21" s="53">
        <v>1</v>
      </c>
      <c r="O21" s="53">
        <v>0.2</v>
      </c>
      <c r="P21" s="53">
        <v>0.45</v>
      </c>
      <c r="Q21" s="75">
        <f t="shared" si="0"/>
        <v>0.32500000000000001</v>
      </c>
      <c r="R21" s="53">
        <v>14.8</v>
      </c>
      <c r="S21" s="53">
        <v>110</v>
      </c>
      <c r="T21" s="16">
        <f t="shared" si="1"/>
        <v>33</v>
      </c>
      <c r="U21" s="53">
        <v>149</v>
      </c>
      <c r="V21" s="16">
        <f t="shared" si="2"/>
        <v>4917</v>
      </c>
      <c r="W21" s="53">
        <v>5</v>
      </c>
      <c r="X21" s="53" t="s">
        <v>46</v>
      </c>
      <c r="Y21" s="53" t="s">
        <v>78</v>
      </c>
      <c r="Z21" s="53" t="s">
        <v>102</v>
      </c>
      <c r="AA21" s="53" t="s">
        <v>69</v>
      </c>
      <c r="AB21" s="53" t="s">
        <v>237</v>
      </c>
      <c r="AP21" s="27" t="s">
        <v>114</v>
      </c>
      <c r="AR21" s="23" t="s">
        <v>68</v>
      </c>
      <c r="AV21" s="27" t="s">
        <v>136</v>
      </c>
    </row>
    <row r="22" spans="1:48" x14ac:dyDescent="0.15">
      <c r="A22" s="53" t="s">
        <v>34</v>
      </c>
      <c r="B22" s="53" t="s">
        <v>233</v>
      </c>
      <c r="C22" s="53">
        <v>2019</v>
      </c>
      <c r="D22" s="176" t="s">
        <v>372</v>
      </c>
      <c r="E22" s="53" t="s">
        <v>385</v>
      </c>
      <c r="F22" s="53" t="s">
        <v>386</v>
      </c>
      <c r="G22" s="53" t="s">
        <v>36</v>
      </c>
      <c r="H22" s="53" t="s">
        <v>160</v>
      </c>
      <c r="I22" s="53" t="s">
        <v>159</v>
      </c>
      <c r="J22" s="53" t="s">
        <v>38</v>
      </c>
      <c r="K22" s="53" t="s">
        <v>161</v>
      </c>
      <c r="L22" s="53">
        <v>3</v>
      </c>
      <c r="N22" s="53">
        <v>1</v>
      </c>
      <c r="O22" s="53">
        <v>0.5</v>
      </c>
      <c r="P22" s="53">
        <v>0.5</v>
      </c>
      <c r="Q22" s="75">
        <f t="shared" si="0"/>
        <v>0.5</v>
      </c>
      <c r="R22" s="53">
        <v>14.9</v>
      </c>
      <c r="S22" s="53">
        <v>106</v>
      </c>
      <c r="T22" s="16">
        <f t="shared" si="1"/>
        <v>33</v>
      </c>
      <c r="U22" s="53">
        <v>149</v>
      </c>
      <c r="V22" s="16">
        <f t="shared" si="2"/>
        <v>4917</v>
      </c>
      <c r="W22" s="53">
        <v>5</v>
      </c>
      <c r="X22" s="53" t="s">
        <v>46</v>
      </c>
      <c r="Y22" s="53" t="s">
        <v>78</v>
      </c>
      <c r="Z22" s="53" t="s">
        <v>102</v>
      </c>
      <c r="AA22" s="53" t="s">
        <v>69</v>
      </c>
      <c r="AB22" s="53" t="s">
        <v>237</v>
      </c>
      <c r="AP22" s="27" t="s">
        <v>115</v>
      </c>
      <c r="AR22" s="23" t="s">
        <v>83</v>
      </c>
      <c r="AV22" s="27"/>
    </row>
    <row r="23" spans="1:48" x14ac:dyDescent="0.15">
      <c r="A23" s="53" t="s">
        <v>34</v>
      </c>
      <c r="B23" s="53" t="s">
        <v>233</v>
      </c>
      <c r="C23" s="53">
        <v>2019</v>
      </c>
      <c r="D23" s="176" t="s">
        <v>372</v>
      </c>
      <c r="E23" s="53" t="s">
        <v>385</v>
      </c>
      <c r="F23" s="53" t="s">
        <v>386</v>
      </c>
      <c r="G23" s="53" t="s">
        <v>36</v>
      </c>
      <c r="H23" s="53" t="s">
        <v>160</v>
      </c>
      <c r="I23" s="53" t="s">
        <v>159</v>
      </c>
      <c r="J23" s="53" t="s">
        <v>38</v>
      </c>
      <c r="K23" s="53" t="s">
        <v>161</v>
      </c>
      <c r="L23" s="53">
        <v>1</v>
      </c>
      <c r="N23" s="53">
        <v>4</v>
      </c>
      <c r="O23" s="53">
        <v>0.2</v>
      </c>
      <c r="P23" s="53">
        <v>0.2</v>
      </c>
      <c r="Q23" s="75">
        <f t="shared" si="0"/>
        <v>0.2</v>
      </c>
      <c r="R23" s="53">
        <v>16</v>
      </c>
      <c r="S23" s="53">
        <v>102</v>
      </c>
      <c r="T23" s="16">
        <f t="shared" si="1"/>
        <v>33</v>
      </c>
      <c r="U23" s="53">
        <v>538</v>
      </c>
      <c r="V23" s="16">
        <f t="shared" si="2"/>
        <v>4438.5</v>
      </c>
      <c r="W23" s="53">
        <v>5</v>
      </c>
      <c r="X23" s="53" t="s">
        <v>46</v>
      </c>
      <c r="Y23" s="53" t="s">
        <v>78</v>
      </c>
      <c r="Z23" s="53" t="s">
        <v>102</v>
      </c>
      <c r="AA23" s="53" t="s">
        <v>69</v>
      </c>
      <c r="AB23" s="53" t="s">
        <v>237</v>
      </c>
      <c r="AP23" s="27" t="s">
        <v>117</v>
      </c>
      <c r="AR23" s="23" t="s">
        <v>153</v>
      </c>
    </row>
    <row r="24" spans="1:48" x14ac:dyDescent="0.15">
      <c r="A24" s="53" t="s">
        <v>34</v>
      </c>
      <c r="B24" s="53" t="s">
        <v>233</v>
      </c>
      <c r="C24" s="53">
        <v>2019</v>
      </c>
      <c r="D24" s="176" t="s">
        <v>372</v>
      </c>
      <c r="E24" s="53" t="s">
        <v>385</v>
      </c>
      <c r="F24" s="53" t="s">
        <v>386</v>
      </c>
      <c r="G24" s="53" t="s">
        <v>36</v>
      </c>
      <c r="H24" s="53" t="s">
        <v>160</v>
      </c>
      <c r="I24" s="53" t="s">
        <v>159</v>
      </c>
      <c r="J24" s="53" t="s">
        <v>38</v>
      </c>
      <c r="K24" s="53" t="s">
        <v>161</v>
      </c>
      <c r="L24" s="53">
        <v>2</v>
      </c>
      <c r="N24" s="53">
        <v>4</v>
      </c>
      <c r="O24" s="53">
        <v>0.45</v>
      </c>
      <c r="P24" s="53">
        <v>0.45</v>
      </c>
      <c r="Q24" s="75">
        <f t="shared" si="0"/>
        <v>0.45</v>
      </c>
      <c r="R24" s="53">
        <v>15</v>
      </c>
      <c r="S24" s="53">
        <v>100</v>
      </c>
      <c r="T24" s="16">
        <f t="shared" si="1"/>
        <v>33</v>
      </c>
      <c r="U24" s="53">
        <v>538</v>
      </c>
      <c r="V24" s="16">
        <f t="shared" si="2"/>
        <v>4438.5</v>
      </c>
      <c r="W24" s="53">
        <v>5</v>
      </c>
      <c r="X24" s="53" t="s">
        <v>46</v>
      </c>
      <c r="Y24" s="53" t="s">
        <v>78</v>
      </c>
      <c r="Z24" s="53" t="s">
        <v>102</v>
      </c>
      <c r="AA24" s="53" t="s">
        <v>69</v>
      </c>
      <c r="AB24" s="53" t="s">
        <v>237</v>
      </c>
      <c r="AP24" s="27" t="s">
        <v>118</v>
      </c>
    </row>
    <row r="25" spans="1:48" x14ac:dyDescent="0.15">
      <c r="A25" s="53" t="s">
        <v>34</v>
      </c>
      <c r="B25" s="53" t="s">
        <v>233</v>
      </c>
      <c r="C25" s="53">
        <v>2019</v>
      </c>
      <c r="D25" s="176" t="s">
        <v>372</v>
      </c>
      <c r="E25" s="53" t="s">
        <v>385</v>
      </c>
      <c r="F25" s="53" t="s">
        <v>386</v>
      </c>
      <c r="G25" s="53" t="s">
        <v>36</v>
      </c>
      <c r="H25" s="53" t="s">
        <v>160</v>
      </c>
      <c r="I25" s="53" t="s">
        <v>159</v>
      </c>
      <c r="J25" s="53" t="s">
        <v>38</v>
      </c>
      <c r="K25" s="53" t="s">
        <v>161</v>
      </c>
      <c r="L25" s="53">
        <v>3</v>
      </c>
      <c r="N25" s="53">
        <v>4</v>
      </c>
      <c r="O25" s="53">
        <v>0.2</v>
      </c>
      <c r="P25" s="53">
        <v>0.45</v>
      </c>
      <c r="Q25" s="75">
        <f t="shared" si="0"/>
        <v>0.32500000000000001</v>
      </c>
      <c r="R25" s="53">
        <v>15.1</v>
      </c>
      <c r="S25" s="53">
        <v>96</v>
      </c>
      <c r="T25" s="16">
        <f t="shared" si="1"/>
        <v>36</v>
      </c>
      <c r="U25" s="53">
        <v>538</v>
      </c>
      <c r="V25" s="16">
        <f t="shared" si="2"/>
        <v>4842</v>
      </c>
      <c r="W25" s="53">
        <v>5</v>
      </c>
      <c r="X25" s="53" t="s">
        <v>46</v>
      </c>
      <c r="Y25" s="53" t="s">
        <v>78</v>
      </c>
      <c r="Z25" s="53" t="s">
        <v>102</v>
      </c>
      <c r="AA25" s="53" t="s">
        <v>69</v>
      </c>
      <c r="AB25" s="53" t="s">
        <v>237</v>
      </c>
    </row>
    <row r="26" spans="1:48" x14ac:dyDescent="0.15">
      <c r="A26" s="53" t="s">
        <v>34</v>
      </c>
      <c r="B26" s="53" t="s">
        <v>233</v>
      </c>
      <c r="C26" s="53">
        <v>2019</v>
      </c>
      <c r="D26" s="176" t="s">
        <v>372</v>
      </c>
      <c r="E26" s="53" t="s">
        <v>387</v>
      </c>
      <c r="F26" s="53" t="s">
        <v>388</v>
      </c>
      <c r="G26" s="53" t="s">
        <v>36</v>
      </c>
      <c r="H26" s="53" t="s">
        <v>164</v>
      </c>
      <c r="I26" s="53" t="s">
        <v>159</v>
      </c>
      <c r="J26" s="53" t="s">
        <v>38</v>
      </c>
      <c r="K26" s="53" t="s">
        <v>161</v>
      </c>
      <c r="L26" s="53">
        <v>1</v>
      </c>
      <c r="N26" s="53">
        <v>1</v>
      </c>
      <c r="O26" s="53">
        <v>0.45</v>
      </c>
      <c r="P26" s="53">
        <v>0.2</v>
      </c>
      <c r="Q26" s="75">
        <f t="shared" si="0"/>
        <v>0.32500000000000001</v>
      </c>
      <c r="R26" s="53">
        <v>15.7</v>
      </c>
      <c r="S26" s="53">
        <v>116</v>
      </c>
      <c r="T26" s="16">
        <f t="shared" si="1"/>
        <v>30</v>
      </c>
      <c r="U26" s="53">
        <v>100</v>
      </c>
      <c r="V26" s="16">
        <f t="shared" si="2"/>
        <v>3000</v>
      </c>
      <c r="W26" s="53">
        <v>1</v>
      </c>
      <c r="X26" s="53" t="s">
        <v>46</v>
      </c>
      <c r="Y26" s="53" t="s">
        <v>84</v>
      </c>
      <c r="Z26" s="53" t="s">
        <v>69</v>
      </c>
      <c r="AA26" s="53" t="s">
        <v>90</v>
      </c>
      <c r="AB26" s="53" t="s">
        <v>237</v>
      </c>
    </row>
    <row r="27" spans="1:48" x14ac:dyDescent="0.15">
      <c r="A27" s="53" t="s">
        <v>34</v>
      </c>
      <c r="B27" s="53" t="s">
        <v>233</v>
      </c>
      <c r="C27" s="53">
        <v>2019</v>
      </c>
      <c r="D27" s="176" t="s">
        <v>372</v>
      </c>
      <c r="E27" s="53" t="s">
        <v>387</v>
      </c>
      <c r="F27" s="53" t="s">
        <v>388</v>
      </c>
      <c r="G27" s="53" t="s">
        <v>36</v>
      </c>
      <c r="H27" s="53" t="s">
        <v>164</v>
      </c>
      <c r="I27" s="53" t="s">
        <v>159</v>
      </c>
      <c r="J27" s="53" t="s">
        <v>38</v>
      </c>
      <c r="K27" s="53" t="s">
        <v>161</v>
      </c>
      <c r="L27" s="53">
        <v>2</v>
      </c>
      <c r="N27" s="53">
        <v>1</v>
      </c>
      <c r="O27" s="53">
        <v>0.6</v>
      </c>
      <c r="P27" s="53">
        <v>0.65</v>
      </c>
      <c r="Q27" s="75">
        <f t="shared" si="0"/>
        <v>0.625</v>
      </c>
      <c r="R27" s="53">
        <v>14</v>
      </c>
      <c r="S27" s="53">
        <v>120</v>
      </c>
      <c r="T27" s="16">
        <f t="shared" si="1"/>
        <v>30</v>
      </c>
      <c r="U27" s="53">
        <v>100</v>
      </c>
      <c r="V27" s="16">
        <f t="shared" si="2"/>
        <v>3000</v>
      </c>
      <c r="W27" s="53">
        <v>1</v>
      </c>
      <c r="X27" s="53" t="s">
        <v>46</v>
      </c>
      <c r="Y27" s="53" t="s">
        <v>84</v>
      </c>
      <c r="Z27" s="53" t="s">
        <v>69</v>
      </c>
      <c r="AA27" s="53" t="s">
        <v>90</v>
      </c>
      <c r="AB27" s="53" t="s">
        <v>237</v>
      </c>
    </row>
    <row r="28" spans="1:48" x14ac:dyDescent="0.15">
      <c r="A28" s="53" t="s">
        <v>34</v>
      </c>
      <c r="B28" s="53" t="s">
        <v>233</v>
      </c>
      <c r="C28" s="53">
        <v>2019</v>
      </c>
      <c r="D28" s="176" t="s">
        <v>372</v>
      </c>
      <c r="E28" s="53" t="s">
        <v>387</v>
      </c>
      <c r="F28" s="53" t="s">
        <v>388</v>
      </c>
      <c r="G28" s="53" t="s">
        <v>36</v>
      </c>
      <c r="H28" s="53" t="s">
        <v>164</v>
      </c>
      <c r="I28" s="53" t="s">
        <v>159</v>
      </c>
      <c r="J28" s="53" t="s">
        <v>38</v>
      </c>
      <c r="K28" s="53" t="s">
        <v>161</v>
      </c>
      <c r="L28" s="53">
        <v>3</v>
      </c>
      <c r="N28" s="53">
        <v>1</v>
      </c>
      <c r="O28" s="53">
        <v>0.5</v>
      </c>
      <c r="P28" s="53">
        <v>0.7</v>
      </c>
      <c r="Q28" s="75">
        <f>IF(OR(O28="",P28=""),"",AVERAGE(O28,P28))</f>
        <v>0.6</v>
      </c>
      <c r="R28" s="53">
        <v>14.1</v>
      </c>
      <c r="S28" s="53">
        <v>128</v>
      </c>
      <c r="T28" s="16">
        <f t="shared" si="1"/>
        <v>30</v>
      </c>
      <c r="U28" s="53">
        <v>100</v>
      </c>
      <c r="V28" s="16">
        <f t="shared" si="2"/>
        <v>3000</v>
      </c>
      <c r="W28" s="53">
        <v>1</v>
      </c>
      <c r="X28" s="53" t="s">
        <v>46</v>
      </c>
      <c r="Y28" s="53" t="s">
        <v>84</v>
      </c>
      <c r="Z28" s="53" t="s">
        <v>69</v>
      </c>
      <c r="AA28" s="53" t="s">
        <v>90</v>
      </c>
      <c r="AB28" s="53" t="s">
        <v>237</v>
      </c>
    </row>
    <row r="29" spans="1:48" x14ac:dyDescent="0.15">
      <c r="A29" s="53" t="s">
        <v>34</v>
      </c>
      <c r="B29" s="53" t="s">
        <v>233</v>
      </c>
      <c r="C29" s="53">
        <v>2019</v>
      </c>
      <c r="D29" s="176" t="s">
        <v>372</v>
      </c>
      <c r="E29" s="53" t="s">
        <v>387</v>
      </c>
      <c r="F29" s="53" t="s">
        <v>388</v>
      </c>
      <c r="G29" s="53" t="s">
        <v>36</v>
      </c>
      <c r="H29" s="53" t="s">
        <v>160</v>
      </c>
      <c r="I29" s="53" t="s">
        <v>159</v>
      </c>
      <c r="J29" s="53" t="s">
        <v>38</v>
      </c>
      <c r="K29" s="53" t="s">
        <v>161</v>
      </c>
      <c r="L29" s="53">
        <v>1</v>
      </c>
      <c r="N29" s="53">
        <v>1</v>
      </c>
      <c r="O29" s="53">
        <v>0.2</v>
      </c>
      <c r="P29" s="53">
        <v>0.2</v>
      </c>
      <c r="Q29" s="75">
        <f t="shared" si="0"/>
        <v>0.2</v>
      </c>
      <c r="R29" s="53">
        <v>14.8</v>
      </c>
      <c r="S29" s="53">
        <v>146</v>
      </c>
      <c r="T29" s="16">
        <f t="shared" si="1"/>
        <v>30</v>
      </c>
      <c r="U29" s="53">
        <v>138</v>
      </c>
      <c r="V29" s="16">
        <f t="shared" si="2"/>
        <v>4140</v>
      </c>
      <c r="W29" s="53">
        <v>1</v>
      </c>
      <c r="X29" s="53" t="s">
        <v>46</v>
      </c>
      <c r="Y29" s="53" t="s">
        <v>84</v>
      </c>
      <c r="Z29" s="53" t="s">
        <v>69</v>
      </c>
      <c r="AA29" s="53" t="s">
        <v>90</v>
      </c>
      <c r="AB29" s="53" t="s">
        <v>237</v>
      </c>
    </row>
    <row r="30" spans="1:48" x14ac:dyDescent="0.15">
      <c r="A30" s="53" t="s">
        <v>34</v>
      </c>
      <c r="B30" s="53" t="s">
        <v>233</v>
      </c>
      <c r="C30" s="53">
        <v>2019</v>
      </c>
      <c r="D30" s="176" t="s">
        <v>372</v>
      </c>
      <c r="E30" s="53" t="s">
        <v>387</v>
      </c>
      <c r="F30" s="53" t="s">
        <v>388</v>
      </c>
      <c r="G30" s="53" t="s">
        <v>36</v>
      </c>
      <c r="H30" s="53" t="s">
        <v>160</v>
      </c>
      <c r="I30" s="53" t="s">
        <v>159</v>
      </c>
      <c r="J30" s="53" t="s">
        <v>38</v>
      </c>
      <c r="K30" s="53" t="s">
        <v>161</v>
      </c>
      <c r="L30" s="53">
        <v>2</v>
      </c>
      <c r="N30" s="53">
        <v>1</v>
      </c>
      <c r="O30" s="53">
        <v>0.2</v>
      </c>
      <c r="P30" s="53">
        <v>0.2</v>
      </c>
      <c r="Q30" s="75">
        <f t="shared" si="0"/>
        <v>0.2</v>
      </c>
      <c r="R30" s="53">
        <v>16.7</v>
      </c>
      <c r="S30" s="53">
        <v>160</v>
      </c>
      <c r="T30" s="16">
        <f t="shared" si="1"/>
        <v>18</v>
      </c>
      <c r="U30" s="53">
        <v>138</v>
      </c>
      <c r="V30" s="16">
        <f t="shared" si="2"/>
        <v>2484</v>
      </c>
      <c r="W30" s="53">
        <v>1</v>
      </c>
      <c r="X30" s="53" t="s">
        <v>46</v>
      </c>
      <c r="Y30" s="53" t="s">
        <v>84</v>
      </c>
      <c r="Z30" s="53" t="s">
        <v>69</v>
      </c>
      <c r="AA30" s="53" t="s">
        <v>90</v>
      </c>
      <c r="AB30" s="53" t="s">
        <v>237</v>
      </c>
    </row>
    <row r="31" spans="1:48" x14ac:dyDescent="0.15">
      <c r="A31" s="53" t="s">
        <v>34</v>
      </c>
      <c r="B31" s="53" t="s">
        <v>233</v>
      </c>
      <c r="C31" s="53">
        <v>2019</v>
      </c>
      <c r="D31" s="176" t="s">
        <v>372</v>
      </c>
      <c r="E31" s="53" t="s">
        <v>387</v>
      </c>
      <c r="F31" s="53" t="s">
        <v>388</v>
      </c>
      <c r="G31" s="53" t="s">
        <v>36</v>
      </c>
      <c r="H31" s="53" t="s">
        <v>160</v>
      </c>
      <c r="I31" s="53" t="s">
        <v>159</v>
      </c>
      <c r="J31" s="53" t="s">
        <v>38</v>
      </c>
      <c r="K31" s="53" t="s">
        <v>161</v>
      </c>
      <c r="L31" s="53">
        <v>3</v>
      </c>
      <c r="N31" s="53">
        <v>1</v>
      </c>
      <c r="O31" s="53">
        <v>0.2</v>
      </c>
      <c r="P31" s="53">
        <v>0.2</v>
      </c>
      <c r="Q31" s="75">
        <f t="shared" si="0"/>
        <v>0.2</v>
      </c>
      <c r="R31" s="53">
        <v>16.2</v>
      </c>
      <c r="S31" s="53">
        <v>148</v>
      </c>
      <c r="T31" s="16">
        <f t="shared" si="1"/>
        <v>30</v>
      </c>
      <c r="U31" s="53">
        <v>138</v>
      </c>
      <c r="V31" s="16">
        <f t="shared" si="2"/>
        <v>4140</v>
      </c>
      <c r="W31" s="53">
        <v>1</v>
      </c>
      <c r="X31" s="53" t="s">
        <v>46</v>
      </c>
      <c r="Y31" s="53" t="s">
        <v>84</v>
      </c>
      <c r="Z31" s="53" t="s">
        <v>69</v>
      </c>
      <c r="AA31" s="53" t="s">
        <v>90</v>
      </c>
      <c r="AB31" s="53" t="s">
        <v>237</v>
      </c>
    </row>
    <row r="32" spans="1:48" x14ac:dyDescent="0.15">
      <c r="A32" s="53" t="s">
        <v>34</v>
      </c>
      <c r="B32" s="53" t="s">
        <v>233</v>
      </c>
      <c r="C32" s="53">
        <v>2019</v>
      </c>
      <c r="D32" s="176" t="s">
        <v>372</v>
      </c>
      <c r="E32" s="53" t="s">
        <v>211</v>
      </c>
      <c r="F32" s="53" t="s">
        <v>389</v>
      </c>
      <c r="G32" s="53" t="s">
        <v>36</v>
      </c>
      <c r="H32" s="53" t="s">
        <v>164</v>
      </c>
      <c r="I32" s="53" t="s">
        <v>159</v>
      </c>
      <c r="J32" s="53" t="s">
        <v>38</v>
      </c>
      <c r="K32" s="53" t="s">
        <v>161</v>
      </c>
      <c r="L32" s="53">
        <v>1</v>
      </c>
      <c r="N32" s="53">
        <v>1</v>
      </c>
      <c r="O32" s="53">
        <v>0.6</v>
      </c>
      <c r="P32" s="53">
        <v>0.6</v>
      </c>
      <c r="Q32" s="75">
        <f t="shared" si="0"/>
        <v>0.6</v>
      </c>
      <c r="R32" s="53">
        <v>13.6</v>
      </c>
      <c r="S32" s="53">
        <v>122</v>
      </c>
      <c r="T32" s="16">
        <f t="shared" si="1"/>
        <v>30</v>
      </c>
      <c r="U32" s="53">
        <v>104</v>
      </c>
      <c r="V32" s="16">
        <f t="shared" si="2"/>
        <v>3120</v>
      </c>
      <c r="W32" s="53">
        <v>2</v>
      </c>
      <c r="X32" s="53" t="s">
        <v>46</v>
      </c>
      <c r="Y32" s="53" t="s">
        <v>102</v>
      </c>
      <c r="Z32" s="53" t="s">
        <v>90</v>
      </c>
      <c r="AA32" s="53" t="s">
        <v>78</v>
      </c>
      <c r="AB32" s="53" t="s">
        <v>237</v>
      </c>
    </row>
    <row r="33" spans="1:28" x14ac:dyDescent="0.15">
      <c r="A33" s="53" t="s">
        <v>34</v>
      </c>
      <c r="B33" s="53" t="s">
        <v>233</v>
      </c>
      <c r="C33" s="53">
        <v>2019</v>
      </c>
      <c r="D33" s="176" t="s">
        <v>372</v>
      </c>
      <c r="E33" s="53" t="s">
        <v>211</v>
      </c>
      <c r="F33" s="53" t="s">
        <v>389</v>
      </c>
      <c r="G33" s="53" t="s">
        <v>36</v>
      </c>
      <c r="H33" s="53" t="s">
        <v>164</v>
      </c>
      <c r="I33" s="53" t="s">
        <v>159</v>
      </c>
      <c r="J33" s="53" t="s">
        <v>38</v>
      </c>
      <c r="K33" s="53" t="s">
        <v>161</v>
      </c>
      <c r="L33" s="53">
        <v>2</v>
      </c>
      <c r="N33" s="53">
        <v>1</v>
      </c>
      <c r="O33" s="53">
        <v>0.45</v>
      </c>
      <c r="P33" s="53">
        <v>0.5</v>
      </c>
      <c r="Q33" s="75">
        <f t="shared" si="0"/>
        <v>0.47499999999999998</v>
      </c>
      <c r="R33" s="53">
        <v>14.2</v>
      </c>
      <c r="S33" s="53">
        <v>120</v>
      </c>
      <c r="T33" s="16">
        <f t="shared" si="1"/>
        <v>30</v>
      </c>
      <c r="U33" s="53">
        <v>104</v>
      </c>
      <c r="V33" s="16">
        <f t="shared" si="2"/>
        <v>3120</v>
      </c>
      <c r="W33" s="53">
        <v>2</v>
      </c>
      <c r="X33" s="53" t="s">
        <v>46</v>
      </c>
      <c r="Y33" s="53" t="s">
        <v>102</v>
      </c>
      <c r="Z33" s="53" t="s">
        <v>90</v>
      </c>
      <c r="AA33" s="53" t="s">
        <v>78</v>
      </c>
      <c r="AB33" s="53" t="s">
        <v>237</v>
      </c>
    </row>
    <row r="34" spans="1:28" x14ac:dyDescent="0.15">
      <c r="A34" s="53" t="s">
        <v>34</v>
      </c>
      <c r="B34" s="53" t="s">
        <v>233</v>
      </c>
      <c r="C34" s="53">
        <v>2019</v>
      </c>
      <c r="D34" s="176" t="s">
        <v>372</v>
      </c>
      <c r="E34" s="53" t="s">
        <v>211</v>
      </c>
      <c r="F34" s="53" t="s">
        <v>389</v>
      </c>
      <c r="G34" s="53" t="s">
        <v>36</v>
      </c>
      <c r="H34" s="53" t="s">
        <v>164</v>
      </c>
      <c r="I34" s="53" t="s">
        <v>159</v>
      </c>
      <c r="J34" s="53" t="s">
        <v>38</v>
      </c>
      <c r="K34" s="53" t="s">
        <v>161</v>
      </c>
      <c r="L34" s="53">
        <v>3</v>
      </c>
      <c r="N34" s="53">
        <v>1</v>
      </c>
      <c r="O34" s="53">
        <v>0.8</v>
      </c>
      <c r="P34" s="53">
        <v>0.75</v>
      </c>
      <c r="Q34" s="75">
        <f>IF(OR(O34="",P34=""),"",AVERAGE(O34,P34))</f>
        <v>0.77500000000000002</v>
      </c>
      <c r="R34" s="53">
        <v>14</v>
      </c>
      <c r="S34" s="53">
        <v>124</v>
      </c>
      <c r="T34" s="16">
        <f t="shared" si="1"/>
        <v>30</v>
      </c>
      <c r="U34" s="53">
        <v>104</v>
      </c>
      <c r="V34" s="16">
        <f t="shared" si="2"/>
        <v>3120</v>
      </c>
      <c r="W34" s="53">
        <v>2</v>
      </c>
      <c r="X34" s="53" t="s">
        <v>46</v>
      </c>
      <c r="Y34" s="53" t="s">
        <v>102</v>
      </c>
      <c r="Z34" s="53" t="s">
        <v>90</v>
      </c>
      <c r="AA34" s="53" t="s">
        <v>78</v>
      </c>
      <c r="AB34" s="53" t="s">
        <v>237</v>
      </c>
    </row>
    <row r="35" spans="1:28" x14ac:dyDescent="0.15">
      <c r="A35" s="53" t="s">
        <v>34</v>
      </c>
      <c r="B35" s="53" t="s">
        <v>233</v>
      </c>
      <c r="C35" s="53">
        <v>2019</v>
      </c>
      <c r="D35" s="176" t="s">
        <v>372</v>
      </c>
      <c r="E35" s="53" t="s">
        <v>211</v>
      </c>
      <c r="F35" s="53" t="s">
        <v>389</v>
      </c>
      <c r="G35" s="53" t="s">
        <v>36</v>
      </c>
      <c r="H35" s="53" t="s">
        <v>160</v>
      </c>
      <c r="I35" s="53" t="s">
        <v>159</v>
      </c>
      <c r="J35" s="53" t="s">
        <v>38</v>
      </c>
      <c r="K35" s="53" t="s">
        <v>161</v>
      </c>
      <c r="L35" s="53">
        <v>1</v>
      </c>
      <c r="N35" s="53">
        <v>1</v>
      </c>
      <c r="O35" s="53">
        <v>0.45</v>
      </c>
      <c r="P35" s="53">
        <v>0.2</v>
      </c>
      <c r="Q35" s="75">
        <f t="shared" ref="Q35:Q36" si="3">IF(OR(O35="",P35=""),"",AVERAGE(O35,P35))</f>
        <v>0.32500000000000001</v>
      </c>
      <c r="R35" s="53">
        <v>15.2</v>
      </c>
      <c r="S35" s="53">
        <v>146</v>
      </c>
      <c r="T35" s="16">
        <f t="shared" si="1"/>
        <v>30</v>
      </c>
      <c r="U35" s="53">
        <v>104</v>
      </c>
      <c r="V35" s="16">
        <f t="shared" si="2"/>
        <v>3120</v>
      </c>
      <c r="W35" s="53">
        <v>4</v>
      </c>
      <c r="X35" s="53" t="s">
        <v>46</v>
      </c>
      <c r="Y35" s="53" t="s">
        <v>102</v>
      </c>
      <c r="Z35" s="53" t="s">
        <v>90</v>
      </c>
      <c r="AA35" s="53" t="s">
        <v>78</v>
      </c>
      <c r="AB35" s="53" t="s">
        <v>237</v>
      </c>
    </row>
    <row r="36" spans="1:28" x14ac:dyDescent="0.15">
      <c r="A36" s="53" t="s">
        <v>34</v>
      </c>
      <c r="B36" s="53" t="s">
        <v>233</v>
      </c>
      <c r="C36" s="53">
        <v>2019</v>
      </c>
      <c r="D36" s="176" t="s">
        <v>372</v>
      </c>
      <c r="E36" s="53" t="s">
        <v>211</v>
      </c>
      <c r="F36" s="53" t="s">
        <v>389</v>
      </c>
      <c r="G36" s="53" t="s">
        <v>36</v>
      </c>
      <c r="H36" s="53" t="s">
        <v>160</v>
      </c>
      <c r="I36" s="53" t="s">
        <v>159</v>
      </c>
      <c r="J36" s="53" t="s">
        <v>38</v>
      </c>
      <c r="K36" s="53" t="s">
        <v>161</v>
      </c>
      <c r="L36" s="53">
        <v>2</v>
      </c>
      <c r="N36" s="53">
        <v>1</v>
      </c>
      <c r="O36" s="53">
        <v>0.45</v>
      </c>
      <c r="P36" s="53">
        <v>0.45</v>
      </c>
      <c r="Q36" s="75">
        <f t="shared" si="3"/>
        <v>0.45</v>
      </c>
      <c r="R36" s="53">
        <v>14.8</v>
      </c>
      <c r="S36" s="53">
        <v>144</v>
      </c>
      <c r="T36" s="16">
        <f t="shared" si="1"/>
        <v>30</v>
      </c>
      <c r="U36" s="53">
        <v>104</v>
      </c>
      <c r="V36" s="16">
        <f t="shared" si="2"/>
        <v>3120</v>
      </c>
      <c r="W36" s="53">
        <v>4</v>
      </c>
      <c r="X36" s="53" t="s">
        <v>46</v>
      </c>
      <c r="Y36" s="53" t="s">
        <v>102</v>
      </c>
      <c r="Z36" s="53" t="s">
        <v>90</v>
      </c>
      <c r="AA36" s="53" t="s">
        <v>78</v>
      </c>
      <c r="AB36" s="53" t="s">
        <v>237</v>
      </c>
    </row>
    <row r="37" spans="1:28" x14ac:dyDescent="0.15">
      <c r="A37" s="53" t="s">
        <v>34</v>
      </c>
      <c r="B37" s="53" t="s">
        <v>233</v>
      </c>
      <c r="C37" s="53">
        <v>2019</v>
      </c>
      <c r="D37" s="176" t="s">
        <v>372</v>
      </c>
      <c r="E37" s="53" t="s">
        <v>211</v>
      </c>
      <c r="F37" s="53" t="s">
        <v>389</v>
      </c>
      <c r="G37" s="53" t="s">
        <v>36</v>
      </c>
      <c r="H37" s="53" t="s">
        <v>160</v>
      </c>
      <c r="I37" s="53" t="s">
        <v>159</v>
      </c>
      <c r="J37" s="53" t="s">
        <v>38</v>
      </c>
      <c r="K37" s="53" t="s">
        <v>161</v>
      </c>
      <c r="L37" s="53">
        <v>3</v>
      </c>
      <c r="N37" s="53">
        <v>1</v>
      </c>
      <c r="O37" s="53">
        <v>0.5</v>
      </c>
      <c r="P37" s="53">
        <v>0.5</v>
      </c>
      <c r="Q37" s="75">
        <f>IF(OR(O37="",P37=""),"",AVERAGE(O37,P37))</f>
        <v>0.5</v>
      </c>
      <c r="R37" s="53">
        <v>17.600000000000001</v>
      </c>
      <c r="S37" s="53">
        <v>142</v>
      </c>
      <c r="T37" s="16">
        <f t="shared" si="1"/>
        <v>30</v>
      </c>
      <c r="U37" s="53">
        <v>104</v>
      </c>
      <c r="V37" s="16">
        <f t="shared" si="2"/>
        <v>3120</v>
      </c>
      <c r="W37" s="53">
        <v>4</v>
      </c>
      <c r="X37" s="53" t="s">
        <v>46</v>
      </c>
      <c r="Y37" s="53" t="s">
        <v>102</v>
      </c>
      <c r="Z37" s="53" t="s">
        <v>90</v>
      </c>
      <c r="AA37" s="53" t="s">
        <v>78</v>
      </c>
      <c r="AB37" s="53" t="s">
        <v>237</v>
      </c>
    </row>
    <row r="38" spans="1:28" x14ac:dyDescent="0.15">
      <c r="A38" s="53" t="s">
        <v>34</v>
      </c>
      <c r="B38" s="53" t="s">
        <v>233</v>
      </c>
      <c r="C38" s="53">
        <v>2019</v>
      </c>
      <c r="D38" s="176" t="s">
        <v>372</v>
      </c>
      <c r="E38" s="53" t="s">
        <v>383</v>
      </c>
      <c r="F38" s="53" t="s">
        <v>384</v>
      </c>
      <c r="G38" s="53" t="s">
        <v>36</v>
      </c>
      <c r="H38" s="53" t="s">
        <v>164</v>
      </c>
      <c r="I38" s="53" t="s">
        <v>159</v>
      </c>
      <c r="J38" s="53" t="s">
        <v>38</v>
      </c>
      <c r="K38" s="53" t="s">
        <v>161</v>
      </c>
      <c r="L38" s="53">
        <v>1</v>
      </c>
      <c r="N38" s="53">
        <v>8</v>
      </c>
      <c r="O38" s="53">
        <v>0.2</v>
      </c>
      <c r="P38" s="53">
        <v>0.2</v>
      </c>
      <c r="Q38" s="75">
        <f t="shared" ref="Q38:Q39" si="4">IF(OR(O38="",P38=""),"",AVERAGE(O38,P38))</f>
        <v>0.2</v>
      </c>
      <c r="R38" s="53">
        <v>14.5</v>
      </c>
      <c r="S38" s="53">
        <v>72</v>
      </c>
      <c r="T38" s="16">
        <f t="shared" si="1"/>
        <v>42</v>
      </c>
      <c r="U38" s="53">
        <v>429</v>
      </c>
      <c r="V38" s="16">
        <f t="shared" si="2"/>
        <v>2252.25</v>
      </c>
      <c r="W38" s="53">
        <v>1</v>
      </c>
      <c r="X38" s="53" t="s">
        <v>46</v>
      </c>
      <c r="Y38" s="53" t="s">
        <v>78</v>
      </c>
      <c r="Z38" s="53" t="s">
        <v>84</v>
      </c>
      <c r="AA38" s="53" t="s">
        <v>102</v>
      </c>
      <c r="AB38" s="53" t="s">
        <v>237</v>
      </c>
    </row>
    <row r="39" spans="1:28" x14ac:dyDescent="0.15">
      <c r="A39" s="53" t="s">
        <v>34</v>
      </c>
      <c r="B39" s="53" t="s">
        <v>233</v>
      </c>
      <c r="C39" s="53">
        <v>2019</v>
      </c>
      <c r="D39" s="176" t="s">
        <v>372</v>
      </c>
      <c r="E39" s="53" t="s">
        <v>383</v>
      </c>
      <c r="F39" s="53" t="s">
        <v>384</v>
      </c>
      <c r="G39" s="53" t="s">
        <v>36</v>
      </c>
      <c r="H39" s="53" t="s">
        <v>164</v>
      </c>
      <c r="I39" s="53" t="s">
        <v>159</v>
      </c>
      <c r="J39" s="53" t="s">
        <v>38</v>
      </c>
      <c r="K39" s="53" t="s">
        <v>161</v>
      </c>
      <c r="L39" s="53">
        <v>2</v>
      </c>
      <c r="N39" s="53">
        <v>8</v>
      </c>
      <c r="O39" s="53">
        <v>0.6</v>
      </c>
      <c r="P39" s="53">
        <v>0.7</v>
      </c>
      <c r="Q39" s="75">
        <f t="shared" si="4"/>
        <v>0.64999999999999991</v>
      </c>
      <c r="R39" s="53">
        <v>14.8</v>
      </c>
      <c r="S39" s="53">
        <v>78</v>
      </c>
      <c r="T39" s="16">
        <f t="shared" si="1"/>
        <v>39</v>
      </c>
      <c r="U39" s="53">
        <v>429</v>
      </c>
      <c r="V39" s="16">
        <f t="shared" si="2"/>
        <v>2091.375</v>
      </c>
      <c r="W39" s="53">
        <v>1</v>
      </c>
      <c r="X39" s="53" t="s">
        <v>46</v>
      </c>
      <c r="Y39" s="53" t="s">
        <v>78</v>
      </c>
      <c r="Z39" s="53" t="s">
        <v>84</v>
      </c>
      <c r="AA39" s="53" t="s">
        <v>102</v>
      </c>
      <c r="AB39" s="53" t="s">
        <v>237</v>
      </c>
    </row>
    <row r="40" spans="1:28" x14ac:dyDescent="0.15">
      <c r="A40" s="53" t="s">
        <v>34</v>
      </c>
      <c r="B40" s="53" t="s">
        <v>233</v>
      </c>
      <c r="C40" s="53">
        <v>2019</v>
      </c>
      <c r="D40" s="176" t="s">
        <v>372</v>
      </c>
      <c r="E40" s="53" t="s">
        <v>383</v>
      </c>
      <c r="F40" s="53" t="s">
        <v>384</v>
      </c>
      <c r="G40" s="53" t="s">
        <v>36</v>
      </c>
      <c r="H40" s="53" t="s">
        <v>164</v>
      </c>
      <c r="I40" s="53" t="s">
        <v>159</v>
      </c>
      <c r="J40" s="53" t="s">
        <v>38</v>
      </c>
      <c r="K40" s="53" t="s">
        <v>161</v>
      </c>
      <c r="L40" s="53">
        <v>3</v>
      </c>
      <c r="N40" s="53">
        <v>8</v>
      </c>
      <c r="O40" s="53">
        <v>0.7</v>
      </c>
      <c r="P40" s="53">
        <v>0.6</v>
      </c>
      <c r="Q40" s="75">
        <f>IF(OR(O40="",P40=""),"",AVERAGE(O40,P40))</f>
        <v>0.64999999999999991</v>
      </c>
      <c r="R40" s="53">
        <v>11.2</v>
      </c>
      <c r="S40" s="53">
        <v>80</v>
      </c>
      <c r="T40" s="16">
        <f t="shared" si="1"/>
        <v>39</v>
      </c>
      <c r="U40" s="53">
        <v>429</v>
      </c>
      <c r="V40" s="16">
        <f t="shared" si="2"/>
        <v>2091.375</v>
      </c>
      <c r="W40" s="53">
        <v>1</v>
      </c>
      <c r="X40" s="53" t="s">
        <v>46</v>
      </c>
      <c r="Y40" s="53" t="s">
        <v>78</v>
      </c>
      <c r="Z40" s="53" t="s">
        <v>84</v>
      </c>
      <c r="AA40" s="53" t="s">
        <v>102</v>
      </c>
      <c r="AB40" s="53" t="s">
        <v>237</v>
      </c>
    </row>
    <row r="41" spans="1:28" x14ac:dyDescent="0.15">
      <c r="A41" s="53" t="s">
        <v>34</v>
      </c>
      <c r="B41" s="53" t="s">
        <v>233</v>
      </c>
      <c r="C41" s="53">
        <v>2019</v>
      </c>
      <c r="D41" s="176" t="s">
        <v>372</v>
      </c>
      <c r="E41" s="53" t="s">
        <v>383</v>
      </c>
      <c r="F41" s="53" t="s">
        <v>384</v>
      </c>
      <c r="G41" s="53" t="s">
        <v>36</v>
      </c>
      <c r="H41" s="53" t="s">
        <v>160</v>
      </c>
      <c r="I41" s="53" t="s">
        <v>159</v>
      </c>
      <c r="J41" s="53" t="s">
        <v>38</v>
      </c>
      <c r="K41" s="53" t="s">
        <v>161</v>
      </c>
      <c r="L41" s="53">
        <v>1</v>
      </c>
      <c r="N41" s="53">
        <v>1</v>
      </c>
      <c r="O41" s="53">
        <v>0.2</v>
      </c>
      <c r="P41" s="53">
        <v>0.2</v>
      </c>
      <c r="Q41" s="75">
        <f t="shared" si="0"/>
        <v>0.2</v>
      </c>
      <c r="R41" s="53">
        <v>15</v>
      </c>
      <c r="S41" s="53">
        <v>142</v>
      </c>
      <c r="T41" s="16">
        <f t="shared" si="1"/>
        <v>30</v>
      </c>
      <c r="U41" s="53">
        <v>105</v>
      </c>
      <c r="V41" s="16">
        <f t="shared" si="2"/>
        <v>3150</v>
      </c>
      <c r="W41" s="53">
        <v>8</v>
      </c>
      <c r="X41" s="53" t="s">
        <v>46</v>
      </c>
      <c r="Y41" s="53" t="s">
        <v>78</v>
      </c>
      <c r="Z41" s="53" t="s">
        <v>84</v>
      </c>
      <c r="AA41" s="53" t="s">
        <v>102</v>
      </c>
      <c r="AB41" s="53" t="s">
        <v>237</v>
      </c>
    </row>
    <row r="42" spans="1:28" x14ac:dyDescent="0.15">
      <c r="A42" s="53" t="s">
        <v>34</v>
      </c>
      <c r="B42" s="53" t="s">
        <v>233</v>
      </c>
      <c r="C42" s="53">
        <v>2019</v>
      </c>
      <c r="D42" s="176" t="s">
        <v>372</v>
      </c>
      <c r="E42" s="53" t="s">
        <v>383</v>
      </c>
      <c r="F42" s="53" t="s">
        <v>384</v>
      </c>
      <c r="G42" s="53" t="s">
        <v>36</v>
      </c>
      <c r="H42" s="53" t="s">
        <v>160</v>
      </c>
      <c r="I42" s="53" t="s">
        <v>159</v>
      </c>
      <c r="J42" s="53" t="s">
        <v>38</v>
      </c>
      <c r="K42" s="53" t="s">
        <v>161</v>
      </c>
      <c r="L42" s="53">
        <v>2</v>
      </c>
      <c r="N42" s="53">
        <v>1</v>
      </c>
      <c r="O42" s="53">
        <v>0.45</v>
      </c>
      <c r="P42" s="53">
        <v>0.45</v>
      </c>
      <c r="Q42" s="75">
        <f t="shared" si="0"/>
        <v>0.45</v>
      </c>
      <c r="R42" s="53">
        <v>15.9</v>
      </c>
      <c r="S42" s="53">
        <v>144</v>
      </c>
      <c r="T42" s="16">
        <f t="shared" si="1"/>
        <v>30</v>
      </c>
      <c r="U42" s="53">
        <v>105</v>
      </c>
      <c r="V42" s="16">
        <f t="shared" si="2"/>
        <v>3150</v>
      </c>
      <c r="W42" s="53">
        <v>8</v>
      </c>
      <c r="X42" s="53" t="s">
        <v>46</v>
      </c>
      <c r="Y42" s="53" t="s">
        <v>78</v>
      </c>
      <c r="Z42" s="53" t="s">
        <v>84</v>
      </c>
      <c r="AA42" s="53" t="s">
        <v>102</v>
      </c>
      <c r="AB42" s="53" t="s">
        <v>237</v>
      </c>
    </row>
    <row r="43" spans="1:28" x14ac:dyDescent="0.15">
      <c r="A43" s="53" t="s">
        <v>34</v>
      </c>
      <c r="B43" s="53" t="s">
        <v>233</v>
      </c>
      <c r="C43" s="53">
        <v>2019</v>
      </c>
      <c r="D43" s="176" t="s">
        <v>372</v>
      </c>
      <c r="E43" s="53" t="s">
        <v>383</v>
      </c>
      <c r="F43" s="53" t="s">
        <v>384</v>
      </c>
      <c r="G43" s="53" t="s">
        <v>36</v>
      </c>
      <c r="H43" s="53" t="s">
        <v>160</v>
      </c>
      <c r="I43" s="53" t="s">
        <v>159</v>
      </c>
      <c r="J43" s="53" t="s">
        <v>38</v>
      </c>
      <c r="K43" s="53" t="s">
        <v>161</v>
      </c>
      <c r="L43" s="53">
        <v>3</v>
      </c>
      <c r="N43" s="53">
        <v>1</v>
      </c>
      <c r="O43" s="53">
        <v>0.2</v>
      </c>
      <c r="P43" s="53">
        <v>0.2</v>
      </c>
      <c r="Q43" s="75">
        <f t="shared" si="0"/>
        <v>0.2</v>
      </c>
      <c r="R43" s="53">
        <v>16.100000000000001</v>
      </c>
      <c r="S43" s="53">
        <v>142</v>
      </c>
      <c r="T43" s="16">
        <f t="shared" si="1"/>
        <v>30</v>
      </c>
      <c r="U43" s="53">
        <v>105</v>
      </c>
      <c r="V43" s="16">
        <f t="shared" si="2"/>
        <v>3150</v>
      </c>
      <c r="W43" s="53">
        <v>8</v>
      </c>
      <c r="X43" s="53" t="s">
        <v>46</v>
      </c>
      <c r="Y43" s="53" t="s">
        <v>78</v>
      </c>
      <c r="Z43" s="53" t="s">
        <v>84</v>
      </c>
      <c r="AA43" s="53" t="s">
        <v>102</v>
      </c>
      <c r="AB43" s="53" t="s">
        <v>237</v>
      </c>
    </row>
    <row r="44" spans="1:28" x14ac:dyDescent="0.15">
      <c r="A44" s="53" t="s">
        <v>34</v>
      </c>
      <c r="B44" s="53" t="s">
        <v>233</v>
      </c>
      <c r="C44" s="53">
        <v>2019</v>
      </c>
      <c r="D44" s="176" t="s">
        <v>372</v>
      </c>
      <c r="E44" s="53" t="s">
        <v>383</v>
      </c>
      <c r="F44" s="53" t="s">
        <v>384</v>
      </c>
      <c r="G44" s="53" t="s">
        <v>36</v>
      </c>
      <c r="H44" s="53" t="s">
        <v>160</v>
      </c>
      <c r="I44" s="53" t="s">
        <v>159</v>
      </c>
      <c r="J44" s="53" t="s">
        <v>38</v>
      </c>
      <c r="K44" s="53" t="s">
        <v>161</v>
      </c>
      <c r="L44" s="53">
        <v>1</v>
      </c>
      <c r="N44" s="53">
        <v>8</v>
      </c>
      <c r="O44" s="53">
        <v>0.2</v>
      </c>
      <c r="P44" s="53">
        <v>0.2</v>
      </c>
      <c r="Q44" s="75">
        <f t="shared" si="0"/>
        <v>0.2</v>
      </c>
      <c r="R44" s="53">
        <v>14.1</v>
      </c>
      <c r="S44" s="53">
        <v>114</v>
      </c>
      <c r="T44" s="16">
        <f t="shared" si="1"/>
        <v>30</v>
      </c>
      <c r="U44" s="53">
        <v>646</v>
      </c>
      <c r="V44" s="16">
        <f t="shared" si="2"/>
        <v>2422.5</v>
      </c>
      <c r="W44" s="53">
        <v>8</v>
      </c>
      <c r="X44" s="53" t="s">
        <v>46</v>
      </c>
      <c r="Y44" s="53" t="s">
        <v>78</v>
      </c>
      <c r="Z44" s="53" t="s">
        <v>84</v>
      </c>
      <c r="AA44" s="53" t="s">
        <v>102</v>
      </c>
      <c r="AB44" s="53" t="s">
        <v>237</v>
      </c>
    </row>
    <row r="45" spans="1:28" x14ac:dyDescent="0.15">
      <c r="A45" s="53" t="s">
        <v>34</v>
      </c>
      <c r="B45" s="53" t="s">
        <v>233</v>
      </c>
      <c r="C45" s="53">
        <v>2019</v>
      </c>
      <c r="D45" s="176" t="s">
        <v>372</v>
      </c>
      <c r="E45" s="53" t="s">
        <v>383</v>
      </c>
      <c r="F45" s="53" t="s">
        <v>384</v>
      </c>
      <c r="G45" s="53" t="s">
        <v>36</v>
      </c>
      <c r="H45" s="53" t="s">
        <v>160</v>
      </c>
      <c r="I45" s="53" t="s">
        <v>159</v>
      </c>
      <c r="J45" s="53" t="s">
        <v>38</v>
      </c>
      <c r="K45" s="53" t="s">
        <v>161</v>
      </c>
      <c r="L45" s="53">
        <v>2</v>
      </c>
      <c r="N45" s="53">
        <v>8</v>
      </c>
      <c r="O45" s="53">
        <v>0.2</v>
      </c>
      <c r="P45" s="53">
        <v>0.2</v>
      </c>
      <c r="Q45" s="75">
        <f t="shared" si="0"/>
        <v>0.2</v>
      </c>
      <c r="R45" s="53">
        <v>14.3</v>
      </c>
      <c r="S45" s="53">
        <v>106</v>
      </c>
      <c r="T45" s="16">
        <f t="shared" si="1"/>
        <v>33</v>
      </c>
      <c r="U45" s="53">
        <v>646</v>
      </c>
      <c r="V45" s="16">
        <f t="shared" si="2"/>
        <v>2664.75</v>
      </c>
      <c r="W45" s="53">
        <v>8</v>
      </c>
      <c r="X45" s="53" t="s">
        <v>46</v>
      </c>
      <c r="Y45" s="53" t="s">
        <v>78</v>
      </c>
      <c r="Z45" s="53" t="s">
        <v>84</v>
      </c>
      <c r="AA45" s="53" t="s">
        <v>102</v>
      </c>
      <c r="AB45" s="53" t="s">
        <v>237</v>
      </c>
    </row>
    <row r="46" spans="1:28" x14ac:dyDescent="0.15">
      <c r="A46" s="53" t="s">
        <v>34</v>
      </c>
      <c r="B46" s="53" t="s">
        <v>233</v>
      </c>
      <c r="C46" s="53">
        <v>2019</v>
      </c>
      <c r="D46" s="176" t="s">
        <v>372</v>
      </c>
      <c r="E46" s="53" t="s">
        <v>383</v>
      </c>
      <c r="F46" s="53" t="s">
        <v>384</v>
      </c>
      <c r="G46" s="53" t="s">
        <v>36</v>
      </c>
      <c r="H46" s="53" t="s">
        <v>160</v>
      </c>
      <c r="I46" s="53" t="s">
        <v>159</v>
      </c>
      <c r="J46" s="53" t="s">
        <v>38</v>
      </c>
      <c r="K46" s="53" t="s">
        <v>161</v>
      </c>
      <c r="L46" s="53">
        <v>3</v>
      </c>
      <c r="N46" s="53">
        <v>8</v>
      </c>
      <c r="O46" s="53">
        <v>0.2</v>
      </c>
      <c r="P46" s="53">
        <v>0.2</v>
      </c>
      <c r="Q46" s="75">
        <f t="shared" si="0"/>
        <v>0.2</v>
      </c>
      <c r="R46" s="53">
        <v>14.3</v>
      </c>
      <c r="S46" s="53">
        <v>110</v>
      </c>
      <c r="T46" s="16">
        <f t="shared" si="1"/>
        <v>33</v>
      </c>
      <c r="U46" s="53">
        <v>646</v>
      </c>
      <c r="V46" s="16">
        <f t="shared" si="2"/>
        <v>2664.75</v>
      </c>
      <c r="W46" s="53">
        <v>8</v>
      </c>
      <c r="X46" s="53" t="s">
        <v>46</v>
      </c>
      <c r="Y46" s="53" t="s">
        <v>78</v>
      </c>
      <c r="Z46" s="53" t="s">
        <v>84</v>
      </c>
      <c r="AA46" s="53" t="s">
        <v>102</v>
      </c>
      <c r="AB46" s="53" t="s">
        <v>237</v>
      </c>
    </row>
    <row r="47" spans="1:28" x14ac:dyDescent="0.15">
      <c r="A47" s="53" t="s">
        <v>34</v>
      </c>
      <c r="B47" s="53" t="s">
        <v>233</v>
      </c>
      <c r="C47" s="53">
        <v>2019</v>
      </c>
      <c r="D47" s="176" t="s">
        <v>372</v>
      </c>
      <c r="E47" s="53" t="s">
        <v>363</v>
      </c>
      <c r="F47" s="53" t="s">
        <v>374</v>
      </c>
      <c r="G47" s="53" t="s">
        <v>36</v>
      </c>
      <c r="H47" s="53" t="s">
        <v>164</v>
      </c>
      <c r="I47" s="53" t="s">
        <v>159</v>
      </c>
      <c r="J47" s="53" t="s">
        <v>38</v>
      </c>
      <c r="K47" s="53" t="s">
        <v>161</v>
      </c>
      <c r="L47" s="53">
        <v>1</v>
      </c>
      <c r="N47" s="53">
        <v>1</v>
      </c>
      <c r="O47" s="53">
        <v>0.2</v>
      </c>
      <c r="P47" s="53">
        <v>0.45</v>
      </c>
      <c r="Q47" s="75">
        <f t="shared" si="0"/>
        <v>0.32500000000000001</v>
      </c>
      <c r="R47" s="53">
        <v>14.5</v>
      </c>
      <c r="S47" s="53">
        <v>94</v>
      </c>
      <c r="T47" s="16">
        <f t="shared" si="1"/>
        <v>36</v>
      </c>
      <c r="U47" s="53">
        <v>63</v>
      </c>
      <c r="V47" s="16">
        <f t="shared" si="2"/>
        <v>2268</v>
      </c>
      <c r="W47" s="53">
        <v>2</v>
      </c>
      <c r="X47" s="53" t="s">
        <v>39</v>
      </c>
      <c r="Y47" s="53" t="s">
        <v>78</v>
      </c>
      <c r="Z47" s="53" t="s">
        <v>84</v>
      </c>
      <c r="AA47" s="53" t="s">
        <v>90</v>
      </c>
      <c r="AB47" s="53" t="s">
        <v>237</v>
      </c>
    </row>
    <row r="48" spans="1:28" x14ac:dyDescent="0.15">
      <c r="A48" s="53" t="s">
        <v>34</v>
      </c>
      <c r="B48" s="53" t="s">
        <v>233</v>
      </c>
      <c r="C48" s="53">
        <v>2019</v>
      </c>
      <c r="D48" s="176" t="s">
        <v>372</v>
      </c>
      <c r="E48" s="53" t="s">
        <v>363</v>
      </c>
      <c r="F48" s="53" t="s">
        <v>374</v>
      </c>
      <c r="G48" s="53" t="s">
        <v>36</v>
      </c>
      <c r="H48" s="53" t="s">
        <v>164</v>
      </c>
      <c r="I48" s="53" t="s">
        <v>159</v>
      </c>
      <c r="J48" s="53" t="s">
        <v>38</v>
      </c>
      <c r="K48" s="53" t="s">
        <v>161</v>
      </c>
      <c r="L48" s="53">
        <v>2</v>
      </c>
      <c r="N48" s="53">
        <v>1</v>
      </c>
      <c r="O48" s="53">
        <v>0.5</v>
      </c>
      <c r="P48" s="53">
        <v>0.5</v>
      </c>
      <c r="Q48" s="75">
        <f t="shared" si="0"/>
        <v>0.5</v>
      </c>
      <c r="R48" s="53">
        <v>14.7</v>
      </c>
      <c r="S48" s="53">
        <v>94</v>
      </c>
      <c r="T48" s="16">
        <f t="shared" si="1"/>
        <v>36</v>
      </c>
      <c r="U48" s="53">
        <v>63</v>
      </c>
      <c r="V48" s="16">
        <f t="shared" si="2"/>
        <v>2268</v>
      </c>
      <c r="W48" s="53">
        <v>2</v>
      </c>
      <c r="X48" s="53" t="s">
        <v>39</v>
      </c>
      <c r="Y48" s="53" t="s">
        <v>78</v>
      </c>
      <c r="Z48" s="53" t="s">
        <v>84</v>
      </c>
      <c r="AA48" s="53" t="s">
        <v>90</v>
      </c>
      <c r="AB48" s="53" t="s">
        <v>237</v>
      </c>
    </row>
    <row r="49" spans="1:28" x14ac:dyDescent="0.15">
      <c r="A49" s="53" t="s">
        <v>34</v>
      </c>
      <c r="B49" s="53" t="s">
        <v>233</v>
      </c>
      <c r="C49" s="53">
        <v>2019</v>
      </c>
      <c r="D49" s="176" t="s">
        <v>372</v>
      </c>
      <c r="E49" s="53" t="s">
        <v>363</v>
      </c>
      <c r="F49" s="53" t="s">
        <v>374</v>
      </c>
      <c r="G49" s="53" t="s">
        <v>36</v>
      </c>
      <c r="H49" s="53" t="s">
        <v>164</v>
      </c>
      <c r="I49" s="53" t="s">
        <v>159</v>
      </c>
      <c r="J49" s="53" t="s">
        <v>38</v>
      </c>
      <c r="K49" s="53" t="s">
        <v>161</v>
      </c>
      <c r="L49" s="53">
        <v>3</v>
      </c>
      <c r="N49" s="53">
        <v>1</v>
      </c>
      <c r="O49" s="53">
        <v>0.95</v>
      </c>
      <c r="P49" s="53">
        <v>0.95</v>
      </c>
      <c r="Q49" s="75">
        <f t="shared" si="0"/>
        <v>0.95</v>
      </c>
      <c r="R49" s="53">
        <v>14</v>
      </c>
      <c r="S49" s="53">
        <v>95</v>
      </c>
      <c r="T49" s="16">
        <f t="shared" si="1"/>
        <v>36</v>
      </c>
      <c r="U49" s="53">
        <v>63</v>
      </c>
      <c r="V49" s="16">
        <f t="shared" si="2"/>
        <v>2268</v>
      </c>
      <c r="W49" s="53">
        <v>2</v>
      </c>
      <c r="X49" s="53" t="s">
        <v>39</v>
      </c>
      <c r="Y49" s="53" t="s">
        <v>78</v>
      </c>
      <c r="Z49" s="53" t="s">
        <v>84</v>
      </c>
      <c r="AA49" s="53" t="s">
        <v>90</v>
      </c>
      <c r="AB49" s="53" t="s">
        <v>237</v>
      </c>
    </row>
    <row r="50" spans="1:28" x14ac:dyDescent="0.15">
      <c r="A50" s="53" t="s">
        <v>34</v>
      </c>
      <c r="B50" s="53" t="s">
        <v>233</v>
      </c>
      <c r="C50" s="53">
        <v>2019</v>
      </c>
      <c r="D50" s="176" t="s">
        <v>372</v>
      </c>
      <c r="E50" s="53" t="s">
        <v>363</v>
      </c>
      <c r="F50" s="53" t="s">
        <v>374</v>
      </c>
      <c r="G50" s="53" t="s">
        <v>36</v>
      </c>
      <c r="H50" s="53" t="s">
        <v>160</v>
      </c>
      <c r="I50" s="53" t="s">
        <v>159</v>
      </c>
      <c r="J50" s="53" t="s">
        <v>38</v>
      </c>
      <c r="K50" s="53" t="s">
        <v>161</v>
      </c>
      <c r="L50" s="53">
        <v>1</v>
      </c>
      <c r="N50" s="53">
        <v>1</v>
      </c>
      <c r="O50" s="53">
        <v>0.45</v>
      </c>
      <c r="P50" s="53">
        <v>0.45</v>
      </c>
      <c r="Q50" s="75">
        <f t="shared" si="0"/>
        <v>0.45</v>
      </c>
      <c r="R50" s="53">
        <v>15.4</v>
      </c>
      <c r="S50" s="53">
        <v>108</v>
      </c>
      <c r="T50" s="16">
        <f t="shared" si="1"/>
        <v>33</v>
      </c>
      <c r="U50" s="53">
        <v>95</v>
      </c>
      <c r="V50" s="16">
        <f t="shared" si="2"/>
        <v>3135</v>
      </c>
      <c r="W50" s="53">
        <v>2</v>
      </c>
      <c r="X50" s="53" t="s">
        <v>39</v>
      </c>
      <c r="Y50" s="53" t="s">
        <v>78</v>
      </c>
      <c r="Z50" s="53" t="s">
        <v>84</v>
      </c>
      <c r="AA50" s="53" t="s">
        <v>90</v>
      </c>
      <c r="AB50" s="53" t="s">
        <v>237</v>
      </c>
    </row>
    <row r="51" spans="1:28" x14ac:dyDescent="0.15">
      <c r="A51" s="53" t="s">
        <v>34</v>
      </c>
      <c r="B51" s="53" t="s">
        <v>233</v>
      </c>
      <c r="C51" s="53">
        <v>2019</v>
      </c>
      <c r="D51" s="176" t="s">
        <v>372</v>
      </c>
      <c r="E51" s="53" t="s">
        <v>363</v>
      </c>
      <c r="F51" s="53" t="s">
        <v>374</v>
      </c>
      <c r="G51" s="53" t="s">
        <v>36</v>
      </c>
      <c r="H51" s="53" t="s">
        <v>160</v>
      </c>
      <c r="I51" s="53" t="s">
        <v>159</v>
      </c>
      <c r="J51" s="53" t="s">
        <v>38</v>
      </c>
      <c r="K51" s="53" t="s">
        <v>161</v>
      </c>
      <c r="L51" s="53">
        <v>2</v>
      </c>
      <c r="N51" s="53">
        <v>1</v>
      </c>
      <c r="O51" s="53">
        <v>0.2</v>
      </c>
      <c r="P51" s="53">
        <v>0.2</v>
      </c>
      <c r="Q51" s="75">
        <f t="shared" si="0"/>
        <v>0.2</v>
      </c>
      <c r="R51" s="53">
        <v>16.100000000000001</v>
      </c>
      <c r="S51" s="53">
        <v>106</v>
      </c>
      <c r="T51" s="16">
        <f t="shared" si="1"/>
        <v>33</v>
      </c>
      <c r="U51" s="53">
        <v>95</v>
      </c>
      <c r="V51" s="16">
        <f t="shared" si="2"/>
        <v>3135</v>
      </c>
      <c r="W51" s="53">
        <v>2</v>
      </c>
      <c r="X51" s="53" t="s">
        <v>39</v>
      </c>
      <c r="Y51" s="53" t="s">
        <v>78</v>
      </c>
      <c r="Z51" s="53" t="s">
        <v>84</v>
      </c>
      <c r="AA51" s="53" t="s">
        <v>90</v>
      </c>
      <c r="AB51" s="53" t="s">
        <v>237</v>
      </c>
    </row>
    <row r="52" spans="1:28" x14ac:dyDescent="0.15">
      <c r="A52" s="53" t="s">
        <v>34</v>
      </c>
      <c r="B52" s="53" t="s">
        <v>233</v>
      </c>
      <c r="C52" s="53">
        <v>2019</v>
      </c>
      <c r="D52" s="176" t="s">
        <v>372</v>
      </c>
      <c r="E52" s="53" t="s">
        <v>363</v>
      </c>
      <c r="F52" s="53" t="s">
        <v>374</v>
      </c>
      <c r="G52" s="53" t="s">
        <v>36</v>
      </c>
      <c r="H52" s="53" t="s">
        <v>160</v>
      </c>
      <c r="I52" s="53" t="s">
        <v>159</v>
      </c>
      <c r="J52" s="53" t="s">
        <v>38</v>
      </c>
      <c r="K52" s="53" t="s">
        <v>161</v>
      </c>
      <c r="L52" s="53">
        <v>3</v>
      </c>
      <c r="N52" s="53">
        <v>1</v>
      </c>
      <c r="O52" s="53">
        <v>0.2</v>
      </c>
      <c r="P52" s="53">
        <v>0.2</v>
      </c>
      <c r="Q52" s="75">
        <f t="shared" si="0"/>
        <v>0.2</v>
      </c>
      <c r="R52" s="53">
        <v>15.8</v>
      </c>
      <c r="S52" s="53">
        <v>106</v>
      </c>
      <c r="T52" s="16">
        <f t="shared" si="1"/>
        <v>33</v>
      </c>
      <c r="U52" s="53">
        <v>95</v>
      </c>
      <c r="V52" s="16">
        <f t="shared" si="2"/>
        <v>3135</v>
      </c>
      <c r="W52" s="53">
        <v>2</v>
      </c>
      <c r="X52" s="53" t="s">
        <v>39</v>
      </c>
      <c r="Y52" s="53" t="s">
        <v>78</v>
      </c>
      <c r="Z52" s="53" t="s">
        <v>84</v>
      </c>
      <c r="AA52" s="53" t="s">
        <v>90</v>
      </c>
      <c r="AB52" s="53" t="s">
        <v>237</v>
      </c>
    </row>
    <row r="53" spans="1:28" x14ac:dyDescent="0.15">
      <c r="A53" s="53" t="s">
        <v>34</v>
      </c>
      <c r="B53" s="53" t="s">
        <v>233</v>
      </c>
      <c r="C53" s="53">
        <v>2019</v>
      </c>
      <c r="D53" s="176" t="s">
        <v>372</v>
      </c>
      <c r="E53" s="53" t="s">
        <v>381</v>
      </c>
      <c r="F53" s="53" t="s">
        <v>382</v>
      </c>
      <c r="G53" s="53" t="s">
        <v>36</v>
      </c>
      <c r="H53" s="53" t="s">
        <v>164</v>
      </c>
      <c r="I53" s="53" t="s">
        <v>159</v>
      </c>
      <c r="J53" s="53" t="s">
        <v>38</v>
      </c>
      <c r="K53" s="53" t="s">
        <v>161</v>
      </c>
      <c r="L53" s="53">
        <v>1</v>
      </c>
      <c r="N53" s="53">
        <v>1</v>
      </c>
      <c r="O53" s="53">
        <v>0.5</v>
      </c>
      <c r="P53" s="53">
        <v>0.75</v>
      </c>
      <c r="Q53" s="75">
        <f t="shared" si="0"/>
        <v>0.625</v>
      </c>
      <c r="R53" s="53">
        <v>14.8</v>
      </c>
      <c r="S53" s="53">
        <v>108</v>
      </c>
      <c r="T53" s="16">
        <f t="shared" si="1"/>
        <v>33</v>
      </c>
      <c r="U53" s="53">
        <v>105</v>
      </c>
      <c r="V53" s="16">
        <f t="shared" si="2"/>
        <v>3465</v>
      </c>
      <c r="W53" s="53">
        <v>3</v>
      </c>
      <c r="X53" s="53" t="s">
        <v>46</v>
      </c>
      <c r="Y53" s="53" t="s">
        <v>102</v>
      </c>
      <c r="Z53" s="53" t="s">
        <v>78</v>
      </c>
      <c r="AA53" s="53" t="s">
        <v>90</v>
      </c>
      <c r="AB53" s="53" t="s">
        <v>237</v>
      </c>
    </row>
    <row r="54" spans="1:28" x14ac:dyDescent="0.15">
      <c r="A54" s="53" t="s">
        <v>34</v>
      </c>
      <c r="B54" s="53" t="s">
        <v>233</v>
      </c>
      <c r="C54" s="53">
        <v>2019</v>
      </c>
      <c r="D54" s="176" t="s">
        <v>372</v>
      </c>
      <c r="E54" s="53" t="s">
        <v>381</v>
      </c>
      <c r="F54" s="53" t="s">
        <v>382</v>
      </c>
      <c r="G54" s="53" t="s">
        <v>36</v>
      </c>
      <c r="H54" s="53" t="s">
        <v>164</v>
      </c>
      <c r="I54" s="53" t="s">
        <v>159</v>
      </c>
      <c r="J54" s="53" t="s">
        <v>38</v>
      </c>
      <c r="K54" s="53" t="s">
        <v>161</v>
      </c>
      <c r="L54" s="53">
        <v>2</v>
      </c>
      <c r="N54" s="53">
        <v>1</v>
      </c>
      <c r="O54" s="53">
        <v>1.4</v>
      </c>
      <c r="P54" s="53">
        <v>1.35</v>
      </c>
      <c r="Q54" s="75">
        <f t="shared" si="0"/>
        <v>1.375</v>
      </c>
      <c r="R54" s="53">
        <v>14.5</v>
      </c>
      <c r="S54" s="53">
        <v>106</v>
      </c>
      <c r="T54" s="16">
        <f t="shared" si="1"/>
        <v>33</v>
      </c>
      <c r="U54" s="53">
        <v>105</v>
      </c>
      <c r="V54" s="16">
        <f t="shared" si="2"/>
        <v>3465</v>
      </c>
      <c r="W54" s="53">
        <v>3</v>
      </c>
      <c r="X54" s="53" t="s">
        <v>46</v>
      </c>
      <c r="Y54" s="53" t="s">
        <v>102</v>
      </c>
      <c r="Z54" s="53" t="s">
        <v>78</v>
      </c>
      <c r="AA54" s="53" t="s">
        <v>90</v>
      </c>
      <c r="AB54" s="53" t="s">
        <v>237</v>
      </c>
    </row>
    <row r="55" spans="1:28" x14ac:dyDescent="0.15">
      <c r="A55" s="53" t="s">
        <v>34</v>
      </c>
      <c r="B55" s="53" t="s">
        <v>233</v>
      </c>
      <c r="C55" s="53">
        <v>2019</v>
      </c>
      <c r="D55" s="176" t="s">
        <v>372</v>
      </c>
      <c r="E55" s="53" t="s">
        <v>381</v>
      </c>
      <c r="F55" s="53" t="s">
        <v>382</v>
      </c>
      <c r="G55" s="53" t="s">
        <v>36</v>
      </c>
      <c r="H55" s="53" t="s">
        <v>164</v>
      </c>
      <c r="I55" s="53" t="s">
        <v>159</v>
      </c>
      <c r="J55" s="53" t="s">
        <v>38</v>
      </c>
      <c r="K55" s="53" t="s">
        <v>161</v>
      </c>
      <c r="L55" s="53">
        <v>3</v>
      </c>
      <c r="N55" s="53">
        <v>1</v>
      </c>
      <c r="O55" s="53">
        <v>0.9</v>
      </c>
      <c r="P55" s="53">
        <v>0.65</v>
      </c>
      <c r="Q55" s="75">
        <f t="shared" si="0"/>
        <v>0.77500000000000002</v>
      </c>
      <c r="R55" s="53">
        <v>14.2</v>
      </c>
      <c r="S55" s="53">
        <v>110</v>
      </c>
      <c r="T55" s="16">
        <f t="shared" si="1"/>
        <v>33</v>
      </c>
      <c r="U55" s="53">
        <v>105</v>
      </c>
      <c r="V55" s="16">
        <f t="shared" si="2"/>
        <v>3465</v>
      </c>
      <c r="W55" s="53">
        <v>3</v>
      </c>
      <c r="X55" s="53" t="s">
        <v>46</v>
      </c>
      <c r="Y55" s="53" t="s">
        <v>102</v>
      </c>
      <c r="Z55" s="53" t="s">
        <v>78</v>
      </c>
      <c r="AA55" s="53" t="s">
        <v>90</v>
      </c>
      <c r="AB55" s="53" t="s">
        <v>237</v>
      </c>
    </row>
    <row r="56" spans="1:28" x14ac:dyDescent="0.15">
      <c r="A56" s="53" t="s">
        <v>34</v>
      </c>
      <c r="B56" s="53" t="s">
        <v>233</v>
      </c>
      <c r="C56" s="53">
        <v>2019</v>
      </c>
      <c r="D56" s="176" t="s">
        <v>372</v>
      </c>
      <c r="E56" s="53" t="s">
        <v>381</v>
      </c>
      <c r="F56" s="53" t="s">
        <v>382</v>
      </c>
      <c r="G56" s="53" t="s">
        <v>36</v>
      </c>
      <c r="H56" s="53" t="s">
        <v>164</v>
      </c>
      <c r="I56" s="53" t="s">
        <v>159</v>
      </c>
      <c r="J56" s="53" t="s">
        <v>38</v>
      </c>
      <c r="K56" s="53" t="s">
        <v>161</v>
      </c>
      <c r="L56" s="53">
        <v>1</v>
      </c>
      <c r="N56" s="53">
        <v>4</v>
      </c>
      <c r="O56" s="53">
        <v>0.55000000000000004</v>
      </c>
      <c r="P56" s="53">
        <v>0.75</v>
      </c>
      <c r="Q56" s="75">
        <f t="shared" si="0"/>
        <v>0.65</v>
      </c>
      <c r="R56" s="53">
        <v>13.7</v>
      </c>
      <c r="S56" s="53">
        <v>108</v>
      </c>
      <c r="T56" s="16">
        <f t="shared" si="1"/>
        <v>33</v>
      </c>
      <c r="U56" s="53">
        <v>410</v>
      </c>
      <c r="V56" s="16">
        <f t="shared" si="2"/>
        <v>3382.5</v>
      </c>
      <c r="W56" s="53">
        <v>3</v>
      </c>
      <c r="X56" s="53" t="s">
        <v>46</v>
      </c>
      <c r="Y56" s="53" t="s">
        <v>102</v>
      </c>
      <c r="Z56" s="53" t="s">
        <v>78</v>
      </c>
      <c r="AA56" s="53" t="s">
        <v>90</v>
      </c>
      <c r="AB56" s="53" t="s">
        <v>237</v>
      </c>
    </row>
    <row r="57" spans="1:28" x14ac:dyDescent="0.15">
      <c r="A57" s="53" t="s">
        <v>34</v>
      </c>
      <c r="B57" s="53" t="s">
        <v>233</v>
      </c>
      <c r="C57" s="53">
        <v>2019</v>
      </c>
      <c r="D57" s="176" t="s">
        <v>372</v>
      </c>
      <c r="E57" s="53" t="s">
        <v>381</v>
      </c>
      <c r="F57" s="53" t="s">
        <v>382</v>
      </c>
      <c r="G57" s="53" t="s">
        <v>36</v>
      </c>
      <c r="H57" s="53" t="s">
        <v>164</v>
      </c>
      <c r="I57" s="53" t="s">
        <v>159</v>
      </c>
      <c r="J57" s="53" t="s">
        <v>38</v>
      </c>
      <c r="K57" s="53" t="s">
        <v>161</v>
      </c>
      <c r="L57" s="53">
        <v>2</v>
      </c>
      <c r="N57" s="53">
        <v>4</v>
      </c>
      <c r="O57" s="53">
        <v>0.5</v>
      </c>
      <c r="P57" s="53">
        <v>0.45</v>
      </c>
      <c r="Q57" s="75">
        <f t="shared" si="0"/>
        <v>0.47499999999999998</v>
      </c>
      <c r="R57" s="53">
        <v>14.6</v>
      </c>
      <c r="S57" s="53">
        <v>110</v>
      </c>
      <c r="T57" s="16">
        <f t="shared" si="1"/>
        <v>33</v>
      </c>
      <c r="U57" s="53">
        <v>410</v>
      </c>
      <c r="V57" s="16">
        <f t="shared" si="2"/>
        <v>3382.5</v>
      </c>
      <c r="W57" s="53">
        <v>3</v>
      </c>
      <c r="X57" s="53" t="s">
        <v>46</v>
      </c>
      <c r="Y57" s="53" t="s">
        <v>102</v>
      </c>
      <c r="Z57" s="53" t="s">
        <v>78</v>
      </c>
      <c r="AA57" s="53" t="s">
        <v>90</v>
      </c>
      <c r="AB57" s="53" t="s">
        <v>237</v>
      </c>
    </row>
    <row r="58" spans="1:28" x14ac:dyDescent="0.15">
      <c r="A58" s="53" t="s">
        <v>34</v>
      </c>
      <c r="B58" s="53" t="s">
        <v>233</v>
      </c>
      <c r="C58" s="53">
        <v>2019</v>
      </c>
      <c r="D58" s="176" t="s">
        <v>372</v>
      </c>
      <c r="E58" s="53" t="s">
        <v>381</v>
      </c>
      <c r="F58" s="53" t="s">
        <v>382</v>
      </c>
      <c r="G58" s="53" t="s">
        <v>36</v>
      </c>
      <c r="H58" s="53" t="s">
        <v>164</v>
      </c>
      <c r="I58" s="53" t="s">
        <v>159</v>
      </c>
      <c r="J58" s="53" t="s">
        <v>38</v>
      </c>
      <c r="K58" s="53" t="s">
        <v>161</v>
      </c>
      <c r="L58" s="53">
        <v>3</v>
      </c>
      <c r="N58" s="53">
        <v>4</v>
      </c>
      <c r="O58" s="53">
        <v>0.7</v>
      </c>
      <c r="P58" s="53">
        <v>0.7</v>
      </c>
      <c r="Q58" s="75">
        <f t="shared" si="0"/>
        <v>0.7</v>
      </c>
      <c r="R58" s="53">
        <v>15.7</v>
      </c>
      <c r="S58" s="53">
        <v>108</v>
      </c>
      <c r="T58" s="16">
        <f t="shared" si="1"/>
        <v>33</v>
      </c>
      <c r="U58" s="53">
        <v>410</v>
      </c>
      <c r="V58" s="16">
        <f t="shared" si="2"/>
        <v>3382.5</v>
      </c>
      <c r="W58" s="53">
        <v>3</v>
      </c>
      <c r="X58" s="53" t="s">
        <v>46</v>
      </c>
      <c r="Y58" s="53" t="s">
        <v>102</v>
      </c>
      <c r="Z58" s="53" t="s">
        <v>78</v>
      </c>
      <c r="AA58" s="53" t="s">
        <v>90</v>
      </c>
      <c r="AB58" s="53" t="s">
        <v>237</v>
      </c>
    </row>
    <row r="59" spans="1:28" x14ac:dyDescent="0.15">
      <c r="A59" s="53" t="s">
        <v>34</v>
      </c>
      <c r="B59" s="53" t="s">
        <v>233</v>
      </c>
      <c r="C59" s="53">
        <v>2019</v>
      </c>
      <c r="D59" s="176" t="s">
        <v>372</v>
      </c>
      <c r="E59" s="53" t="s">
        <v>381</v>
      </c>
      <c r="F59" s="53" t="s">
        <v>382</v>
      </c>
      <c r="G59" s="53" t="s">
        <v>36</v>
      </c>
      <c r="H59" s="53" t="s">
        <v>160</v>
      </c>
      <c r="I59" s="53" t="s">
        <v>159</v>
      </c>
      <c r="J59" s="53" t="s">
        <v>38</v>
      </c>
      <c r="K59" s="53" t="s">
        <v>161</v>
      </c>
      <c r="L59" s="53">
        <v>1</v>
      </c>
      <c r="N59" s="53">
        <v>1</v>
      </c>
      <c r="O59" s="53">
        <v>0.6</v>
      </c>
      <c r="P59" s="53">
        <v>0.6</v>
      </c>
      <c r="Q59" s="75">
        <f t="shared" si="0"/>
        <v>0.6</v>
      </c>
      <c r="R59" s="53">
        <v>14.5</v>
      </c>
      <c r="S59" s="53">
        <v>99</v>
      </c>
      <c r="T59" s="16">
        <f t="shared" si="1"/>
        <v>33</v>
      </c>
      <c r="U59" s="53">
        <v>105</v>
      </c>
      <c r="V59" s="16">
        <f t="shared" si="2"/>
        <v>3465</v>
      </c>
      <c r="W59" s="53">
        <v>3</v>
      </c>
      <c r="X59" s="53" t="s">
        <v>46</v>
      </c>
      <c r="Y59" s="53" t="s">
        <v>102</v>
      </c>
      <c r="Z59" s="53" t="s">
        <v>78</v>
      </c>
      <c r="AA59" s="53" t="s">
        <v>90</v>
      </c>
      <c r="AB59" s="53" t="s">
        <v>237</v>
      </c>
    </row>
    <row r="60" spans="1:28" x14ac:dyDescent="0.15">
      <c r="A60" s="53" t="s">
        <v>34</v>
      </c>
      <c r="B60" s="53" t="s">
        <v>233</v>
      </c>
      <c r="C60" s="53">
        <v>2019</v>
      </c>
      <c r="D60" s="176" t="s">
        <v>372</v>
      </c>
      <c r="E60" s="53" t="s">
        <v>381</v>
      </c>
      <c r="F60" s="53" t="s">
        <v>382</v>
      </c>
      <c r="G60" s="53" t="s">
        <v>36</v>
      </c>
      <c r="H60" s="53" t="s">
        <v>160</v>
      </c>
      <c r="I60" s="53" t="s">
        <v>159</v>
      </c>
      <c r="J60" s="53" t="s">
        <v>38</v>
      </c>
      <c r="K60" s="53" t="s">
        <v>161</v>
      </c>
      <c r="L60" s="53">
        <v>2</v>
      </c>
      <c r="N60" s="53">
        <v>1</v>
      </c>
      <c r="O60" s="53">
        <v>0.65</v>
      </c>
      <c r="P60" s="53">
        <v>0.7</v>
      </c>
      <c r="Q60" s="75">
        <f t="shared" si="0"/>
        <v>0.67500000000000004</v>
      </c>
      <c r="R60" s="53">
        <v>14.2</v>
      </c>
      <c r="S60" s="53">
        <v>106</v>
      </c>
      <c r="T60" s="16">
        <f t="shared" si="1"/>
        <v>33</v>
      </c>
      <c r="U60" s="53">
        <v>105</v>
      </c>
      <c r="V60" s="16">
        <f t="shared" si="2"/>
        <v>3465</v>
      </c>
      <c r="W60" s="53">
        <v>3</v>
      </c>
      <c r="X60" s="53" t="s">
        <v>46</v>
      </c>
      <c r="Y60" s="53" t="s">
        <v>102</v>
      </c>
      <c r="Z60" s="53" t="s">
        <v>78</v>
      </c>
      <c r="AA60" s="53" t="s">
        <v>90</v>
      </c>
      <c r="AB60" s="53" t="s">
        <v>237</v>
      </c>
    </row>
    <row r="61" spans="1:28" x14ac:dyDescent="0.15">
      <c r="A61" s="53" t="s">
        <v>34</v>
      </c>
      <c r="B61" s="53" t="s">
        <v>233</v>
      </c>
      <c r="C61" s="53">
        <v>2019</v>
      </c>
      <c r="D61" s="176" t="s">
        <v>372</v>
      </c>
      <c r="E61" s="53" t="s">
        <v>381</v>
      </c>
      <c r="F61" s="53" t="s">
        <v>382</v>
      </c>
      <c r="G61" s="53" t="s">
        <v>36</v>
      </c>
      <c r="H61" s="53" t="s">
        <v>160</v>
      </c>
      <c r="I61" s="53" t="s">
        <v>159</v>
      </c>
      <c r="J61" s="53" t="s">
        <v>38</v>
      </c>
      <c r="K61" s="53" t="s">
        <v>161</v>
      </c>
      <c r="L61" s="53">
        <v>3</v>
      </c>
      <c r="N61" s="53">
        <v>1</v>
      </c>
      <c r="O61" s="53">
        <v>1</v>
      </c>
      <c r="P61" s="53">
        <v>0.55000000000000004</v>
      </c>
      <c r="Q61" s="75">
        <f t="shared" si="0"/>
        <v>0.77500000000000002</v>
      </c>
      <c r="R61" s="53">
        <v>14.2</v>
      </c>
      <c r="S61" s="53">
        <v>99</v>
      </c>
      <c r="T61" s="16">
        <f t="shared" si="1"/>
        <v>33</v>
      </c>
      <c r="U61" s="53">
        <v>105</v>
      </c>
      <c r="V61" s="16">
        <f t="shared" si="2"/>
        <v>3465</v>
      </c>
      <c r="W61" s="53">
        <v>3</v>
      </c>
      <c r="X61" s="53" t="s">
        <v>46</v>
      </c>
      <c r="Y61" s="53" t="s">
        <v>102</v>
      </c>
      <c r="Z61" s="53" t="s">
        <v>78</v>
      </c>
      <c r="AA61" s="53" t="s">
        <v>90</v>
      </c>
      <c r="AB61" s="53" t="s">
        <v>237</v>
      </c>
    </row>
    <row r="62" spans="1:28" x14ac:dyDescent="0.15">
      <c r="A62" s="53" t="s">
        <v>34</v>
      </c>
      <c r="B62" s="53" t="s">
        <v>233</v>
      </c>
      <c r="C62" s="53">
        <v>2019</v>
      </c>
      <c r="D62" s="176" t="s">
        <v>372</v>
      </c>
      <c r="E62" s="53" t="s">
        <v>381</v>
      </c>
      <c r="F62" s="53" t="s">
        <v>382</v>
      </c>
      <c r="G62" s="53" t="s">
        <v>36</v>
      </c>
      <c r="H62" s="53" t="s">
        <v>160</v>
      </c>
      <c r="I62" s="53" t="s">
        <v>159</v>
      </c>
      <c r="J62" s="53" t="s">
        <v>38</v>
      </c>
      <c r="K62" s="53" t="s">
        <v>161</v>
      </c>
      <c r="L62" s="53">
        <v>1</v>
      </c>
      <c r="N62" s="53">
        <v>4</v>
      </c>
      <c r="O62" s="53">
        <v>0.2</v>
      </c>
      <c r="P62" s="53">
        <v>0.2</v>
      </c>
      <c r="Q62" s="75">
        <f t="shared" si="0"/>
        <v>0.2</v>
      </c>
      <c r="R62" s="53">
        <v>17.100000000000001</v>
      </c>
      <c r="S62" s="53">
        <v>100</v>
      </c>
      <c r="T62" s="16">
        <f t="shared" si="1"/>
        <v>33</v>
      </c>
      <c r="U62" s="53">
        <v>410</v>
      </c>
      <c r="V62" s="16">
        <f t="shared" si="2"/>
        <v>3382.5</v>
      </c>
      <c r="W62" s="53">
        <v>3</v>
      </c>
      <c r="X62" s="53" t="s">
        <v>46</v>
      </c>
      <c r="Y62" s="53" t="s">
        <v>102</v>
      </c>
      <c r="Z62" s="53" t="s">
        <v>78</v>
      </c>
      <c r="AA62" s="53" t="s">
        <v>90</v>
      </c>
      <c r="AB62" s="53" t="s">
        <v>237</v>
      </c>
    </row>
    <row r="63" spans="1:28" x14ac:dyDescent="0.15">
      <c r="A63" s="53" t="s">
        <v>34</v>
      </c>
      <c r="B63" s="53" t="s">
        <v>233</v>
      </c>
      <c r="C63" s="53">
        <v>2019</v>
      </c>
      <c r="D63" s="176" t="s">
        <v>372</v>
      </c>
      <c r="E63" s="53" t="s">
        <v>381</v>
      </c>
      <c r="F63" s="53" t="s">
        <v>382</v>
      </c>
      <c r="G63" s="53" t="s">
        <v>36</v>
      </c>
      <c r="H63" s="53" t="s">
        <v>160</v>
      </c>
      <c r="I63" s="53" t="s">
        <v>159</v>
      </c>
      <c r="J63" s="53" t="s">
        <v>38</v>
      </c>
      <c r="K63" s="53" t="s">
        <v>161</v>
      </c>
      <c r="L63" s="53">
        <v>2</v>
      </c>
      <c r="N63" s="53">
        <v>4</v>
      </c>
      <c r="O63" s="53">
        <v>0.7</v>
      </c>
      <c r="P63" s="53">
        <v>0.75</v>
      </c>
      <c r="Q63" s="75">
        <f t="shared" si="0"/>
        <v>0.72499999999999998</v>
      </c>
      <c r="R63" s="53">
        <v>17.100000000000001</v>
      </c>
      <c r="S63" s="53">
        <v>102</v>
      </c>
      <c r="T63" s="16">
        <f t="shared" si="1"/>
        <v>33</v>
      </c>
      <c r="U63" s="53">
        <v>410</v>
      </c>
      <c r="V63" s="16">
        <f t="shared" si="2"/>
        <v>3382.5</v>
      </c>
      <c r="W63" s="53">
        <v>3</v>
      </c>
      <c r="X63" s="53" t="s">
        <v>46</v>
      </c>
      <c r="Y63" s="53" t="s">
        <v>102</v>
      </c>
      <c r="Z63" s="53" t="s">
        <v>78</v>
      </c>
      <c r="AA63" s="53" t="s">
        <v>90</v>
      </c>
      <c r="AB63" s="53" t="s">
        <v>237</v>
      </c>
    </row>
    <row r="64" spans="1:28" x14ac:dyDescent="0.15">
      <c r="A64" s="53" t="s">
        <v>34</v>
      </c>
      <c r="B64" s="53" t="s">
        <v>233</v>
      </c>
      <c r="C64" s="53">
        <v>2019</v>
      </c>
      <c r="D64" s="176" t="s">
        <v>372</v>
      </c>
      <c r="E64" s="53" t="s">
        <v>381</v>
      </c>
      <c r="F64" s="53" t="s">
        <v>382</v>
      </c>
      <c r="G64" s="53" t="s">
        <v>36</v>
      </c>
      <c r="H64" s="53" t="s">
        <v>160</v>
      </c>
      <c r="I64" s="53" t="s">
        <v>159</v>
      </c>
      <c r="J64" s="53" t="s">
        <v>38</v>
      </c>
      <c r="K64" s="53" t="s">
        <v>161</v>
      </c>
      <c r="L64" s="53">
        <v>3</v>
      </c>
      <c r="N64" s="53">
        <v>4</v>
      </c>
      <c r="O64" s="53">
        <v>0.65</v>
      </c>
      <c r="P64" s="53">
        <v>0.7</v>
      </c>
      <c r="Q64" s="75">
        <f t="shared" si="0"/>
        <v>0.67500000000000004</v>
      </c>
      <c r="R64" s="53">
        <v>15.4</v>
      </c>
      <c r="S64" s="53">
        <v>102</v>
      </c>
      <c r="T64" s="16">
        <f t="shared" si="1"/>
        <v>33</v>
      </c>
      <c r="U64" s="53">
        <v>410</v>
      </c>
      <c r="V64" s="16">
        <f t="shared" si="2"/>
        <v>3382.5</v>
      </c>
      <c r="W64" s="53">
        <v>3</v>
      </c>
      <c r="X64" s="53" t="s">
        <v>46</v>
      </c>
      <c r="Y64" s="53" t="s">
        <v>102</v>
      </c>
      <c r="Z64" s="53" t="s">
        <v>78</v>
      </c>
      <c r="AA64" s="53" t="s">
        <v>90</v>
      </c>
      <c r="AB64" s="53" t="s">
        <v>237</v>
      </c>
    </row>
    <row r="65" spans="1:28" x14ac:dyDescent="0.15">
      <c r="A65" s="53" t="s">
        <v>34</v>
      </c>
      <c r="B65" s="53" t="s">
        <v>233</v>
      </c>
      <c r="C65" s="53">
        <v>2019</v>
      </c>
      <c r="D65" s="176" t="s">
        <v>372</v>
      </c>
      <c r="E65" s="53" t="s">
        <v>379</v>
      </c>
      <c r="F65" s="53" t="s">
        <v>380</v>
      </c>
      <c r="G65" s="53" t="s">
        <v>36</v>
      </c>
      <c r="H65" s="53" t="s">
        <v>164</v>
      </c>
      <c r="I65" s="53" t="s">
        <v>159</v>
      </c>
      <c r="J65" s="53" t="s">
        <v>38</v>
      </c>
      <c r="K65" s="53" t="s">
        <v>161</v>
      </c>
      <c r="L65" s="53">
        <v>1</v>
      </c>
      <c r="N65" s="53">
        <v>1</v>
      </c>
      <c r="O65" s="53">
        <v>0.5</v>
      </c>
      <c r="P65" s="53">
        <v>0.55000000000000004</v>
      </c>
      <c r="Q65" s="75">
        <f t="shared" si="0"/>
        <v>0.52500000000000002</v>
      </c>
      <c r="R65" s="53">
        <v>14</v>
      </c>
      <c r="S65" s="53">
        <v>134</v>
      </c>
      <c r="T65" s="16">
        <f t="shared" si="1"/>
        <v>30</v>
      </c>
      <c r="U65" s="53">
        <v>127</v>
      </c>
      <c r="V65" s="16">
        <f t="shared" si="2"/>
        <v>3810</v>
      </c>
      <c r="W65" s="53">
        <v>2</v>
      </c>
      <c r="X65" s="53" t="s">
        <v>46</v>
      </c>
      <c r="Y65" s="53" t="s">
        <v>78</v>
      </c>
      <c r="Z65" s="53" t="s">
        <v>102</v>
      </c>
      <c r="AA65" s="53" t="s">
        <v>69</v>
      </c>
      <c r="AB65" s="53" t="s">
        <v>237</v>
      </c>
    </row>
    <row r="66" spans="1:28" x14ac:dyDescent="0.15">
      <c r="A66" s="53" t="s">
        <v>34</v>
      </c>
      <c r="B66" s="53" t="s">
        <v>233</v>
      </c>
      <c r="C66" s="53">
        <v>2019</v>
      </c>
      <c r="D66" s="176" t="s">
        <v>372</v>
      </c>
      <c r="E66" s="53" t="s">
        <v>379</v>
      </c>
      <c r="F66" s="53" t="s">
        <v>380</v>
      </c>
      <c r="G66" s="53" t="s">
        <v>36</v>
      </c>
      <c r="H66" s="53" t="s">
        <v>164</v>
      </c>
      <c r="I66" s="53" t="s">
        <v>159</v>
      </c>
      <c r="J66" s="53" t="s">
        <v>38</v>
      </c>
      <c r="K66" s="53" t="s">
        <v>161</v>
      </c>
      <c r="L66" s="53">
        <v>2</v>
      </c>
      <c r="N66" s="53">
        <v>1</v>
      </c>
      <c r="O66" s="53">
        <v>0.6</v>
      </c>
      <c r="P66" s="53">
        <v>0.6</v>
      </c>
      <c r="Q66" s="75">
        <f t="shared" si="0"/>
        <v>0.6</v>
      </c>
      <c r="R66" s="53">
        <v>14.5</v>
      </c>
      <c r="S66" s="53">
        <v>142</v>
      </c>
      <c r="T66" s="16">
        <f t="shared" si="1"/>
        <v>30</v>
      </c>
      <c r="U66" s="53">
        <v>127</v>
      </c>
      <c r="V66" s="16">
        <f t="shared" si="2"/>
        <v>3810</v>
      </c>
      <c r="W66" s="53">
        <v>2</v>
      </c>
      <c r="X66" s="53" t="s">
        <v>46</v>
      </c>
      <c r="Y66" s="53" t="s">
        <v>78</v>
      </c>
      <c r="Z66" s="53" t="s">
        <v>102</v>
      </c>
      <c r="AA66" s="53" t="s">
        <v>69</v>
      </c>
      <c r="AB66" s="53" t="s">
        <v>237</v>
      </c>
    </row>
    <row r="67" spans="1:28" x14ac:dyDescent="0.15">
      <c r="A67" s="53" t="s">
        <v>34</v>
      </c>
      <c r="B67" s="53" t="s">
        <v>233</v>
      </c>
      <c r="C67" s="53">
        <v>2019</v>
      </c>
      <c r="D67" s="176" t="s">
        <v>372</v>
      </c>
      <c r="E67" s="53" t="s">
        <v>379</v>
      </c>
      <c r="F67" s="53" t="s">
        <v>380</v>
      </c>
      <c r="G67" s="53" t="s">
        <v>36</v>
      </c>
      <c r="H67" s="53" t="s">
        <v>164</v>
      </c>
      <c r="I67" s="53" t="s">
        <v>159</v>
      </c>
      <c r="J67" s="53" t="s">
        <v>38</v>
      </c>
      <c r="K67" s="53" t="s">
        <v>161</v>
      </c>
      <c r="L67" s="53">
        <v>3</v>
      </c>
      <c r="N67" s="53">
        <v>1</v>
      </c>
      <c r="O67" s="53">
        <v>0.75</v>
      </c>
      <c r="P67" s="53">
        <v>0.7</v>
      </c>
      <c r="Q67" s="75">
        <f t="shared" si="0"/>
        <v>0.72499999999999998</v>
      </c>
      <c r="R67" s="53">
        <v>15.1</v>
      </c>
      <c r="S67" s="53">
        <v>140</v>
      </c>
      <c r="T67" s="16">
        <f t="shared" si="1"/>
        <v>30</v>
      </c>
      <c r="U67" s="53">
        <v>127</v>
      </c>
      <c r="V67" s="16">
        <f t="shared" si="2"/>
        <v>3810</v>
      </c>
      <c r="W67" s="53">
        <v>2</v>
      </c>
      <c r="X67" s="53" t="s">
        <v>46</v>
      </c>
      <c r="Y67" s="53" t="s">
        <v>78</v>
      </c>
      <c r="Z67" s="53" t="s">
        <v>102</v>
      </c>
      <c r="AA67" s="53" t="s">
        <v>69</v>
      </c>
      <c r="AB67" s="53" t="s">
        <v>237</v>
      </c>
    </row>
    <row r="68" spans="1:28" x14ac:dyDescent="0.15">
      <c r="A68" s="53" t="s">
        <v>34</v>
      </c>
      <c r="B68" s="53" t="s">
        <v>233</v>
      </c>
      <c r="C68" s="53">
        <v>2019</v>
      </c>
      <c r="D68" s="176" t="s">
        <v>372</v>
      </c>
      <c r="E68" s="53" t="s">
        <v>379</v>
      </c>
      <c r="F68" s="53" t="s">
        <v>380</v>
      </c>
      <c r="G68" s="53" t="s">
        <v>36</v>
      </c>
      <c r="H68" s="53" t="s">
        <v>160</v>
      </c>
      <c r="I68" s="53" t="s">
        <v>159</v>
      </c>
      <c r="J68" s="53" t="s">
        <v>38</v>
      </c>
      <c r="K68" s="53" t="s">
        <v>161</v>
      </c>
      <c r="L68" s="53">
        <v>1</v>
      </c>
      <c r="N68" s="53">
        <v>1</v>
      </c>
      <c r="O68" s="53">
        <v>0.5</v>
      </c>
      <c r="P68" s="53">
        <v>0.2</v>
      </c>
      <c r="Q68" s="75">
        <f t="shared" si="0"/>
        <v>0.35</v>
      </c>
      <c r="R68" s="53">
        <v>16.3</v>
      </c>
      <c r="S68" s="53">
        <v>180</v>
      </c>
      <c r="T68" s="16">
        <f t="shared" si="1"/>
        <v>18</v>
      </c>
      <c r="U68" s="53">
        <v>138</v>
      </c>
      <c r="V68" s="16">
        <f t="shared" si="2"/>
        <v>2484</v>
      </c>
      <c r="W68" s="53">
        <v>4</v>
      </c>
      <c r="X68" s="53" t="s">
        <v>46</v>
      </c>
      <c r="Y68" s="53" t="s">
        <v>78</v>
      </c>
      <c r="Z68" s="53" t="s">
        <v>102</v>
      </c>
      <c r="AA68" s="53" t="s">
        <v>69</v>
      </c>
      <c r="AB68" s="53" t="s">
        <v>237</v>
      </c>
    </row>
    <row r="69" spans="1:28" x14ac:dyDescent="0.15">
      <c r="A69" s="53" t="s">
        <v>34</v>
      </c>
      <c r="B69" s="53" t="s">
        <v>233</v>
      </c>
      <c r="C69" s="53">
        <v>2019</v>
      </c>
      <c r="D69" s="176" t="s">
        <v>372</v>
      </c>
      <c r="E69" s="53" t="s">
        <v>379</v>
      </c>
      <c r="F69" s="53" t="s">
        <v>380</v>
      </c>
      <c r="G69" s="53" t="s">
        <v>36</v>
      </c>
      <c r="H69" s="53" t="s">
        <v>160</v>
      </c>
      <c r="I69" s="53" t="s">
        <v>159</v>
      </c>
      <c r="J69" s="53" t="s">
        <v>38</v>
      </c>
      <c r="K69" s="53" t="s">
        <v>161</v>
      </c>
      <c r="L69" s="53">
        <v>2</v>
      </c>
      <c r="N69" s="53">
        <v>1</v>
      </c>
      <c r="O69" s="53">
        <v>0.5</v>
      </c>
      <c r="P69" s="53">
        <v>0.55000000000000004</v>
      </c>
      <c r="Q69" s="75">
        <f t="shared" si="0"/>
        <v>0.52500000000000002</v>
      </c>
      <c r="R69" s="53">
        <v>15.2</v>
      </c>
      <c r="S69" s="53">
        <v>160</v>
      </c>
      <c r="T69" s="16">
        <f t="shared" si="1"/>
        <v>18</v>
      </c>
      <c r="U69" s="53">
        <v>138</v>
      </c>
      <c r="V69" s="16">
        <f t="shared" si="2"/>
        <v>2484</v>
      </c>
      <c r="W69" s="53">
        <v>4</v>
      </c>
      <c r="X69" s="53" t="s">
        <v>46</v>
      </c>
      <c r="Y69" s="53" t="s">
        <v>78</v>
      </c>
      <c r="Z69" s="53" t="s">
        <v>102</v>
      </c>
      <c r="AA69" s="53" t="s">
        <v>69</v>
      </c>
      <c r="AB69" s="53" t="s">
        <v>237</v>
      </c>
    </row>
    <row r="70" spans="1:28" x14ac:dyDescent="0.15">
      <c r="A70" s="53" t="s">
        <v>34</v>
      </c>
      <c r="B70" s="53" t="s">
        <v>233</v>
      </c>
      <c r="C70" s="53">
        <v>2019</v>
      </c>
      <c r="D70" s="176" t="s">
        <v>372</v>
      </c>
      <c r="E70" s="53" t="s">
        <v>379</v>
      </c>
      <c r="F70" s="53" t="s">
        <v>380</v>
      </c>
      <c r="G70" s="53" t="s">
        <v>36</v>
      </c>
      <c r="H70" s="53" t="s">
        <v>160</v>
      </c>
      <c r="I70" s="53" t="s">
        <v>159</v>
      </c>
      <c r="J70" s="53" t="s">
        <v>38</v>
      </c>
      <c r="K70" s="53" t="s">
        <v>161</v>
      </c>
      <c r="L70" s="53">
        <v>3</v>
      </c>
      <c r="N70" s="53">
        <v>1</v>
      </c>
      <c r="O70" s="53">
        <v>0.5</v>
      </c>
      <c r="P70" s="53">
        <v>0.55000000000000004</v>
      </c>
      <c r="Q70" s="75">
        <f t="shared" si="0"/>
        <v>0.52500000000000002</v>
      </c>
      <c r="R70" s="53">
        <v>15.9</v>
      </c>
      <c r="S70" s="53">
        <v>150</v>
      </c>
      <c r="T70" s="16">
        <f t="shared" si="1"/>
        <v>30</v>
      </c>
      <c r="U70" s="53">
        <v>138</v>
      </c>
      <c r="V70" s="16">
        <f t="shared" si="2"/>
        <v>4140</v>
      </c>
      <c r="W70" s="53">
        <v>4</v>
      </c>
      <c r="X70" s="53" t="s">
        <v>46</v>
      </c>
      <c r="Y70" s="53" t="s">
        <v>78</v>
      </c>
      <c r="Z70" s="53" t="s">
        <v>102</v>
      </c>
      <c r="AA70" s="53" t="s">
        <v>69</v>
      </c>
      <c r="AB70" s="53" t="s">
        <v>237</v>
      </c>
    </row>
    <row r="71" spans="1:28" x14ac:dyDescent="0.15">
      <c r="A71" s="53" t="s">
        <v>34</v>
      </c>
      <c r="B71" s="53" t="s">
        <v>233</v>
      </c>
      <c r="C71" s="53">
        <v>2019</v>
      </c>
      <c r="D71" s="176" t="s">
        <v>372</v>
      </c>
      <c r="E71" s="53" t="s">
        <v>379</v>
      </c>
      <c r="F71" s="53" t="s">
        <v>380</v>
      </c>
      <c r="G71" s="53" t="s">
        <v>36</v>
      </c>
      <c r="H71" s="53" t="s">
        <v>160</v>
      </c>
      <c r="I71" s="53" t="s">
        <v>159</v>
      </c>
      <c r="J71" s="53" t="s">
        <v>38</v>
      </c>
      <c r="K71" s="53" t="s">
        <v>161</v>
      </c>
      <c r="L71" s="53">
        <v>1</v>
      </c>
      <c r="N71" s="53">
        <v>4</v>
      </c>
      <c r="O71" s="53">
        <v>0.5</v>
      </c>
      <c r="P71" s="53">
        <v>0.2</v>
      </c>
      <c r="Q71" s="75">
        <f t="shared" si="0"/>
        <v>0.35</v>
      </c>
      <c r="R71" s="53">
        <v>15</v>
      </c>
      <c r="S71" s="53">
        <v>152</v>
      </c>
      <c r="T71" s="16">
        <f t="shared" si="1"/>
        <v>18</v>
      </c>
      <c r="U71" s="53">
        <v>538</v>
      </c>
      <c r="V71" s="16">
        <f t="shared" si="2"/>
        <v>2421</v>
      </c>
      <c r="W71" s="53">
        <v>4</v>
      </c>
      <c r="X71" s="53" t="s">
        <v>46</v>
      </c>
      <c r="Y71" s="53" t="s">
        <v>78</v>
      </c>
      <c r="Z71" s="53" t="s">
        <v>102</v>
      </c>
      <c r="AA71" s="53" t="s">
        <v>69</v>
      </c>
      <c r="AB71" s="53" t="s">
        <v>237</v>
      </c>
    </row>
    <row r="72" spans="1:28" x14ac:dyDescent="0.15">
      <c r="A72" s="53" t="s">
        <v>34</v>
      </c>
      <c r="B72" s="53" t="s">
        <v>233</v>
      </c>
      <c r="C72" s="53">
        <v>2019</v>
      </c>
      <c r="D72" s="176" t="s">
        <v>372</v>
      </c>
      <c r="E72" s="53" t="s">
        <v>379</v>
      </c>
      <c r="F72" s="53" t="s">
        <v>380</v>
      </c>
      <c r="G72" s="53" t="s">
        <v>36</v>
      </c>
      <c r="H72" s="53" t="s">
        <v>160</v>
      </c>
      <c r="I72" s="53" t="s">
        <v>159</v>
      </c>
      <c r="J72" s="53" t="s">
        <v>38</v>
      </c>
      <c r="K72" s="53" t="s">
        <v>161</v>
      </c>
      <c r="L72" s="53">
        <v>2</v>
      </c>
      <c r="N72" s="53">
        <v>4</v>
      </c>
      <c r="O72" s="53">
        <v>0.2</v>
      </c>
      <c r="P72" s="53">
        <v>0.2</v>
      </c>
      <c r="Q72" s="75">
        <f t="shared" si="0"/>
        <v>0.2</v>
      </c>
      <c r="R72" s="53">
        <v>15.9</v>
      </c>
      <c r="S72" s="53">
        <v>166</v>
      </c>
      <c r="T72" s="16">
        <f t="shared" si="1"/>
        <v>18</v>
      </c>
      <c r="U72" s="53">
        <v>538</v>
      </c>
      <c r="V72" s="16">
        <f t="shared" si="2"/>
        <v>2421</v>
      </c>
      <c r="W72" s="53">
        <v>4</v>
      </c>
      <c r="X72" s="53" t="s">
        <v>46</v>
      </c>
      <c r="Y72" s="53" t="s">
        <v>78</v>
      </c>
      <c r="Z72" s="53" t="s">
        <v>102</v>
      </c>
      <c r="AA72" s="53" t="s">
        <v>69</v>
      </c>
      <c r="AB72" s="53" t="s">
        <v>237</v>
      </c>
    </row>
    <row r="73" spans="1:28" x14ac:dyDescent="0.15">
      <c r="A73" s="53" t="s">
        <v>34</v>
      </c>
      <c r="B73" s="53" t="s">
        <v>233</v>
      </c>
      <c r="C73" s="53">
        <v>2019</v>
      </c>
      <c r="D73" s="176" t="s">
        <v>372</v>
      </c>
      <c r="E73" s="53" t="s">
        <v>379</v>
      </c>
      <c r="F73" s="53" t="s">
        <v>380</v>
      </c>
      <c r="G73" s="53" t="s">
        <v>36</v>
      </c>
      <c r="H73" s="53" t="s">
        <v>160</v>
      </c>
      <c r="I73" s="53" t="s">
        <v>159</v>
      </c>
      <c r="J73" s="53" t="s">
        <v>38</v>
      </c>
      <c r="K73" s="53" t="s">
        <v>161</v>
      </c>
      <c r="L73" s="53">
        <v>3</v>
      </c>
      <c r="N73" s="53">
        <v>4</v>
      </c>
      <c r="O73" s="53">
        <v>0.2</v>
      </c>
      <c r="P73" s="53">
        <v>0.2</v>
      </c>
      <c r="Q73" s="75">
        <f t="shared" si="0"/>
        <v>0.2</v>
      </c>
      <c r="R73" s="53">
        <v>16.600000000000001</v>
      </c>
      <c r="S73" s="53">
        <v>152</v>
      </c>
      <c r="T73" s="16">
        <f t="shared" si="1"/>
        <v>18</v>
      </c>
      <c r="U73" s="53">
        <v>538</v>
      </c>
      <c r="V73" s="16">
        <f t="shared" si="2"/>
        <v>2421</v>
      </c>
      <c r="W73" s="53">
        <v>4</v>
      </c>
      <c r="X73" s="53" t="s">
        <v>46</v>
      </c>
      <c r="Y73" s="53" t="s">
        <v>78</v>
      </c>
      <c r="Z73" s="53" t="s">
        <v>102</v>
      </c>
      <c r="AA73" s="53" t="s">
        <v>69</v>
      </c>
      <c r="AB73" s="53" t="s">
        <v>237</v>
      </c>
    </row>
    <row r="74" spans="1:28" x14ac:dyDescent="0.15">
      <c r="A74" s="53" t="s">
        <v>34</v>
      </c>
      <c r="B74" s="53" t="s">
        <v>233</v>
      </c>
      <c r="C74" s="53">
        <v>2019</v>
      </c>
      <c r="D74" s="176" t="s">
        <v>372</v>
      </c>
      <c r="E74" s="53" t="s">
        <v>375</v>
      </c>
      <c r="F74" s="53" t="s">
        <v>376</v>
      </c>
      <c r="G74" s="53" t="s">
        <v>36</v>
      </c>
      <c r="H74" s="53" t="s">
        <v>164</v>
      </c>
      <c r="I74" s="53" t="s">
        <v>159</v>
      </c>
      <c r="J74" s="53" t="s">
        <v>38</v>
      </c>
      <c r="K74" s="53" t="s">
        <v>161</v>
      </c>
      <c r="L74" s="53">
        <v>1</v>
      </c>
      <c r="N74" s="53">
        <v>1</v>
      </c>
      <c r="O74" s="53">
        <v>0.65</v>
      </c>
      <c r="P74" s="53">
        <v>0.9</v>
      </c>
      <c r="Q74" s="75">
        <f t="shared" si="0"/>
        <v>0.77500000000000002</v>
      </c>
      <c r="R74" s="53">
        <v>14.4</v>
      </c>
      <c r="S74" s="53">
        <v>130</v>
      </c>
      <c r="T74" s="16">
        <f t="shared" si="1"/>
        <v>30</v>
      </c>
      <c r="U74" s="53">
        <v>108</v>
      </c>
      <c r="V74" s="16">
        <f t="shared" si="2"/>
        <v>3240</v>
      </c>
      <c r="W74" s="53">
        <v>1</v>
      </c>
      <c r="X74" s="53" t="s">
        <v>46</v>
      </c>
      <c r="Y74" s="53" t="s">
        <v>78</v>
      </c>
      <c r="Z74" s="53" t="s">
        <v>88</v>
      </c>
      <c r="AA74" s="53" t="s">
        <v>102</v>
      </c>
      <c r="AB74" s="53" t="s">
        <v>237</v>
      </c>
    </row>
    <row r="75" spans="1:28" x14ac:dyDescent="0.15">
      <c r="A75" s="53" t="s">
        <v>34</v>
      </c>
      <c r="B75" s="53" t="s">
        <v>233</v>
      </c>
      <c r="C75" s="53">
        <v>2019</v>
      </c>
      <c r="D75" s="176" t="s">
        <v>372</v>
      </c>
      <c r="E75" s="53" t="s">
        <v>375</v>
      </c>
      <c r="F75" s="53" t="s">
        <v>376</v>
      </c>
      <c r="G75" s="53" t="s">
        <v>36</v>
      </c>
      <c r="H75" s="53" t="s">
        <v>164</v>
      </c>
      <c r="I75" s="53" t="s">
        <v>159</v>
      </c>
      <c r="J75" s="53" t="s">
        <v>38</v>
      </c>
      <c r="K75" s="53" t="s">
        <v>161</v>
      </c>
      <c r="L75" s="53">
        <v>2</v>
      </c>
      <c r="N75" s="53">
        <v>1</v>
      </c>
      <c r="O75" s="53">
        <v>0.9</v>
      </c>
      <c r="P75" s="53">
        <v>1</v>
      </c>
      <c r="Q75" s="75">
        <f t="shared" si="0"/>
        <v>0.95</v>
      </c>
      <c r="R75" s="53">
        <v>13.7</v>
      </c>
      <c r="S75" s="53">
        <v>132</v>
      </c>
      <c r="T75" s="16">
        <f t="shared" si="1"/>
        <v>30</v>
      </c>
      <c r="U75" s="53">
        <v>108</v>
      </c>
      <c r="V75" s="16">
        <f t="shared" si="2"/>
        <v>3240</v>
      </c>
      <c r="W75" s="53">
        <v>1</v>
      </c>
      <c r="X75" s="53" t="s">
        <v>46</v>
      </c>
      <c r="Y75" s="53" t="s">
        <v>78</v>
      </c>
      <c r="Z75" s="53" t="s">
        <v>88</v>
      </c>
      <c r="AA75" s="53" t="s">
        <v>102</v>
      </c>
      <c r="AB75" s="53" t="s">
        <v>237</v>
      </c>
    </row>
    <row r="76" spans="1:28" x14ac:dyDescent="0.15">
      <c r="A76" s="53" t="s">
        <v>34</v>
      </c>
      <c r="B76" s="53" t="s">
        <v>233</v>
      </c>
      <c r="C76" s="53">
        <v>2019</v>
      </c>
      <c r="D76" s="176" t="s">
        <v>372</v>
      </c>
      <c r="E76" s="53" t="s">
        <v>375</v>
      </c>
      <c r="F76" s="53" t="s">
        <v>376</v>
      </c>
      <c r="G76" s="53" t="s">
        <v>36</v>
      </c>
      <c r="H76" s="53" t="s">
        <v>164</v>
      </c>
      <c r="I76" s="53" t="s">
        <v>159</v>
      </c>
      <c r="J76" s="53" t="s">
        <v>38</v>
      </c>
      <c r="K76" s="53" t="s">
        <v>161</v>
      </c>
      <c r="L76" s="53">
        <v>3</v>
      </c>
      <c r="N76" s="53">
        <v>1</v>
      </c>
      <c r="O76" s="53">
        <v>0.75</v>
      </c>
      <c r="P76" s="53">
        <v>1</v>
      </c>
      <c r="Q76" s="75">
        <f t="shared" si="0"/>
        <v>0.875</v>
      </c>
      <c r="R76" s="53">
        <v>14.3</v>
      </c>
      <c r="S76" s="53">
        <v>128</v>
      </c>
      <c r="T76" s="16">
        <f t="shared" si="1"/>
        <v>30</v>
      </c>
      <c r="U76" s="53">
        <v>108</v>
      </c>
      <c r="V76" s="16">
        <f t="shared" si="2"/>
        <v>3240</v>
      </c>
      <c r="W76" s="53">
        <v>1</v>
      </c>
      <c r="X76" s="53" t="s">
        <v>46</v>
      </c>
      <c r="Y76" s="53" t="s">
        <v>78</v>
      </c>
      <c r="Z76" s="53" t="s">
        <v>88</v>
      </c>
      <c r="AA76" s="53" t="s">
        <v>102</v>
      </c>
      <c r="AB76" s="53" t="s">
        <v>237</v>
      </c>
    </row>
    <row r="77" spans="1:28" x14ac:dyDescent="0.15">
      <c r="A77" s="53" t="s">
        <v>34</v>
      </c>
      <c r="B77" s="53" t="s">
        <v>233</v>
      </c>
      <c r="C77" s="53">
        <v>2019</v>
      </c>
      <c r="D77" s="176" t="s">
        <v>372</v>
      </c>
      <c r="E77" s="53" t="s">
        <v>375</v>
      </c>
      <c r="F77" s="53" t="s">
        <v>376</v>
      </c>
      <c r="G77" s="53" t="s">
        <v>36</v>
      </c>
      <c r="H77" s="53" t="s">
        <v>160</v>
      </c>
      <c r="I77" s="53" t="s">
        <v>159</v>
      </c>
      <c r="J77" s="53" t="s">
        <v>38</v>
      </c>
      <c r="K77" s="53" t="s">
        <v>161</v>
      </c>
      <c r="L77" s="53">
        <v>1</v>
      </c>
      <c r="N77" s="53">
        <v>1</v>
      </c>
      <c r="O77" s="53">
        <v>0.5</v>
      </c>
      <c r="P77" s="53">
        <v>0.6</v>
      </c>
      <c r="Q77" s="75">
        <f t="shared" si="0"/>
        <v>0.55000000000000004</v>
      </c>
      <c r="R77" s="53">
        <v>15.5</v>
      </c>
      <c r="S77" s="53">
        <v>122</v>
      </c>
      <c r="T77" s="16">
        <f t="shared" si="1"/>
        <v>30</v>
      </c>
      <c r="U77" s="53">
        <v>108</v>
      </c>
      <c r="V77" s="16">
        <f t="shared" si="2"/>
        <v>3240</v>
      </c>
      <c r="W77" s="53">
        <v>1</v>
      </c>
      <c r="X77" s="53" t="s">
        <v>46</v>
      </c>
      <c r="Y77" s="53" t="s">
        <v>78</v>
      </c>
      <c r="Z77" s="53" t="s">
        <v>88</v>
      </c>
      <c r="AA77" s="53" t="s">
        <v>102</v>
      </c>
      <c r="AB77" s="53" t="s">
        <v>237</v>
      </c>
    </row>
    <row r="78" spans="1:28" x14ac:dyDescent="0.15">
      <c r="A78" s="53" t="s">
        <v>34</v>
      </c>
      <c r="B78" s="53" t="s">
        <v>233</v>
      </c>
      <c r="C78" s="53">
        <v>2019</v>
      </c>
      <c r="D78" s="176" t="s">
        <v>372</v>
      </c>
      <c r="E78" s="53" t="s">
        <v>375</v>
      </c>
      <c r="F78" s="53" t="s">
        <v>376</v>
      </c>
      <c r="G78" s="53" t="s">
        <v>36</v>
      </c>
      <c r="H78" s="53" t="s">
        <v>160</v>
      </c>
      <c r="I78" s="53" t="s">
        <v>159</v>
      </c>
      <c r="J78" s="53" t="s">
        <v>38</v>
      </c>
      <c r="K78" s="53" t="s">
        <v>161</v>
      </c>
      <c r="L78" s="53">
        <v>2</v>
      </c>
      <c r="N78" s="53">
        <v>1</v>
      </c>
      <c r="O78" s="53">
        <v>0.75</v>
      </c>
      <c r="P78" s="53">
        <v>0.65</v>
      </c>
      <c r="Q78" s="75">
        <f t="shared" si="0"/>
        <v>0.7</v>
      </c>
      <c r="R78" s="53">
        <v>14.3</v>
      </c>
      <c r="S78" s="53">
        <v>124</v>
      </c>
      <c r="T78" s="16">
        <f t="shared" si="1"/>
        <v>30</v>
      </c>
      <c r="U78" s="53">
        <v>108</v>
      </c>
      <c r="V78" s="16">
        <f t="shared" si="2"/>
        <v>3240</v>
      </c>
      <c r="W78" s="53">
        <v>1</v>
      </c>
      <c r="X78" s="53" t="s">
        <v>46</v>
      </c>
      <c r="Y78" s="53" t="s">
        <v>78</v>
      </c>
      <c r="Z78" s="53" t="s">
        <v>88</v>
      </c>
      <c r="AA78" s="53" t="s">
        <v>102</v>
      </c>
      <c r="AB78" s="53" t="s">
        <v>237</v>
      </c>
    </row>
    <row r="79" spans="1:28" x14ac:dyDescent="0.15">
      <c r="A79" s="53" t="s">
        <v>34</v>
      </c>
      <c r="B79" s="53" t="s">
        <v>233</v>
      </c>
      <c r="C79" s="53">
        <v>2019</v>
      </c>
      <c r="D79" s="176" t="s">
        <v>372</v>
      </c>
      <c r="E79" s="53" t="s">
        <v>375</v>
      </c>
      <c r="F79" s="53" t="s">
        <v>376</v>
      </c>
      <c r="G79" s="53" t="s">
        <v>36</v>
      </c>
      <c r="H79" s="53" t="s">
        <v>160</v>
      </c>
      <c r="I79" s="53" t="s">
        <v>159</v>
      </c>
      <c r="J79" s="53" t="s">
        <v>38</v>
      </c>
      <c r="K79" s="53" t="s">
        <v>161</v>
      </c>
      <c r="L79" s="53">
        <v>3</v>
      </c>
      <c r="N79" s="53">
        <v>1</v>
      </c>
      <c r="O79" s="53">
        <v>0.45</v>
      </c>
      <c r="P79" s="53">
        <v>0.6</v>
      </c>
      <c r="Q79" s="75">
        <f t="shared" si="0"/>
        <v>0.52500000000000002</v>
      </c>
      <c r="R79" s="53">
        <v>17.2</v>
      </c>
      <c r="S79" s="53">
        <v>120</v>
      </c>
      <c r="T79" s="16">
        <f t="shared" si="1"/>
        <v>30</v>
      </c>
      <c r="U79" s="53">
        <v>108</v>
      </c>
      <c r="V79" s="16">
        <f t="shared" si="2"/>
        <v>3240</v>
      </c>
      <c r="W79" s="53">
        <v>1</v>
      </c>
      <c r="X79" s="53" t="s">
        <v>46</v>
      </c>
      <c r="Y79" s="53" t="s">
        <v>78</v>
      </c>
      <c r="Z79" s="53" t="s">
        <v>88</v>
      </c>
      <c r="AA79" s="53" t="s">
        <v>102</v>
      </c>
      <c r="AB79" s="53" t="s">
        <v>237</v>
      </c>
    </row>
    <row r="80" spans="1:28" x14ac:dyDescent="0.15">
      <c r="A80" s="53" t="s">
        <v>34</v>
      </c>
      <c r="B80" s="53" t="s">
        <v>233</v>
      </c>
      <c r="C80" s="53">
        <v>2019</v>
      </c>
      <c r="D80" s="176" t="s">
        <v>372</v>
      </c>
      <c r="E80" s="53" t="s">
        <v>377</v>
      </c>
      <c r="F80" s="53" t="s">
        <v>378</v>
      </c>
      <c r="G80" s="53" t="s">
        <v>36</v>
      </c>
      <c r="H80" s="53" t="s">
        <v>164</v>
      </c>
      <c r="I80" s="53" t="s">
        <v>159</v>
      </c>
      <c r="J80" s="53" t="s">
        <v>38</v>
      </c>
      <c r="K80" s="53" t="s">
        <v>161</v>
      </c>
      <c r="L80" s="53">
        <v>1</v>
      </c>
      <c r="N80" s="53">
        <v>1</v>
      </c>
      <c r="O80" s="53">
        <v>0.6</v>
      </c>
      <c r="P80" s="53">
        <v>0.6</v>
      </c>
      <c r="Q80" s="75">
        <f t="shared" si="0"/>
        <v>0.6</v>
      </c>
      <c r="R80" s="53">
        <v>14.2</v>
      </c>
      <c r="S80" s="53">
        <v>112</v>
      </c>
      <c r="T80" s="16">
        <f t="shared" si="1"/>
        <v>33</v>
      </c>
      <c r="U80" s="53">
        <v>105</v>
      </c>
      <c r="V80" s="16">
        <f t="shared" si="2"/>
        <v>3465</v>
      </c>
      <c r="W80" s="53">
        <v>2</v>
      </c>
      <c r="X80" s="53" t="s">
        <v>39</v>
      </c>
      <c r="Y80" s="53" t="s">
        <v>88</v>
      </c>
      <c r="Z80" s="53" t="s">
        <v>102</v>
      </c>
      <c r="AA80" s="53" t="s">
        <v>78</v>
      </c>
      <c r="AB80" s="53" t="s">
        <v>237</v>
      </c>
    </row>
    <row r="81" spans="1:28" x14ac:dyDescent="0.15">
      <c r="A81" s="53" t="s">
        <v>34</v>
      </c>
      <c r="B81" s="53" t="s">
        <v>233</v>
      </c>
      <c r="C81" s="53">
        <v>2019</v>
      </c>
      <c r="D81" s="176" t="s">
        <v>372</v>
      </c>
      <c r="E81" s="53" t="s">
        <v>377</v>
      </c>
      <c r="F81" s="53" t="s">
        <v>378</v>
      </c>
      <c r="G81" s="53" t="s">
        <v>36</v>
      </c>
      <c r="H81" s="53" t="s">
        <v>164</v>
      </c>
      <c r="I81" s="53" t="s">
        <v>159</v>
      </c>
      <c r="J81" s="53" t="s">
        <v>38</v>
      </c>
      <c r="K81" s="53" t="s">
        <v>161</v>
      </c>
      <c r="L81" s="53">
        <v>2</v>
      </c>
      <c r="N81" s="53">
        <v>1</v>
      </c>
      <c r="O81" s="53">
        <v>0.6</v>
      </c>
      <c r="P81" s="53">
        <v>0.8</v>
      </c>
      <c r="Q81" s="75">
        <f t="shared" si="0"/>
        <v>0.7</v>
      </c>
      <c r="R81" s="53">
        <v>13.7</v>
      </c>
      <c r="S81" s="53">
        <v>130</v>
      </c>
      <c r="T81" s="16">
        <f t="shared" si="1"/>
        <v>30</v>
      </c>
      <c r="U81" s="53">
        <v>105</v>
      </c>
      <c r="V81" s="16">
        <f t="shared" si="2"/>
        <v>3150</v>
      </c>
      <c r="W81" s="53">
        <v>2</v>
      </c>
      <c r="X81" s="53" t="s">
        <v>39</v>
      </c>
      <c r="Y81" s="53" t="s">
        <v>88</v>
      </c>
      <c r="Z81" s="53" t="s">
        <v>102</v>
      </c>
      <c r="AA81" s="53" t="s">
        <v>78</v>
      </c>
      <c r="AB81" s="53" t="s">
        <v>237</v>
      </c>
    </row>
    <row r="82" spans="1:28" x14ac:dyDescent="0.15">
      <c r="A82" s="53" t="s">
        <v>34</v>
      </c>
      <c r="B82" s="53" t="s">
        <v>233</v>
      </c>
      <c r="C82" s="53">
        <v>2019</v>
      </c>
      <c r="D82" s="176" t="s">
        <v>372</v>
      </c>
      <c r="E82" s="53" t="s">
        <v>377</v>
      </c>
      <c r="F82" s="53" t="s">
        <v>378</v>
      </c>
      <c r="G82" s="53" t="s">
        <v>36</v>
      </c>
      <c r="H82" s="53" t="s">
        <v>164</v>
      </c>
      <c r="I82" s="53" t="s">
        <v>159</v>
      </c>
      <c r="J82" s="53" t="s">
        <v>38</v>
      </c>
      <c r="K82" s="53" t="s">
        <v>161</v>
      </c>
      <c r="L82" s="53">
        <v>3</v>
      </c>
      <c r="N82" s="53">
        <v>1</v>
      </c>
      <c r="O82" s="53">
        <v>0.9</v>
      </c>
      <c r="P82" s="53">
        <v>0.9</v>
      </c>
      <c r="Q82" s="75">
        <f t="shared" ref="Q82:Q85" si="5">IF(OR(O82="",P82=""),"",AVERAGE(O82,P82))</f>
        <v>0.9</v>
      </c>
      <c r="R82" s="53">
        <v>14</v>
      </c>
      <c r="S82" s="53">
        <v>146</v>
      </c>
      <c r="T82" s="16">
        <f t="shared" si="1"/>
        <v>30</v>
      </c>
      <c r="U82" s="53">
        <v>105</v>
      </c>
      <c r="V82" s="16">
        <f t="shared" si="2"/>
        <v>3150</v>
      </c>
      <c r="W82" s="53">
        <v>2</v>
      </c>
      <c r="X82" s="53" t="s">
        <v>39</v>
      </c>
      <c r="Y82" s="53" t="s">
        <v>88</v>
      </c>
      <c r="Z82" s="53" t="s">
        <v>102</v>
      </c>
      <c r="AA82" s="53" t="s">
        <v>78</v>
      </c>
      <c r="AB82" s="53" t="s">
        <v>237</v>
      </c>
    </row>
    <row r="83" spans="1:28" x14ac:dyDescent="0.15">
      <c r="A83" s="53" t="s">
        <v>34</v>
      </c>
      <c r="B83" s="53" t="s">
        <v>233</v>
      </c>
      <c r="C83" s="53">
        <v>2019</v>
      </c>
      <c r="D83" s="176" t="s">
        <v>372</v>
      </c>
      <c r="E83" s="53" t="s">
        <v>377</v>
      </c>
      <c r="F83" s="53" t="s">
        <v>378</v>
      </c>
      <c r="G83" s="53" t="s">
        <v>36</v>
      </c>
      <c r="H83" s="53" t="s">
        <v>160</v>
      </c>
      <c r="I83" s="53" t="s">
        <v>159</v>
      </c>
      <c r="J83" s="53" t="s">
        <v>38</v>
      </c>
      <c r="K83" s="53" t="s">
        <v>161</v>
      </c>
      <c r="L83" s="53">
        <v>1</v>
      </c>
      <c r="N83" s="53">
        <v>1</v>
      </c>
      <c r="O83" s="53">
        <v>0.45</v>
      </c>
      <c r="P83" s="53">
        <v>0.2</v>
      </c>
      <c r="Q83" s="75">
        <f t="shared" si="5"/>
        <v>0.32500000000000001</v>
      </c>
      <c r="R83" s="53">
        <v>14.9</v>
      </c>
      <c r="S83" s="53">
        <v>136</v>
      </c>
      <c r="T83" s="16">
        <f t="shared" si="1"/>
        <v>30</v>
      </c>
      <c r="U83" s="53">
        <v>105</v>
      </c>
      <c r="V83" s="16">
        <f t="shared" si="2"/>
        <v>3150</v>
      </c>
      <c r="W83" s="53">
        <v>2</v>
      </c>
      <c r="X83" s="53" t="s">
        <v>39</v>
      </c>
      <c r="Y83" s="53" t="s">
        <v>88</v>
      </c>
      <c r="Z83" s="53" t="s">
        <v>102</v>
      </c>
      <c r="AA83" s="53" t="s">
        <v>78</v>
      </c>
      <c r="AB83" s="53" t="s">
        <v>237</v>
      </c>
    </row>
    <row r="84" spans="1:28" x14ac:dyDescent="0.15">
      <c r="A84" s="53" t="s">
        <v>34</v>
      </c>
      <c r="B84" s="53" t="s">
        <v>233</v>
      </c>
      <c r="C84" s="53">
        <v>2019</v>
      </c>
      <c r="D84" s="176" t="s">
        <v>372</v>
      </c>
      <c r="E84" s="53" t="s">
        <v>377</v>
      </c>
      <c r="F84" s="53" t="s">
        <v>378</v>
      </c>
      <c r="G84" s="53" t="s">
        <v>36</v>
      </c>
      <c r="H84" s="53" t="s">
        <v>160</v>
      </c>
      <c r="I84" s="53" t="s">
        <v>159</v>
      </c>
      <c r="J84" s="53" t="s">
        <v>38</v>
      </c>
      <c r="K84" s="53" t="s">
        <v>161</v>
      </c>
      <c r="L84" s="53">
        <v>2</v>
      </c>
      <c r="N84" s="53">
        <v>1</v>
      </c>
      <c r="O84" s="53">
        <v>0.55000000000000004</v>
      </c>
      <c r="P84" s="53">
        <v>1.2</v>
      </c>
      <c r="Q84" s="16">
        <f t="shared" si="5"/>
        <v>0.875</v>
      </c>
      <c r="R84" s="53">
        <v>14.3</v>
      </c>
      <c r="S84" s="53">
        <v>134</v>
      </c>
      <c r="T84" s="16">
        <f t="shared" si="1"/>
        <v>30</v>
      </c>
      <c r="U84" s="53">
        <v>105</v>
      </c>
      <c r="V84" s="16">
        <f t="shared" si="2"/>
        <v>3150</v>
      </c>
      <c r="W84" s="53">
        <v>2</v>
      </c>
      <c r="X84" s="53" t="s">
        <v>39</v>
      </c>
      <c r="Y84" s="53" t="s">
        <v>88</v>
      </c>
      <c r="Z84" s="53" t="s">
        <v>102</v>
      </c>
      <c r="AA84" s="53" t="s">
        <v>78</v>
      </c>
      <c r="AB84" s="53" t="s">
        <v>237</v>
      </c>
    </row>
    <row r="85" spans="1:28" x14ac:dyDescent="0.15">
      <c r="A85" s="53" t="s">
        <v>34</v>
      </c>
      <c r="B85" s="53" t="s">
        <v>233</v>
      </c>
      <c r="C85" s="53">
        <v>2019</v>
      </c>
      <c r="D85" s="176" t="s">
        <v>372</v>
      </c>
      <c r="E85" s="53" t="s">
        <v>377</v>
      </c>
      <c r="F85" s="53" t="s">
        <v>378</v>
      </c>
      <c r="G85" s="53" t="s">
        <v>36</v>
      </c>
      <c r="H85" s="53" t="s">
        <v>160</v>
      </c>
      <c r="I85" s="53" t="s">
        <v>159</v>
      </c>
      <c r="J85" s="53" t="s">
        <v>38</v>
      </c>
      <c r="K85" s="53" t="s">
        <v>161</v>
      </c>
      <c r="L85" s="53">
        <v>3</v>
      </c>
      <c r="N85" s="53">
        <v>1</v>
      </c>
      <c r="O85" s="53">
        <v>0.55000000000000004</v>
      </c>
      <c r="P85" s="53">
        <v>0.55000000000000004</v>
      </c>
      <c r="Q85" s="16">
        <f t="shared" si="5"/>
        <v>0.55000000000000004</v>
      </c>
      <c r="R85" s="53">
        <v>14.6</v>
      </c>
      <c r="S85" s="53">
        <v>138</v>
      </c>
      <c r="T85" s="16">
        <f t="shared" si="1"/>
        <v>30</v>
      </c>
      <c r="U85" s="53">
        <v>105</v>
      </c>
      <c r="V85" s="16">
        <f t="shared" si="2"/>
        <v>3150</v>
      </c>
      <c r="W85" s="53">
        <v>2</v>
      </c>
      <c r="X85" s="53" t="s">
        <v>39</v>
      </c>
      <c r="Y85" s="53" t="s">
        <v>88</v>
      </c>
      <c r="Z85" s="53" t="s">
        <v>102</v>
      </c>
      <c r="AA85" s="53" t="s">
        <v>78</v>
      </c>
      <c r="AB85" s="53" t="s">
        <v>237</v>
      </c>
    </row>
    <row r="86" spans="1:28" x14ac:dyDescent="0.15">
      <c r="D86" s="176"/>
    </row>
    <row r="87" spans="1:28" x14ac:dyDescent="0.15">
      <c r="D87" s="176"/>
    </row>
    <row r="88" spans="1:28" x14ac:dyDescent="0.15">
      <c r="D88" s="176"/>
    </row>
    <row r="89" spans="1:28" x14ac:dyDescent="0.15">
      <c r="D89" s="176"/>
    </row>
    <row r="90" spans="1:28" x14ac:dyDescent="0.15">
      <c r="D90" s="176"/>
    </row>
    <row r="91" spans="1:28" x14ac:dyDescent="0.15">
      <c r="D91" s="176"/>
    </row>
    <row r="92" spans="1:28" x14ac:dyDescent="0.15">
      <c r="D92" s="176"/>
    </row>
    <row r="93" spans="1:28" x14ac:dyDescent="0.15">
      <c r="D93" s="176"/>
    </row>
    <row r="94" spans="1:28" x14ac:dyDescent="0.15">
      <c r="D94" s="176"/>
    </row>
    <row r="95" spans="1:28" x14ac:dyDescent="0.15">
      <c r="D95" s="176"/>
    </row>
    <row r="96" spans="1:28" x14ac:dyDescent="0.15">
      <c r="D96" s="176"/>
    </row>
    <row r="97" spans="4:4" x14ac:dyDescent="0.15">
      <c r="D97" s="176"/>
    </row>
    <row r="98" spans="4:4" x14ac:dyDescent="0.15">
      <c r="D98" s="176"/>
    </row>
    <row r="99" spans="4:4" x14ac:dyDescent="0.15">
      <c r="D99" s="176"/>
    </row>
    <row r="100" spans="4:4" x14ac:dyDescent="0.15">
      <c r="D100" s="176"/>
    </row>
    <row r="101" spans="4:4" x14ac:dyDescent="0.15">
      <c r="D101" s="176"/>
    </row>
    <row r="102" spans="4:4" x14ac:dyDescent="0.15">
      <c r="D102" s="176"/>
    </row>
    <row r="103" spans="4:4" x14ac:dyDescent="0.15">
      <c r="D103" s="176"/>
    </row>
    <row r="104" spans="4:4" x14ac:dyDescent="0.15">
      <c r="D104" s="176"/>
    </row>
    <row r="105" spans="4:4" x14ac:dyDescent="0.15">
      <c r="D105" s="176"/>
    </row>
    <row r="106" spans="4:4" x14ac:dyDescent="0.15">
      <c r="D106" s="176"/>
    </row>
    <row r="107" spans="4:4" x14ac:dyDescent="0.15">
      <c r="D107" s="176"/>
    </row>
    <row r="108" spans="4:4" x14ac:dyDescent="0.15">
      <c r="D108" s="176"/>
    </row>
    <row r="109" spans="4:4" x14ac:dyDescent="0.15">
      <c r="D109" s="176"/>
    </row>
    <row r="110" spans="4:4" x14ac:dyDescent="0.15">
      <c r="D110" s="176"/>
    </row>
    <row r="111" spans="4:4" x14ac:dyDescent="0.15">
      <c r="D111" s="176"/>
    </row>
    <row r="112" spans="4:4" x14ac:dyDescent="0.15">
      <c r="D112" s="176"/>
    </row>
    <row r="113" spans="4:4" x14ac:dyDescent="0.15">
      <c r="D113" s="176"/>
    </row>
    <row r="114" spans="4:4" x14ac:dyDescent="0.15">
      <c r="D114" s="176"/>
    </row>
    <row r="115" spans="4:4" x14ac:dyDescent="0.15">
      <c r="D115" s="176"/>
    </row>
    <row r="116" spans="4:4" x14ac:dyDescent="0.15">
      <c r="D116" s="176"/>
    </row>
    <row r="117" spans="4:4" x14ac:dyDescent="0.15">
      <c r="D117" s="176"/>
    </row>
    <row r="118" spans="4:4" x14ac:dyDescent="0.15">
      <c r="D118" s="176"/>
    </row>
    <row r="119" spans="4:4" x14ac:dyDescent="0.15">
      <c r="D119" s="176"/>
    </row>
    <row r="120" spans="4:4" x14ac:dyDescent="0.15">
      <c r="D120" s="176"/>
    </row>
    <row r="121" spans="4:4" x14ac:dyDescent="0.15">
      <c r="D121" s="176"/>
    </row>
    <row r="122" spans="4:4" x14ac:dyDescent="0.15">
      <c r="D122" s="176"/>
    </row>
    <row r="123" spans="4:4" x14ac:dyDescent="0.15">
      <c r="D123" s="176"/>
    </row>
    <row r="124" spans="4:4" x14ac:dyDescent="0.15">
      <c r="D124" s="176"/>
    </row>
    <row r="125" spans="4:4" x14ac:dyDescent="0.15">
      <c r="D125" s="176"/>
    </row>
    <row r="126" spans="4:4" x14ac:dyDescent="0.15">
      <c r="D126" s="176"/>
    </row>
    <row r="127" spans="4:4" x14ac:dyDescent="0.15">
      <c r="D127" s="176"/>
    </row>
    <row r="128" spans="4:4" x14ac:dyDescent="0.15">
      <c r="D128" s="176"/>
    </row>
    <row r="129" spans="4:4" x14ac:dyDescent="0.15">
      <c r="D129" s="176"/>
    </row>
    <row r="130" spans="4:4" x14ac:dyDescent="0.15">
      <c r="D130" s="176"/>
    </row>
    <row r="131" spans="4:4" x14ac:dyDescent="0.15">
      <c r="D131" s="176"/>
    </row>
    <row r="132" spans="4:4" x14ac:dyDescent="0.15">
      <c r="D132" s="176"/>
    </row>
    <row r="133" spans="4:4" x14ac:dyDescent="0.15">
      <c r="D133" s="176"/>
    </row>
    <row r="134" spans="4:4" x14ac:dyDescent="0.15">
      <c r="D134" s="176"/>
    </row>
    <row r="135" spans="4:4" x14ac:dyDescent="0.15">
      <c r="D135" s="176"/>
    </row>
    <row r="136" spans="4:4" x14ac:dyDescent="0.15">
      <c r="D136" s="176"/>
    </row>
    <row r="137" spans="4:4" x14ac:dyDescent="0.15">
      <c r="D137" s="176"/>
    </row>
    <row r="138" spans="4:4" x14ac:dyDescent="0.15">
      <c r="D138" s="176"/>
    </row>
    <row r="139" spans="4:4" x14ac:dyDescent="0.15">
      <c r="D139" s="176"/>
    </row>
    <row r="140" spans="4:4" x14ac:dyDescent="0.15">
      <c r="D140" s="176"/>
    </row>
    <row r="141" spans="4:4" x14ac:dyDescent="0.15">
      <c r="D141" s="176"/>
    </row>
    <row r="142" spans="4:4" x14ac:dyDescent="0.15">
      <c r="D142" s="176"/>
    </row>
    <row r="143" spans="4:4" x14ac:dyDescent="0.15">
      <c r="D143" s="176"/>
    </row>
    <row r="144" spans="4:4" x14ac:dyDescent="0.15">
      <c r="D144" s="176"/>
    </row>
    <row r="145" spans="4:4" x14ac:dyDescent="0.15">
      <c r="D145" s="176"/>
    </row>
    <row r="146" spans="4:4" x14ac:dyDescent="0.15">
      <c r="D146" s="176"/>
    </row>
    <row r="147" spans="4:4" x14ac:dyDescent="0.15">
      <c r="D147" s="176"/>
    </row>
    <row r="148" spans="4:4" x14ac:dyDescent="0.15">
      <c r="D148" s="176"/>
    </row>
    <row r="149" spans="4:4" x14ac:dyDescent="0.15">
      <c r="D149" s="176"/>
    </row>
  </sheetData>
  <autoFilter ref="A1:BA149" xr:uid="{00000000-0009-0000-0000-000000000000}"/>
  <phoneticPr fontId="3"/>
  <dataValidations count="12">
    <dataValidation type="list" allowBlank="1" showInputMessage="1" showErrorMessage="1" sqref="K2:K781" xr:uid="{B3CCB93A-4450-4055-999E-3558B2ACA9CC}">
      <formula1>$AR$2:$AR$23</formula1>
    </dataValidation>
    <dataValidation operator="equal" allowBlank="1" showInputMessage="1" showErrorMessage="1" sqref="B2:B149" xr:uid="{FF7F8600-0FB8-4773-9B8E-AE9E91B2EE1B}"/>
    <dataValidation type="list" allowBlank="1" showInputMessage="1" showErrorMessage="1" sqref="A2:A468" xr:uid="{558C92DD-DE5D-4A75-81AA-DF3C1903B8AC}">
      <formula1>$AE$2:$AE$19</formula1>
    </dataValidation>
    <dataValidation type="list" allowBlank="1" showInputMessage="1" showErrorMessage="1" sqref="Y2:AA469" xr:uid="{519946B6-65BE-46C0-A02A-118537090D80}">
      <formula1>$AV$2:$AV$21</formula1>
    </dataValidation>
    <dataValidation type="list" allowBlank="1" showInputMessage="1" showErrorMessage="1" sqref="H2:H469" xr:uid="{882F44E8-837D-42B4-BF4F-B7BFE256A443}">
      <formula1>$AL$2:$AL$8</formula1>
    </dataValidation>
    <dataValidation type="list" allowBlank="1" showInputMessage="1" showErrorMessage="1" sqref="X2:X469" xr:uid="{03B1382F-BB4B-4A37-A7C2-996CA2BBFAA7}">
      <formula1>$AT$2:$AT$3</formula1>
    </dataValidation>
    <dataValidation type="list" allowBlank="1" showInputMessage="1" showErrorMessage="1" sqref="G2:G469" xr:uid="{853A0E8B-F2F0-490D-814F-5B8E9C424A40}">
      <formula1>$AJ$2:$AJ$4</formula1>
    </dataValidation>
    <dataValidation type="list" allowBlank="1" showInputMessage="1" showErrorMessage="1" sqref="I2:I469" xr:uid="{829C2F05-995E-4861-A591-5BC05F3F6304}">
      <formula1>$AN$5:$AN$6</formula1>
    </dataValidation>
    <dataValidation type="list" allowBlank="1" showInputMessage="1" showErrorMessage="1" sqref="J2:J469" xr:uid="{82E0F48A-1AF0-438E-81F5-4C322F81FC2B}">
      <formula1>$AP$2:$AP$24</formula1>
    </dataValidation>
    <dataValidation type="list" allowBlank="1" showInputMessage="1" showErrorMessage="1" sqref="F2:F469" xr:uid="{CE9DFB4B-3D85-4E92-ABBE-7CEBE2E2AFB8}">
      <formula1>$AH$2:$AH$11</formula1>
    </dataValidation>
    <dataValidation type="list" allowBlank="1" showInputMessage="1" showErrorMessage="1" sqref="E2:E469" xr:uid="{FF59A79E-B1C7-47F9-971E-E39DAECF4B3B}">
      <formula1>$AG$2:$AG$11</formula1>
    </dataValidation>
    <dataValidation type="decimal" allowBlank="1" showInputMessage="1" showErrorMessage="1" error="硬度を正しく入力して下さい。" sqref="O2:P49 O59:P469" xr:uid="{C99C78BF-498C-4492-84C7-469BB7555392}">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356ACEC-04C3-4CA6-A108-2B74C906BB45}"/>
</file>

<file path=customXml/itemProps2.xml><?xml version="1.0" encoding="utf-8"?>
<ds:datastoreItem xmlns:ds="http://schemas.openxmlformats.org/officeDocument/2006/customXml" ds:itemID="{DD6299B0-7FE4-4F32-99E7-E502FFF42C6E}"/>
</file>

<file path=customXml/itemProps3.xml><?xml version="1.0" encoding="utf-8"?>
<ds:datastoreItem xmlns:ds="http://schemas.openxmlformats.org/officeDocument/2006/customXml" ds:itemID="{DD5608EB-6F8B-4828-8C34-B474DFD1EF7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2019-10-04T08:39:05Z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