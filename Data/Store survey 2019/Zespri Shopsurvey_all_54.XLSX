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192.168.11.200\000_全国共有\2-Zespri\品質調査\2019\54週\"/>
    </mc:Choice>
  </mc:AlternateContent>
  <xr:revisionPtr revIDLastSave="0" documentId="13_ncr:1_{1A31EF8E-DA60-41CF-9383-40A40DF55408}"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fukuoka!$A$1:$BA$112</definedName>
    <definedName name="_xlnm._FilterDatabase" localSheetId="4" hidden="1">hiroshima!$A$1:$BA$1</definedName>
    <definedName name="_xlnm._FilterDatabase" localSheetId="1" hidden="1">miyagi!$A$1:$BA$280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40" i="24" l="1"/>
  <c r="V40" i="24" s="1"/>
  <c r="Q40" i="24"/>
  <c r="V39" i="24"/>
  <c r="T39" i="24"/>
  <c r="Q39" i="24"/>
  <c r="T38" i="24"/>
  <c r="V38" i="24" s="1"/>
  <c r="Q38" i="24"/>
  <c r="V37" i="24"/>
  <c r="T37" i="24"/>
  <c r="Q37" i="24"/>
  <c r="T36" i="24"/>
  <c r="V36" i="24" s="1"/>
  <c r="Q36" i="24"/>
  <c r="V35" i="24"/>
  <c r="T35" i="24"/>
  <c r="Q35" i="24"/>
  <c r="T34" i="24"/>
  <c r="V34" i="24" s="1"/>
  <c r="Q34" i="24"/>
  <c r="T33" i="24"/>
  <c r="V33" i="24" s="1"/>
  <c r="Q33" i="24"/>
  <c r="T32" i="24"/>
  <c r="V32" i="24" s="1"/>
  <c r="Q32" i="24"/>
  <c r="V31" i="24"/>
  <c r="T31" i="24"/>
  <c r="Q31" i="24"/>
  <c r="T30" i="24"/>
  <c r="V30" i="24" s="1"/>
  <c r="Q30" i="24"/>
  <c r="T29" i="24"/>
  <c r="V29" i="24" s="1"/>
  <c r="Q29" i="24"/>
  <c r="T28" i="24"/>
  <c r="V28" i="24" s="1"/>
  <c r="Q28" i="24"/>
  <c r="V27" i="24"/>
  <c r="T27" i="24"/>
  <c r="Q27" i="24"/>
  <c r="T26" i="24"/>
  <c r="V26" i="24" s="1"/>
  <c r="Q26" i="24"/>
  <c r="T25" i="24"/>
  <c r="V25" i="24" s="1"/>
  <c r="Q25" i="24"/>
  <c r="T24" i="24"/>
  <c r="V24" i="24" s="1"/>
  <c r="Q24" i="24"/>
  <c r="V23" i="24"/>
  <c r="T23" i="24"/>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12" i="22" l="1"/>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72" i="22"/>
  <c r="T72" i="22"/>
  <c r="Q72" i="22"/>
  <c r="V71" i="22"/>
  <c r="T71" i="22"/>
  <c r="Q71"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280" i="18" l="1"/>
  <c r="T279" i="18"/>
  <c r="T278" i="18"/>
  <c r="T277" i="18"/>
  <c r="T276" i="18"/>
  <c r="T275" i="18"/>
  <c r="T274" i="18"/>
  <c r="T273" i="18"/>
  <c r="T272" i="18"/>
  <c r="T271" i="18"/>
  <c r="T270" i="18"/>
  <c r="T269" i="18"/>
  <c r="T268" i="18"/>
  <c r="T267" i="18"/>
  <c r="T266" i="18"/>
  <c r="T265" i="18"/>
  <c r="T264" i="18"/>
  <c r="T263" i="18"/>
  <c r="T262" i="18"/>
  <c r="T261" i="18"/>
  <c r="T260" i="18"/>
  <c r="V260" i="18" s="1"/>
  <c r="T259" i="18"/>
  <c r="V259" i="18" s="1"/>
  <c r="T258" i="18"/>
  <c r="V258" i="18" s="1"/>
  <c r="T257" i="18"/>
  <c r="V257" i="18" s="1"/>
  <c r="T256" i="18"/>
  <c r="V256" i="18" s="1"/>
  <c r="V255" i="18"/>
  <c r="T255" i="18"/>
  <c r="T254" i="18"/>
  <c r="V254" i="18" s="1"/>
  <c r="T253" i="18"/>
  <c r="V253" i="18" s="1"/>
  <c r="T252" i="18"/>
  <c r="V252" i="18" s="1"/>
  <c r="Q252" i="18"/>
  <c r="T251" i="18"/>
  <c r="V251" i="18" s="1"/>
  <c r="Q251" i="18"/>
  <c r="V250" i="18"/>
  <c r="T250" i="18"/>
  <c r="Q250" i="18"/>
  <c r="T249" i="18"/>
  <c r="V249" i="18" s="1"/>
  <c r="Q249" i="18"/>
  <c r="T248" i="18"/>
  <c r="V248" i="18" s="1"/>
  <c r="Q248" i="18"/>
  <c r="T247" i="18"/>
  <c r="V247" i="18" s="1"/>
  <c r="Q247" i="18"/>
  <c r="V246" i="18"/>
  <c r="T246" i="18"/>
  <c r="Q246" i="18"/>
  <c r="T245" i="18"/>
  <c r="V245" i="18" s="1"/>
  <c r="Q245" i="18"/>
  <c r="T244" i="18"/>
  <c r="V244" i="18" s="1"/>
  <c r="Q244" i="18"/>
  <c r="T243" i="18"/>
  <c r="V243" i="18" s="1"/>
  <c r="Q243" i="18"/>
  <c r="V242" i="18"/>
  <c r="T242" i="18"/>
  <c r="Q242" i="18"/>
  <c r="T241" i="18"/>
  <c r="V241" i="18" s="1"/>
  <c r="Q241" i="18"/>
  <c r="T240" i="18"/>
  <c r="V240" i="18" s="1"/>
  <c r="Q240" i="18"/>
  <c r="T239" i="18"/>
  <c r="V239" i="18" s="1"/>
  <c r="Q239" i="18"/>
  <c r="V238" i="18"/>
  <c r="T238" i="18"/>
  <c r="Q238" i="18"/>
  <c r="T237" i="18"/>
  <c r="V237" i="18" s="1"/>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V218" i="18"/>
  <c r="T218" i="18"/>
  <c r="Q218" i="18"/>
  <c r="T217" i="18"/>
  <c r="V217" i="18" s="1"/>
  <c r="Q217" i="18"/>
  <c r="T216" i="18"/>
  <c r="V216" i="18" s="1"/>
  <c r="Q216" i="18"/>
  <c r="T215" i="18"/>
  <c r="V215" i="18" s="1"/>
  <c r="Q215" i="18"/>
  <c r="V214" i="18"/>
  <c r="T214" i="18"/>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V194" i="18"/>
  <c r="T194" i="18"/>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V170" i="18"/>
  <c r="T170" i="18"/>
  <c r="Q170" i="18"/>
  <c r="T169" i="18"/>
  <c r="V169" i="18" s="1"/>
  <c r="Q169" i="18"/>
  <c r="T168" i="18"/>
  <c r="V168" i="18" s="1"/>
  <c r="Q168" i="18"/>
  <c r="T167" i="18"/>
  <c r="V167" i="18" s="1"/>
  <c r="Q167" i="18"/>
  <c r="V166" i="18"/>
  <c r="T166" i="18"/>
  <c r="Q166" i="18"/>
  <c r="T165" i="18"/>
  <c r="V165" i="18" s="1"/>
  <c r="Q165" i="18"/>
  <c r="T164" i="18"/>
  <c r="V164" i="18" s="1"/>
  <c r="Q164" i="18"/>
  <c r="T163" i="18"/>
  <c r="V163" i="18" s="1"/>
  <c r="Q163" i="18"/>
  <c r="V162" i="18"/>
  <c r="T162" i="18"/>
  <c r="Q162" i="18"/>
  <c r="T161" i="18"/>
  <c r="V161" i="18" s="1"/>
  <c r="Q161" i="18"/>
  <c r="T160" i="18"/>
  <c r="V160" i="18" s="1"/>
  <c r="Q160" i="18"/>
  <c r="T159" i="18"/>
  <c r="V159" i="18" s="1"/>
  <c r="Q159" i="18"/>
  <c r="V158" i="18"/>
  <c r="T158" i="18"/>
  <c r="Q158" i="18"/>
  <c r="T157" i="18"/>
  <c r="V157" i="18" s="1"/>
  <c r="Q157" i="18"/>
  <c r="T156" i="18"/>
  <c r="V156" i="18" s="1"/>
  <c r="Q156" i="18"/>
  <c r="T155" i="18"/>
  <c r="V155" i="18" s="1"/>
  <c r="Q155" i="18"/>
  <c r="V154" i="18"/>
  <c r="T154" i="18"/>
  <c r="Q154" i="18"/>
  <c r="T153" i="18"/>
  <c r="V153" i="18" s="1"/>
  <c r="Q153" i="18"/>
  <c r="T152" i="18"/>
  <c r="V152" i="18" s="1"/>
  <c r="Q152" i="18"/>
  <c r="T151" i="18"/>
  <c r="V151" i="18" s="1"/>
  <c r="Q151" i="18"/>
  <c r="V150" i="18"/>
  <c r="T150" i="18"/>
  <c r="Q150" i="18"/>
  <c r="T149" i="18"/>
  <c r="V149" i="18" s="1"/>
  <c r="Q149" i="18"/>
  <c r="T148" i="18"/>
  <c r="V148" i="18" s="1"/>
  <c r="Q148" i="18"/>
  <c r="T147" i="18"/>
  <c r="V147" i="18" s="1"/>
  <c r="Q147" i="18"/>
  <c r="V146" i="18"/>
  <c r="T146" i="18"/>
  <c r="Q146" i="18"/>
  <c r="T145" i="18"/>
  <c r="V145" i="18" s="1"/>
  <c r="Q145" i="18"/>
  <c r="T144" i="18"/>
  <c r="V144" i="18" s="1"/>
  <c r="Q144" i="18"/>
  <c r="T143" i="18"/>
  <c r="V143" i="18" s="1"/>
  <c r="Q143" i="18"/>
  <c r="V142" i="18"/>
  <c r="T142" i="18"/>
  <c r="Q142" i="18"/>
  <c r="T141" i="18"/>
  <c r="V141" i="18" s="1"/>
  <c r="Q141" i="18"/>
  <c r="T140" i="18"/>
  <c r="V140" i="18" s="1"/>
  <c r="Q140" i="18"/>
  <c r="T139" i="18"/>
  <c r="V139" i="18" s="1"/>
  <c r="Q139" i="18"/>
  <c r="V138" i="18"/>
  <c r="T138" i="18"/>
  <c r="Q138" i="18"/>
  <c r="T137" i="18"/>
  <c r="V137" i="18" s="1"/>
  <c r="Q137" i="18"/>
  <c r="T136" i="18"/>
  <c r="V136" i="18" s="1"/>
  <c r="Q136" i="18"/>
  <c r="T135" i="18"/>
  <c r="V135" i="18" s="1"/>
  <c r="Q135" i="18"/>
  <c r="V134" i="18"/>
  <c r="T134" i="18"/>
  <c r="Q134" i="18"/>
  <c r="T133" i="18"/>
  <c r="V133" i="18" s="1"/>
  <c r="Q133" i="18"/>
  <c r="T132" i="18"/>
  <c r="V132" i="18" s="1"/>
  <c r="Q132" i="18"/>
  <c r="T131" i="18"/>
  <c r="V131" i="18" s="1"/>
  <c r="Q131" i="18"/>
  <c r="V130" i="18"/>
  <c r="T130" i="18"/>
  <c r="Q130" i="18"/>
  <c r="T129" i="18"/>
  <c r="V129" i="18" s="1"/>
  <c r="Q129" i="18"/>
  <c r="T128" i="18"/>
  <c r="V128" i="18" s="1"/>
  <c r="Q128" i="18"/>
  <c r="T127" i="18"/>
  <c r="V127" i="18" s="1"/>
  <c r="Q127" i="18"/>
  <c r="V126" i="18"/>
  <c r="T126" i="18"/>
  <c r="Q126" i="18"/>
  <c r="T125" i="18"/>
  <c r="V125" i="18" s="1"/>
  <c r="Q125" i="18"/>
  <c r="T124" i="18"/>
  <c r="V124" i="18" s="1"/>
  <c r="Q124" i="18"/>
  <c r="T123" i="18"/>
  <c r="V123" i="18" s="1"/>
  <c r="Q123" i="18"/>
  <c r="V122" i="18"/>
  <c r="T122" i="18"/>
  <c r="Q122" i="18"/>
  <c r="T121" i="18"/>
  <c r="V121" i="18" s="1"/>
  <c r="Q121" i="18"/>
  <c r="T120" i="18"/>
  <c r="V120" i="18" s="1"/>
  <c r="Q120" i="18"/>
  <c r="T119" i="18"/>
  <c r="V119" i="18" s="1"/>
  <c r="Q119" i="18"/>
  <c r="V118" i="18"/>
  <c r="T118" i="18"/>
  <c r="Q118" i="18"/>
  <c r="T117" i="18"/>
  <c r="V117" i="18" s="1"/>
  <c r="Q117" i="18"/>
  <c r="T116" i="18"/>
  <c r="V116" i="18" s="1"/>
  <c r="Q116" i="18"/>
  <c r="T115" i="18"/>
  <c r="V115" i="18" s="1"/>
  <c r="Q115" i="18"/>
  <c r="V114" i="18"/>
  <c r="T114" i="18"/>
  <c r="Q114" i="18"/>
  <c r="T113" i="18"/>
  <c r="V113" i="18" s="1"/>
  <c r="Q113" i="18"/>
  <c r="T112" i="18"/>
  <c r="V112" i="18" s="1"/>
  <c r="Q112" i="18"/>
  <c r="T111" i="18"/>
  <c r="V111" i="18" s="1"/>
  <c r="Q111" i="18"/>
  <c r="V110" i="18"/>
  <c r="T110" i="18"/>
  <c r="Q110" i="18"/>
  <c r="T109" i="18"/>
  <c r="V109" i="18" s="1"/>
  <c r="Q109" i="18"/>
  <c r="T108" i="18"/>
  <c r="V108" i="18" s="1"/>
  <c r="Q108" i="18"/>
  <c r="T107" i="18"/>
  <c r="V107" i="18" s="1"/>
  <c r="Q107" i="18"/>
  <c r="V106" i="18"/>
  <c r="T106" i="18"/>
  <c r="Q106" i="18"/>
  <c r="T105" i="18"/>
  <c r="V105" i="18" s="1"/>
  <c r="Q105" i="18"/>
  <c r="T104" i="18"/>
  <c r="V104" i="18" s="1"/>
  <c r="Q104" i="18"/>
  <c r="T103" i="18"/>
  <c r="V103" i="18" s="1"/>
  <c r="Q103" i="18"/>
  <c r="V102" i="18"/>
  <c r="T102" i="18"/>
  <c r="Q102" i="18"/>
  <c r="T101" i="18"/>
  <c r="V101" i="18" s="1"/>
  <c r="Q101" i="18"/>
  <c r="T100" i="18"/>
  <c r="V100" i="18" s="1"/>
  <c r="Q100" i="18"/>
  <c r="T99" i="18"/>
  <c r="V99" i="18" s="1"/>
  <c r="Q99" i="18"/>
  <c r="V98" i="18"/>
  <c r="T98" i="18"/>
  <c r="Q98" i="18"/>
  <c r="T97" i="18"/>
  <c r="V97" i="18" s="1"/>
  <c r="Q97" i="18"/>
  <c r="T96" i="18"/>
  <c r="V96" i="18" s="1"/>
  <c r="Q96" i="18"/>
  <c r="T95" i="18"/>
  <c r="V95" i="18" s="1"/>
  <c r="Q95" i="18"/>
  <c r="V94" i="18"/>
  <c r="T94" i="18"/>
  <c r="Q94" i="18"/>
  <c r="T93" i="18"/>
  <c r="V93" i="18" s="1"/>
  <c r="Q93" i="18"/>
  <c r="T92" i="18"/>
  <c r="V92" i="18" s="1"/>
  <c r="Q92" i="18"/>
  <c r="T91" i="18"/>
  <c r="V91" i="18" s="1"/>
  <c r="Q91" i="18"/>
  <c r="V90" i="18"/>
  <c r="T90" i="18"/>
  <c r="Q90" i="18"/>
  <c r="T89" i="18"/>
  <c r="V89" i="18" s="1"/>
  <c r="Q89" i="18"/>
  <c r="T88" i="18"/>
  <c r="V88" i="18" s="1"/>
  <c r="Q88" i="18"/>
  <c r="T87" i="18"/>
  <c r="V87" i="18" s="1"/>
  <c r="Q87" i="18"/>
  <c r="V86" i="18"/>
  <c r="T86" i="18"/>
  <c r="Q86" i="18"/>
  <c r="T85" i="18"/>
  <c r="V85" i="18" s="1"/>
  <c r="Q85" i="18"/>
  <c r="T84" i="18"/>
  <c r="V84" i="18" s="1"/>
  <c r="Q84" i="18"/>
  <c r="T83" i="18"/>
  <c r="V83" i="18" s="1"/>
  <c r="Q83" i="18"/>
  <c r="V82" i="18"/>
  <c r="T82" i="18"/>
  <c r="Q82" i="18"/>
  <c r="T81" i="18"/>
  <c r="V81" i="18" s="1"/>
  <c r="Q81" i="18"/>
  <c r="T80" i="18"/>
  <c r="V80" i="18" s="1"/>
  <c r="Q80" i="18"/>
  <c r="T79" i="18"/>
  <c r="V79" i="18" s="1"/>
  <c r="Q79" i="18"/>
  <c r="V78" i="18"/>
  <c r="T78" i="18"/>
  <c r="Q78" i="18"/>
  <c r="T77" i="18"/>
  <c r="V77" i="18" s="1"/>
  <c r="Q77" i="18"/>
  <c r="T76" i="18"/>
  <c r="V76" i="18" s="1"/>
  <c r="Q76" i="18"/>
  <c r="T75" i="18"/>
  <c r="V75" i="18" s="1"/>
  <c r="Q75" i="18"/>
  <c r="V74" i="18"/>
  <c r="T74" i="18"/>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Q52" i="18"/>
  <c r="T51" i="18"/>
  <c r="Q51" i="18"/>
  <c r="T50" i="18"/>
  <c r="Q50" i="18"/>
  <c r="T49" i="18"/>
  <c r="Q49" i="18"/>
  <c r="T48" i="18"/>
  <c r="Q48" i="18"/>
  <c r="T47" i="18"/>
  <c r="Q47" i="18"/>
  <c r="T46" i="18"/>
  <c r="Q46" i="18"/>
  <c r="T45" i="18"/>
  <c r="Q45" i="18"/>
  <c r="T44" i="18"/>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<sst xmlns="http://schemas.openxmlformats.org/spreadsheetml/2006/main" count="6991" uniqueCount="390">
  <si>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</si>
  <si>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</si>
  <si>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</si>
  <si>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</si>
  <si>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</si>
  <si>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</si>
  <si>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</si>
  <si>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</si>
  <si>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</si>
  <si>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</si>
  <si>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</si>
  <si>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</si>
  <si>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</si>
  <si>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</si>
  <si>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</si>
  <si>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</si>
  <si>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</si>
  <si>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</si>
  <si>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</si>
  <si>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</si>
  <si>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</si>
  <si>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</si>
  <si>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</si>
  <si>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</si>
  <si>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</si>
  <si>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</si>
  <si>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</si>
  <si>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</si>
  <si>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</si>
  <si>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</si>
  <si>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</si>
  <si>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</si>
  <si>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</si>
  <si>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</si>
  <si>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</si>
  <si>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</si>
  <si>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</si>
  <si>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</si>
  <si>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</si>
  <si>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</si>
  <si>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</si>
  <si>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</si>
  <si>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</si>
  <si>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</si>
  <si>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</si>
  <si>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</si>
  <si>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</si>
  <si>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</si>
  <si>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</si>
  <si>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</si>
  <si>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</si>
  <si>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</si>
  <si>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</si>
  <si>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</si>
  <si>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</si>
  <si>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</si>
  <si>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</si>
  <si>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</si>
  <si>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</si>
  <si>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</si>
  <si>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</si>
  <si>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</si>
  <si>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</si>
  <si>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</si>
  <si>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</si>
  <si>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</si>
  <si>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</si>
  <si>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</si>
  <si>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</si>
  <si>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</si>
  <si>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</si>
  <si>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</si>
  <si>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</si>
  <si>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</si>
  <si>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</si>
  <si>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</si>
  <si>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</si>
  <si>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</si>
  <si>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</si>
  <si>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</si>
  <si>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</si>
  <si>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</si>
  <si>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</si>
  <si>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</si>
  <si>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</si>
  <si>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</si>
  <si>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</si>
  <si>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</si>
  <si>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</si>
  <si>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</si>
  <si>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</si>
  <si>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</si>
  <si>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</si>
  <si>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</si>
  <si>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</si>
  <si>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</si>
  <si>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</si>
  <si>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</si>
  <si>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</si>
  <si>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</si>
  <si>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</si>
  <si>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</si>
  <si>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</si>
  <si>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</si>
  <si>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</si>
  <si>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</si>
  <si>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</si>
  <si>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</si>
  <si>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</si>
  <si>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</si>
  <si>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</si>
  <si>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</si>
  <si>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</si>
  <si>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</si>
  <si>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</si>
  <si>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</si>
  <si>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</si>
  <si>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</si>
  <si>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</si>
  <si>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</si>
  <si>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</si>
  <si>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</si>
  <si>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</si>
  <si>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</si>
  <si>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</si>
  <si>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</si>
  <si>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</si>
  <si>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</si>
  <si>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</si>
  <si>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</si>
  <si>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</si>
  <si>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</si>
  <si>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</si>
  <si>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</si>
  <si>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</si>
  <si>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</si>
  <si>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</si>
  <si>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</si>
  <si>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</si>
  <si>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</si>
  <si>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</si>
  <si>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</si>
  <si>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</si>
  <si>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</si>
  <si>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</si>
  <si>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</si>
  <si>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</si>
  <si>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</si>
  <si>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</si>
  <si>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</si>
  <si>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</si>
  <si>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</si>
  <si>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</si>
  <si>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</si>
  <si>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</si>
  <si>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</si>
  <si>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</si>
  <si>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</si>
  <si>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</si>
  <si>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</si>
  <si>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ﾆｭｰｼﾞｰﾗﾝﾄﾞ</t>
  </si>
  <si>
    <t>マックスバリュ</t>
  </si>
  <si>
    <t>北40条</t>
  </si>
  <si>
    <t>HW</t>
  </si>
  <si>
    <t>GK</t>
  </si>
  <si>
    <t>北25条店</t>
    <rPh sb="4" eb="5">
      <t>テン</t>
    </rPh>
    <phoneticPr fontId="3"/>
  </si>
  <si>
    <t>北26条店</t>
    <rPh sb="4" eb="5">
      <t>テン</t>
    </rPh>
    <phoneticPr fontId="3"/>
  </si>
  <si>
    <t>北27条店</t>
    <rPh sb="4" eb="5">
      <t>テン</t>
    </rPh>
    <phoneticPr fontId="3"/>
  </si>
  <si>
    <t>07.01.2020</t>
  </si>
  <si>
    <t>07.01.2020</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</si>
  <si>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</si>
  <si>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</si>
  <si>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</si>
  <si>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</si>
  <si>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</si>
  <si>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</si>
  <si>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</si>
  <si>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</si>
  <si>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</si>
  <si>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</si>
  <si>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</si>
  <si>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</si>
  <si>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</si>
  <si>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</si>
  <si>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</si>
  <si>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</si>
  <si>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07.01.2020</t>
    <phoneticPr fontId="16"/>
  </si>
  <si>
    <t>利府店</t>
  </si>
  <si>
    <t>その他グリーン</t>
  </si>
  <si>
    <t>みやぎ生協</t>
  </si>
  <si>
    <t>その他ゴールド</t>
  </si>
  <si>
    <t>杉の入店</t>
  </si>
  <si>
    <t>その他レッド</t>
  </si>
  <si>
    <t>減農薬栽培</t>
  </si>
  <si>
    <t>D'lish</t>
  </si>
  <si>
    <t>中国</t>
  </si>
  <si>
    <t>ウジエ</t>
  </si>
  <si>
    <t>Del Monte</t>
  </si>
  <si>
    <t>塩釜店</t>
  </si>
  <si>
    <t>OB</t>
  </si>
  <si>
    <t>ザ・ビッグ</t>
  </si>
  <si>
    <t>HE</t>
  </si>
  <si>
    <t>長野</t>
  </si>
  <si>
    <t>ヤマザワ</t>
  </si>
  <si>
    <t>多賀城店</t>
  </si>
  <si>
    <t>GA</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</si>
  <si>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</si>
  <si>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</si>
  <si>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</si>
  <si>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</si>
  <si>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</si>
  <si>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</si>
  <si>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</si>
  <si>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</si>
  <si>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</si>
  <si>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</si>
  <si>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</si>
  <si>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</si>
  <si>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</si>
  <si>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</si>
  <si>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</si>
  <si>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</si>
  <si>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</si>
  <si>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</si>
  <si>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</si>
  <si>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</si>
  <si>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</si>
  <si>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</si>
  <si>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</si>
  <si>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</si>
  <si>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</si>
  <si>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</si>
  <si>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</si>
  <si>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</si>
  <si>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</si>
  <si>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</si>
  <si>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09.01.2020</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</si>
  <si>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</si>
  <si>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</si>
  <si>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</si>
  <si>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</si>
  <si>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</si>
  <si>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</si>
  <si>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</si>
  <si>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</si>
  <si>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</si>
  <si>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</si>
  <si>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</si>
  <si>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</si>
  <si>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</si>
  <si>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</si>
  <si>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</si>
  <si>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</si>
  <si>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</si>
  <si>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</si>
  <si>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</si>
  <si>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</si>
  <si>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</si>
  <si>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</si>
  <si>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</si>
  <si>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</si>
  <si>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</si>
  <si>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</si>
  <si>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</si>
  <si>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10.01.2020</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</si>
  <si>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</si>
  <si>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</si>
  <si>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</si>
  <si>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</si>
  <si>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</si>
  <si>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</si>
  <si>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</si>
  <si>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</si>
  <si>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</si>
  <si>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</si>
  <si>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</si>
  <si>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</si>
  <si>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</si>
  <si>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</si>
  <si>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</si>
  <si>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</si>
  <si>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</si>
  <si>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</si>
  <si>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</si>
  <si>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</si>
  <si>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</si>
  <si>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</si>
  <si>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</si>
  <si>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</si>
  <si>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</si>
  <si>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</si>
  <si>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</si>
  <si>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</si>
  <si>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</si>
  <si>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</si>
  <si>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</si>
  <si>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</si>
  <si>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</si>
  <si>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</si>
  <si>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</si>
  <si>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</si>
  <si>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</si>
  <si>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</si>
  <si>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</si>
  <si>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</si>
  <si>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</si>
  <si>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</si>
  <si>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</si>
  <si>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</si>
  <si>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</si>
  <si>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</si>
  <si>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</si>
  <si>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</si>
  <si>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05.01.2020</t>
  </si>
  <si>
    <t>05.01.2020</t>
    <phoneticPr fontId="3"/>
  </si>
  <si>
    <t>販売
ユニット
個数</t>
    <phoneticPr fontId="4"/>
  </si>
  <si>
    <t>U/P JPY</t>
    <phoneticPr fontId="4"/>
  </si>
  <si>
    <t>マルショク</t>
    <phoneticPr fontId="3"/>
  </si>
  <si>
    <t>野間大池</t>
    <rPh sb="0" eb="2">
      <t>ノマ</t>
    </rPh>
    <rPh sb="2" eb="4">
      <t>オオイケ</t>
    </rPh>
    <phoneticPr fontId="3"/>
  </si>
  <si>
    <t>福岡</t>
    <rPh sb="0" eb="2">
      <t>フクオカ</t>
    </rPh>
    <phoneticPr fontId="4"/>
  </si>
  <si>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</si>
  <si>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</si>
  <si>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</si>
  <si>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</si>
  <si>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</si>
  <si>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</si>
  <si>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</si>
  <si>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</si>
  <si>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</si>
  <si>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</si>
  <si>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</si>
  <si>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</si>
  <si>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</si>
  <si>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</si>
  <si>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</si>
  <si>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</si>
  <si>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</si>
  <si>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</si>
  <si>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</si>
  <si>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</si>
  <si>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</si>
  <si>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</si>
  <si>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</si>
  <si>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</si>
  <si>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</si>
  <si>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</si>
  <si>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</si>
  <si>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</si>
  <si>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</si>
  <si>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</si>
  <si>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</si>
  <si>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</si>
  <si>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</si>
  <si>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</si>
  <si>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</si>
  <si>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</si>
  <si>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</si>
  <si>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</si>
  <si>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</si>
  <si>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</si>
  <si>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</si>
  <si>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</si>
  <si>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09.01.2020</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</si>
  <si>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</si>
  <si>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</si>
  <si>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</si>
  <si>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</si>
  <si>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</si>
  <si>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</si>
  <si>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</si>
  <si>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</si>
  <si>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</si>
  <si>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</si>
  <si>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</si>
  <si>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</si>
  <si>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</si>
  <si>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</si>
  <si>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</si>
  <si>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</si>
  <si>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</si>
  <si>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江戸川中央店</t>
  </si>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</sst>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0" fontId="15" fillId="0" borderId="0" xfId="2" applyFont="1">
      <alignment vertical="center"/>
    </xf>
    <xf numFmtId="178" fontId="1" fillId="2" borderId="0" xfId="1" applyNumberForma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E48" sqref="E4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169</v>
      </c>
      <c r="E2" s="15" t="s">
        <v>141</v>
      </c>
      <c r="F2" s="15" t="s">
        <v>149</v>
      </c>
      <c r="G2" s="15" t="s">
        <v>36</v>
      </c>
      <c r="H2" s="15" t="s">
        <v>163</v>
      </c>
      <c r="I2" s="15" t="s">
        <v>159</v>
      </c>
      <c r="J2" s="15" t="s">
        <v>38</v>
      </c>
      <c r="K2" s="7" t="s">
        <v>160</v>
      </c>
      <c r="L2" s="7">
        <v>1</v>
      </c>
      <c r="N2" s="47">
        <v>1</v>
      </c>
      <c r="O2" s="15">
        <v>0.6</v>
      </c>
      <c r="P2" s="15">
        <v>0.5</v>
      </c>
      <c r="Q2" s="51">
        <f t="shared" ref="Q2:Q65" si="0">IF(OR(O2="",P2=""),"",AVERAGE(O2,P2))</f>
        <v>0.55000000000000004</v>
      </c>
      <c r="R2" s="15">
        <v>13.2</v>
      </c>
      <c r="S2" s="15">
        <v>89</v>
      </c>
      <c r="T2" s="38">
        <f t="shared" ref="T2:T59" si="1">IF(H2="","",IF(OR(H2="GREEN",H2="GK"),IF(S2&gt;=$AX$2,VLOOKUP(S2,$AX$2:$AY$12,2,1),""),IF(S2&gt;=$AZ$2,VLOOKUP(S2,$AZ$2:$BA$12,2,1),"")))</f>
        <v>36</v>
      </c>
      <c r="U2" s="15">
        <v>48</v>
      </c>
      <c r="V2" s="38">
        <f t="shared" ref="V2:V65" si="2">IF(OR(N2="",U2="",T2=""),"",U2/N2*T2)</f>
        <v>1728</v>
      </c>
      <c r="W2" s="15">
        <v>6</v>
      </c>
      <c r="X2" s="15" t="s">
        <v>39</v>
      </c>
      <c r="Y2" s="15" t="s">
        <v>40</v>
      </c>
      <c r="Z2" s="15" t="s">
        <v>84</v>
      </c>
      <c r="AA2" s="15" t="s">
        <v>78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54">
        <v>2019</v>
      </c>
      <c r="D3" s="37" t="s">
        <v>168</v>
      </c>
      <c r="E3" s="15" t="s">
        <v>141</v>
      </c>
      <c r="F3" s="7" t="s">
        <v>149</v>
      </c>
      <c r="G3" s="7" t="s">
        <v>36</v>
      </c>
      <c r="H3" s="15" t="s">
        <v>163</v>
      </c>
      <c r="I3" s="7" t="s">
        <v>159</v>
      </c>
      <c r="J3" s="15" t="s">
        <v>38</v>
      </c>
      <c r="K3" s="7" t="s">
        <v>160</v>
      </c>
      <c r="L3" s="7">
        <v>2</v>
      </c>
      <c r="N3" s="7">
        <v>1</v>
      </c>
      <c r="O3" s="34">
        <v>0.5</v>
      </c>
      <c r="P3" s="7">
        <v>0.5</v>
      </c>
      <c r="Q3" s="52">
        <f t="shared" si="0"/>
        <v>0.5</v>
      </c>
      <c r="R3" s="7">
        <v>13.2</v>
      </c>
      <c r="S3" s="7">
        <v>89</v>
      </c>
      <c r="T3" s="16">
        <f t="shared" si="1"/>
        <v>36</v>
      </c>
      <c r="U3" s="15">
        <v>48</v>
      </c>
      <c r="V3" s="16">
        <f t="shared" si="2"/>
        <v>1728</v>
      </c>
      <c r="W3" s="15">
        <v>6</v>
      </c>
      <c r="X3" s="15" t="s">
        <v>39</v>
      </c>
      <c r="Y3" s="54" t="s">
        <v>40</v>
      </c>
      <c r="Z3" s="54" t="s">
        <v>84</v>
      </c>
      <c r="AA3" s="54" t="s">
        <v>78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54">
        <v>2019</v>
      </c>
      <c r="D4" s="37" t="s">
        <v>168</v>
      </c>
      <c r="E4" s="15" t="s">
        <v>141</v>
      </c>
      <c r="F4" s="7" t="s">
        <v>149</v>
      </c>
      <c r="G4" s="7" t="s">
        <v>36</v>
      </c>
      <c r="H4" s="15" t="s">
        <v>163</v>
      </c>
      <c r="I4" s="7" t="s">
        <v>159</v>
      </c>
      <c r="J4" s="15" t="s">
        <v>38</v>
      </c>
      <c r="K4" s="7" t="s">
        <v>160</v>
      </c>
      <c r="L4" s="7">
        <v>3</v>
      </c>
      <c r="N4" s="7">
        <v>1</v>
      </c>
      <c r="O4" s="7">
        <v>0.7</v>
      </c>
      <c r="P4" s="7">
        <v>0.65</v>
      </c>
      <c r="Q4" s="52">
        <f t="shared" si="0"/>
        <v>0.67500000000000004</v>
      </c>
      <c r="R4" s="7">
        <v>12.8</v>
      </c>
      <c r="S4" s="7">
        <v>86</v>
      </c>
      <c r="T4" s="16">
        <f t="shared" si="1"/>
        <v>36</v>
      </c>
      <c r="U4" s="15">
        <v>48</v>
      </c>
      <c r="V4" s="16">
        <f t="shared" si="2"/>
        <v>1728</v>
      </c>
      <c r="W4" s="15">
        <v>6</v>
      </c>
      <c r="X4" s="54" t="s">
        <v>39</v>
      </c>
      <c r="Y4" s="54" t="s">
        <v>40</v>
      </c>
      <c r="Z4" s="54" t="s">
        <v>84</v>
      </c>
      <c r="AA4" s="54" t="s">
        <v>78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54">
        <v>2019</v>
      </c>
      <c r="D5" s="37" t="s">
        <v>168</v>
      </c>
      <c r="E5" s="54" t="s">
        <v>141</v>
      </c>
      <c r="F5" s="53" t="s">
        <v>165</v>
      </c>
      <c r="G5" s="53" t="s">
        <v>36</v>
      </c>
      <c r="H5" s="54" t="s">
        <v>164</v>
      </c>
      <c r="I5" s="7" t="s">
        <v>159</v>
      </c>
      <c r="J5" s="15" t="s">
        <v>38</v>
      </c>
      <c r="K5" s="7" t="s">
        <v>54</v>
      </c>
      <c r="L5" s="7">
        <v>1</v>
      </c>
      <c r="N5" s="53">
        <v>4</v>
      </c>
      <c r="O5" s="7">
        <v>0.75</v>
      </c>
      <c r="P5" s="7">
        <v>0.75</v>
      </c>
      <c r="Q5" s="52">
        <f t="shared" si="0"/>
        <v>0.75</v>
      </c>
      <c r="R5" s="7">
        <v>16.2</v>
      </c>
      <c r="S5" s="7">
        <v>74</v>
      </c>
      <c r="T5" s="16">
        <f t="shared" si="1"/>
        <v>46</v>
      </c>
      <c r="U5" s="15">
        <v>495</v>
      </c>
      <c r="V5" s="16">
        <f t="shared" si="2"/>
        <v>5692.5</v>
      </c>
      <c r="W5" s="15">
        <v>2</v>
      </c>
      <c r="X5" s="54" t="s">
        <v>39</v>
      </c>
      <c r="Y5" s="54" t="s">
        <v>40</v>
      </c>
      <c r="Z5" s="54" t="s">
        <v>84</v>
      </c>
      <c r="AA5" s="54" t="s">
        <v>78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54">
        <v>2019</v>
      </c>
      <c r="D6" s="37" t="s">
        <v>168</v>
      </c>
      <c r="E6" s="54" t="s">
        <v>141</v>
      </c>
      <c r="F6" s="53" t="s">
        <v>166</v>
      </c>
      <c r="G6" s="53" t="s">
        <v>36</v>
      </c>
      <c r="H6" s="54" t="s">
        <v>164</v>
      </c>
      <c r="I6" s="53" t="s">
        <v>159</v>
      </c>
      <c r="J6" s="54" t="s">
        <v>38</v>
      </c>
      <c r="K6" s="53" t="s">
        <v>54</v>
      </c>
      <c r="L6" s="7">
        <v>2</v>
      </c>
      <c r="N6" s="53">
        <v>4</v>
      </c>
      <c r="O6" s="7">
        <v>0.65</v>
      </c>
      <c r="P6" s="7">
        <v>0.55000000000000004</v>
      </c>
      <c r="Q6" s="52">
        <f t="shared" si="0"/>
        <v>0.60000000000000009</v>
      </c>
      <c r="R6" s="7">
        <v>15.4</v>
      </c>
      <c r="S6" s="7">
        <v>74</v>
      </c>
      <c r="T6" s="16">
        <f t="shared" si="1"/>
        <v>46</v>
      </c>
      <c r="U6" s="15">
        <v>495</v>
      </c>
      <c r="V6" s="16">
        <f t="shared" si="2"/>
        <v>5692.5</v>
      </c>
      <c r="W6" s="15">
        <v>2</v>
      </c>
      <c r="X6" s="54" t="s">
        <v>39</v>
      </c>
      <c r="Y6" s="54" t="s">
        <v>40</v>
      </c>
      <c r="Z6" s="54" t="s">
        <v>84</v>
      </c>
      <c r="AA6" s="54" t="s">
        <v>78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54">
        <v>2019</v>
      </c>
      <c r="D7" s="37" t="s">
        <v>168</v>
      </c>
      <c r="E7" s="54" t="s">
        <v>141</v>
      </c>
      <c r="F7" s="53" t="s">
        <v>167</v>
      </c>
      <c r="G7" s="53" t="s">
        <v>36</v>
      </c>
      <c r="H7" s="54" t="s">
        <v>164</v>
      </c>
      <c r="I7" s="53" t="s">
        <v>159</v>
      </c>
      <c r="J7" s="54" t="s">
        <v>38</v>
      </c>
      <c r="K7" s="53" t="s">
        <v>54</v>
      </c>
      <c r="L7" s="7">
        <v>3</v>
      </c>
      <c r="N7" s="53">
        <v>4</v>
      </c>
      <c r="O7" s="7">
        <v>0.9</v>
      </c>
      <c r="P7" s="7">
        <v>0.9</v>
      </c>
      <c r="Q7" s="52">
        <f t="shared" si="0"/>
        <v>0.9</v>
      </c>
      <c r="R7" s="34">
        <v>10.8</v>
      </c>
      <c r="S7" s="7">
        <v>92</v>
      </c>
      <c r="T7" s="16">
        <f t="shared" si="1"/>
        <v>39</v>
      </c>
      <c r="U7" s="15">
        <v>495</v>
      </c>
      <c r="V7" s="16">
        <f t="shared" si="2"/>
        <v>4826.25</v>
      </c>
      <c r="W7" s="15">
        <v>2</v>
      </c>
      <c r="X7" s="54" t="s">
        <v>39</v>
      </c>
      <c r="Y7" s="54" t="s">
        <v>40</v>
      </c>
      <c r="Z7" s="54" t="s">
        <v>84</v>
      </c>
      <c r="AA7" s="54" t="s">
        <v>78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54">
        <v>2019</v>
      </c>
      <c r="D8" s="37" t="s">
        <v>168</v>
      </c>
      <c r="E8" s="15" t="s">
        <v>133</v>
      </c>
      <c r="F8" s="7" t="s">
        <v>150</v>
      </c>
      <c r="G8" s="7" t="s">
        <v>36</v>
      </c>
      <c r="H8" s="15" t="s">
        <v>163</v>
      </c>
      <c r="I8" s="7" t="s">
        <v>159</v>
      </c>
      <c r="J8" s="15" t="s">
        <v>38</v>
      </c>
      <c r="K8" s="7" t="s">
        <v>160</v>
      </c>
      <c r="L8" s="7">
        <v>1</v>
      </c>
      <c r="N8" s="53">
        <v>1</v>
      </c>
      <c r="O8" s="7">
        <v>0.55000000000000004</v>
      </c>
      <c r="P8" s="7">
        <v>0.8</v>
      </c>
      <c r="Q8" s="52">
        <f t="shared" si="0"/>
        <v>0.67500000000000004</v>
      </c>
      <c r="R8" s="34">
        <v>12.8</v>
      </c>
      <c r="S8" s="7">
        <v>115</v>
      </c>
      <c r="T8" s="16">
        <f t="shared" si="1"/>
        <v>30</v>
      </c>
      <c r="U8" s="15">
        <v>90</v>
      </c>
      <c r="V8" s="16">
        <f t="shared" si="2"/>
        <v>2700</v>
      </c>
      <c r="W8" s="15">
        <v>12</v>
      </c>
      <c r="X8" s="54" t="s">
        <v>46</v>
      </c>
      <c r="Y8" s="54" t="s">
        <v>84</v>
      </c>
      <c r="Z8" s="54" t="s">
        <v>90</v>
      </c>
      <c r="AA8" s="54" t="s">
        <v>69</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54">
        <v>2019</v>
      </c>
      <c r="D9" s="37" t="s">
        <v>168</v>
      </c>
      <c r="E9" s="15" t="s">
        <v>133</v>
      </c>
      <c r="F9" s="7" t="s">
        <v>150</v>
      </c>
      <c r="G9" s="7" t="s">
        <v>36</v>
      </c>
      <c r="H9" s="54" t="s">
        <v>163</v>
      </c>
      <c r="I9" s="53" t="s">
        <v>159</v>
      </c>
      <c r="J9" s="54" t="s">
        <v>38</v>
      </c>
      <c r="K9" s="53" t="s">
        <v>160</v>
      </c>
      <c r="L9" s="7">
        <v>2</v>
      </c>
      <c r="N9" s="7">
        <v>1</v>
      </c>
      <c r="O9" s="7">
        <v>0.5</v>
      </c>
      <c r="P9" s="7">
        <v>0.5</v>
      </c>
      <c r="Q9" s="52">
        <f t="shared" si="0"/>
        <v>0.5</v>
      </c>
      <c r="R9" s="7">
        <v>13.2</v>
      </c>
      <c r="S9" s="7">
        <v>115</v>
      </c>
      <c r="T9" s="16">
        <f t="shared" si="1"/>
        <v>30</v>
      </c>
      <c r="U9" s="15">
        <v>90</v>
      </c>
      <c r="V9" s="16">
        <f t="shared" si="2"/>
        <v>2700</v>
      </c>
      <c r="W9" s="15">
        <v>12</v>
      </c>
      <c r="X9" s="54" t="s">
        <v>46</v>
      </c>
      <c r="Y9" s="54" t="s">
        <v>84</v>
      </c>
      <c r="Z9" s="54" t="s">
        <v>90</v>
      </c>
      <c r="AA9" s="54" t="s">
        <v>69</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54">
        <v>2019</v>
      </c>
      <c r="D10" s="37" t="s">
        <v>168</v>
      </c>
      <c r="E10" s="15" t="s">
        <v>133</v>
      </c>
      <c r="F10" s="7" t="s">
        <v>150</v>
      </c>
      <c r="G10" s="7" t="s">
        <v>36</v>
      </c>
      <c r="H10" s="54" t="s">
        <v>163</v>
      </c>
      <c r="I10" s="53" t="s">
        <v>159</v>
      </c>
      <c r="J10" s="54" t="s">
        <v>38</v>
      </c>
      <c r="K10" s="53" t="s">
        <v>160</v>
      </c>
      <c r="L10" s="7">
        <v>3</v>
      </c>
      <c r="N10" s="53">
        <v>1</v>
      </c>
      <c r="O10" s="7">
        <v>0.9</v>
      </c>
      <c r="P10" s="7">
        <v>0.9</v>
      </c>
      <c r="Q10" s="52">
        <f t="shared" si="0"/>
        <v>0.9</v>
      </c>
      <c r="R10" s="7">
        <v>13.5</v>
      </c>
      <c r="S10" s="7">
        <v>120</v>
      </c>
      <c r="T10" s="16">
        <f t="shared" si="1"/>
        <v>30</v>
      </c>
      <c r="U10" s="15">
        <v>90</v>
      </c>
      <c r="V10" s="16">
        <f t="shared" si="2"/>
        <v>2700</v>
      </c>
      <c r="W10" s="15">
        <v>12</v>
      </c>
      <c r="X10" s="54" t="s">
        <v>46</v>
      </c>
      <c r="Y10" s="54" t="s">
        <v>84</v>
      </c>
      <c r="Z10" s="54" t="s">
        <v>90</v>
      </c>
      <c r="AA10" s="54" t="s">
        <v>69</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54">
        <v>2019</v>
      </c>
      <c r="D11" s="37" t="s">
        <v>168</v>
      </c>
      <c r="E11" s="15" t="s">
        <v>133</v>
      </c>
      <c r="F11" s="7" t="s">
        <v>150</v>
      </c>
      <c r="G11" s="7" t="s">
        <v>36</v>
      </c>
      <c r="H11" s="15" t="s">
        <v>128</v>
      </c>
      <c r="I11" s="7" t="s">
        <v>159</v>
      </c>
      <c r="J11" s="15" t="s">
        <v>80</v>
      </c>
      <c r="K11" s="7" t="s">
        <v>45</v>
      </c>
      <c r="L11" s="7">
        <v>1</v>
      </c>
      <c r="N11" s="53">
        <v>1</v>
      </c>
      <c r="O11" s="7">
        <v>1.1000000000000001</v>
      </c>
      <c r="P11" s="7">
        <v>1.1499999999999999</v>
      </c>
      <c r="Q11" s="52">
        <f t="shared" si="0"/>
        <v>1.125</v>
      </c>
      <c r="R11" s="7">
        <v>13.3</v>
      </c>
      <c r="S11" s="7">
        <v>114</v>
      </c>
      <c r="T11" s="16">
        <f t="shared" si="1"/>
        <v>30</v>
      </c>
      <c r="U11" s="7">
        <v>90</v>
      </c>
      <c r="V11" s="16">
        <f t="shared" si="2"/>
        <v>2700</v>
      </c>
      <c r="W11" s="7">
        <v>2</v>
      </c>
      <c r="X11" s="54" t="s">
        <v>46</v>
      </c>
      <c r="Y11" s="54" t="s">
        <v>84</v>
      </c>
      <c r="Z11" s="54" t="s">
        <v>90</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54">
        <v>2019</v>
      </c>
      <c r="D12" s="37" t="s">
        <v>168</v>
      </c>
      <c r="E12" s="15" t="s">
        <v>133</v>
      </c>
      <c r="F12" s="7" t="s">
        <v>150</v>
      </c>
      <c r="G12" s="7" t="s">
        <v>36</v>
      </c>
      <c r="H12" s="54" t="s">
        <v>128</v>
      </c>
      <c r="I12" s="53" t="s">
        <v>159</v>
      </c>
      <c r="J12" s="54" t="s">
        <v>80</v>
      </c>
      <c r="K12" s="53" t="s">
        <v>45</v>
      </c>
      <c r="L12" s="7">
        <v>2</v>
      </c>
      <c r="N12" s="53">
        <v>1</v>
      </c>
      <c r="O12" s="7">
        <v>0.8</v>
      </c>
      <c r="P12" s="7">
        <v>0.9</v>
      </c>
      <c r="Q12" s="52">
        <f t="shared" si="0"/>
        <v>0.85000000000000009</v>
      </c>
      <c r="R12" s="34">
        <v>12.9</v>
      </c>
      <c r="S12" s="7">
        <v>99</v>
      </c>
      <c r="T12" s="16">
        <f t="shared" si="1"/>
        <v>33</v>
      </c>
      <c r="U12" s="7">
        <v>90</v>
      </c>
      <c r="V12" s="16">
        <f t="shared" si="2"/>
        <v>2970</v>
      </c>
      <c r="W12" s="7">
        <v>2</v>
      </c>
      <c r="X12" s="54" t="s">
        <v>46</v>
      </c>
      <c r="Y12" s="54" t="s">
        <v>84</v>
      </c>
      <c r="Z12" s="54" t="s">
        <v>90</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54">
        <v>2019</v>
      </c>
      <c r="D13" s="37" t="s">
        <v>168</v>
      </c>
      <c r="E13" s="15" t="s">
        <v>133</v>
      </c>
      <c r="F13" s="7" t="s">
        <v>150</v>
      </c>
      <c r="G13" s="7" t="s">
        <v>36</v>
      </c>
      <c r="H13" s="54" t="s">
        <v>128</v>
      </c>
      <c r="I13" s="53" t="s">
        <v>159</v>
      </c>
      <c r="J13" s="54" t="s">
        <v>80</v>
      </c>
      <c r="K13" s="53" t="s">
        <v>45</v>
      </c>
      <c r="L13" s="7">
        <v>3</v>
      </c>
      <c r="N13" s="53">
        <v>1</v>
      </c>
      <c r="O13" s="7">
        <v>1</v>
      </c>
      <c r="P13" s="7">
        <v>1.1499999999999999</v>
      </c>
      <c r="Q13" s="52">
        <f t="shared" si="0"/>
        <v>1.075</v>
      </c>
      <c r="R13" s="7">
        <v>14.1</v>
      </c>
      <c r="S13" s="7">
        <v>104</v>
      </c>
      <c r="T13" s="16">
        <f t="shared" si="1"/>
        <v>33</v>
      </c>
      <c r="U13" s="7">
        <v>90</v>
      </c>
      <c r="V13" s="16">
        <f t="shared" si="2"/>
        <v>2970</v>
      </c>
      <c r="W13" s="7">
        <v>2</v>
      </c>
      <c r="X13" s="54" t="s">
        <v>46</v>
      </c>
      <c r="Y13" s="54" t="s">
        <v>84</v>
      </c>
      <c r="Z13" s="54" t="s">
        <v>90</v>
      </c>
      <c r="AA13" s="54" t="s">
        <v>69</v>
      </c>
      <c r="AB13" s="39" t="s">
        <v>158</v>
      </c>
      <c r="AE13" s="22" t="s">
        <v>73</v>
      </c>
      <c r="AG13" s="23"/>
      <c r="AH13" s="23"/>
      <c r="AP13" s="23" t="s">
        <v>71</v>
      </c>
      <c r="AR13" s="30" t="s">
        <v>103</v>
      </c>
      <c r="AV13" s="23" t="s">
        <v>75</v>
      </c>
    </row>
    <row r="14" spans="1:53" x14ac:dyDescent="0.15">
      <c r="A14" s="15" t="s">
        <v>156</v>
      </c>
      <c r="B14" s="15" t="s">
        <v>157</v>
      </c>
      <c r="C14" s="54">
        <v>2019</v>
      </c>
      <c r="D14" s="37" t="s">
        <v>168</v>
      </c>
      <c r="E14" s="15" t="s">
        <v>142</v>
      </c>
      <c r="F14" s="7" t="s">
        <v>151</v>
      </c>
      <c r="G14" s="7" t="s">
        <v>36</v>
      </c>
      <c r="H14" s="15" t="s">
        <v>163</v>
      </c>
      <c r="I14" s="7" t="s">
        <v>159</v>
      </c>
      <c r="J14" s="15" t="s">
        <v>38</v>
      </c>
      <c r="K14" s="7" t="s">
        <v>160</v>
      </c>
      <c r="L14" s="7">
        <v>1</v>
      </c>
      <c r="N14" s="53">
        <v>1</v>
      </c>
      <c r="O14" s="7">
        <v>0.75</v>
      </c>
      <c r="P14" s="7">
        <v>0.8</v>
      </c>
      <c r="Q14" s="52">
        <f t="shared" si="0"/>
        <v>0.77500000000000002</v>
      </c>
      <c r="R14" s="7">
        <v>12.2</v>
      </c>
      <c r="S14" s="7">
        <v>119</v>
      </c>
      <c r="T14" s="16">
        <f t="shared" si="1"/>
        <v>30</v>
      </c>
      <c r="U14" s="7">
        <v>138</v>
      </c>
      <c r="V14" s="16">
        <f t="shared" si="2"/>
        <v>4140</v>
      </c>
      <c r="W14" s="7">
        <v>3</v>
      </c>
      <c r="X14" s="54" t="s">
        <v>46</v>
      </c>
      <c r="Y14" s="54" t="s">
        <v>84</v>
      </c>
      <c r="Z14" s="54" t="s">
        <v>69</v>
      </c>
      <c r="AA14" s="54" t="s">
        <v>90</v>
      </c>
      <c r="AB14" s="39" t="s">
        <v>158</v>
      </c>
      <c r="AE14" s="22" t="s">
        <v>76</v>
      </c>
      <c r="AG14" s="23"/>
      <c r="AH14" s="23"/>
      <c r="AP14" s="23" t="s">
        <v>74</v>
      </c>
      <c r="AR14" s="30" t="s">
        <v>125</v>
      </c>
      <c r="AV14" s="23" t="s">
        <v>78</v>
      </c>
    </row>
    <row r="15" spans="1:53" x14ac:dyDescent="0.15">
      <c r="A15" s="15" t="s">
        <v>156</v>
      </c>
      <c r="B15" s="15" t="s">
        <v>157</v>
      </c>
      <c r="C15" s="54">
        <v>2019</v>
      </c>
      <c r="D15" s="37" t="s">
        <v>168</v>
      </c>
      <c r="E15" s="15" t="s">
        <v>142</v>
      </c>
      <c r="F15" s="7" t="s">
        <v>151</v>
      </c>
      <c r="G15" s="7" t="s">
        <v>36</v>
      </c>
      <c r="H15" s="15" t="s">
        <v>163</v>
      </c>
      <c r="I15" s="7" t="s">
        <v>159</v>
      </c>
      <c r="J15" s="15" t="s">
        <v>38</v>
      </c>
      <c r="K15" s="7" t="s">
        <v>160</v>
      </c>
      <c r="L15" s="7">
        <v>2</v>
      </c>
      <c r="N15" s="53">
        <v>1</v>
      </c>
      <c r="O15" s="7">
        <v>0.5</v>
      </c>
      <c r="P15" s="7">
        <v>0.5</v>
      </c>
      <c r="Q15" s="52">
        <f t="shared" si="0"/>
        <v>0.5</v>
      </c>
      <c r="R15" s="7">
        <v>12.5</v>
      </c>
      <c r="S15" s="7">
        <v>119</v>
      </c>
      <c r="T15" s="16">
        <f t="shared" si="1"/>
        <v>30</v>
      </c>
      <c r="U15" s="7">
        <v>138</v>
      </c>
      <c r="V15" s="16">
        <f t="shared" si="2"/>
        <v>4140</v>
      </c>
      <c r="W15" s="7">
        <v>3</v>
      </c>
      <c r="X15" s="54" t="s">
        <v>46</v>
      </c>
      <c r="Y15" s="54" t="s">
        <v>84</v>
      </c>
      <c r="Z15" s="54" t="s">
        <v>69</v>
      </c>
      <c r="AA15" s="54" t="s">
        <v>90</v>
      </c>
      <c r="AB15" s="39" t="s">
        <v>158</v>
      </c>
      <c r="AE15" s="22" t="s">
        <v>79</v>
      </c>
      <c r="AG15" s="23"/>
      <c r="AH15" s="23"/>
      <c r="AP15" s="23" t="s">
        <v>77</v>
      </c>
      <c r="AR15" s="30" t="s">
        <v>94</v>
      </c>
      <c r="AV15" s="23" t="s">
        <v>107</v>
      </c>
    </row>
    <row r="16" spans="1:53" x14ac:dyDescent="0.15">
      <c r="A16" s="15" t="s">
        <v>156</v>
      </c>
      <c r="B16" s="15" t="s">
        <v>157</v>
      </c>
      <c r="C16" s="54">
        <v>2019</v>
      </c>
      <c r="D16" s="37" t="s">
        <v>168</v>
      </c>
      <c r="E16" s="15" t="s">
        <v>142</v>
      </c>
      <c r="F16" s="7" t="s">
        <v>151</v>
      </c>
      <c r="G16" s="7" t="s">
        <v>36</v>
      </c>
      <c r="H16" s="15" t="s">
        <v>163</v>
      </c>
      <c r="I16" s="7" t="s">
        <v>159</v>
      </c>
      <c r="J16" s="15" t="s">
        <v>38</v>
      </c>
      <c r="K16" s="7" t="s">
        <v>160</v>
      </c>
      <c r="L16" s="7">
        <v>3</v>
      </c>
      <c r="N16" s="53">
        <v>1</v>
      </c>
      <c r="O16" s="7">
        <v>0.5</v>
      </c>
      <c r="P16" s="7">
        <v>0.5</v>
      </c>
      <c r="Q16" s="52">
        <f t="shared" si="0"/>
        <v>0.5</v>
      </c>
      <c r="R16" s="7">
        <v>13.7</v>
      </c>
      <c r="S16" s="7">
        <v>123</v>
      </c>
      <c r="T16" s="16">
        <f t="shared" si="1"/>
        <v>27</v>
      </c>
      <c r="U16" s="7">
        <v>138</v>
      </c>
      <c r="V16" s="16">
        <f t="shared" si="2"/>
        <v>3726</v>
      </c>
      <c r="W16" s="7">
        <v>3</v>
      </c>
      <c r="X16" s="54" t="s">
        <v>46</v>
      </c>
      <c r="Y16" s="54" t="s">
        <v>84</v>
      </c>
      <c r="Z16" s="54" t="s">
        <v>69</v>
      </c>
      <c r="AA16" s="54" t="s">
        <v>90</v>
      </c>
      <c r="AB16" s="39" t="s">
        <v>158</v>
      </c>
      <c r="AE16" s="22" t="s">
        <v>82</v>
      </c>
      <c r="AG16" s="28"/>
      <c r="AH16" s="28"/>
      <c r="AP16" s="23" t="s">
        <v>80</v>
      </c>
      <c r="AR16" s="41" t="s">
        <v>63</v>
      </c>
      <c r="AV16" s="23" t="s">
        <v>84</v>
      </c>
    </row>
    <row r="17" spans="1:48" x14ac:dyDescent="0.15">
      <c r="A17" s="15" t="s">
        <v>156</v>
      </c>
      <c r="B17" s="15" t="s">
        <v>157</v>
      </c>
      <c r="C17" s="54">
        <v>2019</v>
      </c>
      <c r="D17" s="37" t="s">
        <v>168</v>
      </c>
      <c r="E17" s="15" t="s">
        <v>143</v>
      </c>
      <c r="F17" s="7" t="s">
        <v>152</v>
      </c>
      <c r="G17" s="7" t="s">
        <v>36</v>
      </c>
      <c r="H17" s="15" t="s">
        <v>163</v>
      </c>
      <c r="I17" s="7" t="s">
        <v>159</v>
      </c>
      <c r="J17" s="15" t="s">
        <v>38</v>
      </c>
      <c r="K17" s="7" t="s">
        <v>160</v>
      </c>
      <c r="L17" s="7">
        <v>1</v>
      </c>
      <c r="N17" s="53">
        <v>5</v>
      </c>
      <c r="O17" s="7">
        <v>0.5</v>
      </c>
      <c r="P17" s="7">
        <v>0.6</v>
      </c>
      <c r="Q17" s="52">
        <f t="shared" si="0"/>
        <v>0.55000000000000004</v>
      </c>
      <c r="R17" s="7">
        <v>12</v>
      </c>
      <c r="S17" s="7">
        <v>84</v>
      </c>
      <c r="T17" s="16">
        <f t="shared" si="1"/>
        <v>36</v>
      </c>
      <c r="U17" s="7">
        <v>398</v>
      </c>
      <c r="V17" s="16">
        <f t="shared" si="2"/>
        <v>2865.6</v>
      </c>
      <c r="W17" s="7">
        <v>2</v>
      </c>
      <c r="X17" s="54" t="s">
        <v>39</v>
      </c>
      <c r="Y17" s="54" t="s">
        <v>84</v>
      </c>
      <c r="Z17" s="54" t="s">
        <v>90</v>
      </c>
      <c r="AA17" s="54" t="s">
        <v>40</v>
      </c>
      <c r="AB17" s="39" t="s">
        <v>158</v>
      </c>
      <c r="AE17" s="22" t="s">
        <v>85</v>
      </c>
      <c r="AP17" s="43" t="s">
        <v>110</v>
      </c>
      <c r="AR17" s="41" t="s">
        <v>96</v>
      </c>
      <c r="AV17" s="23" t="s">
        <v>86</v>
      </c>
    </row>
    <row r="18" spans="1:48" x14ac:dyDescent="0.15">
      <c r="A18" s="15" t="s">
        <v>156</v>
      </c>
      <c r="B18" s="15" t="s">
        <v>157</v>
      </c>
      <c r="C18" s="54">
        <v>2019</v>
      </c>
      <c r="D18" s="37" t="s">
        <v>168</v>
      </c>
      <c r="E18" s="15" t="s">
        <v>143</v>
      </c>
      <c r="F18" s="7" t="s">
        <v>152</v>
      </c>
      <c r="G18" s="7" t="s">
        <v>36</v>
      </c>
      <c r="H18" s="15" t="s">
        <v>163</v>
      </c>
      <c r="I18" s="7" t="s">
        <v>159</v>
      </c>
      <c r="J18" s="15" t="s">
        <v>38</v>
      </c>
      <c r="K18" s="7" t="s">
        <v>160</v>
      </c>
      <c r="L18" s="7">
        <v>2</v>
      </c>
      <c r="N18" s="53">
        <v>5</v>
      </c>
      <c r="O18" s="7">
        <v>0.55000000000000004</v>
      </c>
      <c r="P18" s="7">
        <v>0.7</v>
      </c>
      <c r="Q18" s="52">
        <f t="shared" si="0"/>
        <v>0.625</v>
      </c>
      <c r="R18" s="7">
        <v>12.8</v>
      </c>
      <c r="S18" s="7">
        <v>88</v>
      </c>
      <c r="T18" s="16">
        <f t="shared" si="1"/>
        <v>36</v>
      </c>
      <c r="U18" s="7">
        <v>398</v>
      </c>
      <c r="V18" s="16">
        <f t="shared" si="2"/>
        <v>2865.6</v>
      </c>
      <c r="W18" s="7">
        <v>2</v>
      </c>
      <c r="X18" s="54" t="s">
        <v>39</v>
      </c>
      <c r="Y18" s="54" t="s">
        <v>84</v>
      </c>
      <c r="Z18" s="54" t="s">
        <v>90</v>
      </c>
      <c r="AA18" s="54" t="s">
        <v>40</v>
      </c>
      <c r="AB18" s="39" t="s">
        <v>158</v>
      </c>
      <c r="AE18" s="22" t="s">
        <v>87</v>
      </c>
      <c r="AP18" s="43" t="s">
        <v>111</v>
      </c>
      <c r="AR18" s="41" t="s">
        <v>101</v>
      </c>
      <c r="AV18" s="23" t="s">
        <v>88</v>
      </c>
    </row>
    <row r="19" spans="1:48" x14ac:dyDescent="0.15">
      <c r="A19" s="15" t="s">
        <v>156</v>
      </c>
      <c r="B19" s="15" t="s">
        <v>157</v>
      </c>
      <c r="C19" s="54">
        <v>2019</v>
      </c>
      <c r="D19" s="37" t="s">
        <v>168</v>
      </c>
      <c r="E19" s="15" t="s">
        <v>143</v>
      </c>
      <c r="F19" s="7" t="s">
        <v>152</v>
      </c>
      <c r="G19" s="7" t="s">
        <v>36</v>
      </c>
      <c r="H19" s="15" t="s">
        <v>163</v>
      </c>
      <c r="I19" s="7" t="s">
        <v>159</v>
      </c>
      <c r="J19" s="15" t="s">
        <v>38</v>
      </c>
      <c r="K19" s="7" t="s">
        <v>160</v>
      </c>
      <c r="L19" s="7">
        <v>3</v>
      </c>
      <c r="N19" s="53">
        <v>5</v>
      </c>
      <c r="O19" s="7">
        <v>0.5</v>
      </c>
      <c r="P19" s="7">
        <v>0.5</v>
      </c>
      <c r="Q19" s="52">
        <f t="shared" si="0"/>
        <v>0.5</v>
      </c>
      <c r="R19" s="7">
        <v>12.8</v>
      </c>
      <c r="S19" s="7">
        <v>82</v>
      </c>
      <c r="T19" s="16">
        <f t="shared" si="1"/>
        <v>39</v>
      </c>
      <c r="U19" s="7">
        <v>398</v>
      </c>
      <c r="V19" s="16">
        <f t="shared" si="2"/>
        <v>3104.3999999999996</v>
      </c>
      <c r="W19" s="7">
        <v>2</v>
      </c>
      <c r="X19" s="54" t="s">
        <v>39</v>
      </c>
      <c r="Y19" s="54" t="s">
        <v>84</v>
      </c>
      <c r="Z19" s="54" t="s">
        <v>90</v>
      </c>
      <c r="AA19" s="54" t="s">
        <v>40</v>
      </c>
      <c r="AB19" s="39" t="s">
        <v>158</v>
      </c>
      <c r="AE19" s="35" t="s">
        <v>89</v>
      </c>
      <c r="AP19" s="43" t="s">
        <v>112</v>
      </c>
      <c r="AR19" s="30" t="s">
        <v>126</v>
      </c>
      <c r="AV19" s="23" t="s">
        <v>90</v>
      </c>
    </row>
    <row r="20" spans="1:48" x14ac:dyDescent="0.15">
      <c r="A20" s="15" t="s">
        <v>156</v>
      </c>
      <c r="B20" s="15" t="s">
        <v>157</v>
      </c>
      <c r="C20" s="54">
        <v>2019</v>
      </c>
      <c r="D20" s="37" t="s">
        <v>168</v>
      </c>
      <c r="E20" s="15" t="s">
        <v>143</v>
      </c>
      <c r="F20" s="7" t="s">
        <v>152</v>
      </c>
      <c r="G20" s="7" t="s">
        <v>36</v>
      </c>
      <c r="H20" s="15" t="s">
        <v>164</v>
      </c>
      <c r="I20" s="7" t="s">
        <v>159</v>
      </c>
      <c r="J20" s="15" t="s">
        <v>38</v>
      </c>
      <c r="K20" s="7" t="s">
        <v>54</v>
      </c>
      <c r="L20" s="7">
        <v>1</v>
      </c>
      <c r="N20" s="53">
        <v>4</v>
      </c>
      <c r="O20" s="7">
        <v>0.85</v>
      </c>
      <c r="P20" s="34">
        <v>0.85</v>
      </c>
      <c r="Q20" s="52">
        <f t="shared" si="0"/>
        <v>0.85</v>
      </c>
      <c r="R20" s="7">
        <v>12.5</v>
      </c>
      <c r="S20" s="7">
        <v>96</v>
      </c>
      <c r="T20" s="16">
        <f t="shared" si="1"/>
        <v>39</v>
      </c>
      <c r="U20" s="7">
        <v>498</v>
      </c>
      <c r="V20" s="16">
        <f t="shared" si="2"/>
        <v>4855.5</v>
      </c>
      <c r="W20" s="7">
        <v>1</v>
      </c>
      <c r="X20" s="54" t="s">
        <v>39</v>
      </c>
      <c r="Y20" s="54" t="s">
        <v>84</v>
      </c>
      <c r="Z20" s="54" t="s">
        <v>90</v>
      </c>
      <c r="AA20" s="54" t="s">
        <v>40</v>
      </c>
      <c r="AB20" s="39" t="s">
        <v>158</v>
      </c>
      <c r="AE20" s="22"/>
      <c r="AP20" s="43" t="s">
        <v>113</v>
      </c>
      <c r="AR20" s="41" t="s">
        <v>105</v>
      </c>
      <c r="AV20" s="27" t="s">
        <v>135</v>
      </c>
    </row>
    <row r="21" spans="1:48" x14ac:dyDescent="0.15">
      <c r="A21" s="15" t="s">
        <v>156</v>
      </c>
      <c r="B21" s="15" t="s">
        <v>157</v>
      </c>
      <c r="C21" s="54">
        <v>2019</v>
      </c>
      <c r="D21" s="37" t="s">
        <v>168</v>
      </c>
      <c r="E21" s="15" t="s">
        <v>143</v>
      </c>
      <c r="F21" s="7" t="s">
        <v>152</v>
      </c>
      <c r="G21" s="7" t="s">
        <v>36</v>
      </c>
      <c r="H21" s="54" t="s">
        <v>164</v>
      </c>
      <c r="I21" s="7" t="s">
        <v>159</v>
      </c>
      <c r="J21" s="15" t="s">
        <v>38</v>
      </c>
      <c r="K21" s="53" t="s">
        <v>54</v>
      </c>
      <c r="L21" s="7">
        <v>2</v>
      </c>
      <c r="N21" s="53">
        <v>4</v>
      </c>
      <c r="O21" s="7">
        <v>0.65</v>
      </c>
      <c r="P21" s="7">
        <v>0.6</v>
      </c>
      <c r="Q21" s="52">
        <f t="shared" si="0"/>
        <v>0.625</v>
      </c>
      <c r="R21" s="7">
        <v>15.3</v>
      </c>
      <c r="S21" s="7">
        <v>80</v>
      </c>
      <c r="T21" s="16">
        <f t="shared" si="1"/>
        <v>42</v>
      </c>
      <c r="U21" s="7">
        <v>498</v>
      </c>
      <c r="V21" s="16">
        <f t="shared" si="2"/>
        <v>5229</v>
      </c>
      <c r="W21" s="7">
        <v>1</v>
      </c>
      <c r="X21" s="54" t="s">
        <v>39</v>
      </c>
      <c r="Y21" s="54" t="s">
        <v>84</v>
      </c>
      <c r="Z21" s="54" t="s">
        <v>90</v>
      </c>
      <c r="AA21" s="54" t="s">
        <v>40</v>
      </c>
      <c r="AB21" s="39" t="s">
        <v>158</v>
      </c>
      <c r="AE21" s="22"/>
      <c r="AP21" s="43" t="s">
        <v>114</v>
      </c>
      <c r="AR21" s="41" t="s">
        <v>68</v>
      </c>
      <c r="AV21" s="27" t="s">
        <v>136</v>
      </c>
    </row>
    <row r="22" spans="1:48" x14ac:dyDescent="0.15">
      <c r="A22" s="15" t="s">
        <v>156</v>
      </c>
      <c r="B22" s="15" t="s">
        <v>157</v>
      </c>
      <c r="C22" s="54">
        <v>2019</v>
      </c>
      <c r="D22" s="37" t="s">
        <v>168</v>
      </c>
      <c r="E22" s="15" t="s">
        <v>143</v>
      </c>
      <c r="F22" s="7" t="s">
        <v>152</v>
      </c>
      <c r="G22" s="7" t="s">
        <v>36</v>
      </c>
      <c r="H22" s="54" t="s">
        <v>164</v>
      </c>
      <c r="I22" s="7" t="s">
        <v>159</v>
      </c>
      <c r="J22" s="15" t="s">
        <v>38</v>
      </c>
      <c r="K22" s="53" t="s">
        <v>54</v>
      </c>
      <c r="L22" s="7">
        <v>3</v>
      </c>
      <c r="N22" s="7">
        <v>4</v>
      </c>
      <c r="O22" s="34">
        <v>0.5</v>
      </c>
      <c r="P22" s="7">
        <v>0.6</v>
      </c>
      <c r="Q22" s="52">
        <f t="shared" si="0"/>
        <v>0.55000000000000004</v>
      </c>
      <c r="R22" s="7">
        <v>14.5</v>
      </c>
      <c r="S22" s="7">
        <v>80</v>
      </c>
      <c r="T22" s="16">
        <f t="shared" si="1"/>
        <v>42</v>
      </c>
      <c r="U22" s="7">
        <v>498</v>
      </c>
      <c r="V22" s="16">
        <f t="shared" si="2"/>
        <v>5229</v>
      </c>
      <c r="W22" s="7">
        <v>1</v>
      </c>
      <c r="X22" s="54" t="s">
        <v>39</v>
      </c>
      <c r="Y22" s="54" t="s">
        <v>84</v>
      </c>
      <c r="Z22" s="54" t="s">
        <v>90</v>
      </c>
      <c r="AA22" s="54" t="s">
        <v>40</v>
      </c>
      <c r="AB22" s="39" t="s">
        <v>158</v>
      </c>
      <c r="AE22" s="35"/>
      <c r="AP22" s="43" t="s">
        <v>115</v>
      </c>
      <c r="AR22" s="41" t="s">
        <v>83</v>
      </c>
      <c r="AV22" s="27"/>
    </row>
    <row r="23" spans="1:48" x14ac:dyDescent="0.15">
      <c r="A23" s="15" t="s">
        <v>156</v>
      </c>
      <c r="B23" s="15" t="s">
        <v>157</v>
      </c>
      <c r="C23" s="54">
        <v>2019</v>
      </c>
      <c r="D23" s="37" t="s">
        <v>168</v>
      </c>
      <c r="E23" s="7" t="s">
        <v>131</v>
      </c>
      <c r="F23" s="7" t="s">
        <v>144</v>
      </c>
      <c r="G23" s="7" t="s">
        <v>36</v>
      </c>
      <c r="H23" s="15" t="s">
        <v>127</v>
      </c>
      <c r="I23" s="7" t="s">
        <v>159</v>
      </c>
      <c r="J23" s="15" t="s">
        <v>53</v>
      </c>
      <c r="K23" s="7" t="s">
        <v>54</v>
      </c>
      <c r="L23" s="7">
        <v>1</v>
      </c>
      <c r="N23" s="7">
        <v>5</v>
      </c>
      <c r="O23" s="34">
        <v>1.2</v>
      </c>
      <c r="P23" s="7">
        <v>1.25</v>
      </c>
      <c r="Q23" s="52">
        <f t="shared" si="0"/>
        <v>1.2250000000000001</v>
      </c>
      <c r="R23" s="7">
        <v>11</v>
      </c>
      <c r="S23" s="7">
        <v>112</v>
      </c>
      <c r="T23" s="16">
        <f t="shared" si="1"/>
        <v>33</v>
      </c>
      <c r="U23" s="7">
        <v>538</v>
      </c>
      <c r="V23" s="16">
        <f t="shared" si="2"/>
        <v>3550.7999999999997</v>
      </c>
      <c r="W23" s="7">
        <v>1</v>
      </c>
      <c r="X23" s="54" t="s">
        <v>39</v>
      </c>
      <c r="Y23" s="54" t="s">
        <v>84</v>
      </c>
      <c r="Z23" s="54" t="s">
        <v>90</v>
      </c>
      <c r="AA23" s="54" t="s">
        <v>78</v>
      </c>
      <c r="AB23" s="39" t="s">
        <v>158</v>
      </c>
      <c r="AE23" s="22"/>
      <c r="AP23" s="43" t="s">
        <v>137</v>
      </c>
      <c r="AR23" s="41" t="s">
        <v>61</v>
      </c>
      <c r="AV23" s="27"/>
    </row>
    <row r="24" spans="1:48" x14ac:dyDescent="0.15">
      <c r="A24" s="15" t="s">
        <v>156</v>
      </c>
      <c r="B24" s="15" t="s">
        <v>157</v>
      </c>
      <c r="C24" s="54">
        <v>2019</v>
      </c>
      <c r="D24" s="37" t="s">
        <v>168</v>
      </c>
      <c r="E24" s="7" t="s">
        <v>131</v>
      </c>
      <c r="F24" s="7" t="s">
        <v>144</v>
      </c>
      <c r="G24" s="7" t="s">
        <v>36</v>
      </c>
      <c r="H24" s="54" t="s">
        <v>127</v>
      </c>
      <c r="I24" s="53" t="s">
        <v>159</v>
      </c>
      <c r="J24" s="54" t="s">
        <v>53</v>
      </c>
      <c r="K24" s="53" t="s">
        <v>54</v>
      </c>
      <c r="L24" s="7">
        <v>2</v>
      </c>
      <c r="N24" s="7">
        <v>5</v>
      </c>
      <c r="O24" s="7">
        <v>1.35</v>
      </c>
      <c r="P24" s="7">
        <v>1.5</v>
      </c>
      <c r="Q24" s="52">
        <f t="shared" si="0"/>
        <v>1.425</v>
      </c>
      <c r="R24" s="7">
        <v>12.9</v>
      </c>
      <c r="S24" s="7">
        <v>96</v>
      </c>
      <c r="T24" s="16">
        <f t="shared" si="1"/>
        <v>36</v>
      </c>
      <c r="U24" s="7">
        <v>538</v>
      </c>
      <c r="V24" s="16">
        <f t="shared" si="2"/>
        <v>3873.6</v>
      </c>
      <c r="W24" s="7">
        <v>1</v>
      </c>
      <c r="X24" s="54" t="s">
        <v>39</v>
      </c>
      <c r="Y24" s="54" t="s">
        <v>84</v>
      </c>
      <c r="Z24" s="54" t="s">
        <v>90</v>
      </c>
      <c r="AA24" s="54" t="s">
        <v>78</v>
      </c>
      <c r="AB24" s="39" t="s">
        <v>158</v>
      </c>
      <c r="AE24" s="22"/>
      <c r="AP24" s="43" t="s">
        <v>138</v>
      </c>
      <c r="AR24" s="41" t="s">
        <v>91</v>
      </c>
      <c r="AV24" s="27"/>
    </row>
    <row r="25" spans="1:48" x14ac:dyDescent="0.15">
      <c r="A25" s="15" t="s">
        <v>156</v>
      </c>
      <c r="B25" s="15" t="s">
        <v>157</v>
      </c>
      <c r="C25" s="54">
        <v>2019</v>
      </c>
      <c r="D25" s="37" t="s">
        <v>168</v>
      </c>
      <c r="E25" s="7" t="s">
        <v>131</v>
      </c>
      <c r="F25" s="7" t="s">
        <v>144</v>
      </c>
      <c r="G25" s="7" t="s">
        <v>36</v>
      </c>
      <c r="H25" s="54" t="s">
        <v>127</v>
      </c>
      <c r="I25" s="53" t="s">
        <v>159</v>
      </c>
      <c r="J25" s="54" t="s">
        <v>53</v>
      </c>
      <c r="K25" s="53" t="s">
        <v>54</v>
      </c>
      <c r="L25" s="7">
        <v>3</v>
      </c>
      <c r="N25" s="7">
        <v>5</v>
      </c>
      <c r="O25" s="7">
        <v>1.5</v>
      </c>
      <c r="P25" s="7">
        <v>1.45</v>
      </c>
      <c r="Q25" s="52">
        <f t="shared" si="0"/>
        <v>1.4750000000000001</v>
      </c>
      <c r="R25" s="7">
        <v>11.9</v>
      </c>
      <c r="S25" s="7">
        <v>108</v>
      </c>
      <c r="T25" s="16">
        <f t="shared" si="1"/>
        <v>33</v>
      </c>
      <c r="U25" s="7">
        <v>538</v>
      </c>
      <c r="V25" s="16">
        <f t="shared" si="2"/>
        <v>3550.7999999999997</v>
      </c>
      <c r="W25" s="7">
        <v>1</v>
      </c>
      <c r="X25" s="54" t="s">
        <v>39</v>
      </c>
      <c r="Y25" s="54" t="s">
        <v>84</v>
      </c>
      <c r="Z25" s="54" t="s">
        <v>90</v>
      </c>
      <c r="AA25" s="54" t="s">
        <v>78</v>
      </c>
      <c r="AB25" s="39" t="s">
        <v>158</v>
      </c>
      <c r="AE25" s="35"/>
      <c r="AP25" s="43" t="s">
        <v>116</v>
      </c>
      <c r="AR25" s="42" t="s">
        <v>92</v>
      </c>
      <c r="AV25" s="27"/>
    </row>
    <row r="26" spans="1:48" x14ac:dyDescent="0.15">
      <c r="A26" s="15" t="s">
        <v>156</v>
      </c>
      <c r="B26" s="15" t="s">
        <v>157</v>
      </c>
      <c r="C26" s="54">
        <v>2019</v>
      </c>
      <c r="D26" s="37" t="s">
        <v>168</v>
      </c>
      <c r="E26" s="7" t="s">
        <v>139</v>
      </c>
      <c r="F26" s="7" t="s">
        <v>145</v>
      </c>
      <c r="G26" s="7" t="s">
        <v>36</v>
      </c>
      <c r="H26" s="15" t="s">
        <v>163</v>
      </c>
      <c r="I26" s="7" t="s">
        <v>159</v>
      </c>
      <c r="J26" s="15" t="s">
        <v>38</v>
      </c>
      <c r="K26" s="7" t="s">
        <v>160</v>
      </c>
      <c r="L26" s="7">
        <v>1</v>
      </c>
      <c r="N26" s="53">
        <v>1</v>
      </c>
      <c r="O26" s="7">
        <v>0.8</v>
      </c>
      <c r="P26" s="7">
        <v>0.65</v>
      </c>
      <c r="Q26" s="52">
        <f t="shared" si="0"/>
        <v>0.72500000000000009</v>
      </c>
      <c r="R26" s="7">
        <v>13.5</v>
      </c>
      <c r="S26" s="7">
        <v>108</v>
      </c>
      <c r="T26" s="16">
        <f t="shared" si="1"/>
        <v>33</v>
      </c>
      <c r="U26" s="7">
        <v>100</v>
      </c>
      <c r="V26" s="16">
        <f t="shared" si="2"/>
        <v>3300</v>
      </c>
      <c r="W26" s="7">
        <v>6</v>
      </c>
      <c r="X26" s="54" t="s">
        <v>46</v>
      </c>
      <c r="Y26" s="54" t="s">
        <v>84</v>
      </c>
      <c r="Z26" s="54" t="s">
        <v>40</v>
      </c>
      <c r="AA26" s="54" t="s">
        <v>90</v>
      </c>
      <c r="AB26" s="39" t="s">
        <v>158</v>
      </c>
      <c r="AE26" s="35"/>
      <c r="AP26" s="43" t="s">
        <v>117</v>
      </c>
      <c r="AR26" s="23" t="s">
        <v>153</v>
      </c>
      <c r="AV26" s="28"/>
    </row>
    <row r="27" spans="1:48" x14ac:dyDescent="0.15">
      <c r="A27" s="15" t="s">
        <v>156</v>
      </c>
      <c r="B27" s="15" t="s">
        <v>157</v>
      </c>
      <c r="C27" s="54">
        <v>2019</v>
      </c>
      <c r="D27" s="37" t="s">
        <v>168</v>
      </c>
      <c r="E27" s="7" t="s">
        <v>139</v>
      </c>
      <c r="F27" s="7" t="s">
        <v>145</v>
      </c>
      <c r="G27" s="7" t="s">
        <v>36</v>
      </c>
      <c r="H27" s="54" t="s">
        <v>163</v>
      </c>
      <c r="I27" s="53" t="s">
        <v>159</v>
      </c>
      <c r="J27" s="54" t="s">
        <v>38</v>
      </c>
      <c r="K27" s="53" t="s">
        <v>160</v>
      </c>
      <c r="L27" s="7">
        <v>2</v>
      </c>
      <c r="N27" s="53">
        <v>1</v>
      </c>
      <c r="O27" s="7">
        <v>0.55000000000000004</v>
      </c>
      <c r="P27" s="7">
        <v>0.5</v>
      </c>
      <c r="Q27" s="52">
        <f t="shared" si="0"/>
        <v>0.52500000000000002</v>
      </c>
      <c r="R27" s="7">
        <v>16.7</v>
      </c>
      <c r="S27" s="7">
        <v>119</v>
      </c>
      <c r="T27" s="16">
        <f t="shared" si="1"/>
        <v>30</v>
      </c>
      <c r="U27" s="7">
        <v>100</v>
      </c>
      <c r="V27" s="16">
        <f t="shared" si="2"/>
        <v>3000</v>
      </c>
      <c r="W27" s="7">
        <v>6</v>
      </c>
      <c r="X27" s="54" t="s">
        <v>46</v>
      </c>
      <c r="Y27" s="54" t="s">
        <v>84</v>
      </c>
      <c r="Z27" s="54" t="s">
        <v>40</v>
      </c>
      <c r="AA27" s="54" t="s">
        <v>90</v>
      </c>
      <c r="AB27" s="39" t="s">
        <v>158</v>
      </c>
      <c r="AE27" s="28"/>
      <c r="AP27" s="43" t="s">
        <v>118</v>
      </c>
      <c r="AR27" s="23"/>
    </row>
    <row r="28" spans="1:48" x14ac:dyDescent="0.15">
      <c r="A28" s="15" t="s">
        <v>156</v>
      </c>
      <c r="B28" s="15" t="s">
        <v>157</v>
      </c>
      <c r="C28" s="54">
        <v>2019</v>
      </c>
      <c r="D28" s="37" t="s">
        <v>168</v>
      </c>
      <c r="E28" s="7" t="s">
        <v>139</v>
      </c>
      <c r="F28" s="7" t="s">
        <v>145</v>
      </c>
      <c r="G28" s="7" t="s">
        <v>36</v>
      </c>
      <c r="H28" s="54" t="s">
        <v>163</v>
      </c>
      <c r="I28" s="53" t="s">
        <v>159</v>
      </c>
      <c r="J28" s="54" t="s">
        <v>38</v>
      </c>
      <c r="K28" s="53" t="s">
        <v>160</v>
      </c>
      <c r="L28" s="7">
        <v>3</v>
      </c>
      <c r="N28" s="53">
        <v>1</v>
      </c>
      <c r="O28" s="7">
        <v>0.5</v>
      </c>
      <c r="P28" s="7">
        <v>0.55000000000000004</v>
      </c>
      <c r="Q28" s="52">
        <f t="shared" si="0"/>
        <v>0.52500000000000002</v>
      </c>
      <c r="R28" s="7">
        <v>15.3</v>
      </c>
      <c r="S28" s="7">
        <v>116</v>
      </c>
      <c r="T28" s="16">
        <f t="shared" si="1"/>
        <v>30</v>
      </c>
      <c r="U28" s="7">
        <v>100</v>
      </c>
      <c r="V28" s="16">
        <f t="shared" si="2"/>
        <v>3000</v>
      </c>
      <c r="W28" s="7">
        <v>6</v>
      </c>
      <c r="X28" s="54" t="s">
        <v>46</v>
      </c>
      <c r="Y28" s="54" t="s">
        <v>84</v>
      </c>
      <c r="Z28" s="54" t="s">
        <v>40</v>
      </c>
      <c r="AA28" s="54" t="s">
        <v>90</v>
      </c>
      <c r="AB28" s="39" t="s">
        <v>158</v>
      </c>
      <c r="AP28" s="27"/>
      <c r="AR28" s="23"/>
    </row>
    <row r="29" spans="1:48" x14ac:dyDescent="0.15">
      <c r="A29" s="15" t="s">
        <v>156</v>
      </c>
      <c r="B29" s="15" t="s">
        <v>157</v>
      </c>
      <c r="C29" s="54">
        <v>2019</v>
      </c>
      <c r="D29" s="37" t="s">
        <v>168</v>
      </c>
      <c r="E29" s="7" t="s">
        <v>161</v>
      </c>
      <c r="F29" s="7" t="s">
        <v>162</v>
      </c>
      <c r="G29" s="7" t="s">
        <v>36</v>
      </c>
      <c r="H29" s="54" t="s">
        <v>163</v>
      </c>
      <c r="I29" s="7" t="s">
        <v>159</v>
      </c>
      <c r="J29" s="15" t="s">
        <v>38</v>
      </c>
      <c r="K29" s="7" t="s">
        <v>160</v>
      </c>
      <c r="L29" s="7">
        <v>1</v>
      </c>
      <c r="N29" s="53">
        <v>1</v>
      </c>
      <c r="O29" s="7">
        <v>0.65</v>
      </c>
      <c r="P29" s="7">
        <v>0.6</v>
      </c>
      <c r="Q29" s="52">
        <f t="shared" si="0"/>
        <v>0.625</v>
      </c>
      <c r="R29" s="7">
        <v>12.5</v>
      </c>
      <c r="S29" s="7">
        <v>112</v>
      </c>
      <c r="T29" s="16">
        <f t="shared" si="1"/>
        <v>33</v>
      </c>
      <c r="U29" s="7">
        <v>98</v>
      </c>
      <c r="V29" s="16">
        <f t="shared" si="2"/>
        <v>3234</v>
      </c>
      <c r="W29" s="7">
        <v>7</v>
      </c>
      <c r="X29" s="54" t="s">
        <v>46</v>
      </c>
      <c r="Y29" s="54" t="s">
        <v>84</v>
      </c>
      <c r="Z29" s="54" t="s">
        <v>40</v>
      </c>
      <c r="AA29" s="54" t="s">
        <v>90</v>
      </c>
      <c r="AB29" s="39" t="s">
        <v>158</v>
      </c>
      <c r="AP29" s="27"/>
      <c r="AR29" s="27"/>
      <c r="AV29" s="28"/>
    </row>
    <row r="30" spans="1:48" x14ac:dyDescent="0.15">
      <c r="A30" s="15" t="s">
        <v>156</v>
      </c>
      <c r="B30" s="15" t="s">
        <v>157</v>
      </c>
      <c r="C30" s="54">
        <v>2019</v>
      </c>
      <c r="D30" s="37" t="s">
        <v>168</v>
      </c>
      <c r="E30" s="7" t="s">
        <v>161</v>
      </c>
      <c r="F30" s="7" t="s">
        <v>162</v>
      </c>
      <c r="G30" s="7" t="s">
        <v>36</v>
      </c>
      <c r="H30" s="54" t="s">
        <v>163</v>
      </c>
      <c r="I30" s="53" t="s">
        <v>159</v>
      </c>
      <c r="J30" s="54" t="s">
        <v>38</v>
      </c>
      <c r="K30" s="53" t="s">
        <v>160</v>
      </c>
      <c r="L30" s="7">
        <v>2</v>
      </c>
      <c r="N30" s="53">
        <v>1</v>
      </c>
      <c r="O30" s="7">
        <v>0.5</v>
      </c>
      <c r="P30" s="7">
        <v>0.6</v>
      </c>
      <c r="Q30" s="52">
        <f t="shared" si="0"/>
        <v>0.55000000000000004</v>
      </c>
      <c r="R30" s="7">
        <v>12.8</v>
      </c>
      <c r="S30" s="7">
        <v>103</v>
      </c>
      <c r="T30" s="16">
        <f t="shared" si="1"/>
        <v>33</v>
      </c>
      <c r="U30" s="7">
        <v>98</v>
      </c>
      <c r="V30" s="16">
        <f t="shared" si="2"/>
        <v>3234</v>
      </c>
      <c r="W30" s="7">
        <v>7</v>
      </c>
      <c r="X30" s="54" t="s">
        <v>46</v>
      </c>
      <c r="Y30" s="54" t="s">
        <v>84</v>
      </c>
      <c r="Z30" s="54" t="s">
        <v>40</v>
      </c>
      <c r="AA30" s="54" t="s">
        <v>90</v>
      </c>
      <c r="AB30" s="39" t="s">
        <v>158</v>
      </c>
      <c r="AP30" s="27"/>
      <c r="AR30" s="27"/>
    </row>
    <row r="31" spans="1:48" x14ac:dyDescent="0.15">
      <c r="A31" s="15" t="s">
        <v>156</v>
      </c>
      <c r="B31" s="15" t="s">
        <v>157</v>
      </c>
      <c r="C31" s="54">
        <v>2019</v>
      </c>
      <c r="D31" s="37" t="s">
        <v>168</v>
      </c>
      <c r="E31" s="7" t="s">
        <v>161</v>
      </c>
      <c r="F31" s="7" t="s">
        <v>162</v>
      </c>
      <c r="G31" s="7" t="s">
        <v>36</v>
      </c>
      <c r="H31" s="54" t="s">
        <v>163</v>
      </c>
      <c r="I31" s="53" t="s">
        <v>159</v>
      </c>
      <c r="J31" s="54" t="s">
        <v>38</v>
      </c>
      <c r="K31" s="53" t="s">
        <v>160</v>
      </c>
      <c r="L31" s="7">
        <v>3</v>
      </c>
      <c r="N31" s="53">
        <v>1</v>
      </c>
      <c r="O31" s="7">
        <v>0.7</v>
      </c>
      <c r="P31" s="7">
        <v>0.6</v>
      </c>
      <c r="Q31" s="52">
        <f t="shared" si="0"/>
        <v>0.64999999999999991</v>
      </c>
      <c r="R31" s="7">
        <v>13.9</v>
      </c>
      <c r="S31" s="7">
        <v>109</v>
      </c>
      <c r="T31" s="16">
        <f t="shared" si="1"/>
        <v>33</v>
      </c>
      <c r="U31" s="7">
        <v>98</v>
      </c>
      <c r="V31" s="16">
        <f t="shared" si="2"/>
        <v>3234</v>
      </c>
      <c r="W31" s="7">
        <v>7</v>
      </c>
      <c r="X31" s="54" t="s">
        <v>46</v>
      </c>
      <c r="Y31" s="54" t="s">
        <v>84</v>
      </c>
      <c r="Z31" s="54" t="s">
        <v>40</v>
      </c>
      <c r="AA31" s="54" t="s">
        <v>90</v>
      </c>
      <c r="AB31" s="39" t="s">
        <v>158</v>
      </c>
      <c r="AP31" s="27"/>
      <c r="AR31" s="27"/>
    </row>
    <row r="32" spans="1:48" x14ac:dyDescent="0.15">
      <c r="A32" s="15" t="s">
        <v>156</v>
      </c>
      <c r="B32" s="15" t="s">
        <v>157</v>
      </c>
      <c r="C32" s="54">
        <v>2019</v>
      </c>
      <c r="D32" s="37" t="s">
        <v>168</v>
      </c>
      <c r="E32" s="7" t="s">
        <v>130</v>
      </c>
      <c r="F32" s="7" t="s">
        <v>146</v>
      </c>
      <c r="G32" s="7" t="s">
        <v>36</v>
      </c>
      <c r="H32" s="15" t="s">
        <v>163</v>
      </c>
      <c r="I32" s="7" t="s">
        <v>159</v>
      </c>
      <c r="J32" s="15" t="s">
        <v>38</v>
      </c>
      <c r="K32" s="7" t="s">
        <v>160</v>
      </c>
      <c r="L32" s="7">
        <v>1</v>
      </c>
      <c r="N32" s="53">
        <v>1</v>
      </c>
      <c r="O32" s="7">
        <v>0.5</v>
      </c>
      <c r="P32" s="7">
        <v>0.5</v>
      </c>
      <c r="Q32" s="52">
        <f t="shared" si="0"/>
        <v>0.5</v>
      </c>
      <c r="R32" s="7">
        <v>13.3</v>
      </c>
      <c r="S32" s="7">
        <v>83</v>
      </c>
      <c r="T32" s="16">
        <f t="shared" si="1"/>
        <v>39</v>
      </c>
      <c r="U32" s="7">
        <v>48</v>
      </c>
      <c r="V32" s="16">
        <f t="shared" si="2"/>
        <v>1872</v>
      </c>
      <c r="W32" s="7">
        <v>5</v>
      </c>
      <c r="X32" s="54" t="s">
        <v>46</v>
      </c>
      <c r="Y32" s="54" t="s">
        <v>84</v>
      </c>
      <c r="Z32" s="54" t="s">
        <v>40</v>
      </c>
      <c r="AA32" s="54" t="s">
        <v>90</v>
      </c>
      <c r="AB32" s="39" t="s">
        <v>158</v>
      </c>
      <c r="AP32" s="28"/>
      <c r="AR32" s="28"/>
    </row>
    <row r="33" spans="1:44" x14ac:dyDescent="0.15">
      <c r="A33" s="15" t="s">
        <v>156</v>
      </c>
      <c r="B33" s="15" t="s">
        <v>157</v>
      </c>
      <c r="C33" s="54">
        <v>2019</v>
      </c>
      <c r="D33" s="37" t="s">
        <v>168</v>
      </c>
      <c r="E33" s="7" t="s">
        <v>130</v>
      </c>
      <c r="F33" s="7" t="s">
        <v>146</v>
      </c>
      <c r="G33" s="7" t="s">
        <v>36</v>
      </c>
      <c r="H33" s="54" t="s">
        <v>163</v>
      </c>
      <c r="I33" s="53" t="s">
        <v>159</v>
      </c>
      <c r="J33" s="54" t="s">
        <v>38</v>
      </c>
      <c r="K33" s="53" t="s">
        <v>160</v>
      </c>
      <c r="L33" s="7">
        <v>2</v>
      </c>
      <c r="N33" s="53">
        <v>1</v>
      </c>
      <c r="O33" s="7">
        <v>0.5</v>
      </c>
      <c r="P33" s="7">
        <v>0.5</v>
      </c>
      <c r="Q33" s="52">
        <f t="shared" si="0"/>
        <v>0.5</v>
      </c>
      <c r="R33" s="7">
        <v>15.5</v>
      </c>
      <c r="S33" s="7">
        <v>88</v>
      </c>
      <c r="T33" s="16">
        <f t="shared" si="1"/>
        <v>36</v>
      </c>
      <c r="U33" s="7">
        <v>48</v>
      </c>
      <c r="V33" s="16">
        <f t="shared" si="2"/>
        <v>1728</v>
      </c>
      <c r="W33" s="7">
        <v>5</v>
      </c>
      <c r="X33" s="54" t="s">
        <v>46</v>
      </c>
      <c r="Y33" s="54" t="s">
        <v>84</v>
      </c>
      <c r="Z33" s="54" t="s">
        <v>40</v>
      </c>
      <c r="AA33" s="54" t="s">
        <v>90</v>
      </c>
      <c r="AB33" s="39" t="s">
        <v>158</v>
      </c>
    </row>
    <row r="34" spans="1:44" x14ac:dyDescent="0.15">
      <c r="A34" s="15" t="s">
        <v>156</v>
      </c>
      <c r="B34" s="15" t="s">
        <v>157</v>
      </c>
      <c r="C34" s="54">
        <v>2019</v>
      </c>
      <c r="D34" s="37" t="s">
        <v>168</v>
      </c>
      <c r="E34" s="7" t="s">
        <v>130</v>
      </c>
      <c r="F34" s="7" t="s">
        <v>146</v>
      </c>
      <c r="G34" s="7" t="s">
        <v>36</v>
      </c>
      <c r="H34" s="54" t="s">
        <v>163</v>
      </c>
      <c r="I34" s="53" t="s">
        <v>159</v>
      </c>
      <c r="J34" s="54" t="s">
        <v>38</v>
      </c>
      <c r="K34" s="53" t="s">
        <v>160</v>
      </c>
      <c r="L34" s="7">
        <v>3</v>
      </c>
      <c r="N34" s="53">
        <v>1</v>
      </c>
      <c r="O34" s="7">
        <v>0.5</v>
      </c>
      <c r="P34" s="7">
        <v>0.5</v>
      </c>
      <c r="Q34" s="52">
        <f t="shared" si="0"/>
        <v>0.5</v>
      </c>
      <c r="R34" s="7">
        <v>14.2</v>
      </c>
      <c r="S34" s="7">
        <v>84</v>
      </c>
      <c r="T34" s="16">
        <f t="shared" si="1"/>
        <v>36</v>
      </c>
      <c r="U34" s="7">
        <v>48</v>
      </c>
      <c r="V34" s="16">
        <f t="shared" si="2"/>
        <v>1728</v>
      </c>
      <c r="W34" s="7">
        <v>5</v>
      </c>
      <c r="X34" s="54" t="s">
        <v>46</v>
      </c>
      <c r="Y34" s="54" t="s">
        <v>84</v>
      </c>
      <c r="Z34" s="54" t="s">
        <v>40</v>
      </c>
      <c r="AA34" s="54" t="s">
        <v>90</v>
      </c>
      <c r="AB34" s="39" t="s">
        <v>158</v>
      </c>
    </row>
    <row r="35" spans="1:44" x14ac:dyDescent="0.15">
      <c r="A35" s="15" t="s">
        <v>156</v>
      </c>
      <c r="B35" s="15" t="s">
        <v>157</v>
      </c>
      <c r="C35" s="54">
        <v>2019</v>
      </c>
      <c r="D35" s="37" t="s">
        <v>168</v>
      </c>
      <c r="E35" s="7" t="s">
        <v>130</v>
      </c>
      <c r="F35" s="7" t="s">
        <v>146</v>
      </c>
      <c r="G35" s="7" t="s">
        <v>36</v>
      </c>
      <c r="H35" s="15" t="s">
        <v>164</v>
      </c>
      <c r="I35" s="7" t="s">
        <v>159</v>
      </c>
      <c r="J35" s="15" t="s">
        <v>38</v>
      </c>
      <c r="K35" s="7" t="s">
        <v>54</v>
      </c>
      <c r="L35" s="7">
        <v>1</v>
      </c>
      <c r="N35" s="53">
        <v>1</v>
      </c>
      <c r="O35" s="7">
        <v>0.5</v>
      </c>
      <c r="P35" s="7">
        <v>0.6</v>
      </c>
      <c r="Q35" s="52">
        <f t="shared" si="0"/>
        <v>0.55000000000000004</v>
      </c>
      <c r="R35" s="7">
        <v>14</v>
      </c>
      <c r="S35" s="7">
        <v>107</v>
      </c>
      <c r="T35" s="16">
        <f t="shared" si="1"/>
        <v>36</v>
      </c>
      <c r="U35" s="7">
        <v>135</v>
      </c>
      <c r="V35" s="16">
        <f t="shared" si="2"/>
        <v>4860</v>
      </c>
      <c r="W35" s="7">
        <v>5</v>
      </c>
      <c r="X35" s="54" t="s">
        <v>46</v>
      </c>
      <c r="Y35" s="54" t="s">
        <v>84</v>
      </c>
      <c r="Z35" s="54" t="s">
        <v>40</v>
      </c>
      <c r="AA35" s="54" t="s">
        <v>90</v>
      </c>
      <c r="AB35" s="39" t="s">
        <v>158</v>
      </c>
      <c r="AP35" s="28"/>
      <c r="AR35" s="28"/>
    </row>
    <row r="36" spans="1:44" x14ac:dyDescent="0.15">
      <c r="A36" s="15" t="s">
        <v>156</v>
      </c>
      <c r="B36" s="15" t="s">
        <v>157</v>
      </c>
      <c r="C36" s="54">
        <v>2019</v>
      </c>
      <c r="D36" s="37" t="s">
        <v>168</v>
      </c>
      <c r="E36" s="7" t="s">
        <v>130</v>
      </c>
      <c r="F36" s="7" t="s">
        <v>146</v>
      </c>
      <c r="G36" s="7" t="s">
        <v>36</v>
      </c>
      <c r="H36" s="54" t="s">
        <v>164</v>
      </c>
      <c r="I36" s="7" t="s">
        <v>159</v>
      </c>
      <c r="J36" s="15" t="s">
        <v>38</v>
      </c>
      <c r="K36" s="7" t="s">
        <v>54</v>
      </c>
      <c r="L36" s="7">
        <v>2</v>
      </c>
      <c r="N36" s="53">
        <v>1</v>
      </c>
      <c r="O36" s="7">
        <v>0.75</v>
      </c>
      <c r="P36" s="7">
        <v>0.9</v>
      </c>
      <c r="Q36" s="52">
        <f t="shared" si="0"/>
        <v>0.82499999999999996</v>
      </c>
      <c r="R36" s="7">
        <v>16.2</v>
      </c>
      <c r="S36" s="7">
        <v>98</v>
      </c>
      <c r="T36" s="16">
        <f t="shared" si="1"/>
        <v>36</v>
      </c>
      <c r="U36" s="7">
        <v>135</v>
      </c>
      <c r="V36" s="16">
        <f t="shared" si="2"/>
        <v>4860</v>
      </c>
      <c r="W36" s="7">
        <v>5</v>
      </c>
      <c r="X36" s="54" t="s">
        <v>46</v>
      </c>
      <c r="Y36" s="54" t="s">
        <v>84</v>
      </c>
      <c r="Z36" s="54" t="s">
        <v>40</v>
      </c>
      <c r="AA36" s="54" t="s">
        <v>90</v>
      </c>
      <c r="AB36" s="39" t="s">
        <v>158</v>
      </c>
    </row>
    <row r="37" spans="1:44" x14ac:dyDescent="0.15">
      <c r="A37" s="15" t="s">
        <v>156</v>
      </c>
      <c r="B37" s="15" t="s">
        <v>157</v>
      </c>
      <c r="C37" s="54">
        <v>2019</v>
      </c>
      <c r="D37" s="37" t="s">
        <v>168</v>
      </c>
      <c r="E37" s="7" t="s">
        <v>130</v>
      </c>
      <c r="F37" s="7" t="s">
        <v>146</v>
      </c>
      <c r="G37" s="7" t="s">
        <v>36</v>
      </c>
      <c r="H37" s="54" t="s">
        <v>164</v>
      </c>
      <c r="I37" s="7" t="s">
        <v>159</v>
      </c>
      <c r="J37" s="15" t="s">
        <v>38</v>
      </c>
      <c r="K37" s="7" t="s">
        <v>54</v>
      </c>
      <c r="L37" s="7">
        <v>3</v>
      </c>
      <c r="N37" s="53">
        <v>1</v>
      </c>
      <c r="O37" s="34">
        <v>0.75</v>
      </c>
      <c r="P37" s="34">
        <v>0.65</v>
      </c>
      <c r="Q37" s="52">
        <f t="shared" si="0"/>
        <v>0.7</v>
      </c>
      <c r="R37" s="7">
        <v>15.5</v>
      </c>
      <c r="S37" s="7">
        <v>96</v>
      </c>
      <c r="T37" s="16">
        <f t="shared" si="1"/>
        <v>39</v>
      </c>
      <c r="U37" s="7">
        <v>135</v>
      </c>
      <c r="V37" s="16">
        <f t="shared" si="2"/>
        <v>5265</v>
      </c>
      <c r="W37" s="7">
        <v>5</v>
      </c>
      <c r="X37" s="54" t="s">
        <v>46</v>
      </c>
      <c r="Y37" s="54" t="s">
        <v>84</v>
      </c>
      <c r="Z37" s="54" t="s">
        <v>40</v>
      </c>
      <c r="AA37" s="54" t="s">
        <v>90</v>
      </c>
      <c r="AB37" s="39" t="s">
        <v>158</v>
      </c>
    </row>
    <row r="38" spans="1:44" x14ac:dyDescent="0.15">
      <c r="A38" s="15" t="s">
        <v>156</v>
      </c>
      <c r="B38" s="15" t="s">
        <v>157</v>
      </c>
      <c r="C38" s="54">
        <v>2019</v>
      </c>
      <c r="D38" s="37" t="s">
        <v>168</v>
      </c>
      <c r="E38" s="7" t="s">
        <v>132</v>
      </c>
      <c r="F38" s="7" t="s">
        <v>147</v>
      </c>
      <c r="G38" s="7" t="s">
        <v>36</v>
      </c>
      <c r="H38" s="15" t="s">
        <v>163</v>
      </c>
      <c r="I38" s="7" t="s">
        <v>159</v>
      </c>
      <c r="J38" s="15" t="s">
        <v>38</v>
      </c>
      <c r="K38" s="7" t="s">
        <v>160</v>
      </c>
      <c r="L38" s="7">
        <v>1</v>
      </c>
      <c r="N38" s="53">
        <v>1</v>
      </c>
      <c r="O38" s="34">
        <v>0.5</v>
      </c>
      <c r="P38" s="34">
        <v>0.5</v>
      </c>
      <c r="Q38" s="52">
        <f t="shared" si="0"/>
        <v>0.5</v>
      </c>
      <c r="R38" s="7">
        <v>13.2</v>
      </c>
      <c r="S38" s="7">
        <v>118</v>
      </c>
      <c r="T38" s="16">
        <f t="shared" si="1"/>
        <v>30</v>
      </c>
      <c r="U38" s="7">
        <v>104</v>
      </c>
      <c r="V38" s="16">
        <f t="shared" si="2"/>
        <v>3120</v>
      </c>
      <c r="W38" s="7">
        <v>3</v>
      </c>
      <c r="X38" s="54" t="s">
        <v>39</v>
      </c>
      <c r="Y38" s="54" t="s">
        <v>84</v>
      </c>
      <c r="Z38" s="54" t="s">
        <v>90</v>
      </c>
      <c r="AA38" s="54" t="s">
        <v>40</v>
      </c>
      <c r="AB38" s="39" t="s">
        <v>158</v>
      </c>
    </row>
    <row r="39" spans="1:44" x14ac:dyDescent="0.15">
      <c r="A39" s="15" t="s">
        <v>156</v>
      </c>
      <c r="B39" s="15" t="s">
        <v>157</v>
      </c>
      <c r="C39" s="54">
        <v>2019</v>
      </c>
      <c r="D39" s="37" t="s">
        <v>168</v>
      </c>
      <c r="E39" s="7" t="s">
        <v>132</v>
      </c>
      <c r="F39" s="7" t="s">
        <v>147</v>
      </c>
      <c r="G39" s="7" t="s">
        <v>36</v>
      </c>
      <c r="H39" s="54" t="s">
        <v>163</v>
      </c>
      <c r="I39" s="7" t="s">
        <v>159</v>
      </c>
      <c r="J39" s="15" t="s">
        <v>38</v>
      </c>
      <c r="K39" s="7" t="s">
        <v>160</v>
      </c>
      <c r="L39" s="7">
        <v>2</v>
      </c>
      <c r="N39" s="53">
        <v>1</v>
      </c>
      <c r="O39" s="7">
        <v>0.75</v>
      </c>
      <c r="P39" s="7">
        <v>0.6</v>
      </c>
      <c r="Q39" s="52">
        <f t="shared" si="0"/>
        <v>0.67500000000000004</v>
      </c>
      <c r="R39" s="34">
        <v>12.6</v>
      </c>
      <c r="S39" s="7">
        <v>118</v>
      </c>
      <c r="T39" s="16">
        <f t="shared" si="1"/>
        <v>30</v>
      </c>
      <c r="U39" s="7">
        <v>104</v>
      </c>
      <c r="V39" s="16">
        <f t="shared" si="2"/>
        <v>3120</v>
      </c>
      <c r="W39" s="7">
        <v>3</v>
      </c>
      <c r="X39" s="54" t="s">
        <v>39</v>
      </c>
      <c r="Y39" s="54" t="s">
        <v>84</v>
      </c>
      <c r="Z39" s="54" t="s">
        <v>90</v>
      </c>
      <c r="AA39" s="54" t="s">
        <v>40</v>
      </c>
      <c r="AB39" s="39" t="s">
        <v>158</v>
      </c>
    </row>
    <row r="40" spans="1:44" x14ac:dyDescent="0.15">
      <c r="A40" s="15" t="s">
        <v>156</v>
      </c>
      <c r="B40" s="15" t="s">
        <v>157</v>
      </c>
      <c r="C40" s="54">
        <v>2019</v>
      </c>
      <c r="D40" s="37" t="s">
        <v>168</v>
      </c>
      <c r="E40" s="7" t="s">
        <v>132</v>
      </c>
      <c r="F40" s="7" t="s">
        <v>147</v>
      </c>
      <c r="G40" s="7" t="s">
        <v>36</v>
      </c>
      <c r="H40" s="54" t="s">
        <v>163</v>
      </c>
      <c r="I40" s="7" t="s">
        <v>159</v>
      </c>
      <c r="J40" s="15" t="s">
        <v>38</v>
      </c>
      <c r="K40" s="7" t="s">
        <v>160</v>
      </c>
      <c r="L40" s="7">
        <v>3</v>
      </c>
      <c r="N40" s="53">
        <v>1</v>
      </c>
      <c r="O40" s="7">
        <v>0.5</v>
      </c>
      <c r="P40" s="7">
        <v>0.5</v>
      </c>
      <c r="Q40" s="52">
        <f t="shared" si="0"/>
        <v>0.5</v>
      </c>
      <c r="R40" s="7">
        <v>13.1</v>
      </c>
      <c r="S40" s="7">
        <v>118</v>
      </c>
      <c r="T40" s="16">
        <f t="shared" si="1"/>
        <v>30</v>
      </c>
      <c r="U40" s="7">
        <v>104</v>
      </c>
      <c r="V40" s="16">
        <f t="shared" si="2"/>
        <v>3120</v>
      </c>
      <c r="W40" s="7">
        <v>3</v>
      </c>
      <c r="X40" s="54" t="s">
        <v>39</v>
      </c>
      <c r="Y40" s="54" t="s">
        <v>84</v>
      </c>
      <c r="Z40" s="54" t="s">
        <v>90</v>
      </c>
      <c r="AA40" s="54" t="s">
        <v>40</v>
      </c>
      <c r="AB40" s="39" t="s">
        <v>158</v>
      </c>
    </row>
    <row r="41" spans="1:44" ht="12.75" customHeight="1" x14ac:dyDescent="0.15">
      <c r="A41" s="15" t="s">
        <v>156</v>
      </c>
      <c r="B41" s="15" t="s">
        <v>157</v>
      </c>
      <c r="C41" s="54">
        <v>2019</v>
      </c>
      <c r="D41" s="37" t="s">
        <v>168</v>
      </c>
      <c r="E41" s="7" t="s">
        <v>140</v>
      </c>
      <c r="F41" s="7" t="s">
        <v>148</v>
      </c>
      <c r="G41" s="7" t="s">
        <v>36</v>
      </c>
      <c r="H41" s="15" t="s">
        <v>163</v>
      </c>
      <c r="I41" s="7" t="s">
        <v>159</v>
      </c>
      <c r="J41" s="15" t="s">
        <v>38</v>
      </c>
      <c r="K41" s="7" t="s">
        <v>160</v>
      </c>
      <c r="L41" s="7">
        <v>1</v>
      </c>
      <c r="N41" s="53">
        <v>1</v>
      </c>
      <c r="O41" s="7">
        <v>0.8</v>
      </c>
      <c r="P41" s="7">
        <v>0.65</v>
      </c>
      <c r="Q41" s="52">
        <f t="shared" si="0"/>
        <v>0.72500000000000009</v>
      </c>
      <c r="R41" s="7">
        <v>14.4</v>
      </c>
      <c r="S41" s="7">
        <v>137</v>
      </c>
      <c r="T41" s="16">
        <f t="shared" si="1"/>
        <v>25</v>
      </c>
      <c r="U41" s="7">
        <v>138</v>
      </c>
      <c r="V41" s="16">
        <f t="shared" si="2"/>
        <v>3450</v>
      </c>
      <c r="W41" s="7">
        <v>4</v>
      </c>
      <c r="X41" s="54" t="s">
        <v>46</v>
      </c>
      <c r="Y41" s="54" t="s">
        <v>84</v>
      </c>
      <c r="Z41" s="54" t="s">
        <v>40</v>
      </c>
      <c r="AA41" s="54" t="s">
        <v>90</v>
      </c>
      <c r="AB41" s="39" t="s">
        <v>158</v>
      </c>
    </row>
    <row r="42" spans="1:44" x14ac:dyDescent="0.15">
      <c r="A42" s="15" t="s">
        <v>156</v>
      </c>
      <c r="B42" s="15" t="s">
        <v>157</v>
      </c>
      <c r="C42" s="54">
        <v>2019</v>
      </c>
      <c r="D42" s="37" t="s">
        <v>168</v>
      </c>
      <c r="E42" s="7" t="s">
        <v>140</v>
      </c>
      <c r="F42" s="7" t="s">
        <v>148</v>
      </c>
      <c r="G42" s="7" t="s">
        <v>36</v>
      </c>
      <c r="H42" s="54" t="s">
        <v>163</v>
      </c>
      <c r="I42" s="7" t="s">
        <v>159</v>
      </c>
      <c r="J42" s="15" t="s">
        <v>38</v>
      </c>
      <c r="K42" s="53" t="s">
        <v>160</v>
      </c>
      <c r="L42" s="7">
        <v>2</v>
      </c>
      <c r="N42" s="53">
        <v>1</v>
      </c>
      <c r="O42" s="7">
        <v>0.7</v>
      </c>
      <c r="P42" s="7">
        <v>0.75</v>
      </c>
      <c r="Q42" s="52">
        <f t="shared" si="0"/>
        <v>0.72499999999999998</v>
      </c>
      <c r="R42" s="7">
        <v>12.4</v>
      </c>
      <c r="S42" s="7">
        <v>134</v>
      </c>
      <c r="T42" s="16">
        <f t="shared" si="1"/>
        <v>25</v>
      </c>
      <c r="U42" s="7">
        <v>138</v>
      </c>
      <c r="V42" s="16">
        <f t="shared" si="2"/>
        <v>3450</v>
      </c>
      <c r="W42" s="7">
        <v>4</v>
      </c>
      <c r="X42" s="54" t="s">
        <v>46</v>
      </c>
      <c r="Y42" s="54" t="s">
        <v>84</v>
      </c>
      <c r="Z42" s="54" t="s">
        <v>40</v>
      </c>
      <c r="AA42" s="54" t="s">
        <v>90</v>
      </c>
      <c r="AB42" s="39" t="s">
        <v>158</v>
      </c>
    </row>
    <row r="43" spans="1:44" x14ac:dyDescent="0.15">
      <c r="A43" s="15" t="s">
        <v>156</v>
      </c>
      <c r="B43" s="15" t="s">
        <v>157</v>
      </c>
      <c r="C43" s="54">
        <v>2019</v>
      </c>
      <c r="D43" s="37" t="s">
        <v>168</v>
      </c>
      <c r="E43" s="7" t="s">
        <v>140</v>
      </c>
      <c r="F43" s="7" t="s">
        <v>148</v>
      </c>
      <c r="G43" s="7" t="s">
        <v>36</v>
      </c>
      <c r="H43" s="54" t="s">
        <v>163</v>
      </c>
      <c r="I43" s="7" t="s">
        <v>159</v>
      </c>
      <c r="J43" s="15" t="s">
        <v>38</v>
      </c>
      <c r="K43" s="53" t="s">
        <v>160</v>
      </c>
      <c r="L43" s="7">
        <v>3</v>
      </c>
      <c r="N43" s="7">
        <v>1</v>
      </c>
      <c r="O43" s="7">
        <v>0.6</v>
      </c>
      <c r="P43" s="7">
        <v>0.6</v>
      </c>
      <c r="Q43" s="52">
        <f t="shared" si="0"/>
        <v>0.6</v>
      </c>
      <c r="R43" s="7">
        <v>14.1</v>
      </c>
      <c r="S43" s="7">
        <v>131</v>
      </c>
      <c r="T43" s="16">
        <f t="shared" si="1"/>
        <v>25</v>
      </c>
      <c r="U43" s="7">
        <v>138</v>
      </c>
      <c r="V43" s="16">
        <f t="shared" si="2"/>
        <v>3450</v>
      </c>
      <c r="W43" s="7">
        <v>4</v>
      </c>
      <c r="X43" s="54" t="s">
        <v>46</v>
      </c>
      <c r="Y43" s="54" t="s">
        <v>84</v>
      </c>
      <c r="Z43" s="54" t="s">
        <v>40</v>
      </c>
      <c r="AA43" s="54" t="s">
        <v>90</v>
      </c>
      <c r="AB43" s="39" t="s">
        <v>158</v>
      </c>
    </row>
    <row r="44" spans="1:44" x14ac:dyDescent="0.15">
      <c r="A44" s="15"/>
      <c r="B44" s="15"/>
      <c r="C44" s="15"/>
      <c r="D44" s="37"/>
      <c r="H44" s="15"/>
      <c r="J44" s="15"/>
      <c r="Q44" s="52" t="str">
        <f t="shared" si="0"/>
        <v/>
      </c>
      <c r="T44" s="16" t="str">
        <f t="shared" si="1"/>
        <v/>
      </c>
      <c r="V44" s="16" t="str">
        <f t="shared" si="2"/>
        <v/>
      </c>
      <c r="X44" s="54"/>
      <c r="Y44" s="54"/>
      <c r="Z44" s="54"/>
      <c r="AA44" s="54"/>
      <c r="AB44" s="39"/>
    </row>
    <row r="45" spans="1:44" x14ac:dyDescent="0.15">
      <c r="A45" s="15"/>
      <c r="B45" s="15"/>
      <c r="C45" s="15"/>
      <c r="D45" s="37"/>
      <c r="H45" s="54"/>
      <c r="J45" s="15"/>
      <c r="Q45" s="52" t="str">
        <f t="shared" si="0"/>
        <v/>
      </c>
      <c r="T45" s="16" t="str">
        <f t="shared" si="1"/>
        <v/>
      </c>
      <c r="V45" s="16" t="str">
        <f t="shared" si="2"/>
        <v/>
      </c>
      <c r="X45" s="54"/>
      <c r="Y45" s="54"/>
      <c r="Z45" s="54"/>
      <c r="AA45" s="54"/>
      <c r="AB45" s="39"/>
    </row>
    <row r="46" spans="1:44" x14ac:dyDescent="0.15">
      <c r="A46" s="15"/>
      <c r="B46" s="15"/>
      <c r="C46" s="15"/>
      <c r="D46" s="37"/>
      <c r="H46" s="54"/>
      <c r="J46" s="15"/>
      <c r="P46" s="34"/>
      <c r="Q46" s="52" t="str">
        <f t="shared" si="0"/>
        <v/>
      </c>
      <c r="T46" s="16" t="str">
        <f t="shared" si="1"/>
        <v/>
      </c>
      <c r="V46" s="16" t="str">
        <f t="shared" si="2"/>
        <v/>
      </c>
      <c r="X46" s="54"/>
      <c r="Y46" s="54"/>
      <c r="Z46" s="54"/>
      <c r="AA46" s="54"/>
      <c r="AB46" s="39"/>
    </row>
    <row r="47" spans="1:44" x14ac:dyDescent="0.15">
      <c r="A47" s="15"/>
      <c r="B47" s="15"/>
      <c r="C47" s="15"/>
      <c r="D47" s="37"/>
      <c r="H47" s="15"/>
      <c r="J47" s="15"/>
      <c r="Q47" s="52" t="str">
        <f t="shared" si="0"/>
        <v/>
      </c>
      <c r="T47" s="16" t="str">
        <f t="shared" si="1"/>
        <v/>
      </c>
      <c r="V47" s="16" t="str">
        <f t="shared" si="2"/>
        <v/>
      </c>
      <c r="X47" s="54"/>
      <c r="Y47" s="54"/>
      <c r="Z47" s="54"/>
      <c r="AA47" s="54"/>
      <c r="AB47" s="39"/>
    </row>
    <row r="48" spans="1:44" x14ac:dyDescent="0.15">
      <c r="A48" s="15"/>
      <c r="B48" s="15"/>
      <c r="C48" s="15"/>
      <c r="D48" s="37"/>
      <c r="H48" s="54"/>
      <c r="J48" s="15"/>
      <c r="K48" s="53"/>
      <c r="Q48" s="52" t="str">
        <f t="shared" si="0"/>
        <v/>
      </c>
      <c r="T48" s="16" t="str">
        <f t="shared" si="1"/>
        <v/>
      </c>
      <c r="V48" s="16" t="str">
        <f t="shared" si="2"/>
        <v/>
      </c>
      <c r="X48" s="54"/>
      <c r="Y48" s="54"/>
      <c r="Z48" s="54"/>
      <c r="AA48" s="54"/>
      <c r="AB48" s="39"/>
    </row>
    <row r="49" spans="1:29" x14ac:dyDescent="0.15">
      <c r="A49" s="15"/>
      <c r="B49" s="15"/>
      <c r="C49" s="15"/>
      <c r="D49" s="37"/>
      <c r="H49" s="54"/>
      <c r="J49" s="15"/>
      <c r="K49" s="53"/>
      <c r="P49" s="34"/>
      <c r="Q49" s="52" t="str">
        <f t="shared" si="0"/>
        <v/>
      </c>
      <c r="T49" s="16" t="str">
        <f t="shared" si="1"/>
        <v/>
      </c>
      <c r="V49" s="16" t="str">
        <f t="shared" si="2"/>
        <v/>
      </c>
      <c r="X49" s="54"/>
      <c r="Y49" s="54"/>
      <c r="Z49" s="54"/>
      <c r="AA49" s="54"/>
      <c r="AB49" s="39"/>
    </row>
    <row r="50" spans="1:29" x14ac:dyDescent="0.15">
      <c r="A50" s="15"/>
      <c r="B50" s="15"/>
      <c r="C50" s="15"/>
      <c r="D50" s="37"/>
      <c r="H50" s="15"/>
      <c r="J50" s="15"/>
      <c r="Q50" s="52" t="str">
        <f t="shared" si="0"/>
        <v/>
      </c>
      <c r="T50" s="16" t="str">
        <f t="shared" si="1"/>
        <v/>
      </c>
      <c r="V50" s="16" t="str">
        <f t="shared" si="2"/>
        <v/>
      </c>
      <c r="X50" s="54"/>
      <c r="Y50" s="54"/>
      <c r="Z50" s="54"/>
      <c r="AA50" s="54"/>
      <c r="AB50" s="39"/>
    </row>
    <row r="51" spans="1:29" x14ac:dyDescent="0.15">
      <c r="A51" s="15"/>
      <c r="B51" s="15"/>
      <c r="C51" s="15"/>
      <c r="D51" s="37"/>
      <c r="H51" s="54"/>
      <c r="J51" s="15"/>
      <c r="Q51" s="52" t="str">
        <f t="shared" si="0"/>
        <v/>
      </c>
      <c r="T51" s="16" t="str">
        <f t="shared" si="1"/>
        <v/>
      </c>
      <c r="V51" s="16" t="str">
        <f t="shared" si="2"/>
        <v/>
      </c>
      <c r="X51" s="54"/>
      <c r="Y51" s="54"/>
      <c r="Z51" s="54"/>
      <c r="AA51" s="54"/>
      <c r="AB51" s="39"/>
    </row>
    <row r="52" spans="1:29" x14ac:dyDescent="0.15">
      <c r="A52" s="15"/>
      <c r="B52" s="15"/>
      <c r="C52" s="15"/>
      <c r="D52" s="37"/>
      <c r="H52" s="54"/>
      <c r="J52" s="15"/>
      <c r="Q52" s="52" t="str">
        <f t="shared" si="0"/>
        <v/>
      </c>
      <c r="T52" s="16" t="str">
        <f t="shared" si="1"/>
        <v/>
      </c>
      <c r="V52" s="16" t="str">
        <f t="shared" si="2"/>
        <v/>
      </c>
      <c r="X52" s="54"/>
      <c r="Y52" s="54"/>
      <c r="Z52" s="54"/>
      <c r="AA52" s="54"/>
      <c r="AB52" s="39"/>
    </row>
    <row r="53" spans="1:29" x14ac:dyDescent="0.15">
      <c r="A53" s="15"/>
      <c r="B53" s="15"/>
      <c r="C53" s="15"/>
      <c r="D53" s="37"/>
      <c r="H53" s="15"/>
      <c r="J53" s="15"/>
      <c r="Q53" s="52" t="str">
        <f t="shared" si="0"/>
        <v/>
      </c>
      <c r="T53" s="16" t="str">
        <f t="shared" si="1"/>
        <v/>
      </c>
      <c r="V53" s="16" t="str">
        <f t="shared" si="2"/>
        <v/>
      </c>
      <c r="X53" s="54"/>
      <c r="Y53" s="54"/>
      <c r="Z53" s="54"/>
      <c r="AA53" s="54"/>
      <c r="AB53" s="39"/>
      <c r="AC53" s="36"/>
    </row>
    <row r="54" spans="1:29" x14ac:dyDescent="0.15">
      <c r="A54" s="15"/>
      <c r="B54" s="15"/>
      <c r="C54" s="15"/>
      <c r="D54" s="37"/>
      <c r="H54" s="15"/>
      <c r="J54" s="15"/>
      <c r="K54" s="53"/>
      <c r="Q54" s="52" t="str">
        <f t="shared" si="0"/>
        <v/>
      </c>
      <c r="T54" s="16" t="str">
        <f t="shared" si="1"/>
        <v/>
      </c>
      <c r="V54" s="16" t="str">
        <f t="shared" si="2"/>
        <v/>
      </c>
      <c r="X54" s="54"/>
      <c r="Y54" s="54"/>
      <c r="Z54" s="54"/>
      <c r="AA54" s="54"/>
      <c r="AB54" s="39"/>
      <c r="AC54" s="36"/>
    </row>
    <row r="55" spans="1:29" x14ac:dyDescent="0.15">
      <c r="A55" s="15"/>
      <c r="B55" s="15"/>
      <c r="C55" s="15"/>
      <c r="D55" s="37"/>
      <c r="H55" s="15"/>
      <c r="J55" s="15"/>
      <c r="K55" s="53"/>
      <c r="Q55" s="52" t="str">
        <f t="shared" si="0"/>
        <v/>
      </c>
      <c r="T55" s="16" t="str">
        <f t="shared" si="1"/>
        <v/>
      </c>
      <c r="V55" s="16" t="str">
        <f t="shared" si="2"/>
        <v/>
      </c>
      <c r="X55" s="54"/>
      <c r="Y55" s="54"/>
      <c r="Z55" s="54"/>
      <c r="AA55" s="54"/>
      <c r="AB55" s="39"/>
      <c r="AC55" s="36"/>
    </row>
    <row r="56" spans="1:29" x14ac:dyDescent="0.15">
      <c r="A56" s="15"/>
      <c r="B56" s="15"/>
      <c r="C56" s="15"/>
      <c r="D56" s="37"/>
      <c r="H56" s="15"/>
      <c r="J56" s="15"/>
      <c r="Q56" s="52" t="str">
        <f t="shared" si="0"/>
        <v/>
      </c>
      <c r="T56" s="16" t="str">
        <f t="shared" si="1"/>
        <v/>
      </c>
      <c r="V56" s="16" t="str">
        <f t="shared" si="2"/>
        <v/>
      </c>
      <c r="X56" s="54"/>
      <c r="Y56" s="54"/>
      <c r="Z56" s="54"/>
      <c r="AA56" s="54"/>
      <c r="AB56" s="39"/>
    </row>
    <row r="57" spans="1:29" x14ac:dyDescent="0.15">
      <c r="A57" s="15"/>
      <c r="B57" s="15"/>
      <c r="C57" s="15"/>
      <c r="D57" s="37"/>
      <c r="H57" s="54"/>
      <c r="I57" s="53"/>
      <c r="J57" s="54"/>
      <c r="K57" s="53"/>
      <c r="Q57" s="52" t="str">
        <f t="shared" si="0"/>
        <v/>
      </c>
      <c r="T57" s="16" t="str">
        <f t="shared" si="1"/>
        <v/>
      </c>
      <c r="V57" s="16" t="str">
        <f t="shared" si="2"/>
        <v/>
      </c>
      <c r="X57" s="54"/>
      <c r="Y57" s="54"/>
      <c r="Z57" s="54"/>
      <c r="AA57" s="54"/>
      <c r="AB57" s="39"/>
    </row>
    <row r="58" spans="1:29" x14ac:dyDescent="0.15">
      <c r="A58" s="15"/>
      <c r="B58" s="15"/>
      <c r="C58" s="15"/>
      <c r="D58" s="37"/>
      <c r="H58" s="54"/>
      <c r="I58" s="53"/>
      <c r="J58" s="54"/>
      <c r="K58" s="53"/>
      <c r="Q58" s="52" t="str">
        <f t="shared" si="0"/>
        <v/>
      </c>
      <c r="T58" s="16" t="str">
        <f t="shared" si="1"/>
        <v/>
      </c>
      <c r="V58" s="16" t="str">
        <f t="shared" si="2"/>
        <v/>
      </c>
      <c r="X58" s="54"/>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1FAFA-C54D-4A11-9A89-0A2E7317BF9C}">
  <dimension ref="A1:BA280"/>
  <sheetViews>
    <sheetView zoomScale="70" zoomScaleNormal="70" workbookViewId="0">
      <selection activeCell="AH42" sqref="AH42"/>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170</v>
      </c>
      <c r="C1" s="55" t="s">
        <v>171</v>
      </c>
      <c r="D1" s="56" t="s">
        <v>3</v>
      </c>
      <c r="E1" s="45" t="s">
        <v>4</v>
      </c>
      <c r="F1" s="45" t="s">
        <v>5</v>
      </c>
      <c r="G1" s="45" t="s">
        <v>6</v>
      </c>
      <c r="H1" s="45" t="s">
        <v>7</v>
      </c>
      <c r="I1" s="45" t="s">
        <v>8</v>
      </c>
      <c r="J1" s="45" t="s">
        <v>9</v>
      </c>
      <c r="K1" s="45" t="s">
        <v>10</v>
      </c>
      <c r="L1" s="56" t="s">
        <v>172</v>
      </c>
      <c r="M1" s="56" t="s">
        <v>173</v>
      </c>
      <c r="N1" s="56" t="s">
        <v>13</v>
      </c>
      <c r="O1" s="56" t="s">
        <v>174</v>
      </c>
      <c r="P1" s="56" t="s">
        <v>175</v>
      </c>
      <c r="Q1" s="57" t="s">
        <v>176</v>
      </c>
      <c r="R1" s="56" t="s">
        <v>177</v>
      </c>
      <c r="S1" s="56" t="s">
        <v>178</v>
      </c>
      <c r="T1" s="57" t="s">
        <v>19</v>
      </c>
      <c r="U1" s="58" t="s">
        <v>108</v>
      </c>
      <c r="V1" s="59" t="s">
        <v>20</v>
      </c>
      <c r="W1" s="56" t="s">
        <v>179</v>
      </c>
      <c r="X1" s="45" t="s">
        <v>22</v>
      </c>
      <c r="Y1" s="45" t="s">
        <v>23</v>
      </c>
      <c r="Z1" s="45" t="s">
        <v>24</v>
      </c>
      <c r="AA1" s="45" t="s">
        <v>25</v>
      </c>
      <c r="AB1" s="46" t="s">
        <v>180</v>
      </c>
      <c r="AE1" s="60" t="s">
        <v>0</v>
      </c>
      <c r="AF1" s="61"/>
      <c r="AG1" s="60" t="s">
        <v>4</v>
      </c>
      <c r="AH1" s="60" t="s">
        <v>5</v>
      </c>
      <c r="AI1" s="61"/>
      <c r="AJ1" s="60" t="s">
        <v>6</v>
      </c>
      <c r="AK1" s="61"/>
      <c r="AL1" s="10" t="s">
        <v>7</v>
      </c>
      <c r="AM1" s="61"/>
      <c r="AN1" s="10" t="s">
        <v>8</v>
      </c>
      <c r="AO1" s="61"/>
      <c r="AP1" s="10" t="s">
        <v>27</v>
      </c>
      <c r="AQ1" s="61"/>
      <c r="AR1" s="10" t="s">
        <v>10</v>
      </c>
      <c r="AS1" s="61"/>
      <c r="AT1" s="11" t="s">
        <v>181</v>
      </c>
      <c r="AU1" s="61"/>
      <c r="AV1" s="10" t="s">
        <v>29</v>
      </c>
      <c r="AX1" s="12" t="s">
        <v>182</v>
      </c>
      <c r="AY1" s="13" t="s">
        <v>183</v>
      </c>
      <c r="AZ1" s="13" t="s">
        <v>184</v>
      </c>
      <c r="BA1" s="14" t="s">
        <v>185</v>
      </c>
    </row>
    <row r="2" spans="1:53" x14ac:dyDescent="0.15">
      <c r="A2" s="53" t="s">
        <v>41</v>
      </c>
      <c r="B2" s="53" t="s">
        <v>157</v>
      </c>
      <c r="C2" s="62">
        <v>2019</v>
      </c>
      <c r="D2" s="63" t="s">
        <v>186</v>
      </c>
      <c r="E2" s="53" t="s">
        <v>133</v>
      </c>
      <c r="F2" s="53" t="s">
        <v>187</v>
      </c>
      <c r="G2" s="53" t="s">
        <v>42</v>
      </c>
      <c r="H2" s="53" t="s">
        <v>163</v>
      </c>
      <c r="I2" s="53" t="s">
        <v>159</v>
      </c>
      <c r="J2" s="53" t="s">
        <v>38</v>
      </c>
      <c r="K2" s="53" t="s">
        <v>160</v>
      </c>
      <c r="L2" s="53">
        <v>1</v>
      </c>
      <c r="N2" s="53">
        <v>1</v>
      </c>
      <c r="O2" s="53">
        <v>0.65</v>
      </c>
      <c r="P2" s="53">
        <v>0.75</v>
      </c>
      <c r="Q2" s="16">
        <f t="shared" ref="Q2:Q34" si="0">IF(OR(O2="",P2=""),"",AVERAGE(O2,P2))</f>
        <v>0.7</v>
      </c>
      <c r="R2" s="53">
        <v>13.5</v>
      </c>
      <c r="S2" s="53">
        <v>134</v>
      </c>
      <c r="T2" s="16">
        <f t="shared" ref="T2:T65" si="1">IF(H2="","",IF(OR(H2="GREEN",H2="GK"),IF(S2&gt;=$AX$2,VLOOKUP(S2,$AX$2:$AY$10,2,1),""),IF(S2&gt;=$AZ$2,VLOOKUP(S2,$AZ$2:$BA$10,2,1),"")))</f>
        <v>25</v>
      </c>
      <c r="U2" s="53">
        <v>105</v>
      </c>
      <c r="V2" s="16">
        <f t="shared" ref="V2:V43" si="2">IF(OR(N2="",U2="",T2=""),"",U2/N2*T2)</f>
        <v>2625</v>
      </c>
      <c r="W2" s="53">
        <v>2</v>
      </c>
      <c r="X2" s="53" t="s">
        <v>46</v>
      </c>
      <c r="Y2" s="53" t="s">
        <v>84</v>
      </c>
      <c r="Z2" s="53" t="s">
        <v>69</v>
      </c>
      <c r="AA2" s="53" t="s">
        <v>90</v>
      </c>
      <c r="AB2" s="53" t="s">
        <v>158</v>
      </c>
      <c r="AE2" s="64" t="s">
        <v>35</v>
      </c>
      <c r="AG2" s="65" t="s">
        <v>133</v>
      </c>
      <c r="AH2" s="66" t="s">
        <v>187</v>
      </c>
      <c r="AJ2" s="67" t="s">
        <v>36</v>
      </c>
      <c r="AL2" s="67" t="s">
        <v>188</v>
      </c>
      <c r="AN2" s="67" t="s">
        <v>37</v>
      </c>
      <c r="AP2" s="67" t="s">
        <v>38</v>
      </c>
      <c r="AR2" s="67" t="s">
        <v>160</v>
      </c>
      <c r="AT2" s="67" t="s">
        <v>39</v>
      </c>
      <c r="AV2" s="67" t="s">
        <v>40</v>
      </c>
      <c r="AX2" s="68">
        <v>1</v>
      </c>
      <c r="AY2" s="69">
        <v>50</v>
      </c>
      <c r="AZ2" s="69">
        <v>1</v>
      </c>
      <c r="BA2" s="70">
        <v>50</v>
      </c>
    </row>
    <row r="3" spans="1:53" x14ac:dyDescent="0.15">
      <c r="A3" s="53" t="s">
        <v>41</v>
      </c>
      <c r="B3" s="53" t="s">
        <v>157</v>
      </c>
      <c r="C3" s="62">
        <v>2019</v>
      </c>
      <c r="D3" s="63" t="s">
        <v>186</v>
      </c>
      <c r="E3" s="53" t="s">
        <v>133</v>
      </c>
      <c r="F3" s="53" t="s">
        <v>187</v>
      </c>
      <c r="G3" s="53" t="s">
        <v>42</v>
      </c>
      <c r="H3" s="53" t="s">
        <v>163</v>
      </c>
      <c r="I3" s="53" t="s">
        <v>159</v>
      </c>
      <c r="J3" s="53" t="s">
        <v>38</v>
      </c>
      <c r="K3" s="53" t="s">
        <v>160</v>
      </c>
      <c r="L3" s="53">
        <v>2</v>
      </c>
      <c r="N3" s="53">
        <v>1</v>
      </c>
      <c r="O3" s="53">
        <v>0.8</v>
      </c>
      <c r="P3" s="53">
        <v>0.85</v>
      </c>
      <c r="Q3" s="16">
        <f t="shared" si="0"/>
        <v>0.82499999999999996</v>
      </c>
      <c r="R3" s="53">
        <v>12.8</v>
      </c>
      <c r="S3" s="53">
        <v>132</v>
      </c>
      <c r="T3" s="16">
        <f t="shared" si="1"/>
        <v>25</v>
      </c>
      <c r="U3" s="53">
        <v>105</v>
      </c>
      <c r="V3" s="16">
        <f t="shared" si="2"/>
        <v>2625</v>
      </c>
      <c r="W3" s="53">
        <v>2</v>
      </c>
      <c r="X3" s="53" t="s">
        <v>46</v>
      </c>
      <c r="Y3" s="53" t="s">
        <v>84</v>
      </c>
      <c r="Z3" s="53" t="s">
        <v>69</v>
      </c>
      <c r="AA3" s="53" t="s">
        <v>90</v>
      </c>
      <c r="AB3" s="53" t="s">
        <v>158</v>
      </c>
      <c r="AE3" s="22" t="s">
        <v>41</v>
      </c>
      <c r="AG3" s="71" t="s">
        <v>189</v>
      </c>
      <c r="AH3" s="71" t="s">
        <v>187</v>
      </c>
      <c r="AJ3" s="23" t="s">
        <v>42</v>
      </c>
      <c r="AL3" s="23" t="s">
        <v>190</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186</v>
      </c>
      <c r="E4" s="53" t="s">
        <v>133</v>
      </c>
      <c r="F4" s="53" t="s">
        <v>187</v>
      </c>
      <c r="G4" s="53" t="s">
        <v>42</v>
      </c>
      <c r="H4" s="53" t="s">
        <v>163</v>
      </c>
      <c r="I4" s="53" t="s">
        <v>159</v>
      </c>
      <c r="J4" s="53" t="s">
        <v>38</v>
      </c>
      <c r="K4" s="53" t="s">
        <v>160</v>
      </c>
      <c r="L4" s="53">
        <v>3</v>
      </c>
      <c r="N4" s="53">
        <v>1</v>
      </c>
      <c r="O4" s="53">
        <v>0.6</v>
      </c>
      <c r="P4" s="53">
        <v>0.45</v>
      </c>
      <c r="Q4" s="16">
        <f t="shared" si="0"/>
        <v>0.52500000000000002</v>
      </c>
      <c r="R4" s="53">
        <v>14.1</v>
      </c>
      <c r="S4" s="53">
        <v>132</v>
      </c>
      <c r="T4" s="16">
        <f t="shared" si="1"/>
        <v>25</v>
      </c>
      <c r="U4" s="53">
        <v>105</v>
      </c>
      <c r="V4" s="16">
        <f t="shared" si="2"/>
        <v>2625</v>
      </c>
      <c r="W4" s="53">
        <v>2</v>
      </c>
      <c r="X4" s="53" t="s">
        <v>46</v>
      </c>
      <c r="Y4" s="53" t="s">
        <v>84</v>
      </c>
      <c r="Z4" s="53" t="s">
        <v>69</v>
      </c>
      <c r="AA4" s="53" t="s">
        <v>90</v>
      </c>
      <c r="AB4" s="53" t="s">
        <v>158</v>
      </c>
      <c r="AE4" s="22" t="s">
        <v>34</v>
      </c>
      <c r="AG4" s="71" t="s">
        <v>189</v>
      </c>
      <c r="AH4" s="71" t="s">
        <v>191</v>
      </c>
      <c r="AJ4" s="27" t="s">
        <v>48</v>
      </c>
      <c r="AL4" s="27" t="s">
        <v>192</v>
      </c>
      <c r="AN4" s="28" t="s">
        <v>193</v>
      </c>
      <c r="AP4" s="23" t="s">
        <v>194</v>
      </c>
      <c r="AR4" s="23" t="s">
        <v>195</v>
      </c>
      <c r="AT4" s="28"/>
      <c r="AV4" s="23" t="s">
        <v>50</v>
      </c>
      <c r="AX4" s="24">
        <v>75</v>
      </c>
      <c r="AY4" s="25">
        <v>42</v>
      </c>
      <c r="AZ4" s="25">
        <v>76</v>
      </c>
      <c r="BA4" s="26">
        <v>39</v>
      </c>
    </row>
    <row r="5" spans="1:53" ht="13.5" customHeight="1" x14ac:dyDescent="0.15">
      <c r="A5" s="53" t="s">
        <v>41</v>
      </c>
      <c r="B5" s="53" t="s">
        <v>157</v>
      </c>
      <c r="C5" s="62">
        <v>2019</v>
      </c>
      <c r="D5" s="63" t="s">
        <v>168</v>
      </c>
      <c r="E5" s="53" t="s">
        <v>133</v>
      </c>
      <c r="F5" s="53" t="s">
        <v>187</v>
      </c>
      <c r="G5" s="53" t="s">
        <v>42</v>
      </c>
      <c r="H5" s="53" t="s">
        <v>163</v>
      </c>
      <c r="I5" s="53" t="s">
        <v>159</v>
      </c>
      <c r="J5" s="53" t="s">
        <v>38</v>
      </c>
      <c r="K5" s="53" t="s">
        <v>160</v>
      </c>
      <c r="L5" s="53">
        <v>1</v>
      </c>
      <c r="N5" s="53">
        <v>8</v>
      </c>
      <c r="O5" s="53">
        <v>1.3</v>
      </c>
      <c r="P5" s="53">
        <v>1.1000000000000001</v>
      </c>
      <c r="Q5" s="72">
        <f t="shared" si="0"/>
        <v>1.2000000000000002</v>
      </c>
      <c r="R5" s="53">
        <v>13.3</v>
      </c>
      <c r="S5" s="53">
        <v>100</v>
      </c>
      <c r="T5" s="16">
        <f t="shared" si="1"/>
        <v>33</v>
      </c>
      <c r="U5" s="53">
        <v>645</v>
      </c>
      <c r="V5" s="16">
        <f t="shared" si="2"/>
        <v>2660.625</v>
      </c>
      <c r="W5" s="53">
        <v>2</v>
      </c>
      <c r="X5" s="53" t="s">
        <v>46</v>
      </c>
      <c r="Y5" s="53" t="s">
        <v>84</v>
      </c>
      <c r="Z5" s="53" t="s">
        <v>69</v>
      </c>
      <c r="AA5" s="53" t="s">
        <v>90</v>
      </c>
      <c r="AB5" s="53" t="s">
        <v>158</v>
      </c>
      <c r="AE5" s="22" t="s">
        <v>51</v>
      </c>
      <c r="AG5" s="71" t="s">
        <v>196</v>
      </c>
      <c r="AH5" s="71" t="s">
        <v>187</v>
      </c>
      <c r="AJ5" s="28"/>
      <c r="AL5" s="73" t="s">
        <v>163</v>
      </c>
      <c r="AN5" s="73" t="s">
        <v>159</v>
      </c>
      <c r="AP5" s="23" t="s">
        <v>197</v>
      </c>
      <c r="AR5" s="23" t="s">
        <v>54</v>
      </c>
      <c r="AV5" s="23" t="s">
        <v>55</v>
      </c>
      <c r="AX5" s="24">
        <v>84</v>
      </c>
      <c r="AY5" s="25">
        <v>39</v>
      </c>
      <c r="AZ5" s="25">
        <v>84</v>
      </c>
      <c r="BA5" s="26">
        <v>36</v>
      </c>
    </row>
    <row r="6" spans="1:53" x14ac:dyDescent="0.15">
      <c r="A6" s="53" t="s">
        <v>41</v>
      </c>
      <c r="B6" s="53" t="s">
        <v>157</v>
      </c>
      <c r="C6" s="62">
        <v>2019</v>
      </c>
      <c r="D6" s="63" t="s">
        <v>168</v>
      </c>
      <c r="E6" s="53" t="s">
        <v>133</v>
      </c>
      <c r="F6" s="53" t="s">
        <v>187</v>
      </c>
      <c r="G6" s="53" t="s">
        <v>42</v>
      </c>
      <c r="H6" s="53" t="s">
        <v>163</v>
      </c>
      <c r="I6" s="53" t="s">
        <v>159</v>
      </c>
      <c r="J6" s="53" t="s">
        <v>38</v>
      </c>
      <c r="K6" s="53" t="s">
        <v>160</v>
      </c>
      <c r="L6" s="53">
        <v>2</v>
      </c>
      <c r="N6" s="53">
        <v>8</v>
      </c>
      <c r="O6" s="53">
        <v>0.9</v>
      </c>
      <c r="P6" s="53">
        <v>1.1000000000000001</v>
      </c>
      <c r="Q6" s="72">
        <f t="shared" si="0"/>
        <v>1</v>
      </c>
      <c r="R6" s="53">
        <v>12.9</v>
      </c>
      <c r="S6" s="53">
        <v>112</v>
      </c>
      <c r="T6" s="16">
        <f t="shared" si="1"/>
        <v>33</v>
      </c>
      <c r="U6" s="53">
        <v>645</v>
      </c>
      <c r="V6" s="16">
        <f t="shared" si="2"/>
        <v>2660.625</v>
      </c>
      <c r="W6" s="53">
        <v>2</v>
      </c>
      <c r="X6" s="53" t="s">
        <v>46</v>
      </c>
      <c r="Y6" s="53" t="s">
        <v>84</v>
      </c>
      <c r="Z6" s="53" t="s">
        <v>69</v>
      </c>
      <c r="AA6" s="53" t="s">
        <v>90</v>
      </c>
      <c r="AB6" s="53" t="s">
        <v>158</v>
      </c>
      <c r="AE6" s="22" t="s">
        <v>56</v>
      </c>
      <c r="AG6" s="71" t="s">
        <v>196</v>
      </c>
      <c r="AH6" s="71" t="s">
        <v>198</v>
      </c>
      <c r="AL6" s="73" t="s">
        <v>164</v>
      </c>
      <c r="AN6" s="73" t="s">
        <v>199</v>
      </c>
      <c r="AP6" s="23" t="s">
        <v>53</v>
      </c>
      <c r="AR6" s="23" t="s">
        <v>59</v>
      </c>
      <c r="AV6" s="23" t="s">
        <v>60</v>
      </c>
      <c r="AX6" s="24">
        <v>97</v>
      </c>
      <c r="AY6" s="25">
        <v>36</v>
      </c>
      <c r="AZ6" s="25">
        <v>99</v>
      </c>
      <c r="BA6" s="26">
        <v>33</v>
      </c>
    </row>
    <row r="7" spans="1:53" x14ac:dyDescent="0.15">
      <c r="A7" s="53" t="s">
        <v>41</v>
      </c>
      <c r="B7" s="53" t="s">
        <v>157</v>
      </c>
      <c r="C7" s="62">
        <v>2019</v>
      </c>
      <c r="D7" s="63" t="s">
        <v>168</v>
      </c>
      <c r="E7" s="53" t="s">
        <v>133</v>
      </c>
      <c r="F7" s="53" t="s">
        <v>187</v>
      </c>
      <c r="G7" s="53" t="s">
        <v>42</v>
      </c>
      <c r="H7" s="53" t="s">
        <v>163</v>
      </c>
      <c r="I7" s="53" t="s">
        <v>159</v>
      </c>
      <c r="J7" s="53" t="s">
        <v>38</v>
      </c>
      <c r="K7" s="53" t="s">
        <v>160</v>
      </c>
      <c r="L7" s="53">
        <v>3</v>
      </c>
      <c r="N7" s="53">
        <v>8</v>
      </c>
      <c r="O7" s="53">
        <v>0.8</v>
      </c>
      <c r="P7" s="53">
        <v>0.95</v>
      </c>
      <c r="Q7" s="72">
        <f t="shared" si="0"/>
        <v>0.875</v>
      </c>
      <c r="R7" s="53">
        <v>10.7</v>
      </c>
      <c r="S7" s="53">
        <v>111</v>
      </c>
      <c r="T7" s="16">
        <f t="shared" si="1"/>
        <v>33</v>
      </c>
      <c r="U7" s="53">
        <v>645</v>
      </c>
      <c r="V7" s="16">
        <f t="shared" si="2"/>
        <v>2660.625</v>
      </c>
      <c r="W7" s="53">
        <v>2</v>
      </c>
      <c r="X7" s="53" t="s">
        <v>46</v>
      </c>
      <c r="Y7" s="53" t="s">
        <v>84</v>
      </c>
      <c r="Z7" s="53" t="s">
        <v>69</v>
      </c>
      <c r="AA7" s="53" t="s">
        <v>90</v>
      </c>
      <c r="AB7" s="53" t="s">
        <v>158</v>
      </c>
      <c r="AE7" s="22" t="s">
        <v>61</v>
      </c>
      <c r="AG7" s="71" t="s">
        <v>200</v>
      </c>
      <c r="AH7" s="71" t="s">
        <v>198</v>
      </c>
      <c r="AL7" s="74" t="s">
        <v>201</v>
      </c>
      <c r="AP7" s="23" t="s">
        <v>58</v>
      </c>
      <c r="AR7" s="23" t="s">
        <v>202</v>
      </c>
      <c r="AV7" s="23" t="s">
        <v>64</v>
      </c>
      <c r="AX7" s="24">
        <v>109</v>
      </c>
      <c r="AY7" s="25">
        <v>33</v>
      </c>
      <c r="AZ7" s="25">
        <v>113</v>
      </c>
      <c r="BA7" s="26">
        <v>30</v>
      </c>
    </row>
    <row r="8" spans="1:53" x14ac:dyDescent="0.15">
      <c r="A8" s="53" t="s">
        <v>41</v>
      </c>
      <c r="B8" s="53" t="s">
        <v>157</v>
      </c>
      <c r="C8" s="62">
        <v>2019</v>
      </c>
      <c r="D8" s="63" t="s">
        <v>168</v>
      </c>
      <c r="E8" s="53" t="s">
        <v>133</v>
      </c>
      <c r="F8" s="53" t="s">
        <v>187</v>
      </c>
      <c r="G8" s="53" t="s">
        <v>42</v>
      </c>
      <c r="H8" s="53" t="s">
        <v>164</v>
      </c>
      <c r="I8" s="53" t="s">
        <v>159</v>
      </c>
      <c r="J8" s="53" t="s">
        <v>38</v>
      </c>
      <c r="K8" s="53" t="s">
        <v>54</v>
      </c>
      <c r="L8" s="53">
        <v>1</v>
      </c>
      <c r="M8" s="75"/>
      <c r="N8" s="53">
        <v>4</v>
      </c>
      <c r="O8" s="53">
        <v>0.6</v>
      </c>
      <c r="P8" s="53">
        <v>0.55000000000000004</v>
      </c>
      <c r="Q8" s="76">
        <f t="shared" si="0"/>
        <v>0.57499999999999996</v>
      </c>
      <c r="R8" s="53">
        <v>14.2</v>
      </c>
      <c r="S8" s="53">
        <v>115</v>
      </c>
      <c r="T8" s="16">
        <f t="shared" si="1"/>
        <v>33</v>
      </c>
      <c r="U8" s="53">
        <v>645</v>
      </c>
      <c r="V8" s="16">
        <f t="shared" si="2"/>
        <v>5321.25</v>
      </c>
      <c r="W8" s="53">
        <v>1</v>
      </c>
      <c r="X8" s="53" t="s">
        <v>46</v>
      </c>
      <c r="Y8" s="53" t="s">
        <v>84</v>
      </c>
      <c r="Z8" s="53" t="s">
        <v>69</v>
      </c>
      <c r="AA8" s="53" t="s">
        <v>90</v>
      </c>
      <c r="AB8" s="53" t="s">
        <v>158</v>
      </c>
      <c r="AE8" s="22" t="s">
        <v>59</v>
      </c>
      <c r="AG8" s="71" t="s">
        <v>203</v>
      </c>
      <c r="AH8" s="71" t="s">
        <v>204</v>
      </c>
      <c r="AL8" s="74" t="s">
        <v>205</v>
      </c>
      <c r="AP8" s="23" t="s">
        <v>62</v>
      </c>
      <c r="AR8" s="23" t="s">
        <v>81</v>
      </c>
      <c r="AV8" s="23" t="s">
        <v>97</v>
      </c>
      <c r="AX8" s="24">
        <v>119</v>
      </c>
      <c r="AY8" s="25">
        <v>30</v>
      </c>
      <c r="AZ8" s="25">
        <v>121</v>
      </c>
      <c r="BA8" s="26">
        <v>27</v>
      </c>
    </row>
    <row r="9" spans="1:53" x14ac:dyDescent="0.15">
      <c r="A9" s="53" t="s">
        <v>41</v>
      </c>
      <c r="B9" s="53" t="s">
        <v>157</v>
      </c>
      <c r="C9" s="62">
        <v>2019</v>
      </c>
      <c r="D9" s="63" t="s">
        <v>168</v>
      </c>
      <c r="E9" s="53" t="s">
        <v>133</v>
      </c>
      <c r="F9" s="53" t="s">
        <v>187</v>
      </c>
      <c r="G9" s="53" t="s">
        <v>42</v>
      </c>
      <c r="H9" s="53" t="s">
        <v>164</v>
      </c>
      <c r="I9" s="53" t="s">
        <v>159</v>
      </c>
      <c r="J9" s="53" t="s">
        <v>38</v>
      </c>
      <c r="K9" s="53" t="s">
        <v>54</v>
      </c>
      <c r="L9" s="53">
        <v>2</v>
      </c>
      <c r="M9" s="75"/>
      <c r="N9" s="53">
        <v>4</v>
      </c>
      <c r="O9" s="53">
        <v>0.35</v>
      </c>
      <c r="P9" s="53">
        <v>0.3</v>
      </c>
      <c r="Q9" s="76">
        <f t="shared" si="0"/>
        <v>0.32499999999999996</v>
      </c>
      <c r="R9" s="53">
        <v>13.8</v>
      </c>
      <c r="S9" s="53">
        <v>113</v>
      </c>
      <c r="T9" s="16">
        <f t="shared" si="1"/>
        <v>33</v>
      </c>
      <c r="U9" s="53">
        <v>645</v>
      </c>
      <c r="V9" s="16">
        <f t="shared" si="2"/>
        <v>5321.25</v>
      </c>
      <c r="W9" s="53">
        <v>1</v>
      </c>
      <c r="X9" s="53" t="s">
        <v>46</v>
      </c>
      <c r="Y9" s="53" t="s">
        <v>84</v>
      </c>
      <c r="Z9" s="53" t="s">
        <v>69</v>
      </c>
      <c r="AA9" s="53" t="s">
        <v>90</v>
      </c>
      <c r="AB9" s="53" t="s">
        <v>158</v>
      </c>
      <c r="AE9" s="22" t="s">
        <v>206</v>
      </c>
      <c r="AG9" s="71" t="s">
        <v>207</v>
      </c>
      <c r="AH9" s="71" t="s">
        <v>208</v>
      </c>
      <c r="AL9" s="73"/>
      <c r="AP9" s="23" t="s">
        <v>95</v>
      </c>
      <c r="AR9" s="23" t="s">
        <v>209</v>
      </c>
      <c r="AV9" s="23" t="s">
        <v>102</v>
      </c>
      <c r="AX9" s="24">
        <v>128</v>
      </c>
      <c r="AY9" s="25">
        <v>27</v>
      </c>
      <c r="AZ9" s="25">
        <v>129</v>
      </c>
      <c r="BA9" s="26">
        <v>25</v>
      </c>
    </row>
    <row r="10" spans="1:53" x14ac:dyDescent="0.15">
      <c r="A10" s="53" t="s">
        <v>41</v>
      </c>
      <c r="B10" s="53" t="s">
        <v>157</v>
      </c>
      <c r="C10" s="62">
        <v>2019</v>
      </c>
      <c r="D10" s="63" t="s">
        <v>168</v>
      </c>
      <c r="E10" s="53" t="s">
        <v>133</v>
      </c>
      <c r="F10" s="53" t="s">
        <v>187</v>
      </c>
      <c r="G10" s="53" t="s">
        <v>42</v>
      </c>
      <c r="H10" s="53" t="s">
        <v>164</v>
      </c>
      <c r="I10" s="53" t="s">
        <v>159</v>
      </c>
      <c r="J10" s="53" t="s">
        <v>38</v>
      </c>
      <c r="K10" s="53" t="s">
        <v>54</v>
      </c>
      <c r="L10" s="53">
        <v>3</v>
      </c>
      <c r="M10" s="75"/>
      <c r="N10" s="53">
        <v>4</v>
      </c>
      <c r="O10" s="53">
        <v>0.4</v>
      </c>
      <c r="P10" s="53">
        <v>0.35</v>
      </c>
      <c r="Q10" s="76">
        <f t="shared" si="0"/>
        <v>0.375</v>
      </c>
      <c r="R10" s="53">
        <v>15.7</v>
      </c>
      <c r="S10" s="53">
        <v>112</v>
      </c>
      <c r="T10" s="16">
        <f t="shared" si="1"/>
        <v>33</v>
      </c>
      <c r="U10" s="53">
        <v>645</v>
      </c>
      <c r="V10" s="16">
        <f t="shared" si="2"/>
        <v>5321.25</v>
      </c>
      <c r="W10" s="53">
        <v>1</v>
      </c>
      <c r="X10" s="53" t="s">
        <v>46</v>
      </c>
      <c r="Y10" s="53" t="s">
        <v>84</v>
      </c>
      <c r="Z10" s="53" t="s">
        <v>69</v>
      </c>
      <c r="AA10" s="53" t="s">
        <v>90</v>
      </c>
      <c r="AB10" s="53" t="s">
        <v>158</v>
      </c>
      <c r="AE10" s="22" t="s">
        <v>210</v>
      </c>
      <c r="AG10" s="71" t="s">
        <v>203</v>
      </c>
      <c r="AH10" s="71" t="s">
        <v>211</v>
      </c>
      <c r="AL10" s="74"/>
      <c r="AP10" s="23" t="s">
        <v>100</v>
      </c>
      <c r="AR10" s="23" t="s">
        <v>212</v>
      </c>
      <c r="AV10" s="23" t="s">
        <v>106</v>
      </c>
      <c r="AX10" s="24">
        <v>138</v>
      </c>
      <c r="AY10" s="25">
        <v>25</v>
      </c>
      <c r="AZ10" s="25">
        <v>138</v>
      </c>
      <c r="BA10" s="26">
        <v>22</v>
      </c>
    </row>
    <row r="11" spans="1:53" x14ac:dyDescent="0.15">
      <c r="A11" s="53" t="s">
        <v>41</v>
      </c>
      <c r="B11" s="53" t="s">
        <v>157</v>
      </c>
      <c r="C11" s="62">
        <v>2019</v>
      </c>
      <c r="D11" s="63" t="s">
        <v>168</v>
      </c>
      <c r="E11" s="53" t="s">
        <v>189</v>
      </c>
      <c r="F11" s="53" t="s">
        <v>187</v>
      </c>
      <c r="G11" s="53" t="s">
        <v>42</v>
      </c>
      <c r="H11" s="53" t="s">
        <v>188</v>
      </c>
      <c r="I11" s="53" t="s">
        <v>159</v>
      </c>
      <c r="J11" s="53" t="s">
        <v>80</v>
      </c>
      <c r="K11" s="53" t="s">
        <v>68</v>
      </c>
      <c r="L11" s="53">
        <v>1</v>
      </c>
      <c r="M11" s="75"/>
      <c r="N11" s="53">
        <v>1</v>
      </c>
      <c r="O11" s="53">
        <v>0.95</v>
      </c>
      <c r="P11" s="53">
        <v>0.8</v>
      </c>
      <c r="Q11" s="76">
        <f t="shared" si="0"/>
        <v>0.875</v>
      </c>
      <c r="R11" s="53">
        <v>9.1</v>
      </c>
      <c r="S11" s="53">
        <v>127</v>
      </c>
      <c r="T11" s="16">
        <f t="shared" si="1"/>
        <v>27</v>
      </c>
      <c r="U11" s="53">
        <v>105</v>
      </c>
      <c r="V11" s="16">
        <f t="shared" si="2"/>
        <v>2835</v>
      </c>
      <c r="W11" s="53">
        <v>1</v>
      </c>
      <c r="X11" s="53" t="s">
        <v>46</v>
      </c>
      <c r="Y11" s="53" t="s">
        <v>84</v>
      </c>
      <c r="Z11" s="53" t="s">
        <v>90</v>
      </c>
      <c r="AA11" s="53" t="s">
        <v>40</v>
      </c>
      <c r="AB11" s="53" t="s">
        <v>158</v>
      </c>
      <c r="AE11" s="22" t="s">
        <v>68</v>
      </c>
      <c r="AG11" s="71" t="s">
        <v>213</v>
      </c>
      <c r="AH11" s="71" t="s">
        <v>214</v>
      </c>
      <c r="AL11" s="74"/>
      <c r="AP11" s="23" t="s">
        <v>104</v>
      </c>
      <c r="AR11" s="23" t="s">
        <v>215</v>
      </c>
      <c r="AV11" s="23" t="s">
        <v>69</v>
      </c>
      <c r="AX11" s="24">
        <v>151</v>
      </c>
      <c r="AY11" s="25">
        <v>22</v>
      </c>
      <c r="AZ11" s="25">
        <v>152</v>
      </c>
      <c r="BA11" s="26">
        <v>18</v>
      </c>
    </row>
    <row r="12" spans="1:53" x14ac:dyDescent="0.15">
      <c r="A12" s="53" t="s">
        <v>41</v>
      </c>
      <c r="B12" s="53" t="s">
        <v>157</v>
      </c>
      <c r="C12" s="62">
        <v>2019</v>
      </c>
      <c r="D12" s="63" t="s">
        <v>168</v>
      </c>
      <c r="E12" s="53" t="s">
        <v>189</v>
      </c>
      <c r="F12" s="53" t="s">
        <v>187</v>
      </c>
      <c r="G12" s="53" t="s">
        <v>42</v>
      </c>
      <c r="H12" s="53" t="s">
        <v>188</v>
      </c>
      <c r="I12" s="53" t="s">
        <v>159</v>
      </c>
      <c r="J12" s="53" t="s">
        <v>80</v>
      </c>
      <c r="K12" s="53" t="s">
        <v>68</v>
      </c>
      <c r="L12" s="53">
        <v>2</v>
      </c>
      <c r="M12" s="75"/>
      <c r="N12" s="53">
        <v>1</v>
      </c>
      <c r="O12" s="53">
        <v>0.65</v>
      </c>
      <c r="P12" s="53">
        <v>0.5</v>
      </c>
      <c r="Q12" s="76">
        <f t="shared" si="0"/>
        <v>0.57499999999999996</v>
      </c>
      <c r="R12" s="53">
        <v>11.2</v>
      </c>
      <c r="S12" s="53">
        <v>125</v>
      </c>
      <c r="T12" s="16">
        <f t="shared" si="1"/>
        <v>27</v>
      </c>
      <c r="U12" s="53">
        <v>105</v>
      </c>
      <c r="V12" s="16">
        <f t="shared" si="2"/>
        <v>2835</v>
      </c>
      <c r="W12" s="53">
        <v>1</v>
      </c>
      <c r="X12" s="53" t="s">
        <v>46</v>
      </c>
      <c r="Y12" s="53" t="s">
        <v>84</v>
      </c>
      <c r="Z12" s="53" t="s">
        <v>90</v>
      </c>
      <c r="AA12" s="53" t="s">
        <v>40</v>
      </c>
      <c r="AB12" s="53" t="s">
        <v>158</v>
      </c>
      <c r="AE12" s="22" t="s">
        <v>216</v>
      </c>
      <c r="AG12" s="22"/>
      <c r="AH12" s="22"/>
      <c r="AL12" s="74"/>
      <c r="AP12" s="23" t="s">
        <v>67</v>
      </c>
      <c r="AR12" s="23" t="s">
        <v>217</v>
      </c>
      <c r="AV12" s="23" t="s">
        <v>72</v>
      </c>
      <c r="AX12" s="31">
        <v>180</v>
      </c>
      <c r="AY12" s="32">
        <v>18</v>
      </c>
      <c r="AZ12" s="32">
        <v>181</v>
      </c>
      <c r="BA12" s="33">
        <v>16</v>
      </c>
    </row>
    <row r="13" spans="1:53" x14ac:dyDescent="0.15">
      <c r="A13" s="53" t="s">
        <v>41</v>
      </c>
      <c r="B13" s="53" t="s">
        <v>157</v>
      </c>
      <c r="C13" s="62">
        <v>2019</v>
      </c>
      <c r="D13" s="63" t="s">
        <v>168</v>
      </c>
      <c r="E13" s="53" t="s">
        <v>189</v>
      </c>
      <c r="F13" s="53" t="s">
        <v>187</v>
      </c>
      <c r="G13" s="53" t="s">
        <v>42</v>
      </c>
      <c r="H13" s="53" t="s">
        <v>188</v>
      </c>
      <c r="I13" s="53" t="s">
        <v>159</v>
      </c>
      <c r="J13" s="53" t="s">
        <v>80</v>
      </c>
      <c r="K13" s="53" t="s">
        <v>68</v>
      </c>
      <c r="L13" s="53">
        <v>3</v>
      </c>
      <c r="M13" s="75"/>
      <c r="N13" s="53">
        <v>1</v>
      </c>
      <c r="O13" s="53">
        <v>0.8</v>
      </c>
      <c r="P13" s="53">
        <v>0.75</v>
      </c>
      <c r="Q13" s="76">
        <f t="shared" si="0"/>
        <v>0.77500000000000002</v>
      </c>
      <c r="R13" s="53">
        <v>13.2</v>
      </c>
      <c r="S13" s="53">
        <v>128</v>
      </c>
      <c r="T13" s="16">
        <f t="shared" si="1"/>
        <v>27</v>
      </c>
      <c r="U13" s="53">
        <v>105</v>
      </c>
      <c r="V13" s="16">
        <f t="shared" si="2"/>
        <v>2835</v>
      </c>
      <c r="W13" s="53">
        <v>1</v>
      </c>
      <c r="X13" s="53" t="s">
        <v>46</v>
      </c>
      <c r="Y13" s="53" t="s">
        <v>84</v>
      </c>
      <c r="Z13" s="53" t="s">
        <v>90</v>
      </c>
      <c r="AA13" s="53" t="s">
        <v>40</v>
      </c>
      <c r="AB13" s="53" t="s">
        <v>158</v>
      </c>
      <c r="AE13" s="22" t="s">
        <v>218</v>
      </c>
      <c r="AG13" s="23"/>
      <c r="AH13" s="23"/>
      <c r="AP13" s="23" t="s">
        <v>71</v>
      </c>
      <c r="AR13" s="23" t="s">
        <v>210</v>
      </c>
      <c r="AV13" s="23" t="s">
        <v>75</v>
      </c>
    </row>
    <row r="14" spans="1:53" x14ac:dyDescent="0.15">
      <c r="A14" s="53" t="s">
        <v>41</v>
      </c>
      <c r="B14" s="53" t="s">
        <v>157</v>
      </c>
      <c r="C14" s="62">
        <v>2019</v>
      </c>
      <c r="D14" s="63" t="s">
        <v>168</v>
      </c>
      <c r="E14" s="53" t="s">
        <v>189</v>
      </c>
      <c r="F14" s="53" t="s">
        <v>187</v>
      </c>
      <c r="G14" s="53" t="s">
        <v>42</v>
      </c>
      <c r="H14" s="53" t="s">
        <v>188</v>
      </c>
      <c r="I14" s="53" t="s">
        <v>159</v>
      </c>
      <c r="J14" s="53" t="s">
        <v>80</v>
      </c>
      <c r="K14" s="53" t="s">
        <v>68</v>
      </c>
      <c r="L14" s="53">
        <v>1</v>
      </c>
      <c r="M14" s="75"/>
      <c r="N14" s="53">
        <v>5</v>
      </c>
      <c r="O14" s="53">
        <v>1.1000000000000001</v>
      </c>
      <c r="P14" s="53">
        <v>1.25</v>
      </c>
      <c r="Q14" s="76">
        <f t="shared" si="0"/>
        <v>1.175</v>
      </c>
      <c r="R14" s="53">
        <v>12.4</v>
      </c>
      <c r="S14" s="53">
        <v>101</v>
      </c>
      <c r="T14" s="16">
        <f t="shared" si="1"/>
        <v>33</v>
      </c>
      <c r="U14" s="53">
        <v>389</v>
      </c>
      <c r="V14" s="16">
        <f t="shared" si="2"/>
        <v>2567.4</v>
      </c>
      <c r="W14" s="53">
        <v>2</v>
      </c>
      <c r="X14" s="53" t="s">
        <v>46</v>
      </c>
      <c r="Y14" s="53" t="s">
        <v>84</v>
      </c>
      <c r="Z14" s="53" t="s">
        <v>90</v>
      </c>
      <c r="AA14" s="53" t="s">
        <v>40</v>
      </c>
      <c r="AB14" s="53" t="s">
        <v>158</v>
      </c>
      <c r="AE14" s="22" t="s">
        <v>96</v>
      </c>
      <c r="AG14" s="23"/>
      <c r="AH14" s="23"/>
      <c r="AP14" s="23" t="s">
        <v>74</v>
      </c>
      <c r="AR14" s="23" t="s">
        <v>219</v>
      </c>
      <c r="AV14" s="23" t="s">
        <v>78</v>
      </c>
    </row>
    <row r="15" spans="1:53" x14ac:dyDescent="0.15">
      <c r="A15" s="53" t="s">
        <v>41</v>
      </c>
      <c r="B15" s="53" t="s">
        <v>157</v>
      </c>
      <c r="C15" s="62">
        <v>2019</v>
      </c>
      <c r="D15" s="63" t="s">
        <v>168</v>
      </c>
      <c r="E15" s="53" t="s">
        <v>189</v>
      </c>
      <c r="F15" s="53" t="s">
        <v>187</v>
      </c>
      <c r="G15" s="53" t="s">
        <v>42</v>
      </c>
      <c r="H15" s="53" t="s">
        <v>188</v>
      </c>
      <c r="I15" s="53" t="s">
        <v>159</v>
      </c>
      <c r="J15" s="53" t="s">
        <v>80</v>
      </c>
      <c r="K15" s="53" t="s">
        <v>68</v>
      </c>
      <c r="L15" s="53">
        <v>2</v>
      </c>
      <c r="M15" s="75"/>
      <c r="N15" s="53">
        <v>5</v>
      </c>
      <c r="O15" s="53">
        <v>0.9</v>
      </c>
      <c r="P15" s="53">
        <v>1</v>
      </c>
      <c r="Q15" s="76">
        <f t="shared" si="0"/>
        <v>0.95</v>
      </c>
      <c r="R15" s="53">
        <v>10</v>
      </c>
      <c r="S15" s="53">
        <v>98</v>
      </c>
      <c r="T15" s="16">
        <f t="shared" si="1"/>
        <v>36</v>
      </c>
      <c r="U15" s="53">
        <v>389</v>
      </c>
      <c r="V15" s="16">
        <f t="shared" si="2"/>
        <v>2800.7999999999997</v>
      </c>
      <c r="W15" s="53">
        <v>2</v>
      </c>
      <c r="X15" s="53" t="s">
        <v>46</v>
      </c>
      <c r="Y15" s="53" t="s">
        <v>84</v>
      </c>
      <c r="Z15" s="53" t="s">
        <v>90</v>
      </c>
      <c r="AA15" s="53" t="s">
        <v>40</v>
      </c>
      <c r="AB15" s="53" t="s">
        <v>158</v>
      </c>
      <c r="AE15" s="22" t="s">
        <v>220</v>
      </c>
      <c r="AG15" s="23"/>
      <c r="AH15" s="23"/>
      <c r="AP15" s="23" t="s">
        <v>77</v>
      </c>
      <c r="AR15" s="23" t="s">
        <v>80</v>
      </c>
      <c r="AV15" s="23" t="s">
        <v>107</v>
      </c>
    </row>
    <row r="16" spans="1:53" x14ac:dyDescent="0.15">
      <c r="A16" s="53" t="s">
        <v>41</v>
      </c>
      <c r="B16" s="53" t="s">
        <v>157</v>
      </c>
      <c r="C16" s="62">
        <v>2019</v>
      </c>
      <c r="D16" s="63" t="s">
        <v>168</v>
      </c>
      <c r="E16" s="53" t="s">
        <v>189</v>
      </c>
      <c r="F16" s="53" t="s">
        <v>187</v>
      </c>
      <c r="G16" s="53" t="s">
        <v>42</v>
      </c>
      <c r="H16" s="53" t="s">
        <v>188</v>
      </c>
      <c r="I16" s="53" t="s">
        <v>159</v>
      </c>
      <c r="J16" s="53" t="s">
        <v>80</v>
      </c>
      <c r="K16" s="53" t="s">
        <v>68</v>
      </c>
      <c r="L16" s="53">
        <v>3</v>
      </c>
      <c r="M16" s="75"/>
      <c r="N16" s="53">
        <v>5</v>
      </c>
      <c r="O16" s="53">
        <v>0.85</v>
      </c>
      <c r="P16" s="53">
        <v>0.75</v>
      </c>
      <c r="Q16" s="76">
        <f t="shared" si="0"/>
        <v>0.8</v>
      </c>
      <c r="R16" s="53">
        <v>10.4</v>
      </c>
      <c r="S16" s="53">
        <v>102</v>
      </c>
      <c r="T16" s="16">
        <f t="shared" si="1"/>
        <v>33</v>
      </c>
      <c r="U16" s="53">
        <v>389</v>
      </c>
      <c r="V16" s="16">
        <f t="shared" si="2"/>
        <v>2567.4</v>
      </c>
      <c r="W16" s="53">
        <v>2</v>
      </c>
      <c r="X16" s="53" t="s">
        <v>46</v>
      </c>
      <c r="Y16" s="53" t="s">
        <v>84</v>
      </c>
      <c r="Z16" s="53" t="s">
        <v>90</v>
      </c>
      <c r="AA16" s="53" t="s">
        <v>40</v>
      </c>
      <c r="AB16" s="53" t="s">
        <v>158</v>
      </c>
      <c r="AE16" s="22" t="s">
        <v>221</v>
      </c>
      <c r="AG16" s="28"/>
      <c r="AH16" s="28"/>
      <c r="AP16" s="23" t="s">
        <v>80</v>
      </c>
      <c r="AR16" s="23" t="s">
        <v>63</v>
      </c>
      <c r="AV16" s="23" t="s">
        <v>84</v>
      </c>
    </row>
    <row r="17" spans="1:48" x14ac:dyDescent="0.15">
      <c r="A17" s="53" t="s">
        <v>41</v>
      </c>
      <c r="B17" s="53" t="s">
        <v>157</v>
      </c>
      <c r="C17" s="62">
        <v>2019</v>
      </c>
      <c r="D17" s="63" t="s">
        <v>168</v>
      </c>
      <c r="E17" s="53" t="s">
        <v>189</v>
      </c>
      <c r="F17" s="53" t="s">
        <v>191</v>
      </c>
      <c r="G17" s="53" t="s">
        <v>42</v>
      </c>
      <c r="H17" s="53" t="s">
        <v>188</v>
      </c>
      <c r="I17" s="53" t="s">
        <v>159</v>
      </c>
      <c r="J17" s="53" t="s">
        <v>80</v>
      </c>
      <c r="K17" s="53" t="s">
        <v>68</v>
      </c>
      <c r="L17" s="53">
        <v>1</v>
      </c>
      <c r="M17" s="75"/>
      <c r="N17" s="53">
        <v>1</v>
      </c>
      <c r="O17" s="53">
        <v>0.45</v>
      </c>
      <c r="P17" s="53">
        <v>0.4</v>
      </c>
      <c r="Q17" s="76">
        <f t="shared" si="0"/>
        <v>0.42500000000000004</v>
      </c>
      <c r="R17" s="53">
        <v>13.3</v>
      </c>
      <c r="S17" s="53">
        <v>130</v>
      </c>
      <c r="T17" s="16">
        <f t="shared" si="1"/>
        <v>25</v>
      </c>
      <c r="U17" s="53">
        <v>105</v>
      </c>
      <c r="V17" s="16">
        <f t="shared" si="2"/>
        <v>2625</v>
      </c>
      <c r="W17" s="53">
        <v>1</v>
      </c>
      <c r="X17" s="53" t="s">
        <v>46</v>
      </c>
      <c r="Y17" s="53" t="s">
        <v>84</v>
      </c>
      <c r="Z17" s="53" t="s">
        <v>90</v>
      </c>
      <c r="AA17" s="53" t="s">
        <v>40</v>
      </c>
      <c r="AB17" s="53" t="s">
        <v>158</v>
      </c>
      <c r="AE17" s="22" t="s">
        <v>222</v>
      </c>
      <c r="AP17" s="27" t="s">
        <v>223</v>
      </c>
      <c r="AR17" s="23" t="s">
        <v>96</v>
      </c>
      <c r="AV17" s="23" t="s">
        <v>86</v>
      </c>
    </row>
    <row r="18" spans="1:48" x14ac:dyDescent="0.15">
      <c r="A18" s="53" t="s">
        <v>41</v>
      </c>
      <c r="B18" s="53" t="s">
        <v>157</v>
      </c>
      <c r="C18" s="62">
        <v>2019</v>
      </c>
      <c r="D18" s="63" t="s">
        <v>168</v>
      </c>
      <c r="E18" s="53" t="s">
        <v>189</v>
      </c>
      <c r="F18" s="53" t="s">
        <v>191</v>
      </c>
      <c r="G18" s="53" t="s">
        <v>42</v>
      </c>
      <c r="H18" s="53" t="s">
        <v>188</v>
      </c>
      <c r="I18" s="53" t="s">
        <v>159</v>
      </c>
      <c r="J18" s="53" t="s">
        <v>80</v>
      </c>
      <c r="K18" s="53" t="s">
        <v>68</v>
      </c>
      <c r="L18" s="53">
        <v>2</v>
      </c>
      <c r="M18" s="75"/>
      <c r="N18" s="53">
        <v>1</v>
      </c>
      <c r="O18" s="53">
        <v>0.3</v>
      </c>
      <c r="P18" s="53">
        <v>0.35</v>
      </c>
      <c r="Q18" s="76">
        <f t="shared" si="0"/>
        <v>0.32499999999999996</v>
      </c>
      <c r="R18" s="53">
        <v>11.5</v>
      </c>
      <c r="S18" s="53">
        <v>128</v>
      </c>
      <c r="T18" s="16">
        <f t="shared" si="1"/>
        <v>27</v>
      </c>
      <c r="U18" s="53">
        <v>105</v>
      </c>
      <c r="V18" s="16">
        <f t="shared" si="2"/>
        <v>2835</v>
      </c>
      <c r="W18" s="53">
        <v>1</v>
      </c>
      <c r="X18" s="53" t="s">
        <v>46</v>
      </c>
      <c r="Y18" s="53" t="s">
        <v>84</v>
      </c>
      <c r="Z18" s="53" t="s">
        <v>90</v>
      </c>
      <c r="AA18" s="53" t="s">
        <v>40</v>
      </c>
      <c r="AB18" s="53" t="s">
        <v>158</v>
      </c>
      <c r="AE18" s="22" t="s">
        <v>215</v>
      </c>
      <c r="AP18" s="27" t="s">
        <v>224</v>
      </c>
      <c r="AR18" s="23" t="s">
        <v>101</v>
      </c>
      <c r="AV18" s="23" t="s">
        <v>88</v>
      </c>
    </row>
    <row r="19" spans="1:48" x14ac:dyDescent="0.15">
      <c r="A19" s="53" t="s">
        <v>41</v>
      </c>
      <c r="B19" s="53" t="s">
        <v>157</v>
      </c>
      <c r="C19" s="62">
        <v>2019</v>
      </c>
      <c r="D19" s="63" t="s">
        <v>168</v>
      </c>
      <c r="E19" s="53" t="s">
        <v>189</v>
      </c>
      <c r="F19" s="53" t="s">
        <v>191</v>
      </c>
      <c r="G19" s="53" t="s">
        <v>42</v>
      </c>
      <c r="H19" s="53" t="s">
        <v>188</v>
      </c>
      <c r="I19" s="53" t="s">
        <v>159</v>
      </c>
      <c r="J19" s="53" t="s">
        <v>80</v>
      </c>
      <c r="K19" s="53" t="s">
        <v>68</v>
      </c>
      <c r="L19" s="53">
        <v>3</v>
      </c>
      <c r="M19" s="75"/>
      <c r="N19" s="53">
        <v>1</v>
      </c>
      <c r="O19" s="53">
        <v>0.5</v>
      </c>
      <c r="P19" s="53">
        <v>0.5</v>
      </c>
      <c r="Q19" s="76">
        <f t="shared" si="0"/>
        <v>0.5</v>
      </c>
      <c r="R19" s="53">
        <v>12.4</v>
      </c>
      <c r="S19" s="53">
        <v>125</v>
      </c>
      <c r="T19" s="16">
        <f t="shared" si="1"/>
        <v>27</v>
      </c>
      <c r="U19" s="53">
        <v>105</v>
      </c>
      <c r="V19" s="16">
        <f t="shared" si="2"/>
        <v>2835</v>
      </c>
      <c r="W19" s="53">
        <v>1</v>
      </c>
      <c r="X19" s="53" t="s">
        <v>46</v>
      </c>
      <c r="Y19" s="53" t="s">
        <v>84</v>
      </c>
      <c r="Z19" s="53" t="s">
        <v>90</v>
      </c>
      <c r="AA19" s="53" t="s">
        <v>40</v>
      </c>
      <c r="AB19" s="53" t="s">
        <v>158</v>
      </c>
      <c r="AE19" s="35" t="s">
        <v>209</v>
      </c>
      <c r="AP19" s="27" t="s">
        <v>225</v>
      </c>
      <c r="AR19" s="23" t="s">
        <v>226</v>
      </c>
      <c r="AV19" s="23" t="s">
        <v>90</v>
      </c>
    </row>
    <row r="20" spans="1:48" x14ac:dyDescent="0.15">
      <c r="A20" s="53" t="s">
        <v>41</v>
      </c>
      <c r="B20" s="53" t="s">
        <v>157</v>
      </c>
      <c r="C20" s="62">
        <v>2019</v>
      </c>
      <c r="D20" s="63" t="s">
        <v>168</v>
      </c>
      <c r="E20" s="53" t="s">
        <v>189</v>
      </c>
      <c r="F20" s="53" t="s">
        <v>191</v>
      </c>
      <c r="G20" s="53" t="s">
        <v>42</v>
      </c>
      <c r="H20" s="53" t="s">
        <v>188</v>
      </c>
      <c r="I20" s="53" t="s">
        <v>159</v>
      </c>
      <c r="J20" s="53" t="s">
        <v>58</v>
      </c>
      <c r="K20" s="53" t="s">
        <v>59</v>
      </c>
      <c r="L20" s="53">
        <v>1</v>
      </c>
      <c r="M20" s="75"/>
      <c r="N20" s="53">
        <v>5</v>
      </c>
      <c r="O20" s="53">
        <v>0.35</v>
      </c>
      <c r="P20" s="53">
        <v>0.3</v>
      </c>
      <c r="Q20" s="76">
        <f t="shared" si="0"/>
        <v>0.32499999999999996</v>
      </c>
      <c r="R20" s="53">
        <v>12.8</v>
      </c>
      <c r="S20" s="53">
        <v>112</v>
      </c>
      <c r="T20" s="16">
        <f t="shared" si="1"/>
        <v>33</v>
      </c>
      <c r="U20" s="53">
        <v>429</v>
      </c>
      <c r="V20" s="16">
        <f t="shared" si="2"/>
        <v>2831.4</v>
      </c>
      <c r="W20" s="53">
        <v>1</v>
      </c>
      <c r="X20" s="53" t="s">
        <v>46</v>
      </c>
      <c r="Y20" s="53" t="s">
        <v>84</v>
      </c>
      <c r="Z20" s="53" t="s">
        <v>90</v>
      </c>
      <c r="AA20" s="53" t="s">
        <v>40</v>
      </c>
      <c r="AB20" s="53" t="s">
        <v>158</v>
      </c>
      <c r="AE20" s="35"/>
      <c r="AP20" s="27" t="s">
        <v>227</v>
      </c>
      <c r="AR20" s="23" t="s">
        <v>105</v>
      </c>
      <c r="AV20" s="27" t="s">
        <v>228</v>
      </c>
    </row>
    <row r="21" spans="1:48" x14ac:dyDescent="0.15">
      <c r="A21" s="53" t="s">
        <v>41</v>
      </c>
      <c r="B21" s="53" t="s">
        <v>157</v>
      </c>
      <c r="C21" s="62">
        <v>2019</v>
      </c>
      <c r="D21" s="63" t="s">
        <v>168</v>
      </c>
      <c r="E21" s="53" t="s">
        <v>189</v>
      </c>
      <c r="F21" s="53" t="s">
        <v>191</v>
      </c>
      <c r="G21" s="53" t="s">
        <v>42</v>
      </c>
      <c r="H21" s="53" t="s">
        <v>188</v>
      </c>
      <c r="I21" s="53" t="s">
        <v>159</v>
      </c>
      <c r="J21" s="53" t="s">
        <v>58</v>
      </c>
      <c r="K21" s="53" t="s">
        <v>59</v>
      </c>
      <c r="L21" s="53">
        <v>2</v>
      </c>
      <c r="M21" s="75"/>
      <c r="N21" s="53">
        <v>5</v>
      </c>
      <c r="O21" s="53">
        <v>0.45</v>
      </c>
      <c r="P21" s="53">
        <v>0.4</v>
      </c>
      <c r="Q21" s="76">
        <f t="shared" si="0"/>
        <v>0.42500000000000004</v>
      </c>
      <c r="R21" s="53">
        <v>13.4</v>
      </c>
      <c r="S21" s="53">
        <v>104</v>
      </c>
      <c r="T21" s="16">
        <f t="shared" si="1"/>
        <v>33</v>
      </c>
      <c r="U21" s="53">
        <v>429</v>
      </c>
      <c r="V21" s="16">
        <f t="shared" si="2"/>
        <v>2831.4</v>
      </c>
      <c r="W21" s="53">
        <v>1</v>
      </c>
      <c r="X21" s="53" t="s">
        <v>46</v>
      </c>
      <c r="Y21" s="53" t="s">
        <v>84</v>
      </c>
      <c r="Z21" s="53" t="s">
        <v>90</v>
      </c>
      <c r="AA21" s="53" t="s">
        <v>40</v>
      </c>
      <c r="AB21" s="53" t="s">
        <v>158</v>
      </c>
      <c r="AE21" s="28"/>
      <c r="AP21" s="27" t="s">
        <v>229</v>
      </c>
      <c r="AR21" s="23" t="s">
        <v>68</v>
      </c>
      <c r="AV21" s="27" t="s">
        <v>230</v>
      </c>
    </row>
    <row r="22" spans="1:48" x14ac:dyDescent="0.15">
      <c r="A22" s="53" t="s">
        <v>41</v>
      </c>
      <c r="B22" s="53" t="s">
        <v>157</v>
      </c>
      <c r="C22" s="62">
        <v>2019</v>
      </c>
      <c r="D22" s="63" t="s">
        <v>168</v>
      </c>
      <c r="E22" s="53" t="s">
        <v>189</v>
      </c>
      <c r="F22" s="53" t="s">
        <v>191</v>
      </c>
      <c r="G22" s="53" t="s">
        <v>42</v>
      </c>
      <c r="H22" s="53" t="s">
        <v>188</v>
      </c>
      <c r="I22" s="53" t="s">
        <v>159</v>
      </c>
      <c r="J22" s="53" t="s">
        <v>58</v>
      </c>
      <c r="K22" s="53" t="s">
        <v>59</v>
      </c>
      <c r="L22" s="53">
        <v>3</v>
      </c>
      <c r="M22" s="75"/>
      <c r="N22" s="53">
        <v>5</v>
      </c>
      <c r="O22" s="53">
        <v>0.5</v>
      </c>
      <c r="P22" s="53">
        <v>0.55000000000000004</v>
      </c>
      <c r="Q22" s="76">
        <f t="shared" si="0"/>
        <v>0.52500000000000002</v>
      </c>
      <c r="R22" s="53">
        <v>10.4</v>
      </c>
      <c r="S22" s="53">
        <v>107</v>
      </c>
      <c r="T22" s="16">
        <f t="shared" si="1"/>
        <v>33</v>
      </c>
      <c r="U22" s="53">
        <v>429</v>
      </c>
      <c r="V22" s="16">
        <f t="shared" si="2"/>
        <v>2831.4</v>
      </c>
      <c r="W22" s="53">
        <v>1</v>
      </c>
      <c r="X22" s="53" t="s">
        <v>46</v>
      </c>
      <c r="Y22" s="53" t="s">
        <v>84</v>
      </c>
      <c r="Z22" s="53" t="s">
        <v>90</v>
      </c>
      <c r="AA22" s="53" t="s">
        <v>40</v>
      </c>
      <c r="AB22" s="53" t="s">
        <v>158</v>
      </c>
      <c r="AP22" s="27" t="s">
        <v>231</v>
      </c>
      <c r="AR22" s="23" t="s">
        <v>83</v>
      </c>
      <c r="AV22" s="27"/>
    </row>
    <row r="23" spans="1:48" x14ac:dyDescent="0.15">
      <c r="A23" s="53" t="s">
        <v>41</v>
      </c>
      <c r="B23" s="53" t="s">
        <v>157</v>
      </c>
      <c r="C23" s="62">
        <v>2019</v>
      </c>
      <c r="D23" s="63" t="s">
        <v>168</v>
      </c>
      <c r="E23" s="53" t="s">
        <v>196</v>
      </c>
      <c r="F23" s="53" t="s">
        <v>187</v>
      </c>
      <c r="G23" s="53" t="s">
        <v>42</v>
      </c>
      <c r="H23" s="53" t="s">
        <v>163</v>
      </c>
      <c r="I23" s="53" t="s">
        <v>159</v>
      </c>
      <c r="J23" s="53" t="s">
        <v>38</v>
      </c>
      <c r="K23" s="53" t="s">
        <v>160</v>
      </c>
      <c r="L23" s="53">
        <v>1</v>
      </c>
      <c r="N23" s="53">
        <v>1</v>
      </c>
      <c r="O23" s="53">
        <v>0.35</v>
      </c>
      <c r="P23" s="53">
        <v>0.45</v>
      </c>
      <c r="Q23" s="76">
        <f t="shared" si="0"/>
        <v>0.4</v>
      </c>
      <c r="R23" s="53">
        <v>13.8</v>
      </c>
      <c r="S23" s="53">
        <v>120</v>
      </c>
      <c r="T23" s="16">
        <f t="shared" si="1"/>
        <v>30</v>
      </c>
      <c r="U23" s="53">
        <v>108</v>
      </c>
      <c r="V23" s="16">
        <f t="shared" si="2"/>
        <v>3240</v>
      </c>
      <c r="W23" s="53">
        <v>1</v>
      </c>
      <c r="X23" s="53" t="s">
        <v>46</v>
      </c>
      <c r="Y23" s="53" t="s">
        <v>84</v>
      </c>
      <c r="Z23" s="53" t="s">
        <v>90</v>
      </c>
      <c r="AA23" s="53" t="s">
        <v>90</v>
      </c>
      <c r="AB23" s="53" t="s">
        <v>158</v>
      </c>
      <c r="AP23" s="27" t="s">
        <v>232</v>
      </c>
      <c r="AR23" s="28" t="s">
        <v>233</v>
      </c>
      <c r="AV23" s="28"/>
    </row>
    <row r="24" spans="1:48" x14ac:dyDescent="0.15">
      <c r="A24" s="53" t="s">
        <v>41</v>
      </c>
      <c r="B24" s="53" t="s">
        <v>157</v>
      </c>
      <c r="C24" s="62">
        <v>2019</v>
      </c>
      <c r="D24" s="63" t="s">
        <v>168</v>
      </c>
      <c r="E24" s="53" t="s">
        <v>196</v>
      </c>
      <c r="F24" s="53" t="s">
        <v>187</v>
      </c>
      <c r="G24" s="53" t="s">
        <v>42</v>
      </c>
      <c r="H24" s="53" t="s">
        <v>163</v>
      </c>
      <c r="I24" s="53" t="s">
        <v>159</v>
      </c>
      <c r="J24" s="53" t="s">
        <v>38</v>
      </c>
      <c r="K24" s="53" t="s">
        <v>160</v>
      </c>
      <c r="L24" s="53">
        <v>2</v>
      </c>
      <c r="M24" s="75"/>
      <c r="N24" s="53">
        <v>1</v>
      </c>
      <c r="O24" s="53">
        <v>0.4</v>
      </c>
      <c r="P24" s="53">
        <v>0.5</v>
      </c>
      <c r="Q24" s="76">
        <f t="shared" si="0"/>
        <v>0.45</v>
      </c>
      <c r="R24" s="53">
        <v>15.4</v>
      </c>
      <c r="S24" s="53">
        <v>122</v>
      </c>
      <c r="T24" s="16">
        <f t="shared" si="1"/>
        <v>27</v>
      </c>
      <c r="U24" s="53">
        <v>108</v>
      </c>
      <c r="V24" s="16">
        <f t="shared" si="2"/>
        <v>2916</v>
      </c>
      <c r="W24" s="53">
        <v>1</v>
      </c>
      <c r="X24" s="53" t="s">
        <v>46</v>
      </c>
      <c r="Y24" s="53" t="s">
        <v>84</v>
      </c>
      <c r="Z24" s="53" t="s">
        <v>69</v>
      </c>
      <c r="AA24" s="53" t="s">
        <v>90</v>
      </c>
      <c r="AB24" s="53" t="s">
        <v>158</v>
      </c>
      <c r="AP24" s="27" t="s">
        <v>234</v>
      </c>
    </row>
    <row r="25" spans="1:48" x14ac:dyDescent="0.15">
      <c r="A25" s="53" t="s">
        <v>41</v>
      </c>
      <c r="B25" s="53" t="s">
        <v>157</v>
      </c>
      <c r="C25" s="62">
        <v>2019</v>
      </c>
      <c r="D25" s="63" t="s">
        <v>168</v>
      </c>
      <c r="E25" s="53" t="s">
        <v>196</v>
      </c>
      <c r="F25" s="53" t="s">
        <v>187</v>
      </c>
      <c r="G25" s="53" t="s">
        <v>42</v>
      </c>
      <c r="H25" s="53" t="s">
        <v>163</v>
      </c>
      <c r="I25" s="53" t="s">
        <v>159</v>
      </c>
      <c r="J25" s="53" t="s">
        <v>38</v>
      </c>
      <c r="K25" s="53" t="s">
        <v>160</v>
      </c>
      <c r="L25" s="53">
        <v>3</v>
      </c>
      <c r="M25" s="75"/>
      <c r="N25" s="53">
        <v>1</v>
      </c>
      <c r="O25" s="53">
        <v>0.25</v>
      </c>
      <c r="P25" s="53">
        <v>0.35</v>
      </c>
      <c r="Q25" s="76">
        <f t="shared" si="0"/>
        <v>0.3</v>
      </c>
      <c r="R25" s="53">
        <v>12.1</v>
      </c>
      <c r="S25" s="53">
        <v>122</v>
      </c>
      <c r="T25" s="16">
        <f t="shared" si="1"/>
        <v>27</v>
      </c>
      <c r="U25" s="53">
        <v>108</v>
      </c>
      <c r="V25" s="16">
        <f t="shared" si="2"/>
        <v>2916</v>
      </c>
      <c r="W25" s="53">
        <v>1</v>
      </c>
      <c r="X25" s="53" t="s">
        <v>46</v>
      </c>
      <c r="Y25" s="53" t="s">
        <v>84</v>
      </c>
      <c r="Z25" s="53" t="s">
        <v>69</v>
      </c>
      <c r="AA25" s="53" t="s">
        <v>90</v>
      </c>
      <c r="AB25" s="53" t="s">
        <v>158</v>
      </c>
    </row>
    <row r="26" spans="1:48" x14ac:dyDescent="0.15">
      <c r="A26" s="53" t="s">
        <v>41</v>
      </c>
      <c r="B26" s="53" t="s">
        <v>157</v>
      </c>
      <c r="C26" s="62">
        <v>2019</v>
      </c>
      <c r="D26" s="63" t="s">
        <v>168</v>
      </c>
      <c r="E26" s="53" t="s">
        <v>196</v>
      </c>
      <c r="F26" s="53" t="s">
        <v>187</v>
      </c>
      <c r="G26" s="53" t="s">
        <v>42</v>
      </c>
      <c r="H26" s="53" t="s">
        <v>163</v>
      </c>
      <c r="I26" s="53" t="s">
        <v>159</v>
      </c>
      <c r="J26" s="53" t="s">
        <v>38</v>
      </c>
      <c r="K26" s="53" t="s">
        <v>160</v>
      </c>
      <c r="L26" s="53">
        <v>1</v>
      </c>
      <c r="N26" s="53">
        <v>10</v>
      </c>
      <c r="O26" s="53">
        <v>0.35</v>
      </c>
      <c r="P26" s="53">
        <v>0.3</v>
      </c>
      <c r="Q26" s="76">
        <f t="shared" si="0"/>
        <v>0.32499999999999996</v>
      </c>
      <c r="R26" s="53">
        <v>10.5</v>
      </c>
      <c r="S26" s="53">
        <v>104</v>
      </c>
      <c r="T26" s="16">
        <f t="shared" si="1"/>
        <v>33</v>
      </c>
      <c r="U26" s="53">
        <v>616</v>
      </c>
      <c r="V26" s="16">
        <f t="shared" si="2"/>
        <v>2032.8</v>
      </c>
      <c r="W26" s="53">
        <v>3</v>
      </c>
      <c r="X26" s="53" t="s">
        <v>46</v>
      </c>
      <c r="Y26" s="53" t="s">
        <v>84</v>
      </c>
      <c r="Z26" s="53" t="s">
        <v>69</v>
      </c>
      <c r="AA26" s="53" t="s">
        <v>90</v>
      </c>
      <c r="AB26" s="53" t="s">
        <v>158</v>
      </c>
    </row>
    <row r="27" spans="1:48" x14ac:dyDescent="0.15">
      <c r="A27" s="53" t="s">
        <v>41</v>
      </c>
      <c r="B27" s="53" t="s">
        <v>157</v>
      </c>
      <c r="C27" s="62">
        <v>2019</v>
      </c>
      <c r="D27" s="63" t="s">
        <v>168</v>
      </c>
      <c r="E27" s="53" t="s">
        <v>196</v>
      </c>
      <c r="F27" s="53" t="s">
        <v>187</v>
      </c>
      <c r="G27" s="53" t="s">
        <v>42</v>
      </c>
      <c r="H27" s="53" t="s">
        <v>163</v>
      </c>
      <c r="I27" s="53" t="s">
        <v>159</v>
      </c>
      <c r="J27" s="53" t="s">
        <v>38</v>
      </c>
      <c r="K27" s="53" t="s">
        <v>160</v>
      </c>
      <c r="L27" s="53">
        <v>2</v>
      </c>
      <c r="M27" s="75"/>
      <c r="N27" s="53">
        <v>10</v>
      </c>
      <c r="O27" s="53">
        <v>0.6</v>
      </c>
      <c r="P27" s="53">
        <v>0.45</v>
      </c>
      <c r="Q27" s="76">
        <f t="shared" si="0"/>
        <v>0.52500000000000002</v>
      </c>
      <c r="R27" s="53">
        <v>14.2</v>
      </c>
      <c r="S27" s="53">
        <v>105</v>
      </c>
      <c r="T27" s="16">
        <f t="shared" si="1"/>
        <v>33</v>
      </c>
      <c r="U27" s="53">
        <v>616</v>
      </c>
      <c r="V27" s="16">
        <f t="shared" si="2"/>
        <v>2032.8</v>
      </c>
      <c r="W27" s="53">
        <v>3</v>
      </c>
      <c r="X27" s="53" t="s">
        <v>46</v>
      </c>
      <c r="Y27" s="53" t="s">
        <v>84</v>
      </c>
      <c r="Z27" s="53" t="s">
        <v>69</v>
      </c>
      <c r="AA27" s="53" t="s">
        <v>90</v>
      </c>
      <c r="AB27" s="53" t="s">
        <v>158</v>
      </c>
    </row>
    <row r="28" spans="1:48" x14ac:dyDescent="0.15">
      <c r="A28" s="53" t="s">
        <v>41</v>
      </c>
      <c r="B28" s="53" t="s">
        <v>157</v>
      </c>
      <c r="C28" s="62">
        <v>2019</v>
      </c>
      <c r="D28" s="63" t="s">
        <v>168</v>
      </c>
      <c r="E28" s="53" t="s">
        <v>196</v>
      </c>
      <c r="F28" s="53" t="s">
        <v>187</v>
      </c>
      <c r="G28" s="53" t="s">
        <v>42</v>
      </c>
      <c r="H28" s="53" t="s">
        <v>163</v>
      </c>
      <c r="I28" s="53" t="s">
        <v>159</v>
      </c>
      <c r="J28" s="53" t="s">
        <v>38</v>
      </c>
      <c r="K28" s="53" t="s">
        <v>160</v>
      </c>
      <c r="L28" s="53">
        <v>3</v>
      </c>
      <c r="M28" s="75"/>
      <c r="N28" s="53">
        <v>10</v>
      </c>
      <c r="O28" s="53">
        <v>0.5</v>
      </c>
      <c r="P28" s="53">
        <v>0.5</v>
      </c>
      <c r="Q28" s="76">
        <f t="shared" si="0"/>
        <v>0.5</v>
      </c>
      <c r="R28" s="53">
        <v>13.8</v>
      </c>
      <c r="S28" s="53">
        <v>100</v>
      </c>
      <c r="T28" s="16">
        <f t="shared" si="1"/>
        <v>33</v>
      </c>
      <c r="U28" s="53">
        <v>616</v>
      </c>
      <c r="V28" s="16">
        <f t="shared" si="2"/>
        <v>2032.8</v>
      </c>
      <c r="W28" s="53">
        <v>3</v>
      </c>
      <c r="X28" s="53" t="s">
        <v>46</v>
      </c>
      <c r="Y28" s="53" t="s">
        <v>84</v>
      </c>
      <c r="Z28" s="53" t="s">
        <v>69</v>
      </c>
      <c r="AA28" s="53" t="s">
        <v>90</v>
      </c>
      <c r="AB28" s="53" t="s">
        <v>158</v>
      </c>
    </row>
    <row r="29" spans="1:48" x14ac:dyDescent="0.15">
      <c r="A29" s="53" t="s">
        <v>41</v>
      </c>
      <c r="B29" s="53" t="s">
        <v>157</v>
      </c>
      <c r="C29" s="62">
        <v>2019</v>
      </c>
      <c r="D29" s="63" t="s">
        <v>168</v>
      </c>
      <c r="E29" s="53" t="s">
        <v>196</v>
      </c>
      <c r="F29" s="53" t="s">
        <v>198</v>
      </c>
      <c r="G29" s="53" t="s">
        <v>42</v>
      </c>
      <c r="H29" s="53" t="s">
        <v>163</v>
      </c>
      <c r="I29" s="53" t="s">
        <v>159</v>
      </c>
      <c r="J29" s="53" t="s">
        <v>38</v>
      </c>
      <c r="K29" s="53" t="s">
        <v>160</v>
      </c>
      <c r="L29" s="53">
        <v>1</v>
      </c>
      <c r="N29" s="53">
        <v>1</v>
      </c>
      <c r="O29" s="53">
        <v>0.8</v>
      </c>
      <c r="P29" s="53">
        <v>0.7</v>
      </c>
      <c r="Q29" s="76">
        <f t="shared" si="0"/>
        <v>0.75</v>
      </c>
      <c r="R29" s="53">
        <v>11.2</v>
      </c>
      <c r="S29" s="53">
        <v>122</v>
      </c>
      <c r="T29" s="16">
        <f t="shared" si="1"/>
        <v>27</v>
      </c>
      <c r="U29" s="53">
        <v>108</v>
      </c>
      <c r="V29" s="16">
        <f t="shared" si="2"/>
        <v>2916</v>
      </c>
      <c r="W29" s="53">
        <v>1</v>
      </c>
      <c r="X29" s="53" t="s">
        <v>46</v>
      </c>
      <c r="Y29" s="53" t="s">
        <v>84</v>
      </c>
      <c r="Z29" s="53" t="s">
        <v>69</v>
      </c>
      <c r="AA29" s="53" t="s">
        <v>90</v>
      </c>
      <c r="AB29" s="53" t="s">
        <v>158</v>
      </c>
    </row>
    <row r="30" spans="1:48" x14ac:dyDescent="0.15">
      <c r="A30" s="53" t="s">
        <v>41</v>
      </c>
      <c r="B30" s="53" t="s">
        <v>157</v>
      </c>
      <c r="C30" s="62">
        <v>2019</v>
      </c>
      <c r="D30" s="63" t="s">
        <v>168</v>
      </c>
      <c r="E30" s="53" t="s">
        <v>196</v>
      </c>
      <c r="F30" s="53" t="s">
        <v>198</v>
      </c>
      <c r="G30" s="53" t="s">
        <v>42</v>
      </c>
      <c r="H30" s="53" t="s">
        <v>163</v>
      </c>
      <c r="I30" s="53" t="s">
        <v>159</v>
      </c>
      <c r="J30" s="53" t="s">
        <v>38</v>
      </c>
      <c r="K30" s="53" t="s">
        <v>160</v>
      </c>
      <c r="L30" s="53">
        <v>2</v>
      </c>
      <c r="M30" s="75"/>
      <c r="N30" s="53">
        <v>1</v>
      </c>
      <c r="O30" s="53">
        <v>0.9</v>
      </c>
      <c r="P30" s="53">
        <v>0.95</v>
      </c>
      <c r="Q30" s="76">
        <f t="shared" si="0"/>
        <v>0.92500000000000004</v>
      </c>
      <c r="R30" s="53">
        <v>10.199999999999999</v>
      </c>
      <c r="S30" s="53">
        <v>124</v>
      </c>
      <c r="T30" s="16">
        <f t="shared" si="1"/>
        <v>27</v>
      </c>
      <c r="U30" s="53">
        <v>108</v>
      </c>
      <c r="V30" s="16">
        <f t="shared" si="2"/>
        <v>2916</v>
      </c>
      <c r="W30" s="53">
        <v>1</v>
      </c>
      <c r="X30" s="53" t="s">
        <v>46</v>
      </c>
      <c r="Y30" s="53" t="s">
        <v>84</v>
      </c>
      <c r="Z30" s="53" t="s">
        <v>69</v>
      </c>
      <c r="AA30" s="53" t="s">
        <v>90</v>
      </c>
      <c r="AB30" s="53" t="s">
        <v>158</v>
      </c>
    </row>
    <row r="31" spans="1:48" x14ac:dyDescent="0.15">
      <c r="A31" s="53" t="s">
        <v>41</v>
      </c>
      <c r="B31" s="53" t="s">
        <v>157</v>
      </c>
      <c r="C31" s="62">
        <v>2019</v>
      </c>
      <c r="D31" s="63" t="s">
        <v>168</v>
      </c>
      <c r="E31" s="53" t="s">
        <v>196</v>
      </c>
      <c r="F31" s="53" t="s">
        <v>198</v>
      </c>
      <c r="G31" s="53" t="s">
        <v>42</v>
      </c>
      <c r="H31" s="53" t="s">
        <v>163</v>
      </c>
      <c r="I31" s="53" t="s">
        <v>159</v>
      </c>
      <c r="J31" s="53" t="s">
        <v>38</v>
      </c>
      <c r="K31" s="53" t="s">
        <v>160</v>
      </c>
      <c r="L31" s="53">
        <v>3</v>
      </c>
      <c r="M31" s="75"/>
      <c r="N31" s="53">
        <v>1</v>
      </c>
      <c r="O31" s="53">
        <v>0.4</v>
      </c>
      <c r="P31" s="53">
        <v>0.45</v>
      </c>
      <c r="Q31" s="76">
        <f t="shared" si="0"/>
        <v>0.42500000000000004</v>
      </c>
      <c r="R31" s="53">
        <v>1.4</v>
      </c>
      <c r="S31" s="53">
        <v>126</v>
      </c>
      <c r="T31" s="16">
        <f t="shared" si="1"/>
        <v>27</v>
      </c>
      <c r="U31" s="53">
        <v>108</v>
      </c>
      <c r="V31" s="16">
        <f t="shared" si="2"/>
        <v>2916</v>
      </c>
      <c r="W31" s="53">
        <v>1</v>
      </c>
      <c r="X31" s="53" t="s">
        <v>46</v>
      </c>
      <c r="Y31" s="53" t="s">
        <v>84</v>
      </c>
      <c r="Z31" s="53" t="s">
        <v>69</v>
      </c>
      <c r="AA31" s="53" t="s">
        <v>90</v>
      </c>
      <c r="AB31" s="53" t="s">
        <v>158</v>
      </c>
    </row>
    <row r="32" spans="1:48" x14ac:dyDescent="0.15">
      <c r="A32" s="53" t="s">
        <v>41</v>
      </c>
      <c r="B32" s="53" t="s">
        <v>157</v>
      </c>
      <c r="C32" s="62">
        <v>2019</v>
      </c>
      <c r="D32" s="63" t="s">
        <v>168</v>
      </c>
      <c r="E32" s="53" t="s">
        <v>196</v>
      </c>
      <c r="F32" s="53" t="s">
        <v>198</v>
      </c>
      <c r="G32" s="53" t="s">
        <v>42</v>
      </c>
      <c r="H32" s="53" t="s">
        <v>163</v>
      </c>
      <c r="I32" s="53" t="s">
        <v>159</v>
      </c>
      <c r="J32" s="53" t="s">
        <v>38</v>
      </c>
      <c r="K32" s="53" t="s">
        <v>160</v>
      </c>
      <c r="L32" s="53">
        <v>1</v>
      </c>
      <c r="N32" s="53">
        <v>8</v>
      </c>
      <c r="O32" s="53">
        <v>0.25</v>
      </c>
      <c r="P32" s="53">
        <v>0.3</v>
      </c>
      <c r="Q32" s="76">
        <f t="shared" si="0"/>
        <v>0.27500000000000002</v>
      </c>
      <c r="R32" s="53">
        <v>15.2</v>
      </c>
      <c r="S32" s="53">
        <v>98</v>
      </c>
      <c r="T32" s="16">
        <f t="shared" si="1"/>
        <v>36</v>
      </c>
      <c r="U32" s="53">
        <v>626</v>
      </c>
      <c r="V32" s="16">
        <f t="shared" si="2"/>
        <v>2817</v>
      </c>
      <c r="W32" s="53">
        <v>2</v>
      </c>
      <c r="X32" s="53" t="s">
        <v>46</v>
      </c>
      <c r="Y32" s="53" t="s">
        <v>84</v>
      </c>
      <c r="Z32" s="53" t="s">
        <v>69</v>
      </c>
      <c r="AA32" s="53" t="s">
        <v>90</v>
      </c>
      <c r="AB32" s="53" t="s">
        <v>158</v>
      </c>
      <c r="AC32" s="75"/>
      <c r="AD32" s="75"/>
      <c r="AE32" s="75"/>
      <c r="AF32" s="75"/>
      <c r="AG32" s="75"/>
      <c r="AH32" s="75"/>
    </row>
    <row r="33" spans="1:34" x14ac:dyDescent="0.15">
      <c r="A33" s="53" t="s">
        <v>41</v>
      </c>
      <c r="B33" s="53" t="s">
        <v>157</v>
      </c>
      <c r="C33" s="62">
        <v>2019</v>
      </c>
      <c r="D33" s="63" t="s">
        <v>168</v>
      </c>
      <c r="E33" s="53" t="s">
        <v>196</v>
      </c>
      <c r="F33" s="53" t="s">
        <v>198</v>
      </c>
      <c r="G33" s="53" t="s">
        <v>42</v>
      </c>
      <c r="H33" s="53" t="s">
        <v>163</v>
      </c>
      <c r="I33" s="53" t="s">
        <v>159</v>
      </c>
      <c r="J33" s="53" t="s">
        <v>38</v>
      </c>
      <c r="K33" s="53" t="s">
        <v>160</v>
      </c>
      <c r="L33" s="53">
        <v>2</v>
      </c>
      <c r="M33" s="75"/>
      <c r="N33" s="53">
        <v>8</v>
      </c>
      <c r="O33" s="53">
        <v>0.3</v>
      </c>
      <c r="P33" s="53">
        <v>0.35</v>
      </c>
      <c r="Q33" s="76">
        <f t="shared" si="0"/>
        <v>0.32499999999999996</v>
      </c>
      <c r="R33" s="53">
        <v>12</v>
      </c>
      <c r="S33" s="53">
        <v>100</v>
      </c>
      <c r="T33" s="16">
        <f t="shared" si="1"/>
        <v>33</v>
      </c>
      <c r="U33" s="53">
        <v>626</v>
      </c>
      <c r="V33" s="16">
        <f t="shared" si="2"/>
        <v>2582.25</v>
      </c>
      <c r="W33" s="53">
        <v>2</v>
      </c>
      <c r="X33" s="53" t="s">
        <v>46</v>
      </c>
      <c r="Y33" s="53" t="s">
        <v>84</v>
      </c>
      <c r="Z33" s="53" t="s">
        <v>69</v>
      </c>
      <c r="AA33" s="53" t="s">
        <v>90</v>
      </c>
      <c r="AB33" s="53" t="s">
        <v>158</v>
      </c>
      <c r="AC33" s="75"/>
      <c r="AD33" s="75"/>
      <c r="AE33" s="75"/>
      <c r="AF33" s="75"/>
      <c r="AG33" s="75"/>
      <c r="AH33" s="75"/>
    </row>
    <row r="34" spans="1:34" x14ac:dyDescent="0.15">
      <c r="A34" s="53" t="s">
        <v>41</v>
      </c>
      <c r="B34" s="53" t="s">
        <v>157</v>
      </c>
      <c r="C34" s="62">
        <v>2019</v>
      </c>
      <c r="D34" s="63" t="s">
        <v>168</v>
      </c>
      <c r="E34" s="53" t="s">
        <v>196</v>
      </c>
      <c r="F34" s="53" t="s">
        <v>198</v>
      </c>
      <c r="G34" s="53" t="s">
        <v>42</v>
      </c>
      <c r="H34" s="53" t="s">
        <v>163</v>
      </c>
      <c r="I34" s="53" t="s">
        <v>159</v>
      </c>
      <c r="J34" s="53" t="s">
        <v>38</v>
      </c>
      <c r="K34" s="53" t="s">
        <v>160</v>
      </c>
      <c r="L34" s="53">
        <v>3</v>
      </c>
      <c r="M34" s="75"/>
      <c r="N34" s="53">
        <v>8</v>
      </c>
      <c r="O34" s="53">
        <v>0.35</v>
      </c>
      <c r="P34" s="53">
        <v>0.25</v>
      </c>
      <c r="Q34" s="76">
        <f t="shared" si="0"/>
        <v>0.3</v>
      </c>
      <c r="R34" s="53">
        <v>13.2</v>
      </c>
      <c r="S34" s="53">
        <v>98</v>
      </c>
      <c r="T34" s="16">
        <f t="shared" si="1"/>
        <v>36</v>
      </c>
      <c r="U34" s="53">
        <v>626</v>
      </c>
      <c r="V34" s="16">
        <f t="shared" si="2"/>
        <v>2817</v>
      </c>
      <c r="W34" s="53">
        <v>2</v>
      </c>
      <c r="X34" s="53" t="s">
        <v>46</v>
      </c>
      <c r="Y34" s="53" t="s">
        <v>84</v>
      </c>
      <c r="Z34" s="53" t="s">
        <v>69</v>
      </c>
      <c r="AA34" s="53" t="s">
        <v>90</v>
      </c>
      <c r="AB34" s="53" t="s">
        <v>158</v>
      </c>
      <c r="AC34" s="75"/>
      <c r="AD34" s="75"/>
      <c r="AE34" s="75"/>
      <c r="AF34" s="75"/>
      <c r="AG34" s="75"/>
      <c r="AH34" s="75"/>
    </row>
    <row r="35" spans="1:34" x14ac:dyDescent="0.15">
      <c r="A35" s="53" t="s">
        <v>41</v>
      </c>
      <c r="B35" s="53" t="s">
        <v>157</v>
      </c>
      <c r="C35" s="62">
        <v>2019</v>
      </c>
      <c r="D35" s="63" t="s">
        <v>168</v>
      </c>
      <c r="E35" s="53" t="s">
        <v>200</v>
      </c>
      <c r="F35" s="53" t="s">
        <v>198</v>
      </c>
      <c r="G35" s="53" t="s">
        <v>42</v>
      </c>
      <c r="H35" s="53" t="s">
        <v>190</v>
      </c>
      <c r="I35" s="53" t="s">
        <v>159</v>
      </c>
      <c r="J35" s="53" t="s">
        <v>80</v>
      </c>
      <c r="K35" s="53" t="s">
        <v>80</v>
      </c>
      <c r="L35" s="53">
        <v>1</v>
      </c>
      <c r="N35" s="53">
        <v>1</v>
      </c>
      <c r="O35" s="53">
        <v>0.6</v>
      </c>
      <c r="P35" s="53">
        <v>0.55000000000000004</v>
      </c>
      <c r="Q35" s="16">
        <f>IF(OR(O35="",P35=""),"",AVERAGE(O35,P35))</f>
        <v>0.57499999999999996</v>
      </c>
      <c r="R35" s="53">
        <v>12.6</v>
      </c>
      <c r="S35" s="53">
        <v>101</v>
      </c>
      <c r="T35" s="38">
        <f t="shared" si="1"/>
        <v>33</v>
      </c>
      <c r="U35" s="53">
        <v>105</v>
      </c>
      <c r="V35" s="16">
        <f t="shared" si="2"/>
        <v>3465</v>
      </c>
      <c r="W35" s="53">
        <v>4</v>
      </c>
      <c r="X35" s="53" t="s">
        <v>46</v>
      </c>
      <c r="Y35" s="53" t="s">
        <v>84</v>
      </c>
      <c r="Z35" s="53" t="s">
        <v>69</v>
      </c>
      <c r="AA35" s="53" t="s">
        <v>90</v>
      </c>
      <c r="AB35" s="53" t="s">
        <v>158</v>
      </c>
      <c r="AC35" s="75"/>
      <c r="AD35" s="75"/>
      <c r="AE35" s="75"/>
      <c r="AF35" s="75"/>
      <c r="AG35" s="75"/>
      <c r="AH35" s="75"/>
    </row>
    <row r="36" spans="1:34" x14ac:dyDescent="0.15">
      <c r="A36" s="53" t="s">
        <v>41</v>
      </c>
      <c r="B36" s="53" t="s">
        <v>157</v>
      </c>
      <c r="C36" s="62">
        <v>2019</v>
      </c>
      <c r="D36" s="63" t="s">
        <v>168</v>
      </c>
      <c r="E36" s="53" t="s">
        <v>200</v>
      </c>
      <c r="F36" s="53" t="s">
        <v>198</v>
      </c>
      <c r="G36" s="53" t="s">
        <v>42</v>
      </c>
      <c r="H36" s="53" t="s">
        <v>190</v>
      </c>
      <c r="I36" s="53" t="s">
        <v>159</v>
      </c>
      <c r="J36" s="53" t="s">
        <v>80</v>
      </c>
      <c r="K36" s="53" t="s">
        <v>80</v>
      </c>
      <c r="L36" s="53">
        <v>2</v>
      </c>
      <c r="M36" s="75"/>
      <c r="N36" s="53">
        <v>1</v>
      </c>
      <c r="O36" s="53">
        <v>0.8</v>
      </c>
      <c r="P36" s="53">
        <v>0.85</v>
      </c>
      <c r="Q36" s="16">
        <f t="shared" ref="Q36:Q43" si="3">IF(OR(O36="",P36=""),"",AVERAGE(O36,P36))</f>
        <v>0.82499999999999996</v>
      </c>
      <c r="R36" s="53">
        <v>10.5</v>
      </c>
      <c r="S36" s="53">
        <v>100</v>
      </c>
      <c r="T36" s="38">
        <f t="shared" si="1"/>
        <v>33</v>
      </c>
      <c r="U36" s="53">
        <v>105</v>
      </c>
      <c r="V36" s="16">
        <f t="shared" si="2"/>
        <v>3465</v>
      </c>
      <c r="W36" s="53">
        <v>4</v>
      </c>
      <c r="X36" s="53" t="s">
        <v>46</v>
      </c>
      <c r="Y36" s="53" t="s">
        <v>84</v>
      </c>
      <c r="Z36" s="53" t="s">
        <v>69</v>
      </c>
      <c r="AA36" s="53" t="s">
        <v>90</v>
      </c>
      <c r="AB36" s="53" t="s">
        <v>158</v>
      </c>
      <c r="AC36" s="75"/>
      <c r="AD36" s="75"/>
      <c r="AE36" s="75"/>
      <c r="AF36" s="75"/>
      <c r="AG36" s="75"/>
      <c r="AH36" s="75"/>
    </row>
    <row r="37" spans="1:34" x14ac:dyDescent="0.15">
      <c r="A37" s="53" t="s">
        <v>41</v>
      </c>
      <c r="B37" s="53" t="s">
        <v>157</v>
      </c>
      <c r="C37" s="62">
        <v>2019</v>
      </c>
      <c r="D37" s="63" t="s">
        <v>168</v>
      </c>
      <c r="E37" s="53" t="s">
        <v>200</v>
      </c>
      <c r="F37" s="53" t="s">
        <v>198</v>
      </c>
      <c r="G37" s="53" t="s">
        <v>42</v>
      </c>
      <c r="H37" s="53" t="s">
        <v>190</v>
      </c>
      <c r="I37" s="53" t="s">
        <v>159</v>
      </c>
      <c r="J37" s="53" t="s">
        <v>80</v>
      </c>
      <c r="K37" s="53" t="s">
        <v>80</v>
      </c>
      <c r="L37" s="53">
        <v>3</v>
      </c>
      <c r="M37" s="75"/>
      <c r="N37" s="53">
        <v>1</v>
      </c>
      <c r="O37" s="53">
        <v>0.5</v>
      </c>
      <c r="P37" s="53">
        <v>0.45</v>
      </c>
      <c r="Q37" s="16">
        <f t="shared" si="3"/>
        <v>0.47499999999999998</v>
      </c>
      <c r="R37" s="53">
        <v>11.7</v>
      </c>
      <c r="S37" s="53">
        <v>104</v>
      </c>
      <c r="T37" s="38">
        <f t="shared" si="1"/>
        <v>33</v>
      </c>
      <c r="U37" s="53">
        <v>105</v>
      </c>
      <c r="V37" s="38">
        <f t="shared" si="2"/>
        <v>3465</v>
      </c>
      <c r="W37" s="53">
        <v>4</v>
      </c>
      <c r="X37" s="53" t="s">
        <v>46</v>
      </c>
      <c r="Y37" s="53" t="s">
        <v>84</v>
      </c>
      <c r="Z37" s="53" t="s">
        <v>69</v>
      </c>
      <c r="AA37" s="53" t="s">
        <v>90</v>
      </c>
      <c r="AB37" s="53" t="s">
        <v>158</v>
      </c>
      <c r="AC37" s="75"/>
      <c r="AD37" s="75"/>
      <c r="AE37" s="75"/>
      <c r="AF37" s="75"/>
      <c r="AG37" s="75"/>
      <c r="AH37" s="75"/>
    </row>
    <row r="38" spans="1:34" x14ac:dyDescent="0.15">
      <c r="A38" s="53" t="s">
        <v>41</v>
      </c>
      <c r="B38" s="53" t="s">
        <v>157</v>
      </c>
      <c r="C38" s="62">
        <v>2019</v>
      </c>
      <c r="D38" s="63" t="s">
        <v>168</v>
      </c>
      <c r="E38" s="53" t="s">
        <v>200</v>
      </c>
      <c r="F38" s="53" t="s">
        <v>198</v>
      </c>
      <c r="G38" s="53" t="s">
        <v>42</v>
      </c>
      <c r="H38" s="53" t="s">
        <v>163</v>
      </c>
      <c r="I38" s="53" t="s">
        <v>159</v>
      </c>
      <c r="J38" s="53" t="s">
        <v>38</v>
      </c>
      <c r="K38" s="53" t="s">
        <v>160</v>
      </c>
      <c r="L38" s="53">
        <v>1</v>
      </c>
      <c r="N38" s="53">
        <v>1</v>
      </c>
      <c r="O38" s="53">
        <v>1</v>
      </c>
      <c r="P38" s="53">
        <v>1.1000000000000001</v>
      </c>
      <c r="Q38" s="76">
        <f t="shared" si="3"/>
        <v>1.05</v>
      </c>
      <c r="R38" s="53">
        <v>13.5</v>
      </c>
      <c r="S38" s="53">
        <v>117</v>
      </c>
      <c r="T38" s="16">
        <f t="shared" si="1"/>
        <v>30</v>
      </c>
      <c r="U38" s="53">
        <v>105</v>
      </c>
      <c r="V38" s="16">
        <f t="shared" si="2"/>
        <v>3150</v>
      </c>
      <c r="W38" s="53">
        <v>1</v>
      </c>
      <c r="X38" s="53" t="s">
        <v>46</v>
      </c>
      <c r="Y38" s="53" t="s">
        <v>84</v>
      </c>
      <c r="Z38" s="53" t="s">
        <v>69</v>
      </c>
      <c r="AA38" s="53" t="s">
        <v>90</v>
      </c>
      <c r="AB38" s="53" t="s">
        <v>158</v>
      </c>
      <c r="AC38" s="75"/>
      <c r="AD38" s="75"/>
      <c r="AE38" s="75"/>
      <c r="AF38" s="75"/>
      <c r="AG38" s="75"/>
      <c r="AH38" s="75"/>
    </row>
    <row r="39" spans="1:34" x14ac:dyDescent="0.15">
      <c r="A39" s="53" t="s">
        <v>41</v>
      </c>
      <c r="B39" s="53" t="s">
        <v>157</v>
      </c>
      <c r="C39" s="62">
        <v>2019</v>
      </c>
      <c r="D39" s="63" t="s">
        <v>168</v>
      </c>
      <c r="E39" s="53" t="s">
        <v>200</v>
      </c>
      <c r="F39" s="53" t="s">
        <v>198</v>
      </c>
      <c r="G39" s="53" t="s">
        <v>42</v>
      </c>
      <c r="H39" s="53" t="s">
        <v>163</v>
      </c>
      <c r="I39" s="53" t="s">
        <v>159</v>
      </c>
      <c r="J39" s="53" t="s">
        <v>38</v>
      </c>
      <c r="K39" s="53" t="s">
        <v>160</v>
      </c>
      <c r="L39" s="53">
        <v>2</v>
      </c>
      <c r="M39" s="75"/>
      <c r="N39" s="53">
        <v>1</v>
      </c>
      <c r="O39" s="53">
        <v>0.95</v>
      </c>
      <c r="P39" s="53">
        <v>0.9</v>
      </c>
      <c r="Q39" s="76">
        <f t="shared" si="3"/>
        <v>0.92500000000000004</v>
      </c>
      <c r="R39" s="53">
        <v>12</v>
      </c>
      <c r="S39" s="53">
        <v>120</v>
      </c>
      <c r="T39" s="16">
        <f t="shared" si="1"/>
        <v>30</v>
      </c>
      <c r="U39" s="53">
        <v>105</v>
      </c>
      <c r="V39" s="16">
        <f t="shared" si="2"/>
        <v>3150</v>
      </c>
      <c r="W39" s="53">
        <v>1</v>
      </c>
      <c r="X39" s="53" t="s">
        <v>46</v>
      </c>
      <c r="Y39" s="53" t="s">
        <v>84</v>
      </c>
      <c r="Z39" s="53" t="s">
        <v>69</v>
      </c>
      <c r="AA39" s="53" t="s">
        <v>90</v>
      </c>
      <c r="AB39" s="53" t="s">
        <v>158</v>
      </c>
      <c r="AC39" s="75"/>
      <c r="AD39" s="75"/>
      <c r="AE39" s="75"/>
      <c r="AF39" s="75"/>
      <c r="AG39" s="75"/>
      <c r="AH39" s="75"/>
    </row>
    <row r="40" spans="1:34" x14ac:dyDescent="0.15">
      <c r="A40" s="53" t="s">
        <v>41</v>
      </c>
      <c r="B40" s="53" t="s">
        <v>157</v>
      </c>
      <c r="C40" s="62">
        <v>2019</v>
      </c>
      <c r="D40" s="63" t="s">
        <v>168</v>
      </c>
      <c r="E40" s="53" t="s">
        <v>200</v>
      </c>
      <c r="F40" s="53" t="s">
        <v>198</v>
      </c>
      <c r="G40" s="53" t="s">
        <v>42</v>
      </c>
      <c r="H40" s="53" t="s">
        <v>163</v>
      </c>
      <c r="I40" s="53" t="s">
        <v>159</v>
      </c>
      <c r="J40" s="53" t="s">
        <v>38</v>
      </c>
      <c r="K40" s="53" t="s">
        <v>160</v>
      </c>
      <c r="L40" s="53">
        <v>3</v>
      </c>
      <c r="M40" s="75"/>
      <c r="N40" s="53">
        <v>1</v>
      </c>
      <c r="O40" s="53">
        <v>0.8</v>
      </c>
      <c r="P40" s="53">
        <v>0.65</v>
      </c>
      <c r="Q40" s="76">
        <f t="shared" si="3"/>
        <v>0.72500000000000009</v>
      </c>
      <c r="R40" s="53">
        <v>10.7</v>
      </c>
      <c r="S40" s="53">
        <v>120</v>
      </c>
      <c r="T40" s="16">
        <f t="shared" si="1"/>
        <v>30</v>
      </c>
      <c r="U40" s="53">
        <v>105</v>
      </c>
      <c r="V40" s="16">
        <f t="shared" si="2"/>
        <v>3150</v>
      </c>
      <c r="W40" s="53">
        <v>1</v>
      </c>
      <c r="X40" s="53" t="s">
        <v>46</v>
      </c>
      <c r="Y40" s="53" t="s">
        <v>84</v>
      </c>
      <c r="Z40" s="53" t="s">
        <v>69</v>
      </c>
      <c r="AA40" s="53" t="s">
        <v>90</v>
      </c>
      <c r="AB40" s="53" t="s">
        <v>158</v>
      </c>
      <c r="AC40" s="75"/>
      <c r="AD40" s="75"/>
      <c r="AE40" s="75"/>
      <c r="AF40" s="75"/>
      <c r="AG40" s="75"/>
      <c r="AH40" s="75"/>
    </row>
    <row r="41" spans="1:34" x14ac:dyDescent="0.15">
      <c r="A41" s="53" t="s">
        <v>41</v>
      </c>
      <c r="B41" s="53" t="s">
        <v>157</v>
      </c>
      <c r="C41" s="62">
        <v>2019</v>
      </c>
      <c r="D41" s="63" t="s">
        <v>168</v>
      </c>
      <c r="E41" s="53" t="s">
        <v>200</v>
      </c>
      <c r="F41" s="53" t="s">
        <v>198</v>
      </c>
      <c r="G41" s="53" t="s">
        <v>42</v>
      </c>
      <c r="H41" s="53" t="s">
        <v>163</v>
      </c>
      <c r="I41" s="53" t="s">
        <v>159</v>
      </c>
      <c r="J41" s="53" t="s">
        <v>38</v>
      </c>
      <c r="K41" s="53" t="s">
        <v>160</v>
      </c>
      <c r="L41" s="53">
        <v>1</v>
      </c>
      <c r="N41" s="53">
        <v>11</v>
      </c>
      <c r="O41" s="53">
        <v>0.25</v>
      </c>
      <c r="P41" s="53">
        <v>0.3</v>
      </c>
      <c r="Q41" s="16">
        <f t="shared" si="3"/>
        <v>0.27500000000000002</v>
      </c>
      <c r="R41" s="53">
        <v>15</v>
      </c>
      <c r="S41" s="53">
        <v>110</v>
      </c>
      <c r="T41" s="38">
        <f t="shared" si="1"/>
        <v>33</v>
      </c>
      <c r="U41" s="53">
        <v>753</v>
      </c>
      <c r="V41" s="16">
        <f t="shared" si="2"/>
        <v>2259</v>
      </c>
      <c r="W41" s="53">
        <v>2</v>
      </c>
      <c r="X41" s="53" t="s">
        <v>46</v>
      </c>
      <c r="Y41" s="53" t="s">
        <v>84</v>
      </c>
      <c r="Z41" s="53" t="s">
        <v>69</v>
      </c>
      <c r="AA41" s="53" t="s">
        <v>90</v>
      </c>
      <c r="AB41" s="53" t="s">
        <v>158</v>
      </c>
      <c r="AC41" s="75"/>
      <c r="AD41" s="75"/>
      <c r="AE41" s="75"/>
      <c r="AF41" s="75"/>
      <c r="AG41" s="75"/>
      <c r="AH41" s="75"/>
    </row>
    <row r="42" spans="1:34" x14ac:dyDescent="0.15">
      <c r="A42" s="53" t="s">
        <v>41</v>
      </c>
      <c r="B42" s="53" t="s">
        <v>157</v>
      </c>
      <c r="C42" s="62">
        <v>2019</v>
      </c>
      <c r="D42" s="63" t="s">
        <v>168</v>
      </c>
      <c r="E42" s="53" t="s">
        <v>200</v>
      </c>
      <c r="F42" s="53" t="s">
        <v>198</v>
      </c>
      <c r="G42" s="53" t="s">
        <v>42</v>
      </c>
      <c r="H42" s="53" t="s">
        <v>163</v>
      </c>
      <c r="I42" s="53" t="s">
        <v>159</v>
      </c>
      <c r="J42" s="53" t="s">
        <v>38</v>
      </c>
      <c r="K42" s="53" t="s">
        <v>160</v>
      </c>
      <c r="L42" s="53">
        <v>2</v>
      </c>
      <c r="M42" s="75"/>
      <c r="N42" s="53">
        <v>11</v>
      </c>
      <c r="O42" s="53">
        <v>0.3</v>
      </c>
      <c r="P42" s="53">
        <v>0.3</v>
      </c>
      <c r="Q42" s="16">
        <f t="shared" si="3"/>
        <v>0.3</v>
      </c>
      <c r="R42" s="53">
        <v>12.4</v>
      </c>
      <c r="S42" s="53">
        <v>102</v>
      </c>
      <c r="T42" s="38">
        <f t="shared" si="1"/>
        <v>33</v>
      </c>
      <c r="U42" s="53">
        <v>753</v>
      </c>
      <c r="V42" s="16">
        <f t="shared" si="2"/>
        <v>2259</v>
      </c>
      <c r="W42" s="53">
        <v>2</v>
      </c>
      <c r="X42" s="53" t="s">
        <v>46</v>
      </c>
      <c r="Y42" s="53" t="s">
        <v>84</v>
      </c>
      <c r="Z42" s="53" t="s">
        <v>69</v>
      </c>
      <c r="AA42" s="53" t="s">
        <v>90</v>
      </c>
      <c r="AB42" s="53" t="s">
        <v>158</v>
      </c>
      <c r="AC42" s="75"/>
      <c r="AD42" s="75"/>
      <c r="AE42" s="75"/>
      <c r="AF42" s="75"/>
      <c r="AG42" s="75"/>
      <c r="AH42" s="75"/>
    </row>
    <row r="43" spans="1:34" x14ac:dyDescent="0.15">
      <c r="A43" s="53" t="s">
        <v>41</v>
      </c>
      <c r="B43" s="53" t="s">
        <v>157</v>
      </c>
      <c r="C43" s="62">
        <v>2019</v>
      </c>
      <c r="D43" s="63" t="s">
        <v>168</v>
      </c>
      <c r="E43" s="53" t="s">
        <v>200</v>
      </c>
      <c r="F43" s="53" t="s">
        <v>198</v>
      </c>
      <c r="G43" s="53" t="s">
        <v>42</v>
      </c>
      <c r="H43" s="53" t="s">
        <v>163</v>
      </c>
      <c r="I43" s="53" t="s">
        <v>159</v>
      </c>
      <c r="J43" s="53" t="s">
        <v>38</v>
      </c>
      <c r="K43" s="53" t="s">
        <v>160</v>
      </c>
      <c r="L43" s="53">
        <v>3</v>
      </c>
      <c r="M43" s="75"/>
      <c r="N43" s="53">
        <v>11</v>
      </c>
      <c r="O43" s="53">
        <v>0.45</v>
      </c>
      <c r="P43" s="53">
        <v>0.35</v>
      </c>
      <c r="Q43" s="16">
        <f t="shared" si="3"/>
        <v>0.4</v>
      </c>
      <c r="R43" s="53">
        <v>14.3</v>
      </c>
      <c r="S43" s="53">
        <v>104</v>
      </c>
      <c r="T43" s="38">
        <f t="shared" si="1"/>
        <v>33</v>
      </c>
      <c r="U43" s="53">
        <v>753</v>
      </c>
      <c r="V43" s="38">
        <f t="shared" si="2"/>
        <v>2259</v>
      </c>
      <c r="W43" s="53">
        <v>2</v>
      </c>
      <c r="X43" s="53" t="s">
        <v>46</v>
      </c>
      <c r="Y43" s="53" t="s">
        <v>84</v>
      </c>
      <c r="Z43" s="53" t="s">
        <v>69</v>
      </c>
      <c r="AA43" s="53" t="s">
        <v>90</v>
      </c>
      <c r="AB43" s="53" t="s">
        <v>158</v>
      </c>
      <c r="AC43" s="75"/>
      <c r="AD43" s="75"/>
      <c r="AE43" s="75"/>
      <c r="AF43" s="75"/>
      <c r="AG43" s="75"/>
      <c r="AH43" s="75"/>
    </row>
    <row r="44" spans="1:34" x14ac:dyDescent="0.15">
      <c r="A44" s="53" t="s">
        <v>41</v>
      </c>
      <c r="B44" s="53" t="s">
        <v>157</v>
      </c>
      <c r="C44" s="62">
        <v>2019</v>
      </c>
      <c r="D44" s="63" t="s">
        <v>168</v>
      </c>
      <c r="E44" s="53" t="s">
        <v>203</v>
      </c>
      <c r="F44" s="53" t="s">
        <v>204</v>
      </c>
      <c r="G44" s="53" t="s">
        <v>42</v>
      </c>
      <c r="H44" s="53" t="s">
        <v>190</v>
      </c>
      <c r="I44" s="53" t="s">
        <v>159</v>
      </c>
      <c r="J44" s="53" t="s">
        <v>80</v>
      </c>
      <c r="K44" s="53" t="s">
        <v>63</v>
      </c>
      <c r="L44" s="53">
        <v>1</v>
      </c>
      <c r="N44" s="53">
        <v>1</v>
      </c>
      <c r="O44" s="53">
        <v>0.65</v>
      </c>
      <c r="P44" s="53">
        <v>0.7</v>
      </c>
      <c r="Q44" s="76">
        <f>IF(OR(O44="",P44=""),"",AVERAGE(O44,P44))</f>
        <v>0.67500000000000004</v>
      </c>
      <c r="R44" s="53">
        <v>13.8</v>
      </c>
      <c r="S44" s="53">
        <v>102</v>
      </c>
      <c r="T44" s="16">
        <f t="shared" si="1"/>
        <v>33</v>
      </c>
      <c r="U44" s="53">
        <v>105</v>
      </c>
      <c r="V44" s="16">
        <v>3726</v>
      </c>
      <c r="W44" s="53">
        <v>1</v>
      </c>
      <c r="X44" s="53" t="s">
        <v>46</v>
      </c>
      <c r="Y44" s="53" t="s">
        <v>84</v>
      </c>
      <c r="Z44" s="53" t="s">
        <v>69</v>
      </c>
      <c r="AA44" s="53" t="s">
        <v>40</v>
      </c>
      <c r="AB44" s="53" t="s">
        <v>158</v>
      </c>
      <c r="AC44" s="75"/>
      <c r="AD44" s="75"/>
      <c r="AE44" s="75"/>
      <c r="AF44" s="75"/>
      <c r="AG44" s="75"/>
      <c r="AH44" s="75"/>
    </row>
    <row r="45" spans="1:34" x14ac:dyDescent="0.15">
      <c r="A45" s="53" t="s">
        <v>41</v>
      </c>
      <c r="B45" s="53" t="s">
        <v>157</v>
      </c>
      <c r="C45" s="62">
        <v>2019</v>
      </c>
      <c r="D45" s="63" t="s">
        <v>168</v>
      </c>
      <c r="E45" s="53" t="s">
        <v>203</v>
      </c>
      <c r="F45" s="53" t="s">
        <v>204</v>
      </c>
      <c r="G45" s="53" t="s">
        <v>42</v>
      </c>
      <c r="H45" s="53" t="s">
        <v>190</v>
      </c>
      <c r="I45" s="53" t="s">
        <v>159</v>
      </c>
      <c r="J45" s="53" t="s">
        <v>80</v>
      </c>
      <c r="K45" s="53" t="s">
        <v>63</v>
      </c>
      <c r="L45" s="53">
        <v>2</v>
      </c>
      <c r="N45" s="53">
        <v>1</v>
      </c>
      <c r="O45" s="53">
        <v>0.9</v>
      </c>
      <c r="P45" s="53">
        <v>0.85</v>
      </c>
      <c r="Q45" s="76">
        <f>IF(OR(O45="",P45=""),"",AVERAGE(O45,P45))</f>
        <v>0.875</v>
      </c>
      <c r="R45" s="53">
        <v>11.2</v>
      </c>
      <c r="S45" s="53">
        <v>100</v>
      </c>
      <c r="T45" s="16">
        <f t="shared" si="1"/>
        <v>33</v>
      </c>
      <c r="U45" s="53">
        <v>105</v>
      </c>
      <c r="V45" s="16">
        <v>3726</v>
      </c>
      <c r="W45" s="53">
        <v>1</v>
      </c>
      <c r="X45" s="53" t="s">
        <v>46</v>
      </c>
      <c r="Y45" s="53" t="s">
        <v>84</v>
      </c>
      <c r="Z45" s="53" t="s">
        <v>69</v>
      </c>
      <c r="AA45" s="53" t="s">
        <v>40</v>
      </c>
      <c r="AB45" s="53" t="s">
        <v>158</v>
      </c>
      <c r="AC45" s="75"/>
      <c r="AD45" s="75"/>
      <c r="AE45" s="75"/>
      <c r="AF45" s="75"/>
      <c r="AG45" s="75"/>
      <c r="AH45" s="75"/>
    </row>
    <row r="46" spans="1:34" x14ac:dyDescent="0.15">
      <c r="A46" s="53" t="s">
        <v>41</v>
      </c>
      <c r="B46" s="53" t="s">
        <v>157</v>
      </c>
      <c r="C46" s="62">
        <v>2019</v>
      </c>
      <c r="D46" s="63" t="s">
        <v>168</v>
      </c>
      <c r="E46" s="53" t="s">
        <v>203</v>
      </c>
      <c r="F46" s="53" t="s">
        <v>204</v>
      </c>
      <c r="G46" s="53" t="s">
        <v>42</v>
      </c>
      <c r="H46" s="53" t="s">
        <v>190</v>
      </c>
      <c r="I46" s="53" t="s">
        <v>159</v>
      </c>
      <c r="J46" s="53" t="s">
        <v>80</v>
      </c>
      <c r="K46" s="53" t="s">
        <v>63</v>
      </c>
      <c r="L46" s="53">
        <v>3</v>
      </c>
      <c r="N46" s="53">
        <v>1</v>
      </c>
      <c r="O46" s="53">
        <v>0.7</v>
      </c>
      <c r="P46" s="53">
        <v>0.55000000000000004</v>
      </c>
      <c r="Q46" s="76">
        <f>IF(OR(O46="",P46=""),"",AVERAGE(O46,P46))</f>
        <v>0.625</v>
      </c>
      <c r="R46" s="53">
        <v>12.2</v>
      </c>
      <c r="S46" s="53">
        <v>102</v>
      </c>
      <c r="T46" s="16">
        <f t="shared" si="1"/>
        <v>33</v>
      </c>
      <c r="U46" s="53">
        <v>105</v>
      </c>
      <c r="V46" s="16">
        <v>3726</v>
      </c>
      <c r="W46" s="53">
        <v>1</v>
      </c>
      <c r="X46" s="53" t="s">
        <v>46</v>
      </c>
      <c r="Y46" s="53" t="s">
        <v>84</v>
      </c>
      <c r="Z46" s="53" t="s">
        <v>69</v>
      </c>
      <c r="AA46" s="53" t="s">
        <v>40</v>
      </c>
      <c r="AB46" s="53" t="s">
        <v>158</v>
      </c>
      <c r="AC46" s="75"/>
      <c r="AD46" s="75"/>
      <c r="AE46" s="75"/>
      <c r="AF46" s="75"/>
      <c r="AG46" s="75"/>
      <c r="AH46" s="75"/>
    </row>
    <row r="47" spans="1:34" x14ac:dyDescent="0.15">
      <c r="A47" s="53" t="s">
        <v>41</v>
      </c>
      <c r="B47" s="53" t="s">
        <v>157</v>
      </c>
      <c r="C47" s="62">
        <v>2019</v>
      </c>
      <c r="D47" s="63" t="s">
        <v>168</v>
      </c>
      <c r="E47" s="53" t="s">
        <v>203</v>
      </c>
      <c r="F47" s="53" t="s">
        <v>204</v>
      </c>
      <c r="G47" s="53" t="s">
        <v>42</v>
      </c>
      <c r="H47" s="53" t="s">
        <v>163</v>
      </c>
      <c r="I47" s="53" t="s">
        <v>159</v>
      </c>
      <c r="J47" s="53" t="s">
        <v>38</v>
      </c>
      <c r="K47" s="53" t="s">
        <v>160</v>
      </c>
      <c r="L47" s="53">
        <v>1</v>
      </c>
      <c r="N47" s="53">
        <v>1</v>
      </c>
      <c r="O47" s="53">
        <v>0.4</v>
      </c>
      <c r="P47" s="53">
        <v>0.35</v>
      </c>
      <c r="Q47" s="72">
        <f t="shared" ref="Q47:Q110" si="4">IF(OR(O47="",P47=""),"",AVERAGE(O47,P47))</f>
        <v>0.375</v>
      </c>
      <c r="R47" s="53">
        <v>13.4</v>
      </c>
      <c r="S47" s="53">
        <v>122</v>
      </c>
      <c r="T47" s="38">
        <f t="shared" si="1"/>
        <v>27</v>
      </c>
      <c r="U47" s="53">
        <v>105</v>
      </c>
      <c r="V47" s="38">
        <v>3146</v>
      </c>
      <c r="W47" s="53">
        <v>1</v>
      </c>
      <c r="X47" s="53" t="s">
        <v>46</v>
      </c>
      <c r="Y47" s="53" t="s">
        <v>84</v>
      </c>
      <c r="Z47" s="53" t="s">
        <v>69</v>
      </c>
      <c r="AA47" s="53" t="s">
        <v>40</v>
      </c>
      <c r="AB47" s="53" t="s">
        <v>158</v>
      </c>
      <c r="AC47" s="75"/>
      <c r="AD47" s="75"/>
      <c r="AE47" s="75"/>
      <c r="AF47" s="75"/>
      <c r="AG47" s="75"/>
      <c r="AH47" s="75"/>
    </row>
    <row r="48" spans="1:34" x14ac:dyDescent="0.15">
      <c r="A48" s="53" t="s">
        <v>41</v>
      </c>
      <c r="B48" s="53" t="s">
        <v>157</v>
      </c>
      <c r="C48" s="62">
        <v>2019</v>
      </c>
      <c r="D48" s="63" t="s">
        <v>168</v>
      </c>
      <c r="E48" s="53" t="s">
        <v>203</v>
      </c>
      <c r="F48" s="53" t="s">
        <v>204</v>
      </c>
      <c r="G48" s="53" t="s">
        <v>42</v>
      </c>
      <c r="H48" s="53" t="s">
        <v>163</v>
      </c>
      <c r="I48" s="53" t="s">
        <v>159</v>
      </c>
      <c r="J48" s="53" t="s">
        <v>38</v>
      </c>
      <c r="K48" s="53" t="s">
        <v>160</v>
      </c>
      <c r="L48" s="53">
        <v>2</v>
      </c>
      <c r="N48" s="53">
        <v>1</v>
      </c>
      <c r="O48" s="53">
        <v>0.3</v>
      </c>
      <c r="P48" s="53">
        <v>0.25</v>
      </c>
      <c r="Q48" s="72">
        <f t="shared" si="4"/>
        <v>0.27500000000000002</v>
      </c>
      <c r="R48" s="53">
        <v>15.2</v>
      </c>
      <c r="S48" s="53">
        <v>122</v>
      </c>
      <c r="T48" s="38">
        <f t="shared" si="1"/>
        <v>27</v>
      </c>
      <c r="U48" s="53">
        <v>105</v>
      </c>
      <c r="V48" s="38">
        <v>3146</v>
      </c>
      <c r="W48" s="53">
        <v>1</v>
      </c>
      <c r="X48" s="53" t="s">
        <v>46</v>
      </c>
      <c r="Y48" s="53" t="s">
        <v>84</v>
      </c>
      <c r="Z48" s="53" t="s">
        <v>69</v>
      </c>
      <c r="AA48" s="53" t="s">
        <v>40</v>
      </c>
      <c r="AB48" s="53" t="s">
        <v>158</v>
      </c>
      <c r="AC48" s="75"/>
      <c r="AD48" s="75"/>
      <c r="AE48" s="75"/>
      <c r="AF48" s="75"/>
      <c r="AG48" s="75"/>
      <c r="AH48" s="75"/>
    </row>
    <row r="49" spans="1:34" x14ac:dyDescent="0.15">
      <c r="A49" s="53" t="s">
        <v>41</v>
      </c>
      <c r="B49" s="53" t="s">
        <v>157</v>
      </c>
      <c r="C49" s="62">
        <v>2019</v>
      </c>
      <c r="D49" s="63" t="s">
        <v>168</v>
      </c>
      <c r="E49" s="53" t="s">
        <v>203</v>
      </c>
      <c r="F49" s="53" t="s">
        <v>204</v>
      </c>
      <c r="G49" s="53" t="s">
        <v>42</v>
      </c>
      <c r="H49" s="53" t="s">
        <v>163</v>
      </c>
      <c r="I49" s="53" t="s">
        <v>159</v>
      </c>
      <c r="J49" s="53" t="s">
        <v>38</v>
      </c>
      <c r="K49" s="53" t="s">
        <v>160</v>
      </c>
      <c r="L49" s="53">
        <v>3</v>
      </c>
      <c r="N49" s="53">
        <v>1</v>
      </c>
      <c r="O49" s="53">
        <v>0.25</v>
      </c>
      <c r="P49" s="53">
        <v>0.35</v>
      </c>
      <c r="Q49" s="72">
        <f t="shared" si="4"/>
        <v>0.3</v>
      </c>
      <c r="R49" s="53">
        <v>13.8</v>
      </c>
      <c r="S49" s="53">
        <v>124</v>
      </c>
      <c r="T49" s="38">
        <f t="shared" si="1"/>
        <v>27</v>
      </c>
      <c r="U49" s="53">
        <v>105</v>
      </c>
      <c r="V49" s="38">
        <v>3146</v>
      </c>
      <c r="W49" s="53">
        <v>1</v>
      </c>
      <c r="X49" s="53" t="s">
        <v>46</v>
      </c>
      <c r="Y49" s="53" t="s">
        <v>84</v>
      </c>
      <c r="Z49" s="53" t="s">
        <v>69</v>
      </c>
      <c r="AA49" s="53" t="s">
        <v>40</v>
      </c>
      <c r="AB49" s="53" t="s">
        <v>158</v>
      </c>
      <c r="AC49" s="75"/>
      <c r="AD49" s="75"/>
      <c r="AE49" s="75"/>
      <c r="AF49" s="75"/>
      <c r="AG49" s="75"/>
      <c r="AH49" s="75"/>
    </row>
    <row r="50" spans="1:34" x14ac:dyDescent="0.15">
      <c r="A50" s="53" t="s">
        <v>41</v>
      </c>
      <c r="B50" s="53" t="s">
        <v>157</v>
      </c>
      <c r="C50" s="62">
        <v>2019</v>
      </c>
      <c r="D50" s="63" t="s">
        <v>168</v>
      </c>
      <c r="E50" s="53" t="s">
        <v>203</v>
      </c>
      <c r="F50" s="53" t="s">
        <v>204</v>
      </c>
      <c r="G50" s="53" t="s">
        <v>42</v>
      </c>
      <c r="H50" s="53" t="s">
        <v>163</v>
      </c>
      <c r="I50" s="53" t="s">
        <v>159</v>
      </c>
      <c r="J50" s="53" t="s">
        <v>38</v>
      </c>
      <c r="K50" s="53" t="s">
        <v>160</v>
      </c>
      <c r="L50" s="53">
        <v>1</v>
      </c>
      <c r="N50" s="53">
        <v>6</v>
      </c>
      <c r="O50" s="53">
        <v>0.45</v>
      </c>
      <c r="P50" s="53">
        <v>0.5</v>
      </c>
      <c r="Q50" s="76">
        <f t="shared" si="4"/>
        <v>0.47499999999999998</v>
      </c>
      <c r="R50" s="53">
        <v>10.4</v>
      </c>
      <c r="S50" s="53">
        <v>112</v>
      </c>
      <c r="T50" s="16">
        <f t="shared" si="1"/>
        <v>33</v>
      </c>
      <c r="U50" s="53">
        <v>429</v>
      </c>
      <c r="V50" s="38">
        <v>3670</v>
      </c>
      <c r="W50" s="53">
        <v>2</v>
      </c>
      <c r="X50" s="53" t="s">
        <v>46</v>
      </c>
      <c r="Y50" s="53" t="s">
        <v>84</v>
      </c>
      <c r="Z50" s="53" t="s">
        <v>69</v>
      </c>
      <c r="AA50" s="53" t="s">
        <v>40</v>
      </c>
      <c r="AB50" s="53" t="s">
        <v>158</v>
      </c>
      <c r="AC50" s="75"/>
      <c r="AD50" s="75"/>
      <c r="AE50" s="75"/>
      <c r="AF50" s="75"/>
      <c r="AG50" s="75"/>
      <c r="AH50" s="75"/>
    </row>
    <row r="51" spans="1:34" x14ac:dyDescent="0.15">
      <c r="A51" s="53" t="s">
        <v>41</v>
      </c>
      <c r="B51" s="53" t="s">
        <v>157</v>
      </c>
      <c r="C51" s="62">
        <v>2019</v>
      </c>
      <c r="D51" s="63" t="s">
        <v>168</v>
      </c>
      <c r="E51" s="53" t="s">
        <v>203</v>
      </c>
      <c r="F51" s="53" t="s">
        <v>204</v>
      </c>
      <c r="G51" s="53" t="s">
        <v>42</v>
      </c>
      <c r="H51" s="53" t="s">
        <v>163</v>
      </c>
      <c r="I51" s="53" t="s">
        <v>159</v>
      </c>
      <c r="J51" s="53" t="s">
        <v>38</v>
      </c>
      <c r="K51" s="53" t="s">
        <v>160</v>
      </c>
      <c r="L51" s="53">
        <v>2</v>
      </c>
      <c r="N51" s="53">
        <v>6</v>
      </c>
      <c r="O51" s="53">
        <v>0.35</v>
      </c>
      <c r="P51" s="53">
        <v>0.35</v>
      </c>
      <c r="Q51" s="76">
        <f t="shared" si="4"/>
        <v>0.35</v>
      </c>
      <c r="R51" s="53">
        <v>11.5</v>
      </c>
      <c r="S51" s="53">
        <v>110</v>
      </c>
      <c r="T51" s="16">
        <f t="shared" si="1"/>
        <v>33</v>
      </c>
      <c r="U51" s="53">
        <v>429</v>
      </c>
      <c r="V51" s="38">
        <v>3303</v>
      </c>
      <c r="W51" s="53">
        <v>2</v>
      </c>
      <c r="X51" s="53" t="s">
        <v>46</v>
      </c>
      <c r="Y51" s="53" t="s">
        <v>84</v>
      </c>
      <c r="Z51" s="53" t="s">
        <v>69</v>
      </c>
      <c r="AA51" s="53" t="s">
        <v>40</v>
      </c>
      <c r="AB51" s="53" t="s">
        <v>158</v>
      </c>
      <c r="AC51" s="75"/>
      <c r="AD51" s="75"/>
      <c r="AE51" s="75"/>
      <c r="AF51" s="75"/>
      <c r="AG51" s="75"/>
      <c r="AH51" s="75"/>
    </row>
    <row r="52" spans="1:34" x14ac:dyDescent="0.15">
      <c r="A52" s="53" t="s">
        <v>41</v>
      </c>
      <c r="B52" s="53" t="s">
        <v>157</v>
      </c>
      <c r="C52" s="62">
        <v>2019</v>
      </c>
      <c r="D52" s="63" t="s">
        <v>168</v>
      </c>
      <c r="E52" s="53" t="s">
        <v>203</v>
      </c>
      <c r="F52" s="53" t="s">
        <v>204</v>
      </c>
      <c r="G52" s="53" t="s">
        <v>42</v>
      </c>
      <c r="H52" s="53" t="s">
        <v>163</v>
      </c>
      <c r="I52" s="53" t="s">
        <v>159</v>
      </c>
      <c r="J52" s="53" t="s">
        <v>38</v>
      </c>
      <c r="K52" s="53" t="s">
        <v>160</v>
      </c>
      <c r="L52" s="53">
        <v>3</v>
      </c>
      <c r="N52" s="53">
        <v>6</v>
      </c>
      <c r="O52" s="53">
        <v>0.35</v>
      </c>
      <c r="P52" s="53">
        <v>0.25</v>
      </c>
      <c r="Q52" s="76">
        <f t="shared" si="4"/>
        <v>0.3</v>
      </c>
      <c r="R52" s="53">
        <v>12.4</v>
      </c>
      <c r="S52" s="53">
        <v>111</v>
      </c>
      <c r="T52" s="16">
        <f t="shared" si="1"/>
        <v>33</v>
      </c>
      <c r="U52" s="53">
        <v>429</v>
      </c>
      <c r="V52" s="38">
        <v>3670</v>
      </c>
      <c r="W52" s="53">
        <v>2</v>
      </c>
      <c r="X52" s="53" t="s">
        <v>46</v>
      </c>
      <c r="Y52" s="53" t="s">
        <v>84</v>
      </c>
      <c r="Z52" s="53" t="s">
        <v>69</v>
      </c>
      <c r="AA52" s="53" t="s">
        <v>40</v>
      </c>
      <c r="AB52" s="53" t="s">
        <v>158</v>
      </c>
      <c r="AC52" s="75"/>
      <c r="AD52" s="75"/>
      <c r="AE52" s="75"/>
      <c r="AF52" s="75"/>
      <c r="AG52" s="75"/>
      <c r="AH52" s="75"/>
    </row>
    <row r="53" spans="1:34" x14ac:dyDescent="0.15">
      <c r="A53" s="53" t="s">
        <v>41</v>
      </c>
      <c r="B53" s="53" t="s">
        <v>157</v>
      </c>
      <c r="C53" s="62">
        <v>2019</v>
      </c>
      <c r="D53" s="63" t="s">
        <v>168</v>
      </c>
      <c r="E53" s="53" t="s">
        <v>203</v>
      </c>
      <c r="F53" s="53" t="s">
        <v>211</v>
      </c>
      <c r="G53" s="53" t="s">
        <v>42</v>
      </c>
      <c r="H53" s="53" t="s">
        <v>190</v>
      </c>
      <c r="I53" s="53" t="s">
        <v>159</v>
      </c>
      <c r="J53" s="53" t="s">
        <v>80</v>
      </c>
      <c r="K53" s="53" t="s">
        <v>63</v>
      </c>
      <c r="L53" s="53">
        <v>1</v>
      </c>
      <c r="N53" s="53">
        <v>1</v>
      </c>
      <c r="O53" s="53">
        <v>0.45</v>
      </c>
      <c r="P53" s="53">
        <v>0.4</v>
      </c>
      <c r="Q53" s="76">
        <f t="shared" si="4"/>
        <v>0.42500000000000004</v>
      </c>
      <c r="R53" s="53">
        <v>12.4</v>
      </c>
      <c r="S53" s="53">
        <v>98</v>
      </c>
      <c r="T53" s="16">
        <f t="shared" si="1"/>
        <v>36</v>
      </c>
      <c r="U53" s="53">
        <v>73</v>
      </c>
      <c r="V53" s="16">
        <f t="shared" ref="V53:V116" si="5">IF(OR(N53="",U53="",T53=""),"",U53/N53*T53)</f>
        <v>2628</v>
      </c>
      <c r="W53" s="53">
        <v>2</v>
      </c>
      <c r="X53" s="53" t="s">
        <v>46</v>
      </c>
      <c r="Y53" s="53" t="s">
        <v>84</v>
      </c>
      <c r="Z53" s="53" t="s">
        <v>69</v>
      </c>
      <c r="AA53" s="53" t="s">
        <v>90</v>
      </c>
      <c r="AB53" s="53" t="s">
        <v>158</v>
      </c>
      <c r="AC53" s="75"/>
      <c r="AD53" s="75"/>
      <c r="AE53" s="75"/>
      <c r="AF53" s="75"/>
      <c r="AG53" s="75"/>
      <c r="AH53" s="75"/>
    </row>
    <row r="54" spans="1:34" x14ac:dyDescent="0.15">
      <c r="A54" s="53" t="s">
        <v>41</v>
      </c>
      <c r="B54" s="53" t="s">
        <v>157</v>
      </c>
      <c r="C54" s="62">
        <v>2019</v>
      </c>
      <c r="D54" s="63" t="s">
        <v>168</v>
      </c>
      <c r="E54" s="53" t="s">
        <v>203</v>
      </c>
      <c r="F54" s="53" t="s">
        <v>211</v>
      </c>
      <c r="G54" s="53" t="s">
        <v>42</v>
      </c>
      <c r="H54" s="53" t="s">
        <v>190</v>
      </c>
      <c r="I54" s="53" t="s">
        <v>159</v>
      </c>
      <c r="J54" s="53" t="s">
        <v>80</v>
      </c>
      <c r="K54" s="53" t="s">
        <v>63</v>
      </c>
      <c r="L54" s="53">
        <v>2</v>
      </c>
      <c r="N54" s="53">
        <v>1</v>
      </c>
      <c r="O54" s="53">
        <v>0.5</v>
      </c>
      <c r="P54" s="53">
        <v>0.4</v>
      </c>
      <c r="Q54" s="76">
        <f t="shared" si="4"/>
        <v>0.45</v>
      </c>
      <c r="R54" s="53">
        <v>13.2</v>
      </c>
      <c r="S54" s="53">
        <v>101</v>
      </c>
      <c r="T54" s="16">
        <f t="shared" si="1"/>
        <v>33</v>
      </c>
      <c r="U54" s="53">
        <v>73</v>
      </c>
      <c r="V54" s="16">
        <f t="shared" si="5"/>
        <v>2409</v>
      </c>
      <c r="W54" s="53">
        <v>2</v>
      </c>
      <c r="X54" s="53" t="s">
        <v>46</v>
      </c>
      <c r="Y54" s="53" t="s">
        <v>84</v>
      </c>
      <c r="Z54" s="53" t="s">
        <v>69</v>
      </c>
      <c r="AA54" s="53" t="s">
        <v>90</v>
      </c>
      <c r="AB54" s="53" t="s">
        <v>158</v>
      </c>
      <c r="AC54" s="75"/>
      <c r="AD54" s="75"/>
      <c r="AE54" s="75"/>
      <c r="AF54" s="75"/>
      <c r="AG54" s="75"/>
      <c r="AH54" s="75"/>
    </row>
    <row r="55" spans="1:34" x14ac:dyDescent="0.15">
      <c r="A55" s="53" t="s">
        <v>41</v>
      </c>
      <c r="B55" s="53" t="s">
        <v>157</v>
      </c>
      <c r="C55" s="62">
        <v>2019</v>
      </c>
      <c r="D55" s="63" t="s">
        <v>168</v>
      </c>
      <c r="E55" s="53" t="s">
        <v>203</v>
      </c>
      <c r="F55" s="53" t="s">
        <v>211</v>
      </c>
      <c r="G55" s="53" t="s">
        <v>42</v>
      </c>
      <c r="H55" s="53" t="s">
        <v>190</v>
      </c>
      <c r="I55" s="53" t="s">
        <v>159</v>
      </c>
      <c r="J55" s="53" t="s">
        <v>80</v>
      </c>
      <c r="K55" s="53" t="s">
        <v>63</v>
      </c>
      <c r="L55" s="53">
        <v>3</v>
      </c>
      <c r="N55" s="53">
        <v>1</v>
      </c>
      <c r="O55" s="53">
        <v>0.5</v>
      </c>
      <c r="P55" s="53">
        <v>0.55000000000000004</v>
      </c>
      <c r="Q55" s="76">
        <f t="shared" si="4"/>
        <v>0.52500000000000002</v>
      </c>
      <c r="R55" s="53">
        <v>11.6</v>
      </c>
      <c r="S55" s="53">
        <v>102</v>
      </c>
      <c r="T55" s="16">
        <f t="shared" si="1"/>
        <v>33</v>
      </c>
      <c r="U55" s="53">
        <v>73</v>
      </c>
      <c r="V55" s="16">
        <f t="shared" si="5"/>
        <v>2409</v>
      </c>
      <c r="W55" s="53">
        <v>2</v>
      </c>
      <c r="X55" s="53" t="s">
        <v>46</v>
      </c>
      <c r="Y55" s="53" t="s">
        <v>84</v>
      </c>
      <c r="Z55" s="53" t="s">
        <v>69</v>
      </c>
      <c r="AA55" s="53" t="s">
        <v>90</v>
      </c>
      <c r="AB55" s="53" t="s">
        <v>158</v>
      </c>
      <c r="AC55" s="75"/>
      <c r="AD55" s="75"/>
      <c r="AE55" s="75"/>
      <c r="AF55" s="75"/>
      <c r="AG55" s="75"/>
      <c r="AH55" s="75"/>
    </row>
    <row r="56" spans="1:34" x14ac:dyDescent="0.15">
      <c r="A56" s="53" t="s">
        <v>41</v>
      </c>
      <c r="B56" s="53" t="s">
        <v>157</v>
      </c>
      <c r="C56" s="62">
        <v>2019</v>
      </c>
      <c r="D56" s="63" t="s">
        <v>168</v>
      </c>
      <c r="E56" s="53" t="s">
        <v>203</v>
      </c>
      <c r="F56" s="53" t="s">
        <v>211</v>
      </c>
      <c r="G56" s="53" t="s">
        <v>42</v>
      </c>
      <c r="H56" s="53" t="s">
        <v>163</v>
      </c>
      <c r="I56" s="53" t="s">
        <v>159</v>
      </c>
      <c r="J56" s="53" t="s">
        <v>38</v>
      </c>
      <c r="K56" s="53" t="s">
        <v>160</v>
      </c>
      <c r="L56" s="53">
        <v>1</v>
      </c>
      <c r="N56" s="53">
        <v>1</v>
      </c>
      <c r="O56" s="53">
        <v>0.75</v>
      </c>
      <c r="P56" s="53">
        <v>0.9</v>
      </c>
      <c r="Q56" s="76">
        <f t="shared" si="4"/>
        <v>0.82499999999999996</v>
      </c>
      <c r="R56" s="53">
        <v>12.7</v>
      </c>
      <c r="S56" s="53">
        <v>130</v>
      </c>
      <c r="T56" s="16">
        <f t="shared" si="1"/>
        <v>25</v>
      </c>
      <c r="U56" s="53">
        <v>73</v>
      </c>
      <c r="V56" s="16">
        <f t="shared" si="5"/>
        <v>1825</v>
      </c>
      <c r="W56" s="53">
        <v>2</v>
      </c>
      <c r="X56" s="53" t="s">
        <v>46</v>
      </c>
      <c r="Y56" s="53" t="s">
        <v>84</v>
      </c>
      <c r="Z56" s="53" t="s">
        <v>69</v>
      </c>
      <c r="AA56" s="53" t="s">
        <v>90</v>
      </c>
      <c r="AB56" s="53" t="s">
        <v>158</v>
      </c>
      <c r="AC56" s="75"/>
      <c r="AD56" s="75"/>
      <c r="AE56" s="75"/>
      <c r="AF56" s="75"/>
      <c r="AG56" s="75"/>
      <c r="AH56" s="75"/>
    </row>
    <row r="57" spans="1:34" x14ac:dyDescent="0.15">
      <c r="A57" s="53" t="s">
        <v>41</v>
      </c>
      <c r="B57" s="53" t="s">
        <v>157</v>
      </c>
      <c r="C57" s="62">
        <v>2019</v>
      </c>
      <c r="D57" s="63" t="s">
        <v>168</v>
      </c>
      <c r="E57" s="53" t="s">
        <v>203</v>
      </c>
      <c r="F57" s="53" t="s">
        <v>211</v>
      </c>
      <c r="G57" s="53" t="s">
        <v>42</v>
      </c>
      <c r="H57" s="53" t="s">
        <v>163</v>
      </c>
      <c r="I57" s="53" t="s">
        <v>159</v>
      </c>
      <c r="J57" s="53" t="s">
        <v>38</v>
      </c>
      <c r="K57" s="53" t="s">
        <v>160</v>
      </c>
      <c r="L57" s="53">
        <v>2</v>
      </c>
      <c r="M57" s="75"/>
      <c r="N57" s="53">
        <v>1</v>
      </c>
      <c r="O57" s="53">
        <v>0.75</v>
      </c>
      <c r="P57" s="53">
        <v>0.75</v>
      </c>
      <c r="Q57" s="76">
        <f t="shared" si="4"/>
        <v>0.75</v>
      </c>
      <c r="R57" s="53">
        <v>13.2</v>
      </c>
      <c r="S57" s="53">
        <v>132</v>
      </c>
      <c r="T57" s="16">
        <f t="shared" si="1"/>
        <v>25</v>
      </c>
      <c r="U57" s="53">
        <v>73</v>
      </c>
      <c r="V57" s="16">
        <f t="shared" si="5"/>
        <v>1825</v>
      </c>
      <c r="W57" s="53">
        <v>2</v>
      </c>
      <c r="X57" s="53" t="s">
        <v>46</v>
      </c>
      <c r="Y57" s="53" t="s">
        <v>84</v>
      </c>
      <c r="Z57" s="53" t="s">
        <v>69</v>
      </c>
      <c r="AA57" s="53" t="s">
        <v>90</v>
      </c>
      <c r="AB57" s="53" t="s">
        <v>158</v>
      </c>
      <c r="AC57" s="75"/>
      <c r="AD57" s="75"/>
      <c r="AE57" s="75"/>
      <c r="AF57" s="75"/>
      <c r="AG57" s="75"/>
      <c r="AH57" s="75"/>
    </row>
    <row r="58" spans="1:34" x14ac:dyDescent="0.15">
      <c r="A58" s="53" t="s">
        <v>41</v>
      </c>
      <c r="B58" s="53" t="s">
        <v>157</v>
      </c>
      <c r="C58" s="62">
        <v>2019</v>
      </c>
      <c r="D58" s="63" t="s">
        <v>168</v>
      </c>
      <c r="E58" s="53" t="s">
        <v>203</v>
      </c>
      <c r="F58" s="53" t="s">
        <v>211</v>
      </c>
      <c r="G58" s="53" t="s">
        <v>42</v>
      </c>
      <c r="H58" s="53" t="s">
        <v>163</v>
      </c>
      <c r="I58" s="53" t="s">
        <v>159</v>
      </c>
      <c r="J58" s="53" t="s">
        <v>38</v>
      </c>
      <c r="K58" s="53" t="s">
        <v>160</v>
      </c>
      <c r="L58" s="53">
        <v>3</v>
      </c>
      <c r="M58" s="75"/>
      <c r="N58" s="53">
        <v>1</v>
      </c>
      <c r="O58" s="53">
        <v>0.65</v>
      </c>
      <c r="P58" s="53">
        <v>0.5</v>
      </c>
      <c r="Q58" s="72">
        <f t="shared" si="4"/>
        <v>0.57499999999999996</v>
      </c>
      <c r="R58" s="53">
        <v>15</v>
      </c>
      <c r="S58" s="53">
        <v>130</v>
      </c>
      <c r="T58" s="38">
        <f t="shared" si="1"/>
        <v>25</v>
      </c>
      <c r="U58" s="53">
        <v>73</v>
      </c>
      <c r="V58" s="16">
        <f t="shared" si="5"/>
        <v>1825</v>
      </c>
      <c r="W58" s="53">
        <v>2</v>
      </c>
      <c r="X58" s="53" t="s">
        <v>46</v>
      </c>
      <c r="Y58" s="53" t="s">
        <v>84</v>
      </c>
      <c r="Z58" s="53" t="s">
        <v>69</v>
      </c>
      <c r="AA58" s="53" t="s">
        <v>90</v>
      </c>
      <c r="AB58" s="53" t="s">
        <v>158</v>
      </c>
      <c r="AC58" s="75"/>
      <c r="AD58" s="75"/>
      <c r="AE58" s="75"/>
      <c r="AF58" s="75"/>
      <c r="AG58" s="75"/>
      <c r="AH58" s="75"/>
    </row>
    <row r="59" spans="1:34" x14ac:dyDescent="0.15">
      <c r="A59" s="53" t="s">
        <v>41</v>
      </c>
      <c r="B59" s="53" t="s">
        <v>157</v>
      </c>
      <c r="C59" s="62">
        <v>2019</v>
      </c>
      <c r="D59" s="63" t="s">
        <v>168</v>
      </c>
      <c r="E59" s="53" t="s">
        <v>207</v>
      </c>
      <c r="F59" s="53" t="s">
        <v>208</v>
      </c>
      <c r="G59" s="53" t="s">
        <v>42</v>
      </c>
      <c r="H59" s="53" t="s">
        <v>163</v>
      </c>
      <c r="I59" s="53" t="s">
        <v>159</v>
      </c>
      <c r="J59" s="53" t="s">
        <v>38</v>
      </c>
      <c r="K59" s="53" t="s">
        <v>160</v>
      </c>
      <c r="L59" s="53">
        <v>1</v>
      </c>
      <c r="N59" s="53">
        <v>1</v>
      </c>
      <c r="O59" s="53">
        <v>1</v>
      </c>
      <c r="P59" s="53">
        <v>0.85</v>
      </c>
      <c r="Q59" s="72">
        <f t="shared" si="4"/>
        <v>0.92500000000000004</v>
      </c>
      <c r="R59" s="53">
        <v>13.2</v>
      </c>
      <c r="S59" s="53">
        <v>133</v>
      </c>
      <c r="T59" s="38">
        <f t="shared" si="1"/>
        <v>25</v>
      </c>
      <c r="U59" s="53">
        <v>138</v>
      </c>
      <c r="V59" s="16">
        <f t="shared" si="5"/>
        <v>3450</v>
      </c>
      <c r="W59" s="53">
        <v>2</v>
      </c>
      <c r="X59" s="53" t="s">
        <v>46</v>
      </c>
      <c r="Y59" s="53" t="s">
        <v>84</v>
      </c>
      <c r="Z59" s="53" t="s">
        <v>69</v>
      </c>
      <c r="AA59" s="53" t="s">
        <v>90</v>
      </c>
      <c r="AB59" s="53" t="s">
        <v>158</v>
      </c>
      <c r="AC59" s="75"/>
      <c r="AD59" s="75"/>
      <c r="AE59" s="75"/>
      <c r="AF59" s="75"/>
      <c r="AG59" s="75"/>
      <c r="AH59" s="75"/>
    </row>
    <row r="60" spans="1:34" x14ac:dyDescent="0.15">
      <c r="A60" s="53" t="s">
        <v>41</v>
      </c>
      <c r="B60" s="53" t="s">
        <v>157</v>
      </c>
      <c r="C60" s="62">
        <v>2019</v>
      </c>
      <c r="D60" s="63" t="s">
        <v>168</v>
      </c>
      <c r="E60" s="53" t="s">
        <v>207</v>
      </c>
      <c r="F60" s="53" t="s">
        <v>208</v>
      </c>
      <c r="G60" s="53" t="s">
        <v>42</v>
      </c>
      <c r="H60" s="53" t="s">
        <v>163</v>
      </c>
      <c r="I60" s="53" t="s">
        <v>159</v>
      </c>
      <c r="J60" s="53" t="s">
        <v>38</v>
      </c>
      <c r="K60" s="53" t="s">
        <v>160</v>
      </c>
      <c r="L60" s="53">
        <v>2</v>
      </c>
      <c r="N60" s="53">
        <v>1</v>
      </c>
      <c r="O60" s="53">
        <v>0.9</v>
      </c>
      <c r="P60" s="53">
        <v>1</v>
      </c>
      <c r="Q60" s="72">
        <f t="shared" si="4"/>
        <v>0.95</v>
      </c>
      <c r="R60" s="53">
        <v>13</v>
      </c>
      <c r="S60" s="53">
        <v>128</v>
      </c>
      <c r="T60" s="38">
        <f t="shared" si="1"/>
        <v>27</v>
      </c>
      <c r="U60" s="53">
        <v>138</v>
      </c>
      <c r="V60" s="16">
        <f t="shared" si="5"/>
        <v>3726</v>
      </c>
      <c r="W60" s="53">
        <v>2</v>
      </c>
      <c r="X60" s="53" t="s">
        <v>46</v>
      </c>
      <c r="Y60" s="53" t="s">
        <v>84</v>
      </c>
      <c r="Z60" s="53" t="s">
        <v>69</v>
      </c>
      <c r="AA60" s="53" t="s">
        <v>90</v>
      </c>
      <c r="AB60" s="53" t="s">
        <v>158</v>
      </c>
      <c r="AC60" s="75"/>
      <c r="AD60" s="75"/>
      <c r="AE60" s="75"/>
      <c r="AF60" s="75"/>
      <c r="AG60" s="75"/>
      <c r="AH60" s="75"/>
    </row>
    <row r="61" spans="1:34" x14ac:dyDescent="0.15">
      <c r="A61" s="53" t="s">
        <v>41</v>
      </c>
      <c r="B61" s="53" t="s">
        <v>157</v>
      </c>
      <c r="C61" s="62">
        <v>2019</v>
      </c>
      <c r="D61" s="63" t="s">
        <v>168</v>
      </c>
      <c r="E61" s="53" t="s">
        <v>207</v>
      </c>
      <c r="F61" s="53" t="s">
        <v>208</v>
      </c>
      <c r="G61" s="53" t="s">
        <v>42</v>
      </c>
      <c r="H61" s="53" t="s">
        <v>163</v>
      </c>
      <c r="I61" s="53" t="s">
        <v>159</v>
      </c>
      <c r="J61" s="53" t="s">
        <v>38</v>
      </c>
      <c r="K61" s="53" t="s">
        <v>160</v>
      </c>
      <c r="L61" s="53">
        <v>3</v>
      </c>
      <c r="N61" s="53">
        <v>1</v>
      </c>
      <c r="O61" s="53">
        <v>0.85</v>
      </c>
      <c r="P61" s="53">
        <v>0.9</v>
      </c>
      <c r="Q61" s="72">
        <f t="shared" si="4"/>
        <v>0.875</v>
      </c>
      <c r="R61" s="53">
        <v>12</v>
      </c>
      <c r="S61" s="53">
        <v>129</v>
      </c>
      <c r="T61" s="38">
        <f t="shared" si="1"/>
        <v>25</v>
      </c>
      <c r="U61" s="53">
        <v>138</v>
      </c>
      <c r="V61" s="38">
        <f t="shared" si="5"/>
        <v>3450</v>
      </c>
      <c r="W61" s="53">
        <v>2</v>
      </c>
      <c r="X61" s="53" t="s">
        <v>46</v>
      </c>
      <c r="Y61" s="53" t="s">
        <v>84</v>
      </c>
      <c r="Z61" s="53" t="s">
        <v>69</v>
      </c>
      <c r="AA61" s="53" t="s">
        <v>90</v>
      </c>
      <c r="AB61" s="53" t="s">
        <v>158</v>
      </c>
      <c r="AC61" s="75"/>
      <c r="AD61" s="75"/>
      <c r="AE61" s="75"/>
      <c r="AF61" s="75"/>
      <c r="AG61" s="75"/>
      <c r="AH61" s="75"/>
    </row>
    <row r="62" spans="1:34" x14ac:dyDescent="0.15">
      <c r="A62" s="53" t="s">
        <v>41</v>
      </c>
      <c r="B62" s="53" t="s">
        <v>157</v>
      </c>
      <c r="C62" s="62">
        <v>2018</v>
      </c>
      <c r="D62" s="63" t="s">
        <v>168</v>
      </c>
      <c r="E62" s="53" t="s">
        <v>207</v>
      </c>
      <c r="F62" s="53" t="s">
        <v>208</v>
      </c>
      <c r="G62" s="53" t="s">
        <v>42</v>
      </c>
      <c r="H62" s="53" t="s">
        <v>163</v>
      </c>
      <c r="I62" s="53" t="s">
        <v>159</v>
      </c>
      <c r="J62" s="53" t="s">
        <v>38</v>
      </c>
      <c r="K62" s="53" t="s">
        <v>160</v>
      </c>
      <c r="L62" s="53">
        <v>1</v>
      </c>
      <c r="N62" s="53">
        <v>4</v>
      </c>
      <c r="O62" s="53">
        <v>0.6</v>
      </c>
      <c r="P62" s="53">
        <v>0.65</v>
      </c>
      <c r="Q62" s="16">
        <f t="shared" si="4"/>
        <v>0.625</v>
      </c>
      <c r="R62" s="53">
        <v>14.2</v>
      </c>
      <c r="S62" s="53">
        <v>122</v>
      </c>
      <c r="T62" s="16">
        <f t="shared" si="1"/>
        <v>27</v>
      </c>
      <c r="U62" s="53">
        <v>537</v>
      </c>
      <c r="V62" s="16">
        <f t="shared" si="5"/>
        <v>3624.75</v>
      </c>
      <c r="W62" s="53">
        <v>1</v>
      </c>
      <c r="X62" s="53" t="s">
        <v>46</v>
      </c>
      <c r="Y62" s="53" t="s">
        <v>84</v>
      </c>
      <c r="Z62" s="53" t="s">
        <v>69</v>
      </c>
      <c r="AA62" s="53" t="s">
        <v>90</v>
      </c>
      <c r="AB62" s="53" t="s">
        <v>158</v>
      </c>
      <c r="AC62" s="75"/>
      <c r="AD62" s="75"/>
      <c r="AE62" s="75"/>
      <c r="AF62" s="75"/>
      <c r="AG62" s="75"/>
      <c r="AH62" s="75"/>
    </row>
    <row r="63" spans="1:34" x14ac:dyDescent="0.15">
      <c r="A63" s="53" t="s">
        <v>41</v>
      </c>
      <c r="B63" s="53" t="s">
        <v>157</v>
      </c>
      <c r="C63" s="62">
        <v>2018</v>
      </c>
      <c r="D63" s="63" t="s">
        <v>168</v>
      </c>
      <c r="E63" s="53" t="s">
        <v>207</v>
      </c>
      <c r="F63" s="53" t="s">
        <v>208</v>
      </c>
      <c r="G63" s="53" t="s">
        <v>42</v>
      </c>
      <c r="H63" s="53" t="s">
        <v>163</v>
      </c>
      <c r="I63" s="53" t="s">
        <v>159</v>
      </c>
      <c r="J63" s="53" t="s">
        <v>38</v>
      </c>
      <c r="K63" s="53" t="s">
        <v>160</v>
      </c>
      <c r="L63" s="53">
        <v>2</v>
      </c>
      <c r="N63" s="53">
        <v>4</v>
      </c>
      <c r="O63" s="53">
        <v>0.45</v>
      </c>
      <c r="P63" s="53">
        <v>0.5</v>
      </c>
      <c r="Q63" s="16">
        <f t="shared" si="4"/>
        <v>0.47499999999999998</v>
      </c>
      <c r="R63" s="53">
        <v>10.8</v>
      </c>
      <c r="S63" s="53">
        <v>124</v>
      </c>
      <c r="T63" s="16">
        <f t="shared" si="1"/>
        <v>27</v>
      </c>
      <c r="U63" s="53">
        <v>537</v>
      </c>
      <c r="V63" s="16">
        <f t="shared" si="5"/>
        <v>3624.75</v>
      </c>
      <c r="W63" s="53">
        <v>1</v>
      </c>
      <c r="X63" s="53" t="s">
        <v>46</v>
      </c>
      <c r="Y63" s="53" t="s">
        <v>84</v>
      </c>
      <c r="Z63" s="53" t="s">
        <v>69</v>
      </c>
      <c r="AA63" s="53" t="s">
        <v>90</v>
      </c>
      <c r="AB63" s="53" t="s">
        <v>158</v>
      </c>
      <c r="AC63" s="75"/>
      <c r="AD63" s="75"/>
      <c r="AE63" s="75"/>
      <c r="AF63" s="75"/>
      <c r="AG63" s="75"/>
      <c r="AH63" s="75"/>
    </row>
    <row r="64" spans="1:34" x14ac:dyDescent="0.15">
      <c r="A64" s="53" t="s">
        <v>41</v>
      </c>
      <c r="B64" s="53" t="s">
        <v>157</v>
      </c>
      <c r="C64" s="62">
        <v>2018</v>
      </c>
      <c r="D64" s="63" t="s">
        <v>168</v>
      </c>
      <c r="E64" s="53" t="s">
        <v>207</v>
      </c>
      <c r="F64" s="53" t="s">
        <v>208</v>
      </c>
      <c r="G64" s="53" t="s">
        <v>42</v>
      </c>
      <c r="H64" s="53" t="s">
        <v>163</v>
      </c>
      <c r="I64" s="53" t="s">
        <v>159</v>
      </c>
      <c r="J64" s="53" t="s">
        <v>38</v>
      </c>
      <c r="K64" s="53" t="s">
        <v>160</v>
      </c>
      <c r="L64" s="53">
        <v>3</v>
      </c>
      <c r="N64" s="53">
        <v>4</v>
      </c>
      <c r="O64" s="53">
        <v>0.5</v>
      </c>
      <c r="P64" s="53">
        <v>0.5</v>
      </c>
      <c r="Q64" s="16">
        <f t="shared" si="4"/>
        <v>0.5</v>
      </c>
      <c r="R64" s="53">
        <v>13.8</v>
      </c>
      <c r="S64" s="53">
        <v>125</v>
      </c>
      <c r="T64" s="16">
        <f t="shared" si="1"/>
        <v>27</v>
      </c>
      <c r="U64" s="53">
        <v>537</v>
      </c>
      <c r="V64" s="16">
        <f t="shared" si="5"/>
        <v>3624.75</v>
      </c>
      <c r="W64" s="53">
        <v>1</v>
      </c>
      <c r="X64" s="53" t="s">
        <v>46</v>
      </c>
      <c r="Y64" s="53" t="s">
        <v>84</v>
      </c>
      <c r="Z64" s="53" t="s">
        <v>69</v>
      </c>
      <c r="AA64" s="53" t="s">
        <v>90</v>
      </c>
      <c r="AB64" s="53" t="s">
        <v>158</v>
      </c>
      <c r="AC64" s="75"/>
      <c r="AD64" s="75"/>
      <c r="AE64" s="75"/>
      <c r="AF64" s="75"/>
      <c r="AG64" s="75"/>
      <c r="AH64" s="75"/>
    </row>
    <row r="65" spans="1:28" x14ac:dyDescent="0.15">
      <c r="A65" s="53" t="s">
        <v>41</v>
      </c>
      <c r="B65" s="53" t="s">
        <v>157</v>
      </c>
      <c r="C65" s="62">
        <v>2019</v>
      </c>
      <c r="D65" s="63" t="s">
        <v>168</v>
      </c>
      <c r="E65" s="53" t="s">
        <v>213</v>
      </c>
      <c r="F65" s="53" t="s">
        <v>214</v>
      </c>
      <c r="G65" s="53" t="s">
        <v>42</v>
      </c>
      <c r="H65" s="53" t="s">
        <v>163</v>
      </c>
      <c r="I65" s="53" t="s">
        <v>159</v>
      </c>
      <c r="J65" s="53" t="s">
        <v>38</v>
      </c>
      <c r="K65" s="53" t="s">
        <v>160</v>
      </c>
      <c r="L65" s="53">
        <v>1</v>
      </c>
      <c r="N65" s="53">
        <v>1</v>
      </c>
      <c r="O65" s="53">
        <v>1</v>
      </c>
      <c r="P65" s="53">
        <v>0.85</v>
      </c>
      <c r="Q65" s="16">
        <f t="shared" si="4"/>
        <v>0.92500000000000004</v>
      </c>
      <c r="R65" s="53">
        <v>10.199999999999999</v>
      </c>
      <c r="S65" s="53">
        <v>126</v>
      </c>
      <c r="T65" s="38">
        <f t="shared" si="1"/>
        <v>27</v>
      </c>
      <c r="U65" s="53">
        <v>104</v>
      </c>
      <c r="V65" s="38">
        <f t="shared" si="5"/>
        <v>2808</v>
      </c>
      <c r="W65" s="53">
        <v>2</v>
      </c>
      <c r="X65" s="53" t="s">
        <v>39</v>
      </c>
      <c r="Y65" s="53" t="s">
        <v>84</v>
      </c>
      <c r="Z65" s="53" t="s">
        <v>69</v>
      </c>
      <c r="AA65" s="53" t="s">
        <v>90</v>
      </c>
      <c r="AB65" s="53" t="s">
        <v>158</v>
      </c>
    </row>
    <row r="66" spans="1:28" x14ac:dyDescent="0.15">
      <c r="A66" s="53" t="s">
        <v>41</v>
      </c>
      <c r="B66" s="53" t="s">
        <v>157</v>
      </c>
      <c r="C66" s="62">
        <v>2019</v>
      </c>
      <c r="D66" s="63" t="s">
        <v>168</v>
      </c>
      <c r="E66" s="53" t="s">
        <v>213</v>
      </c>
      <c r="F66" s="53" t="s">
        <v>214</v>
      </c>
      <c r="G66" s="53" t="s">
        <v>42</v>
      </c>
      <c r="H66" s="53" t="s">
        <v>163</v>
      </c>
      <c r="I66" s="53" t="s">
        <v>159</v>
      </c>
      <c r="J66" s="53" t="s">
        <v>38</v>
      </c>
      <c r="K66" s="53" t="s">
        <v>160</v>
      </c>
      <c r="L66" s="53">
        <v>2</v>
      </c>
      <c r="N66" s="53">
        <v>1</v>
      </c>
      <c r="O66" s="53">
        <v>0.85</v>
      </c>
      <c r="P66" s="53">
        <v>0.9</v>
      </c>
      <c r="Q66" s="16">
        <f t="shared" si="4"/>
        <v>0.875</v>
      </c>
      <c r="R66" s="53">
        <v>12.1</v>
      </c>
      <c r="S66" s="53">
        <v>127</v>
      </c>
      <c r="T66" s="38">
        <f t="shared" ref="T66:T129" si="6">IF(H66="","",IF(OR(H66="GREEN",H66="GK"),IF(S66&gt;=$AX$2,VLOOKUP(S66,$AX$2:$AY$10,2,1),""),IF(S66&gt;=$AZ$2,VLOOKUP(S66,$AZ$2:$BA$10,2,1),"")))</f>
        <v>27</v>
      </c>
      <c r="U66" s="53">
        <v>104</v>
      </c>
      <c r="V66" s="38">
        <f t="shared" si="5"/>
        <v>2808</v>
      </c>
      <c r="W66" s="53">
        <v>2</v>
      </c>
      <c r="X66" s="53" t="s">
        <v>39</v>
      </c>
      <c r="Y66" s="53" t="s">
        <v>84</v>
      </c>
      <c r="Z66" s="53" t="s">
        <v>69</v>
      </c>
      <c r="AA66" s="53" t="s">
        <v>90</v>
      </c>
      <c r="AB66" s="53" t="s">
        <v>158</v>
      </c>
    </row>
    <row r="67" spans="1:28" x14ac:dyDescent="0.15">
      <c r="A67" s="53" t="s">
        <v>41</v>
      </c>
      <c r="B67" s="53" t="s">
        <v>157</v>
      </c>
      <c r="C67" s="62">
        <v>2019</v>
      </c>
      <c r="D67" s="63" t="s">
        <v>168</v>
      </c>
      <c r="E67" s="53" t="s">
        <v>213</v>
      </c>
      <c r="F67" s="53" t="s">
        <v>214</v>
      </c>
      <c r="G67" s="53" t="s">
        <v>42</v>
      </c>
      <c r="H67" s="53" t="s">
        <v>163</v>
      </c>
      <c r="I67" s="53" t="s">
        <v>159</v>
      </c>
      <c r="J67" s="53" t="s">
        <v>38</v>
      </c>
      <c r="K67" s="53" t="s">
        <v>160</v>
      </c>
      <c r="L67" s="53">
        <v>3</v>
      </c>
      <c r="N67" s="53">
        <v>1</v>
      </c>
      <c r="O67" s="53">
        <v>0.9</v>
      </c>
      <c r="P67" s="53">
        <v>0.8</v>
      </c>
      <c r="Q67" s="16">
        <f t="shared" si="4"/>
        <v>0.85000000000000009</v>
      </c>
      <c r="R67" s="53">
        <v>13.8</v>
      </c>
      <c r="S67" s="53">
        <v>125</v>
      </c>
      <c r="T67" s="38">
        <f t="shared" si="6"/>
        <v>27</v>
      </c>
      <c r="U67" s="53">
        <v>104</v>
      </c>
      <c r="V67" s="38">
        <f t="shared" si="5"/>
        <v>2808</v>
      </c>
      <c r="W67" s="53">
        <v>2</v>
      </c>
      <c r="X67" s="53" t="s">
        <v>39</v>
      </c>
      <c r="Y67" s="53" t="s">
        <v>84</v>
      </c>
      <c r="Z67" s="53" t="s">
        <v>69</v>
      </c>
      <c r="AA67" s="53" t="s">
        <v>90</v>
      </c>
      <c r="AB67" s="53" t="s">
        <v>158</v>
      </c>
    </row>
    <row r="68" spans="1:28" x14ac:dyDescent="0.15">
      <c r="A68" s="53" t="s">
        <v>41</v>
      </c>
      <c r="B68" s="53" t="s">
        <v>157</v>
      </c>
      <c r="C68" s="62">
        <v>2019</v>
      </c>
      <c r="D68" s="63" t="s">
        <v>168</v>
      </c>
      <c r="E68" s="53" t="s">
        <v>213</v>
      </c>
      <c r="F68" s="53" t="s">
        <v>214</v>
      </c>
      <c r="G68" s="53" t="s">
        <v>42</v>
      </c>
      <c r="H68" s="53" t="s">
        <v>163</v>
      </c>
      <c r="I68" s="53" t="s">
        <v>159</v>
      </c>
      <c r="J68" s="53" t="s">
        <v>38</v>
      </c>
      <c r="K68" s="53" t="s">
        <v>160</v>
      </c>
      <c r="L68" s="53">
        <v>1</v>
      </c>
      <c r="N68" s="53">
        <v>5</v>
      </c>
      <c r="O68" s="53">
        <v>0.3</v>
      </c>
      <c r="P68" s="53">
        <v>0.5</v>
      </c>
      <c r="Q68" s="16">
        <f t="shared" si="4"/>
        <v>0.4</v>
      </c>
      <c r="R68" s="53">
        <v>15.2</v>
      </c>
      <c r="S68" s="53">
        <v>100</v>
      </c>
      <c r="T68" s="38">
        <f t="shared" si="6"/>
        <v>33</v>
      </c>
      <c r="U68" s="53">
        <v>407</v>
      </c>
      <c r="V68" s="38">
        <f t="shared" si="5"/>
        <v>2686.2000000000003</v>
      </c>
      <c r="W68" s="53">
        <v>1</v>
      </c>
      <c r="X68" s="53" t="s">
        <v>39</v>
      </c>
      <c r="Y68" s="53" t="s">
        <v>84</v>
      </c>
      <c r="Z68" s="53" t="s">
        <v>69</v>
      </c>
      <c r="AA68" s="53" t="s">
        <v>90</v>
      </c>
      <c r="AB68" s="53" t="s">
        <v>158</v>
      </c>
    </row>
    <row r="69" spans="1:28" x14ac:dyDescent="0.15">
      <c r="A69" s="53" t="s">
        <v>41</v>
      </c>
      <c r="B69" s="53" t="s">
        <v>157</v>
      </c>
      <c r="C69" s="62">
        <v>2019</v>
      </c>
      <c r="D69" s="63" t="s">
        <v>168</v>
      </c>
      <c r="E69" s="53" t="s">
        <v>213</v>
      </c>
      <c r="F69" s="53" t="s">
        <v>214</v>
      </c>
      <c r="G69" s="53" t="s">
        <v>42</v>
      </c>
      <c r="H69" s="53" t="s">
        <v>163</v>
      </c>
      <c r="I69" s="53" t="s">
        <v>159</v>
      </c>
      <c r="J69" s="53" t="s">
        <v>38</v>
      </c>
      <c r="K69" s="53" t="s">
        <v>160</v>
      </c>
      <c r="L69" s="53">
        <v>2</v>
      </c>
      <c r="N69" s="53">
        <v>5</v>
      </c>
      <c r="O69" s="53">
        <v>0.45</v>
      </c>
      <c r="P69" s="53">
        <v>0.55000000000000004</v>
      </c>
      <c r="Q69" s="16">
        <f t="shared" si="4"/>
        <v>0.5</v>
      </c>
      <c r="R69" s="53">
        <v>13.7</v>
      </c>
      <c r="S69" s="53">
        <v>102</v>
      </c>
      <c r="T69" s="38">
        <f t="shared" si="6"/>
        <v>33</v>
      </c>
      <c r="U69" s="53">
        <v>407</v>
      </c>
      <c r="V69" s="38">
        <f t="shared" si="5"/>
        <v>2686.2000000000003</v>
      </c>
      <c r="W69" s="53">
        <v>1</v>
      </c>
      <c r="X69" s="53" t="s">
        <v>39</v>
      </c>
      <c r="Y69" s="53" t="s">
        <v>84</v>
      </c>
      <c r="Z69" s="53" t="s">
        <v>69</v>
      </c>
      <c r="AA69" s="53" t="s">
        <v>90</v>
      </c>
      <c r="AB69" s="53" t="s">
        <v>158</v>
      </c>
    </row>
    <row r="70" spans="1:28" x14ac:dyDescent="0.15">
      <c r="A70" s="53" t="s">
        <v>41</v>
      </c>
      <c r="B70" s="53" t="s">
        <v>157</v>
      </c>
      <c r="C70" s="62">
        <v>2019</v>
      </c>
      <c r="D70" s="63" t="s">
        <v>168</v>
      </c>
      <c r="E70" s="53" t="s">
        <v>213</v>
      </c>
      <c r="F70" s="53" t="s">
        <v>214</v>
      </c>
      <c r="G70" s="53" t="s">
        <v>42</v>
      </c>
      <c r="H70" s="53" t="s">
        <v>163</v>
      </c>
      <c r="I70" s="53" t="s">
        <v>159</v>
      </c>
      <c r="J70" s="53" t="s">
        <v>38</v>
      </c>
      <c r="K70" s="53" t="s">
        <v>160</v>
      </c>
      <c r="L70" s="53">
        <v>3</v>
      </c>
      <c r="N70" s="53">
        <v>5</v>
      </c>
      <c r="O70" s="53">
        <v>0.3</v>
      </c>
      <c r="P70" s="53">
        <v>0.35</v>
      </c>
      <c r="Q70" s="16">
        <f t="shared" si="4"/>
        <v>0.32499999999999996</v>
      </c>
      <c r="R70" s="53">
        <v>14.1</v>
      </c>
      <c r="S70" s="53">
        <v>98</v>
      </c>
      <c r="T70" s="38">
        <f t="shared" si="6"/>
        <v>36</v>
      </c>
      <c r="U70" s="53">
        <v>407</v>
      </c>
      <c r="V70" s="38">
        <f t="shared" si="5"/>
        <v>2930.4</v>
      </c>
      <c r="W70" s="53">
        <v>1</v>
      </c>
      <c r="X70" s="53" t="s">
        <v>39</v>
      </c>
      <c r="Y70" s="53" t="s">
        <v>84</v>
      </c>
      <c r="Z70" s="53" t="s">
        <v>69</v>
      </c>
      <c r="AA70" s="53" t="s">
        <v>90</v>
      </c>
      <c r="AB70" s="53" t="s">
        <v>158</v>
      </c>
    </row>
    <row r="71" spans="1:28" x14ac:dyDescent="0.15">
      <c r="Q71" s="76" t="str">
        <f t="shared" si="4"/>
        <v/>
      </c>
      <c r="T71" s="16" t="str">
        <f t="shared" si="6"/>
        <v/>
      </c>
      <c r="V71" s="16" t="str">
        <f t="shared" si="5"/>
        <v/>
      </c>
    </row>
    <row r="72" spans="1:28" x14ac:dyDescent="0.15">
      <c r="Q72" s="76" t="str">
        <f t="shared" si="4"/>
        <v/>
      </c>
      <c r="T72" s="16" t="str">
        <f t="shared" si="6"/>
        <v/>
      </c>
      <c r="V72" s="16" t="str">
        <f t="shared" si="5"/>
        <v/>
      </c>
    </row>
    <row r="73" spans="1:28" x14ac:dyDescent="0.15">
      <c r="Q73" s="76" t="str">
        <f t="shared" si="4"/>
        <v/>
      </c>
      <c r="T73" s="16" t="str">
        <f t="shared" si="6"/>
        <v/>
      </c>
      <c r="V73" s="16" t="str">
        <f t="shared" si="5"/>
        <v/>
      </c>
    </row>
    <row r="74" spans="1:28" x14ac:dyDescent="0.15">
      <c r="Q74" s="76" t="str">
        <f t="shared" si="4"/>
        <v/>
      </c>
      <c r="T74" s="16" t="str">
        <f t="shared" si="6"/>
        <v/>
      </c>
      <c r="V74" s="16" t="str">
        <f t="shared" si="5"/>
        <v/>
      </c>
    </row>
    <row r="75" spans="1:28" x14ac:dyDescent="0.15">
      <c r="Q75" s="76" t="str">
        <f t="shared" si="4"/>
        <v/>
      </c>
      <c r="T75" s="16" t="str">
        <f t="shared" si="6"/>
        <v/>
      </c>
      <c r="V75" s="16" t="str">
        <f t="shared" si="5"/>
        <v/>
      </c>
    </row>
    <row r="76" spans="1:28" x14ac:dyDescent="0.15">
      <c r="Q76" s="76" t="str">
        <f t="shared" si="4"/>
        <v/>
      </c>
      <c r="T76" s="16" t="str">
        <f t="shared" si="6"/>
        <v/>
      </c>
      <c r="V76" s="16" t="str">
        <f t="shared" si="5"/>
        <v/>
      </c>
    </row>
    <row r="77" spans="1:28" x14ac:dyDescent="0.15">
      <c r="Q77" s="76" t="str">
        <f t="shared" si="4"/>
        <v/>
      </c>
      <c r="T77" s="16" t="str">
        <f t="shared" si="6"/>
        <v/>
      </c>
      <c r="V77" s="16" t="str">
        <f t="shared" si="5"/>
        <v/>
      </c>
    </row>
    <row r="78" spans="1:28" x14ac:dyDescent="0.15">
      <c r="Q78" s="76" t="str">
        <f t="shared" si="4"/>
        <v/>
      </c>
      <c r="T78" s="16" t="str">
        <f t="shared" si="6"/>
        <v/>
      </c>
      <c r="V78" s="16" t="str">
        <f t="shared" si="5"/>
        <v/>
      </c>
    </row>
    <row r="79" spans="1:28" x14ac:dyDescent="0.15">
      <c r="Q79" s="76" t="str">
        <f t="shared" si="4"/>
        <v/>
      </c>
      <c r="T79" s="16" t="str">
        <f t="shared" si="6"/>
        <v/>
      </c>
      <c r="V79" s="16" t="str">
        <f t="shared" si="5"/>
        <v/>
      </c>
    </row>
    <row r="80" spans="1:28" x14ac:dyDescent="0.15">
      <c r="Q80" s="76" t="str">
        <f t="shared" si="4"/>
        <v/>
      </c>
      <c r="T80" s="16" t="str">
        <f t="shared" si="6"/>
        <v/>
      </c>
      <c r="V80" s="16" t="str">
        <f t="shared" si="5"/>
        <v/>
      </c>
    </row>
    <row r="81" spans="17:22" x14ac:dyDescent="0.15">
      <c r="Q81" s="76" t="str">
        <f t="shared" si="4"/>
        <v/>
      </c>
      <c r="T81" s="16" t="str">
        <f t="shared" si="6"/>
        <v/>
      </c>
      <c r="V81" s="16" t="str">
        <f t="shared" si="5"/>
        <v/>
      </c>
    </row>
    <row r="82" spans="17:22" x14ac:dyDescent="0.15">
      <c r="Q82" s="76" t="str">
        <f t="shared" si="4"/>
        <v/>
      </c>
      <c r="T82" s="16" t="str">
        <f t="shared" si="6"/>
        <v/>
      </c>
      <c r="V82" s="16" t="str">
        <f t="shared" si="5"/>
        <v/>
      </c>
    </row>
    <row r="83" spans="17:22" x14ac:dyDescent="0.15">
      <c r="Q83" s="76" t="str">
        <f t="shared" si="4"/>
        <v/>
      </c>
      <c r="T83" s="16" t="str">
        <f t="shared" si="6"/>
        <v/>
      </c>
      <c r="V83" s="16" t="str">
        <f t="shared" si="5"/>
        <v/>
      </c>
    </row>
    <row r="84" spans="17:22" x14ac:dyDescent="0.15">
      <c r="Q84" s="76" t="str">
        <f t="shared" si="4"/>
        <v/>
      </c>
      <c r="T84" s="16" t="str">
        <f t="shared" si="6"/>
        <v/>
      </c>
      <c r="V84" s="16" t="str">
        <f t="shared" si="5"/>
        <v/>
      </c>
    </row>
    <row r="85" spans="17:22" x14ac:dyDescent="0.15">
      <c r="Q85" s="76" t="str">
        <f t="shared" si="4"/>
        <v/>
      </c>
      <c r="T85" s="16" t="str">
        <f t="shared" si="6"/>
        <v/>
      </c>
      <c r="V85" s="16" t="str">
        <f t="shared" si="5"/>
        <v/>
      </c>
    </row>
    <row r="86" spans="17:22" x14ac:dyDescent="0.15">
      <c r="Q86" s="76" t="str">
        <f t="shared" si="4"/>
        <v/>
      </c>
      <c r="T86" s="16" t="str">
        <f t="shared" si="6"/>
        <v/>
      </c>
      <c r="V86" s="16" t="str">
        <f t="shared" si="5"/>
        <v/>
      </c>
    </row>
    <row r="87" spans="17:22" x14ac:dyDescent="0.15">
      <c r="Q87" s="76" t="str">
        <f t="shared" si="4"/>
        <v/>
      </c>
      <c r="T87" s="16" t="str">
        <f t="shared" si="6"/>
        <v/>
      </c>
      <c r="V87" s="16" t="str">
        <f t="shared" si="5"/>
        <v/>
      </c>
    </row>
    <row r="88" spans="17:22" x14ac:dyDescent="0.15">
      <c r="Q88" s="76" t="str">
        <f t="shared" si="4"/>
        <v/>
      </c>
      <c r="T88" s="16" t="str">
        <f t="shared" si="6"/>
        <v/>
      </c>
      <c r="V88" s="16" t="str">
        <f t="shared" si="5"/>
        <v/>
      </c>
    </row>
    <row r="89" spans="17:22" x14ac:dyDescent="0.15">
      <c r="Q89" s="76" t="str">
        <f t="shared" si="4"/>
        <v/>
      </c>
      <c r="T89" s="16" t="str">
        <f t="shared" si="6"/>
        <v/>
      </c>
      <c r="V89" s="16" t="str">
        <f t="shared" si="5"/>
        <v/>
      </c>
    </row>
    <row r="90" spans="17:22" x14ac:dyDescent="0.15">
      <c r="Q90" s="76" t="str">
        <f t="shared" si="4"/>
        <v/>
      </c>
      <c r="T90" s="16" t="str">
        <f t="shared" si="6"/>
        <v/>
      </c>
      <c r="V90" s="16" t="str">
        <f t="shared" si="5"/>
        <v/>
      </c>
    </row>
    <row r="91" spans="17:22" x14ac:dyDescent="0.15">
      <c r="Q91" s="76" t="str">
        <f t="shared" si="4"/>
        <v/>
      </c>
      <c r="T91" s="16" t="str">
        <f t="shared" si="6"/>
        <v/>
      </c>
      <c r="V91" s="16" t="str">
        <f t="shared" si="5"/>
        <v/>
      </c>
    </row>
    <row r="92" spans="17:22" x14ac:dyDescent="0.15">
      <c r="Q92" s="76" t="str">
        <f t="shared" si="4"/>
        <v/>
      </c>
      <c r="T92" s="16" t="str">
        <f t="shared" si="6"/>
        <v/>
      </c>
      <c r="V92" s="16" t="str">
        <f t="shared" si="5"/>
        <v/>
      </c>
    </row>
    <row r="93" spans="17:22" x14ac:dyDescent="0.15">
      <c r="Q93" s="76" t="str">
        <f t="shared" si="4"/>
        <v/>
      </c>
      <c r="T93" s="16" t="str">
        <f t="shared" si="6"/>
        <v/>
      </c>
      <c r="V93" s="16" t="str">
        <f t="shared" si="5"/>
        <v/>
      </c>
    </row>
    <row r="94" spans="17:22" x14ac:dyDescent="0.15">
      <c r="Q94" s="76" t="str">
        <f t="shared" si="4"/>
        <v/>
      </c>
      <c r="T94" s="16" t="str">
        <f t="shared" si="6"/>
        <v/>
      </c>
      <c r="V94" s="16" t="str">
        <f t="shared" si="5"/>
        <v/>
      </c>
    </row>
    <row r="95" spans="17:22" x14ac:dyDescent="0.15">
      <c r="Q95" s="76" t="str">
        <f t="shared" si="4"/>
        <v/>
      </c>
      <c r="T95" s="16" t="str">
        <f t="shared" si="6"/>
        <v/>
      </c>
      <c r="V95" s="16" t="str">
        <f t="shared" si="5"/>
        <v/>
      </c>
    </row>
    <row r="96" spans="17:22" x14ac:dyDescent="0.15">
      <c r="Q96" s="76" t="str">
        <f t="shared" si="4"/>
        <v/>
      </c>
      <c r="T96" s="16" t="str">
        <f t="shared" si="6"/>
        <v/>
      </c>
      <c r="V96" s="16" t="str">
        <f t="shared" si="5"/>
        <v/>
      </c>
    </row>
    <row r="97" spans="17:22" x14ac:dyDescent="0.15">
      <c r="Q97" s="76" t="str">
        <f t="shared" si="4"/>
        <v/>
      </c>
      <c r="T97" s="16" t="str">
        <f t="shared" si="6"/>
        <v/>
      </c>
      <c r="V97" s="16" t="str">
        <f t="shared" si="5"/>
        <v/>
      </c>
    </row>
    <row r="98" spans="17:22" x14ac:dyDescent="0.15">
      <c r="Q98" s="76" t="str">
        <f t="shared" si="4"/>
        <v/>
      </c>
      <c r="T98" s="16" t="str">
        <f t="shared" si="6"/>
        <v/>
      </c>
      <c r="V98" s="16" t="str">
        <f t="shared" si="5"/>
        <v/>
      </c>
    </row>
    <row r="99" spans="17:22" x14ac:dyDescent="0.15">
      <c r="Q99" s="76" t="str">
        <f t="shared" si="4"/>
        <v/>
      </c>
      <c r="T99" s="16" t="str">
        <f t="shared" si="6"/>
        <v/>
      </c>
      <c r="V99" s="16" t="str">
        <f t="shared" si="5"/>
        <v/>
      </c>
    </row>
    <row r="100" spans="17:22" x14ac:dyDescent="0.15">
      <c r="Q100" s="76" t="str">
        <f t="shared" si="4"/>
        <v/>
      </c>
      <c r="T100" s="16" t="str">
        <f t="shared" si="6"/>
        <v/>
      </c>
      <c r="V100" s="16" t="str">
        <f t="shared" si="5"/>
        <v/>
      </c>
    </row>
    <row r="101" spans="17:22" x14ac:dyDescent="0.15">
      <c r="Q101" s="76" t="str">
        <f t="shared" si="4"/>
        <v/>
      </c>
      <c r="T101" s="16" t="str">
        <f t="shared" si="6"/>
        <v/>
      </c>
      <c r="V101" s="16" t="str">
        <f t="shared" si="5"/>
        <v/>
      </c>
    </row>
    <row r="102" spans="17:22" x14ac:dyDescent="0.15">
      <c r="Q102" s="76" t="str">
        <f t="shared" si="4"/>
        <v/>
      </c>
      <c r="T102" s="16" t="str">
        <f t="shared" si="6"/>
        <v/>
      </c>
      <c r="V102" s="16" t="str">
        <f t="shared" si="5"/>
        <v/>
      </c>
    </row>
    <row r="103" spans="17:22" x14ac:dyDescent="0.15">
      <c r="Q103" s="76" t="str">
        <f t="shared" si="4"/>
        <v/>
      </c>
      <c r="T103" s="16" t="str">
        <f t="shared" si="6"/>
        <v/>
      </c>
      <c r="V103" s="16" t="str">
        <f t="shared" si="5"/>
        <v/>
      </c>
    </row>
    <row r="104" spans="17:22" x14ac:dyDescent="0.15">
      <c r="Q104" s="76" t="str">
        <f t="shared" si="4"/>
        <v/>
      </c>
      <c r="T104" s="16" t="str">
        <f t="shared" si="6"/>
        <v/>
      </c>
      <c r="V104" s="16" t="str">
        <f t="shared" si="5"/>
        <v/>
      </c>
    </row>
    <row r="105" spans="17:22" x14ac:dyDescent="0.15">
      <c r="Q105" s="76" t="str">
        <f t="shared" si="4"/>
        <v/>
      </c>
      <c r="T105" s="16" t="str">
        <f t="shared" si="6"/>
        <v/>
      </c>
      <c r="V105" s="16" t="str">
        <f t="shared" si="5"/>
        <v/>
      </c>
    </row>
    <row r="106" spans="17:22" x14ac:dyDescent="0.15">
      <c r="Q106" s="76" t="str">
        <f t="shared" si="4"/>
        <v/>
      </c>
      <c r="T106" s="16" t="str">
        <f t="shared" si="6"/>
        <v/>
      </c>
      <c r="V106" s="16" t="str">
        <f t="shared" si="5"/>
        <v/>
      </c>
    </row>
    <row r="107" spans="17:22" x14ac:dyDescent="0.15">
      <c r="Q107" s="76" t="str">
        <f t="shared" si="4"/>
        <v/>
      </c>
      <c r="T107" s="16" t="str">
        <f t="shared" si="6"/>
        <v/>
      </c>
      <c r="V107" s="16" t="str">
        <f t="shared" si="5"/>
        <v/>
      </c>
    </row>
    <row r="108" spans="17:22" x14ac:dyDescent="0.15">
      <c r="Q108" s="76" t="str">
        <f t="shared" si="4"/>
        <v/>
      </c>
      <c r="T108" s="16" t="str">
        <f t="shared" si="6"/>
        <v/>
      </c>
      <c r="V108" s="16" t="str">
        <f t="shared" si="5"/>
        <v/>
      </c>
    </row>
    <row r="109" spans="17:22" x14ac:dyDescent="0.15">
      <c r="Q109" s="76" t="str">
        <f t="shared" si="4"/>
        <v/>
      </c>
      <c r="T109" s="16" t="str">
        <f t="shared" si="6"/>
        <v/>
      </c>
      <c r="V109" s="16" t="str">
        <f t="shared" si="5"/>
        <v/>
      </c>
    </row>
    <row r="110" spans="17:22" x14ac:dyDescent="0.15">
      <c r="Q110" s="76" t="str">
        <f t="shared" si="4"/>
        <v/>
      </c>
      <c r="T110" s="16" t="str">
        <f t="shared" si="6"/>
        <v/>
      </c>
      <c r="V110" s="16" t="str">
        <f t="shared" si="5"/>
        <v/>
      </c>
    </row>
    <row r="111" spans="17:22" x14ac:dyDescent="0.15">
      <c r="Q111" s="76" t="str">
        <f t="shared" ref="Q111:Q174" si="7">IF(OR(O111="",P111=""),"",AVERAGE(O111,P111))</f>
        <v/>
      </c>
      <c r="T111" s="16" t="str">
        <f t="shared" si="6"/>
        <v/>
      </c>
      <c r="V111" s="16" t="str">
        <f t="shared" si="5"/>
        <v/>
      </c>
    </row>
    <row r="112" spans="17:22" x14ac:dyDescent="0.15">
      <c r="Q112" s="76" t="str">
        <f t="shared" si="7"/>
        <v/>
      </c>
      <c r="T112" s="16" t="str">
        <f t="shared" si="6"/>
        <v/>
      </c>
      <c r="V112" s="16" t="str">
        <f t="shared" si="5"/>
        <v/>
      </c>
    </row>
    <row r="113" spans="17:22" x14ac:dyDescent="0.15">
      <c r="Q113" s="76" t="str">
        <f t="shared" si="7"/>
        <v/>
      </c>
      <c r="T113" s="16" t="str">
        <f t="shared" si="6"/>
        <v/>
      </c>
      <c r="V113" s="16" t="str">
        <f t="shared" si="5"/>
        <v/>
      </c>
    </row>
    <row r="114" spans="17:22" x14ac:dyDescent="0.15">
      <c r="Q114" s="76" t="str">
        <f t="shared" si="7"/>
        <v/>
      </c>
      <c r="T114" s="16" t="str">
        <f t="shared" si="6"/>
        <v/>
      </c>
      <c r="V114" s="16" t="str">
        <f t="shared" si="5"/>
        <v/>
      </c>
    </row>
    <row r="115" spans="17:22" x14ac:dyDescent="0.15">
      <c r="Q115" s="76" t="str">
        <f t="shared" si="7"/>
        <v/>
      </c>
      <c r="T115" s="16" t="str">
        <f t="shared" si="6"/>
        <v/>
      </c>
      <c r="V115" s="16" t="str">
        <f t="shared" si="5"/>
        <v/>
      </c>
    </row>
    <row r="116" spans="17:22" x14ac:dyDescent="0.15">
      <c r="Q116" s="76" t="str">
        <f t="shared" si="7"/>
        <v/>
      </c>
      <c r="T116" s="16" t="str">
        <f t="shared" si="6"/>
        <v/>
      </c>
      <c r="V116" s="16" t="str">
        <f t="shared" si="5"/>
        <v/>
      </c>
    </row>
    <row r="117" spans="17:22" x14ac:dyDescent="0.15">
      <c r="Q117" s="76" t="str">
        <f t="shared" si="7"/>
        <v/>
      </c>
      <c r="T117" s="16" t="str">
        <f t="shared" si="6"/>
        <v/>
      </c>
      <c r="V117" s="16" t="str">
        <f t="shared" ref="V117:V180" si="8">IF(OR(N117="",U117="",T117=""),"",U117/N117*T117)</f>
        <v/>
      </c>
    </row>
    <row r="118" spans="17:22" x14ac:dyDescent="0.15">
      <c r="Q118" s="76" t="str">
        <f t="shared" si="7"/>
        <v/>
      </c>
      <c r="T118" s="16" t="str">
        <f t="shared" si="6"/>
        <v/>
      </c>
      <c r="V118" s="16" t="str">
        <f t="shared" si="8"/>
        <v/>
      </c>
    </row>
    <row r="119" spans="17:22" x14ac:dyDescent="0.15">
      <c r="Q119" s="76" t="str">
        <f t="shared" si="7"/>
        <v/>
      </c>
      <c r="T119" s="16" t="str">
        <f t="shared" si="6"/>
        <v/>
      </c>
      <c r="V119" s="16" t="str">
        <f t="shared" si="8"/>
        <v/>
      </c>
    </row>
    <row r="120" spans="17:22" x14ac:dyDescent="0.15">
      <c r="Q120" s="76" t="str">
        <f t="shared" si="7"/>
        <v/>
      </c>
      <c r="T120" s="16" t="str">
        <f t="shared" si="6"/>
        <v/>
      </c>
      <c r="V120" s="16" t="str">
        <f t="shared" si="8"/>
        <v/>
      </c>
    </row>
    <row r="121" spans="17:22" x14ac:dyDescent="0.15">
      <c r="Q121" s="76" t="str">
        <f t="shared" si="7"/>
        <v/>
      </c>
      <c r="T121" s="16" t="str">
        <f t="shared" si="6"/>
        <v/>
      </c>
      <c r="V121" s="16" t="str">
        <f t="shared" si="8"/>
        <v/>
      </c>
    </row>
    <row r="122" spans="17:22" x14ac:dyDescent="0.15">
      <c r="Q122" s="76" t="str">
        <f t="shared" si="7"/>
        <v/>
      </c>
      <c r="T122" s="16" t="str">
        <f t="shared" si="6"/>
        <v/>
      </c>
      <c r="V122" s="16" t="str">
        <f t="shared" si="8"/>
        <v/>
      </c>
    </row>
    <row r="123" spans="17:22" x14ac:dyDescent="0.15">
      <c r="Q123" s="76" t="str">
        <f t="shared" si="7"/>
        <v/>
      </c>
      <c r="T123" s="16" t="str">
        <f t="shared" si="6"/>
        <v/>
      </c>
      <c r="V123" s="16" t="str">
        <f t="shared" si="8"/>
        <v/>
      </c>
    </row>
    <row r="124" spans="17:22" x14ac:dyDescent="0.15">
      <c r="Q124" s="76" t="str">
        <f t="shared" si="7"/>
        <v/>
      </c>
      <c r="T124" s="16" t="str">
        <f t="shared" si="6"/>
        <v/>
      </c>
      <c r="V124" s="16" t="str">
        <f t="shared" si="8"/>
        <v/>
      </c>
    </row>
    <row r="125" spans="17:22" x14ac:dyDescent="0.15">
      <c r="Q125" s="76" t="str">
        <f t="shared" si="7"/>
        <v/>
      </c>
      <c r="T125" s="16" t="str">
        <f t="shared" si="6"/>
        <v/>
      </c>
      <c r="V125" s="16" t="str">
        <f t="shared" si="8"/>
        <v/>
      </c>
    </row>
    <row r="126" spans="17:22" x14ac:dyDescent="0.15">
      <c r="Q126" s="76" t="str">
        <f t="shared" si="7"/>
        <v/>
      </c>
      <c r="T126" s="16" t="str">
        <f t="shared" si="6"/>
        <v/>
      </c>
      <c r="V126" s="16" t="str">
        <f t="shared" si="8"/>
        <v/>
      </c>
    </row>
    <row r="127" spans="17:22" x14ac:dyDescent="0.15">
      <c r="Q127" s="76" t="str">
        <f t="shared" si="7"/>
        <v/>
      </c>
      <c r="T127" s="16" t="str">
        <f t="shared" si="6"/>
        <v/>
      </c>
      <c r="V127" s="16" t="str">
        <f t="shared" si="8"/>
        <v/>
      </c>
    </row>
    <row r="128" spans="17:22" x14ac:dyDescent="0.15">
      <c r="Q128" s="76" t="str">
        <f t="shared" si="7"/>
        <v/>
      </c>
      <c r="T128" s="16" t="str">
        <f t="shared" si="6"/>
        <v/>
      </c>
      <c r="V128" s="16" t="str">
        <f t="shared" si="8"/>
        <v/>
      </c>
    </row>
    <row r="129" spans="17:22" x14ac:dyDescent="0.15">
      <c r="Q129" s="76" t="str">
        <f t="shared" si="7"/>
        <v/>
      </c>
      <c r="T129" s="16" t="str">
        <f t="shared" si="6"/>
        <v/>
      </c>
      <c r="V129" s="16" t="str">
        <f t="shared" si="8"/>
        <v/>
      </c>
    </row>
    <row r="130" spans="17:22" x14ac:dyDescent="0.15">
      <c r="Q130" s="76" t="str">
        <f t="shared" si="7"/>
        <v/>
      </c>
      <c r="T130" s="16" t="str">
        <f t="shared" ref="T130:T193" si="9">IF(H130="","",IF(OR(H130="GREEN",H130="GK"),IF(S130&gt;=$AX$2,VLOOKUP(S130,$AX$2:$AY$10,2,1),""),IF(S130&gt;=$AZ$2,VLOOKUP(S130,$AZ$2:$BA$10,2,1),"")))</f>
        <v/>
      </c>
      <c r="V130" s="16" t="str">
        <f t="shared" si="8"/>
        <v/>
      </c>
    </row>
    <row r="131" spans="17:22" x14ac:dyDescent="0.15">
      <c r="Q131" s="76" t="str">
        <f t="shared" si="7"/>
        <v/>
      </c>
      <c r="T131" s="16" t="str">
        <f t="shared" si="9"/>
        <v/>
      </c>
      <c r="V131" s="16" t="str">
        <f t="shared" si="8"/>
        <v/>
      </c>
    </row>
    <row r="132" spans="17:22" x14ac:dyDescent="0.15">
      <c r="Q132" s="76" t="str">
        <f t="shared" si="7"/>
        <v/>
      </c>
      <c r="T132" s="16" t="str">
        <f t="shared" si="9"/>
        <v/>
      </c>
      <c r="V132" s="16" t="str">
        <f t="shared" si="8"/>
        <v/>
      </c>
    </row>
    <row r="133" spans="17:22" x14ac:dyDescent="0.15">
      <c r="Q133" s="76" t="str">
        <f t="shared" si="7"/>
        <v/>
      </c>
      <c r="T133" s="16" t="str">
        <f t="shared" si="9"/>
        <v/>
      </c>
      <c r="V133" s="16" t="str">
        <f t="shared" si="8"/>
        <v/>
      </c>
    </row>
    <row r="134" spans="17:22" x14ac:dyDescent="0.15">
      <c r="Q134" s="76" t="str">
        <f t="shared" si="7"/>
        <v/>
      </c>
      <c r="T134" s="16" t="str">
        <f t="shared" si="9"/>
        <v/>
      </c>
      <c r="V134" s="16" t="str">
        <f t="shared" si="8"/>
        <v/>
      </c>
    </row>
    <row r="135" spans="17:22" x14ac:dyDescent="0.15">
      <c r="Q135" s="76" t="str">
        <f t="shared" si="7"/>
        <v/>
      </c>
      <c r="T135" s="16" t="str">
        <f t="shared" si="9"/>
        <v/>
      </c>
      <c r="V135" s="16" t="str">
        <f t="shared" si="8"/>
        <v/>
      </c>
    </row>
    <row r="136" spans="17:22" x14ac:dyDescent="0.15">
      <c r="Q136" s="76" t="str">
        <f t="shared" si="7"/>
        <v/>
      </c>
      <c r="T136" s="16" t="str">
        <f t="shared" si="9"/>
        <v/>
      </c>
      <c r="V136" s="16" t="str">
        <f t="shared" si="8"/>
        <v/>
      </c>
    </row>
    <row r="137" spans="17:22" x14ac:dyDescent="0.15">
      <c r="Q137" s="76" t="str">
        <f t="shared" si="7"/>
        <v/>
      </c>
      <c r="T137" s="16" t="str">
        <f t="shared" si="9"/>
        <v/>
      </c>
      <c r="V137" s="16" t="str">
        <f t="shared" si="8"/>
        <v/>
      </c>
    </row>
    <row r="138" spans="17:22" x14ac:dyDescent="0.15">
      <c r="Q138" s="76" t="str">
        <f t="shared" si="7"/>
        <v/>
      </c>
      <c r="T138" s="16" t="str">
        <f t="shared" si="9"/>
        <v/>
      </c>
      <c r="V138" s="16" t="str">
        <f t="shared" si="8"/>
        <v/>
      </c>
    </row>
    <row r="139" spans="17:22" x14ac:dyDescent="0.15">
      <c r="Q139" s="76" t="str">
        <f t="shared" si="7"/>
        <v/>
      </c>
      <c r="T139" s="16" t="str">
        <f t="shared" si="9"/>
        <v/>
      </c>
      <c r="V139" s="16" t="str">
        <f t="shared" si="8"/>
        <v/>
      </c>
    </row>
    <row r="140" spans="17:22" x14ac:dyDescent="0.15">
      <c r="Q140" s="76" t="str">
        <f t="shared" si="7"/>
        <v/>
      </c>
      <c r="T140" s="16" t="str">
        <f t="shared" si="9"/>
        <v/>
      </c>
      <c r="V140" s="16" t="str">
        <f t="shared" si="8"/>
        <v/>
      </c>
    </row>
    <row r="141" spans="17:22" x14ac:dyDescent="0.15">
      <c r="Q141" s="76" t="str">
        <f t="shared" si="7"/>
        <v/>
      </c>
      <c r="T141" s="16" t="str">
        <f t="shared" si="9"/>
        <v/>
      </c>
      <c r="V141" s="16" t="str">
        <f t="shared" si="8"/>
        <v/>
      </c>
    </row>
    <row r="142" spans="17:22" x14ac:dyDescent="0.15">
      <c r="Q142" s="76" t="str">
        <f t="shared" si="7"/>
        <v/>
      </c>
      <c r="T142" s="16" t="str">
        <f t="shared" si="9"/>
        <v/>
      </c>
      <c r="V142" s="16" t="str">
        <f t="shared" si="8"/>
        <v/>
      </c>
    </row>
    <row r="143" spans="17:22" x14ac:dyDescent="0.15">
      <c r="Q143" s="76" t="str">
        <f t="shared" si="7"/>
        <v/>
      </c>
      <c r="T143" s="16" t="str">
        <f t="shared" si="9"/>
        <v/>
      </c>
      <c r="V143" s="16" t="str">
        <f t="shared" si="8"/>
        <v/>
      </c>
    </row>
    <row r="144" spans="17:22" x14ac:dyDescent="0.15">
      <c r="Q144" s="76" t="str">
        <f t="shared" si="7"/>
        <v/>
      </c>
      <c r="T144" s="16" t="str">
        <f t="shared" si="9"/>
        <v/>
      </c>
      <c r="V144" s="16" t="str">
        <f t="shared" si="8"/>
        <v/>
      </c>
    </row>
    <row r="145" spans="17:22" x14ac:dyDescent="0.15">
      <c r="Q145" s="76" t="str">
        <f t="shared" si="7"/>
        <v/>
      </c>
      <c r="T145" s="16" t="str">
        <f t="shared" si="9"/>
        <v/>
      </c>
      <c r="V145" s="16" t="str">
        <f t="shared" si="8"/>
        <v/>
      </c>
    </row>
    <row r="146" spans="17:22" x14ac:dyDescent="0.15">
      <c r="Q146" s="76" t="str">
        <f t="shared" si="7"/>
        <v/>
      </c>
      <c r="T146" s="16" t="str">
        <f t="shared" si="9"/>
        <v/>
      </c>
      <c r="V146" s="16" t="str">
        <f t="shared" si="8"/>
        <v/>
      </c>
    </row>
    <row r="147" spans="17:22" x14ac:dyDescent="0.15">
      <c r="Q147" s="76" t="str">
        <f t="shared" si="7"/>
        <v/>
      </c>
      <c r="T147" s="16" t="str">
        <f t="shared" si="9"/>
        <v/>
      </c>
      <c r="V147" s="16" t="str">
        <f t="shared" si="8"/>
        <v/>
      </c>
    </row>
    <row r="148" spans="17:22" x14ac:dyDescent="0.15">
      <c r="Q148" s="76" t="str">
        <f t="shared" si="7"/>
        <v/>
      </c>
      <c r="T148" s="16" t="str">
        <f t="shared" si="9"/>
        <v/>
      </c>
      <c r="V148" s="16" t="str">
        <f t="shared" si="8"/>
        <v/>
      </c>
    </row>
    <row r="149" spans="17:22" x14ac:dyDescent="0.15">
      <c r="Q149" s="76" t="str">
        <f t="shared" si="7"/>
        <v/>
      </c>
      <c r="T149" s="16" t="str">
        <f t="shared" si="9"/>
        <v/>
      </c>
      <c r="V149" s="16" t="str">
        <f t="shared" si="8"/>
        <v/>
      </c>
    </row>
    <row r="150" spans="17:22" x14ac:dyDescent="0.15">
      <c r="Q150" s="76" t="str">
        <f t="shared" si="7"/>
        <v/>
      </c>
      <c r="T150" s="16" t="str">
        <f t="shared" si="9"/>
        <v/>
      </c>
      <c r="V150" s="16" t="str">
        <f t="shared" si="8"/>
        <v/>
      </c>
    </row>
    <row r="151" spans="17:22" x14ac:dyDescent="0.15">
      <c r="Q151" s="76" t="str">
        <f t="shared" si="7"/>
        <v/>
      </c>
      <c r="T151" s="16" t="str">
        <f t="shared" si="9"/>
        <v/>
      </c>
      <c r="V151" s="16" t="str">
        <f t="shared" si="8"/>
        <v/>
      </c>
    </row>
    <row r="152" spans="17:22" x14ac:dyDescent="0.15">
      <c r="Q152" s="76" t="str">
        <f t="shared" si="7"/>
        <v/>
      </c>
      <c r="T152" s="16" t="str">
        <f t="shared" si="9"/>
        <v/>
      </c>
      <c r="V152" s="16" t="str">
        <f t="shared" si="8"/>
        <v/>
      </c>
    </row>
    <row r="153" spans="17:22" x14ac:dyDescent="0.15">
      <c r="Q153" s="76" t="str">
        <f t="shared" si="7"/>
        <v/>
      </c>
      <c r="T153" s="16" t="str">
        <f t="shared" si="9"/>
        <v/>
      </c>
      <c r="V153" s="16" t="str">
        <f t="shared" si="8"/>
        <v/>
      </c>
    </row>
    <row r="154" spans="17:22" x14ac:dyDescent="0.15">
      <c r="Q154" s="76" t="str">
        <f t="shared" si="7"/>
        <v/>
      </c>
      <c r="T154" s="16" t="str">
        <f t="shared" si="9"/>
        <v/>
      </c>
      <c r="V154" s="16" t="str">
        <f t="shared" si="8"/>
        <v/>
      </c>
    </row>
    <row r="155" spans="17:22" x14ac:dyDescent="0.15">
      <c r="Q155" s="76" t="str">
        <f t="shared" si="7"/>
        <v/>
      </c>
      <c r="T155" s="16" t="str">
        <f t="shared" si="9"/>
        <v/>
      </c>
      <c r="V155" s="16" t="str">
        <f t="shared" si="8"/>
        <v/>
      </c>
    </row>
    <row r="156" spans="17:22" x14ac:dyDescent="0.15">
      <c r="Q156" s="76" t="str">
        <f t="shared" si="7"/>
        <v/>
      </c>
      <c r="T156" s="16" t="str">
        <f t="shared" si="9"/>
        <v/>
      </c>
      <c r="V156" s="16" t="str">
        <f t="shared" si="8"/>
        <v/>
      </c>
    </row>
    <row r="157" spans="17:22" x14ac:dyDescent="0.15">
      <c r="Q157" s="76" t="str">
        <f t="shared" si="7"/>
        <v/>
      </c>
      <c r="T157" s="16" t="str">
        <f t="shared" si="9"/>
        <v/>
      </c>
      <c r="V157" s="16" t="str">
        <f t="shared" si="8"/>
        <v/>
      </c>
    </row>
    <row r="158" spans="17:22" x14ac:dyDescent="0.15">
      <c r="Q158" s="76" t="str">
        <f t="shared" si="7"/>
        <v/>
      </c>
      <c r="T158" s="16" t="str">
        <f t="shared" si="9"/>
        <v/>
      </c>
      <c r="V158" s="16" t="str">
        <f t="shared" si="8"/>
        <v/>
      </c>
    </row>
    <row r="159" spans="17:22" x14ac:dyDescent="0.15">
      <c r="Q159" s="76" t="str">
        <f t="shared" si="7"/>
        <v/>
      </c>
      <c r="T159" s="16" t="str">
        <f t="shared" si="9"/>
        <v/>
      </c>
      <c r="V159" s="16" t="str">
        <f t="shared" si="8"/>
        <v/>
      </c>
    </row>
    <row r="160" spans="17:22" x14ac:dyDescent="0.15">
      <c r="Q160" s="76" t="str">
        <f t="shared" si="7"/>
        <v/>
      </c>
      <c r="T160" s="16" t="str">
        <f t="shared" si="9"/>
        <v/>
      </c>
      <c r="V160" s="16" t="str">
        <f t="shared" si="8"/>
        <v/>
      </c>
    </row>
    <row r="161" spans="17:22" x14ac:dyDescent="0.15">
      <c r="Q161" s="76" t="str">
        <f t="shared" si="7"/>
        <v/>
      </c>
      <c r="T161" s="16" t="str">
        <f t="shared" si="9"/>
        <v/>
      </c>
      <c r="V161" s="16" t="str">
        <f t="shared" si="8"/>
        <v/>
      </c>
    </row>
    <row r="162" spans="17:22" x14ac:dyDescent="0.15">
      <c r="Q162" s="76" t="str">
        <f t="shared" si="7"/>
        <v/>
      </c>
      <c r="T162" s="16" t="str">
        <f t="shared" si="9"/>
        <v/>
      </c>
      <c r="V162" s="16" t="str">
        <f t="shared" si="8"/>
        <v/>
      </c>
    </row>
    <row r="163" spans="17:22" x14ac:dyDescent="0.15">
      <c r="Q163" s="76" t="str">
        <f t="shared" si="7"/>
        <v/>
      </c>
      <c r="T163" s="16" t="str">
        <f t="shared" si="9"/>
        <v/>
      </c>
      <c r="V163" s="16" t="str">
        <f t="shared" si="8"/>
        <v/>
      </c>
    </row>
    <row r="164" spans="17:22" x14ac:dyDescent="0.15">
      <c r="Q164" s="76" t="str">
        <f t="shared" si="7"/>
        <v/>
      </c>
      <c r="T164" s="16" t="str">
        <f t="shared" si="9"/>
        <v/>
      </c>
      <c r="V164" s="16" t="str">
        <f t="shared" si="8"/>
        <v/>
      </c>
    </row>
    <row r="165" spans="17:22" x14ac:dyDescent="0.15">
      <c r="Q165" s="76" t="str">
        <f t="shared" si="7"/>
        <v/>
      </c>
      <c r="T165" s="16" t="str">
        <f t="shared" si="9"/>
        <v/>
      </c>
      <c r="V165" s="16" t="str">
        <f t="shared" si="8"/>
        <v/>
      </c>
    </row>
    <row r="166" spans="17:22" x14ac:dyDescent="0.15">
      <c r="Q166" s="76" t="str">
        <f t="shared" si="7"/>
        <v/>
      </c>
      <c r="T166" s="16" t="str">
        <f t="shared" si="9"/>
        <v/>
      </c>
      <c r="V166" s="16" t="str">
        <f t="shared" si="8"/>
        <v/>
      </c>
    </row>
    <row r="167" spans="17:22" x14ac:dyDescent="0.15">
      <c r="Q167" s="76" t="str">
        <f t="shared" si="7"/>
        <v/>
      </c>
      <c r="T167" s="16" t="str">
        <f t="shared" si="9"/>
        <v/>
      </c>
      <c r="V167" s="16" t="str">
        <f t="shared" si="8"/>
        <v/>
      </c>
    </row>
    <row r="168" spans="17:22" x14ac:dyDescent="0.15">
      <c r="Q168" s="76" t="str">
        <f t="shared" si="7"/>
        <v/>
      </c>
      <c r="T168" s="16" t="str">
        <f t="shared" si="9"/>
        <v/>
      </c>
      <c r="V168" s="16" t="str">
        <f t="shared" si="8"/>
        <v/>
      </c>
    </row>
    <row r="169" spans="17:22" x14ac:dyDescent="0.15">
      <c r="Q169" s="76" t="str">
        <f t="shared" si="7"/>
        <v/>
      </c>
      <c r="T169" s="16" t="str">
        <f t="shared" si="9"/>
        <v/>
      </c>
      <c r="V169" s="16" t="str">
        <f t="shared" si="8"/>
        <v/>
      </c>
    </row>
    <row r="170" spans="17:22" x14ac:dyDescent="0.15">
      <c r="Q170" s="76" t="str">
        <f t="shared" si="7"/>
        <v/>
      </c>
      <c r="T170" s="16" t="str">
        <f t="shared" si="9"/>
        <v/>
      </c>
      <c r="V170" s="16" t="str">
        <f t="shared" si="8"/>
        <v/>
      </c>
    </row>
    <row r="171" spans="17:22" x14ac:dyDescent="0.15">
      <c r="Q171" s="76" t="str">
        <f t="shared" si="7"/>
        <v/>
      </c>
      <c r="T171" s="16" t="str">
        <f t="shared" si="9"/>
        <v/>
      </c>
      <c r="V171" s="16" t="str">
        <f t="shared" si="8"/>
        <v/>
      </c>
    </row>
    <row r="172" spans="17:22" x14ac:dyDescent="0.15">
      <c r="Q172" s="76" t="str">
        <f t="shared" si="7"/>
        <v/>
      </c>
      <c r="T172" s="16" t="str">
        <f t="shared" si="9"/>
        <v/>
      </c>
      <c r="V172" s="16" t="str">
        <f t="shared" si="8"/>
        <v/>
      </c>
    </row>
    <row r="173" spans="17:22" x14ac:dyDescent="0.15">
      <c r="Q173" s="76" t="str">
        <f t="shared" si="7"/>
        <v/>
      </c>
      <c r="T173" s="16" t="str">
        <f t="shared" si="9"/>
        <v/>
      </c>
      <c r="V173" s="16" t="str">
        <f t="shared" si="8"/>
        <v/>
      </c>
    </row>
    <row r="174" spans="17:22" x14ac:dyDescent="0.15">
      <c r="Q174" s="76" t="str">
        <f t="shared" si="7"/>
        <v/>
      </c>
      <c r="T174" s="16" t="str">
        <f t="shared" si="9"/>
        <v/>
      </c>
      <c r="V174" s="16" t="str">
        <f t="shared" si="8"/>
        <v/>
      </c>
    </row>
    <row r="175" spans="17:22" x14ac:dyDescent="0.15">
      <c r="Q175" s="76" t="str">
        <f t="shared" ref="Q175:Q238" si="10">IF(OR(O175="",P175=""),"",AVERAGE(O175,P175))</f>
        <v/>
      </c>
      <c r="T175" s="16" t="str">
        <f t="shared" si="9"/>
        <v/>
      </c>
      <c r="V175" s="16" t="str">
        <f t="shared" si="8"/>
        <v/>
      </c>
    </row>
    <row r="176" spans="17:22" x14ac:dyDescent="0.15">
      <c r="Q176" s="76" t="str">
        <f t="shared" si="10"/>
        <v/>
      </c>
      <c r="T176" s="16" t="str">
        <f t="shared" si="9"/>
        <v/>
      </c>
      <c r="V176" s="16" t="str">
        <f t="shared" si="8"/>
        <v/>
      </c>
    </row>
    <row r="177" spans="17:22" x14ac:dyDescent="0.15">
      <c r="Q177" s="76" t="str">
        <f t="shared" si="10"/>
        <v/>
      </c>
      <c r="T177" s="16" t="str">
        <f t="shared" si="9"/>
        <v/>
      </c>
      <c r="V177" s="16" t="str">
        <f t="shared" si="8"/>
        <v/>
      </c>
    </row>
    <row r="178" spans="17:22" x14ac:dyDescent="0.15">
      <c r="Q178" s="76" t="str">
        <f t="shared" si="10"/>
        <v/>
      </c>
      <c r="T178" s="16" t="str">
        <f t="shared" si="9"/>
        <v/>
      </c>
      <c r="V178" s="16" t="str">
        <f t="shared" si="8"/>
        <v/>
      </c>
    </row>
    <row r="179" spans="17:22" x14ac:dyDescent="0.15">
      <c r="Q179" s="76" t="str">
        <f t="shared" si="10"/>
        <v/>
      </c>
      <c r="T179" s="16" t="str">
        <f t="shared" si="9"/>
        <v/>
      </c>
      <c r="V179" s="16" t="str">
        <f t="shared" si="8"/>
        <v/>
      </c>
    </row>
    <row r="180" spans="17:22" x14ac:dyDescent="0.15">
      <c r="Q180" s="76" t="str">
        <f t="shared" si="10"/>
        <v/>
      </c>
      <c r="T180" s="16" t="str">
        <f t="shared" si="9"/>
        <v/>
      </c>
      <c r="V180" s="16" t="str">
        <f t="shared" si="8"/>
        <v/>
      </c>
    </row>
    <row r="181" spans="17:22" x14ac:dyDescent="0.15">
      <c r="Q181" s="76" t="str">
        <f t="shared" si="10"/>
        <v/>
      </c>
      <c r="T181" s="16" t="str">
        <f t="shared" si="9"/>
        <v/>
      </c>
      <c r="V181" s="16" t="str">
        <f t="shared" ref="V181:V244" si="11">IF(OR(N181="",U181="",T181=""),"",U181/N181*T181)</f>
        <v/>
      </c>
    </row>
    <row r="182" spans="17:22" x14ac:dyDescent="0.15">
      <c r="Q182" s="76" t="str">
        <f t="shared" si="10"/>
        <v/>
      </c>
      <c r="T182" s="16" t="str">
        <f t="shared" si="9"/>
        <v/>
      </c>
      <c r="V182" s="16" t="str">
        <f t="shared" si="11"/>
        <v/>
      </c>
    </row>
    <row r="183" spans="17:22" x14ac:dyDescent="0.15">
      <c r="Q183" s="76" t="str">
        <f t="shared" si="10"/>
        <v/>
      </c>
      <c r="T183" s="16" t="str">
        <f t="shared" si="9"/>
        <v/>
      </c>
      <c r="V183" s="16" t="str">
        <f t="shared" si="11"/>
        <v/>
      </c>
    </row>
    <row r="184" spans="17:22" x14ac:dyDescent="0.15">
      <c r="Q184" s="76" t="str">
        <f t="shared" si="10"/>
        <v/>
      </c>
      <c r="T184" s="16" t="str">
        <f t="shared" si="9"/>
        <v/>
      </c>
      <c r="V184" s="16" t="str">
        <f t="shared" si="11"/>
        <v/>
      </c>
    </row>
    <row r="185" spans="17:22" x14ac:dyDescent="0.15">
      <c r="Q185" s="76" t="str">
        <f t="shared" si="10"/>
        <v/>
      </c>
      <c r="T185" s="16" t="str">
        <f t="shared" si="9"/>
        <v/>
      </c>
      <c r="V185" s="16" t="str">
        <f t="shared" si="11"/>
        <v/>
      </c>
    </row>
    <row r="186" spans="17:22" x14ac:dyDescent="0.15">
      <c r="Q186" s="76" t="str">
        <f t="shared" si="10"/>
        <v/>
      </c>
      <c r="T186" s="16" t="str">
        <f t="shared" si="9"/>
        <v/>
      </c>
      <c r="V186" s="16" t="str">
        <f t="shared" si="11"/>
        <v/>
      </c>
    </row>
    <row r="187" spans="17:22" x14ac:dyDescent="0.15">
      <c r="Q187" s="76" t="str">
        <f t="shared" si="10"/>
        <v/>
      </c>
      <c r="T187" s="16" t="str">
        <f t="shared" si="9"/>
        <v/>
      </c>
      <c r="V187" s="16" t="str">
        <f t="shared" si="11"/>
        <v/>
      </c>
    </row>
    <row r="188" spans="17:22" x14ac:dyDescent="0.15">
      <c r="Q188" s="76" t="str">
        <f t="shared" si="10"/>
        <v/>
      </c>
      <c r="T188" s="16" t="str">
        <f t="shared" si="9"/>
        <v/>
      </c>
      <c r="V188" s="16" t="str">
        <f t="shared" si="11"/>
        <v/>
      </c>
    </row>
    <row r="189" spans="17:22" x14ac:dyDescent="0.15">
      <c r="Q189" s="76" t="str">
        <f t="shared" si="10"/>
        <v/>
      </c>
      <c r="T189" s="16" t="str">
        <f t="shared" si="9"/>
        <v/>
      </c>
      <c r="V189" s="16" t="str">
        <f t="shared" si="11"/>
        <v/>
      </c>
    </row>
    <row r="190" spans="17:22" x14ac:dyDescent="0.15">
      <c r="Q190" s="76" t="str">
        <f t="shared" si="10"/>
        <v/>
      </c>
      <c r="T190" s="16" t="str">
        <f t="shared" si="9"/>
        <v/>
      </c>
      <c r="V190" s="16" t="str">
        <f t="shared" si="11"/>
        <v/>
      </c>
    </row>
    <row r="191" spans="17:22" x14ac:dyDescent="0.15">
      <c r="Q191" s="76" t="str">
        <f t="shared" si="10"/>
        <v/>
      </c>
      <c r="T191" s="16" t="str">
        <f t="shared" si="9"/>
        <v/>
      </c>
      <c r="V191" s="16" t="str">
        <f t="shared" si="11"/>
        <v/>
      </c>
    </row>
    <row r="192" spans="17:22" x14ac:dyDescent="0.15">
      <c r="Q192" s="76" t="str">
        <f t="shared" si="10"/>
        <v/>
      </c>
      <c r="T192" s="16" t="str">
        <f t="shared" si="9"/>
        <v/>
      </c>
      <c r="V192" s="16" t="str">
        <f t="shared" si="11"/>
        <v/>
      </c>
    </row>
    <row r="193" spans="17:22" x14ac:dyDescent="0.15">
      <c r="Q193" s="76" t="str">
        <f t="shared" si="10"/>
        <v/>
      </c>
      <c r="T193" s="16" t="str">
        <f t="shared" si="9"/>
        <v/>
      </c>
      <c r="V193" s="16" t="str">
        <f t="shared" si="11"/>
        <v/>
      </c>
    </row>
    <row r="194" spans="17:22" x14ac:dyDescent="0.15">
      <c r="Q194" s="76" t="str">
        <f t="shared" si="10"/>
        <v/>
      </c>
      <c r="T194" s="16" t="str">
        <f t="shared" ref="T194:T257" si="12">IF(H194="","",IF(OR(H194="GREEN",H194="GK"),IF(S194&gt;=$AX$2,VLOOKUP(S194,$AX$2:$AY$10,2,1),""),IF(S194&gt;=$AZ$2,VLOOKUP(S194,$AZ$2:$BA$10,2,1),"")))</f>
        <v/>
      </c>
      <c r="V194" s="16" t="str">
        <f t="shared" si="11"/>
        <v/>
      </c>
    </row>
    <row r="195" spans="17:22" x14ac:dyDescent="0.15">
      <c r="Q195" s="76" t="str">
        <f t="shared" si="10"/>
        <v/>
      </c>
      <c r="T195" s="16" t="str">
        <f t="shared" si="12"/>
        <v/>
      </c>
      <c r="V195" s="16" t="str">
        <f t="shared" si="11"/>
        <v/>
      </c>
    </row>
    <row r="196" spans="17:22" x14ac:dyDescent="0.15">
      <c r="Q196" s="76" t="str">
        <f t="shared" si="10"/>
        <v/>
      </c>
      <c r="T196" s="16" t="str">
        <f t="shared" si="12"/>
        <v/>
      </c>
      <c r="V196" s="16" t="str">
        <f t="shared" si="11"/>
        <v/>
      </c>
    </row>
    <row r="197" spans="17:22" x14ac:dyDescent="0.15">
      <c r="Q197" s="76" t="str">
        <f t="shared" si="10"/>
        <v/>
      </c>
      <c r="T197" s="16" t="str">
        <f t="shared" si="12"/>
        <v/>
      </c>
      <c r="V197" s="16" t="str">
        <f t="shared" si="11"/>
        <v/>
      </c>
    </row>
    <row r="198" spans="17:22" x14ac:dyDescent="0.15">
      <c r="Q198" s="76" t="str">
        <f t="shared" si="10"/>
        <v/>
      </c>
      <c r="T198" s="16" t="str">
        <f t="shared" si="12"/>
        <v/>
      </c>
      <c r="V198" s="16" t="str">
        <f t="shared" si="11"/>
        <v/>
      </c>
    </row>
    <row r="199" spans="17:22" x14ac:dyDescent="0.15">
      <c r="Q199" s="76" t="str">
        <f t="shared" si="10"/>
        <v/>
      </c>
      <c r="T199" s="16" t="str">
        <f t="shared" si="12"/>
        <v/>
      </c>
      <c r="V199" s="16" t="str">
        <f t="shared" si="11"/>
        <v/>
      </c>
    </row>
    <row r="200" spans="17:22" x14ac:dyDescent="0.15">
      <c r="Q200" s="76" t="str">
        <f t="shared" si="10"/>
        <v/>
      </c>
      <c r="T200" s="16" t="str">
        <f t="shared" si="12"/>
        <v/>
      </c>
      <c r="V200" s="16" t="str">
        <f t="shared" si="11"/>
        <v/>
      </c>
    </row>
    <row r="201" spans="17:22" x14ac:dyDescent="0.15">
      <c r="Q201" s="76" t="str">
        <f t="shared" si="10"/>
        <v/>
      </c>
      <c r="T201" s="16" t="str">
        <f t="shared" si="12"/>
        <v/>
      </c>
      <c r="V201" s="16" t="str">
        <f t="shared" si="11"/>
        <v/>
      </c>
    </row>
    <row r="202" spans="17:22" x14ac:dyDescent="0.15">
      <c r="Q202" s="76" t="str">
        <f t="shared" si="10"/>
        <v/>
      </c>
      <c r="T202" s="16" t="str">
        <f t="shared" si="12"/>
        <v/>
      </c>
      <c r="V202" s="16" t="str">
        <f t="shared" si="11"/>
        <v/>
      </c>
    </row>
    <row r="203" spans="17:22" x14ac:dyDescent="0.15">
      <c r="Q203" s="76" t="str">
        <f t="shared" si="10"/>
        <v/>
      </c>
      <c r="T203" s="16" t="str">
        <f t="shared" si="12"/>
        <v/>
      </c>
      <c r="V203" s="16" t="str">
        <f t="shared" si="11"/>
        <v/>
      </c>
    </row>
    <row r="204" spans="17:22" x14ac:dyDescent="0.15">
      <c r="Q204" s="76" t="str">
        <f t="shared" si="10"/>
        <v/>
      </c>
      <c r="T204" s="16" t="str">
        <f t="shared" si="12"/>
        <v/>
      </c>
      <c r="V204" s="16" t="str">
        <f t="shared" si="11"/>
        <v/>
      </c>
    </row>
    <row r="205" spans="17:22" x14ac:dyDescent="0.15">
      <c r="Q205" s="76" t="str">
        <f t="shared" si="10"/>
        <v/>
      </c>
      <c r="T205" s="16" t="str">
        <f t="shared" si="12"/>
        <v/>
      </c>
      <c r="V205" s="16" t="str">
        <f t="shared" si="11"/>
        <v/>
      </c>
    </row>
    <row r="206" spans="17:22" x14ac:dyDescent="0.15">
      <c r="Q206" s="76" t="str">
        <f t="shared" si="10"/>
        <v/>
      </c>
      <c r="T206" s="16" t="str">
        <f t="shared" si="12"/>
        <v/>
      </c>
      <c r="V206" s="16" t="str">
        <f t="shared" si="11"/>
        <v/>
      </c>
    </row>
    <row r="207" spans="17:22" x14ac:dyDescent="0.15">
      <c r="Q207" s="76" t="str">
        <f t="shared" si="10"/>
        <v/>
      </c>
      <c r="T207" s="16" t="str">
        <f t="shared" si="12"/>
        <v/>
      </c>
      <c r="V207" s="16" t="str">
        <f t="shared" si="11"/>
        <v/>
      </c>
    </row>
    <row r="208" spans="17:22" x14ac:dyDescent="0.15">
      <c r="Q208" s="76" t="str">
        <f t="shared" si="10"/>
        <v/>
      </c>
      <c r="T208" s="16" t="str">
        <f t="shared" si="12"/>
        <v/>
      </c>
      <c r="V208" s="16" t="str">
        <f t="shared" si="11"/>
        <v/>
      </c>
    </row>
    <row r="209" spans="17:22" x14ac:dyDescent="0.15">
      <c r="Q209" s="76" t="str">
        <f t="shared" si="10"/>
        <v/>
      </c>
      <c r="T209" s="16" t="str">
        <f t="shared" si="12"/>
        <v/>
      </c>
      <c r="V209" s="16" t="str">
        <f t="shared" si="11"/>
        <v/>
      </c>
    </row>
    <row r="210" spans="17:22" x14ac:dyDescent="0.15">
      <c r="Q210" s="76" t="str">
        <f t="shared" si="10"/>
        <v/>
      </c>
      <c r="T210" s="16" t="str">
        <f t="shared" si="12"/>
        <v/>
      </c>
      <c r="V210" s="16" t="str">
        <f t="shared" si="11"/>
        <v/>
      </c>
    </row>
    <row r="211" spans="17:22" x14ac:dyDescent="0.15">
      <c r="Q211" s="76" t="str">
        <f t="shared" si="10"/>
        <v/>
      </c>
      <c r="T211" s="16" t="str">
        <f t="shared" si="12"/>
        <v/>
      </c>
      <c r="V211" s="16" t="str">
        <f t="shared" si="11"/>
        <v/>
      </c>
    </row>
    <row r="212" spans="17:22" x14ac:dyDescent="0.15">
      <c r="Q212" s="76" t="str">
        <f t="shared" si="10"/>
        <v/>
      </c>
      <c r="T212" s="16" t="str">
        <f t="shared" si="12"/>
        <v/>
      </c>
      <c r="V212" s="16" t="str">
        <f t="shared" si="11"/>
        <v/>
      </c>
    </row>
    <row r="213" spans="17:22" x14ac:dyDescent="0.15">
      <c r="Q213" s="76" t="str">
        <f t="shared" si="10"/>
        <v/>
      </c>
      <c r="T213" s="16" t="str">
        <f t="shared" si="12"/>
        <v/>
      </c>
      <c r="V213" s="16" t="str">
        <f t="shared" si="11"/>
        <v/>
      </c>
    </row>
    <row r="214" spans="17:22" x14ac:dyDescent="0.15">
      <c r="Q214" s="76" t="str">
        <f t="shared" si="10"/>
        <v/>
      </c>
      <c r="T214" s="16" t="str">
        <f t="shared" si="12"/>
        <v/>
      </c>
      <c r="V214" s="16" t="str">
        <f t="shared" si="11"/>
        <v/>
      </c>
    </row>
    <row r="215" spans="17:22" x14ac:dyDescent="0.15">
      <c r="Q215" s="76" t="str">
        <f t="shared" si="10"/>
        <v/>
      </c>
      <c r="T215" s="16" t="str">
        <f t="shared" si="12"/>
        <v/>
      </c>
      <c r="V215" s="16" t="str">
        <f t="shared" si="11"/>
        <v/>
      </c>
    </row>
    <row r="216" spans="17:22" x14ac:dyDescent="0.15">
      <c r="Q216" s="76" t="str">
        <f t="shared" si="10"/>
        <v/>
      </c>
      <c r="T216" s="16" t="str">
        <f t="shared" si="12"/>
        <v/>
      </c>
      <c r="V216" s="16" t="str">
        <f t="shared" si="11"/>
        <v/>
      </c>
    </row>
    <row r="217" spans="17:22" x14ac:dyDescent="0.15">
      <c r="Q217" s="76" t="str">
        <f t="shared" si="10"/>
        <v/>
      </c>
      <c r="T217" s="16" t="str">
        <f t="shared" si="12"/>
        <v/>
      </c>
      <c r="V217" s="16" t="str">
        <f t="shared" si="11"/>
        <v/>
      </c>
    </row>
    <row r="218" spans="17:22" x14ac:dyDescent="0.15">
      <c r="Q218" s="76" t="str">
        <f t="shared" si="10"/>
        <v/>
      </c>
      <c r="T218" s="16" t="str">
        <f t="shared" si="12"/>
        <v/>
      </c>
      <c r="V218" s="16" t="str">
        <f t="shared" si="11"/>
        <v/>
      </c>
    </row>
    <row r="219" spans="17:22" x14ac:dyDescent="0.15">
      <c r="Q219" s="76" t="str">
        <f t="shared" si="10"/>
        <v/>
      </c>
      <c r="T219" s="16" t="str">
        <f t="shared" si="12"/>
        <v/>
      </c>
      <c r="V219" s="16" t="str">
        <f t="shared" si="11"/>
        <v/>
      </c>
    </row>
    <row r="220" spans="17:22" x14ac:dyDescent="0.15">
      <c r="Q220" s="76" t="str">
        <f t="shared" si="10"/>
        <v/>
      </c>
      <c r="T220" s="16" t="str">
        <f t="shared" si="12"/>
        <v/>
      </c>
      <c r="V220" s="16" t="str">
        <f t="shared" si="11"/>
        <v/>
      </c>
    </row>
    <row r="221" spans="17:22" x14ac:dyDescent="0.15">
      <c r="Q221" s="76" t="str">
        <f t="shared" si="10"/>
        <v/>
      </c>
      <c r="T221" s="16" t="str">
        <f t="shared" si="12"/>
        <v/>
      </c>
      <c r="V221" s="16" t="str">
        <f t="shared" si="11"/>
        <v/>
      </c>
    </row>
    <row r="222" spans="17:22" x14ac:dyDescent="0.15">
      <c r="Q222" s="76" t="str">
        <f t="shared" si="10"/>
        <v/>
      </c>
      <c r="T222" s="16" t="str">
        <f t="shared" si="12"/>
        <v/>
      </c>
      <c r="V222" s="16" t="str">
        <f t="shared" si="11"/>
        <v/>
      </c>
    </row>
    <row r="223" spans="17:22" x14ac:dyDescent="0.15">
      <c r="Q223" s="76" t="str">
        <f t="shared" si="10"/>
        <v/>
      </c>
      <c r="T223" s="16" t="str">
        <f t="shared" si="12"/>
        <v/>
      </c>
      <c r="V223" s="16" t="str">
        <f t="shared" si="11"/>
        <v/>
      </c>
    </row>
    <row r="224" spans="17:22" x14ac:dyDescent="0.15">
      <c r="Q224" s="76" t="str">
        <f t="shared" si="10"/>
        <v/>
      </c>
      <c r="T224" s="16" t="str">
        <f t="shared" si="12"/>
        <v/>
      </c>
      <c r="V224" s="16" t="str">
        <f t="shared" si="11"/>
        <v/>
      </c>
    </row>
    <row r="225" spans="17:22" x14ac:dyDescent="0.15">
      <c r="Q225" s="76" t="str">
        <f t="shared" si="10"/>
        <v/>
      </c>
      <c r="T225" s="16" t="str">
        <f t="shared" si="12"/>
        <v/>
      </c>
      <c r="V225" s="16" t="str">
        <f t="shared" si="11"/>
        <v/>
      </c>
    </row>
    <row r="226" spans="17:22" x14ac:dyDescent="0.15">
      <c r="Q226" s="76" t="str">
        <f t="shared" si="10"/>
        <v/>
      </c>
      <c r="T226" s="16" t="str">
        <f t="shared" si="12"/>
        <v/>
      </c>
      <c r="V226" s="16" t="str">
        <f t="shared" si="11"/>
        <v/>
      </c>
    </row>
    <row r="227" spans="17:22" x14ac:dyDescent="0.15">
      <c r="Q227" s="76" t="str">
        <f t="shared" si="10"/>
        <v/>
      </c>
      <c r="T227" s="16" t="str">
        <f t="shared" si="12"/>
        <v/>
      </c>
      <c r="V227" s="16" t="str">
        <f t="shared" si="11"/>
        <v/>
      </c>
    </row>
    <row r="228" spans="17:22" x14ac:dyDescent="0.15">
      <c r="Q228" s="76" t="str">
        <f t="shared" si="10"/>
        <v/>
      </c>
      <c r="T228" s="16" t="str">
        <f t="shared" si="12"/>
        <v/>
      </c>
      <c r="V228" s="16" t="str">
        <f t="shared" si="11"/>
        <v/>
      </c>
    </row>
    <row r="229" spans="17:22" x14ac:dyDescent="0.15">
      <c r="Q229" s="76" t="str">
        <f t="shared" si="10"/>
        <v/>
      </c>
      <c r="T229" s="16" t="str">
        <f t="shared" si="12"/>
        <v/>
      </c>
      <c r="V229" s="16" t="str">
        <f t="shared" si="11"/>
        <v/>
      </c>
    </row>
    <row r="230" spans="17:22" x14ac:dyDescent="0.15">
      <c r="Q230" s="76" t="str">
        <f t="shared" si="10"/>
        <v/>
      </c>
      <c r="T230" s="16" t="str">
        <f t="shared" si="12"/>
        <v/>
      </c>
      <c r="V230" s="16" t="str">
        <f t="shared" si="11"/>
        <v/>
      </c>
    </row>
    <row r="231" spans="17:22" x14ac:dyDescent="0.15">
      <c r="Q231" s="76" t="str">
        <f t="shared" si="10"/>
        <v/>
      </c>
      <c r="T231" s="16" t="str">
        <f t="shared" si="12"/>
        <v/>
      </c>
      <c r="V231" s="16" t="str">
        <f t="shared" si="11"/>
        <v/>
      </c>
    </row>
    <row r="232" spans="17:22" x14ac:dyDescent="0.15">
      <c r="Q232" s="76" t="str">
        <f t="shared" si="10"/>
        <v/>
      </c>
      <c r="T232" s="16" t="str">
        <f t="shared" si="12"/>
        <v/>
      </c>
      <c r="V232" s="16" t="str">
        <f t="shared" si="11"/>
        <v/>
      </c>
    </row>
    <row r="233" spans="17:22" x14ac:dyDescent="0.15">
      <c r="Q233" s="76" t="str">
        <f t="shared" si="10"/>
        <v/>
      </c>
      <c r="T233" s="16" t="str">
        <f t="shared" si="12"/>
        <v/>
      </c>
      <c r="V233" s="16" t="str">
        <f t="shared" si="11"/>
        <v/>
      </c>
    </row>
    <row r="234" spans="17:22" x14ac:dyDescent="0.15">
      <c r="Q234" s="76" t="str">
        <f t="shared" si="10"/>
        <v/>
      </c>
      <c r="T234" s="16" t="str">
        <f t="shared" si="12"/>
        <v/>
      </c>
      <c r="V234" s="16" t="str">
        <f t="shared" si="11"/>
        <v/>
      </c>
    </row>
    <row r="235" spans="17:22" x14ac:dyDescent="0.15">
      <c r="Q235" s="76" t="str">
        <f t="shared" si="10"/>
        <v/>
      </c>
      <c r="T235" s="16" t="str">
        <f t="shared" si="12"/>
        <v/>
      </c>
      <c r="V235" s="16" t="str">
        <f t="shared" si="11"/>
        <v/>
      </c>
    </row>
    <row r="236" spans="17:22" x14ac:dyDescent="0.15">
      <c r="Q236" s="76" t="str">
        <f t="shared" si="10"/>
        <v/>
      </c>
      <c r="T236" s="16" t="str">
        <f t="shared" si="12"/>
        <v/>
      </c>
      <c r="V236" s="16" t="str">
        <f t="shared" si="11"/>
        <v/>
      </c>
    </row>
    <row r="237" spans="17:22" x14ac:dyDescent="0.15">
      <c r="Q237" s="76" t="str">
        <f t="shared" si="10"/>
        <v/>
      </c>
      <c r="T237" s="16" t="str">
        <f t="shared" si="12"/>
        <v/>
      </c>
      <c r="V237" s="16" t="str">
        <f t="shared" si="11"/>
        <v/>
      </c>
    </row>
    <row r="238" spans="17:22" x14ac:dyDescent="0.15">
      <c r="Q238" s="76" t="str">
        <f t="shared" si="10"/>
        <v/>
      </c>
      <c r="T238" s="16" t="str">
        <f t="shared" si="12"/>
        <v/>
      </c>
      <c r="V238" s="16" t="str">
        <f t="shared" si="11"/>
        <v/>
      </c>
    </row>
    <row r="239" spans="17:22" x14ac:dyDescent="0.15">
      <c r="Q239" s="76" t="str">
        <f t="shared" ref="Q239:Q297" si="13">IF(OR(O239="",P239=""),"",AVERAGE(O239,P239))</f>
        <v/>
      </c>
      <c r="T239" s="16" t="str">
        <f t="shared" si="12"/>
        <v/>
      </c>
      <c r="V239" s="16" t="str">
        <f t="shared" si="11"/>
        <v/>
      </c>
    </row>
    <row r="240" spans="17:22" x14ac:dyDescent="0.15">
      <c r="Q240" s="76" t="str">
        <f t="shared" si="13"/>
        <v/>
      </c>
      <c r="T240" s="16" t="str">
        <f t="shared" si="12"/>
        <v/>
      </c>
      <c r="V240" s="16" t="str">
        <f t="shared" si="11"/>
        <v/>
      </c>
    </row>
    <row r="241" spans="17:22" x14ac:dyDescent="0.15">
      <c r="Q241" s="76" t="str">
        <f t="shared" si="13"/>
        <v/>
      </c>
      <c r="T241" s="16" t="str">
        <f t="shared" si="12"/>
        <v/>
      </c>
      <c r="V241" s="16" t="str">
        <f t="shared" si="11"/>
        <v/>
      </c>
    </row>
    <row r="242" spans="17:22" x14ac:dyDescent="0.15">
      <c r="Q242" s="76" t="str">
        <f t="shared" si="13"/>
        <v/>
      </c>
      <c r="T242" s="16" t="str">
        <f t="shared" si="12"/>
        <v/>
      </c>
      <c r="V242" s="16" t="str">
        <f t="shared" si="11"/>
        <v/>
      </c>
    </row>
    <row r="243" spans="17:22" x14ac:dyDescent="0.15">
      <c r="Q243" s="76" t="str">
        <f t="shared" si="13"/>
        <v/>
      </c>
      <c r="T243" s="16" t="str">
        <f t="shared" si="12"/>
        <v/>
      </c>
      <c r="V243" s="16" t="str">
        <f t="shared" si="11"/>
        <v/>
      </c>
    </row>
    <row r="244" spans="17:22" x14ac:dyDescent="0.15">
      <c r="Q244" s="76" t="str">
        <f t="shared" si="13"/>
        <v/>
      </c>
      <c r="T244" s="16" t="str">
        <f t="shared" si="12"/>
        <v/>
      </c>
      <c r="V244" s="16" t="str">
        <f t="shared" si="11"/>
        <v/>
      </c>
    </row>
    <row r="245" spans="17:22" x14ac:dyDescent="0.15">
      <c r="Q245" s="76" t="str">
        <f t="shared" si="13"/>
        <v/>
      </c>
      <c r="T245" s="16" t="str">
        <f t="shared" si="12"/>
        <v/>
      </c>
      <c r="V245" s="16" t="str">
        <f t="shared" ref="V245:V308" si="14">IF(OR(N245="",U245="",T245=""),"",U245/N245*T245)</f>
        <v/>
      </c>
    </row>
    <row r="246" spans="17:22" x14ac:dyDescent="0.15">
      <c r="Q246" s="76" t="str">
        <f t="shared" si="13"/>
        <v/>
      </c>
      <c r="T246" s="16" t="str">
        <f t="shared" si="12"/>
        <v/>
      </c>
      <c r="V246" s="16" t="str">
        <f t="shared" si="14"/>
        <v/>
      </c>
    </row>
    <row r="247" spans="17:22" x14ac:dyDescent="0.15">
      <c r="Q247" s="76" t="str">
        <f t="shared" si="13"/>
        <v/>
      </c>
      <c r="T247" s="16" t="str">
        <f t="shared" si="12"/>
        <v/>
      </c>
      <c r="V247" s="16" t="str">
        <f t="shared" si="14"/>
        <v/>
      </c>
    </row>
    <row r="248" spans="17:22" x14ac:dyDescent="0.15">
      <c r="Q248" s="76" t="str">
        <f t="shared" si="13"/>
        <v/>
      </c>
      <c r="T248" s="16" t="str">
        <f t="shared" si="12"/>
        <v/>
      </c>
      <c r="V248" s="16" t="str">
        <f t="shared" si="14"/>
        <v/>
      </c>
    </row>
    <row r="249" spans="17:22" x14ac:dyDescent="0.15">
      <c r="Q249" s="76" t="str">
        <f t="shared" si="13"/>
        <v/>
      </c>
      <c r="T249" s="16" t="str">
        <f t="shared" si="12"/>
        <v/>
      </c>
      <c r="V249" s="16" t="str">
        <f t="shared" si="14"/>
        <v/>
      </c>
    </row>
    <row r="250" spans="17:22" x14ac:dyDescent="0.15">
      <c r="Q250" s="76" t="str">
        <f t="shared" si="13"/>
        <v/>
      </c>
      <c r="T250" s="16" t="str">
        <f t="shared" si="12"/>
        <v/>
      </c>
      <c r="V250" s="16" t="str">
        <f t="shared" si="14"/>
        <v/>
      </c>
    </row>
    <row r="251" spans="17:22" x14ac:dyDescent="0.15">
      <c r="Q251" s="76" t="str">
        <f t="shared" si="13"/>
        <v/>
      </c>
      <c r="T251" s="16" t="str">
        <f t="shared" si="12"/>
        <v/>
      </c>
      <c r="V251" s="16" t="str">
        <f t="shared" si="14"/>
        <v/>
      </c>
    </row>
    <row r="252" spans="17:22" x14ac:dyDescent="0.15">
      <c r="Q252" s="76" t="str">
        <f t="shared" si="13"/>
        <v/>
      </c>
      <c r="T252" s="16" t="str">
        <f t="shared" si="12"/>
        <v/>
      </c>
      <c r="V252" s="16" t="str">
        <f t="shared" si="14"/>
        <v/>
      </c>
    </row>
    <row r="253" spans="17:22" x14ac:dyDescent="0.15">
      <c r="T253" s="16" t="str">
        <f t="shared" si="12"/>
        <v/>
      </c>
      <c r="V253" s="16" t="str">
        <f t="shared" si="14"/>
        <v/>
      </c>
    </row>
    <row r="254" spans="17:22" x14ac:dyDescent="0.15">
      <c r="T254" s="16" t="str">
        <f t="shared" si="12"/>
        <v/>
      </c>
      <c r="V254" s="16" t="str">
        <f t="shared" si="14"/>
        <v/>
      </c>
    </row>
    <row r="255" spans="17:22" x14ac:dyDescent="0.15">
      <c r="T255" s="16" t="str">
        <f t="shared" si="12"/>
        <v/>
      </c>
      <c r="V255" s="16" t="str">
        <f t="shared" si="14"/>
        <v/>
      </c>
    </row>
    <row r="256" spans="17:22" x14ac:dyDescent="0.15">
      <c r="T256" s="16" t="str">
        <f t="shared" si="12"/>
        <v/>
      </c>
      <c r="V256" s="16" t="str">
        <f t="shared" si="14"/>
        <v/>
      </c>
    </row>
    <row r="257" spans="20:22" x14ac:dyDescent="0.15">
      <c r="T257" s="16" t="str">
        <f t="shared" si="12"/>
        <v/>
      </c>
      <c r="V257" s="16" t="str">
        <f t="shared" si="14"/>
        <v/>
      </c>
    </row>
    <row r="258" spans="20:22" x14ac:dyDescent="0.15">
      <c r="T258" s="16" t="str">
        <f t="shared" ref="T258:T316" si="15">IF(H258="","",IF(OR(H258="GREEN",H258="GK"),IF(S258&gt;=$AX$2,VLOOKUP(S258,$AX$2:$AY$10,2,1),""),IF(S258&gt;=$AZ$2,VLOOKUP(S258,$AZ$2:$BA$10,2,1),"")))</f>
        <v/>
      </c>
      <c r="V258" s="16" t="str">
        <f t="shared" si="14"/>
        <v/>
      </c>
    </row>
    <row r="259" spans="20:22" x14ac:dyDescent="0.15">
      <c r="T259" s="16" t="str">
        <f t="shared" si="15"/>
        <v/>
      </c>
      <c r="V259" s="16" t="str">
        <f t="shared" si="14"/>
        <v/>
      </c>
    </row>
    <row r="260" spans="20:22" x14ac:dyDescent="0.15">
      <c r="T260" s="16" t="str">
        <f t="shared" si="15"/>
        <v/>
      </c>
      <c r="V260" s="16" t="str">
        <f t="shared" si="14"/>
        <v/>
      </c>
    </row>
    <row r="261" spans="20:22" x14ac:dyDescent="0.15">
      <c r="T261" s="16" t="str">
        <f t="shared" si="15"/>
        <v/>
      </c>
    </row>
    <row r="262" spans="20:22" x14ac:dyDescent="0.15">
      <c r="T262" s="16" t="str">
        <f t="shared" si="15"/>
        <v/>
      </c>
    </row>
    <row r="263" spans="20:22" x14ac:dyDescent="0.15">
      <c r="T263" s="16" t="str">
        <f t="shared" si="15"/>
        <v/>
      </c>
    </row>
    <row r="264" spans="20:22" x14ac:dyDescent="0.15">
      <c r="T264" s="16" t="str">
        <f t="shared" si="15"/>
        <v/>
      </c>
    </row>
    <row r="265" spans="20:22" x14ac:dyDescent="0.15">
      <c r="T265" s="16" t="str">
        <f t="shared" si="15"/>
        <v/>
      </c>
    </row>
    <row r="266" spans="20:22" x14ac:dyDescent="0.15">
      <c r="T266" s="16" t="str">
        <f t="shared" si="15"/>
        <v/>
      </c>
    </row>
    <row r="267" spans="20:22" x14ac:dyDescent="0.15">
      <c r="T267" s="16" t="str">
        <f t="shared" si="15"/>
        <v/>
      </c>
    </row>
    <row r="268" spans="20:22" x14ac:dyDescent="0.15">
      <c r="T268" s="16" t="str">
        <f t="shared" si="15"/>
        <v/>
      </c>
    </row>
    <row r="269" spans="20:22" x14ac:dyDescent="0.15">
      <c r="T269" s="16" t="str">
        <f t="shared" si="15"/>
        <v/>
      </c>
    </row>
    <row r="270" spans="20:22" x14ac:dyDescent="0.15">
      <c r="T270" s="16" t="str">
        <f t="shared" si="15"/>
        <v/>
      </c>
    </row>
    <row r="271" spans="20:22" x14ac:dyDescent="0.15">
      <c r="T271" s="16" t="str">
        <f t="shared" si="15"/>
        <v/>
      </c>
    </row>
    <row r="272" spans="20:22" x14ac:dyDescent="0.15">
      <c r="T272" s="16" t="str">
        <f t="shared" si="15"/>
        <v/>
      </c>
    </row>
    <row r="273" spans="20:20" x14ac:dyDescent="0.15">
      <c r="T273" s="16" t="str">
        <f t="shared" si="15"/>
        <v/>
      </c>
    </row>
    <row r="274" spans="20:20" x14ac:dyDescent="0.15">
      <c r="T274" s="16" t="str">
        <f t="shared" si="15"/>
        <v/>
      </c>
    </row>
    <row r="275" spans="20:20" x14ac:dyDescent="0.15">
      <c r="T275" s="16" t="str">
        <f t="shared" si="15"/>
        <v/>
      </c>
    </row>
    <row r="276" spans="20:20" x14ac:dyDescent="0.15">
      <c r="T276" s="16" t="str">
        <f t="shared" si="15"/>
        <v/>
      </c>
    </row>
    <row r="277" spans="20:20" x14ac:dyDescent="0.15">
      <c r="T277" s="16" t="str">
        <f t="shared" si="15"/>
        <v/>
      </c>
    </row>
    <row r="278" spans="20:20" x14ac:dyDescent="0.15">
      <c r="T278" s="16" t="str">
        <f t="shared" si="15"/>
        <v/>
      </c>
    </row>
    <row r="279" spans="20:20" x14ac:dyDescent="0.15">
      <c r="T279" s="16" t="str">
        <f t="shared" si="15"/>
        <v/>
      </c>
    </row>
    <row r="280" spans="20:20" x14ac:dyDescent="0.15">
      <c r="T280" s="16" t="str">
        <f t="shared" si="15"/>
        <v/>
      </c>
    </row>
  </sheetData>
  <autoFilter ref="A1:BA280" xr:uid="{00000000-0009-0000-0000-000001000000}"/>
  <phoneticPr fontId="3"/>
  <dataValidations count="14">
    <dataValidation type="list" allowBlank="1" showInputMessage="1" showErrorMessage="1" sqref="X2:X236" xr:uid="{559236D9-FAED-4974-9FD6-EB6BC5384405}">
      <formula1>$AT$2:$AT$3</formula1>
    </dataValidation>
    <dataValidation type="decimal" allowBlank="1" showInputMessage="1" showErrorMessage="1" error="硬度を正しく入力して下さい。" sqref="O2:P236" xr:uid="{3E55F016-ED62-4E42-8404-E89FCFD543F5}">
      <formula1>0</formula1>
      <formula2>7</formula2>
    </dataValidation>
    <dataValidation type="list" allowBlank="1" showInputMessage="1" showErrorMessage="1" sqref="I2:I236" xr:uid="{273EC9A6-2213-45B4-BC27-A826AE50FC77}">
      <formula1>$AN$5:$AN$6</formula1>
    </dataValidation>
    <dataValidation type="list" allowBlank="1" showInputMessage="1" showErrorMessage="1" sqref="G2:G236" xr:uid="{DD41760C-6830-4925-881C-DB638B7343C9}">
      <formula1>$AJ$2:$AJ$4</formula1>
    </dataValidation>
    <dataValidation type="list" allowBlank="1" showInputMessage="1" showErrorMessage="1" sqref="F1:F65390" xr:uid="{7AA13754-F21D-4231-9BEF-AFEBAD66973D}">
      <formula1>$AH$2:$AH$11</formula1>
    </dataValidation>
    <dataValidation type="list" allowBlank="1" showInputMessage="1" showErrorMessage="1" sqref="J2:J236" xr:uid="{B6EACA6E-0A76-4DB4-BCF4-DE374FEC3FDA}">
      <formula1>$AP$2:$AP$19</formula1>
    </dataValidation>
    <dataValidation allowBlank="1" showInputMessage="1" showErrorMessage="1" sqref="B2:B70" xr:uid="{FBB05160-A1A4-4071-BDD0-29129346E67E}"/>
    <dataValidation type="list" allowBlank="1" showInputMessage="1" showErrorMessage="1" sqref="E1:E65390" xr:uid="{478B31A8-30A7-4257-9102-F6959B3A4069}">
      <formula1>$AG$2:$AG$11</formula1>
    </dataValidation>
    <dataValidation type="list" allowBlank="1" showInputMessage="1" showErrorMessage="1" sqref="H2:H236" xr:uid="{9AB39D69-8921-4450-9703-493401FD3572}">
      <formula1>$AL$2:$AL$8</formula1>
    </dataValidation>
    <dataValidation type="list" allowBlank="1" showInputMessage="1" showErrorMessage="1" sqref="Y2:AA70" xr:uid="{FCD2F3C9-9C56-4674-B46B-836BB3A900EC}">
      <formula1>$AV$2:$AV$23</formula1>
    </dataValidation>
    <dataValidation type="list" allowBlank="1" showInputMessage="1" showErrorMessage="1" sqref="K2:K70" xr:uid="{0B047EE0-70B3-46FC-ADCD-46C073F7F825}">
      <formula1>$AR$2:$AR$23</formula1>
    </dataValidation>
    <dataValidation type="list" allowBlank="1" showInputMessage="1" showErrorMessage="1" sqref="A2:A236" xr:uid="{C797EB7A-793B-4C14-915E-DEBBE3B2DF67}">
      <formula1>$AE$2:$AE$16</formula1>
    </dataValidation>
    <dataValidation type="list" allowBlank="1" showInputMessage="1" showErrorMessage="1" sqref="Y71:AA236" xr:uid="{6AB9289A-ADA2-4D30-B27C-70EFD3F728CE}">
      <formula1>$AV$2:$AV$16</formula1>
    </dataValidation>
    <dataValidation type="list" allowBlank="1" showInputMessage="1" showErrorMessage="1" sqref="K71:K236" xr:uid="{6CF28015-730A-4A70-AE24-D1AE2D4D6F82}">
      <formula1>$AR$2:$AR$19</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B926-4BC5-49C0-8296-8B058C746D5E}">
  <dimension ref="A1:BA82"/>
  <sheetViews>
    <sheetView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235</v>
      </c>
      <c r="C2" s="53">
        <v>2019</v>
      </c>
      <c r="D2" s="81" t="s">
        <v>236</v>
      </c>
      <c r="E2" s="53" t="s">
        <v>237</v>
      </c>
      <c r="F2" s="53" t="s">
        <v>238</v>
      </c>
      <c r="G2" s="53" t="s">
        <v>42</v>
      </c>
      <c r="H2" s="53" t="s">
        <v>163</v>
      </c>
      <c r="I2" s="53" t="s">
        <v>199</v>
      </c>
      <c r="J2" s="53" t="s">
        <v>38</v>
      </c>
      <c r="K2" s="53" t="s">
        <v>160</v>
      </c>
      <c r="L2" s="53">
        <v>1</v>
      </c>
      <c r="N2" s="53">
        <v>4</v>
      </c>
      <c r="O2" s="53">
        <v>0.5</v>
      </c>
      <c r="P2" s="53">
        <v>0.55000000000000004</v>
      </c>
      <c r="Q2" s="76">
        <f t="shared" ref="Q2:Q55" si="0">IF(OR(O2="",P2=""),"",AVERAGE(O2,P2))</f>
        <v>0.52500000000000002</v>
      </c>
      <c r="R2" s="53">
        <v>16.100000000000001</v>
      </c>
      <c r="S2" s="53">
        <v>97</v>
      </c>
      <c r="T2" s="16">
        <f t="shared" ref="T2:T55" si="1">IF(H2="","",IF(OR(H2="GREEN",H2="GK"),IF(S2&gt;=$AX$2,VLOOKUP(S2,$AX$2:$AY$10,2,1),""),IF(S2&gt;=$AZ$2,VLOOKUP(S2,$AZ$2:$BA$10,2,1),"")))</f>
        <v>36</v>
      </c>
      <c r="U2" s="53">
        <v>539</v>
      </c>
      <c r="V2" s="16">
        <f t="shared" ref="V2:V55" si="2">IF(OR(N2="",U2="",T2=""),"",U2/N2*T2)</f>
        <v>4851</v>
      </c>
      <c r="W2" s="53">
        <v>2</v>
      </c>
      <c r="X2" s="53" t="s">
        <v>39</v>
      </c>
      <c r="Y2" s="53" t="s">
        <v>84</v>
      </c>
      <c r="Z2" s="53" t="s">
        <v>90</v>
      </c>
      <c r="AA2" s="53" t="s">
        <v>40</v>
      </c>
      <c r="AB2" s="53" t="s">
        <v>239</v>
      </c>
      <c r="AE2" s="64" t="s">
        <v>35</v>
      </c>
      <c r="AG2" s="23" t="s">
        <v>240</v>
      </c>
      <c r="AH2" s="82" t="s">
        <v>241</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235</v>
      </c>
      <c r="C3" s="53">
        <v>2019</v>
      </c>
      <c r="D3" s="81" t="s">
        <v>236</v>
      </c>
      <c r="E3" s="53" t="s">
        <v>237</v>
      </c>
      <c r="F3" s="53" t="s">
        <v>238</v>
      </c>
      <c r="G3" s="53" t="s">
        <v>42</v>
      </c>
      <c r="H3" s="53" t="s">
        <v>163</v>
      </c>
      <c r="I3" s="53" t="s">
        <v>199</v>
      </c>
      <c r="J3" s="53" t="s">
        <v>38</v>
      </c>
      <c r="K3" s="53" t="s">
        <v>160</v>
      </c>
      <c r="L3" s="53">
        <v>2</v>
      </c>
      <c r="N3" s="53">
        <v>4</v>
      </c>
      <c r="O3" s="53">
        <v>0.65</v>
      </c>
      <c r="P3" s="53">
        <v>0.65</v>
      </c>
      <c r="Q3" s="76">
        <f t="shared" si="0"/>
        <v>0.65</v>
      </c>
      <c r="R3" s="53">
        <v>13.8</v>
      </c>
      <c r="S3" s="53">
        <v>102</v>
      </c>
      <c r="T3" s="16">
        <f t="shared" si="1"/>
        <v>33</v>
      </c>
      <c r="U3" s="53">
        <v>539</v>
      </c>
      <c r="V3" s="16">
        <f t="shared" si="2"/>
        <v>4446.75</v>
      </c>
      <c r="W3" s="53">
        <v>2</v>
      </c>
      <c r="X3" s="53" t="s">
        <v>39</v>
      </c>
      <c r="Y3" s="53" t="s">
        <v>84</v>
      </c>
      <c r="Z3" s="53" t="s">
        <v>90</v>
      </c>
      <c r="AA3" s="53" t="s">
        <v>40</v>
      </c>
      <c r="AB3" s="53" t="s">
        <v>239</v>
      </c>
      <c r="AE3" s="22" t="s">
        <v>41</v>
      </c>
      <c r="AG3" s="23" t="s">
        <v>242</v>
      </c>
      <c r="AH3" s="82" t="s">
        <v>238</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235</v>
      </c>
      <c r="C4" s="53">
        <v>2019</v>
      </c>
      <c r="D4" s="81" t="s">
        <v>236</v>
      </c>
      <c r="E4" s="53" t="s">
        <v>237</v>
      </c>
      <c r="F4" s="53" t="s">
        <v>238</v>
      </c>
      <c r="G4" s="53" t="s">
        <v>42</v>
      </c>
      <c r="H4" s="53" t="s">
        <v>163</v>
      </c>
      <c r="I4" s="53" t="s">
        <v>199</v>
      </c>
      <c r="J4" s="53" t="s">
        <v>38</v>
      </c>
      <c r="K4" s="53" t="s">
        <v>160</v>
      </c>
      <c r="L4" s="53">
        <v>3</v>
      </c>
      <c r="N4" s="53">
        <v>4</v>
      </c>
      <c r="O4" s="53">
        <v>0.5</v>
      </c>
      <c r="P4" s="53">
        <v>0.5</v>
      </c>
      <c r="Q4" s="76">
        <f t="shared" si="0"/>
        <v>0.5</v>
      </c>
      <c r="R4" s="53">
        <v>14.7</v>
      </c>
      <c r="S4" s="53">
        <v>99</v>
      </c>
      <c r="T4" s="16">
        <f t="shared" si="1"/>
        <v>33</v>
      </c>
      <c r="U4" s="53">
        <v>539</v>
      </c>
      <c r="V4" s="16">
        <f t="shared" si="2"/>
        <v>4446.75</v>
      </c>
      <c r="W4" s="53">
        <v>2</v>
      </c>
      <c r="X4" s="53" t="s">
        <v>39</v>
      </c>
      <c r="Y4" s="53" t="s">
        <v>84</v>
      </c>
      <c r="Z4" s="53" t="s">
        <v>90</v>
      </c>
      <c r="AA4" s="53" t="s">
        <v>40</v>
      </c>
      <c r="AB4" s="53" t="s">
        <v>239</v>
      </c>
      <c r="AE4" s="22" t="s">
        <v>34</v>
      </c>
      <c r="AG4" s="23" t="s">
        <v>243</v>
      </c>
      <c r="AH4" s="82" t="s">
        <v>244</v>
      </c>
      <c r="AJ4" s="27" t="s">
        <v>48</v>
      </c>
      <c r="AL4" s="27" t="s">
        <v>245</v>
      </c>
      <c r="AN4" s="28" t="s">
        <v>49</v>
      </c>
      <c r="AP4" s="23" t="s">
        <v>93</v>
      </c>
      <c r="AR4" s="23" t="s">
        <v>121</v>
      </c>
      <c r="AT4" s="28"/>
      <c r="AV4" s="23" t="s">
        <v>50</v>
      </c>
      <c r="AX4" s="24">
        <v>75</v>
      </c>
      <c r="AY4" s="25">
        <v>42</v>
      </c>
      <c r="AZ4" s="25">
        <v>76</v>
      </c>
      <c r="BA4" s="26">
        <v>39</v>
      </c>
    </row>
    <row r="5" spans="1:53" x14ac:dyDescent="0.15">
      <c r="A5" s="53" t="s">
        <v>56</v>
      </c>
      <c r="B5" s="53" t="s">
        <v>235</v>
      </c>
      <c r="C5" s="53">
        <v>2019</v>
      </c>
      <c r="D5" s="81" t="s">
        <v>236</v>
      </c>
      <c r="E5" s="53" t="s">
        <v>237</v>
      </c>
      <c r="F5" s="53" t="s">
        <v>238</v>
      </c>
      <c r="G5" s="53" t="s">
        <v>42</v>
      </c>
      <c r="H5" s="53" t="s">
        <v>127</v>
      </c>
      <c r="I5" s="53" t="s">
        <v>199</v>
      </c>
      <c r="J5" s="53" t="s">
        <v>80</v>
      </c>
      <c r="K5" s="53" t="s">
        <v>126</v>
      </c>
      <c r="L5" s="53">
        <v>1</v>
      </c>
      <c r="N5" s="53">
        <v>9</v>
      </c>
      <c r="O5" s="53">
        <v>0.6</v>
      </c>
      <c r="P5" s="53">
        <v>0.55000000000000004</v>
      </c>
      <c r="Q5" s="76">
        <f t="shared" si="0"/>
        <v>0.57499999999999996</v>
      </c>
      <c r="R5" s="53">
        <v>14.1</v>
      </c>
      <c r="S5" s="53">
        <v>52</v>
      </c>
      <c r="T5" s="16">
        <f t="shared" si="1"/>
        <v>50</v>
      </c>
      <c r="U5" s="53">
        <v>971</v>
      </c>
      <c r="V5" s="16">
        <f t="shared" si="2"/>
        <v>5394.4444444444443</v>
      </c>
      <c r="W5" s="53">
        <v>1</v>
      </c>
      <c r="X5" s="53" t="s">
        <v>39</v>
      </c>
      <c r="Y5" s="53" t="s">
        <v>84</v>
      </c>
      <c r="Z5" s="53" t="s">
        <v>90</v>
      </c>
      <c r="AA5" s="53" t="s">
        <v>40</v>
      </c>
      <c r="AB5" s="53" t="s">
        <v>239</v>
      </c>
      <c r="AE5" s="22" t="s">
        <v>51</v>
      </c>
      <c r="AG5" s="23" t="s">
        <v>246</v>
      </c>
      <c r="AH5" s="82" t="s">
        <v>247</v>
      </c>
      <c r="AJ5" s="28"/>
      <c r="AL5" s="73" t="s">
        <v>66</v>
      </c>
      <c r="AN5" s="73" t="s">
        <v>52</v>
      </c>
      <c r="AP5" s="23" t="s">
        <v>248</v>
      </c>
      <c r="AR5" s="23" t="s">
        <v>54</v>
      </c>
      <c r="AV5" s="23" t="s">
        <v>55</v>
      </c>
      <c r="AX5" s="24">
        <v>84</v>
      </c>
      <c r="AY5" s="25">
        <v>39</v>
      </c>
      <c r="AZ5" s="25">
        <v>84</v>
      </c>
      <c r="BA5" s="26">
        <v>36</v>
      </c>
    </row>
    <row r="6" spans="1:53" x14ac:dyDescent="0.15">
      <c r="A6" s="53" t="s">
        <v>56</v>
      </c>
      <c r="B6" s="53" t="s">
        <v>235</v>
      </c>
      <c r="C6" s="53">
        <v>2019</v>
      </c>
      <c r="D6" s="81" t="s">
        <v>236</v>
      </c>
      <c r="E6" s="53" t="s">
        <v>237</v>
      </c>
      <c r="F6" s="53" t="s">
        <v>238</v>
      </c>
      <c r="G6" s="53" t="s">
        <v>42</v>
      </c>
      <c r="H6" s="53" t="s">
        <v>127</v>
      </c>
      <c r="I6" s="53" t="s">
        <v>199</v>
      </c>
      <c r="J6" s="53" t="s">
        <v>80</v>
      </c>
      <c r="K6" s="53" t="s">
        <v>126</v>
      </c>
      <c r="L6" s="53">
        <v>2</v>
      </c>
      <c r="N6" s="53">
        <v>9</v>
      </c>
      <c r="O6" s="53">
        <v>0.5</v>
      </c>
      <c r="P6" s="53">
        <v>0.55000000000000004</v>
      </c>
      <c r="Q6" s="76">
        <f t="shared" si="0"/>
        <v>0.52500000000000002</v>
      </c>
      <c r="R6" s="53">
        <v>12.3</v>
      </c>
      <c r="S6" s="53">
        <v>55</v>
      </c>
      <c r="T6" s="16">
        <f t="shared" si="1"/>
        <v>50</v>
      </c>
      <c r="U6" s="53">
        <v>971</v>
      </c>
      <c r="V6" s="16">
        <f t="shared" si="2"/>
        <v>5394.4444444444443</v>
      </c>
      <c r="W6" s="53">
        <v>1</v>
      </c>
      <c r="X6" s="53" t="s">
        <v>39</v>
      </c>
      <c r="Y6" s="53" t="s">
        <v>84</v>
      </c>
      <c r="Z6" s="53" t="s">
        <v>90</v>
      </c>
      <c r="AA6" s="53" t="s">
        <v>40</v>
      </c>
      <c r="AB6" s="53" t="s">
        <v>239</v>
      </c>
      <c r="AE6" s="22" t="s">
        <v>56</v>
      </c>
      <c r="AG6" s="23" t="s">
        <v>249</v>
      </c>
      <c r="AH6" s="82" t="s">
        <v>247</v>
      </c>
      <c r="AL6" s="73" t="s">
        <v>99</v>
      </c>
      <c r="AN6" s="73" t="s">
        <v>57</v>
      </c>
      <c r="AP6" s="23" t="s">
        <v>53</v>
      </c>
      <c r="AR6" s="23" t="s">
        <v>59</v>
      </c>
      <c r="AV6" s="23" t="s">
        <v>60</v>
      </c>
      <c r="AX6" s="24">
        <v>97</v>
      </c>
      <c r="AY6" s="25">
        <v>36</v>
      </c>
      <c r="AZ6" s="25">
        <v>99</v>
      </c>
      <c r="BA6" s="26">
        <v>33</v>
      </c>
    </row>
    <row r="7" spans="1:53" x14ac:dyDescent="0.15">
      <c r="A7" s="53" t="s">
        <v>56</v>
      </c>
      <c r="B7" s="53" t="s">
        <v>235</v>
      </c>
      <c r="C7" s="53">
        <v>2019</v>
      </c>
      <c r="D7" s="81" t="s">
        <v>236</v>
      </c>
      <c r="E7" s="53" t="s">
        <v>237</v>
      </c>
      <c r="F7" s="53" t="s">
        <v>238</v>
      </c>
      <c r="G7" s="53" t="s">
        <v>42</v>
      </c>
      <c r="H7" s="53" t="s">
        <v>127</v>
      </c>
      <c r="I7" s="53" t="s">
        <v>199</v>
      </c>
      <c r="J7" s="53" t="s">
        <v>80</v>
      </c>
      <c r="K7" s="53" t="s">
        <v>126</v>
      </c>
      <c r="L7" s="53">
        <v>3</v>
      </c>
      <c r="N7" s="53">
        <v>9</v>
      </c>
      <c r="O7" s="53">
        <v>0.55000000000000004</v>
      </c>
      <c r="P7" s="53">
        <v>0.5</v>
      </c>
      <c r="Q7" s="76">
        <f t="shared" si="0"/>
        <v>0.52500000000000002</v>
      </c>
      <c r="R7" s="53">
        <v>12.2</v>
      </c>
      <c r="S7" s="53">
        <v>57</v>
      </c>
      <c r="T7" s="16">
        <f t="shared" si="1"/>
        <v>50</v>
      </c>
      <c r="U7" s="53">
        <v>971</v>
      </c>
      <c r="V7" s="16">
        <f t="shared" si="2"/>
        <v>5394.4444444444443</v>
      </c>
      <c r="W7" s="53">
        <v>1</v>
      </c>
      <c r="X7" s="53" t="s">
        <v>39</v>
      </c>
      <c r="Y7" s="53" t="s">
        <v>84</v>
      </c>
      <c r="Z7" s="53" t="s">
        <v>90</v>
      </c>
      <c r="AA7" s="53" t="s">
        <v>40</v>
      </c>
      <c r="AB7" s="53" t="s">
        <v>239</v>
      </c>
      <c r="AE7" s="22" t="s">
        <v>61</v>
      </c>
      <c r="AG7" s="23" t="s">
        <v>250</v>
      </c>
      <c r="AH7" s="82" t="s">
        <v>251</v>
      </c>
      <c r="AL7" s="83" t="s">
        <v>109</v>
      </c>
      <c r="AP7" s="23" t="s">
        <v>58</v>
      </c>
      <c r="AR7" s="23" t="s">
        <v>122</v>
      </c>
      <c r="AV7" s="23" t="s">
        <v>64</v>
      </c>
      <c r="AX7" s="24">
        <v>109</v>
      </c>
      <c r="AY7" s="25">
        <v>33</v>
      </c>
      <c r="AZ7" s="25">
        <v>113</v>
      </c>
      <c r="BA7" s="26">
        <v>30</v>
      </c>
    </row>
    <row r="8" spans="1:53" x14ac:dyDescent="0.15">
      <c r="A8" s="53" t="s">
        <v>56</v>
      </c>
      <c r="B8" s="53" t="s">
        <v>235</v>
      </c>
      <c r="C8" s="53">
        <v>2019</v>
      </c>
      <c r="D8" s="81" t="s">
        <v>236</v>
      </c>
      <c r="E8" s="53" t="s">
        <v>252</v>
      </c>
      <c r="F8" s="53" t="s">
        <v>238</v>
      </c>
      <c r="G8" s="53" t="s">
        <v>42</v>
      </c>
      <c r="H8" s="53" t="s">
        <v>163</v>
      </c>
      <c r="I8" s="53" t="s">
        <v>159</v>
      </c>
      <c r="J8" s="53" t="s">
        <v>38</v>
      </c>
      <c r="K8" s="53" t="s">
        <v>160</v>
      </c>
      <c r="L8" s="53">
        <v>1</v>
      </c>
      <c r="N8" s="53">
        <v>7</v>
      </c>
      <c r="O8" s="53">
        <v>0.5</v>
      </c>
      <c r="P8" s="53">
        <v>0.5</v>
      </c>
      <c r="Q8" s="76">
        <f t="shared" si="0"/>
        <v>0.5</v>
      </c>
      <c r="R8" s="53">
        <v>16</v>
      </c>
      <c r="S8" s="53">
        <v>90</v>
      </c>
      <c r="T8" s="16">
        <f t="shared" si="1"/>
        <v>36</v>
      </c>
      <c r="U8" s="53">
        <v>537</v>
      </c>
      <c r="V8" s="16">
        <f t="shared" si="2"/>
        <v>2761.7142857142853</v>
      </c>
      <c r="W8" s="53">
        <v>8</v>
      </c>
      <c r="X8" s="53" t="s">
        <v>46</v>
      </c>
      <c r="Y8" s="53" t="s">
        <v>84</v>
      </c>
      <c r="Z8" s="53" t="s">
        <v>55</v>
      </c>
      <c r="AA8" s="53" t="s">
        <v>40</v>
      </c>
      <c r="AB8" s="53" t="s">
        <v>239</v>
      </c>
      <c r="AE8" s="22" t="s">
        <v>59</v>
      </c>
      <c r="AG8" s="23" t="s">
        <v>253</v>
      </c>
      <c r="AH8" s="82" t="s">
        <v>251</v>
      </c>
      <c r="AL8" s="83" t="s">
        <v>134</v>
      </c>
      <c r="AP8" s="23" t="s">
        <v>62</v>
      </c>
      <c r="AR8" s="23" t="s">
        <v>81</v>
      </c>
      <c r="AV8" s="23" t="s">
        <v>97</v>
      </c>
      <c r="AX8" s="24">
        <v>119</v>
      </c>
      <c r="AY8" s="25">
        <v>30</v>
      </c>
      <c r="AZ8" s="25">
        <v>121</v>
      </c>
      <c r="BA8" s="26">
        <v>27</v>
      </c>
    </row>
    <row r="9" spans="1:53" x14ac:dyDescent="0.15">
      <c r="A9" s="53" t="s">
        <v>56</v>
      </c>
      <c r="B9" s="53" t="s">
        <v>235</v>
      </c>
      <c r="C9" s="53">
        <v>2019</v>
      </c>
      <c r="D9" s="81" t="s">
        <v>236</v>
      </c>
      <c r="E9" s="53" t="s">
        <v>252</v>
      </c>
      <c r="F9" s="53" t="s">
        <v>238</v>
      </c>
      <c r="G9" s="53" t="s">
        <v>42</v>
      </c>
      <c r="H9" s="53" t="s">
        <v>163</v>
      </c>
      <c r="I9" s="53" t="s">
        <v>159</v>
      </c>
      <c r="J9" s="53" t="s">
        <v>38</v>
      </c>
      <c r="K9" s="53" t="s">
        <v>160</v>
      </c>
      <c r="L9" s="53">
        <v>2</v>
      </c>
      <c r="N9" s="53">
        <v>7</v>
      </c>
      <c r="O9" s="53">
        <v>0.85</v>
      </c>
      <c r="P9" s="53">
        <v>0.75</v>
      </c>
      <c r="Q9" s="76">
        <f t="shared" si="0"/>
        <v>0.8</v>
      </c>
      <c r="R9" s="53">
        <v>14.6</v>
      </c>
      <c r="S9" s="53">
        <v>102</v>
      </c>
      <c r="T9" s="16">
        <f t="shared" si="1"/>
        <v>33</v>
      </c>
      <c r="U9" s="53">
        <v>537</v>
      </c>
      <c r="V9" s="16">
        <f t="shared" si="2"/>
        <v>2531.5714285714284</v>
      </c>
      <c r="W9" s="53">
        <v>8</v>
      </c>
      <c r="X9" s="53" t="s">
        <v>46</v>
      </c>
      <c r="Y9" s="53" t="s">
        <v>84</v>
      </c>
      <c r="Z9" s="53" t="s">
        <v>55</v>
      </c>
      <c r="AA9" s="53" t="s">
        <v>40</v>
      </c>
      <c r="AB9" s="53" t="s">
        <v>239</v>
      </c>
      <c r="AE9" s="22" t="s">
        <v>98</v>
      </c>
      <c r="AG9" s="23" t="s">
        <v>237</v>
      </c>
      <c r="AH9" s="23" t="s">
        <v>238</v>
      </c>
      <c r="AL9" s="73"/>
      <c r="AP9" s="23" t="s">
        <v>95</v>
      </c>
      <c r="AR9" s="23" t="s">
        <v>89</v>
      </c>
      <c r="AV9" s="23" t="s">
        <v>102</v>
      </c>
      <c r="AX9" s="24">
        <v>128</v>
      </c>
      <c r="AY9" s="25">
        <v>27</v>
      </c>
      <c r="AZ9" s="25">
        <v>129</v>
      </c>
      <c r="BA9" s="26">
        <v>25</v>
      </c>
    </row>
    <row r="10" spans="1:53" x14ac:dyDescent="0.15">
      <c r="A10" s="53" t="s">
        <v>56</v>
      </c>
      <c r="B10" s="53" t="s">
        <v>235</v>
      </c>
      <c r="C10" s="53">
        <v>2019</v>
      </c>
      <c r="D10" s="81" t="s">
        <v>236</v>
      </c>
      <c r="E10" s="53" t="s">
        <v>252</v>
      </c>
      <c r="F10" s="53" t="s">
        <v>238</v>
      </c>
      <c r="G10" s="53" t="s">
        <v>42</v>
      </c>
      <c r="H10" s="53" t="s">
        <v>163</v>
      </c>
      <c r="I10" s="53" t="s">
        <v>159</v>
      </c>
      <c r="J10" s="53" t="s">
        <v>38</v>
      </c>
      <c r="K10" s="53" t="s">
        <v>160</v>
      </c>
      <c r="L10" s="53">
        <v>3</v>
      </c>
      <c r="N10" s="53">
        <v>7</v>
      </c>
      <c r="O10" s="53">
        <v>0.65</v>
      </c>
      <c r="P10" s="53">
        <v>0.75</v>
      </c>
      <c r="Q10" s="76">
        <f t="shared" si="0"/>
        <v>0.7</v>
      </c>
      <c r="R10" s="53">
        <v>13.2</v>
      </c>
      <c r="S10" s="53">
        <v>99</v>
      </c>
      <c r="T10" s="16">
        <f t="shared" si="1"/>
        <v>33</v>
      </c>
      <c r="U10" s="53">
        <v>537</v>
      </c>
      <c r="V10" s="16">
        <f t="shared" si="2"/>
        <v>2531.5714285714284</v>
      </c>
      <c r="W10" s="53">
        <v>8</v>
      </c>
      <c r="X10" s="53" t="s">
        <v>46</v>
      </c>
      <c r="Y10" s="53" t="s">
        <v>84</v>
      </c>
      <c r="Z10" s="53" t="s">
        <v>55</v>
      </c>
      <c r="AA10" s="53" t="s">
        <v>40</v>
      </c>
      <c r="AB10" s="53" t="s">
        <v>239</v>
      </c>
      <c r="AE10" s="22" t="s">
        <v>103</v>
      </c>
      <c r="AG10" s="23" t="s">
        <v>250</v>
      </c>
      <c r="AH10" s="82" t="s">
        <v>247</v>
      </c>
      <c r="AL10" s="83"/>
      <c r="AP10" s="23" t="s">
        <v>100</v>
      </c>
      <c r="AR10" s="23" t="s">
        <v>123</v>
      </c>
      <c r="AV10" s="23" t="s">
        <v>106</v>
      </c>
      <c r="AX10" s="24">
        <v>138</v>
      </c>
      <c r="AY10" s="25">
        <v>25</v>
      </c>
      <c r="AZ10" s="25">
        <v>138</v>
      </c>
      <c r="BA10" s="26">
        <v>22</v>
      </c>
    </row>
    <row r="11" spans="1:53" x14ac:dyDescent="0.15">
      <c r="A11" s="53" t="s">
        <v>56</v>
      </c>
      <c r="B11" s="53" t="s">
        <v>235</v>
      </c>
      <c r="C11" s="53">
        <v>2019</v>
      </c>
      <c r="D11" s="81" t="s">
        <v>236</v>
      </c>
      <c r="E11" s="53" t="s">
        <v>161</v>
      </c>
      <c r="F11" s="53" t="s">
        <v>254</v>
      </c>
      <c r="G11" s="53" t="s">
        <v>42</v>
      </c>
      <c r="H11" s="53" t="s">
        <v>163</v>
      </c>
      <c r="I11" s="53" t="s">
        <v>159</v>
      </c>
      <c r="J11" s="53" t="s">
        <v>38</v>
      </c>
      <c r="K11" s="53" t="s">
        <v>160</v>
      </c>
      <c r="L11" s="53">
        <v>1</v>
      </c>
      <c r="N11" s="53">
        <v>8</v>
      </c>
      <c r="O11" s="53">
        <v>0.5</v>
      </c>
      <c r="P11" s="53">
        <v>0.6</v>
      </c>
      <c r="Q11" s="76">
        <f t="shared" si="0"/>
        <v>0.55000000000000004</v>
      </c>
      <c r="R11" s="53">
        <v>16.100000000000001</v>
      </c>
      <c r="S11" s="53">
        <v>89</v>
      </c>
      <c r="T11" s="16">
        <f t="shared" si="1"/>
        <v>36</v>
      </c>
      <c r="U11" s="53">
        <v>538</v>
      </c>
      <c r="V11" s="16">
        <f t="shared" si="2"/>
        <v>2421</v>
      </c>
      <c r="W11" s="53">
        <v>2</v>
      </c>
      <c r="X11" s="53" t="s">
        <v>46</v>
      </c>
      <c r="Y11" s="53" t="s">
        <v>84</v>
      </c>
      <c r="Z11" s="53" t="s">
        <v>40</v>
      </c>
      <c r="AA11" s="53" t="s">
        <v>90</v>
      </c>
      <c r="AB11" s="53" t="s">
        <v>239</v>
      </c>
      <c r="AE11" s="22" t="s">
        <v>65</v>
      </c>
      <c r="AG11" s="23" t="s">
        <v>249</v>
      </c>
      <c r="AH11" s="82" t="s">
        <v>247</v>
      </c>
      <c r="AJ11" s="83"/>
      <c r="AP11" s="23" t="s">
        <v>104</v>
      </c>
      <c r="AR11" s="23" t="s">
        <v>87</v>
      </c>
      <c r="AV11" s="23" t="s">
        <v>69</v>
      </c>
    </row>
    <row r="12" spans="1:53" x14ac:dyDescent="0.15">
      <c r="A12" s="53" t="s">
        <v>56</v>
      </c>
      <c r="B12" s="53" t="s">
        <v>235</v>
      </c>
      <c r="C12" s="53">
        <v>2019</v>
      </c>
      <c r="D12" s="81" t="s">
        <v>236</v>
      </c>
      <c r="E12" s="53" t="s">
        <v>161</v>
      </c>
      <c r="F12" s="53" t="s">
        <v>254</v>
      </c>
      <c r="G12" s="53" t="s">
        <v>42</v>
      </c>
      <c r="H12" s="53" t="s">
        <v>163</v>
      </c>
      <c r="I12" s="53" t="s">
        <v>159</v>
      </c>
      <c r="J12" s="53" t="s">
        <v>38</v>
      </c>
      <c r="K12" s="53" t="s">
        <v>160</v>
      </c>
      <c r="L12" s="53">
        <v>2</v>
      </c>
      <c r="N12" s="53">
        <v>8</v>
      </c>
      <c r="O12" s="53">
        <v>0.6</v>
      </c>
      <c r="P12" s="53">
        <v>0.65</v>
      </c>
      <c r="Q12" s="76">
        <f t="shared" si="0"/>
        <v>0.625</v>
      </c>
      <c r="R12" s="53">
        <v>16.100000000000001</v>
      </c>
      <c r="S12" s="53">
        <v>100</v>
      </c>
      <c r="T12" s="16">
        <f t="shared" si="1"/>
        <v>33</v>
      </c>
      <c r="U12" s="53">
        <v>538</v>
      </c>
      <c r="V12" s="16">
        <f t="shared" si="2"/>
        <v>2219.25</v>
      </c>
      <c r="W12" s="53">
        <v>2</v>
      </c>
      <c r="X12" s="53" t="s">
        <v>46</v>
      </c>
      <c r="Y12" s="53" t="s">
        <v>84</v>
      </c>
      <c r="Z12" s="53" t="s">
        <v>40</v>
      </c>
      <c r="AA12" s="53" t="s">
        <v>90</v>
      </c>
      <c r="AB12" s="53" t="s">
        <v>239</v>
      </c>
      <c r="AE12" s="22" t="s">
        <v>70</v>
      </c>
      <c r="AG12" s="23" t="s">
        <v>242</v>
      </c>
      <c r="AH12" s="82" t="s">
        <v>247</v>
      </c>
      <c r="AJ12" s="83"/>
      <c r="AP12" s="23" t="s">
        <v>67</v>
      </c>
      <c r="AR12" s="23" t="s">
        <v>124</v>
      </c>
      <c r="AV12" s="23" t="s">
        <v>72</v>
      </c>
    </row>
    <row r="13" spans="1:53" x14ac:dyDescent="0.15">
      <c r="A13" s="53" t="s">
        <v>56</v>
      </c>
      <c r="B13" s="53" t="s">
        <v>235</v>
      </c>
      <c r="C13" s="53">
        <v>2019</v>
      </c>
      <c r="D13" s="81" t="s">
        <v>236</v>
      </c>
      <c r="E13" s="53" t="s">
        <v>161</v>
      </c>
      <c r="F13" s="53" t="s">
        <v>254</v>
      </c>
      <c r="G13" s="53" t="s">
        <v>42</v>
      </c>
      <c r="H13" s="53" t="s">
        <v>163</v>
      </c>
      <c r="I13" s="53" t="s">
        <v>159</v>
      </c>
      <c r="J13" s="53" t="s">
        <v>38</v>
      </c>
      <c r="K13" s="53" t="s">
        <v>160</v>
      </c>
      <c r="L13" s="53">
        <v>3</v>
      </c>
      <c r="N13" s="53">
        <v>8</v>
      </c>
      <c r="O13" s="53">
        <v>0.65</v>
      </c>
      <c r="P13" s="53">
        <v>0.85</v>
      </c>
      <c r="Q13" s="76">
        <f t="shared" si="0"/>
        <v>0.75</v>
      </c>
      <c r="R13" s="53">
        <v>15.8</v>
      </c>
      <c r="S13" s="53">
        <v>100</v>
      </c>
      <c r="T13" s="16">
        <f t="shared" si="1"/>
        <v>33</v>
      </c>
      <c r="U13" s="53">
        <v>538</v>
      </c>
      <c r="V13" s="16">
        <f t="shared" si="2"/>
        <v>2219.25</v>
      </c>
      <c r="W13" s="53">
        <v>2</v>
      </c>
      <c r="X13" s="53" t="s">
        <v>46</v>
      </c>
      <c r="Y13" s="53" t="s">
        <v>84</v>
      </c>
      <c r="Z13" s="53" t="s">
        <v>40</v>
      </c>
      <c r="AA13" s="53" t="s">
        <v>90</v>
      </c>
      <c r="AB13" s="53" t="s">
        <v>239</v>
      </c>
      <c r="AE13" s="22" t="s">
        <v>73</v>
      </c>
      <c r="AP13" s="23" t="s">
        <v>71</v>
      </c>
      <c r="AR13" s="23" t="s">
        <v>103</v>
      </c>
      <c r="AV13" s="23" t="s">
        <v>75</v>
      </c>
    </row>
    <row r="14" spans="1:53" x14ac:dyDescent="0.15">
      <c r="A14" s="53" t="s">
        <v>56</v>
      </c>
      <c r="B14" s="53" t="s">
        <v>235</v>
      </c>
      <c r="C14" s="53">
        <v>2019</v>
      </c>
      <c r="D14" s="81" t="s">
        <v>236</v>
      </c>
      <c r="E14" s="53" t="s">
        <v>161</v>
      </c>
      <c r="F14" s="53" t="s">
        <v>254</v>
      </c>
      <c r="G14" s="53" t="s">
        <v>42</v>
      </c>
      <c r="H14" s="53" t="s">
        <v>164</v>
      </c>
      <c r="I14" s="53" t="s">
        <v>159</v>
      </c>
      <c r="J14" s="53" t="s">
        <v>38</v>
      </c>
      <c r="K14" s="53" t="s">
        <v>87</v>
      </c>
      <c r="L14" s="53">
        <v>1</v>
      </c>
      <c r="N14" s="53">
        <v>4</v>
      </c>
      <c r="O14" s="53">
        <v>0.5</v>
      </c>
      <c r="P14" s="53">
        <v>0.5</v>
      </c>
      <c r="Q14" s="76">
        <f t="shared" si="0"/>
        <v>0.5</v>
      </c>
      <c r="R14" s="53">
        <v>14.7</v>
      </c>
      <c r="S14" s="53">
        <v>72</v>
      </c>
      <c r="T14" s="16">
        <f t="shared" si="1"/>
        <v>46</v>
      </c>
      <c r="U14" s="53">
        <v>538</v>
      </c>
      <c r="V14" s="16">
        <f t="shared" si="2"/>
        <v>6187</v>
      </c>
      <c r="W14" s="53">
        <v>1</v>
      </c>
      <c r="X14" s="53" t="s">
        <v>46</v>
      </c>
      <c r="Y14" s="53" t="s">
        <v>84</v>
      </c>
      <c r="Z14" s="53" t="s">
        <v>40</v>
      </c>
      <c r="AA14" s="53" t="s">
        <v>90</v>
      </c>
      <c r="AB14" s="53" t="s">
        <v>239</v>
      </c>
      <c r="AE14" s="22" t="s">
        <v>76</v>
      </c>
      <c r="AP14" s="23" t="s">
        <v>74</v>
      </c>
      <c r="AR14" s="23" t="s">
        <v>125</v>
      </c>
      <c r="AV14" s="23" t="s">
        <v>78</v>
      </c>
    </row>
    <row r="15" spans="1:53" x14ac:dyDescent="0.15">
      <c r="A15" s="53" t="s">
        <v>56</v>
      </c>
      <c r="B15" s="53" t="s">
        <v>235</v>
      </c>
      <c r="C15" s="53">
        <v>2019</v>
      </c>
      <c r="D15" s="81" t="s">
        <v>236</v>
      </c>
      <c r="E15" s="53" t="s">
        <v>161</v>
      </c>
      <c r="F15" s="53" t="s">
        <v>254</v>
      </c>
      <c r="G15" s="53" t="s">
        <v>42</v>
      </c>
      <c r="H15" s="53" t="s">
        <v>164</v>
      </c>
      <c r="I15" s="53" t="s">
        <v>159</v>
      </c>
      <c r="J15" s="53" t="s">
        <v>38</v>
      </c>
      <c r="K15" s="53" t="s">
        <v>87</v>
      </c>
      <c r="L15" s="53">
        <v>2</v>
      </c>
      <c r="N15" s="53">
        <v>4</v>
      </c>
      <c r="O15" s="53">
        <v>0.5</v>
      </c>
      <c r="P15" s="53">
        <v>0.6</v>
      </c>
      <c r="Q15" s="76">
        <f t="shared" si="0"/>
        <v>0.55000000000000004</v>
      </c>
      <c r="R15" s="53">
        <v>14.2</v>
      </c>
      <c r="S15" s="53">
        <v>80</v>
      </c>
      <c r="T15" s="16">
        <f t="shared" si="1"/>
        <v>42</v>
      </c>
      <c r="U15" s="53">
        <v>538</v>
      </c>
      <c r="V15" s="16">
        <f t="shared" si="2"/>
        <v>5649</v>
      </c>
      <c r="W15" s="53">
        <v>1</v>
      </c>
      <c r="X15" s="53" t="s">
        <v>46</v>
      </c>
      <c r="Y15" s="53" t="s">
        <v>84</v>
      </c>
      <c r="Z15" s="53" t="s">
        <v>40</v>
      </c>
      <c r="AA15" s="53" t="s">
        <v>90</v>
      </c>
      <c r="AB15" s="53" t="s">
        <v>239</v>
      </c>
      <c r="AE15" s="22" t="s">
        <v>79</v>
      </c>
      <c r="AP15" s="23" t="s">
        <v>77</v>
      </c>
      <c r="AR15" s="23" t="s">
        <v>94</v>
      </c>
      <c r="AV15" s="23" t="s">
        <v>107</v>
      </c>
    </row>
    <row r="16" spans="1:53" x14ac:dyDescent="0.15">
      <c r="A16" s="53" t="s">
        <v>56</v>
      </c>
      <c r="B16" s="53" t="s">
        <v>235</v>
      </c>
      <c r="C16" s="53">
        <v>2019</v>
      </c>
      <c r="D16" s="81" t="s">
        <v>236</v>
      </c>
      <c r="E16" s="53" t="s">
        <v>161</v>
      </c>
      <c r="F16" s="53" t="s">
        <v>254</v>
      </c>
      <c r="G16" s="53" t="s">
        <v>42</v>
      </c>
      <c r="H16" s="53" t="s">
        <v>164</v>
      </c>
      <c r="I16" s="53" t="s">
        <v>159</v>
      </c>
      <c r="J16" s="53" t="s">
        <v>38</v>
      </c>
      <c r="K16" s="53" t="s">
        <v>87</v>
      </c>
      <c r="L16" s="53">
        <v>3</v>
      </c>
      <c r="N16" s="53">
        <v>4</v>
      </c>
      <c r="O16" s="53">
        <v>0.5</v>
      </c>
      <c r="P16" s="53">
        <v>0.55000000000000004</v>
      </c>
      <c r="Q16" s="76">
        <f t="shared" si="0"/>
        <v>0.52500000000000002</v>
      </c>
      <c r="R16" s="53">
        <v>14.2</v>
      </c>
      <c r="S16" s="53">
        <v>73</v>
      </c>
      <c r="T16" s="16">
        <f t="shared" si="1"/>
        <v>46</v>
      </c>
      <c r="U16" s="53">
        <v>538</v>
      </c>
      <c r="V16" s="16">
        <f t="shared" si="2"/>
        <v>6187</v>
      </c>
      <c r="W16" s="53">
        <v>1</v>
      </c>
      <c r="X16" s="53" t="s">
        <v>46</v>
      </c>
      <c r="Y16" s="53" t="s">
        <v>84</v>
      </c>
      <c r="Z16" s="53" t="s">
        <v>40</v>
      </c>
      <c r="AA16" s="53" t="s">
        <v>90</v>
      </c>
      <c r="AB16" s="53" t="s">
        <v>239</v>
      </c>
      <c r="AE16" s="22" t="s">
        <v>82</v>
      </c>
      <c r="AP16" s="23" t="s">
        <v>80</v>
      </c>
      <c r="AR16" s="23" t="s">
        <v>63</v>
      </c>
      <c r="AV16" s="23" t="s">
        <v>84</v>
      </c>
    </row>
    <row r="17" spans="1:48" x14ac:dyDescent="0.15">
      <c r="A17" s="53" t="s">
        <v>56</v>
      </c>
      <c r="B17" s="53" t="s">
        <v>235</v>
      </c>
      <c r="C17" s="53">
        <v>2019</v>
      </c>
      <c r="D17" s="81" t="s">
        <v>236</v>
      </c>
      <c r="E17" s="53" t="s">
        <v>161</v>
      </c>
      <c r="F17" s="53" t="s">
        <v>254</v>
      </c>
      <c r="G17" s="53" t="s">
        <v>42</v>
      </c>
      <c r="H17" s="53" t="s">
        <v>128</v>
      </c>
      <c r="I17" s="53" t="s">
        <v>159</v>
      </c>
      <c r="J17" s="53" t="s">
        <v>80</v>
      </c>
      <c r="K17" s="53" t="s">
        <v>63</v>
      </c>
      <c r="L17" s="53">
        <v>1</v>
      </c>
      <c r="N17" s="53">
        <v>1</v>
      </c>
      <c r="O17" s="53">
        <v>0.7</v>
      </c>
      <c r="P17" s="53">
        <v>0.7</v>
      </c>
      <c r="Q17" s="76">
        <f t="shared" si="0"/>
        <v>0.7</v>
      </c>
      <c r="R17" s="53">
        <v>17.2</v>
      </c>
      <c r="S17" s="53">
        <v>109</v>
      </c>
      <c r="T17" s="16">
        <f t="shared" si="1"/>
        <v>33</v>
      </c>
      <c r="U17" s="53">
        <v>106</v>
      </c>
      <c r="V17" s="16">
        <f t="shared" si="2"/>
        <v>3498</v>
      </c>
      <c r="W17" s="53">
        <v>2</v>
      </c>
      <c r="X17" s="53" t="s">
        <v>46</v>
      </c>
      <c r="Y17" s="53" t="s">
        <v>84</v>
      </c>
      <c r="Z17" s="53" t="s">
        <v>40</v>
      </c>
      <c r="AA17" s="53" t="s">
        <v>90</v>
      </c>
      <c r="AB17" s="53" t="s">
        <v>239</v>
      </c>
      <c r="AE17" s="22" t="s">
        <v>85</v>
      </c>
      <c r="AP17" s="27" t="s">
        <v>110</v>
      </c>
      <c r="AR17" s="23" t="s">
        <v>96</v>
      </c>
      <c r="AV17" s="23" t="s">
        <v>86</v>
      </c>
    </row>
    <row r="18" spans="1:48" x14ac:dyDescent="0.15">
      <c r="A18" s="53" t="s">
        <v>56</v>
      </c>
      <c r="B18" s="53" t="s">
        <v>235</v>
      </c>
      <c r="C18" s="53">
        <v>2019</v>
      </c>
      <c r="D18" s="81" t="s">
        <v>236</v>
      </c>
      <c r="E18" s="53" t="s">
        <v>161</v>
      </c>
      <c r="F18" s="53" t="s">
        <v>254</v>
      </c>
      <c r="G18" s="53" t="s">
        <v>42</v>
      </c>
      <c r="H18" s="53" t="s">
        <v>128</v>
      </c>
      <c r="I18" s="53" t="s">
        <v>159</v>
      </c>
      <c r="J18" s="53" t="s">
        <v>80</v>
      </c>
      <c r="K18" s="53" t="s">
        <v>63</v>
      </c>
      <c r="L18" s="53">
        <v>2</v>
      </c>
      <c r="N18" s="53">
        <v>1</v>
      </c>
      <c r="O18" s="53">
        <v>0.65</v>
      </c>
      <c r="P18" s="53">
        <v>0.7</v>
      </c>
      <c r="Q18" s="76">
        <f t="shared" si="0"/>
        <v>0.67500000000000004</v>
      </c>
      <c r="R18" s="53">
        <v>16.600000000000001</v>
      </c>
      <c r="S18" s="53">
        <v>105</v>
      </c>
      <c r="T18" s="16">
        <f t="shared" si="1"/>
        <v>33</v>
      </c>
      <c r="U18" s="53">
        <v>106</v>
      </c>
      <c r="V18" s="16">
        <f t="shared" si="2"/>
        <v>3498</v>
      </c>
      <c r="W18" s="53">
        <v>2</v>
      </c>
      <c r="X18" s="53" t="s">
        <v>46</v>
      </c>
      <c r="Y18" s="53" t="s">
        <v>84</v>
      </c>
      <c r="Z18" s="53" t="s">
        <v>40</v>
      </c>
      <c r="AA18" s="53" t="s">
        <v>90</v>
      </c>
      <c r="AB18" s="53" t="s">
        <v>239</v>
      </c>
      <c r="AE18" s="22" t="s">
        <v>87</v>
      </c>
      <c r="AP18" s="27" t="s">
        <v>111</v>
      </c>
      <c r="AR18" s="23" t="s">
        <v>101</v>
      </c>
      <c r="AV18" s="23" t="s">
        <v>88</v>
      </c>
    </row>
    <row r="19" spans="1:48" x14ac:dyDescent="0.15">
      <c r="A19" s="53" t="s">
        <v>56</v>
      </c>
      <c r="B19" s="53" t="s">
        <v>235</v>
      </c>
      <c r="C19" s="53">
        <v>2019</v>
      </c>
      <c r="D19" s="81" t="s">
        <v>236</v>
      </c>
      <c r="E19" s="53" t="s">
        <v>161</v>
      </c>
      <c r="F19" s="53" t="s">
        <v>254</v>
      </c>
      <c r="G19" s="53" t="s">
        <v>42</v>
      </c>
      <c r="H19" s="53" t="s">
        <v>128</v>
      </c>
      <c r="I19" s="53" t="s">
        <v>159</v>
      </c>
      <c r="J19" s="53" t="s">
        <v>80</v>
      </c>
      <c r="K19" s="53" t="s">
        <v>63</v>
      </c>
      <c r="L19" s="53">
        <v>3</v>
      </c>
      <c r="N19" s="53">
        <v>1</v>
      </c>
      <c r="O19" s="53">
        <v>0.75</v>
      </c>
      <c r="P19" s="53">
        <v>0.75</v>
      </c>
      <c r="Q19" s="76">
        <f t="shared" si="0"/>
        <v>0.75</v>
      </c>
      <c r="R19" s="53">
        <v>17.3</v>
      </c>
      <c r="S19" s="53">
        <v>113</v>
      </c>
      <c r="T19" s="16">
        <f t="shared" si="1"/>
        <v>30</v>
      </c>
      <c r="U19" s="53">
        <v>106</v>
      </c>
      <c r="V19" s="16">
        <f t="shared" si="2"/>
        <v>3180</v>
      </c>
      <c r="W19" s="53">
        <v>2</v>
      </c>
      <c r="X19" s="53" t="s">
        <v>46</v>
      </c>
      <c r="Y19" s="53" t="s">
        <v>84</v>
      </c>
      <c r="Z19" s="53" t="s">
        <v>40</v>
      </c>
      <c r="AA19" s="53" t="s">
        <v>90</v>
      </c>
      <c r="AB19" s="53" t="s">
        <v>239</v>
      </c>
      <c r="AE19" s="35" t="s">
        <v>89</v>
      </c>
      <c r="AP19" s="27" t="s">
        <v>112</v>
      </c>
      <c r="AR19" s="23" t="s">
        <v>126</v>
      </c>
      <c r="AV19" s="23" t="s">
        <v>90</v>
      </c>
    </row>
    <row r="20" spans="1:48" x14ac:dyDescent="0.15">
      <c r="A20" s="53" t="s">
        <v>56</v>
      </c>
      <c r="B20" s="53" t="s">
        <v>235</v>
      </c>
      <c r="C20" s="53">
        <v>2019</v>
      </c>
      <c r="D20" s="81" t="s">
        <v>236</v>
      </c>
      <c r="E20" s="53" t="s">
        <v>255</v>
      </c>
      <c r="F20" s="53" t="s">
        <v>256</v>
      </c>
      <c r="G20" s="53" t="s">
        <v>42</v>
      </c>
      <c r="H20" s="53" t="s">
        <v>163</v>
      </c>
      <c r="I20" s="53" t="s">
        <v>159</v>
      </c>
      <c r="J20" s="53" t="s">
        <v>38</v>
      </c>
      <c r="K20" s="53" t="s">
        <v>160</v>
      </c>
      <c r="L20" s="53">
        <v>1</v>
      </c>
      <c r="N20" s="53">
        <v>1</v>
      </c>
      <c r="O20" s="53">
        <v>0.65</v>
      </c>
      <c r="P20" s="53">
        <v>0.75</v>
      </c>
      <c r="Q20" s="76">
        <f t="shared" si="0"/>
        <v>0.7</v>
      </c>
      <c r="R20" s="53">
        <v>12.2</v>
      </c>
      <c r="S20" s="53">
        <v>117</v>
      </c>
      <c r="T20" s="16">
        <f t="shared" si="1"/>
        <v>30</v>
      </c>
      <c r="U20" s="53">
        <v>138</v>
      </c>
      <c r="V20" s="16">
        <f t="shared" si="2"/>
        <v>4140</v>
      </c>
      <c r="W20" s="53">
        <v>4</v>
      </c>
      <c r="X20" s="53" t="s">
        <v>46</v>
      </c>
      <c r="Y20" s="53" t="s">
        <v>84</v>
      </c>
      <c r="Z20" s="53" t="s">
        <v>40</v>
      </c>
      <c r="AA20" s="53" t="s">
        <v>90</v>
      </c>
      <c r="AB20" s="53" t="s">
        <v>239</v>
      </c>
      <c r="AP20" s="27" t="s">
        <v>113</v>
      </c>
      <c r="AR20" s="23" t="s">
        <v>105</v>
      </c>
      <c r="AV20" s="27" t="s">
        <v>135</v>
      </c>
    </row>
    <row r="21" spans="1:48" x14ac:dyDescent="0.15">
      <c r="A21" s="53" t="s">
        <v>56</v>
      </c>
      <c r="B21" s="53" t="s">
        <v>235</v>
      </c>
      <c r="C21" s="53">
        <v>2019</v>
      </c>
      <c r="D21" s="81" t="s">
        <v>236</v>
      </c>
      <c r="E21" s="53" t="s">
        <v>255</v>
      </c>
      <c r="F21" s="53" t="s">
        <v>256</v>
      </c>
      <c r="G21" s="53" t="s">
        <v>42</v>
      </c>
      <c r="H21" s="53" t="s">
        <v>163</v>
      </c>
      <c r="I21" s="53" t="s">
        <v>159</v>
      </c>
      <c r="J21" s="53" t="s">
        <v>38</v>
      </c>
      <c r="K21" s="53" t="s">
        <v>160</v>
      </c>
      <c r="L21" s="53">
        <v>2</v>
      </c>
      <c r="N21" s="53">
        <v>1</v>
      </c>
      <c r="O21" s="53">
        <v>0.85</v>
      </c>
      <c r="P21" s="53">
        <v>0.9</v>
      </c>
      <c r="Q21" s="76">
        <f t="shared" si="0"/>
        <v>0.875</v>
      </c>
      <c r="R21" s="53">
        <v>12.8</v>
      </c>
      <c r="S21" s="53">
        <v>118</v>
      </c>
      <c r="T21" s="16">
        <f t="shared" si="1"/>
        <v>30</v>
      </c>
      <c r="U21" s="53">
        <v>138</v>
      </c>
      <c r="V21" s="16">
        <f t="shared" si="2"/>
        <v>4140</v>
      </c>
      <c r="W21" s="53">
        <v>4</v>
      </c>
      <c r="X21" s="53" t="s">
        <v>46</v>
      </c>
      <c r="Y21" s="53" t="s">
        <v>84</v>
      </c>
      <c r="Z21" s="53" t="s">
        <v>40</v>
      </c>
      <c r="AA21" s="53" t="s">
        <v>90</v>
      </c>
      <c r="AB21" s="53" t="s">
        <v>239</v>
      </c>
      <c r="AP21" s="27" t="s">
        <v>114</v>
      </c>
      <c r="AR21" s="23" t="s">
        <v>68</v>
      </c>
      <c r="AV21" s="28" t="s">
        <v>257</v>
      </c>
    </row>
    <row r="22" spans="1:48" x14ac:dyDescent="0.15">
      <c r="A22" s="53" t="s">
        <v>56</v>
      </c>
      <c r="B22" s="53" t="s">
        <v>235</v>
      </c>
      <c r="C22" s="53">
        <v>2019</v>
      </c>
      <c r="D22" s="81" t="s">
        <v>236</v>
      </c>
      <c r="E22" s="53" t="s">
        <v>255</v>
      </c>
      <c r="F22" s="53" t="s">
        <v>256</v>
      </c>
      <c r="G22" s="53" t="s">
        <v>42</v>
      </c>
      <c r="H22" s="53" t="s">
        <v>163</v>
      </c>
      <c r="I22" s="53" t="s">
        <v>159</v>
      </c>
      <c r="J22" s="53" t="s">
        <v>38</v>
      </c>
      <c r="K22" s="53" t="s">
        <v>160</v>
      </c>
      <c r="L22" s="53">
        <v>3</v>
      </c>
      <c r="N22" s="53">
        <v>1</v>
      </c>
      <c r="O22" s="53">
        <v>0.7</v>
      </c>
      <c r="P22" s="53">
        <v>0.7</v>
      </c>
      <c r="Q22" s="76">
        <f t="shared" si="0"/>
        <v>0.7</v>
      </c>
      <c r="R22" s="53">
        <v>13.8</v>
      </c>
      <c r="S22" s="53">
        <v>119</v>
      </c>
      <c r="T22" s="16">
        <f t="shared" si="1"/>
        <v>30</v>
      </c>
      <c r="U22" s="53">
        <v>138</v>
      </c>
      <c r="V22" s="16">
        <f t="shared" si="2"/>
        <v>4140</v>
      </c>
      <c r="W22" s="53">
        <v>4</v>
      </c>
      <c r="X22" s="53" t="s">
        <v>46</v>
      </c>
      <c r="Y22" s="53" t="s">
        <v>84</v>
      </c>
      <c r="Z22" s="53" t="s">
        <v>40</v>
      </c>
      <c r="AA22" s="53" t="s">
        <v>90</v>
      </c>
      <c r="AB22" s="53" t="s">
        <v>239</v>
      </c>
      <c r="AP22" s="27" t="s">
        <v>115</v>
      </c>
      <c r="AR22" s="23" t="s">
        <v>83</v>
      </c>
    </row>
    <row r="23" spans="1:48" x14ac:dyDescent="0.15">
      <c r="A23" s="53" t="s">
        <v>56</v>
      </c>
      <c r="B23" s="53" t="s">
        <v>235</v>
      </c>
      <c r="C23" s="53">
        <v>2019</v>
      </c>
      <c r="D23" s="81" t="s">
        <v>236</v>
      </c>
      <c r="E23" s="53" t="s">
        <v>258</v>
      </c>
      <c r="F23" s="53" t="s">
        <v>254</v>
      </c>
      <c r="G23" s="53" t="s">
        <v>42</v>
      </c>
      <c r="H23" s="53" t="s">
        <v>163</v>
      </c>
      <c r="I23" s="53" t="s">
        <v>159</v>
      </c>
      <c r="J23" s="53" t="s">
        <v>38</v>
      </c>
      <c r="K23" s="53" t="s">
        <v>160</v>
      </c>
      <c r="L23" s="53">
        <v>1</v>
      </c>
      <c r="N23" s="53">
        <v>5</v>
      </c>
      <c r="O23" s="53">
        <v>0.85</v>
      </c>
      <c r="P23" s="53">
        <v>0.8</v>
      </c>
      <c r="Q23" s="16">
        <f t="shared" si="0"/>
        <v>0.82499999999999996</v>
      </c>
      <c r="R23" s="53">
        <v>14.6</v>
      </c>
      <c r="S23" s="53">
        <v>101</v>
      </c>
      <c r="T23" s="16">
        <f t="shared" si="1"/>
        <v>33</v>
      </c>
      <c r="U23" s="53">
        <v>386</v>
      </c>
      <c r="V23" s="16">
        <f t="shared" si="2"/>
        <v>2547.6</v>
      </c>
      <c r="W23" s="53">
        <v>4</v>
      </c>
      <c r="X23" s="53" t="s">
        <v>39</v>
      </c>
      <c r="Y23" s="53" t="s">
        <v>55</v>
      </c>
      <c r="Z23" s="53" t="s">
        <v>84</v>
      </c>
      <c r="AA23" s="53" t="s">
        <v>90</v>
      </c>
      <c r="AB23" s="53" t="s">
        <v>239</v>
      </c>
      <c r="AP23" s="27" t="s">
        <v>137</v>
      </c>
      <c r="AR23" s="23" t="s">
        <v>61</v>
      </c>
    </row>
    <row r="24" spans="1:48" x14ac:dyDescent="0.15">
      <c r="A24" s="53" t="s">
        <v>56</v>
      </c>
      <c r="B24" s="53" t="s">
        <v>235</v>
      </c>
      <c r="C24" s="53">
        <v>2019</v>
      </c>
      <c r="D24" s="81" t="s">
        <v>236</v>
      </c>
      <c r="E24" s="53" t="s">
        <v>258</v>
      </c>
      <c r="F24" s="53" t="s">
        <v>254</v>
      </c>
      <c r="G24" s="53" t="s">
        <v>42</v>
      </c>
      <c r="H24" s="53" t="s">
        <v>163</v>
      </c>
      <c r="I24" s="53" t="s">
        <v>159</v>
      </c>
      <c r="J24" s="53" t="s">
        <v>38</v>
      </c>
      <c r="K24" s="53" t="s">
        <v>160</v>
      </c>
      <c r="L24" s="53">
        <v>2</v>
      </c>
      <c r="N24" s="53">
        <v>5</v>
      </c>
      <c r="O24" s="53">
        <v>0.95</v>
      </c>
      <c r="P24" s="53">
        <v>0.9</v>
      </c>
      <c r="Q24" s="16">
        <f t="shared" si="0"/>
        <v>0.92500000000000004</v>
      </c>
      <c r="R24" s="53">
        <v>14.1</v>
      </c>
      <c r="S24" s="53">
        <v>97</v>
      </c>
      <c r="T24" s="16">
        <f t="shared" si="1"/>
        <v>36</v>
      </c>
      <c r="U24" s="53">
        <v>386</v>
      </c>
      <c r="V24" s="16">
        <f t="shared" si="2"/>
        <v>2779.2000000000003</v>
      </c>
      <c r="W24" s="53">
        <v>4</v>
      </c>
      <c r="X24" s="53" t="s">
        <v>39</v>
      </c>
      <c r="Y24" s="53" t="s">
        <v>55</v>
      </c>
      <c r="Z24" s="53" t="s">
        <v>84</v>
      </c>
      <c r="AA24" s="53" t="s">
        <v>90</v>
      </c>
      <c r="AB24" s="53" t="s">
        <v>239</v>
      </c>
      <c r="AP24" s="27" t="s">
        <v>138</v>
      </c>
      <c r="AR24" s="23" t="s">
        <v>91</v>
      </c>
    </row>
    <row r="25" spans="1:48" x14ac:dyDescent="0.15">
      <c r="A25" s="53" t="s">
        <v>56</v>
      </c>
      <c r="B25" s="53" t="s">
        <v>235</v>
      </c>
      <c r="C25" s="53">
        <v>2019</v>
      </c>
      <c r="D25" s="81" t="s">
        <v>236</v>
      </c>
      <c r="E25" s="53" t="s">
        <v>258</v>
      </c>
      <c r="F25" s="53" t="s">
        <v>254</v>
      </c>
      <c r="G25" s="53" t="s">
        <v>42</v>
      </c>
      <c r="H25" s="53" t="s">
        <v>163</v>
      </c>
      <c r="I25" s="53" t="s">
        <v>159</v>
      </c>
      <c r="J25" s="53" t="s">
        <v>38</v>
      </c>
      <c r="K25" s="53" t="s">
        <v>160</v>
      </c>
      <c r="L25" s="53">
        <v>3</v>
      </c>
      <c r="N25" s="53">
        <v>5</v>
      </c>
      <c r="O25" s="53">
        <v>0.95</v>
      </c>
      <c r="P25" s="53">
        <v>0.9</v>
      </c>
      <c r="Q25" s="16">
        <f t="shared" si="0"/>
        <v>0.92500000000000004</v>
      </c>
      <c r="R25" s="53">
        <v>13.9</v>
      </c>
      <c r="S25" s="53">
        <v>97</v>
      </c>
      <c r="T25" s="16">
        <f t="shared" si="1"/>
        <v>36</v>
      </c>
      <c r="U25" s="53">
        <v>386</v>
      </c>
      <c r="V25" s="16">
        <f t="shared" si="2"/>
        <v>2779.2000000000003</v>
      </c>
      <c r="W25" s="53">
        <v>4</v>
      </c>
      <c r="X25" s="53" t="s">
        <v>39</v>
      </c>
      <c r="Y25" s="53" t="s">
        <v>55</v>
      </c>
      <c r="Z25" s="53" t="s">
        <v>84</v>
      </c>
      <c r="AA25" s="53" t="s">
        <v>90</v>
      </c>
      <c r="AB25" s="53" t="s">
        <v>239</v>
      </c>
      <c r="AP25" s="27" t="s">
        <v>116</v>
      </c>
      <c r="AR25" s="27" t="s">
        <v>92</v>
      </c>
    </row>
    <row r="26" spans="1:48" x14ac:dyDescent="0.15">
      <c r="A26" s="53" t="s">
        <v>56</v>
      </c>
      <c r="B26" s="53" t="s">
        <v>235</v>
      </c>
      <c r="C26" s="53">
        <v>2019</v>
      </c>
      <c r="D26" s="81" t="s">
        <v>236</v>
      </c>
      <c r="E26" s="53" t="s">
        <v>258</v>
      </c>
      <c r="F26" s="53" t="s">
        <v>254</v>
      </c>
      <c r="G26" s="53" t="s">
        <v>42</v>
      </c>
      <c r="H26" s="53" t="s">
        <v>128</v>
      </c>
      <c r="I26" s="53" t="s">
        <v>159</v>
      </c>
      <c r="J26" s="53" t="s">
        <v>80</v>
      </c>
      <c r="K26" s="53" t="s">
        <v>63</v>
      </c>
      <c r="L26" s="53">
        <v>1</v>
      </c>
      <c r="N26" s="53">
        <v>10</v>
      </c>
      <c r="O26" s="53">
        <v>0.8</v>
      </c>
      <c r="P26" s="53">
        <v>0.8</v>
      </c>
      <c r="Q26" s="16">
        <f t="shared" si="0"/>
        <v>0.8</v>
      </c>
      <c r="R26" s="53">
        <v>16</v>
      </c>
      <c r="S26" s="53">
        <v>77</v>
      </c>
      <c r="T26" s="16">
        <f t="shared" si="1"/>
        <v>39</v>
      </c>
      <c r="U26" s="53">
        <v>429</v>
      </c>
      <c r="V26" s="16">
        <f t="shared" si="2"/>
        <v>1673.1</v>
      </c>
      <c r="W26" s="53">
        <v>2</v>
      </c>
      <c r="X26" s="53" t="s">
        <v>39</v>
      </c>
      <c r="Y26" s="53" t="s">
        <v>55</v>
      </c>
      <c r="Z26" s="53" t="s">
        <v>84</v>
      </c>
      <c r="AA26" s="53" t="s">
        <v>90</v>
      </c>
      <c r="AB26" s="53" t="s">
        <v>239</v>
      </c>
      <c r="AP26" s="27" t="s">
        <v>117</v>
      </c>
      <c r="AR26" s="53" t="s">
        <v>153</v>
      </c>
    </row>
    <row r="27" spans="1:48" x14ac:dyDescent="0.15">
      <c r="A27" s="53" t="s">
        <v>56</v>
      </c>
      <c r="B27" s="53" t="s">
        <v>235</v>
      </c>
      <c r="C27" s="53">
        <v>2019</v>
      </c>
      <c r="D27" s="81" t="s">
        <v>236</v>
      </c>
      <c r="E27" s="53" t="s">
        <v>258</v>
      </c>
      <c r="F27" s="53" t="s">
        <v>254</v>
      </c>
      <c r="G27" s="53" t="s">
        <v>42</v>
      </c>
      <c r="H27" s="53" t="s">
        <v>128</v>
      </c>
      <c r="I27" s="53" t="s">
        <v>159</v>
      </c>
      <c r="J27" s="53" t="s">
        <v>80</v>
      </c>
      <c r="K27" s="53" t="s">
        <v>63</v>
      </c>
      <c r="L27" s="53">
        <v>2</v>
      </c>
      <c r="N27" s="53">
        <v>10</v>
      </c>
      <c r="O27" s="53">
        <v>0.6</v>
      </c>
      <c r="P27" s="53">
        <v>0.6</v>
      </c>
      <c r="Q27" s="16">
        <f t="shared" si="0"/>
        <v>0.6</v>
      </c>
      <c r="R27" s="53">
        <v>16.600000000000001</v>
      </c>
      <c r="S27" s="53">
        <v>65</v>
      </c>
      <c r="T27" s="16">
        <f t="shared" si="1"/>
        <v>50</v>
      </c>
      <c r="U27" s="53">
        <v>429</v>
      </c>
      <c r="V27" s="16">
        <f t="shared" si="2"/>
        <v>2145</v>
      </c>
      <c r="W27" s="53">
        <v>2</v>
      </c>
      <c r="X27" s="53" t="s">
        <v>39</v>
      </c>
      <c r="Y27" s="53" t="s">
        <v>55</v>
      </c>
      <c r="Z27" s="53" t="s">
        <v>84</v>
      </c>
      <c r="AA27" s="53" t="s">
        <v>90</v>
      </c>
      <c r="AB27" s="53" t="s">
        <v>239</v>
      </c>
      <c r="AP27" s="27" t="s">
        <v>118</v>
      </c>
    </row>
    <row r="28" spans="1:48" x14ac:dyDescent="0.15">
      <c r="A28" s="53" t="s">
        <v>56</v>
      </c>
      <c r="B28" s="53" t="s">
        <v>235</v>
      </c>
      <c r="C28" s="53">
        <v>2019</v>
      </c>
      <c r="D28" s="81" t="s">
        <v>236</v>
      </c>
      <c r="E28" s="53" t="s">
        <v>258</v>
      </c>
      <c r="F28" s="53" t="s">
        <v>254</v>
      </c>
      <c r="G28" s="53" t="s">
        <v>42</v>
      </c>
      <c r="H28" s="53" t="s">
        <v>128</v>
      </c>
      <c r="I28" s="53" t="s">
        <v>159</v>
      </c>
      <c r="J28" s="53" t="s">
        <v>80</v>
      </c>
      <c r="K28" s="53" t="s">
        <v>63</v>
      </c>
      <c r="L28" s="53">
        <v>3</v>
      </c>
      <c r="N28" s="53">
        <v>10</v>
      </c>
      <c r="O28" s="53">
        <v>0.7</v>
      </c>
      <c r="P28" s="53">
        <v>0.75</v>
      </c>
      <c r="Q28" s="16">
        <f t="shared" si="0"/>
        <v>0.72499999999999998</v>
      </c>
      <c r="R28" s="53">
        <v>16.399999999999999</v>
      </c>
      <c r="S28" s="53">
        <v>74</v>
      </c>
      <c r="T28" s="16">
        <f t="shared" si="1"/>
        <v>42</v>
      </c>
      <c r="U28" s="53">
        <v>429</v>
      </c>
      <c r="V28" s="16">
        <f t="shared" si="2"/>
        <v>1801.8</v>
      </c>
      <c r="W28" s="53">
        <v>2</v>
      </c>
      <c r="X28" s="53" t="s">
        <v>39</v>
      </c>
      <c r="Y28" s="53" t="s">
        <v>55</v>
      </c>
      <c r="Z28" s="53" t="s">
        <v>84</v>
      </c>
      <c r="AA28" s="53" t="s">
        <v>90</v>
      </c>
      <c r="AB28" s="53" t="s">
        <v>239</v>
      </c>
    </row>
    <row r="29" spans="1:48" x14ac:dyDescent="0.15">
      <c r="A29" s="53" t="s">
        <v>56</v>
      </c>
      <c r="B29" s="53" t="s">
        <v>235</v>
      </c>
      <c r="C29" s="53">
        <v>2019</v>
      </c>
      <c r="D29" s="81" t="s">
        <v>236</v>
      </c>
      <c r="E29" s="53" t="s">
        <v>161</v>
      </c>
      <c r="F29" s="53" t="s">
        <v>251</v>
      </c>
      <c r="G29" s="53" t="s">
        <v>42</v>
      </c>
      <c r="H29" s="53" t="s">
        <v>163</v>
      </c>
      <c r="I29" s="53" t="s">
        <v>159</v>
      </c>
      <c r="J29" s="53" t="s">
        <v>38</v>
      </c>
      <c r="K29" s="53" t="s">
        <v>160</v>
      </c>
      <c r="L29" s="53">
        <v>1</v>
      </c>
      <c r="N29" s="53">
        <v>1</v>
      </c>
      <c r="O29" s="53">
        <v>0.5</v>
      </c>
      <c r="P29" s="53">
        <v>0.5</v>
      </c>
      <c r="Q29" s="16">
        <f t="shared" si="0"/>
        <v>0.5</v>
      </c>
      <c r="R29" s="53">
        <v>16.3</v>
      </c>
      <c r="S29" s="53">
        <v>109</v>
      </c>
      <c r="T29" s="16">
        <f t="shared" si="1"/>
        <v>33</v>
      </c>
      <c r="U29" s="53">
        <v>106</v>
      </c>
      <c r="V29" s="16">
        <f t="shared" si="2"/>
        <v>3498</v>
      </c>
      <c r="W29" s="53">
        <v>4</v>
      </c>
      <c r="X29" s="53" t="s">
        <v>46</v>
      </c>
      <c r="Y29" s="53" t="s">
        <v>84</v>
      </c>
      <c r="Z29" s="53" t="s">
        <v>40</v>
      </c>
      <c r="AA29" s="53" t="s">
        <v>90</v>
      </c>
      <c r="AB29" s="53" t="s">
        <v>239</v>
      </c>
    </row>
    <row r="30" spans="1:48" x14ac:dyDescent="0.15">
      <c r="A30" s="53" t="s">
        <v>56</v>
      </c>
      <c r="B30" s="53" t="s">
        <v>235</v>
      </c>
      <c r="C30" s="53">
        <v>2019</v>
      </c>
      <c r="D30" s="81" t="s">
        <v>236</v>
      </c>
      <c r="E30" s="53" t="s">
        <v>161</v>
      </c>
      <c r="F30" s="53" t="s">
        <v>251</v>
      </c>
      <c r="G30" s="53" t="s">
        <v>42</v>
      </c>
      <c r="H30" s="53" t="s">
        <v>163</v>
      </c>
      <c r="I30" s="53" t="s">
        <v>159</v>
      </c>
      <c r="J30" s="53" t="s">
        <v>38</v>
      </c>
      <c r="K30" s="53" t="s">
        <v>160</v>
      </c>
      <c r="L30" s="53">
        <v>2</v>
      </c>
      <c r="N30" s="53">
        <v>1</v>
      </c>
      <c r="O30" s="53">
        <v>0.5</v>
      </c>
      <c r="P30" s="53">
        <v>0.5</v>
      </c>
      <c r="Q30" s="16">
        <f t="shared" si="0"/>
        <v>0.5</v>
      </c>
      <c r="R30" s="53">
        <v>13.9</v>
      </c>
      <c r="S30" s="53">
        <v>112</v>
      </c>
      <c r="T30" s="16">
        <f t="shared" si="1"/>
        <v>33</v>
      </c>
      <c r="U30" s="53">
        <v>106</v>
      </c>
      <c r="V30" s="16">
        <f t="shared" si="2"/>
        <v>3498</v>
      </c>
      <c r="W30" s="53">
        <v>4</v>
      </c>
      <c r="X30" s="53" t="s">
        <v>46</v>
      </c>
      <c r="Y30" s="53" t="s">
        <v>84</v>
      </c>
      <c r="Z30" s="53" t="s">
        <v>40</v>
      </c>
      <c r="AA30" s="53" t="s">
        <v>90</v>
      </c>
      <c r="AB30" s="53" t="s">
        <v>239</v>
      </c>
    </row>
    <row r="31" spans="1:48" x14ac:dyDescent="0.15">
      <c r="A31" s="53" t="s">
        <v>56</v>
      </c>
      <c r="B31" s="53" t="s">
        <v>235</v>
      </c>
      <c r="C31" s="53">
        <v>2019</v>
      </c>
      <c r="D31" s="81" t="s">
        <v>236</v>
      </c>
      <c r="E31" s="53" t="s">
        <v>161</v>
      </c>
      <c r="F31" s="53" t="s">
        <v>251</v>
      </c>
      <c r="G31" s="53" t="s">
        <v>42</v>
      </c>
      <c r="H31" s="53" t="s">
        <v>163</v>
      </c>
      <c r="I31" s="53" t="s">
        <v>159</v>
      </c>
      <c r="J31" s="53" t="s">
        <v>38</v>
      </c>
      <c r="K31" s="53" t="s">
        <v>160</v>
      </c>
      <c r="L31" s="53">
        <v>3</v>
      </c>
      <c r="N31" s="53">
        <v>1</v>
      </c>
      <c r="O31" s="53">
        <v>0.55000000000000004</v>
      </c>
      <c r="P31" s="53">
        <v>0.5</v>
      </c>
      <c r="Q31" s="16">
        <f t="shared" si="0"/>
        <v>0.52500000000000002</v>
      </c>
      <c r="R31" s="53">
        <v>12.8</v>
      </c>
      <c r="S31" s="53">
        <v>115</v>
      </c>
      <c r="T31" s="16">
        <f t="shared" si="1"/>
        <v>30</v>
      </c>
      <c r="U31" s="53">
        <v>106</v>
      </c>
      <c r="V31" s="16">
        <f t="shared" si="2"/>
        <v>3180</v>
      </c>
      <c r="W31" s="53">
        <v>4</v>
      </c>
      <c r="X31" s="53" t="s">
        <v>46</v>
      </c>
      <c r="Y31" s="53" t="s">
        <v>84</v>
      </c>
      <c r="Z31" s="53" t="s">
        <v>40</v>
      </c>
      <c r="AA31" s="53" t="s">
        <v>90</v>
      </c>
      <c r="AB31" s="53" t="s">
        <v>239</v>
      </c>
    </row>
    <row r="32" spans="1:48" x14ac:dyDescent="0.15">
      <c r="A32" s="53" t="s">
        <v>56</v>
      </c>
      <c r="B32" s="53" t="s">
        <v>235</v>
      </c>
      <c r="C32" s="53">
        <v>2019</v>
      </c>
      <c r="D32" s="81" t="s">
        <v>236</v>
      </c>
      <c r="E32" s="53" t="s">
        <v>161</v>
      </c>
      <c r="F32" s="53" t="s">
        <v>251</v>
      </c>
      <c r="G32" s="53" t="s">
        <v>42</v>
      </c>
      <c r="H32" s="53" t="s">
        <v>164</v>
      </c>
      <c r="I32" s="53" t="s">
        <v>159</v>
      </c>
      <c r="J32" s="53" t="s">
        <v>38</v>
      </c>
      <c r="K32" s="53" t="s">
        <v>87</v>
      </c>
      <c r="L32" s="53">
        <v>1</v>
      </c>
      <c r="N32" s="53">
        <v>4</v>
      </c>
      <c r="O32" s="53">
        <v>0.7</v>
      </c>
      <c r="P32" s="53">
        <v>0.7</v>
      </c>
      <c r="Q32" s="16">
        <f t="shared" si="0"/>
        <v>0.7</v>
      </c>
      <c r="R32" s="53">
        <v>15.5</v>
      </c>
      <c r="S32" s="53">
        <v>78</v>
      </c>
      <c r="T32" s="16">
        <f t="shared" si="1"/>
        <v>42</v>
      </c>
      <c r="U32" s="53">
        <v>538</v>
      </c>
      <c r="V32" s="16">
        <f t="shared" si="2"/>
        <v>5649</v>
      </c>
      <c r="W32" s="53">
        <v>1</v>
      </c>
      <c r="X32" s="53" t="s">
        <v>46</v>
      </c>
      <c r="Y32" s="53" t="s">
        <v>84</v>
      </c>
      <c r="Z32" s="53" t="s">
        <v>40</v>
      </c>
      <c r="AA32" s="53" t="s">
        <v>90</v>
      </c>
      <c r="AB32" s="53" t="s">
        <v>239</v>
      </c>
    </row>
    <row r="33" spans="1:28" x14ac:dyDescent="0.15">
      <c r="A33" s="53" t="s">
        <v>56</v>
      </c>
      <c r="B33" s="53" t="s">
        <v>235</v>
      </c>
      <c r="C33" s="53">
        <v>2019</v>
      </c>
      <c r="D33" s="81" t="s">
        <v>236</v>
      </c>
      <c r="E33" s="53" t="s">
        <v>161</v>
      </c>
      <c r="F33" s="53" t="s">
        <v>251</v>
      </c>
      <c r="G33" s="53" t="s">
        <v>42</v>
      </c>
      <c r="H33" s="53" t="s">
        <v>164</v>
      </c>
      <c r="I33" s="53" t="s">
        <v>159</v>
      </c>
      <c r="J33" s="53" t="s">
        <v>38</v>
      </c>
      <c r="K33" s="53" t="s">
        <v>87</v>
      </c>
      <c r="L33" s="53">
        <v>2</v>
      </c>
      <c r="N33" s="53">
        <v>4</v>
      </c>
      <c r="O33" s="53">
        <v>0.6</v>
      </c>
      <c r="P33" s="53">
        <v>0.65</v>
      </c>
      <c r="Q33" s="16">
        <f t="shared" si="0"/>
        <v>0.625</v>
      </c>
      <c r="R33" s="53">
        <v>12.3</v>
      </c>
      <c r="S33" s="53">
        <v>71</v>
      </c>
      <c r="T33" s="16">
        <f t="shared" si="1"/>
        <v>50</v>
      </c>
      <c r="U33" s="53">
        <v>538</v>
      </c>
      <c r="V33" s="16">
        <f t="shared" si="2"/>
        <v>6725</v>
      </c>
      <c r="W33" s="53">
        <v>1</v>
      </c>
      <c r="X33" s="53" t="s">
        <v>46</v>
      </c>
      <c r="Y33" s="53" t="s">
        <v>84</v>
      </c>
      <c r="Z33" s="53" t="s">
        <v>40</v>
      </c>
      <c r="AA33" s="53" t="s">
        <v>90</v>
      </c>
      <c r="AB33" s="53" t="s">
        <v>239</v>
      </c>
    </row>
    <row r="34" spans="1:28" x14ac:dyDescent="0.15">
      <c r="A34" s="53" t="s">
        <v>56</v>
      </c>
      <c r="B34" s="53" t="s">
        <v>235</v>
      </c>
      <c r="C34" s="53">
        <v>2019</v>
      </c>
      <c r="D34" s="81" t="s">
        <v>236</v>
      </c>
      <c r="E34" s="53" t="s">
        <v>161</v>
      </c>
      <c r="F34" s="53" t="s">
        <v>251</v>
      </c>
      <c r="G34" s="53" t="s">
        <v>42</v>
      </c>
      <c r="H34" s="53" t="s">
        <v>164</v>
      </c>
      <c r="I34" s="53" t="s">
        <v>159</v>
      </c>
      <c r="J34" s="53" t="s">
        <v>38</v>
      </c>
      <c r="K34" s="53" t="s">
        <v>87</v>
      </c>
      <c r="L34" s="53">
        <v>3</v>
      </c>
      <c r="N34" s="53">
        <v>4</v>
      </c>
      <c r="O34" s="53">
        <v>0.7</v>
      </c>
      <c r="P34" s="53">
        <v>0.7</v>
      </c>
      <c r="Q34" s="16">
        <f t="shared" si="0"/>
        <v>0.7</v>
      </c>
      <c r="R34" s="53">
        <v>13.5</v>
      </c>
      <c r="S34" s="53">
        <v>74</v>
      </c>
      <c r="T34" s="16">
        <f t="shared" si="1"/>
        <v>46</v>
      </c>
      <c r="U34" s="53">
        <v>538</v>
      </c>
      <c r="V34" s="16">
        <f t="shared" si="2"/>
        <v>6187</v>
      </c>
      <c r="W34" s="53">
        <v>1</v>
      </c>
      <c r="X34" s="53" t="s">
        <v>46</v>
      </c>
      <c r="Y34" s="53" t="s">
        <v>84</v>
      </c>
      <c r="Z34" s="53" t="s">
        <v>40</v>
      </c>
      <c r="AA34" s="53" t="s">
        <v>90</v>
      </c>
      <c r="AB34" s="53" t="s">
        <v>239</v>
      </c>
    </row>
    <row r="35" spans="1:28" x14ac:dyDescent="0.15">
      <c r="A35" s="53" t="s">
        <v>56</v>
      </c>
      <c r="B35" s="53" t="s">
        <v>235</v>
      </c>
      <c r="C35" s="53">
        <v>2019</v>
      </c>
      <c r="D35" s="81" t="s">
        <v>236</v>
      </c>
      <c r="E35" s="53" t="s">
        <v>161</v>
      </c>
      <c r="F35" s="53" t="s">
        <v>251</v>
      </c>
      <c r="G35" s="53" t="s">
        <v>42</v>
      </c>
      <c r="H35" s="53" t="s">
        <v>128</v>
      </c>
      <c r="I35" s="53" t="s">
        <v>159</v>
      </c>
      <c r="J35" s="53" t="s">
        <v>80</v>
      </c>
      <c r="K35" s="53" t="s">
        <v>63</v>
      </c>
      <c r="L35" s="53">
        <v>1</v>
      </c>
      <c r="N35" s="53">
        <v>1</v>
      </c>
      <c r="O35" s="53">
        <v>0.6</v>
      </c>
      <c r="P35" s="53">
        <v>0.55000000000000004</v>
      </c>
      <c r="Q35" s="16">
        <f t="shared" si="0"/>
        <v>0.57499999999999996</v>
      </c>
      <c r="R35" s="53">
        <v>15.5</v>
      </c>
      <c r="S35" s="53">
        <v>120</v>
      </c>
      <c r="T35" s="16">
        <f t="shared" si="1"/>
        <v>30</v>
      </c>
      <c r="U35" s="53">
        <v>106</v>
      </c>
      <c r="V35" s="16">
        <f t="shared" si="2"/>
        <v>3180</v>
      </c>
      <c r="W35" s="53">
        <v>1</v>
      </c>
      <c r="X35" s="53" t="s">
        <v>46</v>
      </c>
      <c r="Y35" s="53" t="s">
        <v>84</v>
      </c>
      <c r="Z35" s="53" t="s">
        <v>40</v>
      </c>
      <c r="AA35" s="53" t="s">
        <v>90</v>
      </c>
      <c r="AB35" s="53" t="s">
        <v>239</v>
      </c>
    </row>
    <row r="36" spans="1:28" x14ac:dyDescent="0.15">
      <c r="A36" s="53" t="s">
        <v>56</v>
      </c>
      <c r="B36" s="53" t="s">
        <v>235</v>
      </c>
      <c r="C36" s="53">
        <v>2019</v>
      </c>
      <c r="D36" s="81" t="s">
        <v>236</v>
      </c>
      <c r="E36" s="53" t="s">
        <v>161</v>
      </c>
      <c r="F36" s="53" t="s">
        <v>251</v>
      </c>
      <c r="G36" s="53" t="s">
        <v>42</v>
      </c>
      <c r="H36" s="53" t="s">
        <v>128</v>
      </c>
      <c r="I36" s="53" t="s">
        <v>159</v>
      </c>
      <c r="J36" s="53" t="s">
        <v>80</v>
      </c>
      <c r="K36" s="53" t="s">
        <v>63</v>
      </c>
      <c r="L36" s="53">
        <v>2</v>
      </c>
      <c r="N36" s="53">
        <v>1</v>
      </c>
      <c r="O36" s="53">
        <v>0.7</v>
      </c>
      <c r="P36" s="53">
        <v>0.7</v>
      </c>
      <c r="Q36" s="16">
        <f t="shared" si="0"/>
        <v>0.7</v>
      </c>
      <c r="R36" s="53">
        <v>15.6</v>
      </c>
      <c r="S36" s="53">
        <v>126</v>
      </c>
      <c r="T36" s="16">
        <f t="shared" si="1"/>
        <v>27</v>
      </c>
      <c r="U36" s="53">
        <v>106</v>
      </c>
      <c r="V36" s="16">
        <f t="shared" si="2"/>
        <v>2862</v>
      </c>
      <c r="W36" s="53">
        <v>1</v>
      </c>
      <c r="X36" s="53" t="s">
        <v>46</v>
      </c>
      <c r="Y36" s="53" t="s">
        <v>84</v>
      </c>
      <c r="Z36" s="53" t="s">
        <v>40</v>
      </c>
      <c r="AA36" s="53" t="s">
        <v>90</v>
      </c>
      <c r="AB36" s="53" t="s">
        <v>239</v>
      </c>
    </row>
    <row r="37" spans="1:28" x14ac:dyDescent="0.15">
      <c r="A37" s="53" t="s">
        <v>56</v>
      </c>
      <c r="B37" s="53" t="s">
        <v>235</v>
      </c>
      <c r="C37" s="53">
        <v>2019</v>
      </c>
      <c r="D37" s="81" t="s">
        <v>236</v>
      </c>
      <c r="E37" s="53" t="s">
        <v>161</v>
      </c>
      <c r="F37" s="53" t="s">
        <v>251</v>
      </c>
      <c r="G37" s="53" t="s">
        <v>42</v>
      </c>
      <c r="H37" s="53" t="s">
        <v>128</v>
      </c>
      <c r="I37" s="53" t="s">
        <v>159</v>
      </c>
      <c r="J37" s="53" t="s">
        <v>80</v>
      </c>
      <c r="K37" s="53" t="s">
        <v>63</v>
      </c>
      <c r="L37" s="53">
        <v>3</v>
      </c>
      <c r="N37" s="53">
        <v>1</v>
      </c>
      <c r="O37" s="53">
        <v>0.7</v>
      </c>
      <c r="P37" s="53">
        <v>0.65</v>
      </c>
      <c r="Q37" s="16">
        <f t="shared" si="0"/>
        <v>0.67500000000000004</v>
      </c>
      <c r="R37" s="53">
        <v>16.5</v>
      </c>
      <c r="S37" s="53">
        <v>119</v>
      </c>
      <c r="T37" s="16">
        <f t="shared" si="1"/>
        <v>30</v>
      </c>
      <c r="U37" s="53">
        <v>106</v>
      </c>
      <c r="V37" s="16">
        <f t="shared" si="2"/>
        <v>3180</v>
      </c>
      <c r="W37" s="53">
        <v>1</v>
      </c>
      <c r="X37" s="53" t="s">
        <v>46</v>
      </c>
      <c r="Y37" s="53" t="s">
        <v>84</v>
      </c>
      <c r="Z37" s="53" t="s">
        <v>40</v>
      </c>
      <c r="AA37" s="53" t="s">
        <v>90</v>
      </c>
      <c r="AB37" s="53" t="s">
        <v>239</v>
      </c>
    </row>
    <row r="38" spans="1:28" x14ac:dyDescent="0.15">
      <c r="A38" s="53" t="s">
        <v>56</v>
      </c>
      <c r="B38" s="53" t="s">
        <v>235</v>
      </c>
      <c r="C38" s="53">
        <v>2019</v>
      </c>
      <c r="D38" s="81" t="s">
        <v>236</v>
      </c>
      <c r="E38" s="53" t="s">
        <v>161</v>
      </c>
      <c r="F38" s="53" t="s">
        <v>251</v>
      </c>
      <c r="G38" s="53" t="s">
        <v>42</v>
      </c>
      <c r="H38" s="53" t="s">
        <v>128</v>
      </c>
      <c r="I38" s="53" t="s">
        <v>159</v>
      </c>
      <c r="J38" s="53" t="s">
        <v>80</v>
      </c>
      <c r="K38" s="53" t="s">
        <v>45</v>
      </c>
      <c r="L38" s="53">
        <v>1</v>
      </c>
      <c r="N38" s="53">
        <v>5</v>
      </c>
      <c r="O38" s="53">
        <v>1.3</v>
      </c>
      <c r="P38" s="53">
        <v>1.5</v>
      </c>
      <c r="Q38" s="16">
        <f t="shared" si="0"/>
        <v>1.4</v>
      </c>
      <c r="R38" s="53">
        <v>13.5</v>
      </c>
      <c r="S38" s="53">
        <v>92</v>
      </c>
      <c r="T38" s="16">
        <f t="shared" si="1"/>
        <v>36</v>
      </c>
      <c r="U38" s="53">
        <v>429</v>
      </c>
      <c r="V38" s="16">
        <f t="shared" si="2"/>
        <v>3088.7999999999997</v>
      </c>
      <c r="W38" s="53">
        <v>1</v>
      </c>
      <c r="X38" s="53" t="s">
        <v>46</v>
      </c>
      <c r="Y38" s="53" t="s">
        <v>84</v>
      </c>
      <c r="Z38" s="53" t="s">
        <v>40</v>
      </c>
      <c r="AA38" s="53" t="s">
        <v>90</v>
      </c>
      <c r="AB38" s="53" t="s">
        <v>239</v>
      </c>
    </row>
    <row r="39" spans="1:28" x14ac:dyDescent="0.15">
      <c r="A39" s="53" t="s">
        <v>56</v>
      </c>
      <c r="B39" s="53" t="s">
        <v>235</v>
      </c>
      <c r="C39" s="53">
        <v>2019</v>
      </c>
      <c r="D39" s="81" t="s">
        <v>236</v>
      </c>
      <c r="E39" s="53" t="s">
        <v>161</v>
      </c>
      <c r="F39" s="53" t="s">
        <v>251</v>
      </c>
      <c r="G39" s="53" t="s">
        <v>42</v>
      </c>
      <c r="H39" s="53" t="s">
        <v>128</v>
      </c>
      <c r="I39" s="53" t="s">
        <v>159</v>
      </c>
      <c r="J39" s="53" t="s">
        <v>80</v>
      </c>
      <c r="K39" s="53" t="s">
        <v>45</v>
      </c>
      <c r="L39" s="53">
        <v>2</v>
      </c>
      <c r="N39" s="53">
        <v>5</v>
      </c>
      <c r="O39" s="53">
        <v>1.3</v>
      </c>
      <c r="P39" s="53">
        <v>1.4</v>
      </c>
      <c r="Q39" s="16">
        <f t="shared" si="0"/>
        <v>1.35</v>
      </c>
      <c r="R39" s="53">
        <v>13.9</v>
      </c>
      <c r="S39" s="53">
        <v>92</v>
      </c>
      <c r="T39" s="16">
        <f t="shared" si="1"/>
        <v>36</v>
      </c>
      <c r="U39" s="53">
        <v>429</v>
      </c>
      <c r="V39" s="16">
        <f t="shared" si="2"/>
        <v>3088.7999999999997</v>
      </c>
      <c r="W39" s="53">
        <v>1</v>
      </c>
      <c r="X39" s="53" t="s">
        <v>46</v>
      </c>
      <c r="Y39" s="53" t="s">
        <v>84</v>
      </c>
      <c r="Z39" s="53" t="s">
        <v>40</v>
      </c>
      <c r="AA39" s="53" t="s">
        <v>90</v>
      </c>
      <c r="AB39" s="53" t="s">
        <v>239</v>
      </c>
    </row>
    <row r="40" spans="1:28" x14ac:dyDescent="0.15">
      <c r="A40" s="53" t="s">
        <v>56</v>
      </c>
      <c r="B40" s="53" t="s">
        <v>235</v>
      </c>
      <c r="C40" s="53">
        <v>2019</v>
      </c>
      <c r="D40" s="81" t="s">
        <v>236</v>
      </c>
      <c r="E40" s="53" t="s">
        <v>161</v>
      </c>
      <c r="F40" s="53" t="s">
        <v>251</v>
      </c>
      <c r="G40" s="53" t="s">
        <v>42</v>
      </c>
      <c r="H40" s="53" t="s">
        <v>128</v>
      </c>
      <c r="I40" s="53" t="s">
        <v>159</v>
      </c>
      <c r="J40" s="53" t="s">
        <v>80</v>
      </c>
      <c r="K40" s="53" t="s">
        <v>45</v>
      </c>
      <c r="L40" s="53">
        <v>3</v>
      </c>
      <c r="N40" s="53">
        <v>5</v>
      </c>
      <c r="O40" s="53">
        <v>1.1499999999999999</v>
      </c>
      <c r="P40" s="53">
        <v>1.2</v>
      </c>
      <c r="Q40" s="16">
        <f t="shared" si="0"/>
        <v>1.1749999999999998</v>
      </c>
      <c r="R40" s="53">
        <v>15.7</v>
      </c>
      <c r="S40" s="53">
        <v>95</v>
      </c>
      <c r="T40" s="16">
        <f t="shared" si="1"/>
        <v>36</v>
      </c>
      <c r="U40" s="53">
        <v>429</v>
      </c>
      <c r="V40" s="16">
        <f t="shared" si="2"/>
        <v>3088.7999999999997</v>
      </c>
      <c r="W40" s="53">
        <v>1</v>
      </c>
      <c r="X40" s="53" t="s">
        <v>46</v>
      </c>
      <c r="Y40" s="53" t="s">
        <v>84</v>
      </c>
      <c r="Z40" s="53" t="s">
        <v>40</v>
      </c>
      <c r="AA40" s="53" t="s">
        <v>90</v>
      </c>
      <c r="AB40" s="53" t="s">
        <v>239</v>
      </c>
    </row>
    <row r="41" spans="1:28" x14ac:dyDescent="0.15">
      <c r="A41" s="53" t="s">
        <v>56</v>
      </c>
      <c r="B41" s="53" t="s">
        <v>235</v>
      </c>
      <c r="C41" s="53">
        <v>2019</v>
      </c>
      <c r="D41" s="81" t="s">
        <v>236</v>
      </c>
      <c r="E41" s="53" t="s">
        <v>259</v>
      </c>
      <c r="F41" s="53" t="s">
        <v>251</v>
      </c>
      <c r="G41" s="53" t="s">
        <v>42</v>
      </c>
      <c r="H41" s="53" t="s">
        <v>127</v>
      </c>
      <c r="I41" s="53" t="s">
        <v>159</v>
      </c>
      <c r="J41" s="53" t="s">
        <v>53</v>
      </c>
      <c r="K41" s="53" t="s">
        <v>54</v>
      </c>
      <c r="L41" s="53">
        <v>1</v>
      </c>
      <c r="N41" s="53">
        <v>1</v>
      </c>
      <c r="O41" s="53">
        <v>1.1000000000000001</v>
      </c>
      <c r="P41" s="53">
        <v>1.3</v>
      </c>
      <c r="Q41" s="16">
        <f t="shared" si="0"/>
        <v>1.2000000000000002</v>
      </c>
      <c r="R41" s="53">
        <v>14.2</v>
      </c>
      <c r="S41" s="53">
        <v>133</v>
      </c>
      <c r="T41" s="16">
        <f t="shared" si="1"/>
        <v>25</v>
      </c>
      <c r="U41" s="53">
        <v>138</v>
      </c>
      <c r="V41" s="16">
        <f t="shared" si="2"/>
        <v>3450</v>
      </c>
      <c r="W41" s="53">
        <v>1</v>
      </c>
      <c r="X41" s="53" t="s">
        <v>39</v>
      </c>
      <c r="Y41" s="53" t="s">
        <v>84</v>
      </c>
      <c r="Z41" s="53" t="s">
        <v>40</v>
      </c>
      <c r="AA41" s="53" t="s">
        <v>90</v>
      </c>
      <c r="AB41" s="53" t="s">
        <v>239</v>
      </c>
    </row>
    <row r="42" spans="1:28" x14ac:dyDescent="0.15">
      <c r="A42" s="53" t="s">
        <v>56</v>
      </c>
      <c r="B42" s="53" t="s">
        <v>235</v>
      </c>
      <c r="C42" s="53">
        <v>2019</v>
      </c>
      <c r="D42" s="81" t="s">
        <v>236</v>
      </c>
      <c r="E42" s="53" t="s">
        <v>259</v>
      </c>
      <c r="F42" s="53" t="s">
        <v>251</v>
      </c>
      <c r="G42" s="53" t="s">
        <v>42</v>
      </c>
      <c r="H42" s="53" t="s">
        <v>127</v>
      </c>
      <c r="I42" s="53" t="s">
        <v>159</v>
      </c>
      <c r="J42" s="53" t="s">
        <v>53</v>
      </c>
      <c r="K42" s="53" t="s">
        <v>54</v>
      </c>
      <c r="L42" s="53">
        <v>2</v>
      </c>
      <c r="N42" s="53">
        <v>1</v>
      </c>
      <c r="O42" s="53">
        <v>1.3</v>
      </c>
      <c r="P42" s="53">
        <v>1</v>
      </c>
      <c r="Q42" s="16">
        <f t="shared" si="0"/>
        <v>1.1499999999999999</v>
      </c>
      <c r="R42" s="53">
        <v>14.2</v>
      </c>
      <c r="S42" s="53">
        <v>131</v>
      </c>
      <c r="T42" s="16">
        <f t="shared" si="1"/>
        <v>25</v>
      </c>
      <c r="U42" s="53">
        <v>138</v>
      </c>
      <c r="V42" s="16">
        <f t="shared" si="2"/>
        <v>3450</v>
      </c>
      <c r="W42" s="53">
        <v>1</v>
      </c>
      <c r="X42" s="53" t="s">
        <v>39</v>
      </c>
      <c r="Y42" s="53" t="s">
        <v>84</v>
      </c>
      <c r="Z42" s="53" t="s">
        <v>40</v>
      </c>
      <c r="AA42" s="53" t="s">
        <v>90</v>
      </c>
      <c r="AB42" s="53" t="s">
        <v>239</v>
      </c>
    </row>
    <row r="43" spans="1:28" x14ac:dyDescent="0.15">
      <c r="A43" s="53" t="s">
        <v>56</v>
      </c>
      <c r="B43" s="53" t="s">
        <v>235</v>
      </c>
      <c r="C43" s="53">
        <v>2019</v>
      </c>
      <c r="D43" s="81" t="s">
        <v>236</v>
      </c>
      <c r="E43" s="53" t="s">
        <v>259</v>
      </c>
      <c r="F43" s="53" t="s">
        <v>251</v>
      </c>
      <c r="G43" s="53" t="s">
        <v>42</v>
      </c>
      <c r="H43" s="53" t="s">
        <v>127</v>
      </c>
      <c r="I43" s="53" t="s">
        <v>159</v>
      </c>
      <c r="J43" s="53" t="s">
        <v>53</v>
      </c>
      <c r="K43" s="53" t="s">
        <v>54</v>
      </c>
      <c r="L43" s="53">
        <v>3</v>
      </c>
      <c r="N43" s="53">
        <v>1</v>
      </c>
      <c r="O43" s="53">
        <v>0.6</v>
      </c>
      <c r="P43" s="53">
        <v>0.65</v>
      </c>
      <c r="Q43" s="16">
        <f t="shared" si="0"/>
        <v>0.625</v>
      </c>
      <c r="R43" s="53">
        <v>12.1</v>
      </c>
      <c r="S43" s="53">
        <v>138</v>
      </c>
      <c r="T43" s="16">
        <f t="shared" si="1"/>
        <v>22</v>
      </c>
      <c r="U43" s="53">
        <v>138</v>
      </c>
      <c r="V43" s="16">
        <f t="shared" si="2"/>
        <v>3036</v>
      </c>
      <c r="W43" s="53">
        <v>1</v>
      </c>
      <c r="X43" s="53" t="s">
        <v>39</v>
      </c>
      <c r="Y43" s="53" t="s">
        <v>84</v>
      </c>
      <c r="Z43" s="53" t="s">
        <v>40</v>
      </c>
      <c r="AA43" s="53" t="s">
        <v>90</v>
      </c>
      <c r="AB43" s="53" t="s">
        <v>239</v>
      </c>
    </row>
    <row r="44" spans="1:28" x14ac:dyDescent="0.15">
      <c r="A44" s="53" t="s">
        <v>56</v>
      </c>
      <c r="B44" s="53" t="s">
        <v>235</v>
      </c>
      <c r="C44" s="53">
        <v>2019</v>
      </c>
      <c r="D44" s="81" t="s">
        <v>236</v>
      </c>
      <c r="E44" s="53" t="s">
        <v>260</v>
      </c>
      <c r="F44" s="53" t="s">
        <v>241</v>
      </c>
      <c r="G44" s="53" t="s">
        <v>42</v>
      </c>
      <c r="H44" s="53" t="s">
        <v>163</v>
      </c>
      <c r="I44" s="53" t="s">
        <v>159</v>
      </c>
      <c r="J44" s="53" t="s">
        <v>38</v>
      </c>
      <c r="K44" s="53" t="s">
        <v>160</v>
      </c>
      <c r="L44" s="53">
        <v>1</v>
      </c>
      <c r="N44" s="53">
        <v>5</v>
      </c>
      <c r="O44" s="53">
        <v>0.65</v>
      </c>
      <c r="P44" s="53">
        <v>0.6</v>
      </c>
      <c r="Q44" s="16">
        <f t="shared" si="0"/>
        <v>0.625</v>
      </c>
      <c r="R44" s="53">
        <v>15.3</v>
      </c>
      <c r="S44" s="53">
        <v>103</v>
      </c>
      <c r="T44" s="16">
        <f t="shared" si="1"/>
        <v>33</v>
      </c>
      <c r="U44" s="53">
        <v>386</v>
      </c>
      <c r="V44" s="16">
        <f t="shared" si="2"/>
        <v>2547.6</v>
      </c>
      <c r="W44" s="53">
        <v>1</v>
      </c>
      <c r="X44" s="53" t="s">
        <v>39</v>
      </c>
      <c r="Y44" s="53" t="s">
        <v>84</v>
      </c>
      <c r="Z44" s="53" t="s">
        <v>90</v>
      </c>
      <c r="AA44" s="53" t="s">
        <v>40</v>
      </c>
      <c r="AB44" s="53" t="s">
        <v>239</v>
      </c>
    </row>
    <row r="45" spans="1:28" x14ac:dyDescent="0.15">
      <c r="A45" s="53" t="s">
        <v>56</v>
      </c>
      <c r="B45" s="53" t="s">
        <v>235</v>
      </c>
      <c r="C45" s="53">
        <v>2019</v>
      </c>
      <c r="D45" s="81" t="s">
        <v>236</v>
      </c>
      <c r="E45" s="53" t="s">
        <v>260</v>
      </c>
      <c r="F45" s="53" t="s">
        <v>241</v>
      </c>
      <c r="G45" s="53" t="s">
        <v>42</v>
      </c>
      <c r="H45" s="53" t="s">
        <v>163</v>
      </c>
      <c r="I45" s="53" t="s">
        <v>159</v>
      </c>
      <c r="J45" s="53" t="s">
        <v>38</v>
      </c>
      <c r="K45" s="53" t="s">
        <v>160</v>
      </c>
      <c r="L45" s="53">
        <v>2</v>
      </c>
      <c r="N45" s="53">
        <v>5</v>
      </c>
      <c r="O45" s="53">
        <v>0.5</v>
      </c>
      <c r="P45" s="53">
        <v>0.5</v>
      </c>
      <c r="Q45" s="16">
        <f t="shared" si="0"/>
        <v>0.5</v>
      </c>
      <c r="R45" s="53">
        <v>14.5</v>
      </c>
      <c r="S45" s="53">
        <v>93</v>
      </c>
      <c r="T45" s="16">
        <f t="shared" si="1"/>
        <v>36</v>
      </c>
      <c r="U45" s="53">
        <v>386</v>
      </c>
      <c r="V45" s="16">
        <f t="shared" si="2"/>
        <v>2779.2000000000003</v>
      </c>
      <c r="W45" s="53">
        <v>1</v>
      </c>
      <c r="X45" s="53" t="s">
        <v>39</v>
      </c>
      <c r="Y45" s="53" t="s">
        <v>84</v>
      </c>
      <c r="Z45" s="53" t="s">
        <v>90</v>
      </c>
      <c r="AA45" s="53" t="s">
        <v>40</v>
      </c>
      <c r="AB45" s="53" t="s">
        <v>239</v>
      </c>
    </row>
    <row r="46" spans="1:28" x14ac:dyDescent="0.15">
      <c r="A46" s="53" t="s">
        <v>56</v>
      </c>
      <c r="B46" s="53" t="s">
        <v>235</v>
      </c>
      <c r="C46" s="53">
        <v>2019</v>
      </c>
      <c r="D46" s="81" t="s">
        <v>236</v>
      </c>
      <c r="E46" s="53" t="s">
        <v>260</v>
      </c>
      <c r="F46" s="53" t="s">
        <v>241</v>
      </c>
      <c r="G46" s="53" t="s">
        <v>42</v>
      </c>
      <c r="H46" s="53" t="s">
        <v>163</v>
      </c>
      <c r="I46" s="53" t="s">
        <v>159</v>
      </c>
      <c r="J46" s="53" t="s">
        <v>38</v>
      </c>
      <c r="K46" s="53" t="s">
        <v>160</v>
      </c>
      <c r="L46" s="53">
        <v>3</v>
      </c>
      <c r="N46" s="53">
        <v>5</v>
      </c>
      <c r="O46" s="53">
        <v>0.75</v>
      </c>
      <c r="P46" s="53">
        <v>0.7</v>
      </c>
      <c r="Q46" s="16">
        <f t="shared" si="0"/>
        <v>0.72499999999999998</v>
      </c>
      <c r="R46" s="53">
        <v>15.5</v>
      </c>
      <c r="S46" s="53">
        <v>98</v>
      </c>
      <c r="T46" s="16">
        <f t="shared" si="1"/>
        <v>36</v>
      </c>
      <c r="U46" s="53">
        <v>386</v>
      </c>
      <c r="V46" s="16">
        <f t="shared" si="2"/>
        <v>2779.2000000000003</v>
      </c>
      <c r="W46" s="53">
        <v>1</v>
      </c>
      <c r="X46" s="53" t="s">
        <v>39</v>
      </c>
      <c r="Y46" s="53" t="s">
        <v>84</v>
      </c>
      <c r="Z46" s="53" t="s">
        <v>90</v>
      </c>
      <c r="AA46" s="53" t="s">
        <v>40</v>
      </c>
      <c r="AB46" s="53" t="s">
        <v>239</v>
      </c>
    </row>
    <row r="47" spans="1:28" x14ac:dyDescent="0.15">
      <c r="A47" s="53" t="s">
        <v>56</v>
      </c>
      <c r="B47" s="53" t="s">
        <v>235</v>
      </c>
      <c r="C47" s="53">
        <v>2019</v>
      </c>
      <c r="D47" s="81" t="s">
        <v>236</v>
      </c>
      <c r="E47" s="53" t="s">
        <v>260</v>
      </c>
      <c r="F47" s="53" t="s">
        <v>241</v>
      </c>
      <c r="G47" s="53" t="s">
        <v>42</v>
      </c>
      <c r="H47" s="53" t="s">
        <v>128</v>
      </c>
      <c r="I47" s="53" t="s">
        <v>159</v>
      </c>
      <c r="J47" s="53" t="s">
        <v>80</v>
      </c>
      <c r="K47" s="53" t="s">
        <v>63</v>
      </c>
      <c r="L47" s="53">
        <v>1</v>
      </c>
      <c r="N47" s="53">
        <v>4</v>
      </c>
      <c r="O47" s="53">
        <v>0.9</v>
      </c>
      <c r="P47" s="53">
        <v>0.85</v>
      </c>
      <c r="Q47" s="16">
        <f t="shared" si="0"/>
        <v>0.875</v>
      </c>
      <c r="R47" s="53">
        <v>17</v>
      </c>
      <c r="S47" s="53">
        <v>104</v>
      </c>
      <c r="T47" s="16">
        <f t="shared" si="1"/>
        <v>33</v>
      </c>
      <c r="U47" s="53">
        <v>386</v>
      </c>
      <c r="V47" s="16">
        <f t="shared" si="2"/>
        <v>3184.5</v>
      </c>
      <c r="W47" s="53">
        <v>1</v>
      </c>
      <c r="X47" s="53" t="s">
        <v>39</v>
      </c>
      <c r="Y47" s="53" t="s">
        <v>84</v>
      </c>
      <c r="Z47" s="53" t="s">
        <v>90</v>
      </c>
      <c r="AA47" s="53" t="s">
        <v>40</v>
      </c>
      <c r="AB47" s="53" t="s">
        <v>239</v>
      </c>
    </row>
    <row r="48" spans="1:28" x14ac:dyDescent="0.15">
      <c r="A48" s="53" t="s">
        <v>56</v>
      </c>
      <c r="B48" s="53" t="s">
        <v>235</v>
      </c>
      <c r="C48" s="53">
        <v>2019</v>
      </c>
      <c r="D48" s="81" t="s">
        <v>236</v>
      </c>
      <c r="E48" s="53" t="s">
        <v>260</v>
      </c>
      <c r="F48" s="53" t="s">
        <v>241</v>
      </c>
      <c r="G48" s="53" t="s">
        <v>42</v>
      </c>
      <c r="H48" s="53" t="s">
        <v>128</v>
      </c>
      <c r="I48" s="53" t="s">
        <v>159</v>
      </c>
      <c r="J48" s="53" t="s">
        <v>80</v>
      </c>
      <c r="K48" s="53" t="s">
        <v>63</v>
      </c>
      <c r="L48" s="53">
        <v>2</v>
      </c>
      <c r="N48" s="53">
        <v>4</v>
      </c>
      <c r="O48" s="53">
        <v>0.9</v>
      </c>
      <c r="P48" s="53">
        <v>0.85</v>
      </c>
      <c r="Q48" s="16">
        <f t="shared" si="0"/>
        <v>0.875</v>
      </c>
      <c r="R48" s="53">
        <v>16.8</v>
      </c>
      <c r="S48" s="53">
        <v>82</v>
      </c>
      <c r="T48" s="16">
        <f t="shared" si="1"/>
        <v>39</v>
      </c>
      <c r="U48" s="53">
        <v>386</v>
      </c>
      <c r="V48" s="16">
        <f t="shared" si="2"/>
        <v>3763.5</v>
      </c>
      <c r="W48" s="53">
        <v>1</v>
      </c>
      <c r="X48" s="53" t="s">
        <v>39</v>
      </c>
      <c r="Y48" s="53" t="s">
        <v>84</v>
      </c>
      <c r="Z48" s="53" t="s">
        <v>90</v>
      </c>
      <c r="AA48" s="53" t="s">
        <v>40</v>
      </c>
      <c r="AB48" s="53" t="s">
        <v>239</v>
      </c>
    </row>
    <row r="49" spans="1:28" x14ac:dyDescent="0.15">
      <c r="A49" s="53" t="s">
        <v>56</v>
      </c>
      <c r="B49" s="53" t="s">
        <v>235</v>
      </c>
      <c r="C49" s="53">
        <v>2019</v>
      </c>
      <c r="D49" s="81" t="s">
        <v>236</v>
      </c>
      <c r="E49" s="53" t="s">
        <v>260</v>
      </c>
      <c r="F49" s="53" t="s">
        <v>241</v>
      </c>
      <c r="G49" s="53" t="s">
        <v>42</v>
      </c>
      <c r="H49" s="53" t="s">
        <v>128</v>
      </c>
      <c r="I49" s="53" t="s">
        <v>159</v>
      </c>
      <c r="J49" s="53" t="s">
        <v>80</v>
      </c>
      <c r="K49" s="53" t="s">
        <v>63</v>
      </c>
      <c r="L49" s="53">
        <v>3</v>
      </c>
      <c r="N49" s="53">
        <v>4</v>
      </c>
      <c r="O49" s="53">
        <v>0.75</v>
      </c>
      <c r="P49" s="53">
        <v>0.8</v>
      </c>
      <c r="Q49" s="16">
        <f t="shared" si="0"/>
        <v>0.77500000000000002</v>
      </c>
      <c r="R49" s="53">
        <v>17.7</v>
      </c>
      <c r="S49" s="53">
        <v>112</v>
      </c>
      <c r="T49" s="16">
        <f t="shared" si="1"/>
        <v>33</v>
      </c>
      <c r="U49" s="53">
        <v>386</v>
      </c>
      <c r="V49" s="16">
        <f t="shared" si="2"/>
        <v>3184.5</v>
      </c>
      <c r="W49" s="53">
        <v>1</v>
      </c>
      <c r="X49" s="53" t="s">
        <v>39</v>
      </c>
      <c r="Y49" s="53" t="s">
        <v>84</v>
      </c>
      <c r="Z49" s="53" t="s">
        <v>90</v>
      </c>
      <c r="AA49" s="53" t="s">
        <v>40</v>
      </c>
      <c r="AB49" s="53" t="s">
        <v>239</v>
      </c>
    </row>
    <row r="50" spans="1:28" x14ac:dyDescent="0.15">
      <c r="A50" s="53" t="s">
        <v>56</v>
      </c>
      <c r="B50" s="53" t="s">
        <v>235</v>
      </c>
      <c r="C50" s="53">
        <v>2019</v>
      </c>
      <c r="D50" s="81" t="s">
        <v>236</v>
      </c>
      <c r="E50" s="53" t="s">
        <v>252</v>
      </c>
      <c r="F50" s="53" t="s">
        <v>254</v>
      </c>
      <c r="G50" s="53" t="s">
        <v>42</v>
      </c>
      <c r="H50" s="53" t="s">
        <v>163</v>
      </c>
      <c r="I50" s="53" t="s">
        <v>159</v>
      </c>
      <c r="J50" s="53" t="s">
        <v>38</v>
      </c>
      <c r="K50" s="53" t="s">
        <v>160</v>
      </c>
      <c r="L50" s="53">
        <v>1</v>
      </c>
      <c r="N50" s="53">
        <v>7</v>
      </c>
      <c r="O50" s="53">
        <v>0.85</v>
      </c>
      <c r="P50" s="53">
        <v>0.8</v>
      </c>
      <c r="Q50" s="16">
        <f t="shared" si="0"/>
        <v>0.82499999999999996</v>
      </c>
      <c r="R50" s="53">
        <v>14.9</v>
      </c>
      <c r="S50" s="53">
        <v>104</v>
      </c>
      <c r="T50" s="16">
        <f t="shared" si="1"/>
        <v>33</v>
      </c>
      <c r="U50" s="53">
        <v>378</v>
      </c>
      <c r="V50" s="16">
        <f t="shared" si="2"/>
        <v>1782</v>
      </c>
      <c r="W50" s="53">
        <v>4</v>
      </c>
      <c r="X50" s="53" t="s">
        <v>46</v>
      </c>
      <c r="Y50" s="53" t="s">
        <v>40</v>
      </c>
      <c r="Z50" s="53" t="s">
        <v>84</v>
      </c>
      <c r="AA50" s="53" t="s">
        <v>90</v>
      </c>
      <c r="AB50" s="53" t="s">
        <v>239</v>
      </c>
    </row>
    <row r="51" spans="1:28" x14ac:dyDescent="0.15">
      <c r="A51" s="53" t="s">
        <v>56</v>
      </c>
      <c r="B51" s="53" t="s">
        <v>235</v>
      </c>
      <c r="C51" s="53">
        <v>2019</v>
      </c>
      <c r="D51" s="81" t="s">
        <v>236</v>
      </c>
      <c r="E51" s="53" t="s">
        <v>252</v>
      </c>
      <c r="F51" s="53" t="s">
        <v>254</v>
      </c>
      <c r="G51" s="53" t="s">
        <v>42</v>
      </c>
      <c r="H51" s="53" t="s">
        <v>163</v>
      </c>
      <c r="I51" s="53" t="s">
        <v>159</v>
      </c>
      <c r="J51" s="53" t="s">
        <v>38</v>
      </c>
      <c r="K51" s="53" t="s">
        <v>160</v>
      </c>
      <c r="L51" s="53">
        <v>2</v>
      </c>
      <c r="N51" s="53">
        <v>7</v>
      </c>
      <c r="O51" s="53">
        <v>0.8</v>
      </c>
      <c r="P51" s="53">
        <v>0.75</v>
      </c>
      <c r="Q51" s="16">
        <f t="shared" si="0"/>
        <v>0.77500000000000002</v>
      </c>
      <c r="R51" s="53">
        <v>15</v>
      </c>
      <c r="S51" s="53">
        <v>95</v>
      </c>
      <c r="T51" s="16">
        <f t="shared" si="1"/>
        <v>36</v>
      </c>
      <c r="U51" s="53">
        <v>378</v>
      </c>
      <c r="V51" s="16">
        <f t="shared" si="2"/>
        <v>1944</v>
      </c>
      <c r="W51" s="53">
        <v>4</v>
      </c>
      <c r="X51" s="53" t="s">
        <v>46</v>
      </c>
      <c r="Y51" s="53" t="s">
        <v>40</v>
      </c>
      <c r="Z51" s="53" t="s">
        <v>84</v>
      </c>
      <c r="AA51" s="53" t="s">
        <v>90</v>
      </c>
      <c r="AB51" s="53" t="s">
        <v>239</v>
      </c>
    </row>
    <row r="52" spans="1:28" x14ac:dyDescent="0.15">
      <c r="A52" s="53" t="s">
        <v>56</v>
      </c>
      <c r="B52" s="53" t="s">
        <v>235</v>
      </c>
      <c r="C52" s="53">
        <v>2019</v>
      </c>
      <c r="D52" s="81" t="s">
        <v>236</v>
      </c>
      <c r="E52" s="53" t="s">
        <v>252</v>
      </c>
      <c r="F52" s="53" t="s">
        <v>254</v>
      </c>
      <c r="G52" s="53" t="s">
        <v>42</v>
      </c>
      <c r="H52" s="53" t="s">
        <v>163</v>
      </c>
      <c r="I52" s="53" t="s">
        <v>159</v>
      </c>
      <c r="J52" s="53" t="s">
        <v>38</v>
      </c>
      <c r="K52" s="53" t="s">
        <v>160</v>
      </c>
      <c r="L52" s="53">
        <v>3</v>
      </c>
      <c r="N52" s="53">
        <v>7</v>
      </c>
      <c r="O52" s="53">
        <v>0.5</v>
      </c>
      <c r="P52" s="53">
        <v>0.5</v>
      </c>
      <c r="Q52" s="16">
        <f t="shared" si="0"/>
        <v>0.5</v>
      </c>
      <c r="R52" s="53">
        <v>13.9</v>
      </c>
      <c r="S52" s="53">
        <v>99</v>
      </c>
      <c r="T52" s="16">
        <f t="shared" si="1"/>
        <v>33</v>
      </c>
      <c r="U52" s="53">
        <v>378</v>
      </c>
      <c r="V52" s="16">
        <f t="shared" si="2"/>
        <v>1782</v>
      </c>
      <c r="W52" s="53">
        <v>4</v>
      </c>
      <c r="X52" s="53" t="s">
        <v>46</v>
      </c>
      <c r="Y52" s="53" t="s">
        <v>40</v>
      </c>
      <c r="Z52" s="53" t="s">
        <v>84</v>
      </c>
      <c r="AA52" s="53" t="s">
        <v>90</v>
      </c>
      <c r="AB52" s="53" t="s">
        <v>239</v>
      </c>
    </row>
    <row r="53" spans="1:28" x14ac:dyDescent="0.15">
      <c r="A53" s="53" t="s">
        <v>56</v>
      </c>
      <c r="B53" s="53" t="s">
        <v>235</v>
      </c>
      <c r="C53" s="53">
        <v>2019</v>
      </c>
      <c r="D53" s="81" t="s">
        <v>236</v>
      </c>
      <c r="E53" s="53" t="s">
        <v>261</v>
      </c>
      <c r="F53" s="53" t="s">
        <v>254</v>
      </c>
      <c r="G53" s="53" t="s">
        <v>42</v>
      </c>
      <c r="H53" s="53" t="s">
        <v>163</v>
      </c>
      <c r="I53" s="53" t="s">
        <v>159</v>
      </c>
      <c r="J53" s="53" t="s">
        <v>38</v>
      </c>
      <c r="K53" s="53" t="s">
        <v>160</v>
      </c>
      <c r="L53" s="53">
        <v>1</v>
      </c>
      <c r="N53" s="53">
        <v>5</v>
      </c>
      <c r="O53" s="53">
        <v>0.7</v>
      </c>
      <c r="P53" s="53">
        <v>0.7</v>
      </c>
      <c r="Q53" s="16">
        <f t="shared" si="0"/>
        <v>0.7</v>
      </c>
      <c r="R53" s="53">
        <v>14.6</v>
      </c>
      <c r="S53" s="53">
        <v>91</v>
      </c>
      <c r="T53" s="16">
        <f t="shared" si="1"/>
        <v>36</v>
      </c>
      <c r="U53" s="53">
        <v>429</v>
      </c>
      <c r="V53" s="16">
        <f t="shared" si="2"/>
        <v>3088.7999999999997</v>
      </c>
      <c r="W53" s="53">
        <v>4</v>
      </c>
      <c r="X53" s="53" t="s">
        <v>46</v>
      </c>
      <c r="Y53" s="53" t="s">
        <v>84</v>
      </c>
      <c r="Z53" s="53" t="s">
        <v>40</v>
      </c>
      <c r="AA53" s="53" t="s">
        <v>90</v>
      </c>
      <c r="AB53" s="53" t="s">
        <v>239</v>
      </c>
    </row>
    <row r="54" spans="1:28" x14ac:dyDescent="0.15">
      <c r="A54" s="53" t="s">
        <v>56</v>
      </c>
      <c r="B54" s="53" t="s">
        <v>235</v>
      </c>
      <c r="C54" s="53">
        <v>2019</v>
      </c>
      <c r="D54" s="81" t="s">
        <v>236</v>
      </c>
      <c r="E54" s="53" t="s">
        <v>261</v>
      </c>
      <c r="F54" s="53" t="s">
        <v>254</v>
      </c>
      <c r="G54" s="53" t="s">
        <v>42</v>
      </c>
      <c r="H54" s="53" t="s">
        <v>163</v>
      </c>
      <c r="I54" s="53" t="s">
        <v>159</v>
      </c>
      <c r="J54" s="53" t="s">
        <v>38</v>
      </c>
      <c r="K54" s="53" t="s">
        <v>160</v>
      </c>
      <c r="L54" s="53">
        <v>2</v>
      </c>
      <c r="N54" s="53">
        <v>5</v>
      </c>
      <c r="O54" s="53">
        <v>0.65</v>
      </c>
      <c r="P54" s="53">
        <v>0.6</v>
      </c>
      <c r="Q54" s="16">
        <f t="shared" si="0"/>
        <v>0.625</v>
      </c>
      <c r="R54" s="53">
        <v>12.8</v>
      </c>
      <c r="S54" s="53">
        <v>83</v>
      </c>
      <c r="T54" s="16">
        <f t="shared" si="1"/>
        <v>39</v>
      </c>
      <c r="U54" s="53">
        <v>429</v>
      </c>
      <c r="V54" s="16">
        <f t="shared" si="2"/>
        <v>3346.2</v>
      </c>
      <c r="W54" s="53">
        <v>4</v>
      </c>
      <c r="X54" s="53" t="s">
        <v>46</v>
      </c>
      <c r="Y54" s="53" t="s">
        <v>84</v>
      </c>
      <c r="Z54" s="53" t="s">
        <v>40</v>
      </c>
      <c r="AA54" s="53" t="s">
        <v>90</v>
      </c>
      <c r="AB54" s="53" t="s">
        <v>239</v>
      </c>
    </row>
    <row r="55" spans="1:28" x14ac:dyDescent="0.15">
      <c r="A55" s="53" t="s">
        <v>56</v>
      </c>
      <c r="B55" s="53" t="s">
        <v>235</v>
      </c>
      <c r="C55" s="53">
        <v>2019</v>
      </c>
      <c r="D55" s="81" t="s">
        <v>236</v>
      </c>
      <c r="E55" s="53" t="s">
        <v>261</v>
      </c>
      <c r="F55" s="53" t="s">
        <v>254</v>
      </c>
      <c r="G55" s="53" t="s">
        <v>42</v>
      </c>
      <c r="H55" s="53" t="s">
        <v>163</v>
      </c>
      <c r="I55" s="53" t="s">
        <v>159</v>
      </c>
      <c r="J55" s="53" t="s">
        <v>38</v>
      </c>
      <c r="K55" s="53" t="s">
        <v>160</v>
      </c>
      <c r="L55" s="53">
        <v>3</v>
      </c>
      <c r="N55" s="53">
        <v>5</v>
      </c>
      <c r="O55" s="53">
        <v>0.8</v>
      </c>
      <c r="P55" s="53">
        <v>0.75</v>
      </c>
      <c r="Q55" s="16">
        <f t="shared" si="0"/>
        <v>0.77500000000000002</v>
      </c>
      <c r="R55" s="53">
        <v>12</v>
      </c>
      <c r="S55" s="53">
        <v>88</v>
      </c>
      <c r="T55" s="16">
        <f t="shared" si="1"/>
        <v>36</v>
      </c>
      <c r="U55" s="53">
        <v>429</v>
      </c>
      <c r="V55" s="16">
        <f t="shared" si="2"/>
        <v>3088.7999999999997</v>
      </c>
      <c r="W55" s="53">
        <v>4</v>
      </c>
      <c r="X55" s="53" t="s">
        <v>46</v>
      </c>
      <c r="Y55" s="53" t="s">
        <v>84</v>
      </c>
      <c r="Z55" s="53" t="s">
        <v>40</v>
      </c>
      <c r="AA55" s="53" t="s">
        <v>90</v>
      </c>
      <c r="AB55" s="53" t="s">
        <v>239</v>
      </c>
    </row>
    <row r="56" spans="1:28" x14ac:dyDescent="0.15">
      <c r="D56" s="81"/>
    </row>
    <row r="57" spans="1:28" x14ac:dyDescent="0.15">
      <c r="D57" s="81"/>
    </row>
    <row r="58" spans="1:28" x14ac:dyDescent="0.15">
      <c r="D58" s="81"/>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0F32A05C-C98C-4F0B-A3BA-391DD9662097}">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7816617E-E48A-47DF-8700-BC654FC80D87}">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D363365E-DF9F-4AC9-A5A4-E745C001835A}">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7C42F733-F263-4E1C-8111-902B70A18605}">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7E31BDB6-C694-468E-9908-9F6FBF657889}">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025E0503-0DC5-449F-A05E-3ACF98C34EC7}"/>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ECB45B81-B141-458B-AC45-3CE2A126307F}">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8FFD21A6-CB30-4BDF-B70A-2D949C13EAA1}">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C89492D9-1DF5-48A9-80E9-34F149BA6CC5}">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60A7FF7A-43FF-480B-AA8B-00DB6133D770}">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3E5A035E-AE4A-4CC5-8D9C-8E639934FEDF}">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C0C03A79-39BB-4736-8E4B-B8E231B8B9A2}">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CB44DAC0-9891-4380-B7F4-05522FB64D6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A93129FB-0251-4D85-B992-F1FB6BEC3D86}">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2682AA6A-579E-4BC1-9D7C-AA384F7534BF}">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53E0BE5C-B3F9-4A01-8E3B-69E73DA3453E}">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67C38245-4567-47C7-8BBF-B660E5F46257}">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4814DBCE-1865-4A04-8B94-9D46D0ED1473}">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54C8-5BE7-412B-854B-2E396531CFFA}">
  <dimension ref="A1:BA91"/>
  <sheetViews>
    <sheetView zoomScale="85" zoomScaleNormal="85" workbookViewId="0">
      <selection activeCell="AB2" sqref="AB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170</v>
      </c>
      <c r="C1" s="85" t="s">
        <v>171</v>
      </c>
      <c r="D1" s="86" t="s">
        <v>3</v>
      </c>
      <c r="E1" s="87" t="s">
        <v>4</v>
      </c>
      <c r="F1" s="87" t="s">
        <v>5</v>
      </c>
      <c r="G1" s="87" t="s">
        <v>6</v>
      </c>
      <c r="H1" s="87" t="s">
        <v>7</v>
      </c>
      <c r="I1" s="87" t="s">
        <v>8</v>
      </c>
      <c r="J1" s="87" t="s">
        <v>9</v>
      </c>
      <c r="K1" s="87" t="s">
        <v>10</v>
      </c>
      <c r="L1" s="86" t="s">
        <v>172</v>
      </c>
      <c r="M1" s="86" t="s">
        <v>173</v>
      </c>
      <c r="N1" s="86" t="s">
        <v>13</v>
      </c>
      <c r="O1" s="86" t="s">
        <v>174</v>
      </c>
      <c r="P1" s="86" t="s">
        <v>175</v>
      </c>
      <c r="Q1" s="88" t="s">
        <v>176</v>
      </c>
      <c r="R1" s="86" t="s">
        <v>177</v>
      </c>
      <c r="S1" s="86" t="s">
        <v>178</v>
      </c>
      <c r="T1" s="88" t="s">
        <v>19</v>
      </c>
      <c r="U1" s="89" t="s">
        <v>108</v>
      </c>
      <c r="V1" s="90" t="s">
        <v>20</v>
      </c>
      <c r="W1" s="86" t="s">
        <v>179</v>
      </c>
      <c r="X1" s="87" t="s">
        <v>22</v>
      </c>
      <c r="Y1" s="87" t="s">
        <v>23</v>
      </c>
      <c r="Z1" s="87" t="s">
        <v>24</v>
      </c>
      <c r="AA1" s="91" t="s">
        <v>25</v>
      </c>
      <c r="AB1" s="92" t="s">
        <v>180</v>
      </c>
      <c r="AE1" s="94" t="s">
        <v>0</v>
      </c>
      <c r="AF1" s="95"/>
      <c r="AG1" s="94" t="s">
        <v>4</v>
      </c>
      <c r="AH1" s="94" t="s">
        <v>5</v>
      </c>
      <c r="AI1" s="95"/>
      <c r="AJ1" s="94" t="s">
        <v>6</v>
      </c>
      <c r="AK1" s="95"/>
      <c r="AL1" s="96" t="s">
        <v>7</v>
      </c>
      <c r="AM1" s="95"/>
      <c r="AN1" s="96" t="s">
        <v>8</v>
      </c>
      <c r="AO1" s="95"/>
      <c r="AP1" s="96" t="s">
        <v>27</v>
      </c>
      <c r="AQ1" s="95"/>
      <c r="AR1" s="96" t="s">
        <v>10</v>
      </c>
      <c r="AS1" s="95"/>
      <c r="AT1" s="97" t="s">
        <v>181</v>
      </c>
      <c r="AU1" s="95"/>
      <c r="AV1" s="96" t="s">
        <v>29</v>
      </c>
      <c r="AX1" s="98" t="s">
        <v>262</v>
      </c>
      <c r="AY1" s="99" t="s">
        <v>183</v>
      </c>
      <c r="AZ1" s="99" t="s">
        <v>263</v>
      </c>
      <c r="BA1" s="100" t="s">
        <v>185</v>
      </c>
    </row>
    <row r="2" spans="1:53" x14ac:dyDescent="0.15">
      <c r="A2" s="93" t="s">
        <v>51</v>
      </c>
      <c r="B2" s="93" t="s">
        <v>157</v>
      </c>
      <c r="C2" s="93">
        <v>2019</v>
      </c>
      <c r="D2" s="101" t="s">
        <v>264</v>
      </c>
      <c r="E2" s="93" t="s">
        <v>265</v>
      </c>
      <c r="F2" s="93" t="s">
        <v>266</v>
      </c>
      <c r="G2" s="93" t="s">
        <v>42</v>
      </c>
      <c r="H2" s="93" t="s">
        <v>163</v>
      </c>
      <c r="I2" s="93" t="s">
        <v>159</v>
      </c>
      <c r="J2" s="93" t="s">
        <v>38</v>
      </c>
      <c r="K2" s="93" t="s">
        <v>160</v>
      </c>
      <c r="L2" s="93">
        <v>1</v>
      </c>
      <c r="N2" s="93">
        <v>5</v>
      </c>
      <c r="O2" s="93">
        <v>1.1000000000000001</v>
      </c>
      <c r="P2" s="93">
        <v>1.1499999999999999</v>
      </c>
      <c r="Q2" s="102">
        <f t="shared" ref="Q2:Q65" si="0">IF(OR(O2="",P2=""),"",AVERAGE(O2,P2))</f>
        <v>1.125</v>
      </c>
      <c r="R2" s="93">
        <v>14.3</v>
      </c>
      <c r="S2" s="93">
        <v>84</v>
      </c>
      <c r="T2" s="103">
        <f t="shared" ref="T2:T65" si="1">IF(H2="","",IF(OR(H2="GREEN",H2="GK"),IF(S2&gt;=$AX$2,VLOOKUP(S2,$AX$2:$AY$12,2,1),""),IF(S2&gt;=$AZ$2,VLOOKUP(S2,$AZ$2:$BA$12,2,1),"")))</f>
        <v>36</v>
      </c>
      <c r="U2" s="93">
        <v>398</v>
      </c>
      <c r="V2" s="104">
        <f t="shared" ref="V2:V65" si="2">IF(OR(N2="",U2="",T2=""),"",U2/N2*T2)</f>
        <v>2865.6</v>
      </c>
      <c r="W2" s="93">
        <v>3</v>
      </c>
      <c r="X2" s="93" t="s">
        <v>39</v>
      </c>
      <c r="Y2" s="93" t="s">
        <v>84</v>
      </c>
      <c r="Z2" s="93" t="s">
        <v>90</v>
      </c>
      <c r="AA2" s="93" t="s">
        <v>69</v>
      </c>
      <c r="AB2" s="93" t="s">
        <v>239</v>
      </c>
      <c r="AE2" s="105" t="s">
        <v>35</v>
      </c>
      <c r="AG2" s="106" t="s">
        <v>213</v>
      </c>
      <c r="AH2" s="106" t="s">
        <v>267</v>
      </c>
      <c r="AJ2" s="106" t="s">
        <v>36</v>
      </c>
      <c r="AL2" s="106" t="s">
        <v>188</v>
      </c>
      <c r="AN2" s="106" t="s">
        <v>37</v>
      </c>
      <c r="AP2" s="106" t="s">
        <v>38</v>
      </c>
      <c r="AR2" s="106" t="s">
        <v>160</v>
      </c>
      <c r="AT2" s="106" t="s">
        <v>39</v>
      </c>
      <c r="AV2" s="106" t="s">
        <v>40</v>
      </c>
      <c r="AX2" s="107">
        <v>1</v>
      </c>
      <c r="AY2" s="108">
        <v>50</v>
      </c>
      <c r="AZ2" s="108">
        <v>1</v>
      </c>
      <c r="BA2" s="109">
        <v>50</v>
      </c>
    </row>
    <row r="3" spans="1:53" x14ac:dyDescent="0.15">
      <c r="A3" s="93" t="s">
        <v>51</v>
      </c>
      <c r="B3" s="93" t="s">
        <v>157</v>
      </c>
      <c r="C3" s="93">
        <v>2019</v>
      </c>
      <c r="D3" s="101" t="s">
        <v>264</v>
      </c>
      <c r="E3" s="93" t="s">
        <v>265</v>
      </c>
      <c r="F3" s="93" t="s">
        <v>266</v>
      </c>
      <c r="G3" s="93" t="s">
        <v>42</v>
      </c>
      <c r="H3" s="93" t="s">
        <v>163</v>
      </c>
      <c r="I3" s="93" t="s">
        <v>159</v>
      </c>
      <c r="J3" s="93" t="s">
        <v>38</v>
      </c>
      <c r="K3" s="93" t="s">
        <v>160</v>
      </c>
      <c r="L3" s="93">
        <v>2</v>
      </c>
      <c r="N3" s="93">
        <v>5</v>
      </c>
      <c r="O3" s="93">
        <v>0.9</v>
      </c>
      <c r="P3" s="93">
        <v>1</v>
      </c>
      <c r="Q3" s="102">
        <f t="shared" si="0"/>
        <v>0.95</v>
      </c>
      <c r="R3" s="93">
        <v>15.7</v>
      </c>
      <c r="S3" s="93">
        <v>84</v>
      </c>
      <c r="T3" s="103">
        <f t="shared" si="1"/>
        <v>36</v>
      </c>
      <c r="U3" s="93">
        <v>398</v>
      </c>
      <c r="V3" s="104">
        <f t="shared" si="2"/>
        <v>2865.6</v>
      </c>
      <c r="W3" s="93">
        <v>3</v>
      </c>
      <c r="X3" s="93" t="s">
        <v>39</v>
      </c>
      <c r="Y3" s="93" t="s">
        <v>84</v>
      </c>
      <c r="Z3" s="93" t="s">
        <v>90</v>
      </c>
      <c r="AA3" s="93" t="s">
        <v>69</v>
      </c>
      <c r="AB3" s="93" t="s">
        <v>158</v>
      </c>
      <c r="AE3" s="110" t="s">
        <v>41</v>
      </c>
      <c r="AG3" s="106" t="s">
        <v>268</v>
      </c>
      <c r="AH3" s="106" t="s">
        <v>269</v>
      </c>
      <c r="AJ3" s="111" t="s">
        <v>42</v>
      </c>
      <c r="AL3" s="111" t="s">
        <v>190</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264</v>
      </c>
      <c r="E4" s="93" t="s">
        <v>265</v>
      </c>
      <c r="F4" s="93" t="s">
        <v>266</v>
      </c>
      <c r="G4" s="93" t="s">
        <v>42</v>
      </c>
      <c r="H4" s="93" t="s">
        <v>163</v>
      </c>
      <c r="I4" s="93" t="s">
        <v>159</v>
      </c>
      <c r="J4" s="93" t="s">
        <v>38</v>
      </c>
      <c r="K4" s="93" t="s">
        <v>160</v>
      </c>
      <c r="L4" s="93">
        <v>3</v>
      </c>
      <c r="N4" s="93">
        <v>5</v>
      </c>
      <c r="O4" s="93">
        <v>0.95</v>
      </c>
      <c r="P4" s="93">
        <v>0.9</v>
      </c>
      <c r="Q4" s="102">
        <f t="shared" si="0"/>
        <v>0.92500000000000004</v>
      </c>
      <c r="R4" s="93">
        <v>16.3</v>
      </c>
      <c r="S4" s="93">
        <v>94</v>
      </c>
      <c r="T4" s="103">
        <f t="shared" si="1"/>
        <v>36</v>
      </c>
      <c r="U4" s="93">
        <v>398</v>
      </c>
      <c r="V4" s="104">
        <f t="shared" si="2"/>
        <v>2865.6</v>
      </c>
      <c r="W4" s="93">
        <v>3</v>
      </c>
      <c r="X4" s="93" t="s">
        <v>39</v>
      </c>
      <c r="Y4" s="93" t="s">
        <v>84</v>
      </c>
      <c r="Z4" s="93" t="s">
        <v>90</v>
      </c>
      <c r="AA4" s="93" t="s">
        <v>69</v>
      </c>
      <c r="AB4" s="93" t="s">
        <v>158</v>
      </c>
      <c r="AE4" s="110" t="s">
        <v>34</v>
      </c>
      <c r="AG4" s="106" t="s">
        <v>270</v>
      </c>
      <c r="AH4" s="106" t="s">
        <v>271</v>
      </c>
      <c r="AJ4" s="115" t="s">
        <v>48</v>
      </c>
      <c r="AL4" s="115" t="s">
        <v>192</v>
      </c>
      <c r="AN4" s="116" t="s">
        <v>193</v>
      </c>
      <c r="AP4" s="111" t="s">
        <v>194</v>
      </c>
      <c r="AR4" s="111" t="s">
        <v>195</v>
      </c>
      <c r="AT4" s="116"/>
      <c r="AV4" s="111" t="s">
        <v>50</v>
      </c>
      <c r="AX4" s="112">
        <v>75</v>
      </c>
      <c r="AY4" s="113">
        <v>42</v>
      </c>
      <c r="AZ4" s="113">
        <v>76</v>
      </c>
      <c r="BA4" s="114">
        <v>39</v>
      </c>
    </row>
    <row r="5" spans="1:53" x14ac:dyDescent="0.15">
      <c r="A5" s="93" t="s">
        <v>51</v>
      </c>
      <c r="B5" s="93" t="s">
        <v>157</v>
      </c>
      <c r="C5" s="93">
        <v>2019</v>
      </c>
      <c r="D5" s="101" t="s">
        <v>264</v>
      </c>
      <c r="E5" s="93" t="s">
        <v>265</v>
      </c>
      <c r="F5" s="93" t="s">
        <v>266</v>
      </c>
      <c r="G5" s="93" t="s">
        <v>42</v>
      </c>
      <c r="H5" s="93" t="s">
        <v>188</v>
      </c>
      <c r="I5" s="93" t="s">
        <v>159</v>
      </c>
      <c r="J5" s="93" t="s">
        <v>104</v>
      </c>
      <c r="K5" s="93" t="s">
        <v>212</v>
      </c>
      <c r="L5" s="93">
        <v>1</v>
      </c>
      <c r="N5" s="93">
        <v>2</v>
      </c>
      <c r="O5" s="93">
        <v>2.4500000000000002</v>
      </c>
      <c r="P5" s="93">
        <v>2.65</v>
      </c>
      <c r="Q5" s="102">
        <f t="shared" si="0"/>
        <v>2.5499999999999998</v>
      </c>
      <c r="R5" s="93">
        <v>11.4</v>
      </c>
      <c r="S5" s="93">
        <v>152</v>
      </c>
      <c r="T5" s="103">
        <f t="shared" si="1"/>
        <v>18</v>
      </c>
      <c r="U5" s="93">
        <v>398</v>
      </c>
      <c r="V5" s="104">
        <f t="shared" si="2"/>
        <v>3582</v>
      </c>
      <c r="W5" s="93">
        <v>3</v>
      </c>
      <c r="X5" s="93" t="s">
        <v>39</v>
      </c>
      <c r="Y5" s="93" t="s">
        <v>84</v>
      </c>
      <c r="Z5" s="93" t="s">
        <v>90</v>
      </c>
      <c r="AA5" s="93" t="s">
        <v>69</v>
      </c>
      <c r="AB5" s="93" t="s">
        <v>158</v>
      </c>
      <c r="AE5" s="110" t="s">
        <v>51</v>
      </c>
      <c r="AG5" s="106" t="s">
        <v>272</v>
      </c>
      <c r="AH5" s="106" t="s">
        <v>266</v>
      </c>
      <c r="AJ5" s="116"/>
      <c r="AL5" s="117" t="s">
        <v>163</v>
      </c>
      <c r="AN5" s="117" t="s">
        <v>159</v>
      </c>
      <c r="AP5" s="111" t="s">
        <v>197</v>
      </c>
      <c r="AR5" s="111" t="s">
        <v>54</v>
      </c>
      <c r="AV5" s="111" t="s">
        <v>55</v>
      </c>
      <c r="AX5" s="112">
        <v>84</v>
      </c>
      <c r="AY5" s="113">
        <v>39</v>
      </c>
      <c r="AZ5" s="113">
        <v>84</v>
      </c>
      <c r="BA5" s="114">
        <v>36</v>
      </c>
    </row>
    <row r="6" spans="1:53" x14ac:dyDescent="0.15">
      <c r="A6" s="93" t="s">
        <v>51</v>
      </c>
      <c r="B6" s="93" t="s">
        <v>157</v>
      </c>
      <c r="C6" s="93">
        <v>2019</v>
      </c>
      <c r="D6" s="101" t="s">
        <v>264</v>
      </c>
      <c r="E6" s="93" t="s">
        <v>265</v>
      </c>
      <c r="F6" s="93" t="s">
        <v>266</v>
      </c>
      <c r="G6" s="93" t="s">
        <v>42</v>
      </c>
      <c r="H6" s="93" t="s">
        <v>188</v>
      </c>
      <c r="I6" s="93" t="s">
        <v>159</v>
      </c>
      <c r="J6" s="93" t="s">
        <v>104</v>
      </c>
      <c r="K6" s="93" t="s">
        <v>212</v>
      </c>
      <c r="L6" s="93">
        <v>2</v>
      </c>
      <c r="N6" s="93">
        <v>2</v>
      </c>
      <c r="O6" s="93">
        <v>2.5</v>
      </c>
      <c r="P6" s="93">
        <v>2.35</v>
      </c>
      <c r="Q6" s="102">
        <f t="shared" si="0"/>
        <v>2.4249999999999998</v>
      </c>
      <c r="R6" s="93">
        <v>11.8</v>
      </c>
      <c r="S6" s="93">
        <v>154</v>
      </c>
      <c r="T6" s="103">
        <f t="shared" si="1"/>
        <v>18</v>
      </c>
      <c r="U6" s="93">
        <v>398</v>
      </c>
      <c r="V6" s="104">
        <f t="shared" si="2"/>
        <v>3582</v>
      </c>
      <c r="W6" s="93">
        <v>3</v>
      </c>
      <c r="X6" s="93" t="s">
        <v>39</v>
      </c>
      <c r="Y6" s="93" t="s">
        <v>84</v>
      </c>
      <c r="Z6" s="93" t="s">
        <v>90</v>
      </c>
      <c r="AA6" s="93" t="s">
        <v>69</v>
      </c>
      <c r="AB6" s="93" t="s">
        <v>158</v>
      </c>
      <c r="AE6" s="110" t="s">
        <v>56</v>
      </c>
      <c r="AG6" s="106" t="s">
        <v>273</v>
      </c>
      <c r="AH6" s="106" t="s">
        <v>274</v>
      </c>
      <c r="AL6" s="117" t="s">
        <v>164</v>
      </c>
      <c r="AN6" s="117" t="s">
        <v>199</v>
      </c>
      <c r="AP6" s="111" t="s">
        <v>53</v>
      </c>
      <c r="AR6" s="111" t="s">
        <v>59</v>
      </c>
      <c r="AV6" s="111" t="s">
        <v>60</v>
      </c>
      <c r="AX6" s="112">
        <v>97</v>
      </c>
      <c r="AY6" s="113">
        <v>36</v>
      </c>
      <c r="AZ6" s="113">
        <v>99</v>
      </c>
      <c r="BA6" s="114">
        <v>33</v>
      </c>
    </row>
    <row r="7" spans="1:53" x14ac:dyDescent="0.15">
      <c r="A7" s="93" t="s">
        <v>51</v>
      </c>
      <c r="B7" s="93" t="s">
        <v>157</v>
      </c>
      <c r="C7" s="93">
        <v>2019</v>
      </c>
      <c r="D7" s="101" t="s">
        <v>264</v>
      </c>
      <c r="E7" s="93" t="s">
        <v>265</v>
      </c>
      <c r="F7" s="93" t="s">
        <v>266</v>
      </c>
      <c r="G7" s="93" t="s">
        <v>42</v>
      </c>
      <c r="H7" s="93" t="s">
        <v>188</v>
      </c>
      <c r="I7" s="93" t="s">
        <v>159</v>
      </c>
      <c r="J7" s="93" t="s">
        <v>104</v>
      </c>
      <c r="K7" s="93" t="s">
        <v>212</v>
      </c>
      <c r="L7" s="93">
        <v>3</v>
      </c>
      <c r="N7" s="93">
        <v>2</v>
      </c>
      <c r="O7" s="93">
        <v>1.85</v>
      </c>
      <c r="P7" s="93">
        <v>2.4</v>
      </c>
      <c r="Q7" s="102">
        <f t="shared" si="0"/>
        <v>2.125</v>
      </c>
      <c r="R7" s="93">
        <v>12.5</v>
      </c>
      <c r="S7" s="93">
        <v>144</v>
      </c>
      <c r="T7" s="103">
        <f t="shared" si="1"/>
        <v>22</v>
      </c>
      <c r="U7" s="93">
        <v>398</v>
      </c>
      <c r="V7" s="104">
        <f t="shared" si="2"/>
        <v>4378</v>
      </c>
      <c r="W7" s="93">
        <v>3</v>
      </c>
      <c r="X7" s="93" t="s">
        <v>39</v>
      </c>
      <c r="Y7" s="93" t="s">
        <v>84</v>
      </c>
      <c r="Z7" s="93" t="s">
        <v>90</v>
      </c>
      <c r="AA7" s="93" t="s">
        <v>69</v>
      </c>
      <c r="AB7" s="93" t="s">
        <v>158</v>
      </c>
      <c r="AE7" s="110" t="s">
        <v>61</v>
      </c>
      <c r="AG7" s="106" t="s">
        <v>275</v>
      </c>
      <c r="AH7" s="106" t="s">
        <v>267</v>
      </c>
      <c r="AL7" s="93" t="s">
        <v>201</v>
      </c>
      <c r="AP7" s="111" t="s">
        <v>58</v>
      </c>
      <c r="AR7" s="111" t="s">
        <v>202</v>
      </c>
      <c r="AV7" s="111" t="s">
        <v>64</v>
      </c>
      <c r="AX7" s="112">
        <v>109</v>
      </c>
      <c r="AY7" s="113">
        <v>33</v>
      </c>
      <c r="AZ7" s="113">
        <v>113</v>
      </c>
      <c r="BA7" s="114">
        <v>30</v>
      </c>
    </row>
    <row r="8" spans="1:53" x14ac:dyDescent="0.15">
      <c r="A8" s="93" t="s">
        <v>51</v>
      </c>
      <c r="B8" s="93" t="s">
        <v>157</v>
      </c>
      <c r="C8" s="93">
        <v>2019</v>
      </c>
      <c r="D8" s="101" t="s">
        <v>264</v>
      </c>
      <c r="E8" s="93" t="s">
        <v>265</v>
      </c>
      <c r="F8" s="93" t="s">
        <v>266</v>
      </c>
      <c r="G8" s="93" t="s">
        <v>42</v>
      </c>
      <c r="H8" s="93" t="s">
        <v>188</v>
      </c>
      <c r="I8" s="93" t="s">
        <v>159</v>
      </c>
      <c r="J8" s="93" t="s">
        <v>58</v>
      </c>
      <c r="K8" s="93" t="s">
        <v>59</v>
      </c>
      <c r="L8" s="93">
        <v>1</v>
      </c>
      <c r="N8" s="93">
        <v>1</v>
      </c>
      <c r="O8" s="93">
        <v>3.45</v>
      </c>
      <c r="P8" s="93">
        <v>3.7</v>
      </c>
      <c r="Q8" s="102">
        <f t="shared" si="0"/>
        <v>3.5750000000000002</v>
      </c>
      <c r="R8" s="93">
        <v>12.9</v>
      </c>
      <c r="S8" s="93">
        <v>134</v>
      </c>
      <c r="T8" s="103">
        <f t="shared" si="1"/>
        <v>25</v>
      </c>
      <c r="U8" s="93">
        <v>98</v>
      </c>
      <c r="V8" s="104">
        <f t="shared" si="2"/>
        <v>2450</v>
      </c>
      <c r="W8" s="93">
        <v>3</v>
      </c>
      <c r="X8" s="93" t="s">
        <v>39</v>
      </c>
      <c r="Y8" s="93" t="s">
        <v>84</v>
      </c>
      <c r="Z8" s="93" t="s">
        <v>90</v>
      </c>
      <c r="AA8" s="93" t="s">
        <v>69</v>
      </c>
      <c r="AB8" s="93" t="s">
        <v>158</v>
      </c>
      <c r="AE8" s="110" t="s">
        <v>59</v>
      </c>
      <c r="AG8" s="106" t="s">
        <v>276</v>
      </c>
      <c r="AH8" s="106" t="s">
        <v>277</v>
      </c>
      <c r="AL8" s="93" t="s">
        <v>205</v>
      </c>
      <c r="AP8" s="111" t="s">
        <v>62</v>
      </c>
      <c r="AR8" s="111" t="s">
        <v>81</v>
      </c>
      <c r="AV8" s="111" t="s">
        <v>97</v>
      </c>
      <c r="AX8" s="112">
        <v>119</v>
      </c>
      <c r="AY8" s="113">
        <v>30</v>
      </c>
      <c r="AZ8" s="113">
        <v>121</v>
      </c>
      <c r="BA8" s="114">
        <v>27</v>
      </c>
    </row>
    <row r="9" spans="1:53" x14ac:dyDescent="0.15">
      <c r="A9" s="93" t="s">
        <v>51</v>
      </c>
      <c r="B9" s="93" t="s">
        <v>157</v>
      </c>
      <c r="C9" s="93">
        <v>2019</v>
      </c>
      <c r="D9" s="101" t="s">
        <v>264</v>
      </c>
      <c r="E9" s="93" t="s">
        <v>265</v>
      </c>
      <c r="F9" s="93" t="s">
        <v>266</v>
      </c>
      <c r="G9" s="93" t="s">
        <v>42</v>
      </c>
      <c r="H9" s="93" t="s">
        <v>188</v>
      </c>
      <c r="I9" s="93" t="s">
        <v>159</v>
      </c>
      <c r="J9" s="93" t="s">
        <v>58</v>
      </c>
      <c r="K9" s="93" t="s">
        <v>59</v>
      </c>
      <c r="L9" s="93">
        <v>2</v>
      </c>
      <c r="N9" s="93">
        <v>1</v>
      </c>
      <c r="O9" s="93">
        <v>3.8</v>
      </c>
      <c r="P9" s="93">
        <v>3.65</v>
      </c>
      <c r="Q9" s="102">
        <f t="shared" si="0"/>
        <v>3.7249999999999996</v>
      </c>
      <c r="R9" s="93">
        <v>12.6</v>
      </c>
      <c r="S9" s="93">
        <v>132</v>
      </c>
      <c r="T9" s="103">
        <f t="shared" si="1"/>
        <v>25</v>
      </c>
      <c r="U9" s="93">
        <v>98</v>
      </c>
      <c r="V9" s="104">
        <f t="shared" si="2"/>
        <v>2450</v>
      </c>
      <c r="W9" s="93">
        <v>3</v>
      </c>
      <c r="X9" s="93" t="s">
        <v>39</v>
      </c>
      <c r="Y9" s="93" t="s">
        <v>84</v>
      </c>
      <c r="Z9" s="93" t="s">
        <v>90</v>
      </c>
      <c r="AA9" s="93" t="s">
        <v>69</v>
      </c>
      <c r="AB9" s="93" t="s">
        <v>158</v>
      </c>
      <c r="AE9" s="110" t="s">
        <v>206</v>
      </c>
      <c r="AG9" s="106" t="s">
        <v>278</v>
      </c>
      <c r="AH9" s="106" t="s">
        <v>266</v>
      </c>
      <c r="AL9" s="117"/>
      <c r="AP9" s="111" t="s">
        <v>95</v>
      </c>
      <c r="AR9" s="111" t="s">
        <v>209</v>
      </c>
      <c r="AV9" s="111" t="s">
        <v>102</v>
      </c>
      <c r="AX9" s="112">
        <v>128</v>
      </c>
      <c r="AY9" s="113">
        <v>27</v>
      </c>
      <c r="AZ9" s="113">
        <v>129</v>
      </c>
      <c r="BA9" s="114">
        <v>25</v>
      </c>
    </row>
    <row r="10" spans="1:53" x14ac:dyDescent="0.15">
      <c r="A10" s="93" t="s">
        <v>51</v>
      </c>
      <c r="B10" s="93" t="s">
        <v>157</v>
      </c>
      <c r="C10" s="93">
        <v>2019</v>
      </c>
      <c r="D10" s="101" t="s">
        <v>264</v>
      </c>
      <c r="E10" s="93" t="s">
        <v>265</v>
      </c>
      <c r="F10" s="93" t="s">
        <v>266</v>
      </c>
      <c r="G10" s="93" t="s">
        <v>42</v>
      </c>
      <c r="H10" s="93" t="s">
        <v>188</v>
      </c>
      <c r="I10" s="93" t="s">
        <v>159</v>
      </c>
      <c r="J10" s="93" t="s">
        <v>58</v>
      </c>
      <c r="K10" s="93" t="s">
        <v>59</v>
      </c>
      <c r="L10" s="93">
        <v>3</v>
      </c>
      <c r="N10" s="93">
        <v>1</v>
      </c>
      <c r="O10" s="93">
        <v>4.0999999999999996</v>
      </c>
      <c r="P10" s="93">
        <v>4.3</v>
      </c>
      <c r="Q10" s="102">
        <f t="shared" si="0"/>
        <v>4.1999999999999993</v>
      </c>
      <c r="R10" s="93">
        <v>11.7</v>
      </c>
      <c r="S10" s="93">
        <v>118</v>
      </c>
      <c r="T10" s="103">
        <f t="shared" si="1"/>
        <v>30</v>
      </c>
      <c r="U10" s="93">
        <v>98</v>
      </c>
      <c r="V10" s="104">
        <f t="shared" si="2"/>
        <v>2940</v>
      </c>
      <c r="W10" s="93">
        <v>3</v>
      </c>
      <c r="X10" s="93" t="s">
        <v>39</v>
      </c>
      <c r="Y10" s="93" t="s">
        <v>84</v>
      </c>
      <c r="Z10" s="93" t="s">
        <v>90</v>
      </c>
      <c r="AA10" s="93" t="s">
        <v>69</v>
      </c>
      <c r="AB10" s="93" t="s">
        <v>158</v>
      </c>
      <c r="AE10" s="110" t="s">
        <v>210</v>
      </c>
      <c r="AG10" s="106" t="s">
        <v>265</v>
      </c>
      <c r="AH10" s="111" t="s">
        <v>266</v>
      </c>
      <c r="AP10" s="111" t="s">
        <v>100</v>
      </c>
      <c r="AR10" s="111" t="s">
        <v>212</v>
      </c>
      <c r="AV10" s="111" t="s">
        <v>106</v>
      </c>
      <c r="AX10" s="112">
        <v>138</v>
      </c>
      <c r="AY10" s="113">
        <v>25</v>
      </c>
      <c r="AZ10" s="113">
        <v>138</v>
      </c>
      <c r="BA10" s="114">
        <v>22</v>
      </c>
    </row>
    <row r="11" spans="1:53" x14ac:dyDescent="0.15">
      <c r="A11" s="93" t="s">
        <v>51</v>
      </c>
      <c r="B11" s="93" t="s">
        <v>157</v>
      </c>
      <c r="C11" s="93">
        <v>2019</v>
      </c>
      <c r="D11" s="101" t="s">
        <v>264</v>
      </c>
      <c r="E11" s="93" t="s">
        <v>268</v>
      </c>
      <c r="F11" s="93" t="s">
        <v>269</v>
      </c>
      <c r="G11" s="93" t="s">
        <v>36</v>
      </c>
      <c r="H11" s="93" t="s">
        <v>163</v>
      </c>
      <c r="I11" s="93" t="s">
        <v>159</v>
      </c>
      <c r="J11" s="93" t="s">
        <v>38</v>
      </c>
      <c r="K11" s="93" t="s">
        <v>160</v>
      </c>
      <c r="L11" s="93">
        <v>1</v>
      </c>
      <c r="N11" s="93">
        <v>1</v>
      </c>
      <c r="O11" s="93">
        <v>0.5</v>
      </c>
      <c r="P11" s="93">
        <v>0.5</v>
      </c>
      <c r="Q11" s="102">
        <f t="shared" si="0"/>
        <v>0.5</v>
      </c>
      <c r="R11" s="93">
        <v>14.8</v>
      </c>
      <c r="S11" s="93">
        <v>118</v>
      </c>
      <c r="T11" s="103">
        <f t="shared" si="1"/>
        <v>30</v>
      </c>
      <c r="U11" s="93">
        <v>98</v>
      </c>
      <c r="V11" s="104">
        <f t="shared" si="2"/>
        <v>2940</v>
      </c>
      <c r="W11" s="93">
        <v>5</v>
      </c>
      <c r="X11" s="93" t="s">
        <v>46</v>
      </c>
      <c r="Y11" s="93" t="s">
        <v>84</v>
      </c>
      <c r="Z11" s="93" t="s">
        <v>90</v>
      </c>
      <c r="AA11" s="93" t="s">
        <v>69</v>
      </c>
      <c r="AB11" s="93" t="s">
        <v>158</v>
      </c>
      <c r="AE11" s="110" t="s">
        <v>68</v>
      </c>
      <c r="AG11" s="106" t="s">
        <v>139</v>
      </c>
      <c r="AH11" s="111" t="s">
        <v>279</v>
      </c>
      <c r="AP11" s="111" t="s">
        <v>104</v>
      </c>
      <c r="AR11" s="111" t="s">
        <v>215</v>
      </c>
      <c r="AV11" s="111" t="s">
        <v>69</v>
      </c>
      <c r="AX11" s="112">
        <v>151</v>
      </c>
      <c r="AY11" s="113">
        <v>22</v>
      </c>
      <c r="AZ11" s="113">
        <v>152</v>
      </c>
      <c r="BA11" s="114">
        <v>18</v>
      </c>
    </row>
    <row r="12" spans="1:53" x14ac:dyDescent="0.15">
      <c r="A12" s="93" t="s">
        <v>51</v>
      </c>
      <c r="B12" s="93" t="s">
        <v>157</v>
      </c>
      <c r="C12" s="93">
        <v>2019</v>
      </c>
      <c r="D12" s="101" t="s">
        <v>264</v>
      </c>
      <c r="E12" s="93" t="s">
        <v>268</v>
      </c>
      <c r="F12" s="93" t="s">
        <v>269</v>
      </c>
      <c r="G12" s="93" t="s">
        <v>36</v>
      </c>
      <c r="H12" s="93" t="s">
        <v>163</v>
      </c>
      <c r="I12" s="93" t="s">
        <v>159</v>
      </c>
      <c r="J12" s="93" t="s">
        <v>38</v>
      </c>
      <c r="K12" s="93" t="s">
        <v>160</v>
      </c>
      <c r="L12" s="93">
        <v>2</v>
      </c>
      <c r="N12" s="93">
        <v>1</v>
      </c>
      <c r="O12" s="93">
        <v>0.55000000000000004</v>
      </c>
      <c r="P12" s="93">
        <v>0.6</v>
      </c>
      <c r="Q12" s="102">
        <f t="shared" si="0"/>
        <v>0.57499999999999996</v>
      </c>
      <c r="R12" s="93">
        <v>15.2</v>
      </c>
      <c r="S12" s="93">
        <v>126</v>
      </c>
      <c r="T12" s="103">
        <f t="shared" si="1"/>
        <v>27</v>
      </c>
      <c r="U12" s="93">
        <v>98</v>
      </c>
      <c r="V12" s="104">
        <f t="shared" si="2"/>
        <v>2646</v>
      </c>
      <c r="W12" s="93">
        <v>5</v>
      </c>
      <c r="X12" s="93" t="s">
        <v>46</v>
      </c>
      <c r="Y12" s="93" t="s">
        <v>84</v>
      </c>
      <c r="Z12" s="93" t="s">
        <v>90</v>
      </c>
      <c r="AA12" s="93" t="s">
        <v>69</v>
      </c>
      <c r="AB12" s="93" t="s">
        <v>158</v>
      </c>
      <c r="AE12" s="110" t="s">
        <v>216</v>
      </c>
      <c r="AG12" s="111"/>
      <c r="AH12" s="111"/>
      <c r="AP12" s="111" t="s">
        <v>67</v>
      </c>
      <c r="AR12" s="111" t="s">
        <v>217</v>
      </c>
      <c r="AV12" s="111" t="s">
        <v>72</v>
      </c>
      <c r="AX12" s="118">
        <v>180</v>
      </c>
      <c r="AY12" s="119">
        <v>18</v>
      </c>
      <c r="AZ12" s="119">
        <v>181</v>
      </c>
      <c r="BA12" s="120">
        <v>16</v>
      </c>
    </row>
    <row r="13" spans="1:53" x14ac:dyDescent="0.15">
      <c r="A13" s="93" t="s">
        <v>51</v>
      </c>
      <c r="B13" s="93" t="s">
        <v>157</v>
      </c>
      <c r="C13" s="93">
        <v>2019</v>
      </c>
      <c r="D13" s="101" t="s">
        <v>264</v>
      </c>
      <c r="E13" s="93" t="s">
        <v>268</v>
      </c>
      <c r="F13" s="93" t="s">
        <v>269</v>
      </c>
      <c r="G13" s="93" t="s">
        <v>36</v>
      </c>
      <c r="H13" s="93" t="s">
        <v>163</v>
      </c>
      <c r="I13" s="93" t="s">
        <v>159</v>
      </c>
      <c r="J13" s="93" t="s">
        <v>38</v>
      </c>
      <c r="K13" s="93" t="s">
        <v>160</v>
      </c>
      <c r="L13" s="93">
        <v>3</v>
      </c>
      <c r="N13" s="93">
        <v>1</v>
      </c>
      <c r="O13" s="93">
        <v>0.6</v>
      </c>
      <c r="P13" s="93">
        <v>0.25</v>
      </c>
      <c r="Q13" s="102">
        <f t="shared" si="0"/>
        <v>0.42499999999999999</v>
      </c>
      <c r="R13" s="93">
        <v>15</v>
      </c>
      <c r="S13" s="93">
        <v>124</v>
      </c>
      <c r="T13" s="103">
        <f t="shared" si="1"/>
        <v>27</v>
      </c>
      <c r="U13" s="93">
        <v>98</v>
      </c>
      <c r="V13" s="104">
        <f t="shared" si="2"/>
        <v>2646</v>
      </c>
      <c r="W13" s="93">
        <v>5</v>
      </c>
      <c r="X13" s="93" t="s">
        <v>46</v>
      </c>
      <c r="Y13" s="93" t="s">
        <v>84</v>
      </c>
      <c r="Z13" s="93" t="s">
        <v>90</v>
      </c>
      <c r="AA13" s="93" t="s">
        <v>69</v>
      </c>
      <c r="AB13" s="93" t="s">
        <v>158</v>
      </c>
      <c r="AE13" s="110" t="s">
        <v>218</v>
      </c>
      <c r="AG13" s="111"/>
      <c r="AH13" s="111"/>
      <c r="AP13" s="111" t="s">
        <v>71</v>
      </c>
      <c r="AR13" s="111" t="s">
        <v>210</v>
      </c>
      <c r="AV13" s="111" t="s">
        <v>75</v>
      </c>
    </row>
    <row r="14" spans="1:53" x14ac:dyDescent="0.15">
      <c r="A14" s="93" t="s">
        <v>51</v>
      </c>
      <c r="B14" s="93" t="s">
        <v>157</v>
      </c>
      <c r="C14" s="93">
        <v>2019</v>
      </c>
      <c r="D14" s="101" t="s">
        <v>264</v>
      </c>
      <c r="E14" s="93" t="s">
        <v>268</v>
      </c>
      <c r="F14" s="93" t="s">
        <v>269</v>
      </c>
      <c r="G14" s="93" t="s">
        <v>36</v>
      </c>
      <c r="H14" s="93" t="s">
        <v>190</v>
      </c>
      <c r="I14" s="93" t="s">
        <v>159</v>
      </c>
      <c r="J14" s="93" t="s">
        <v>80</v>
      </c>
      <c r="K14" s="93" t="s">
        <v>45</v>
      </c>
      <c r="L14" s="93">
        <v>1</v>
      </c>
      <c r="N14" s="93">
        <v>1</v>
      </c>
      <c r="O14" s="93">
        <v>0.7</v>
      </c>
      <c r="P14" s="93">
        <v>0.7</v>
      </c>
      <c r="Q14" s="102">
        <f t="shared" si="0"/>
        <v>0.7</v>
      </c>
      <c r="R14" s="93">
        <v>15.3</v>
      </c>
      <c r="S14" s="93">
        <v>98</v>
      </c>
      <c r="T14" s="103">
        <f t="shared" si="1"/>
        <v>36</v>
      </c>
      <c r="U14" s="93">
        <v>98</v>
      </c>
      <c r="V14" s="104">
        <f t="shared" si="2"/>
        <v>3528</v>
      </c>
      <c r="W14" s="93">
        <v>5</v>
      </c>
      <c r="X14" s="93" t="s">
        <v>46</v>
      </c>
      <c r="Y14" s="93" t="s">
        <v>84</v>
      </c>
      <c r="Z14" s="93" t="s">
        <v>90</v>
      </c>
      <c r="AA14" s="93" t="s">
        <v>69</v>
      </c>
      <c r="AB14" s="93" t="s">
        <v>158</v>
      </c>
      <c r="AE14" s="110" t="s">
        <v>96</v>
      </c>
      <c r="AG14" s="111"/>
      <c r="AH14" s="111"/>
      <c r="AP14" s="111" t="s">
        <v>74</v>
      </c>
      <c r="AR14" s="111" t="s">
        <v>219</v>
      </c>
      <c r="AV14" s="111" t="s">
        <v>78</v>
      </c>
    </row>
    <row r="15" spans="1:53" x14ac:dyDescent="0.15">
      <c r="A15" s="93" t="s">
        <v>51</v>
      </c>
      <c r="B15" s="93" t="s">
        <v>157</v>
      </c>
      <c r="C15" s="93">
        <v>2019</v>
      </c>
      <c r="D15" s="101" t="s">
        <v>264</v>
      </c>
      <c r="E15" s="93" t="s">
        <v>268</v>
      </c>
      <c r="F15" s="93" t="s">
        <v>269</v>
      </c>
      <c r="G15" s="93" t="s">
        <v>36</v>
      </c>
      <c r="H15" s="93" t="s">
        <v>190</v>
      </c>
      <c r="I15" s="93" t="s">
        <v>159</v>
      </c>
      <c r="J15" s="93" t="s">
        <v>80</v>
      </c>
      <c r="K15" s="93" t="s">
        <v>45</v>
      </c>
      <c r="L15" s="93">
        <v>2</v>
      </c>
      <c r="N15" s="93">
        <v>1</v>
      </c>
      <c r="O15" s="93">
        <v>0.65</v>
      </c>
      <c r="P15" s="93">
        <v>0.8</v>
      </c>
      <c r="Q15" s="102">
        <f t="shared" si="0"/>
        <v>0.72500000000000009</v>
      </c>
      <c r="R15" s="93">
        <v>14.9</v>
      </c>
      <c r="S15" s="93">
        <v>89</v>
      </c>
      <c r="T15" s="103">
        <f t="shared" si="1"/>
        <v>36</v>
      </c>
      <c r="U15" s="93">
        <v>98</v>
      </c>
      <c r="V15" s="104">
        <f t="shared" si="2"/>
        <v>3528</v>
      </c>
      <c r="W15" s="93">
        <v>5</v>
      </c>
      <c r="X15" s="93" t="s">
        <v>46</v>
      </c>
      <c r="Y15" s="93" t="s">
        <v>84</v>
      </c>
      <c r="Z15" s="93" t="s">
        <v>90</v>
      </c>
      <c r="AA15" s="93" t="s">
        <v>69</v>
      </c>
      <c r="AB15" s="93" t="s">
        <v>158</v>
      </c>
      <c r="AE15" s="110" t="s">
        <v>220</v>
      </c>
      <c r="AG15" s="111"/>
      <c r="AH15" s="111"/>
      <c r="AP15" s="111" t="s">
        <v>77</v>
      </c>
      <c r="AR15" s="111" t="s">
        <v>80</v>
      </c>
      <c r="AV15" s="111" t="s">
        <v>107</v>
      </c>
    </row>
    <row r="16" spans="1:53" x14ac:dyDescent="0.15">
      <c r="A16" s="93" t="s">
        <v>51</v>
      </c>
      <c r="B16" s="93" t="s">
        <v>157</v>
      </c>
      <c r="C16" s="93">
        <v>2019</v>
      </c>
      <c r="D16" s="101" t="s">
        <v>264</v>
      </c>
      <c r="E16" s="93" t="s">
        <v>268</v>
      </c>
      <c r="F16" s="93" t="s">
        <v>269</v>
      </c>
      <c r="G16" s="93" t="s">
        <v>36</v>
      </c>
      <c r="H16" s="93" t="s">
        <v>190</v>
      </c>
      <c r="I16" s="93" t="s">
        <v>159</v>
      </c>
      <c r="J16" s="93" t="s">
        <v>80</v>
      </c>
      <c r="K16" s="93" t="s">
        <v>45</v>
      </c>
      <c r="L16" s="93">
        <v>3</v>
      </c>
      <c r="N16" s="93">
        <v>1</v>
      </c>
      <c r="O16" s="93">
        <v>0.75</v>
      </c>
      <c r="P16" s="93">
        <v>0.7</v>
      </c>
      <c r="Q16" s="102">
        <f t="shared" si="0"/>
        <v>0.72499999999999998</v>
      </c>
      <c r="R16" s="93">
        <v>15.5</v>
      </c>
      <c r="S16" s="93">
        <v>104</v>
      </c>
      <c r="T16" s="103">
        <f t="shared" si="1"/>
        <v>33</v>
      </c>
      <c r="U16" s="93">
        <v>98</v>
      </c>
      <c r="V16" s="104">
        <f t="shared" si="2"/>
        <v>3234</v>
      </c>
      <c r="W16" s="93">
        <v>5</v>
      </c>
      <c r="X16" s="93" t="s">
        <v>46</v>
      </c>
      <c r="Y16" s="93" t="s">
        <v>84</v>
      </c>
      <c r="Z16" s="93" t="s">
        <v>90</v>
      </c>
      <c r="AA16" s="93" t="s">
        <v>69</v>
      </c>
      <c r="AB16" s="93" t="s">
        <v>158</v>
      </c>
      <c r="AE16" s="110" t="s">
        <v>221</v>
      </c>
      <c r="AG16" s="116"/>
      <c r="AH16" s="116"/>
      <c r="AP16" s="111" t="s">
        <v>80</v>
      </c>
      <c r="AR16" s="111" t="s">
        <v>63</v>
      </c>
      <c r="AV16" s="111" t="s">
        <v>84</v>
      </c>
    </row>
    <row r="17" spans="1:48" x14ac:dyDescent="0.15">
      <c r="A17" s="93" t="s">
        <v>51</v>
      </c>
      <c r="B17" s="93" t="s">
        <v>157</v>
      </c>
      <c r="C17" s="93">
        <v>2019</v>
      </c>
      <c r="D17" s="101" t="s">
        <v>264</v>
      </c>
      <c r="E17" s="93" t="s">
        <v>268</v>
      </c>
      <c r="F17" s="93" t="s">
        <v>269</v>
      </c>
      <c r="G17" s="93" t="s">
        <v>36</v>
      </c>
      <c r="H17" s="93" t="s">
        <v>164</v>
      </c>
      <c r="I17" s="93" t="s">
        <v>159</v>
      </c>
      <c r="J17" s="93" t="s">
        <v>38</v>
      </c>
      <c r="K17" s="93" t="s">
        <v>54</v>
      </c>
      <c r="L17" s="93">
        <v>1</v>
      </c>
      <c r="N17" s="93">
        <v>2</v>
      </c>
      <c r="O17" s="93">
        <v>0.75</v>
      </c>
      <c r="P17" s="93">
        <v>0.8</v>
      </c>
      <c r="Q17" s="102">
        <f t="shared" si="0"/>
        <v>0.77500000000000002</v>
      </c>
      <c r="R17" s="93">
        <v>17.399999999999999</v>
      </c>
      <c r="S17" s="93">
        <v>164</v>
      </c>
      <c r="T17" s="103">
        <f t="shared" si="1"/>
        <v>22</v>
      </c>
      <c r="U17" s="93">
        <v>498</v>
      </c>
      <c r="V17" s="104">
        <f t="shared" si="2"/>
        <v>5478</v>
      </c>
      <c r="W17" s="93">
        <v>5</v>
      </c>
      <c r="X17" s="93" t="s">
        <v>46</v>
      </c>
      <c r="Y17" s="93" t="s">
        <v>84</v>
      </c>
      <c r="Z17" s="93" t="s">
        <v>90</v>
      </c>
      <c r="AA17" s="93" t="s">
        <v>69</v>
      </c>
      <c r="AB17" s="93" t="s">
        <v>158</v>
      </c>
      <c r="AE17" s="110" t="s">
        <v>222</v>
      </c>
      <c r="AP17" s="115" t="s">
        <v>223</v>
      </c>
      <c r="AR17" s="111" t="s">
        <v>96</v>
      </c>
      <c r="AV17" s="111" t="s">
        <v>86</v>
      </c>
    </row>
    <row r="18" spans="1:48" x14ac:dyDescent="0.15">
      <c r="A18" s="93" t="s">
        <v>51</v>
      </c>
      <c r="B18" s="93" t="s">
        <v>157</v>
      </c>
      <c r="C18" s="93">
        <v>2019</v>
      </c>
      <c r="D18" s="101" t="s">
        <v>264</v>
      </c>
      <c r="E18" s="93" t="s">
        <v>268</v>
      </c>
      <c r="F18" s="93" t="s">
        <v>269</v>
      </c>
      <c r="G18" s="93" t="s">
        <v>36</v>
      </c>
      <c r="H18" s="93" t="s">
        <v>164</v>
      </c>
      <c r="I18" s="93" t="s">
        <v>159</v>
      </c>
      <c r="J18" s="93" t="s">
        <v>38</v>
      </c>
      <c r="K18" s="93" t="s">
        <v>54</v>
      </c>
      <c r="L18" s="93">
        <v>2</v>
      </c>
      <c r="N18" s="93">
        <v>2</v>
      </c>
      <c r="O18" s="93">
        <v>0.75</v>
      </c>
      <c r="P18" s="93">
        <v>0.7</v>
      </c>
      <c r="Q18" s="102">
        <f t="shared" si="0"/>
        <v>0.72499999999999998</v>
      </c>
      <c r="R18" s="93">
        <v>16.8</v>
      </c>
      <c r="S18" s="93">
        <v>142</v>
      </c>
      <c r="T18" s="103">
        <f t="shared" si="1"/>
        <v>25</v>
      </c>
      <c r="U18" s="93">
        <v>498</v>
      </c>
      <c r="V18" s="104">
        <f t="shared" si="2"/>
        <v>6225</v>
      </c>
      <c r="W18" s="93">
        <v>5</v>
      </c>
      <c r="X18" s="93" t="s">
        <v>46</v>
      </c>
      <c r="Y18" s="93" t="s">
        <v>84</v>
      </c>
      <c r="Z18" s="93" t="s">
        <v>90</v>
      </c>
      <c r="AA18" s="93" t="s">
        <v>69</v>
      </c>
      <c r="AB18" s="93" t="s">
        <v>158</v>
      </c>
      <c r="AE18" s="110" t="s">
        <v>215</v>
      </c>
      <c r="AP18" s="115" t="s">
        <v>224</v>
      </c>
      <c r="AR18" s="111" t="s">
        <v>101</v>
      </c>
      <c r="AV18" s="111" t="s">
        <v>88</v>
      </c>
    </row>
    <row r="19" spans="1:48" x14ac:dyDescent="0.15">
      <c r="A19" s="93" t="s">
        <v>51</v>
      </c>
      <c r="B19" s="93" t="s">
        <v>157</v>
      </c>
      <c r="C19" s="93">
        <v>2019</v>
      </c>
      <c r="D19" s="101" t="s">
        <v>264</v>
      </c>
      <c r="E19" s="93" t="s">
        <v>268</v>
      </c>
      <c r="F19" s="93" t="s">
        <v>269</v>
      </c>
      <c r="G19" s="93" t="s">
        <v>36</v>
      </c>
      <c r="H19" s="93" t="s">
        <v>164</v>
      </c>
      <c r="I19" s="93" t="s">
        <v>159</v>
      </c>
      <c r="J19" s="93" t="s">
        <v>38</v>
      </c>
      <c r="K19" s="93" t="s">
        <v>54</v>
      </c>
      <c r="L19" s="93">
        <v>3</v>
      </c>
      <c r="N19" s="93">
        <v>2</v>
      </c>
      <c r="O19" s="93">
        <v>0.8</v>
      </c>
      <c r="P19" s="93">
        <v>0.8</v>
      </c>
      <c r="Q19" s="102">
        <f t="shared" si="0"/>
        <v>0.8</v>
      </c>
      <c r="R19" s="93">
        <v>16.7</v>
      </c>
      <c r="S19" s="93">
        <v>146</v>
      </c>
      <c r="T19" s="103">
        <f t="shared" si="1"/>
        <v>25</v>
      </c>
      <c r="U19" s="93">
        <v>498</v>
      </c>
      <c r="V19" s="104">
        <f t="shared" si="2"/>
        <v>6225</v>
      </c>
      <c r="W19" s="93">
        <v>5</v>
      </c>
      <c r="X19" s="93" t="s">
        <v>46</v>
      </c>
      <c r="Y19" s="93" t="s">
        <v>84</v>
      </c>
      <c r="Z19" s="93" t="s">
        <v>90</v>
      </c>
      <c r="AA19" s="93" t="s">
        <v>69</v>
      </c>
      <c r="AB19" s="93" t="s">
        <v>158</v>
      </c>
      <c r="AE19" s="121" t="s">
        <v>209</v>
      </c>
      <c r="AP19" s="115" t="s">
        <v>225</v>
      </c>
      <c r="AR19" s="111" t="s">
        <v>226</v>
      </c>
      <c r="AV19" s="111" t="s">
        <v>90</v>
      </c>
    </row>
    <row r="20" spans="1:48" x14ac:dyDescent="0.15">
      <c r="A20" s="93" t="s">
        <v>51</v>
      </c>
      <c r="B20" s="93" t="s">
        <v>157</v>
      </c>
      <c r="C20" s="93">
        <v>2019</v>
      </c>
      <c r="D20" s="101" t="s">
        <v>264</v>
      </c>
      <c r="E20" s="93" t="s">
        <v>139</v>
      </c>
      <c r="F20" s="93" t="s">
        <v>279</v>
      </c>
      <c r="G20" s="93" t="s">
        <v>42</v>
      </c>
      <c r="H20" s="93" t="s">
        <v>163</v>
      </c>
      <c r="I20" s="93" t="s">
        <v>159</v>
      </c>
      <c r="J20" s="93" t="s">
        <v>38</v>
      </c>
      <c r="K20" s="93" t="s">
        <v>160</v>
      </c>
      <c r="L20" s="93">
        <v>1</v>
      </c>
      <c r="N20" s="93">
        <v>1</v>
      </c>
      <c r="O20" s="93">
        <v>0.8</v>
      </c>
      <c r="P20" s="93">
        <v>0.8</v>
      </c>
      <c r="Q20" s="102">
        <f t="shared" si="0"/>
        <v>0.8</v>
      </c>
      <c r="R20" s="93">
        <v>13.6</v>
      </c>
      <c r="S20" s="93">
        <v>110</v>
      </c>
      <c r="T20" s="103">
        <f t="shared" si="1"/>
        <v>33</v>
      </c>
      <c r="U20" s="93">
        <v>98</v>
      </c>
      <c r="V20" s="104">
        <f t="shared" si="2"/>
        <v>3234</v>
      </c>
      <c r="W20" s="93">
        <v>3</v>
      </c>
      <c r="X20" s="93" t="s">
        <v>46</v>
      </c>
      <c r="Y20" s="93" t="s">
        <v>84</v>
      </c>
      <c r="Z20" s="93" t="s">
        <v>90</v>
      </c>
      <c r="AA20" s="93" t="s">
        <v>69</v>
      </c>
      <c r="AB20" s="93" t="s">
        <v>158</v>
      </c>
      <c r="AE20" s="121"/>
      <c r="AP20" s="115" t="s">
        <v>227</v>
      </c>
      <c r="AR20" s="111" t="s">
        <v>105</v>
      </c>
      <c r="AV20" s="115" t="s">
        <v>228</v>
      </c>
    </row>
    <row r="21" spans="1:48" x14ac:dyDescent="0.15">
      <c r="A21" s="93" t="s">
        <v>51</v>
      </c>
      <c r="B21" s="93" t="s">
        <v>157</v>
      </c>
      <c r="C21" s="93">
        <v>2019</v>
      </c>
      <c r="D21" s="101" t="s">
        <v>264</v>
      </c>
      <c r="E21" s="93" t="s">
        <v>139</v>
      </c>
      <c r="F21" s="93" t="s">
        <v>279</v>
      </c>
      <c r="G21" s="93" t="s">
        <v>42</v>
      </c>
      <c r="H21" s="93" t="s">
        <v>163</v>
      </c>
      <c r="I21" s="93" t="s">
        <v>159</v>
      </c>
      <c r="J21" s="93" t="s">
        <v>38</v>
      </c>
      <c r="K21" s="93" t="s">
        <v>160</v>
      </c>
      <c r="L21" s="93">
        <v>2</v>
      </c>
      <c r="N21" s="93">
        <v>1</v>
      </c>
      <c r="O21" s="93">
        <v>0.75</v>
      </c>
      <c r="P21" s="93">
        <v>0.8</v>
      </c>
      <c r="Q21" s="102">
        <f t="shared" si="0"/>
        <v>0.77500000000000002</v>
      </c>
      <c r="R21" s="93">
        <v>14.3</v>
      </c>
      <c r="S21" s="93">
        <v>118</v>
      </c>
      <c r="T21" s="103">
        <f t="shared" si="1"/>
        <v>30</v>
      </c>
      <c r="U21" s="93">
        <v>98</v>
      </c>
      <c r="V21" s="104">
        <f t="shared" si="2"/>
        <v>2940</v>
      </c>
      <c r="W21" s="93">
        <v>3</v>
      </c>
      <c r="X21" s="93" t="s">
        <v>46</v>
      </c>
      <c r="Y21" s="93" t="s">
        <v>84</v>
      </c>
      <c r="Z21" s="93" t="s">
        <v>90</v>
      </c>
      <c r="AA21" s="93" t="s">
        <v>69</v>
      </c>
      <c r="AB21" s="93" t="s">
        <v>158</v>
      </c>
      <c r="AE21" s="116"/>
      <c r="AP21" s="115" t="s">
        <v>229</v>
      </c>
      <c r="AR21" s="111" t="s">
        <v>68</v>
      </c>
      <c r="AV21" s="115" t="s">
        <v>230</v>
      </c>
    </row>
    <row r="22" spans="1:48" x14ac:dyDescent="0.15">
      <c r="A22" s="93" t="s">
        <v>51</v>
      </c>
      <c r="B22" s="93" t="s">
        <v>157</v>
      </c>
      <c r="C22" s="93">
        <v>2019</v>
      </c>
      <c r="D22" s="101" t="s">
        <v>264</v>
      </c>
      <c r="E22" s="93" t="s">
        <v>139</v>
      </c>
      <c r="F22" s="93" t="s">
        <v>279</v>
      </c>
      <c r="G22" s="93" t="s">
        <v>42</v>
      </c>
      <c r="H22" s="93" t="s">
        <v>163</v>
      </c>
      <c r="I22" s="93" t="s">
        <v>159</v>
      </c>
      <c r="J22" s="93" t="s">
        <v>38</v>
      </c>
      <c r="K22" s="93" t="s">
        <v>160</v>
      </c>
      <c r="L22" s="93">
        <v>3</v>
      </c>
      <c r="N22" s="93">
        <v>1</v>
      </c>
      <c r="O22" s="93">
        <v>0.75</v>
      </c>
      <c r="P22" s="93">
        <v>0.75</v>
      </c>
      <c r="Q22" s="102">
        <f t="shared" si="0"/>
        <v>0.75</v>
      </c>
      <c r="R22" s="93">
        <v>14.5</v>
      </c>
      <c r="S22" s="93">
        <v>118</v>
      </c>
      <c r="T22" s="103">
        <f t="shared" si="1"/>
        <v>30</v>
      </c>
      <c r="U22" s="93">
        <v>98</v>
      </c>
      <c r="V22" s="104">
        <f t="shared" si="2"/>
        <v>2940</v>
      </c>
      <c r="W22" s="93">
        <v>3</v>
      </c>
      <c r="X22" s="93" t="s">
        <v>46</v>
      </c>
      <c r="Y22" s="93" t="s">
        <v>84</v>
      </c>
      <c r="Z22" s="93" t="s">
        <v>90</v>
      </c>
      <c r="AA22" s="93" t="s">
        <v>69</v>
      </c>
      <c r="AB22" s="93" t="s">
        <v>158</v>
      </c>
      <c r="AP22" s="115" t="s">
        <v>231</v>
      </c>
      <c r="AR22" s="111" t="s">
        <v>83</v>
      </c>
      <c r="AV22" s="115"/>
    </row>
    <row r="23" spans="1:48" x14ac:dyDescent="0.15">
      <c r="A23" s="93" t="s">
        <v>51</v>
      </c>
      <c r="B23" s="93" t="s">
        <v>157</v>
      </c>
      <c r="C23" s="93">
        <v>2019</v>
      </c>
      <c r="D23" s="101" t="s">
        <v>264</v>
      </c>
      <c r="E23" s="93" t="s">
        <v>273</v>
      </c>
      <c r="F23" s="93" t="s">
        <v>274</v>
      </c>
      <c r="G23" s="93" t="s">
        <v>36</v>
      </c>
      <c r="H23" s="93" t="s">
        <v>163</v>
      </c>
      <c r="I23" s="93" t="s">
        <v>159</v>
      </c>
      <c r="J23" s="93" t="s">
        <v>38</v>
      </c>
      <c r="K23" s="93" t="s">
        <v>160</v>
      </c>
      <c r="L23" s="93">
        <v>1</v>
      </c>
      <c r="N23" s="93">
        <v>1</v>
      </c>
      <c r="O23" s="93">
        <v>0.7</v>
      </c>
      <c r="P23" s="93">
        <v>0.75</v>
      </c>
      <c r="Q23" s="102">
        <f t="shared" si="0"/>
        <v>0.72499999999999998</v>
      </c>
      <c r="R23" s="93">
        <v>14.4</v>
      </c>
      <c r="S23" s="93">
        <v>104</v>
      </c>
      <c r="T23" s="103">
        <f t="shared" si="1"/>
        <v>33</v>
      </c>
      <c r="U23" s="93">
        <v>118</v>
      </c>
      <c r="V23" s="104">
        <f t="shared" si="2"/>
        <v>3894</v>
      </c>
      <c r="W23" s="93">
        <v>3</v>
      </c>
      <c r="X23" s="93" t="s">
        <v>46</v>
      </c>
      <c r="Y23" s="93" t="s">
        <v>84</v>
      </c>
      <c r="Z23" s="93" t="s">
        <v>90</v>
      </c>
      <c r="AA23" s="93" t="s">
        <v>69</v>
      </c>
      <c r="AB23" s="93" t="s">
        <v>158</v>
      </c>
      <c r="AP23" s="115" t="s">
        <v>280</v>
      </c>
      <c r="AR23" s="111" t="s">
        <v>61</v>
      </c>
    </row>
    <row r="24" spans="1:48" x14ac:dyDescent="0.15">
      <c r="A24" s="93" t="s">
        <v>51</v>
      </c>
      <c r="B24" s="93" t="s">
        <v>157</v>
      </c>
      <c r="C24" s="93">
        <v>2019</v>
      </c>
      <c r="D24" s="101" t="s">
        <v>264</v>
      </c>
      <c r="E24" s="93" t="s">
        <v>273</v>
      </c>
      <c r="F24" s="93" t="s">
        <v>274</v>
      </c>
      <c r="G24" s="93" t="s">
        <v>36</v>
      </c>
      <c r="H24" s="93" t="s">
        <v>163</v>
      </c>
      <c r="I24" s="93" t="s">
        <v>159</v>
      </c>
      <c r="J24" s="93" t="s">
        <v>38</v>
      </c>
      <c r="K24" s="93" t="s">
        <v>160</v>
      </c>
      <c r="L24" s="93">
        <v>2</v>
      </c>
      <c r="N24" s="93">
        <v>1</v>
      </c>
      <c r="O24" s="93">
        <v>0.8</v>
      </c>
      <c r="P24" s="93">
        <v>0.7</v>
      </c>
      <c r="Q24" s="102">
        <f t="shared" si="0"/>
        <v>0.75</v>
      </c>
      <c r="R24" s="93">
        <v>14.6</v>
      </c>
      <c r="S24" s="93">
        <v>108</v>
      </c>
      <c r="T24" s="103">
        <f t="shared" si="1"/>
        <v>33</v>
      </c>
      <c r="U24" s="93">
        <v>118</v>
      </c>
      <c r="V24" s="104">
        <f t="shared" si="2"/>
        <v>3894</v>
      </c>
      <c r="W24" s="93">
        <v>3</v>
      </c>
      <c r="X24" s="93" t="s">
        <v>46</v>
      </c>
      <c r="Y24" s="93" t="s">
        <v>84</v>
      </c>
      <c r="Z24" s="93" t="s">
        <v>90</v>
      </c>
      <c r="AA24" s="93" t="s">
        <v>69</v>
      </c>
      <c r="AB24" s="93" t="s">
        <v>158</v>
      </c>
      <c r="AP24" s="115" t="s">
        <v>281</v>
      </c>
      <c r="AR24" s="111" t="s">
        <v>91</v>
      </c>
    </row>
    <row r="25" spans="1:48" x14ac:dyDescent="0.15">
      <c r="A25" s="93" t="s">
        <v>51</v>
      </c>
      <c r="B25" s="93" t="s">
        <v>157</v>
      </c>
      <c r="C25" s="93">
        <v>2019</v>
      </c>
      <c r="D25" s="101" t="s">
        <v>264</v>
      </c>
      <c r="E25" s="93" t="s">
        <v>273</v>
      </c>
      <c r="F25" s="93" t="s">
        <v>274</v>
      </c>
      <c r="G25" s="93" t="s">
        <v>36</v>
      </c>
      <c r="H25" s="93" t="s">
        <v>163</v>
      </c>
      <c r="I25" s="93" t="s">
        <v>159</v>
      </c>
      <c r="J25" s="93" t="s">
        <v>38</v>
      </c>
      <c r="K25" s="93" t="s">
        <v>160</v>
      </c>
      <c r="L25" s="93">
        <v>3</v>
      </c>
      <c r="N25" s="93">
        <v>1</v>
      </c>
      <c r="O25" s="93">
        <v>0.65</v>
      </c>
      <c r="P25" s="93">
        <v>0.7</v>
      </c>
      <c r="Q25" s="102">
        <f t="shared" si="0"/>
        <v>0.67500000000000004</v>
      </c>
      <c r="R25" s="93">
        <v>15.2</v>
      </c>
      <c r="S25" s="93">
        <v>108</v>
      </c>
      <c r="T25" s="103">
        <f t="shared" si="1"/>
        <v>33</v>
      </c>
      <c r="U25" s="93">
        <v>118</v>
      </c>
      <c r="V25" s="104">
        <f t="shared" si="2"/>
        <v>3894</v>
      </c>
      <c r="W25" s="93">
        <v>3</v>
      </c>
      <c r="X25" s="93" t="s">
        <v>46</v>
      </c>
      <c r="Y25" s="93" t="s">
        <v>84</v>
      </c>
      <c r="Z25" s="93" t="s">
        <v>90</v>
      </c>
      <c r="AA25" s="93" t="s">
        <v>69</v>
      </c>
      <c r="AB25" s="93" t="s">
        <v>158</v>
      </c>
      <c r="AP25" s="115" t="s">
        <v>282</v>
      </c>
      <c r="AR25" s="115" t="s">
        <v>51</v>
      </c>
    </row>
    <row r="26" spans="1:48" x14ac:dyDescent="0.15">
      <c r="A26" s="93" t="s">
        <v>51</v>
      </c>
      <c r="B26" s="93" t="s">
        <v>157</v>
      </c>
      <c r="C26" s="93">
        <v>2019</v>
      </c>
      <c r="D26" s="101" t="s">
        <v>264</v>
      </c>
      <c r="E26" s="93" t="s">
        <v>213</v>
      </c>
      <c r="F26" s="93" t="s">
        <v>267</v>
      </c>
      <c r="G26" s="93" t="s">
        <v>42</v>
      </c>
      <c r="H26" s="93" t="s">
        <v>163</v>
      </c>
      <c r="I26" s="93" t="s">
        <v>159</v>
      </c>
      <c r="J26" s="93" t="s">
        <v>38</v>
      </c>
      <c r="K26" s="93" t="s">
        <v>160</v>
      </c>
      <c r="L26" s="93">
        <v>1</v>
      </c>
      <c r="N26" s="93">
        <v>1</v>
      </c>
      <c r="O26" s="93">
        <v>0.5</v>
      </c>
      <c r="P26" s="93">
        <v>0.65</v>
      </c>
      <c r="Q26" s="102">
        <f t="shared" si="0"/>
        <v>0.57499999999999996</v>
      </c>
      <c r="R26" s="93">
        <v>15.3</v>
      </c>
      <c r="S26" s="93">
        <v>112</v>
      </c>
      <c r="T26" s="103">
        <f t="shared" si="1"/>
        <v>33</v>
      </c>
      <c r="U26" s="93">
        <v>97</v>
      </c>
      <c r="V26" s="104">
        <f t="shared" si="2"/>
        <v>3201</v>
      </c>
      <c r="W26" s="93">
        <v>4</v>
      </c>
      <c r="X26" s="93" t="s">
        <v>46</v>
      </c>
      <c r="Y26" s="93" t="s">
        <v>84</v>
      </c>
      <c r="Z26" s="93" t="s">
        <v>69</v>
      </c>
      <c r="AA26" s="93" t="s">
        <v>90</v>
      </c>
      <c r="AB26" s="93" t="s">
        <v>158</v>
      </c>
      <c r="AP26" s="115" t="s">
        <v>232</v>
      </c>
      <c r="AR26" s="93" t="s">
        <v>233</v>
      </c>
    </row>
    <row r="27" spans="1:48" x14ac:dyDescent="0.15">
      <c r="A27" s="93" t="s">
        <v>51</v>
      </c>
      <c r="B27" s="93" t="s">
        <v>157</v>
      </c>
      <c r="C27" s="93">
        <v>2019</v>
      </c>
      <c r="D27" s="101" t="s">
        <v>264</v>
      </c>
      <c r="E27" s="93" t="s">
        <v>213</v>
      </c>
      <c r="F27" s="93" t="s">
        <v>267</v>
      </c>
      <c r="G27" s="93" t="s">
        <v>42</v>
      </c>
      <c r="H27" s="93" t="s">
        <v>163</v>
      </c>
      <c r="I27" s="93" t="s">
        <v>159</v>
      </c>
      <c r="J27" s="93" t="s">
        <v>38</v>
      </c>
      <c r="K27" s="93" t="s">
        <v>160</v>
      </c>
      <c r="L27" s="93">
        <v>2</v>
      </c>
      <c r="N27" s="93">
        <v>1</v>
      </c>
      <c r="O27" s="93">
        <v>0.6</v>
      </c>
      <c r="P27" s="93">
        <v>0.65</v>
      </c>
      <c r="Q27" s="102">
        <f t="shared" si="0"/>
        <v>0.625</v>
      </c>
      <c r="R27" s="93">
        <v>15.1</v>
      </c>
      <c r="S27" s="93">
        <v>126</v>
      </c>
      <c r="T27" s="103">
        <f t="shared" si="1"/>
        <v>27</v>
      </c>
      <c r="U27" s="93">
        <v>97</v>
      </c>
      <c r="V27" s="104">
        <f t="shared" si="2"/>
        <v>2619</v>
      </c>
      <c r="W27" s="93">
        <v>4</v>
      </c>
      <c r="X27" s="93" t="s">
        <v>46</v>
      </c>
      <c r="Y27" s="93" t="s">
        <v>84</v>
      </c>
      <c r="Z27" s="93" t="s">
        <v>69</v>
      </c>
      <c r="AA27" s="93" t="s">
        <v>90</v>
      </c>
      <c r="AB27" s="93" t="s">
        <v>158</v>
      </c>
      <c r="AP27" s="115" t="s">
        <v>234</v>
      </c>
    </row>
    <row r="28" spans="1:48" x14ac:dyDescent="0.15">
      <c r="A28" s="93" t="s">
        <v>51</v>
      </c>
      <c r="B28" s="93" t="s">
        <v>157</v>
      </c>
      <c r="C28" s="93">
        <v>2019</v>
      </c>
      <c r="D28" s="101" t="s">
        <v>264</v>
      </c>
      <c r="E28" s="93" t="s">
        <v>213</v>
      </c>
      <c r="F28" s="93" t="s">
        <v>267</v>
      </c>
      <c r="G28" s="93" t="s">
        <v>42</v>
      </c>
      <c r="H28" s="93" t="s">
        <v>163</v>
      </c>
      <c r="I28" s="93" t="s">
        <v>159</v>
      </c>
      <c r="J28" s="93" t="s">
        <v>38</v>
      </c>
      <c r="K28" s="93" t="s">
        <v>160</v>
      </c>
      <c r="L28" s="93">
        <v>3</v>
      </c>
      <c r="N28" s="93">
        <v>1</v>
      </c>
      <c r="O28" s="93">
        <v>0.5</v>
      </c>
      <c r="P28" s="93">
        <v>0.55000000000000004</v>
      </c>
      <c r="Q28" s="102">
        <f t="shared" si="0"/>
        <v>0.52500000000000002</v>
      </c>
      <c r="R28" s="93">
        <v>15.7</v>
      </c>
      <c r="S28" s="93">
        <v>126</v>
      </c>
      <c r="T28" s="103">
        <f t="shared" si="1"/>
        <v>27</v>
      </c>
      <c r="U28" s="93">
        <v>97</v>
      </c>
      <c r="V28" s="104">
        <f t="shared" si="2"/>
        <v>2619</v>
      </c>
      <c r="W28" s="93">
        <v>4</v>
      </c>
      <c r="X28" s="93" t="s">
        <v>46</v>
      </c>
      <c r="Y28" s="93" t="s">
        <v>84</v>
      </c>
      <c r="Z28" s="93" t="s">
        <v>69</v>
      </c>
      <c r="AA28" s="93" t="s">
        <v>90</v>
      </c>
      <c r="AB28" s="93" t="s">
        <v>158</v>
      </c>
    </row>
    <row r="29" spans="1:48" x14ac:dyDescent="0.15">
      <c r="A29" s="93" t="s">
        <v>51</v>
      </c>
      <c r="B29" s="93" t="s">
        <v>157</v>
      </c>
      <c r="C29" s="93">
        <v>2019</v>
      </c>
      <c r="D29" s="101" t="s">
        <v>264</v>
      </c>
      <c r="E29" s="93" t="s">
        <v>275</v>
      </c>
      <c r="F29" s="93" t="s">
        <v>267</v>
      </c>
      <c r="G29" s="93" t="s">
        <v>42</v>
      </c>
      <c r="H29" s="93" t="s">
        <v>163</v>
      </c>
      <c r="I29" s="93" t="s">
        <v>159</v>
      </c>
      <c r="J29" s="93" t="s">
        <v>38</v>
      </c>
      <c r="K29" s="93" t="s">
        <v>160</v>
      </c>
      <c r="L29" s="93">
        <v>1</v>
      </c>
      <c r="N29" s="93">
        <v>1</v>
      </c>
      <c r="O29" s="93">
        <v>0.95</v>
      </c>
      <c r="P29" s="93">
        <v>1</v>
      </c>
      <c r="Q29" s="102">
        <f t="shared" si="0"/>
        <v>0.97499999999999998</v>
      </c>
      <c r="R29" s="93">
        <v>13.8</v>
      </c>
      <c r="S29" s="93">
        <v>118</v>
      </c>
      <c r="T29" s="103">
        <f t="shared" si="1"/>
        <v>30</v>
      </c>
      <c r="U29" s="93">
        <v>98</v>
      </c>
      <c r="V29" s="104">
        <f t="shared" si="2"/>
        <v>2940</v>
      </c>
      <c r="W29" s="93">
        <v>5</v>
      </c>
      <c r="X29" s="93" t="s">
        <v>39</v>
      </c>
      <c r="Y29" s="93" t="s">
        <v>84</v>
      </c>
      <c r="Z29" s="93" t="s">
        <v>90</v>
      </c>
      <c r="AA29" s="93" t="s">
        <v>69</v>
      </c>
      <c r="AB29" s="93" t="s">
        <v>158</v>
      </c>
    </row>
    <row r="30" spans="1:48" x14ac:dyDescent="0.15">
      <c r="A30" s="93" t="s">
        <v>51</v>
      </c>
      <c r="B30" s="93" t="s">
        <v>157</v>
      </c>
      <c r="C30" s="93">
        <v>2019</v>
      </c>
      <c r="D30" s="101" t="s">
        <v>264</v>
      </c>
      <c r="E30" s="93" t="s">
        <v>275</v>
      </c>
      <c r="F30" s="93" t="s">
        <v>267</v>
      </c>
      <c r="G30" s="93" t="s">
        <v>42</v>
      </c>
      <c r="H30" s="93" t="s">
        <v>163</v>
      </c>
      <c r="I30" s="93" t="s">
        <v>159</v>
      </c>
      <c r="J30" s="93" t="s">
        <v>38</v>
      </c>
      <c r="K30" s="93" t="s">
        <v>160</v>
      </c>
      <c r="L30" s="93">
        <v>2</v>
      </c>
      <c r="N30" s="93">
        <v>1</v>
      </c>
      <c r="O30" s="93">
        <v>1</v>
      </c>
      <c r="P30" s="93">
        <v>1</v>
      </c>
      <c r="Q30" s="102">
        <f t="shared" si="0"/>
        <v>1</v>
      </c>
      <c r="R30" s="93">
        <v>12.2</v>
      </c>
      <c r="S30" s="93">
        <v>110</v>
      </c>
      <c r="T30" s="103">
        <f t="shared" si="1"/>
        <v>33</v>
      </c>
      <c r="U30" s="93">
        <v>98</v>
      </c>
      <c r="V30" s="104">
        <f t="shared" si="2"/>
        <v>3234</v>
      </c>
      <c r="W30" s="93">
        <v>5</v>
      </c>
      <c r="X30" s="93" t="s">
        <v>39</v>
      </c>
      <c r="Y30" s="93" t="s">
        <v>84</v>
      </c>
      <c r="Z30" s="93" t="s">
        <v>90</v>
      </c>
      <c r="AA30" s="93" t="s">
        <v>69</v>
      </c>
      <c r="AB30" s="93" t="s">
        <v>158</v>
      </c>
    </row>
    <row r="31" spans="1:48" x14ac:dyDescent="0.15">
      <c r="A31" s="93" t="s">
        <v>51</v>
      </c>
      <c r="B31" s="93" t="s">
        <v>157</v>
      </c>
      <c r="C31" s="93">
        <v>2019</v>
      </c>
      <c r="D31" s="101" t="s">
        <v>264</v>
      </c>
      <c r="E31" s="93" t="s">
        <v>275</v>
      </c>
      <c r="F31" s="93" t="s">
        <v>267</v>
      </c>
      <c r="G31" s="93" t="s">
        <v>42</v>
      </c>
      <c r="H31" s="93" t="s">
        <v>163</v>
      </c>
      <c r="I31" s="93" t="s">
        <v>159</v>
      </c>
      <c r="J31" s="93" t="s">
        <v>38</v>
      </c>
      <c r="K31" s="93" t="s">
        <v>160</v>
      </c>
      <c r="L31" s="93">
        <v>3</v>
      </c>
      <c r="N31" s="93">
        <v>1</v>
      </c>
      <c r="O31" s="93">
        <v>1.05</v>
      </c>
      <c r="P31" s="93">
        <v>1.1000000000000001</v>
      </c>
      <c r="Q31" s="102">
        <f t="shared" si="0"/>
        <v>1.0750000000000002</v>
      </c>
      <c r="R31" s="93">
        <v>12.5</v>
      </c>
      <c r="S31" s="93">
        <v>112</v>
      </c>
      <c r="T31" s="103">
        <f t="shared" si="1"/>
        <v>33</v>
      </c>
      <c r="U31" s="93">
        <v>98</v>
      </c>
      <c r="V31" s="104">
        <f t="shared" si="2"/>
        <v>3234</v>
      </c>
      <c r="W31" s="93">
        <v>5</v>
      </c>
      <c r="X31" s="93" t="s">
        <v>39</v>
      </c>
      <c r="Y31" s="93" t="s">
        <v>84</v>
      </c>
      <c r="Z31" s="93" t="s">
        <v>90</v>
      </c>
      <c r="AA31" s="93" t="s">
        <v>69</v>
      </c>
      <c r="AB31" s="93" t="s">
        <v>158</v>
      </c>
    </row>
    <row r="32" spans="1:48" x14ac:dyDescent="0.15">
      <c r="A32" s="93" t="s">
        <v>51</v>
      </c>
      <c r="B32" s="93" t="s">
        <v>157</v>
      </c>
      <c r="C32" s="93">
        <v>2019</v>
      </c>
      <c r="D32" s="101" t="s">
        <v>264</v>
      </c>
      <c r="E32" s="93" t="s">
        <v>275</v>
      </c>
      <c r="F32" s="93" t="s">
        <v>267</v>
      </c>
      <c r="G32" s="93" t="s">
        <v>42</v>
      </c>
      <c r="H32" s="93" t="s">
        <v>164</v>
      </c>
      <c r="I32" s="93" t="s">
        <v>159</v>
      </c>
      <c r="J32" s="93" t="s">
        <v>38</v>
      </c>
      <c r="K32" s="93" t="s">
        <v>54</v>
      </c>
      <c r="L32" s="93">
        <v>1</v>
      </c>
      <c r="N32" s="93">
        <v>4</v>
      </c>
      <c r="O32" s="93">
        <v>0.6</v>
      </c>
      <c r="P32" s="93">
        <v>0.6</v>
      </c>
      <c r="Q32" s="102">
        <f t="shared" si="0"/>
        <v>0.6</v>
      </c>
      <c r="R32" s="93">
        <v>16.399999999999999</v>
      </c>
      <c r="S32" s="93">
        <v>95</v>
      </c>
      <c r="T32" s="103">
        <f t="shared" si="1"/>
        <v>39</v>
      </c>
      <c r="U32" s="93">
        <v>498</v>
      </c>
      <c r="V32" s="104">
        <f t="shared" si="2"/>
        <v>4855.5</v>
      </c>
      <c r="W32" s="93">
        <v>5</v>
      </c>
      <c r="X32" s="93" t="s">
        <v>39</v>
      </c>
      <c r="Y32" s="93" t="s">
        <v>84</v>
      </c>
      <c r="Z32" s="93" t="s">
        <v>90</v>
      </c>
      <c r="AA32" s="93" t="s">
        <v>69</v>
      </c>
      <c r="AB32" s="93" t="s">
        <v>158</v>
      </c>
    </row>
    <row r="33" spans="1:28" x14ac:dyDescent="0.15">
      <c r="A33" s="93" t="s">
        <v>51</v>
      </c>
      <c r="B33" s="93" t="s">
        <v>157</v>
      </c>
      <c r="C33" s="93">
        <v>2019</v>
      </c>
      <c r="D33" s="101" t="s">
        <v>264</v>
      </c>
      <c r="E33" s="93" t="s">
        <v>275</v>
      </c>
      <c r="F33" s="93" t="s">
        <v>267</v>
      </c>
      <c r="G33" s="93" t="s">
        <v>42</v>
      </c>
      <c r="H33" s="93" t="s">
        <v>164</v>
      </c>
      <c r="I33" s="93" t="s">
        <v>159</v>
      </c>
      <c r="J33" s="93" t="s">
        <v>38</v>
      </c>
      <c r="K33" s="93" t="s">
        <v>54</v>
      </c>
      <c r="L33" s="93">
        <v>2</v>
      </c>
      <c r="N33" s="93">
        <v>4</v>
      </c>
      <c r="O33" s="93">
        <v>0.55000000000000004</v>
      </c>
      <c r="P33" s="93">
        <v>0.6</v>
      </c>
      <c r="Q33" s="102">
        <f t="shared" si="0"/>
        <v>0.57499999999999996</v>
      </c>
      <c r="R33" s="93">
        <v>16.100000000000001</v>
      </c>
      <c r="S33" s="93">
        <v>95</v>
      </c>
      <c r="T33" s="103">
        <f t="shared" si="1"/>
        <v>39</v>
      </c>
      <c r="U33" s="93">
        <v>498</v>
      </c>
      <c r="V33" s="104">
        <f t="shared" si="2"/>
        <v>4855.5</v>
      </c>
      <c r="W33" s="93">
        <v>5</v>
      </c>
      <c r="X33" s="93" t="s">
        <v>39</v>
      </c>
      <c r="Y33" s="93" t="s">
        <v>84</v>
      </c>
      <c r="Z33" s="93" t="s">
        <v>90</v>
      </c>
      <c r="AA33" s="93" t="s">
        <v>69</v>
      </c>
      <c r="AB33" s="93" t="s">
        <v>158</v>
      </c>
    </row>
    <row r="34" spans="1:28" x14ac:dyDescent="0.15">
      <c r="A34" s="93" t="s">
        <v>51</v>
      </c>
      <c r="B34" s="93" t="s">
        <v>157</v>
      </c>
      <c r="C34" s="93">
        <v>2019</v>
      </c>
      <c r="D34" s="101" t="s">
        <v>264</v>
      </c>
      <c r="E34" s="93" t="s">
        <v>275</v>
      </c>
      <c r="F34" s="93" t="s">
        <v>267</v>
      </c>
      <c r="G34" s="93" t="s">
        <v>42</v>
      </c>
      <c r="H34" s="93" t="s">
        <v>164</v>
      </c>
      <c r="I34" s="93" t="s">
        <v>159</v>
      </c>
      <c r="J34" s="93" t="s">
        <v>38</v>
      </c>
      <c r="K34" s="93" t="s">
        <v>54</v>
      </c>
      <c r="L34" s="93">
        <v>3</v>
      </c>
      <c r="N34" s="93">
        <v>4</v>
      </c>
      <c r="O34" s="93">
        <v>0.5</v>
      </c>
      <c r="P34" s="93">
        <v>0.5</v>
      </c>
      <c r="Q34" s="102">
        <f t="shared" si="0"/>
        <v>0.5</v>
      </c>
      <c r="R34" s="93">
        <v>15.7</v>
      </c>
      <c r="S34" s="93">
        <v>92</v>
      </c>
      <c r="T34" s="103">
        <f t="shared" si="1"/>
        <v>39</v>
      </c>
      <c r="U34" s="93">
        <v>498</v>
      </c>
      <c r="V34" s="104">
        <f t="shared" si="2"/>
        <v>4855.5</v>
      </c>
      <c r="W34" s="93">
        <v>5</v>
      </c>
      <c r="X34" s="93" t="s">
        <v>39</v>
      </c>
      <c r="Y34" s="93" t="s">
        <v>84</v>
      </c>
      <c r="Z34" s="93" t="s">
        <v>90</v>
      </c>
      <c r="AA34" s="93" t="s">
        <v>69</v>
      </c>
      <c r="AB34" s="93" t="s">
        <v>158</v>
      </c>
    </row>
    <row r="35" spans="1:28" x14ac:dyDescent="0.15">
      <c r="A35" s="93" t="s">
        <v>51</v>
      </c>
      <c r="B35" s="93" t="s">
        <v>157</v>
      </c>
      <c r="C35" s="93">
        <v>2019</v>
      </c>
      <c r="D35" s="101" t="s">
        <v>264</v>
      </c>
      <c r="E35" s="93" t="s">
        <v>275</v>
      </c>
      <c r="F35" s="93" t="s">
        <v>267</v>
      </c>
      <c r="G35" s="93" t="s">
        <v>42</v>
      </c>
      <c r="H35" s="93" t="s">
        <v>190</v>
      </c>
      <c r="I35" s="93" t="s">
        <v>159</v>
      </c>
      <c r="J35" s="93" t="s">
        <v>80</v>
      </c>
      <c r="K35" s="93" t="s">
        <v>63</v>
      </c>
      <c r="L35" s="93">
        <v>1</v>
      </c>
      <c r="N35" s="93">
        <v>4</v>
      </c>
      <c r="O35" s="93">
        <v>0.6</v>
      </c>
      <c r="P35" s="93">
        <v>0.55000000000000004</v>
      </c>
      <c r="Q35" s="102">
        <f t="shared" si="0"/>
        <v>0.57499999999999996</v>
      </c>
      <c r="R35" s="93">
        <v>17.600000000000001</v>
      </c>
      <c r="S35" s="93">
        <v>102</v>
      </c>
      <c r="T35" s="103">
        <f t="shared" si="1"/>
        <v>33</v>
      </c>
      <c r="U35" s="93">
        <v>398</v>
      </c>
      <c r="V35" s="104">
        <f t="shared" si="2"/>
        <v>3283.5</v>
      </c>
      <c r="W35" s="93">
        <v>5</v>
      </c>
      <c r="X35" s="93" t="s">
        <v>39</v>
      </c>
      <c r="Y35" s="93" t="s">
        <v>84</v>
      </c>
      <c r="Z35" s="93" t="s">
        <v>90</v>
      </c>
      <c r="AA35" s="93" t="s">
        <v>69</v>
      </c>
      <c r="AB35" s="93" t="s">
        <v>158</v>
      </c>
    </row>
    <row r="36" spans="1:28" x14ac:dyDescent="0.15">
      <c r="A36" s="93" t="s">
        <v>51</v>
      </c>
      <c r="B36" s="93" t="s">
        <v>157</v>
      </c>
      <c r="C36" s="93">
        <v>2019</v>
      </c>
      <c r="D36" s="101" t="s">
        <v>264</v>
      </c>
      <c r="E36" s="93" t="s">
        <v>275</v>
      </c>
      <c r="F36" s="93" t="s">
        <v>267</v>
      </c>
      <c r="G36" s="93" t="s">
        <v>42</v>
      </c>
      <c r="H36" s="93" t="s">
        <v>190</v>
      </c>
      <c r="I36" s="93" t="s">
        <v>159</v>
      </c>
      <c r="J36" s="93" t="s">
        <v>80</v>
      </c>
      <c r="K36" s="93" t="s">
        <v>63</v>
      </c>
      <c r="L36" s="93">
        <v>2</v>
      </c>
      <c r="N36" s="93">
        <v>4</v>
      </c>
      <c r="O36" s="93">
        <v>0.5</v>
      </c>
      <c r="P36" s="93">
        <v>0.65</v>
      </c>
      <c r="Q36" s="102">
        <f t="shared" si="0"/>
        <v>0.57499999999999996</v>
      </c>
      <c r="R36" s="93">
        <v>17.399999999999999</v>
      </c>
      <c r="S36" s="93">
        <v>87</v>
      </c>
      <c r="T36" s="103">
        <f t="shared" si="1"/>
        <v>36</v>
      </c>
      <c r="U36" s="93">
        <v>398</v>
      </c>
      <c r="V36" s="104">
        <f t="shared" si="2"/>
        <v>3582</v>
      </c>
      <c r="W36" s="93">
        <v>5</v>
      </c>
      <c r="X36" s="93" t="s">
        <v>39</v>
      </c>
      <c r="Y36" s="93" t="s">
        <v>84</v>
      </c>
      <c r="Z36" s="93" t="s">
        <v>90</v>
      </c>
      <c r="AA36" s="93" t="s">
        <v>69</v>
      </c>
      <c r="AB36" s="93" t="s">
        <v>158</v>
      </c>
    </row>
    <row r="37" spans="1:28" x14ac:dyDescent="0.15">
      <c r="A37" s="93" t="s">
        <v>51</v>
      </c>
      <c r="B37" s="93" t="s">
        <v>157</v>
      </c>
      <c r="C37" s="93">
        <v>2019</v>
      </c>
      <c r="D37" s="101" t="s">
        <v>264</v>
      </c>
      <c r="E37" s="93" t="s">
        <v>275</v>
      </c>
      <c r="F37" s="93" t="s">
        <v>267</v>
      </c>
      <c r="G37" s="93" t="s">
        <v>42</v>
      </c>
      <c r="H37" s="93" t="s">
        <v>190</v>
      </c>
      <c r="I37" s="93" t="s">
        <v>159</v>
      </c>
      <c r="J37" s="93" t="s">
        <v>80</v>
      </c>
      <c r="K37" s="93" t="s">
        <v>63</v>
      </c>
      <c r="L37" s="93">
        <v>3</v>
      </c>
      <c r="N37" s="93">
        <v>4</v>
      </c>
      <c r="O37" s="93">
        <v>0.6</v>
      </c>
      <c r="P37" s="93">
        <v>0.6</v>
      </c>
      <c r="Q37" s="102">
        <f t="shared" si="0"/>
        <v>0.6</v>
      </c>
      <c r="R37" s="93">
        <v>16.8</v>
      </c>
      <c r="S37" s="93">
        <v>98</v>
      </c>
      <c r="T37" s="103">
        <f t="shared" si="1"/>
        <v>36</v>
      </c>
      <c r="U37" s="93">
        <v>398</v>
      </c>
      <c r="V37" s="104">
        <f t="shared" si="2"/>
        <v>3582</v>
      </c>
      <c r="W37" s="93">
        <v>5</v>
      </c>
      <c r="X37" s="93" t="s">
        <v>39</v>
      </c>
      <c r="Y37" s="93" t="s">
        <v>84</v>
      </c>
      <c r="Z37" s="93" t="s">
        <v>90</v>
      </c>
      <c r="AA37" s="93" t="s">
        <v>69</v>
      </c>
      <c r="AB37" s="93" t="s">
        <v>158</v>
      </c>
    </row>
    <row r="38" spans="1:28" x14ac:dyDescent="0.15">
      <c r="A38" s="93" t="s">
        <v>51</v>
      </c>
      <c r="B38" s="93" t="s">
        <v>157</v>
      </c>
      <c r="C38" s="93">
        <v>2019</v>
      </c>
      <c r="D38" s="101" t="s">
        <v>264</v>
      </c>
      <c r="E38" s="93" t="s">
        <v>270</v>
      </c>
      <c r="F38" s="93" t="s">
        <v>271</v>
      </c>
      <c r="G38" s="93" t="s">
        <v>42</v>
      </c>
      <c r="H38" s="93" t="s">
        <v>163</v>
      </c>
      <c r="I38" s="93" t="s">
        <v>159</v>
      </c>
      <c r="J38" s="93" t="s">
        <v>38</v>
      </c>
      <c r="K38" s="93" t="s">
        <v>160</v>
      </c>
      <c r="L38" s="93">
        <v>1</v>
      </c>
      <c r="N38" s="93">
        <v>1</v>
      </c>
      <c r="O38" s="93">
        <v>0.8</v>
      </c>
      <c r="P38" s="93">
        <v>0.75</v>
      </c>
      <c r="Q38" s="102">
        <f t="shared" si="0"/>
        <v>0.77500000000000002</v>
      </c>
      <c r="R38" s="93">
        <v>13.4</v>
      </c>
      <c r="S38" s="93">
        <v>120</v>
      </c>
      <c r="T38" s="103">
        <f t="shared" si="1"/>
        <v>30</v>
      </c>
      <c r="U38" s="93">
        <v>99</v>
      </c>
      <c r="V38" s="104">
        <f t="shared" si="2"/>
        <v>2970</v>
      </c>
      <c r="W38" s="93">
        <v>1</v>
      </c>
      <c r="X38" s="93" t="s">
        <v>39</v>
      </c>
      <c r="Y38" s="93" t="s">
        <v>84</v>
      </c>
      <c r="Z38" s="93" t="s">
        <v>90</v>
      </c>
      <c r="AA38" s="93" t="s">
        <v>69</v>
      </c>
      <c r="AB38" s="93" t="s">
        <v>158</v>
      </c>
    </row>
    <row r="39" spans="1:28" x14ac:dyDescent="0.15">
      <c r="A39" s="93" t="s">
        <v>51</v>
      </c>
      <c r="B39" s="93" t="s">
        <v>157</v>
      </c>
      <c r="C39" s="93">
        <v>2019</v>
      </c>
      <c r="D39" s="101" t="s">
        <v>264</v>
      </c>
      <c r="E39" s="93" t="s">
        <v>270</v>
      </c>
      <c r="F39" s="93" t="s">
        <v>271</v>
      </c>
      <c r="G39" s="93" t="s">
        <v>42</v>
      </c>
      <c r="H39" s="93" t="s">
        <v>163</v>
      </c>
      <c r="I39" s="93" t="s">
        <v>159</v>
      </c>
      <c r="J39" s="93" t="s">
        <v>38</v>
      </c>
      <c r="K39" s="93" t="s">
        <v>160</v>
      </c>
      <c r="L39" s="93">
        <v>2</v>
      </c>
      <c r="N39" s="93">
        <v>1</v>
      </c>
      <c r="O39" s="93">
        <v>0.75</v>
      </c>
      <c r="P39" s="93">
        <v>0.85</v>
      </c>
      <c r="Q39" s="102">
        <f t="shared" si="0"/>
        <v>0.8</v>
      </c>
      <c r="R39" s="93">
        <v>14</v>
      </c>
      <c r="S39" s="93">
        <v>126</v>
      </c>
      <c r="T39" s="103">
        <f t="shared" si="1"/>
        <v>27</v>
      </c>
      <c r="U39" s="93">
        <v>99</v>
      </c>
      <c r="V39" s="104">
        <f t="shared" si="2"/>
        <v>2673</v>
      </c>
      <c r="W39" s="93">
        <v>1</v>
      </c>
      <c r="X39" s="93" t="s">
        <v>39</v>
      </c>
      <c r="Y39" s="93" t="s">
        <v>84</v>
      </c>
      <c r="Z39" s="93" t="s">
        <v>90</v>
      </c>
      <c r="AA39" s="93" t="s">
        <v>69</v>
      </c>
      <c r="AB39" s="93" t="s">
        <v>158</v>
      </c>
    </row>
    <row r="40" spans="1:28" x14ac:dyDescent="0.15">
      <c r="A40" s="93" t="s">
        <v>51</v>
      </c>
      <c r="B40" s="93" t="s">
        <v>157</v>
      </c>
      <c r="C40" s="93">
        <v>2019</v>
      </c>
      <c r="D40" s="101" t="s">
        <v>264</v>
      </c>
      <c r="E40" s="93" t="s">
        <v>270</v>
      </c>
      <c r="F40" s="93" t="s">
        <v>271</v>
      </c>
      <c r="G40" s="93" t="s">
        <v>42</v>
      </c>
      <c r="H40" s="93" t="s">
        <v>163</v>
      </c>
      <c r="I40" s="93" t="s">
        <v>159</v>
      </c>
      <c r="J40" s="93" t="s">
        <v>38</v>
      </c>
      <c r="K40" s="93" t="s">
        <v>160</v>
      </c>
      <c r="L40" s="93">
        <v>3</v>
      </c>
      <c r="N40" s="93">
        <v>1</v>
      </c>
      <c r="O40" s="93">
        <v>0.7</v>
      </c>
      <c r="P40" s="93">
        <v>0.7</v>
      </c>
      <c r="Q40" s="102">
        <f t="shared" si="0"/>
        <v>0.7</v>
      </c>
      <c r="R40" s="93">
        <v>13.9</v>
      </c>
      <c r="S40" s="93">
        <v>120</v>
      </c>
      <c r="T40" s="103">
        <f t="shared" si="1"/>
        <v>30</v>
      </c>
      <c r="U40" s="93">
        <v>99</v>
      </c>
      <c r="V40" s="104">
        <f t="shared" si="2"/>
        <v>2970</v>
      </c>
      <c r="W40" s="93">
        <v>1</v>
      </c>
      <c r="X40" s="93" t="s">
        <v>39</v>
      </c>
      <c r="Y40" s="93" t="s">
        <v>84</v>
      </c>
      <c r="Z40" s="93" t="s">
        <v>90</v>
      </c>
      <c r="AA40" s="93" t="s">
        <v>69</v>
      </c>
      <c r="AB40" s="93" t="s">
        <v>158</v>
      </c>
    </row>
    <row r="41" spans="1:28" x14ac:dyDescent="0.15">
      <c r="A41" s="93" t="s">
        <v>51</v>
      </c>
      <c r="B41" s="93" t="s">
        <v>157</v>
      </c>
      <c r="C41" s="93">
        <v>2019</v>
      </c>
      <c r="D41" s="101" t="s">
        <v>264</v>
      </c>
      <c r="E41" s="93" t="s">
        <v>272</v>
      </c>
      <c r="F41" s="93" t="s">
        <v>266</v>
      </c>
      <c r="G41" s="93" t="s">
        <v>36</v>
      </c>
      <c r="H41" s="93" t="s">
        <v>188</v>
      </c>
      <c r="I41" s="93" t="s">
        <v>159</v>
      </c>
      <c r="J41" s="93" t="s">
        <v>58</v>
      </c>
      <c r="K41" s="93" t="s">
        <v>59</v>
      </c>
      <c r="L41" s="93">
        <v>1</v>
      </c>
      <c r="N41" s="93">
        <v>7</v>
      </c>
      <c r="O41" s="93">
        <v>1.6</v>
      </c>
      <c r="P41" s="93">
        <v>1.45</v>
      </c>
      <c r="Q41" s="102">
        <f t="shared" si="0"/>
        <v>1.5249999999999999</v>
      </c>
      <c r="R41" s="93">
        <v>15.1</v>
      </c>
      <c r="S41" s="93">
        <v>75</v>
      </c>
      <c r="T41" s="103">
        <f t="shared" si="1"/>
        <v>42</v>
      </c>
      <c r="U41" s="93">
        <v>398</v>
      </c>
      <c r="V41" s="104">
        <f t="shared" si="2"/>
        <v>2388</v>
      </c>
      <c r="W41" s="93">
        <v>1</v>
      </c>
      <c r="X41" s="93" t="s">
        <v>39</v>
      </c>
      <c r="Y41" s="93" t="s">
        <v>84</v>
      </c>
      <c r="Z41" s="93" t="s">
        <v>90</v>
      </c>
      <c r="AA41" s="93" t="s">
        <v>69</v>
      </c>
      <c r="AB41" s="93" t="s">
        <v>158</v>
      </c>
    </row>
    <row r="42" spans="1:28" x14ac:dyDescent="0.15">
      <c r="A42" s="93" t="s">
        <v>51</v>
      </c>
      <c r="B42" s="93" t="s">
        <v>157</v>
      </c>
      <c r="C42" s="93">
        <v>2019</v>
      </c>
      <c r="D42" s="101" t="s">
        <v>264</v>
      </c>
      <c r="E42" s="93" t="s">
        <v>272</v>
      </c>
      <c r="F42" s="93" t="s">
        <v>266</v>
      </c>
      <c r="G42" s="93" t="s">
        <v>36</v>
      </c>
      <c r="H42" s="93" t="s">
        <v>188</v>
      </c>
      <c r="I42" s="93" t="s">
        <v>159</v>
      </c>
      <c r="J42" s="93" t="s">
        <v>58</v>
      </c>
      <c r="K42" s="93" t="s">
        <v>59</v>
      </c>
      <c r="L42" s="93">
        <v>2</v>
      </c>
      <c r="N42" s="93">
        <v>7</v>
      </c>
      <c r="O42" s="93">
        <v>1.25</v>
      </c>
      <c r="P42" s="93">
        <v>1.1499999999999999</v>
      </c>
      <c r="Q42" s="102">
        <f t="shared" si="0"/>
        <v>1.2</v>
      </c>
      <c r="R42" s="93">
        <v>13.5</v>
      </c>
      <c r="S42" s="93">
        <v>71</v>
      </c>
      <c r="T42" s="103">
        <f t="shared" si="1"/>
        <v>42</v>
      </c>
      <c r="U42" s="93">
        <v>398</v>
      </c>
      <c r="V42" s="104">
        <f t="shared" si="2"/>
        <v>2388</v>
      </c>
      <c r="W42" s="93">
        <v>1</v>
      </c>
      <c r="X42" s="93" t="s">
        <v>39</v>
      </c>
      <c r="Y42" s="93" t="s">
        <v>84</v>
      </c>
      <c r="Z42" s="93" t="s">
        <v>90</v>
      </c>
      <c r="AA42" s="93" t="s">
        <v>69</v>
      </c>
      <c r="AB42" s="93" t="s">
        <v>158</v>
      </c>
    </row>
    <row r="43" spans="1:28" x14ac:dyDescent="0.15">
      <c r="A43" s="93" t="s">
        <v>51</v>
      </c>
      <c r="B43" s="93" t="s">
        <v>157</v>
      </c>
      <c r="C43" s="93">
        <v>2019</v>
      </c>
      <c r="D43" s="101" t="s">
        <v>264</v>
      </c>
      <c r="E43" s="93" t="s">
        <v>272</v>
      </c>
      <c r="F43" s="93" t="s">
        <v>266</v>
      </c>
      <c r="G43" s="93" t="s">
        <v>36</v>
      </c>
      <c r="H43" s="93" t="s">
        <v>188</v>
      </c>
      <c r="I43" s="93" t="s">
        <v>159</v>
      </c>
      <c r="J43" s="93" t="s">
        <v>58</v>
      </c>
      <c r="K43" s="93" t="s">
        <v>59</v>
      </c>
      <c r="L43" s="93">
        <v>3</v>
      </c>
      <c r="N43" s="93">
        <v>7</v>
      </c>
      <c r="O43" s="93">
        <v>1.35</v>
      </c>
      <c r="P43" s="93">
        <v>1.2</v>
      </c>
      <c r="Q43" s="102">
        <f t="shared" si="0"/>
        <v>1.2749999999999999</v>
      </c>
      <c r="R43" s="93">
        <v>14.7</v>
      </c>
      <c r="S43" s="93">
        <v>84</v>
      </c>
      <c r="T43" s="103">
        <f t="shared" si="1"/>
        <v>36</v>
      </c>
      <c r="U43" s="93">
        <v>398</v>
      </c>
      <c r="V43" s="104">
        <f t="shared" si="2"/>
        <v>2046.8571428571427</v>
      </c>
      <c r="W43" s="93">
        <v>1</v>
      </c>
      <c r="X43" s="93" t="s">
        <v>39</v>
      </c>
      <c r="Y43" s="93" t="s">
        <v>84</v>
      </c>
      <c r="Z43" s="93" t="s">
        <v>90</v>
      </c>
      <c r="AA43" s="93" t="s">
        <v>69</v>
      </c>
      <c r="AB43" s="93" t="s">
        <v>158</v>
      </c>
    </row>
    <row r="44" spans="1:28" x14ac:dyDescent="0.15">
      <c r="A44" s="93" t="s">
        <v>51</v>
      </c>
      <c r="B44" s="93" t="s">
        <v>157</v>
      </c>
      <c r="C44" s="93">
        <v>2019</v>
      </c>
      <c r="D44" s="101" t="s">
        <v>264</v>
      </c>
      <c r="E44" s="93" t="s">
        <v>276</v>
      </c>
      <c r="F44" s="93" t="s">
        <v>277</v>
      </c>
      <c r="G44" s="93" t="s">
        <v>36</v>
      </c>
      <c r="H44" s="93" t="s">
        <v>163</v>
      </c>
      <c r="I44" s="93" t="s">
        <v>159</v>
      </c>
      <c r="J44" s="93" t="s">
        <v>38</v>
      </c>
      <c r="K44" s="93" t="s">
        <v>160</v>
      </c>
      <c r="L44" s="93">
        <v>1</v>
      </c>
      <c r="N44" s="93">
        <v>1</v>
      </c>
      <c r="O44" s="93">
        <v>0.65</v>
      </c>
      <c r="P44" s="93">
        <v>0.7</v>
      </c>
      <c r="Q44" s="102">
        <f t="shared" si="0"/>
        <v>0.67500000000000004</v>
      </c>
      <c r="R44" s="93">
        <v>16.600000000000001</v>
      </c>
      <c r="S44" s="93">
        <v>110</v>
      </c>
      <c r="T44" s="103">
        <f t="shared" si="1"/>
        <v>33</v>
      </c>
      <c r="U44" s="93">
        <v>98</v>
      </c>
      <c r="V44" s="104">
        <f t="shared" si="2"/>
        <v>3234</v>
      </c>
      <c r="W44" s="93">
        <v>5</v>
      </c>
      <c r="X44" s="93" t="s">
        <v>46</v>
      </c>
      <c r="Y44" s="93" t="s">
        <v>84</v>
      </c>
      <c r="Z44" s="93" t="s">
        <v>90</v>
      </c>
      <c r="AA44" s="93" t="s">
        <v>69</v>
      </c>
      <c r="AB44" s="93" t="s">
        <v>158</v>
      </c>
    </row>
    <row r="45" spans="1:28" x14ac:dyDescent="0.15">
      <c r="A45" s="93" t="s">
        <v>51</v>
      </c>
      <c r="B45" s="93" t="s">
        <v>157</v>
      </c>
      <c r="C45" s="93">
        <v>2019</v>
      </c>
      <c r="D45" s="101" t="s">
        <v>264</v>
      </c>
      <c r="E45" s="93" t="s">
        <v>276</v>
      </c>
      <c r="F45" s="93" t="s">
        <v>277</v>
      </c>
      <c r="G45" s="93" t="s">
        <v>36</v>
      </c>
      <c r="H45" s="93" t="s">
        <v>163</v>
      </c>
      <c r="I45" s="93" t="s">
        <v>159</v>
      </c>
      <c r="J45" s="93" t="s">
        <v>38</v>
      </c>
      <c r="K45" s="93" t="s">
        <v>160</v>
      </c>
      <c r="L45" s="93">
        <v>2</v>
      </c>
      <c r="N45" s="93">
        <v>1</v>
      </c>
      <c r="O45" s="93">
        <v>0.7</v>
      </c>
      <c r="P45" s="93">
        <v>0.55000000000000004</v>
      </c>
      <c r="Q45" s="102">
        <f t="shared" si="0"/>
        <v>0.625</v>
      </c>
      <c r="R45" s="93">
        <v>16.5</v>
      </c>
      <c r="S45" s="93">
        <v>106</v>
      </c>
      <c r="T45" s="103">
        <f t="shared" si="1"/>
        <v>33</v>
      </c>
      <c r="U45" s="93">
        <v>98</v>
      </c>
      <c r="V45" s="104">
        <f t="shared" si="2"/>
        <v>3234</v>
      </c>
      <c r="W45" s="93">
        <v>5</v>
      </c>
      <c r="X45" s="93" t="s">
        <v>46</v>
      </c>
      <c r="Y45" s="93" t="s">
        <v>84</v>
      </c>
      <c r="Z45" s="93" t="s">
        <v>90</v>
      </c>
      <c r="AA45" s="93" t="s">
        <v>69</v>
      </c>
      <c r="AB45" s="93" t="s">
        <v>158</v>
      </c>
    </row>
    <row r="46" spans="1:28" x14ac:dyDescent="0.15">
      <c r="A46" s="93" t="s">
        <v>51</v>
      </c>
      <c r="B46" s="93" t="s">
        <v>157</v>
      </c>
      <c r="C46" s="93">
        <v>2019</v>
      </c>
      <c r="D46" s="101" t="s">
        <v>264</v>
      </c>
      <c r="E46" s="93" t="s">
        <v>276</v>
      </c>
      <c r="F46" s="93" t="s">
        <v>277</v>
      </c>
      <c r="G46" s="93" t="s">
        <v>36</v>
      </c>
      <c r="H46" s="93" t="s">
        <v>163</v>
      </c>
      <c r="I46" s="93" t="s">
        <v>159</v>
      </c>
      <c r="J46" s="93" t="s">
        <v>38</v>
      </c>
      <c r="K46" s="93" t="s">
        <v>160</v>
      </c>
      <c r="L46" s="93">
        <v>3</v>
      </c>
      <c r="N46" s="93">
        <v>1</v>
      </c>
      <c r="O46" s="93">
        <v>0.65</v>
      </c>
      <c r="P46" s="93">
        <v>0.75</v>
      </c>
      <c r="Q46" s="102">
        <f t="shared" si="0"/>
        <v>0.7</v>
      </c>
      <c r="R46" s="93">
        <v>15.9</v>
      </c>
      <c r="S46" s="93">
        <v>110</v>
      </c>
      <c r="T46" s="103">
        <f t="shared" si="1"/>
        <v>33</v>
      </c>
      <c r="U46" s="93">
        <v>98</v>
      </c>
      <c r="V46" s="104">
        <f t="shared" si="2"/>
        <v>3234</v>
      </c>
      <c r="W46" s="93">
        <v>5</v>
      </c>
      <c r="X46" s="93" t="s">
        <v>46</v>
      </c>
      <c r="Y46" s="93" t="s">
        <v>84</v>
      </c>
      <c r="Z46" s="93" t="s">
        <v>90</v>
      </c>
      <c r="AA46" s="93" t="s">
        <v>69</v>
      </c>
      <c r="AB46" s="93" t="s">
        <v>158</v>
      </c>
    </row>
    <row r="47" spans="1:28" x14ac:dyDescent="0.15">
      <c r="A47" s="93" t="s">
        <v>51</v>
      </c>
      <c r="B47" s="93" t="s">
        <v>157</v>
      </c>
      <c r="C47" s="93">
        <v>2019</v>
      </c>
      <c r="D47" s="101" t="s">
        <v>264</v>
      </c>
      <c r="E47" s="93" t="s">
        <v>276</v>
      </c>
      <c r="F47" s="93" t="s">
        <v>277</v>
      </c>
      <c r="G47" s="93" t="s">
        <v>36</v>
      </c>
      <c r="H47" s="93" t="s">
        <v>164</v>
      </c>
      <c r="I47" s="93" t="s">
        <v>159</v>
      </c>
      <c r="J47" s="93" t="s">
        <v>38</v>
      </c>
      <c r="K47" s="93" t="s">
        <v>54</v>
      </c>
      <c r="L47" s="93">
        <v>1</v>
      </c>
      <c r="N47" s="93">
        <v>2</v>
      </c>
      <c r="O47" s="93">
        <v>0.8</v>
      </c>
      <c r="P47" s="93">
        <v>0.75</v>
      </c>
      <c r="Q47" s="102">
        <f t="shared" si="0"/>
        <v>0.77500000000000002</v>
      </c>
      <c r="R47" s="93">
        <v>16.3</v>
      </c>
      <c r="S47" s="93">
        <v>140</v>
      </c>
      <c r="T47" s="103">
        <f t="shared" si="1"/>
        <v>25</v>
      </c>
      <c r="U47" s="93">
        <v>498</v>
      </c>
      <c r="V47" s="104">
        <f t="shared" si="2"/>
        <v>6225</v>
      </c>
      <c r="W47" s="93">
        <v>5</v>
      </c>
      <c r="X47" s="93" t="s">
        <v>46</v>
      </c>
      <c r="Y47" s="93" t="s">
        <v>84</v>
      </c>
      <c r="Z47" s="93" t="s">
        <v>90</v>
      </c>
      <c r="AA47" s="93" t="s">
        <v>69</v>
      </c>
      <c r="AB47" s="93" t="s">
        <v>158</v>
      </c>
    </row>
    <row r="48" spans="1:28" x14ac:dyDescent="0.15">
      <c r="A48" s="93" t="s">
        <v>51</v>
      </c>
      <c r="B48" s="93" t="s">
        <v>157</v>
      </c>
      <c r="C48" s="93">
        <v>2019</v>
      </c>
      <c r="D48" s="101" t="s">
        <v>264</v>
      </c>
      <c r="E48" s="93" t="s">
        <v>276</v>
      </c>
      <c r="F48" s="93" t="s">
        <v>277</v>
      </c>
      <c r="G48" s="93" t="s">
        <v>36</v>
      </c>
      <c r="H48" s="93" t="s">
        <v>164</v>
      </c>
      <c r="I48" s="93" t="s">
        <v>159</v>
      </c>
      <c r="J48" s="93" t="s">
        <v>38</v>
      </c>
      <c r="K48" s="93" t="s">
        <v>54</v>
      </c>
      <c r="L48" s="93">
        <v>2</v>
      </c>
      <c r="N48" s="93">
        <v>2</v>
      </c>
      <c r="O48" s="93">
        <v>0.75</v>
      </c>
      <c r="P48" s="93">
        <v>0.7</v>
      </c>
      <c r="Q48" s="102">
        <f t="shared" si="0"/>
        <v>0.72499999999999998</v>
      </c>
      <c r="R48" s="93">
        <v>16.600000000000001</v>
      </c>
      <c r="S48" s="93">
        <v>142</v>
      </c>
      <c r="T48" s="103">
        <f t="shared" si="1"/>
        <v>25</v>
      </c>
      <c r="U48" s="93">
        <v>498</v>
      </c>
      <c r="V48" s="104">
        <f t="shared" si="2"/>
        <v>6225</v>
      </c>
      <c r="W48" s="93">
        <v>5</v>
      </c>
      <c r="X48" s="93" t="s">
        <v>46</v>
      </c>
      <c r="Y48" s="93" t="s">
        <v>84</v>
      </c>
      <c r="Z48" s="93" t="s">
        <v>90</v>
      </c>
      <c r="AA48" s="93" t="s">
        <v>69</v>
      </c>
      <c r="AB48" s="93" t="s">
        <v>158</v>
      </c>
    </row>
    <row r="49" spans="1:28" x14ac:dyDescent="0.15">
      <c r="A49" s="93" t="s">
        <v>51</v>
      </c>
      <c r="B49" s="93" t="s">
        <v>157</v>
      </c>
      <c r="C49" s="93">
        <v>2019</v>
      </c>
      <c r="D49" s="101" t="s">
        <v>264</v>
      </c>
      <c r="E49" s="93" t="s">
        <v>276</v>
      </c>
      <c r="F49" s="93" t="s">
        <v>277</v>
      </c>
      <c r="G49" s="93" t="s">
        <v>36</v>
      </c>
      <c r="H49" s="93" t="s">
        <v>164</v>
      </c>
      <c r="I49" s="93" t="s">
        <v>159</v>
      </c>
      <c r="J49" s="93" t="s">
        <v>38</v>
      </c>
      <c r="K49" s="93" t="s">
        <v>54</v>
      </c>
      <c r="L49" s="93">
        <v>3</v>
      </c>
      <c r="N49" s="93">
        <v>2</v>
      </c>
      <c r="O49" s="93">
        <v>0.85</v>
      </c>
      <c r="P49" s="93">
        <v>0.75</v>
      </c>
      <c r="Q49" s="102">
        <f t="shared" si="0"/>
        <v>0.8</v>
      </c>
      <c r="R49" s="93">
        <v>16.8</v>
      </c>
      <c r="S49" s="93">
        <v>154</v>
      </c>
      <c r="T49" s="103">
        <f t="shared" si="1"/>
        <v>22</v>
      </c>
      <c r="U49" s="93">
        <v>498</v>
      </c>
      <c r="V49" s="104">
        <f t="shared" si="2"/>
        <v>5478</v>
      </c>
      <c r="W49" s="93">
        <v>5</v>
      </c>
      <c r="X49" s="93" t="s">
        <v>46</v>
      </c>
      <c r="Y49" s="93" t="s">
        <v>84</v>
      </c>
      <c r="Z49" s="93" t="s">
        <v>90</v>
      </c>
      <c r="AA49" s="93" t="s">
        <v>69</v>
      </c>
      <c r="AB49" s="93" t="s">
        <v>158</v>
      </c>
    </row>
    <row r="50" spans="1:28" x14ac:dyDescent="0.15">
      <c r="A50" s="93" t="s">
        <v>51</v>
      </c>
      <c r="B50" s="93" t="s">
        <v>157</v>
      </c>
      <c r="C50" s="93">
        <v>2019</v>
      </c>
      <c r="D50" s="101" t="s">
        <v>264</v>
      </c>
      <c r="E50" s="93" t="s">
        <v>276</v>
      </c>
      <c r="F50" s="93" t="s">
        <v>277</v>
      </c>
      <c r="G50" s="93" t="s">
        <v>36</v>
      </c>
      <c r="H50" s="93" t="s">
        <v>190</v>
      </c>
      <c r="I50" s="93" t="s">
        <v>159</v>
      </c>
      <c r="J50" s="93" t="s">
        <v>80</v>
      </c>
      <c r="K50" s="93" t="s">
        <v>45</v>
      </c>
      <c r="L50" s="93">
        <v>1</v>
      </c>
      <c r="N50" s="93">
        <v>1</v>
      </c>
      <c r="O50" s="93">
        <v>0.65</v>
      </c>
      <c r="P50" s="93">
        <v>0.8</v>
      </c>
      <c r="Q50" s="102">
        <f t="shared" si="0"/>
        <v>0.72500000000000009</v>
      </c>
      <c r="R50" s="93">
        <v>16.2</v>
      </c>
      <c r="S50" s="93">
        <v>100</v>
      </c>
      <c r="T50" s="103">
        <f t="shared" si="1"/>
        <v>33</v>
      </c>
      <c r="U50" s="93">
        <v>98</v>
      </c>
      <c r="V50" s="104">
        <f t="shared" si="2"/>
        <v>3234</v>
      </c>
      <c r="W50" s="93">
        <v>5</v>
      </c>
      <c r="X50" s="93" t="s">
        <v>46</v>
      </c>
      <c r="Y50" s="93" t="s">
        <v>84</v>
      </c>
      <c r="Z50" s="93" t="s">
        <v>90</v>
      </c>
      <c r="AA50" s="93" t="s">
        <v>69</v>
      </c>
      <c r="AB50" s="93" t="s">
        <v>158</v>
      </c>
    </row>
    <row r="51" spans="1:28" x14ac:dyDescent="0.15">
      <c r="A51" s="93" t="s">
        <v>51</v>
      </c>
      <c r="B51" s="93" t="s">
        <v>157</v>
      </c>
      <c r="C51" s="93">
        <v>2019</v>
      </c>
      <c r="D51" s="101" t="s">
        <v>264</v>
      </c>
      <c r="E51" s="93" t="s">
        <v>276</v>
      </c>
      <c r="F51" s="93" t="s">
        <v>277</v>
      </c>
      <c r="G51" s="93" t="s">
        <v>36</v>
      </c>
      <c r="H51" s="93" t="s">
        <v>190</v>
      </c>
      <c r="I51" s="93" t="s">
        <v>159</v>
      </c>
      <c r="J51" s="93" t="s">
        <v>80</v>
      </c>
      <c r="K51" s="93" t="s">
        <v>45</v>
      </c>
      <c r="L51" s="93">
        <v>2</v>
      </c>
      <c r="N51" s="93">
        <v>1</v>
      </c>
      <c r="O51" s="93">
        <v>0.7</v>
      </c>
      <c r="P51" s="93">
        <v>0.8</v>
      </c>
      <c r="Q51" s="102">
        <f t="shared" si="0"/>
        <v>0.75</v>
      </c>
      <c r="R51" s="93">
        <v>15.6</v>
      </c>
      <c r="S51" s="93">
        <v>91</v>
      </c>
      <c r="T51" s="103">
        <f t="shared" si="1"/>
        <v>36</v>
      </c>
      <c r="U51" s="93">
        <v>98</v>
      </c>
      <c r="V51" s="104">
        <f t="shared" si="2"/>
        <v>3528</v>
      </c>
      <c r="W51" s="93">
        <v>5</v>
      </c>
      <c r="X51" s="93" t="s">
        <v>46</v>
      </c>
      <c r="Y51" s="93" t="s">
        <v>84</v>
      </c>
      <c r="Z51" s="93" t="s">
        <v>90</v>
      </c>
      <c r="AA51" s="93" t="s">
        <v>69</v>
      </c>
      <c r="AB51" s="93" t="s">
        <v>158</v>
      </c>
    </row>
    <row r="52" spans="1:28" x14ac:dyDescent="0.15">
      <c r="A52" s="93" t="s">
        <v>51</v>
      </c>
      <c r="B52" s="93" t="s">
        <v>157</v>
      </c>
      <c r="C52" s="93">
        <v>2019</v>
      </c>
      <c r="D52" s="101" t="s">
        <v>264</v>
      </c>
      <c r="E52" s="93" t="s">
        <v>276</v>
      </c>
      <c r="F52" s="93" t="s">
        <v>277</v>
      </c>
      <c r="G52" s="93" t="s">
        <v>36</v>
      </c>
      <c r="H52" s="93" t="s">
        <v>190</v>
      </c>
      <c r="I52" s="93" t="s">
        <v>159</v>
      </c>
      <c r="J52" s="93" t="s">
        <v>80</v>
      </c>
      <c r="K52" s="93" t="s">
        <v>45</v>
      </c>
      <c r="L52" s="93">
        <v>3</v>
      </c>
      <c r="N52" s="93">
        <v>1</v>
      </c>
      <c r="O52" s="93">
        <v>0.75</v>
      </c>
      <c r="P52" s="93">
        <v>0.75</v>
      </c>
      <c r="Q52" s="102">
        <f t="shared" si="0"/>
        <v>0.75</v>
      </c>
      <c r="R52" s="93">
        <v>15.8</v>
      </c>
      <c r="S52" s="93">
        <v>96</v>
      </c>
      <c r="T52" s="103">
        <f t="shared" si="1"/>
        <v>36</v>
      </c>
      <c r="U52" s="93">
        <v>98</v>
      </c>
      <c r="V52" s="104">
        <f t="shared" si="2"/>
        <v>3528</v>
      </c>
      <c r="W52" s="93">
        <v>5</v>
      </c>
      <c r="X52" s="93" t="s">
        <v>46</v>
      </c>
      <c r="Y52" s="93" t="s">
        <v>84</v>
      </c>
      <c r="Z52" s="93" t="s">
        <v>90</v>
      </c>
      <c r="AA52" s="93" t="s">
        <v>69</v>
      </c>
      <c r="AB52" s="93" t="s">
        <v>158</v>
      </c>
    </row>
    <row r="53" spans="1:28" x14ac:dyDescent="0.15">
      <c r="A53" s="93" t="s">
        <v>51</v>
      </c>
      <c r="B53" s="93" t="s">
        <v>157</v>
      </c>
      <c r="C53" s="93">
        <v>2019</v>
      </c>
      <c r="D53" s="101" t="s">
        <v>264</v>
      </c>
      <c r="E53" s="93" t="s">
        <v>278</v>
      </c>
      <c r="F53" s="93" t="s">
        <v>266</v>
      </c>
      <c r="G53" s="93" t="s">
        <v>42</v>
      </c>
      <c r="H53" s="93" t="s">
        <v>163</v>
      </c>
      <c r="I53" s="93" t="s">
        <v>159</v>
      </c>
      <c r="J53" s="93" t="s">
        <v>38</v>
      </c>
      <c r="K53" s="93" t="s">
        <v>160</v>
      </c>
      <c r="L53" s="93">
        <v>1</v>
      </c>
      <c r="N53" s="93">
        <v>1</v>
      </c>
      <c r="O53" s="93">
        <v>0.25</v>
      </c>
      <c r="P53" s="93">
        <v>0.25</v>
      </c>
      <c r="Q53" s="102">
        <f t="shared" si="0"/>
        <v>0.25</v>
      </c>
      <c r="R53" s="93">
        <v>15.5</v>
      </c>
      <c r="S53" s="93">
        <v>114</v>
      </c>
      <c r="T53" s="103">
        <f t="shared" si="1"/>
        <v>30</v>
      </c>
      <c r="U53" s="93">
        <v>98</v>
      </c>
      <c r="V53" s="104">
        <f t="shared" si="2"/>
        <v>2940</v>
      </c>
      <c r="W53" s="93">
        <v>1</v>
      </c>
      <c r="X53" s="93" t="s">
        <v>39</v>
      </c>
      <c r="Y53" s="93" t="s">
        <v>84</v>
      </c>
      <c r="Z53" s="93" t="s">
        <v>90</v>
      </c>
      <c r="AA53" s="93" t="s">
        <v>69</v>
      </c>
      <c r="AB53" s="93" t="s">
        <v>158</v>
      </c>
    </row>
    <row r="54" spans="1:28" x14ac:dyDescent="0.15">
      <c r="A54" s="93" t="s">
        <v>51</v>
      </c>
      <c r="B54" s="93" t="s">
        <v>157</v>
      </c>
      <c r="C54" s="93">
        <v>2019</v>
      </c>
      <c r="D54" s="101" t="s">
        <v>264</v>
      </c>
      <c r="E54" s="93" t="s">
        <v>278</v>
      </c>
      <c r="F54" s="93" t="s">
        <v>266</v>
      </c>
      <c r="G54" s="93" t="s">
        <v>42</v>
      </c>
      <c r="H54" s="93" t="s">
        <v>163</v>
      </c>
      <c r="I54" s="93" t="s">
        <v>159</v>
      </c>
      <c r="J54" s="93" t="s">
        <v>38</v>
      </c>
      <c r="K54" s="93" t="s">
        <v>160</v>
      </c>
      <c r="L54" s="93">
        <v>2</v>
      </c>
      <c r="N54" s="93">
        <v>1</v>
      </c>
      <c r="O54" s="93">
        <v>0.55000000000000004</v>
      </c>
      <c r="P54" s="93">
        <v>0.55000000000000004</v>
      </c>
      <c r="Q54" s="102">
        <f t="shared" si="0"/>
        <v>0.55000000000000004</v>
      </c>
      <c r="R54" s="93">
        <v>14.7</v>
      </c>
      <c r="S54" s="93">
        <v>110</v>
      </c>
      <c r="T54" s="103">
        <f t="shared" si="1"/>
        <v>33</v>
      </c>
      <c r="U54" s="93">
        <v>98</v>
      </c>
      <c r="V54" s="104">
        <f t="shared" si="2"/>
        <v>3234</v>
      </c>
      <c r="W54" s="93">
        <v>1</v>
      </c>
      <c r="X54" s="93" t="s">
        <v>39</v>
      </c>
      <c r="Y54" s="93" t="s">
        <v>84</v>
      </c>
      <c r="Z54" s="93" t="s">
        <v>90</v>
      </c>
      <c r="AA54" s="93" t="s">
        <v>69</v>
      </c>
      <c r="AB54" s="93" t="s">
        <v>158</v>
      </c>
    </row>
    <row r="55" spans="1:28" x14ac:dyDescent="0.15">
      <c r="A55" s="93" t="s">
        <v>51</v>
      </c>
      <c r="B55" s="93" t="s">
        <v>157</v>
      </c>
      <c r="C55" s="93">
        <v>2019</v>
      </c>
      <c r="D55" s="101" t="s">
        <v>264</v>
      </c>
      <c r="E55" s="93" t="s">
        <v>278</v>
      </c>
      <c r="F55" s="93" t="s">
        <v>266</v>
      </c>
      <c r="G55" s="93" t="s">
        <v>42</v>
      </c>
      <c r="H55" s="93" t="s">
        <v>163</v>
      </c>
      <c r="I55" s="93" t="s">
        <v>159</v>
      </c>
      <c r="J55" s="93" t="s">
        <v>38</v>
      </c>
      <c r="K55" s="93" t="s">
        <v>160</v>
      </c>
      <c r="L55" s="93">
        <v>3</v>
      </c>
      <c r="N55" s="93">
        <v>1</v>
      </c>
      <c r="O55" s="93">
        <v>0.25</v>
      </c>
      <c r="P55" s="93">
        <v>0.55000000000000004</v>
      </c>
      <c r="Q55" s="102">
        <f t="shared" si="0"/>
        <v>0.4</v>
      </c>
      <c r="R55" s="93">
        <v>15</v>
      </c>
      <c r="S55" s="93">
        <v>112</v>
      </c>
      <c r="T55" s="103">
        <f t="shared" si="1"/>
        <v>33</v>
      </c>
      <c r="U55" s="93">
        <v>98</v>
      </c>
      <c r="V55" s="104">
        <f t="shared" si="2"/>
        <v>3234</v>
      </c>
      <c r="W55" s="93">
        <v>1</v>
      </c>
      <c r="X55" s="93" t="s">
        <v>39</v>
      </c>
      <c r="Y55" s="93" t="s">
        <v>84</v>
      </c>
      <c r="Z55" s="93" t="s">
        <v>90</v>
      </c>
      <c r="AA55" s="93" t="s">
        <v>69</v>
      </c>
      <c r="AB55" s="93" t="s">
        <v>158</v>
      </c>
    </row>
    <row r="56" spans="1:28" x14ac:dyDescent="0.15">
      <c r="D56" s="101"/>
      <c r="Q56" s="102" t="str">
        <f t="shared" si="0"/>
        <v/>
      </c>
      <c r="T56" s="103" t="str">
        <f t="shared" si="1"/>
        <v/>
      </c>
      <c r="V56" s="104" t="str">
        <f t="shared" si="2"/>
        <v/>
      </c>
    </row>
    <row r="57" spans="1:28" x14ac:dyDescent="0.15">
      <c r="D57" s="101"/>
      <c r="Q57" s="102" t="str">
        <f t="shared" si="0"/>
        <v/>
      </c>
      <c r="T57" s="103" t="str">
        <f t="shared" si="1"/>
        <v/>
      </c>
      <c r="V57" s="104" t="str">
        <f t="shared" si="2"/>
        <v/>
      </c>
    </row>
    <row r="58" spans="1:28" x14ac:dyDescent="0.15">
      <c r="D58" s="101"/>
      <c r="Q58" s="102" t="str">
        <f t="shared" si="0"/>
        <v/>
      </c>
      <c r="T58" s="103" t="str">
        <f t="shared" si="1"/>
        <v/>
      </c>
      <c r="V58" s="104" t="str">
        <f t="shared" si="2"/>
        <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20F96118-F102-43BE-8EE4-7B6C930819BE}">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5089CC62-926D-4A88-8CE9-FB1CDC43D953}">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C1B00358-9D97-4719-BCEA-7D3D9DA296FB}">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36FD592A-F03F-488D-8093-996AC2BBD622}">
      <formula1>$AN$5:$AN$6</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44909C93-9BB9-4727-9562-F29998178D21}">
      <formula1>$AT$2:$AT$3</formula1>
    </dataValidation>
    <dataValidation type="list" allowBlank="1" showInputMessage="1" showErrorMessage="1" sqref="Y2:AA500" xr:uid="{3A324BDA-4CD1-4325-B024-9B894CCCEB89}">
      <formula1>$AV$2:$AV$21</formula1>
    </dataValidation>
    <dataValidation type="list" allowBlank="1" showInputMessage="1" showErrorMessage="1" sqref="H2:H500" xr:uid="{96B38564-7139-4AB0-8E57-B357085BE0A4}">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42FE7917-BE36-4B5E-93E4-3C7C7DC70865}">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D2DAA961-C494-40B4-974E-B264E296D547}">
      <formula1>$AH$2:$AH$11</formula1>
    </dataValidation>
    <dataValidation type="list" allowBlank="1" showInputMessage="1" showErrorMessage="1" sqref="K2:K89" xr:uid="{76ED279E-9209-4C1B-AB11-2096BF029682}">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42DCB716-8974-4958-9015-2F385AA0F59F}">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96FA1E14-7C08-4290-975B-228CE9A2AAA4}"/>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E46ABC4D-4941-4C0D-BB47-23B425ED70DC}">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4244035D-6962-4314-98D9-B7EEFD432C9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CB69A455-1539-4175-80D0-C4513095190F}">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0710-3FAF-4E42-9D37-E2A27605D86A}">
  <sheetPr>
    <pageSetUpPr fitToPage="1"/>
  </sheetPr>
  <dimension ref="A1:BA112"/>
  <sheetViews>
    <sheetView zoomScale="80" zoomScaleNormal="80" workbookViewId="0">
      <selection activeCell="Z50" sqref="Z50"/>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23" t="s">
        <v>283</v>
      </c>
      <c r="B1" s="55" t="s">
        <v>1</v>
      </c>
      <c r="C1" s="55" t="s">
        <v>2</v>
      </c>
      <c r="D1" s="56" t="s">
        <v>3</v>
      </c>
      <c r="E1" s="56" t="s">
        <v>284</v>
      </c>
      <c r="F1" s="56" t="s">
        <v>5</v>
      </c>
      <c r="G1" s="56" t="s">
        <v>6</v>
      </c>
      <c r="H1" s="56" t="s">
        <v>285</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235</v>
      </c>
      <c r="C2" s="53">
        <v>2019</v>
      </c>
      <c r="D2" s="128" t="s">
        <v>314</v>
      </c>
      <c r="E2" s="127" t="s">
        <v>286</v>
      </c>
      <c r="F2" s="127" t="s">
        <v>287</v>
      </c>
      <c r="G2" s="127" t="s">
        <v>42</v>
      </c>
      <c r="H2" s="53" t="s">
        <v>163</v>
      </c>
      <c r="I2" s="53" t="s">
        <v>159</v>
      </c>
      <c r="J2" s="127" t="s">
        <v>38</v>
      </c>
      <c r="K2" s="53" t="s">
        <v>160</v>
      </c>
      <c r="L2" s="53">
        <v>1</v>
      </c>
      <c r="M2" s="53"/>
      <c r="N2" s="53">
        <v>1</v>
      </c>
      <c r="O2" s="53">
        <v>1.1000000000000001</v>
      </c>
      <c r="P2" s="53">
        <v>1.1000000000000001</v>
      </c>
      <c r="Q2" s="76">
        <f t="shared" ref="Q2:Q65" si="0">IF(OR(O2="",P2=""),"",AVERAGE(O2,P2))</f>
        <v>1.1000000000000001</v>
      </c>
      <c r="R2" s="53">
        <v>14.5</v>
      </c>
      <c r="S2" s="53">
        <v>96</v>
      </c>
      <c r="T2" s="16">
        <f t="shared" ref="T2:T65" si="1">IF(H2="","",IF(OR(H2="GREEN",H2="GK"),IF(S2&gt;=$AX$2,VLOOKUP(S2,$AX$2:$AY$15,2,1),""),IF(S2&gt;=$AZ$2,VLOOKUP(S2,$AZ$2:$BA$15,2,1),"")))</f>
        <v>36</v>
      </c>
      <c r="U2" s="53">
        <v>99</v>
      </c>
      <c r="V2" s="129">
        <f>IF(OR(N2="",U2="",T2=""),"",U2/N2*T2)</f>
        <v>3564</v>
      </c>
      <c r="W2" s="53">
        <v>1</v>
      </c>
      <c r="X2" s="127" t="s">
        <v>39</v>
      </c>
      <c r="Y2" s="53" t="s">
        <v>69</v>
      </c>
      <c r="Z2" s="53" t="s">
        <v>90</v>
      </c>
      <c r="AA2" s="53" t="s">
        <v>84</v>
      </c>
      <c r="AB2" s="127" t="s">
        <v>158</v>
      </c>
      <c r="AC2" s="34"/>
      <c r="AE2" s="64" t="s">
        <v>35</v>
      </c>
      <c r="AG2" s="49" t="s">
        <v>286</v>
      </c>
      <c r="AH2" s="49" t="s">
        <v>287</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235</v>
      </c>
      <c r="C3" s="53">
        <v>2019</v>
      </c>
      <c r="D3" s="128" t="s">
        <v>314</v>
      </c>
      <c r="E3" s="127" t="s">
        <v>286</v>
      </c>
      <c r="F3" s="127" t="s">
        <v>287</v>
      </c>
      <c r="G3" s="127" t="s">
        <v>42</v>
      </c>
      <c r="H3" s="53" t="s">
        <v>163</v>
      </c>
      <c r="I3" s="53" t="s">
        <v>159</v>
      </c>
      <c r="J3" s="127" t="s">
        <v>38</v>
      </c>
      <c r="K3" s="53" t="s">
        <v>160</v>
      </c>
      <c r="L3" s="53">
        <v>2</v>
      </c>
      <c r="N3" s="53">
        <v>1</v>
      </c>
      <c r="O3" s="53">
        <v>1.2</v>
      </c>
      <c r="P3" s="53">
        <v>1.2</v>
      </c>
      <c r="Q3" s="76">
        <f t="shared" si="0"/>
        <v>1.2</v>
      </c>
      <c r="R3" s="53">
        <v>14.4</v>
      </c>
      <c r="S3" s="53">
        <v>101</v>
      </c>
      <c r="T3" s="16">
        <f t="shared" si="1"/>
        <v>33</v>
      </c>
      <c r="U3" s="53">
        <v>99</v>
      </c>
      <c r="V3" s="129">
        <f t="shared" ref="V3:V66" si="2">IF(OR(N3="",U3="",T3=""),"",U3/N3*T3)</f>
        <v>3267</v>
      </c>
      <c r="W3" s="53">
        <v>1</v>
      </c>
      <c r="X3" s="127" t="s">
        <v>39</v>
      </c>
      <c r="Y3" s="53" t="s">
        <v>69</v>
      </c>
      <c r="Z3" s="53" t="s">
        <v>90</v>
      </c>
      <c r="AA3" s="53" t="s">
        <v>84</v>
      </c>
      <c r="AB3" s="127" t="s">
        <v>158</v>
      </c>
      <c r="AC3" s="34"/>
      <c r="AE3" s="22" t="s">
        <v>41</v>
      </c>
      <c r="AG3" s="49" t="s">
        <v>288</v>
      </c>
      <c r="AH3" s="49" t="s">
        <v>289</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235</v>
      </c>
      <c r="C4" s="53">
        <v>2019</v>
      </c>
      <c r="D4" s="128" t="s">
        <v>313</v>
      </c>
      <c r="E4" s="127" t="s">
        <v>286</v>
      </c>
      <c r="F4" s="127" t="s">
        <v>287</v>
      </c>
      <c r="G4" s="127" t="s">
        <v>42</v>
      </c>
      <c r="H4" s="53" t="s">
        <v>163</v>
      </c>
      <c r="I4" s="53" t="s">
        <v>159</v>
      </c>
      <c r="J4" s="127" t="s">
        <v>38</v>
      </c>
      <c r="K4" s="53" t="s">
        <v>160</v>
      </c>
      <c r="L4" s="53">
        <v>3</v>
      </c>
      <c r="N4" s="53">
        <v>1</v>
      </c>
      <c r="O4" s="53">
        <v>1.1000000000000001</v>
      </c>
      <c r="P4" s="53">
        <v>1.1000000000000001</v>
      </c>
      <c r="Q4" s="76">
        <f t="shared" si="0"/>
        <v>1.1000000000000001</v>
      </c>
      <c r="R4" s="53">
        <v>14.5</v>
      </c>
      <c r="S4" s="53">
        <v>98.5</v>
      </c>
      <c r="T4" s="16">
        <f t="shared" si="1"/>
        <v>36</v>
      </c>
      <c r="U4" s="53">
        <v>99</v>
      </c>
      <c r="V4" s="129">
        <f t="shared" si="2"/>
        <v>3564</v>
      </c>
      <c r="W4" s="53">
        <v>1</v>
      </c>
      <c r="X4" s="127" t="s">
        <v>39</v>
      </c>
      <c r="Y4" s="53" t="s">
        <v>69</v>
      </c>
      <c r="Z4" s="53" t="s">
        <v>90</v>
      </c>
      <c r="AA4" s="53" t="s">
        <v>84</v>
      </c>
      <c r="AB4" s="127" t="s">
        <v>158</v>
      </c>
      <c r="AC4" s="34"/>
      <c r="AE4" s="22" t="s">
        <v>34</v>
      </c>
      <c r="AG4" s="49" t="s">
        <v>290</v>
      </c>
      <c r="AH4" s="49" t="s">
        <v>291</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235</v>
      </c>
      <c r="C5" s="53">
        <v>2019</v>
      </c>
      <c r="D5" s="128" t="s">
        <v>313</v>
      </c>
      <c r="E5" s="127" t="s">
        <v>288</v>
      </c>
      <c r="F5" s="127" t="s">
        <v>289</v>
      </c>
      <c r="G5" s="127" t="s">
        <v>42</v>
      </c>
      <c r="H5" s="53" t="s">
        <v>163</v>
      </c>
      <c r="I5" s="53" t="s">
        <v>159</v>
      </c>
      <c r="J5" s="127" t="s">
        <v>38</v>
      </c>
      <c r="K5" s="53" t="s">
        <v>160</v>
      </c>
      <c r="L5" s="53">
        <v>1</v>
      </c>
      <c r="N5" s="53">
        <v>1</v>
      </c>
      <c r="O5" s="53">
        <v>1.25</v>
      </c>
      <c r="P5" s="53">
        <v>1.1000000000000001</v>
      </c>
      <c r="Q5" s="76">
        <f t="shared" si="0"/>
        <v>1.175</v>
      </c>
      <c r="R5" s="53">
        <v>14.8</v>
      </c>
      <c r="S5" s="53">
        <v>113</v>
      </c>
      <c r="T5" s="16">
        <f t="shared" si="1"/>
        <v>30</v>
      </c>
      <c r="U5" s="53">
        <v>138</v>
      </c>
      <c r="V5" s="129">
        <f t="shared" si="2"/>
        <v>4140</v>
      </c>
      <c r="W5" s="53">
        <v>2</v>
      </c>
      <c r="X5" s="127" t="s">
        <v>46</v>
      </c>
      <c r="Y5" s="53" t="s">
        <v>90</v>
      </c>
      <c r="Z5" s="53" t="s">
        <v>84</v>
      </c>
      <c r="AA5" s="53" t="s">
        <v>69</v>
      </c>
      <c r="AB5" s="127" t="s">
        <v>158</v>
      </c>
      <c r="AC5" s="34"/>
      <c r="AE5" s="22" t="s">
        <v>51</v>
      </c>
      <c r="AG5" s="49" t="s">
        <v>292</v>
      </c>
      <c r="AH5" s="49" t="s">
        <v>293</v>
      </c>
      <c r="AJ5" s="27"/>
      <c r="AL5" s="73" t="s">
        <v>66</v>
      </c>
      <c r="AN5" s="73" t="s">
        <v>52</v>
      </c>
      <c r="AP5" s="23" t="s">
        <v>119</v>
      </c>
      <c r="AR5" s="23" t="s">
        <v>54</v>
      </c>
      <c r="AV5" s="23" t="s">
        <v>55</v>
      </c>
      <c r="AX5" s="24">
        <v>84</v>
      </c>
      <c r="AY5" s="25">
        <v>39</v>
      </c>
      <c r="AZ5" s="25">
        <v>84</v>
      </c>
      <c r="BA5" s="26">
        <v>36</v>
      </c>
    </row>
    <row r="6" spans="1:53" x14ac:dyDescent="0.15">
      <c r="A6" s="127" t="s">
        <v>61</v>
      </c>
      <c r="B6" s="127" t="s">
        <v>235</v>
      </c>
      <c r="C6" s="53">
        <v>2019</v>
      </c>
      <c r="D6" s="128" t="s">
        <v>313</v>
      </c>
      <c r="E6" s="127" t="s">
        <v>288</v>
      </c>
      <c r="F6" s="127" t="s">
        <v>289</v>
      </c>
      <c r="G6" s="127" t="s">
        <v>42</v>
      </c>
      <c r="H6" s="53" t="s">
        <v>163</v>
      </c>
      <c r="I6" s="53" t="s">
        <v>159</v>
      </c>
      <c r="J6" s="127" t="s">
        <v>38</v>
      </c>
      <c r="K6" s="53" t="s">
        <v>160</v>
      </c>
      <c r="L6" s="53">
        <v>2</v>
      </c>
      <c r="N6" s="53">
        <v>1</v>
      </c>
      <c r="O6" s="53">
        <v>1.3</v>
      </c>
      <c r="P6" s="53">
        <v>1.5</v>
      </c>
      <c r="Q6" s="76">
        <f t="shared" si="0"/>
        <v>1.4</v>
      </c>
      <c r="R6" s="53">
        <v>14.7</v>
      </c>
      <c r="S6" s="53">
        <v>117</v>
      </c>
      <c r="T6" s="16">
        <f t="shared" si="1"/>
        <v>30</v>
      </c>
      <c r="U6" s="53">
        <v>138</v>
      </c>
      <c r="V6" s="129">
        <f t="shared" si="2"/>
        <v>4140</v>
      </c>
      <c r="W6" s="53">
        <v>2</v>
      </c>
      <c r="X6" s="127" t="s">
        <v>46</v>
      </c>
      <c r="Y6" s="53" t="s">
        <v>90</v>
      </c>
      <c r="Z6" s="53" t="s">
        <v>84</v>
      </c>
      <c r="AA6" s="53" t="s">
        <v>69</v>
      </c>
      <c r="AB6" s="127" t="s">
        <v>158</v>
      </c>
      <c r="AC6" s="34"/>
      <c r="AE6" s="22" t="s">
        <v>56</v>
      </c>
      <c r="AG6" s="49" t="s">
        <v>294</v>
      </c>
      <c r="AH6" s="49" t="s">
        <v>295</v>
      </c>
      <c r="AJ6" s="27"/>
      <c r="AL6" s="73" t="s">
        <v>99</v>
      </c>
      <c r="AN6" s="73" t="s">
        <v>57</v>
      </c>
      <c r="AP6" s="23" t="s">
        <v>53</v>
      </c>
      <c r="AR6" s="23" t="s">
        <v>59</v>
      </c>
      <c r="AV6" s="23" t="s">
        <v>60</v>
      </c>
      <c r="AX6" s="24">
        <v>97</v>
      </c>
      <c r="AY6" s="25">
        <v>36</v>
      </c>
      <c r="AZ6" s="25">
        <v>99</v>
      </c>
      <c r="BA6" s="26">
        <v>33</v>
      </c>
    </row>
    <row r="7" spans="1:53" x14ac:dyDescent="0.15">
      <c r="A7" s="127" t="s">
        <v>61</v>
      </c>
      <c r="B7" s="127" t="s">
        <v>235</v>
      </c>
      <c r="C7" s="53">
        <v>2019</v>
      </c>
      <c r="D7" s="128" t="s">
        <v>313</v>
      </c>
      <c r="E7" s="127" t="s">
        <v>288</v>
      </c>
      <c r="F7" s="127" t="s">
        <v>289</v>
      </c>
      <c r="G7" s="127" t="s">
        <v>42</v>
      </c>
      <c r="H7" s="53" t="s">
        <v>163</v>
      </c>
      <c r="I7" s="53" t="s">
        <v>159</v>
      </c>
      <c r="J7" s="127" t="s">
        <v>38</v>
      </c>
      <c r="K7" s="53" t="s">
        <v>160</v>
      </c>
      <c r="L7" s="53">
        <v>3</v>
      </c>
      <c r="N7" s="53">
        <v>1</v>
      </c>
      <c r="O7" s="53">
        <v>1.25</v>
      </c>
      <c r="P7" s="53">
        <v>1.25</v>
      </c>
      <c r="Q7" s="76">
        <f t="shared" si="0"/>
        <v>1.25</v>
      </c>
      <c r="R7" s="53">
        <v>14.8</v>
      </c>
      <c r="S7" s="53">
        <v>117.5</v>
      </c>
      <c r="T7" s="16">
        <f t="shared" si="1"/>
        <v>30</v>
      </c>
      <c r="U7" s="53">
        <v>138</v>
      </c>
      <c r="V7" s="129">
        <f t="shared" si="2"/>
        <v>4140</v>
      </c>
      <c r="W7" s="53">
        <v>2</v>
      </c>
      <c r="X7" s="127" t="s">
        <v>46</v>
      </c>
      <c r="Y7" s="53" t="s">
        <v>90</v>
      </c>
      <c r="Z7" s="53" t="s">
        <v>84</v>
      </c>
      <c r="AA7" s="53" t="s">
        <v>69</v>
      </c>
      <c r="AB7" s="127" t="s">
        <v>158</v>
      </c>
      <c r="AC7" s="34"/>
      <c r="AE7" s="22" t="s">
        <v>61</v>
      </c>
      <c r="AG7" s="49" t="s">
        <v>296</v>
      </c>
      <c r="AH7" s="49" t="s">
        <v>297</v>
      </c>
      <c r="AJ7" s="27"/>
      <c r="AL7" s="34" t="s">
        <v>109</v>
      </c>
      <c r="AN7" s="73"/>
      <c r="AP7" s="23" t="s">
        <v>58</v>
      </c>
      <c r="AR7" s="23" t="s">
        <v>122</v>
      </c>
      <c r="AV7" s="23" t="s">
        <v>64</v>
      </c>
      <c r="AX7" s="24">
        <v>109</v>
      </c>
      <c r="AY7" s="25">
        <v>33</v>
      </c>
      <c r="AZ7" s="25">
        <v>113</v>
      </c>
      <c r="BA7" s="26">
        <v>30</v>
      </c>
    </row>
    <row r="8" spans="1:53" x14ac:dyDescent="0.15">
      <c r="A8" s="127" t="s">
        <v>61</v>
      </c>
      <c r="B8" s="127" t="s">
        <v>235</v>
      </c>
      <c r="C8" s="53">
        <v>2019</v>
      </c>
      <c r="D8" s="128" t="s">
        <v>313</v>
      </c>
      <c r="E8" s="127" t="s">
        <v>290</v>
      </c>
      <c r="F8" s="127" t="s">
        <v>291</v>
      </c>
      <c r="G8" s="127" t="s">
        <v>42</v>
      </c>
      <c r="H8" s="53" t="s">
        <v>163</v>
      </c>
      <c r="I8" s="53" t="s">
        <v>159</v>
      </c>
      <c r="J8" s="127" t="s">
        <v>38</v>
      </c>
      <c r="K8" s="53" t="s">
        <v>160</v>
      </c>
      <c r="L8" s="53">
        <v>1</v>
      </c>
      <c r="N8" s="53">
        <v>1</v>
      </c>
      <c r="O8" s="53">
        <v>1.1000000000000001</v>
      </c>
      <c r="P8" s="53">
        <v>1.1000000000000001</v>
      </c>
      <c r="Q8" s="76">
        <f t="shared" si="0"/>
        <v>1.1000000000000001</v>
      </c>
      <c r="R8" s="53">
        <v>14.4</v>
      </c>
      <c r="S8" s="53">
        <v>116.5</v>
      </c>
      <c r="T8" s="16">
        <f t="shared" si="1"/>
        <v>30</v>
      </c>
      <c r="U8" s="53">
        <v>108</v>
      </c>
      <c r="V8" s="129">
        <f t="shared" si="2"/>
        <v>3240</v>
      </c>
      <c r="W8" s="53">
        <v>5</v>
      </c>
      <c r="X8" s="127" t="s">
        <v>46</v>
      </c>
      <c r="Y8" s="53" t="s">
        <v>84</v>
      </c>
      <c r="Z8" s="53" t="s">
        <v>69</v>
      </c>
      <c r="AA8" s="53" t="s">
        <v>90</v>
      </c>
      <c r="AB8" s="127" t="s">
        <v>158</v>
      </c>
      <c r="AC8" s="34"/>
      <c r="AE8" s="22" t="s">
        <v>59</v>
      </c>
      <c r="AG8" s="49" t="s">
        <v>298</v>
      </c>
      <c r="AH8" s="49" t="s">
        <v>299</v>
      </c>
      <c r="AJ8" s="28"/>
      <c r="AL8" s="34" t="s">
        <v>134</v>
      </c>
      <c r="AN8" s="73"/>
      <c r="AP8" s="23" t="s">
        <v>62</v>
      </c>
      <c r="AR8" s="23" t="s">
        <v>81</v>
      </c>
      <c r="AV8" s="23" t="s">
        <v>97</v>
      </c>
      <c r="AX8" s="24">
        <v>119</v>
      </c>
      <c r="AY8" s="25">
        <v>30</v>
      </c>
      <c r="AZ8" s="25">
        <v>121</v>
      </c>
      <c r="BA8" s="26">
        <v>27</v>
      </c>
    </row>
    <row r="9" spans="1:53" x14ac:dyDescent="0.15">
      <c r="A9" s="127" t="s">
        <v>61</v>
      </c>
      <c r="B9" s="127" t="s">
        <v>235</v>
      </c>
      <c r="C9" s="53">
        <v>2019</v>
      </c>
      <c r="D9" s="128" t="s">
        <v>313</v>
      </c>
      <c r="E9" s="127" t="s">
        <v>290</v>
      </c>
      <c r="F9" s="127" t="s">
        <v>291</v>
      </c>
      <c r="G9" s="127" t="s">
        <v>42</v>
      </c>
      <c r="H9" s="53" t="s">
        <v>163</v>
      </c>
      <c r="I9" s="53" t="s">
        <v>159</v>
      </c>
      <c r="J9" s="127" t="s">
        <v>38</v>
      </c>
      <c r="K9" s="53" t="s">
        <v>160</v>
      </c>
      <c r="L9" s="53">
        <v>2</v>
      </c>
      <c r="N9" s="53">
        <v>1</v>
      </c>
      <c r="O9" s="34">
        <v>1</v>
      </c>
      <c r="P9" s="53">
        <v>1</v>
      </c>
      <c r="Q9" s="76">
        <f t="shared" si="0"/>
        <v>1</v>
      </c>
      <c r="R9" s="34">
        <v>14.5</v>
      </c>
      <c r="S9" s="53">
        <v>115</v>
      </c>
      <c r="T9" s="16">
        <f t="shared" si="1"/>
        <v>30</v>
      </c>
      <c r="U9" s="53">
        <v>108</v>
      </c>
      <c r="V9" s="129">
        <f t="shared" si="2"/>
        <v>3240</v>
      </c>
      <c r="W9" s="53">
        <v>5</v>
      </c>
      <c r="X9" s="127" t="s">
        <v>46</v>
      </c>
      <c r="Y9" s="53" t="s">
        <v>84</v>
      </c>
      <c r="Z9" s="53" t="s">
        <v>69</v>
      </c>
      <c r="AA9" s="53" t="s">
        <v>90</v>
      </c>
      <c r="AB9" s="127" t="s">
        <v>158</v>
      </c>
      <c r="AC9" s="34"/>
      <c r="AE9" s="22" t="s">
        <v>98</v>
      </c>
      <c r="AG9" s="49" t="s">
        <v>133</v>
      </c>
      <c r="AH9" s="49" t="s">
        <v>300</v>
      </c>
      <c r="AL9" s="73"/>
      <c r="AN9" s="73"/>
      <c r="AP9" s="23" t="s">
        <v>95</v>
      </c>
      <c r="AR9" s="23" t="s">
        <v>89</v>
      </c>
      <c r="AV9" s="23" t="s">
        <v>102</v>
      </c>
      <c r="AX9" s="24">
        <v>128</v>
      </c>
      <c r="AY9" s="25">
        <v>27</v>
      </c>
      <c r="AZ9" s="25">
        <v>129</v>
      </c>
      <c r="BA9" s="26">
        <v>25</v>
      </c>
    </row>
    <row r="10" spans="1:53" x14ac:dyDescent="0.15">
      <c r="A10" s="127" t="s">
        <v>61</v>
      </c>
      <c r="B10" s="127" t="s">
        <v>235</v>
      </c>
      <c r="C10" s="53">
        <v>2019</v>
      </c>
      <c r="D10" s="128" t="s">
        <v>313</v>
      </c>
      <c r="E10" s="127" t="s">
        <v>290</v>
      </c>
      <c r="F10" s="127" t="s">
        <v>291</v>
      </c>
      <c r="G10" s="127" t="s">
        <v>42</v>
      </c>
      <c r="H10" s="53" t="s">
        <v>163</v>
      </c>
      <c r="I10" s="53" t="s">
        <v>159</v>
      </c>
      <c r="J10" s="127" t="s">
        <v>38</v>
      </c>
      <c r="K10" s="53" t="s">
        <v>160</v>
      </c>
      <c r="L10" s="53">
        <v>3</v>
      </c>
      <c r="N10" s="53">
        <v>1</v>
      </c>
      <c r="O10" s="34">
        <v>1</v>
      </c>
      <c r="P10" s="53">
        <v>1</v>
      </c>
      <c r="Q10" s="76">
        <f t="shared" si="0"/>
        <v>1</v>
      </c>
      <c r="R10" s="53">
        <v>14.3</v>
      </c>
      <c r="S10" s="53">
        <v>119.5</v>
      </c>
      <c r="T10" s="16">
        <f t="shared" si="1"/>
        <v>30</v>
      </c>
      <c r="U10" s="53">
        <v>108</v>
      </c>
      <c r="V10" s="129">
        <f t="shared" si="2"/>
        <v>3240</v>
      </c>
      <c r="W10" s="53">
        <v>5</v>
      </c>
      <c r="X10" s="127" t="s">
        <v>46</v>
      </c>
      <c r="Y10" s="53" t="s">
        <v>84</v>
      </c>
      <c r="Z10" s="53" t="s">
        <v>69</v>
      </c>
      <c r="AA10" s="53" t="s">
        <v>90</v>
      </c>
      <c r="AB10" s="127" t="s">
        <v>158</v>
      </c>
      <c r="AC10" s="34"/>
      <c r="AE10" s="22" t="s">
        <v>103</v>
      </c>
      <c r="AG10" s="49" t="s">
        <v>301</v>
      </c>
      <c r="AH10" s="49" t="s">
        <v>302</v>
      </c>
      <c r="AL10" s="27"/>
      <c r="AP10" s="23" t="s">
        <v>100</v>
      </c>
      <c r="AR10" s="23" t="s">
        <v>123</v>
      </c>
      <c r="AV10" s="23" t="s">
        <v>106</v>
      </c>
      <c r="AX10" s="24">
        <v>138</v>
      </c>
      <c r="AY10" s="25">
        <v>25</v>
      </c>
      <c r="AZ10" s="25">
        <v>138</v>
      </c>
      <c r="BA10" s="26">
        <v>22</v>
      </c>
    </row>
    <row r="11" spans="1:53" x14ac:dyDescent="0.15">
      <c r="A11" s="127" t="s">
        <v>61</v>
      </c>
      <c r="B11" s="127" t="s">
        <v>235</v>
      </c>
      <c r="C11" s="53">
        <v>2019</v>
      </c>
      <c r="D11" s="128" t="s">
        <v>313</v>
      </c>
      <c r="E11" s="127" t="s">
        <v>292</v>
      </c>
      <c r="F11" s="127" t="s">
        <v>293</v>
      </c>
      <c r="G11" s="127" t="s">
        <v>42</v>
      </c>
      <c r="H11" s="53" t="s">
        <v>163</v>
      </c>
      <c r="I11" s="53" t="s">
        <v>159</v>
      </c>
      <c r="J11" s="127" t="s">
        <v>38</v>
      </c>
      <c r="K11" s="53" t="s">
        <v>160</v>
      </c>
      <c r="L11" s="53">
        <v>1</v>
      </c>
      <c r="N11" s="53">
        <v>1</v>
      </c>
      <c r="O11" s="53">
        <v>1.1000000000000001</v>
      </c>
      <c r="P11" s="53">
        <v>1.25</v>
      </c>
      <c r="Q11" s="76">
        <f t="shared" si="0"/>
        <v>1.175</v>
      </c>
      <c r="R11" s="53">
        <v>14.3</v>
      </c>
      <c r="S11" s="53">
        <v>113</v>
      </c>
      <c r="T11" s="16">
        <f t="shared" si="1"/>
        <v>30</v>
      </c>
      <c r="U11" s="53">
        <v>138</v>
      </c>
      <c r="V11" s="129">
        <f t="shared" si="2"/>
        <v>4140</v>
      </c>
      <c r="W11" s="53">
        <v>3</v>
      </c>
      <c r="X11" s="127" t="s">
        <v>39</v>
      </c>
      <c r="Y11" s="53" t="s">
        <v>84</v>
      </c>
      <c r="Z11" s="53" t="s">
        <v>90</v>
      </c>
      <c r="AA11" s="53" t="s">
        <v>69</v>
      </c>
      <c r="AB11" s="127" t="s">
        <v>158</v>
      </c>
      <c r="AC11" s="34"/>
      <c r="AE11" s="22" t="s">
        <v>65</v>
      </c>
      <c r="AG11" s="49" t="s">
        <v>303</v>
      </c>
      <c r="AH11" s="49" t="s">
        <v>302</v>
      </c>
      <c r="AL11" s="134"/>
      <c r="AP11" s="23" t="s">
        <v>104</v>
      </c>
      <c r="AR11" s="23" t="s">
        <v>87</v>
      </c>
      <c r="AV11" s="135" t="s">
        <v>304</v>
      </c>
      <c r="AX11" s="24">
        <v>151</v>
      </c>
      <c r="AY11" s="25">
        <v>22</v>
      </c>
      <c r="AZ11" s="25">
        <v>152</v>
      </c>
      <c r="BA11" s="26">
        <v>18</v>
      </c>
    </row>
    <row r="12" spans="1:53" x14ac:dyDescent="0.15">
      <c r="A12" s="127" t="s">
        <v>61</v>
      </c>
      <c r="B12" s="127" t="s">
        <v>235</v>
      </c>
      <c r="C12" s="53">
        <v>2019</v>
      </c>
      <c r="D12" s="128" t="s">
        <v>313</v>
      </c>
      <c r="E12" s="127" t="s">
        <v>292</v>
      </c>
      <c r="F12" s="127" t="s">
        <v>293</v>
      </c>
      <c r="G12" s="127" t="s">
        <v>42</v>
      </c>
      <c r="H12" s="53" t="s">
        <v>163</v>
      </c>
      <c r="I12" s="53" t="s">
        <v>159</v>
      </c>
      <c r="J12" s="127" t="s">
        <v>38</v>
      </c>
      <c r="K12" s="53" t="s">
        <v>160</v>
      </c>
      <c r="L12" s="53">
        <v>2</v>
      </c>
      <c r="N12" s="53">
        <v>1</v>
      </c>
      <c r="O12" s="53">
        <v>1.25</v>
      </c>
      <c r="P12" s="53">
        <v>1.1000000000000001</v>
      </c>
      <c r="Q12" s="76">
        <f t="shared" si="0"/>
        <v>1.175</v>
      </c>
      <c r="R12" s="34">
        <v>14.3</v>
      </c>
      <c r="S12" s="53">
        <v>122.5</v>
      </c>
      <c r="T12" s="16">
        <f t="shared" si="1"/>
        <v>27</v>
      </c>
      <c r="U12" s="53">
        <v>138</v>
      </c>
      <c r="V12" s="129">
        <f t="shared" si="2"/>
        <v>3726</v>
      </c>
      <c r="W12" s="53">
        <v>3</v>
      </c>
      <c r="X12" s="127" t="s">
        <v>39</v>
      </c>
      <c r="Y12" s="53" t="s">
        <v>84</v>
      </c>
      <c r="Z12" s="53" t="s">
        <v>90</v>
      </c>
      <c r="AA12" s="53" t="s">
        <v>69</v>
      </c>
      <c r="AB12" s="127" t="s">
        <v>158</v>
      </c>
      <c r="AC12" s="34"/>
      <c r="AE12" s="22" t="s">
        <v>70</v>
      </c>
      <c r="AG12" s="23"/>
      <c r="AH12" s="22"/>
      <c r="AL12" s="134"/>
      <c r="AP12" s="23" t="s">
        <v>67</v>
      </c>
      <c r="AR12" s="23" t="s">
        <v>124</v>
      </c>
      <c r="AV12" s="135" t="s">
        <v>305</v>
      </c>
      <c r="AX12" s="24">
        <v>180</v>
      </c>
      <c r="AY12" s="25">
        <v>18</v>
      </c>
      <c r="AZ12" s="25">
        <v>181</v>
      </c>
      <c r="BA12" s="26">
        <v>16</v>
      </c>
    </row>
    <row r="13" spans="1:53" x14ac:dyDescent="0.15">
      <c r="A13" s="127" t="s">
        <v>61</v>
      </c>
      <c r="B13" s="127" t="s">
        <v>235</v>
      </c>
      <c r="C13" s="53">
        <v>2019</v>
      </c>
      <c r="D13" s="128" t="s">
        <v>313</v>
      </c>
      <c r="E13" s="127" t="s">
        <v>292</v>
      </c>
      <c r="F13" s="127" t="s">
        <v>293</v>
      </c>
      <c r="G13" s="127" t="s">
        <v>42</v>
      </c>
      <c r="H13" s="53" t="s">
        <v>163</v>
      </c>
      <c r="I13" s="53" t="s">
        <v>159</v>
      </c>
      <c r="J13" s="127" t="s">
        <v>38</v>
      </c>
      <c r="K13" s="53" t="s">
        <v>160</v>
      </c>
      <c r="L13" s="53">
        <v>3</v>
      </c>
      <c r="N13" s="53">
        <v>1</v>
      </c>
      <c r="O13" s="53">
        <v>1.6</v>
      </c>
      <c r="P13" s="53">
        <v>1.25</v>
      </c>
      <c r="Q13" s="76">
        <f t="shared" si="0"/>
        <v>1.425</v>
      </c>
      <c r="R13" s="53">
        <v>13.9</v>
      </c>
      <c r="S13" s="53">
        <v>123.5</v>
      </c>
      <c r="T13" s="16">
        <f t="shared" si="1"/>
        <v>27</v>
      </c>
      <c r="U13" s="53">
        <v>138</v>
      </c>
      <c r="V13" s="129">
        <f t="shared" si="2"/>
        <v>3726</v>
      </c>
      <c r="W13" s="53">
        <v>3</v>
      </c>
      <c r="X13" s="127" t="s">
        <v>39</v>
      </c>
      <c r="Y13" s="53" t="s">
        <v>84</v>
      </c>
      <c r="Z13" s="53" t="s">
        <v>90</v>
      </c>
      <c r="AA13" s="53" t="s">
        <v>69</v>
      </c>
      <c r="AB13" s="127" t="s">
        <v>158</v>
      </c>
      <c r="AC13" s="34"/>
      <c r="AE13" s="22" t="s">
        <v>73</v>
      </c>
      <c r="AG13" s="23"/>
      <c r="AH13" s="22"/>
      <c r="AL13" s="136"/>
      <c r="AP13" s="23" t="s">
        <v>71</v>
      </c>
      <c r="AR13" s="23" t="s">
        <v>103</v>
      </c>
      <c r="AV13" s="135" t="s">
        <v>306</v>
      </c>
      <c r="AX13" s="24"/>
      <c r="AY13" s="25"/>
      <c r="AZ13" s="25"/>
      <c r="BA13" s="26"/>
    </row>
    <row r="14" spans="1:53" x14ac:dyDescent="0.15">
      <c r="A14" s="127" t="s">
        <v>61</v>
      </c>
      <c r="B14" s="127" t="s">
        <v>235</v>
      </c>
      <c r="C14" s="53">
        <v>2019</v>
      </c>
      <c r="D14" s="128" t="s">
        <v>313</v>
      </c>
      <c r="E14" s="127" t="s">
        <v>294</v>
      </c>
      <c r="F14" s="127" t="s">
        <v>295</v>
      </c>
      <c r="G14" s="127" t="s">
        <v>42</v>
      </c>
      <c r="H14" s="53" t="s">
        <v>163</v>
      </c>
      <c r="I14" s="53" t="s">
        <v>159</v>
      </c>
      <c r="J14" s="127" t="s">
        <v>38</v>
      </c>
      <c r="K14" s="53" t="s">
        <v>160</v>
      </c>
      <c r="L14" s="53">
        <v>1</v>
      </c>
      <c r="N14" s="53">
        <v>1</v>
      </c>
      <c r="O14" s="53">
        <v>1.1000000000000001</v>
      </c>
      <c r="P14" s="53">
        <v>1.1000000000000001</v>
      </c>
      <c r="Q14" s="76">
        <f t="shared" si="0"/>
        <v>1.1000000000000001</v>
      </c>
      <c r="R14" s="53">
        <v>14.4</v>
      </c>
      <c r="S14" s="53">
        <v>118</v>
      </c>
      <c r="T14" s="16">
        <f t="shared" si="1"/>
        <v>30</v>
      </c>
      <c r="U14" s="53">
        <v>84</v>
      </c>
      <c r="V14" s="129">
        <f t="shared" si="2"/>
        <v>2520</v>
      </c>
      <c r="W14" s="53">
        <v>4</v>
      </c>
      <c r="X14" s="127" t="s">
        <v>39</v>
      </c>
      <c r="Y14" s="53" t="s">
        <v>84</v>
      </c>
      <c r="Z14" s="53" t="s">
        <v>90</v>
      </c>
      <c r="AA14" s="53" t="s">
        <v>69</v>
      </c>
      <c r="AB14" s="127" t="s">
        <v>158</v>
      </c>
      <c r="AC14" s="34"/>
      <c r="AE14" s="22" t="s">
        <v>76</v>
      </c>
      <c r="AG14" s="23"/>
      <c r="AH14" s="22"/>
      <c r="AL14" s="34"/>
      <c r="AP14" s="23" t="s">
        <v>74</v>
      </c>
      <c r="AR14" s="23" t="s">
        <v>125</v>
      </c>
      <c r="AV14" s="135" t="s">
        <v>307</v>
      </c>
      <c r="AX14" s="24"/>
      <c r="AY14" s="25"/>
      <c r="AZ14" s="25"/>
      <c r="BA14" s="26"/>
    </row>
    <row r="15" spans="1:53" x14ac:dyDescent="0.15">
      <c r="A15" s="127" t="s">
        <v>61</v>
      </c>
      <c r="B15" s="127" t="s">
        <v>235</v>
      </c>
      <c r="C15" s="53">
        <v>2019</v>
      </c>
      <c r="D15" s="128" t="s">
        <v>313</v>
      </c>
      <c r="E15" s="127" t="s">
        <v>294</v>
      </c>
      <c r="F15" s="127" t="s">
        <v>295</v>
      </c>
      <c r="G15" s="127" t="s">
        <v>42</v>
      </c>
      <c r="H15" s="53" t="s">
        <v>163</v>
      </c>
      <c r="I15" s="53" t="s">
        <v>159</v>
      </c>
      <c r="J15" s="127" t="s">
        <v>38</v>
      </c>
      <c r="K15" s="53" t="s">
        <v>160</v>
      </c>
      <c r="L15" s="53">
        <v>2</v>
      </c>
      <c r="N15" s="53">
        <v>1</v>
      </c>
      <c r="O15" s="53">
        <v>1</v>
      </c>
      <c r="P15" s="53">
        <v>1</v>
      </c>
      <c r="Q15" s="76">
        <f t="shared" si="0"/>
        <v>1</v>
      </c>
      <c r="R15" s="34">
        <v>14.2</v>
      </c>
      <c r="S15" s="53">
        <v>120</v>
      </c>
      <c r="T15" s="16">
        <f t="shared" si="1"/>
        <v>30</v>
      </c>
      <c r="U15" s="53">
        <v>84</v>
      </c>
      <c r="V15" s="129">
        <f t="shared" si="2"/>
        <v>2520</v>
      </c>
      <c r="W15" s="53">
        <v>4</v>
      </c>
      <c r="X15" s="127" t="s">
        <v>39</v>
      </c>
      <c r="Y15" s="53" t="s">
        <v>84</v>
      </c>
      <c r="Z15" s="53" t="s">
        <v>90</v>
      </c>
      <c r="AA15" s="53" t="s">
        <v>69</v>
      </c>
      <c r="AB15" s="127" t="s">
        <v>158</v>
      </c>
      <c r="AC15" s="34"/>
      <c r="AE15" s="22" t="s">
        <v>79</v>
      </c>
      <c r="AG15" s="23"/>
      <c r="AH15" s="23"/>
      <c r="AL15" s="34"/>
      <c r="AP15" s="23" t="s">
        <v>77</v>
      </c>
      <c r="AR15" s="23" t="s">
        <v>94</v>
      </c>
      <c r="AV15" s="135" t="s">
        <v>308</v>
      </c>
      <c r="AX15" s="31"/>
      <c r="AY15" s="32"/>
      <c r="AZ15" s="32"/>
      <c r="BA15" s="33"/>
    </row>
    <row r="16" spans="1:53" x14ac:dyDescent="0.15">
      <c r="A16" s="127" t="s">
        <v>61</v>
      </c>
      <c r="B16" s="127" t="s">
        <v>235</v>
      </c>
      <c r="C16" s="53">
        <v>2019</v>
      </c>
      <c r="D16" s="128" t="s">
        <v>313</v>
      </c>
      <c r="E16" s="127" t="s">
        <v>294</v>
      </c>
      <c r="F16" s="127" t="s">
        <v>295</v>
      </c>
      <c r="G16" s="127" t="s">
        <v>42</v>
      </c>
      <c r="H16" s="53" t="s">
        <v>163</v>
      </c>
      <c r="I16" s="53" t="s">
        <v>159</v>
      </c>
      <c r="J16" s="127" t="s">
        <v>38</v>
      </c>
      <c r="K16" s="53" t="s">
        <v>160</v>
      </c>
      <c r="L16" s="53">
        <v>3</v>
      </c>
      <c r="N16" s="53">
        <v>1</v>
      </c>
      <c r="O16" s="53">
        <v>1.2</v>
      </c>
      <c r="P16" s="53">
        <v>1.1000000000000001</v>
      </c>
      <c r="Q16" s="76">
        <f t="shared" si="0"/>
        <v>1.1499999999999999</v>
      </c>
      <c r="R16" s="53">
        <v>14.6</v>
      </c>
      <c r="S16" s="53">
        <v>114</v>
      </c>
      <c r="T16" s="16">
        <f t="shared" si="1"/>
        <v>30</v>
      </c>
      <c r="U16" s="53">
        <v>84</v>
      </c>
      <c r="V16" s="129">
        <f t="shared" si="2"/>
        <v>2520</v>
      </c>
      <c r="W16" s="53">
        <v>4</v>
      </c>
      <c r="X16" s="127" t="s">
        <v>39</v>
      </c>
      <c r="Y16" s="53" t="s">
        <v>84</v>
      </c>
      <c r="Z16" s="53" t="s">
        <v>90</v>
      </c>
      <c r="AA16" s="53" t="s">
        <v>69</v>
      </c>
      <c r="AB16" s="127" t="s">
        <v>158</v>
      </c>
      <c r="AC16" s="34"/>
      <c r="AE16" s="22" t="s">
        <v>82</v>
      </c>
      <c r="AG16" s="23"/>
      <c r="AH16" s="23"/>
      <c r="AP16" s="23" t="s">
        <v>80</v>
      </c>
      <c r="AR16" s="23" t="s">
        <v>63</v>
      </c>
      <c r="AV16" s="135" t="s">
        <v>309</v>
      </c>
    </row>
    <row r="17" spans="1:48" x14ac:dyDescent="0.15">
      <c r="A17" s="127" t="s">
        <v>61</v>
      </c>
      <c r="B17" s="127" t="s">
        <v>235</v>
      </c>
      <c r="C17" s="53">
        <v>2019</v>
      </c>
      <c r="D17" s="128" t="s">
        <v>313</v>
      </c>
      <c r="E17" s="127" t="s">
        <v>296</v>
      </c>
      <c r="F17" s="127" t="s">
        <v>297</v>
      </c>
      <c r="G17" s="127" t="s">
        <v>42</v>
      </c>
      <c r="H17" s="53" t="s">
        <v>163</v>
      </c>
      <c r="I17" s="53" t="s">
        <v>159</v>
      </c>
      <c r="J17" s="127" t="s">
        <v>38</v>
      </c>
      <c r="K17" s="53" t="s">
        <v>160</v>
      </c>
      <c r="L17" s="53">
        <v>1</v>
      </c>
      <c r="N17" s="53">
        <v>12</v>
      </c>
      <c r="O17" s="53">
        <v>1.5</v>
      </c>
      <c r="P17" s="53">
        <v>1.5</v>
      </c>
      <c r="Q17" s="76">
        <f t="shared" si="0"/>
        <v>1.5</v>
      </c>
      <c r="R17" s="53">
        <v>14</v>
      </c>
      <c r="S17" s="53">
        <v>106</v>
      </c>
      <c r="T17" s="16">
        <f t="shared" si="1"/>
        <v>33</v>
      </c>
      <c r="U17" s="53">
        <v>537</v>
      </c>
      <c r="V17" s="129">
        <f t="shared" si="2"/>
        <v>1476.75</v>
      </c>
      <c r="W17" s="53">
        <v>6</v>
      </c>
      <c r="X17" s="127" t="s">
        <v>46</v>
      </c>
      <c r="Y17" s="53" t="s">
        <v>84</v>
      </c>
      <c r="Z17" s="53" t="s">
        <v>90</v>
      </c>
      <c r="AA17" s="53" t="s">
        <v>40</v>
      </c>
      <c r="AB17" s="127" t="s">
        <v>158</v>
      </c>
      <c r="AC17" s="34"/>
      <c r="AE17" s="22" t="s">
        <v>85</v>
      </c>
      <c r="AP17" s="27" t="s">
        <v>110</v>
      </c>
      <c r="AR17" s="23" t="s">
        <v>96</v>
      </c>
      <c r="AV17" s="135" t="s">
        <v>257</v>
      </c>
    </row>
    <row r="18" spans="1:48" x14ac:dyDescent="0.15">
      <c r="A18" s="127" t="s">
        <v>61</v>
      </c>
      <c r="B18" s="127" t="s">
        <v>235</v>
      </c>
      <c r="C18" s="53">
        <v>2019</v>
      </c>
      <c r="D18" s="128" t="s">
        <v>313</v>
      </c>
      <c r="E18" s="127" t="s">
        <v>296</v>
      </c>
      <c r="F18" s="127" t="s">
        <v>297</v>
      </c>
      <c r="G18" s="127" t="s">
        <v>42</v>
      </c>
      <c r="H18" s="53" t="s">
        <v>163</v>
      </c>
      <c r="I18" s="53" t="s">
        <v>159</v>
      </c>
      <c r="J18" s="127" t="s">
        <v>38</v>
      </c>
      <c r="K18" s="53" t="s">
        <v>160</v>
      </c>
      <c r="L18" s="53">
        <v>2</v>
      </c>
      <c r="N18" s="53">
        <v>12</v>
      </c>
      <c r="O18" s="53">
        <v>1.3</v>
      </c>
      <c r="P18" s="53">
        <v>1.5</v>
      </c>
      <c r="Q18" s="76">
        <f t="shared" si="0"/>
        <v>1.4</v>
      </c>
      <c r="R18" s="34">
        <v>13.9</v>
      </c>
      <c r="S18" s="53">
        <v>99</v>
      </c>
      <c r="T18" s="16">
        <f t="shared" si="1"/>
        <v>33</v>
      </c>
      <c r="U18" s="53">
        <v>537</v>
      </c>
      <c r="V18" s="129">
        <f t="shared" si="2"/>
        <v>1476.75</v>
      </c>
      <c r="W18" s="53">
        <v>6</v>
      </c>
      <c r="X18" s="127" t="s">
        <v>46</v>
      </c>
      <c r="Y18" s="53" t="s">
        <v>84</v>
      </c>
      <c r="Z18" s="53" t="s">
        <v>90</v>
      </c>
      <c r="AA18" s="53" t="s">
        <v>40</v>
      </c>
      <c r="AB18" s="127" t="s">
        <v>158</v>
      </c>
      <c r="AC18" s="34"/>
      <c r="AE18" s="22" t="s">
        <v>87</v>
      </c>
      <c r="AP18" s="27" t="s">
        <v>111</v>
      </c>
      <c r="AR18" s="23" t="s">
        <v>101</v>
      </c>
      <c r="AV18" s="135" t="s">
        <v>135</v>
      </c>
    </row>
    <row r="19" spans="1:48" x14ac:dyDescent="0.15">
      <c r="A19" s="127" t="s">
        <v>61</v>
      </c>
      <c r="B19" s="127" t="s">
        <v>235</v>
      </c>
      <c r="C19" s="53">
        <v>2019</v>
      </c>
      <c r="D19" s="128" t="s">
        <v>313</v>
      </c>
      <c r="E19" s="127" t="s">
        <v>296</v>
      </c>
      <c r="F19" s="127" t="s">
        <v>297</v>
      </c>
      <c r="G19" s="127" t="s">
        <v>42</v>
      </c>
      <c r="H19" s="53" t="s">
        <v>163</v>
      </c>
      <c r="I19" s="53" t="s">
        <v>159</v>
      </c>
      <c r="J19" s="127" t="s">
        <v>38</v>
      </c>
      <c r="K19" s="53" t="s">
        <v>160</v>
      </c>
      <c r="L19" s="53">
        <v>3</v>
      </c>
      <c r="N19" s="53">
        <v>12</v>
      </c>
      <c r="O19" s="34">
        <v>1.4</v>
      </c>
      <c r="P19" s="53">
        <v>1.1000000000000001</v>
      </c>
      <c r="Q19" s="76">
        <f t="shared" si="0"/>
        <v>1.25</v>
      </c>
      <c r="R19" s="53">
        <v>14.1</v>
      </c>
      <c r="S19" s="53">
        <v>98</v>
      </c>
      <c r="T19" s="16">
        <f t="shared" si="1"/>
        <v>36</v>
      </c>
      <c r="U19" s="53">
        <v>537</v>
      </c>
      <c r="V19" s="129">
        <f t="shared" si="2"/>
        <v>1611</v>
      </c>
      <c r="W19" s="53">
        <v>6</v>
      </c>
      <c r="X19" s="127" t="s">
        <v>46</v>
      </c>
      <c r="Y19" s="53" t="s">
        <v>84</v>
      </c>
      <c r="Z19" s="53" t="s">
        <v>90</v>
      </c>
      <c r="AA19" s="53" t="s">
        <v>40</v>
      </c>
      <c r="AB19" s="127" t="s">
        <v>158</v>
      </c>
      <c r="AC19" s="34"/>
      <c r="AE19" s="35" t="s">
        <v>89</v>
      </c>
      <c r="AP19" s="27" t="s">
        <v>112</v>
      </c>
      <c r="AR19" s="23" t="s">
        <v>126</v>
      </c>
      <c r="AV19" s="135" t="s">
        <v>310</v>
      </c>
    </row>
    <row r="20" spans="1:48" x14ac:dyDescent="0.15">
      <c r="A20" s="127" t="s">
        <v>61</v>
      </c>
      <c r="B20" s="127" t="s">
        <v>235</v>
      </c>
      <c r="C20" s="53">
        <v>2019</v>
      </c>
      <c r="D20" s="128" t="s">
        <v>313</v>
      </c>
      <c r="E20" s="127" t="s">
        <v>298</v>
      </c>
      <c r="F20" s="127" t="s">
        <v>299</v>
      </c>
      <c r="G20" s="127" t="s">
        <v>42</v>
      </c>
      <c r="H20" s="53" t="s">
        <v>163</v>
      </c>
      <c r="I20" s="53" t="s">
        <v>159</v>
      </c>
      <c r="J20" s="127" t="s">
        <v>38</v>
      </c>
      <c r="K20" s="53" t="s">
        <v>160</v>
      </c>
      <c r="L20" s="53">
        <v>1</v>
      </c>
      <c r="N20" s="53">
        <v>1</v>
      </c>
      <c r="O20" s="53">
        <v>1.4</v>
      </c>
      <c r="P20" s="53">
        <v>1.25</v>
      </c>
      <c r="Q20" s="76">
        <f t="shared" si="0"/>
        <v>1.325</v>
      </c>
      <c r="R20" s="53">
        <v>14.3</v>
      </c>
      <c r="S20" s="53">
        <v>106</v>
      </c>
      <c r="T20" s="16">
        <f t="shared" si="1"/>
        <v>33</v>
      </c>
      <c r="U20" s="53">
        <v>138</v>
      </c>
      <c r="V20" s="129">
        <f t="shared" si="2"/>
        <v>4554</v>
      </c>
      <c r="W20" s="53">
        <v>3</v>
      </c>
      <c r="X20" s="127" t="s">
        <v>39</v>
      </c>
      <c r="Y20" s="53" t="s">
        <v>90</v>
      </c>
      <c r="Z20" s="53" t="s">
        <v>84</v>
      </c>
      <c r="AA20" s="53" t="s">
        <v>69</v>
      </c>
      <c r="AB20" s="127" t="s">
        <v>158</v>
      </c>
      <c r="AC20" s="34"/>
      <c r="AE20" s="22"/>
      <c r="AP20" s="27" t="s">
        <v>113</v>
      </c>
      <c r="AR20" s="23" t="s">
        <v>105</v>
      </c>
      <c r="AV20" s="135" t="s">
        <v>311</v>
      </c>
    </row>
    <row r="21" spans="1:48" x14ac:dyDescent="0.15">
      <c r="A21" s="127" t="s">
        <v>61</v>
      </c>
      <c r="B21" s="127" t="s">
        <v>235</v>
      </c>
      <c r="C21" s="53">
        <v>2019</v>
      </c>
      <c r="D21" s="128" t="s">
        <v>313</v>
      </c>
      <c r="E21" s="127" t="s">
        <v>298</v>
      </c>
      <c r="F21" s="127" t="s">
        <v>299</v>
      </c>
      <c r="G21" s="127" t="s">
        <v>42</v>
      </c>
      <c r="H21" s="53" t="s">
        <v>163</v>
      </c>
      <c r="I21" s="53" t="s">
        <v>159</v>
      </c>
      <c r="J21" s="127" t="s">
        <v>38</v>
      </c>
      <c r="K21" s="53" t="s">
        <v>160</v>
      </c>
      <c r="L21" s="53">
        <v>2</v>
      </c>
      <c r="N21" s="53">
        <v>1</v>
      </c>
      <c r="O21" s="53">
        <v>1.6</v>
      </c>
      <c r="P21" s="53">
        <v>1.2</v>
      </c>
      <c r="Q21" s="76">
        <f t="shared" si="0"/>
        <v>1.4</v>
      </c>
      <c r="R21" s="53">
        <v>14.1</v>
      </c>
      <c r="S21" s="53">
        <v>107</v>
      </c>
      <c r="T21" s="16">
        <f t="shared" si="1"/>
        <v>33</v>
      </c>
      <c r="U21" s="53">
        <v>138</v>
      </c>
      <c r="V21" s="129">
        <f t="shared" si="2"/>
        <v>4554</v>
      </c>
      <c r="W21" s="53">
        <v>3</v>
      </c>
      <c r="X21" s="127" t="s">
        <v>39</v>
      </c>
      <c r="Y21" s="53" t="s">
        <v>90</v>
      </c>
      <c r="Z21" s="53" t="s">
        <v>84</v>
      </c>
      <c r="AA21" s="53" t="s">
        <v>69</v>
      </c>
      <c r="AB21" s="127" t="s">
        <v>158</v>
      </c>
      <c r="AC21" s="34"/>
      <c r="AE21" s="22"/>
      <c r="AP21" s="27" t="s">
        <v>114</v>
      </c>
      <c r="AR21" s="23" t="s">
        <v>68</v>
      </c>
      <c r="AV21" s="135" t="s">
        <v>312</v>
      </c>
    </row>
    <row r="22" spans="1:48" x14ac:dyDescent="0.15">
      <c r="A22" s="127" t="s">
        <v>61</v>
      </c>
      <c r="B22" s="127" t="s">
        <v>235</v>
      </c>
      <c r="C22" s="53">
        <v>2019</v>
      </c>
      <c r="D22" s="128" t="s">
        <v>313</v>
      </c>
      <c r="E22" s="127" t="s">
        <v>298</v>
      </c>
      <c r="F22" s="127" t="s">
        <v>299</v>
      </c>
      <c r="G22" s="127" t="s">
        <v>42</v>
      </c>
      <c r="H22" s="53" t="s">
        <v>163</v>
      </c>
      <c r="I22" s="53" t="s">
        <v>159</v>
      </c>
      <c r="J22" s="127" t="s">
        <v>38</v>
      </c>
      <c r="K22" s="53" t="s">
        <v>160</v>
      </c>
      <c r="L22" s="53">
        <v>3</v>
      </c>
      <c r="N22" s="53">
        <v>1</v>
      </c>
      <c r="O22" s="34">
        <v>1.3</v>
      </c>
      <c r="P22" s="53">
        <v>1.25</v>
      </c>
      <c r="Q22" s="76">
        <f t="shared" si="0"/>
        <v>1.2749999999999999</v>
      </c>
      <c r="R22" s="53">
        <v>14.7</v>
      </c>
      <c r="S22" s="53">
        <v>112</v>
      </c>
      <c r="T22" s="16">
        <f t="shared" si="1"/>
        <v>33</v>
      </c>
      <c r="U22" s="53">
        <v>138</v>
      </c>
      <c r="V22" s="129">
        <f t="shared" si="2"/>
        <v>4554</v>
      </c>
      <c r="W22" s="53">
        <v>3</v>
      </c>
      <c r="X22" s="127" t="s">
        <v>39</v>
      </c>
      <c r="Y22" s="53" t="s">
        <v>90</v>
      </c>
      <c r="Z22" s="53" t="s">
        <v>84</v>
      </c>
      <c r="AA22" s="53" t="s">
        <v>69</v>
      </c>
      <c r="AB22" s="127" t="s">
        <v>158</v>
      </c>
      <c r="AC22" s="34"/>
      <c r="AE22" s="35"/>
      <c r="AP22" s="27" t="s">
        <v>115</v>
      </c>
      <c r="AR22" s="23" t="s">
        <v>83</v>
      </c>
      <c r="AV22" s="23"/>
    </row>
    <row r="23" spans="1:48" x14ac:dyDescent="0.15">
      <c r="A23" s="127" t="s">
        <v>61</v>
      </c>
      <c r="B23" s="127" t="s">
        <v>235</v>
      </c>
      <c r="C23" s="53">
        <v>2019</v>
      </c>
      <c r="D23" s="128" t="s">
        <v>313</v>
      </c>
      <c r="E23" s="127" t="s">
        <v>133</v>
      </c>
      <c r="F23" s="127" t="s">
        <v>300</v>
      </c>
      <c r="G23" s="127" t="s">
        <v>42</v>
      </c>
      <c r="H23" s="53" t="s">
        <v>163</v>
      </c>
      <c r="I23" s="53" t="s">
        <v>159</v>
      </c>
      <c r="J23" s="127" t="s">
        <v>38</v>
      </c>
      <c r="K23" s="53" t="s">
        <v>160</v>
      </c>
      <c r="L23" s="53">
        <v>1</v>
      </c>
      <c r="N23" s="53">
        <v>1</v>
      </c>
      <c r="O23" s="53">
        <v>1.5</v>
      </c>
      <c r="P23" s="53">
        <v>1.25</v>
      </c>
      <c r="Q23" s="76">
        <f t="shared" si="0"/>
        <v>1.375</v>
      </c>
      <c r="R23" s="53">
        <v>14.7</v>
      </c>
      <c r="S23" s="53">
        <v>109</v>
      </c>
      <c r="T23" s="16">
        <f t="shared" si="1"/>
        <v>33</v>
      </c>
      <c r="U23" s="53">
        <v>105</v>
      </c>
      <c r="V23" s="129">
        <f t="shared" si="2"/>
        <v>3465</v>
      </c>
      <c r="W23" s="53">
        <v>12</v>
      </c>
      <c r="X23" s="127" t="s">
        <v>46</v>
      </c>
      <c r="Y23" s="53" t="s">
        <v>84</v>
      </c>
      <c r="Z23" s="53" t="s">
        <v>40</v>
      </c>
      <c r="AA23" s="53" t="s">
        <v>90</v>
      </c>
      <c r="AB23" s="127" t="s">
        <v>158</v>
      </c>
      <c r="AC23" s="34"/>
      <c r="AE23" s="22"/>
      <c r="AP23" s="27" t="s">
        <v>137</v>
      </c>
      <c r="AR23" s="23" t="s">
        <v>61</v>
      </c>
    </row>
    <row r="24" spans="1:48" x14ac:dyDescent="0.15">
      <c r="A24" s="127" t="s">
        <v>61</v>
      </c>
      <c r="B24" s="127" t="s">
        <v>235</v>
      </c>
      <c r="C24" s="53">
        <v>2019</v>
      </c>
      <c r="D24" s="128" t="s">
        <v>313</v>
      </c>
      <c r="E24" s="127" t="s">
        <v>133</v>
      </c>
      <c r="F24" s="127" t="s">
        <v>300</v>
      </c>
      <c r="G24" s="127" t="s">
        <v>42</v>
      </c>
      <c r="H24" s="53" t="s">
        <v>163</v>
      </c>
      <c r="I24" s="53" t="s">
        <v>159</v>
      </c>
      <c r="J24" s="127" t="s">
        <v>38</v>
      </c>
      <c r="K24" s="53" t="s">
        <v>160</v>
      </c>
      <c r="L24" s="53">
        <v>2</v>
      </c>
      <c r="N24" s="53">
        <v>1</v>
      </c>
      <c r="O24" s="53">
        <v>1.1000000000000001</v>
      </c>
      <c r="P24" s="53">
        <v>0.7</v>
      </c>
      <c r="Q24" s="76">
        <f t="shared" si="0"/>
        <v>0.9</v>
      </c>
      <c r="R24" s="53">
        <v>14.5</v>
      </c>
      <c r="S24" s="53">
        <v>108</v>
      </c>
      <c r="T24" s="16">
        <f t="shared" si="1"/>
        <v>33</v>
      </c>
      <c r="U24" s="53">
        <v>105</v>
      </c>
      <c r="V24" s="129">
        <f t="shared" si="2"/>
        <v>3465</v>
      </c>
      <c r="W24" s="53">
        <v>12</v>
      </c>
      <c r="X24" s="127" t="s">
        <v>46</v>
      </c>
      <c r="Y24" s="53" t="s">
        <v>84</v>
      </c>
      <c r="Z24" s="53" t="s">
        <v>40</v>
      </c>
      <c r="AA24" s="53" t="s">
        <v>90</v>
      </c>
      <c r="AB24" s="127" t="s">
        <v>158</v>
      </c>
      <c r="AC24" s="34"/>
      <c r="AE24" s="22"/>
      <c r="AP24" s="27" t="s">
        <v>138</v>
      </c>
      <c r="AR24" s="23" t="s">
        <v>91</v>
      </c>
    </row>
    <row r="25" spans="1:48" x14ac:dyDescent="0.15">
      <c r="A25" s="127" t="s">
        <v>61</v>
      </c>
      <c r="B25" s="127" t="s">
        <v>235</v>
      </c>
      <c r="C25" s="53">
        <v>2019</v>
      </c>
      <c r="D25" s="128" t="s">
        <v>313</v>
      </c>
      <c r="E25" s="127" t="s">
        <v>133</v>
      </c>
      <c r="F25" s="127" t="s">
        <v>300</v>
      </c>
      <c r="G25" s="127" t="s">
        <v>42</v>
      </c>
      <c r="H25" s="53" t="s">
        <v>163</v>
      </c>
      <c r="I25" s="53" t="s">
        <v>159</v>
      </c>
      <c r="J25" s="127" t="s">
        <v>38</v>
      </c>
      <c r="K25" s="53" t="s">
        <v>160</v>
      </c>
      <c r="L25" s="53">
        <v>3</v>
      </c>
      <c r="N25" s="53">
        <v>1</v>
      </c>
      <c r="O25" s="34">
        <v>1</v>
      </c>
      <c r="P25" s="53">
        <v>1.1000000000000001</v>
      </c>
      <c r="Q25" s="76">
        <f t="shared" si="0"/>
        <v>1.05</v>
      </c>
      <c r="R25" s="53">
        <v>14.7</v>
      </c>
      <c r="S25" s="53">
        <v>112</v>
      </c>
      <c r="T25" s="16">
        <f t="shared" si="1"/>
        <v>33</v>
      </c>
      <c r="U25" s="53">
        <v>105</v>
      </c>
      <c r="V25" s="129">
        <f t="shared" si="2"/>
        <v>3465</v>
      </c>
      <c r="W25" s="53">
        <v>12</v>
      </c>
      <c r="X25" s="127" t="s">
        <v>46</v>
      </c>
      <c r="Y25" s="53" t="s">
        <v>84</v>
      </c>
      <c r="Z25" s="53" t="s">
        <v>40</v>
      </c>
      <c r="AA25" s="53" t="s">
        <v>90</v>
      </c>
      <c r="AB25" s="127" t="s">
        <v>158</v>
      </c>
      <c r="AC25" s="34"/>
      <c r="AE25" s="35"/>
      <c r="AP25" s="27" t="s">
        <v>116</v>
      </c>
      <c r="AR25" s="27" t="s">
        <v>92</v>
      </c>
    </row>
    <row r="26" spans="1:48" x14ac:dyDescent="0.15">
      <c r="A26" s="127" t="s">
        <v>61</v>
      </c>
      <c r="B26" s="127" t="s">
        <v>235</v>
      </c>
      <c r="C26" s="53">
        <v>2019</v>
      </c>
      <c r="D26" s="128" t="s">
        <v>313</v>
      </c>
      <c r="E26" s="127" t="s">
        <v>133</v>
      </c>
      <c r="F26" s="127" t="s">
        <v>300</v>
      </c>
      <c r="G26" s="127" t="s">
        <v>42</v>
      </c>
      <c r="H26" s="53" t="s">
        <v>127</v>
      </c>
      <c r="I26" s="53" t="s">
        <v>159</v>
      </c>
      <c r="J26" s="127" t="s">
        <v>80</v>
      </c>
      <c r="K26" s="53" t="s">
        <v>45</v>
      </c>
      <c r="L26" s="53">
        <v>1</v>
      </c>
      <c r="N26" s="53">
        <v>5</v>
      </c>
      <c r="O26" s="53">
        <v>1.8</v>
      </c>
      <c r="P26" s="34">
        <v>1.7</v>
      </c>
      <c r="Q26" s="76">
        <f t="shared" si="0"/>
        <v>1.75</v>
      </c>
      <c r="R26" s="53">
        <v>14.7</v>
      </c>
      <c r="S26" s="53">
        <v>105.5</v>
      </c>
      <c r="T26" s="16">
        <f t="shared" si="1"/>
        <v>33</v>
      </c>
      <c r="U26" s="53">
        <v>430</v>
      </c>
      <c r="V26" s="129">
        <f t="shared" si="2"/>
        <v>2838</v>
      </c>
      <c r="W26" s="53">
        <v>12</v>
      </c>
      <c r="X26" s="127" t="s">
        <v>46</v>
      </c>
      <c r="Y26" s="53" t="s">
        <v>84</v>
      </c>
      <c r="Z26" s="53" t="s">
        <v>40</v>
      </c>
      <c r="AA26" s="53" t="s">
        <v>90</v>
      </c>
      <c r="AB26" s="127" t="s">
        <v>158</v>
      </c>
      <c r="AC26" s="34"/>
      <c r="AD26" s="34"/>
      <c r="AE26" s="35"/>
      <c r="AP26" s="27" t="s">
        <v>117</v>
      </c>
      <c r="AR26" s="23" t="s">
        <v>153</v>
      </c>
    </row>
    <row r="27" spans="1:48" x14ac:dyDescent="0.15">
      <c r="A27" s="127" t="s">
        <v>61</v>
      </c>
      <c r="B27" s="127" t="s">
        <v>235</v>
      </c>
      <c r="C27" s="53">
        <v>2019</v>
      </c>
      <c r="D27" s="128" t="s">
        <v>313</v>
      </c>
      <c r="E27" s="127" t="s">
        <v>133</v>
      </c>
      <c r="F27" s="127" t="s">
        <v>300</v>
      </c>
      <c r="G27" s="127" t="s">
        <v>42</v>
      </c>
      <c r="H27" s="53" t="s">
        <v>127</v>
      </c>
      <c r="I27" s="53" t="s">
        <v>159</v>
      </c>
      <c r="J27" s="127" t="s">
        <v>80</v>
      </c>
      <c r="K27" s="53" t="s">
        <v>45</v>
      </c>
      <c r="L27" s="53">
        <v>2</v>
      </c>
      <c r="N27" s="53">
        <v>5</v>
      </c>
      <c r="O27" s="53">
        <v>1.6</v>
      </c>
      <c r="P27" s="34">
        <v>2</v>
      </c>
      <c r="Q27" s="76">
        <f t="shared" si="0"/>
        <v>1.8</v>
      </c>
      <c r="R27" s="53">
        <v>14.2</v>
      </c>
      <c r="S27" s="53">
        <v>86</v>
      </c>
      <c r="T27" s="16">
        <f t="shared" si="1"/>
        <v>36</v>
      </c>
      <c r="U27" s="53">
        <v>430</v>
      </c>
      <c r="V27" s="129">
        <f t="shared" si="2"/>
        <v>3096</v>
      </c>
      <c r="W27" s="53">
        <v>12</v>
      </c>
      <c r="X27" s="127" t="s">
        <v>46</v>
      </c>
      <c r="Y27" s="53" t="s">
        <v>84</v>
      </c>
      <c r="Z27" s="53" t="s">
        <v>40</v>
      </c>
      <c r="AA27" s="53" t="s">
        <v>90</v>
      </c>
      <c r="AB27" s="127" t="s">
        <v>158</v>
      </c>
      <c r="AC27" s="34"/>
      <c r="AD27" s="34"/>
      <c r="AE27" s="28"/>
      <c r="AP27" s="27" t="s">
        <v>118</v>
      </c>
      <c r="AR27" s="23"/>
    </row>
    <row r="28" spans="1:48" x14ac:dyDescent="0.15">
      <c r="A28" s="127" t="s">
        <v>61</v>
      </c>
      <c r="B28" s="127" t="s">
        <v>235</v>
      </c>
      <c r="C28" s="53">
        <v>2019</v>
      </c>
      <c r="D28" s="128" t="s">
        <v>313</v>
      </c>
      <c r="E28" s="127" t="s">
        <v>133</v>
      </c>
      <c r="F28" s="127" t="s">
        <v>300</v>
      </c>
      <c r="G28" s="127" t="s">
        <v>42</v>
      </c>
      <c r="H28" s="53" t="s">
        <v>127</v>
      </c>
      <c r="I28" s="53" t="s">
        <v>159</v>
      </c>
      <c r="J28" s="127" t="s">
        <v>80</v>
      </c>
      <c r="K28" s="53" t="s">
        <v>45</v>
      </c>
      <c r="L28" s="53">
        <v>3</v>
      </c>
      <c r="N28" s="53">
        <v>5</v>
      </c>
      <c r="O28" s="53">
        <v>1.7</v>
      </c>
      <c r="P28" s="34">
        <v>1.4</v>
      </c>
      <c r="Q28" s="76">
        <f t="shared" si="0"/>
        <v>1.5499999999999998</v>
      </c>
      <c r="R28" s="53">
        <v>14.4</v>
      </c>
      <c r="S28" s="53">
        <v>80.5</v>
      </c>
      <c r="T28" s="16">
        <f t="shared" si="1"/>
        <v>39</v>
      </c>
      <c r="U28" s="53">
        <v>430</v>
      </c>
      <c r="V28" s="129">
        <f t="shared" si="2"/>
        <v>3354</v>
      </c>
      <c r="W28" s="53">
        <v>12</v>
      </c>
      <c r="X28" s="127" t="s">
        <v>46</v>
      </c>
      <c r="Y28" s="53" t="s">
        <v>84</v>
      </c>
      <c r="Z28" s="53" t="s">
        <v>40</v>
      </c>
      <c r="AA28" s="53" t="s">
        <v>90</v>
      </c>
      <c r="AB28" s="127" t="s">
        <v>158</v>
      </c>
      <c r="AC28" s="34"/>
      <c r="AD28" s="34"/>
      <c r="AP28" s="27"/>
      <c r="AR28" s="23"/>
    </row>
    <row r="29" spans="1:48" x14ac:dyDescent="0.15">
      <c r="A29" s="127" t="s">
        <v>61</v>
      </c>
      <c r="B29" s="127" t="s">
        <v>235</v>
      </c>
      <c r="C29" s="53">
        <v>2019</v>
      </c>
      <c r="D29" s="128" t="s">
        <v>313</v>
      </c>
      <c r="E29" s="127" t="s">
        <v>301</v>
      </c>
      <c r="F29" s="127" t="s">
        <v>302</v>
      </c>
      <c r="G29" s="127" t="s">
        <v>42</v>
      </c>
      <c r="H29" s="53" t="s">
        <v>163</v>
      </c>
      <c r="I29" s="53" t="s">
        <v>159</v>
      </c>
      <c r="J29" s="127" t="s">
        <v>38</v>
      </c>
      <c r="K29" s="53" t="s">
        <v>160</v>
      </c>
      <c r="L29" s="53">
        <v>1</v>
      </c>
      <c r="N29" s="53">
        <v>1</v>
      </c>
      <c r="O29" s="53">
        <v>1.25</v>
      </c>
      <c r="P29" s="34">
        <v>1.2</v>
      </c>
      <c r="Q29" s="76">
        <f t="shared" si="0"/>
        <v>1.2250000000000001</v>
      </c>
      <c r="R29" s="53">
        <v>14.2</v>
      </c>
      <c r="S29" s="53">
        <v>117</v>
      </c>
      <c r="T29" s="16">
        <f t="shared" si="1"/>
        <v>30</v>
      </c>
      <c r="U29" s="53">
        <v>138</v>
      </c>
      <c r="V29" s="129">
        <f t="shared" si="2"/>
        <v>4140</v>
      </c>
      <c r="W29" s="53">
        <v>8</v>
      </c>
      <c r="X29" s="127" t="s">
        <v>39</v>
      </c>
      <c r="Y29" s="53" t="s">
        <v>84</v>
      </c>
      <c r="Z29" s="53" t="s">
        <v>69</v>
      </c>
      <c r="AA29" s="53" t="s">
        <v>106</v>
      </c>
      <c r="AB29" s="127" t="s">
        <v>158</v>
      </c>
      <c r="AC29" s="34"/>
    </row>
    <row r="30" spans="1:48" x14ac:dyDescent="0.15">
      <c r="A30" s="127" t="s">
        <v>61</v>
      </c>
      <c r="B30" s="127" t="s">
        <v>235</v>
      </c>
      <c r="C30" s="53">
        <v>2019</v>
      </c>
      <c r="D30" s="128" t="s">
        <v>313</v>
      </c>
      <c r="E30" s="127" t="s">
        <v>301</v>
      </c>
      <c r="F30" s="127" t="s">
        <v>302</v>
      </c>
      <c r="G30" s="127" t="s">
        <v>42</v>
      </c>
      <c r="H30" s="53" t="s">
        <v>163</v>
      </c>
      <c r="I30" s="53" t="s">
        <v>159</v>
      </c>
      <c r="J30" s="127" t="s">
        <v>38</v>
      </c>
      <c r="K30" s="53" t="s">
        <v>160</v>
      </c>
      <c r="L30" s="53">
        <v>2</v>
      </c>
      <c r="N30" s="53">
        <v>1</v>
      </c>
      <c r="O30" s="53">
        <v>1.2</v>
      </c>
      <c r="P30" s="34">
        <v>1.1000000000000001</v>
      </c>
      <c r="Q30" s="76">
        <f t="shared" si="0"/>
        <v>1.1499999999999999</v>
      </c>
      <c r="R30" s="53">
        <v>14.5</v>
      </c>
      <c r="S30" s="53">
        <v>120</v>
      </c>
      <c r="T30" s="16">
        <f t="shared" si="1"/>
        <v>30</v>
      </c>
      <c r="U30" s="53">
        <v>138</v>
      </c>
      <c r="V30" s="129">
        <f t="shared" si="2"/>
        <v>4140</v>
      </c>
      <c r="W30" s="53">
        <v>8</v>
      </c>
      <c r="X30" s="127" t="s">
        <v>39</v>
      </c>
      <c r="Y30" s="53" t="s">
        <v>84</v>
      </c>
      <c r="Z30" s="53" t="s">
        <v>69</v>
      </c>
      <c r="AA30" s="53" t="s">
        <v>106</v>
      </c>
      <c r="AB30" s="127" t="s">
        <v>158</v>
      </c>
      <c r="AC30" s="34"/>
    </row>
    <row r="31" spans="1:48" x14ac:dyDescent="0.15">
      <c r="A31" s="127" t="s">
        <v>61</v>
      </c>
      <c r="B31" s="127" t="s">
        <v>235</v>
      </c>
      <c r="C31" s="53">
        <v>2019</v>
      </c>
      <c r="D31" s="128" t="s">
        <v>313</v>
      </c>
      <c r="E31" s="127" t="s">
        <v>301</v>
      </c>
      <c r="F31" s="127" t="s">
        <v>302</v>
      </c>
      <c r="G31" s="127" t="s">
        <v>42</v>
      </c>
      <c r="H31" s="53" t="s">
        <v>163</v>
      </c>
      <c r="I31" s="53" t="s">
        <v>159</v>
      </c>
      <c r="J31" s="127" t="s">
        <v>38</v>
      </c>
      <c r="K31" s="53" t="s">
        <v>160</v>
      </c>
      <c r="L31" s="53">
        <v>3</v>
      </c>
      <c r="N31" s="53">
        <v>1</v>
      </c>
      <c r="O31" s="53">
        <v>1.3</v>
      </c>
      <c r="P31" s="34">
        <v>1.2</v>
      </c>
      <c r="Q31" s="76">
        <f t="shared" si="0"/>
        <v>1.25</v>
      </c>
      <c r="R31" s="53">
        <v>14.5</v>
      </c>
      <c r="S31" s="53">
        <v>117</v>
      </c>
      <c r="T31" s="16">
        <f t="shared" si="1"/>
        <v>30</v>
      </c>
      <c r="U31" s="53">
        <v>138</v>
      </c>
      <c r="V31" s="129">
        <f t="shared" si="2"/>
        <v>4140</v>
      </c>
      <c r="W31" s="53">
        <v>8</v>
      </c>
      <c r="X31" s="127" t="s">
        <v>39</v>
      </c>
      <c r="Y31" s="53" t="s">
        <v>84</v>
      </c>
      <c r="Z31" s="53" t="s">
        <v>69</v>
      </c>
      <c r="AA31" s="53" t="s">
        <v>106</v>
      </c>
      <c r="AB31" s="127" t="s">
        <v>158</v>
      </c>
      <c r="AC31" s="34"/>
    </row>
    <row r="32" spans="1:48" x14ac:dyDescent="0.15">
      <c r="A32" s="127" t="s">
        <v>61</v>
      </c>
      <c r="B32" s="127" t="s">
        <v>235</v>
      </c>
      <c r="C32" s="53">
        <v>2019</v>
      </c>
      <c r="D32" s="128" t="s">
        <v>313</v>
      </c>
      <c r="E32" s="127" t="s">
        <v>301</v>
      </c>
      <c r="F32" s="127" t="s">
        <v>302</v>
      </c>
      <c r="G32" s="127" t="s">
        <v>42</v>
      </c>
      <c r="H32" s="53" t="s">
        <v>127</v>
      </c>
      <c r="I32" s="53" t="s">
        <v>159</v>
      </c>
      <c r="J32" s="127" t="s">
        <v>80</v>
      </c>
      <c r="K32" s="53" t="s">
        <v>63</v>
      </c>
      <c r="L32" s="53">
        <v>1</v>
      </c>
      <c r="N32" s="53">
        <v>5</v>
      </c>
      <c r="O32" s="53">
        <v>1</v>
      </c>
      <c r="P32" s="53">
        <v>0.75</v>
      </c>
      <c r="Q32" s="76">
        <f t="shared" si="0"/>
        <v>0.875</v>
      </c>
      <c r="R32" s="53">
        <v>14.4</v>
      </c>
      <c r="S32" s="53">
        <v>68.5</v>
      </c>
      <c r="T32" s="16">
        <f t="shared" si="1"/>
        <v>50</v>
      </c>
      <c r="U32" s="53">
        <v>430</v>
      </c>
      <c r="V32" s="129">
        <f t="shared" si="2"/>
        <v>4300</v>
      </c>
      <c r="W32" s="53">
        <v>8</v>
      </c>
      <c r="X32" s="127" t="s">
        <v>39</v>
      </c>
      <c r="Y32" s="53" t="s">
        <v>84</v>
      </c>
      <c r="Z32" s="53" t="s">
        <v>69</v>
      </c>
      <c r="AA32" s="53" t="s">
        <v>106</v>
      </c>
      <c r="AB32" s="127" t="s">
        <v>158</v>
      </c>
      <c r="AC32" s="34"/>
    </row>
    <row r="33" spans="1:29" x14ac:dyDescent="0.15">
      <c r="A33" s="127" t="s">
        <v>61</v>
      </c>
      <c r="B33" s="127" t="s">
        <v>235</v>
      </c>
      <c r="C33" s="53">
        <v>2019</v>
      </c>
      <c r="D33" s="128" t="s">
        <v>313</v>
      </c>
      <c r="E33" s="127" t="s">
        <v>301</v>
      </c>
      <c r="F33" s="127" t="s">
        <v>302</v>
      </c>
      <c r="G33" s="127" t="s">
        <v>42</v>
      </c>
      <c r="H33" s="53" t="s">
        <v>127</v>
      </c>
      <c r="I33" s="53" t="s">
        <v>159</v>
      </c>
      <c r="J33" s="127" t="s">
        <v>80</v>
      </c>
      <c r="K33" s="53" t="s">
        <v>63</v>
      </c>
      <c r="L33" s="53">
        <v>2</v>
      </c>
      <c r="N33" s="53">
        <v>5</v>
      </c>
      <c r="O33" s="53">
        <v>0.7</v>
      </c>
      <c r="P33" s="53">
        <v>0.75</v>
      </c>
      <c r="Q33" s="76">
        <f t="shared" si="0"/>
        <v>0.72499999999999998</v>
      </c>
      <c r="R33" s="53">
        <v>14.6</v>
      </c>
      <c r="S33" s="53">
        <v>71</v>
      </c>
      <c r="T33" s="16">
        <f t="shared" si="1"/>
        <v>42</v>
      </c>
      <c r="U33" s="53">
        <v>430</v>
      </c>
      <c r="V33" s="129">
        <f t="shared" si="2"/>
        <v>3612</v>
      </c>
      <c r="W33" s="53">
        <v>8</v>
      </c>
      <c r="X33" s="127" t="s">
        <v>39</v>
      </c>
      <c r="Y33" s="53" t="s">
        <v>84</v>
      </c>
      <c r="Z33" s="53" t="s">
        <v>69</v>
      </c>
      <c r="AA33" s="53" t="s">
        <v>106</v>
      </c>
      <c r="AB33" s="127" t="s">
        <v>158</v>
      </c>
      <c r="AC33" s="34"/>
    </row>
    <row r="34" spans="1:29" x14ac:dyDescent="0.15">
      <c r="A34" s="127" t="s">
        <v>61</v>
      </c>
      <c r="B34" s="127" t="s">
        <v>235</v>
      </c>
      <c r="C34" s="53">
        <v>2019</v>
      </c>
      <c r="D34" s="128" t="s">
        <v>313</v>
      </c>
      <c r="E34" s="127" t="s">
        <v>301</v>
      </c>
      <c r="F34" s="127" t="s">
        <v>302</v>
      </c>
      <c r="G34" s="127" t="s">
        <v>42</v>
      </c>
      <c r="H34" s="53" t="s">
        <v>127</v>
      </c>
      <c r="I34" s="53" t="s">
        <v>159</v>
      </c>
      <c r="J34" s="127" t="s">
        <v>80</v>
      </c>
      <c r="K34" s="53" t="s">
        <v>63</v>
      </c>
      <c r="L34" s="53">
        <v>3</v>
      </c>
      <c r="N34" s="53">
        <v>5</v>
      </c>
      <c r="O34" s="53">
        <v>1</v>
      </c>
      <c r="P34" s="53">
        <v>0.75</v>
      </c>
      <c r="Q34" s="76">
        <f t="shared" si="0"/>
        <v>0.875</v>
      </c>
      <c r="R34" s="53">
        <v>14.5</v>
      </c>
      <c r="S34" s="53">
        <v>73</v>
      </c>
      <c r="T34" s="16">
        <f t="shared" si="1"/>
        <v>42</v>
      </c>
      <c r="U34" s="53">
        <v>430</v>
      </c>
      <c r="V34" s="129">
        <f t="shared" si="2"/>
        <v>3612</v>
      </c>
      <c r="W34" s="53">
        <v>8</v>
      </c>
      <c r="X34" s="127" t="s">
        <v>39</v>
      </c>
      <c r="Y34" s="53" t="s">
        <v>84</v>
      </c>
      <c r="Z34" s="53" t="s">
        <v>69</v>
      </c>
      <c r="AA34" s="53" t="s">
        <v>106</v>
      </c>
      <c r="AB34" s="127" t="s">
        <v>158</v>
      </c>
      <c r="AC34" s="34"/>
    </row>
    <row r="35" spans="1:29" x14ac:dyDescent="0.15">
      <c r="A35" s="127" t="s">
        <v>61</v>
      </c>
      <c r="B35" s="127" t="s">
        <v>235</v>
      </c>
      <c r="C35" s="53">
        <v>2019</v>
      </c>
      <c r="D35" s="128" t="s">
        <v>313</v>
      </c>
      <c r="E35" s="127" t="s">
        <v>303</v>
      </c>
      <c r="F35" s="127" t="s">
        <v>302</v>
      </c>
      <c r="G35" s="127" t="s">
        <v>42</v>
      </c>
      <c r="H35" s="53" t="s">
        <v>163</v>
      </c>
      <c r="I35" s="53" t="s">
        <v>159</v>
      </c>
      <c r="J35" s="127" t="s">
        <v>38</v>
      </c>
      <c r="K35" s="53" t="s">
        <v>160</v>
      </c>
      <c r="L35" s="53">
        <v>1</v>
      </c>
      <c r="N35" s="53">
        <v>1</v>
      </c>
      <c r="O35" s="53">
        <v>1.4</v>
      </c>
      <c r="P35" s="53">
        <v>1.25</v>
      </c>
      <c r="Q35" s="76">
        <f t="shared" si="0"/>
        <v>1.325</v>
      </c>
      <c r="R35" s="53">
        <v>14.5</v>
      </c>
      <c r="S35" s="53">
        <v>104.5</v>
      </c>
      <c r="T35" s="16">
        <f t="shared" si="1"/>
        <v>33</v>
      </c>
      <c r="U35" s="53">
        <v>128</v>
      </c>
      <c r="V35" s="129">
        <f t="shared" si="2"/>
        <v>4224</v>
      </c>
      <c r="W35" s="53">
        <v>12</v>
      </c>
      <c r="X35" s="127" t="s">
        <v>46</v>
      </c>
      <c r="Y35" s="53" t="s">
        <v>84</v>
      </c>
      <c r="Z35" s="53" t="s">
        <v>40</v>
      </c>
      <c r="AA35" s="53" t="s">
        <v>90</v>
      </c>
      <c r="AB35" s="127" t="s">
        <v>158</v>
      </c>
      <c r="AC35" s="34"/>
    </row>
    <row r="36" spans="1:29" x14ac:dyDescent="0.15">
      <c r="A36" s="127" t="s">
        <v>61</v>
      </c>
      <c r="B36" s="127" t="s">
        <v>235</v>
      </c>
      <c r="C36" s="53">
        <v>2019</v>
      </c>
      <c r="D36" s="128" t="s">
        <v>313</v>
      </c>
      <c r="E36" s="127" t="s">
        <v>303</v>
      </c>
      <c r="F36" s="127" t="s">
        <v>302</v>
      </c>
      <c r="G36" s="127" t="s">
        <v>42</v>
      </c>
      <c r="H36" s="53" t="s">
        <v>163</v>
      </c>
      <c r="I36" s="53" t="s">
        <v>159</v>
      </c>
      <c r="J36" s="127" t="s">
        <v>38</v>
      </c>
      <c r="K36" s="53" t="s">
        <v>160</v>
      </c>
      <c r="L36" s="53">
        <v>2</v>
      </c>
      <c r="N36" s="53">
        <v>1</v>
      </c>
      <c r="O36" s="53">
        <v>1.3</v>
      </c>
      <c r="P36" s="53">
        <v>1.25</v>
      </c>
      <c r="Q36" s="76">
        <f t="shared" si="0"/>
        <v>1.2749999999999999</v>
      </c>
      <c r="R36" s="53">
        <v>14.2</v>
      </c>
      <c r="S36" s="53">
        <v>109</v>
      </c>
      <c r="T36" s="16">
        <f t="shared" si="1"/>
        <v>33</v>
      </c>
      <c r="U36" s="53">
        <v>128</v>
      </c>
      <c r="V36" s="129">
        <f t="shared" si="2"/>
        <v>4224</v>
      </c>
      <c r="W36" s="53">
        <v>12</v>
      </c>
      <c r="X36" s="127" t="s">
        <v>46</v>
      </c>
      <c r="Y36" s="53" t="s">
        <v>84</v>
      </c>
      <c r="Z36" s="53" t="s">
        <v>40</v>
      </c>
      <c r="AA36" s="53" t="s">
        <v>90</v>
      </c>
      <c r="AB36" s="127" t="s">
        <v>158</v>
      </c>
      <c r="AC36" s="34"/>
    </row>
    <row r="37" spans="1:29" x14ac:dyDescent="0.15">
      <c r="A37" s="127" t="s">
        <v>61</v>
      </c>
      <c r="B37" s="127" t="s">
        <v>235</v>
      </c>
      <c r="C37" s="53">
        <v>2019</v>
      </c>
      <c r="D37" s="128" t="s">
        <v>313</v>
      </c>
      <c r="E37" s="127" t="s">
        <v>303</v>
      </c>
      <c r="F37" s="127" t="s">
        <v>302</v>
      </c>
      <c r="G37" s="127" t="s">
        <v>42</v>
      </c>
      <c r="H37" s="53" t="s">
        <v>163</v>
      </c>
      <c r="I37" s="53" t="s">
        <v>159</v>
      </c>
      <c r="J37" s="127" t="s">
        <v>38</v>
      </c>
      <c r="K37" s="53" t="s">
        <v>160</v>
      </c>
      <c r="L37" s="53">
        <v>3</v>
      </c>
      <c r="N37" s="53">
        <v>1</v>
      </c>
      <c r="O37" s="53">
        <v>1.25</v>
      </c>
      <c r="P37" s="53">
        <v>1.1000000000000001</v>
      </c>
      <c r="Q37" s="76">
        <f t="shared" si="0"/>
        <v>1.175</v>
      </c>
      <c r="R37" s="53">
        <v>14.1</v>
      </c>
      <c r="S37" s="53">
        <v>112.5</v>
      </c>
      <c r="T37" s="16">
        <f t="shared" si="1"/>
        <v>33</v>
      </c>
      <c r="U37" s="53">
        <v>128</v>
      </c>
      <c r="V37" s="129">
        <f t="shared" si="2"/>
        <v>4224</v>
      </c>
      <c r="W37" s="53">
        <v>12</v>
      </c>
      <c r="X37" s="127" t="s">
        <v>46</v>
      </c>
      <c r="Y37" s="53" t="s">
        <v>84</v>
      </c>
      <c r="Z37" s="53" t="s">
        <v>40</v>
      </c>
      <c r="AA37" s="53" t="s">
        <v>90</v>
      </c>
      <c r="AB37" s="127" t="s">
        <v>158</v>
      </c>
      <c r="AC37" s="34"/>
    </row>
    <row r="38" spans="1:29" x14ac:dyDescent="0.15">
      <c r="A38" s="127" t="s">
        <v>61</v>
      </c>
      <c r="B38" s="127" t="s">
        <v>235</v>
      </c>
      <c r="C38" s="53">
        <v>2019</v>
      </c>
      <c r="D38" s="128" t="s">
        <v>313</v>
      </c>
      <c r="E38" s="127" t="s">
        <v>303</v>
      </c>
      <c r="F38" s="127" t="s">
        <v>302</v>
      </c>
      <c r="G38" s="127" t="s">
        <v>42</v>
      </c>
      <c r="H38" s="53" t="s">
        <v>127</v>
      </c>
      <c r="I38" s="53" t="s">
        <v>159</v>
      </c>
      <c r="J38" s="127" t="s">
        <v>58</v>
      </c>
      <c r="K38" s="53" t="s">
        <v>59</v>
      </c>
      <c r="L38" s="53">
        <v>1</v>
      </c>
      <c r="N38" s="53">
        <v>5</v>
      </c>
      <c r="O38" s="53">
        <v>1.75</v>
      </c>
      <c r="P38" s="53">
        <v>1.4</v>
      </c>
      <c r="Q38" s="76">
        <f t="shared" si="0"/>
        <v>1.575</v>
      </c>
      <c r="R38" s="53">
        <v>13.6</v>
      </c>
      <c r="S38" s="53">
        <v>80.5</v>
      </c>
      <c r="T38" s="16">
        <f t="shared" si="1"/>
        <v>39</v>
      </c>
      <c r="U38" s="53">
        <v>429</v>
      </c>
      <c r="V38" s="129">
        <f t="shared" si="2"/>
        <v>3346.2</v>
      </c>
      <c r="W38" s="53">
        <v>12</v>
      </c>
      <c r="X38" s="127" t="s">
        <v>46</v>
      </c>
      <c r="Y38" s="53" t="s">
        <v>84</v>
      </c>
      <c r="Z38" s="53" t="s">
        <v>40</v>
      </c>
      <c r="AA38" s="53" t="s">
        <v>90</v>
      </c>
      <c r="AB38" s="127" t="s">
        <v>158</v>
      </c>
      <c r="AC38" s="34"/>
    </row>
    <row r="39" spans="1:29" x14ac:dyDescent="0.15">
      <c r="A39" s="127" t="s">
        <v>61</v>
      </c>
      <c r="B39" s="127" t="s">
        <v>235</v>
      </c>
      <c r="C39" s="53">
        <v>2019</v>
      </c>
      <c r="D39" s="128" t="s">
        <v>313</v>
      </c>
      <c r="E39" s="127" t="s">
        <v>303</v>
      </c>
      <c r="F39" s="127" t="s">
        <v>302</v>
      </c>
      <c r="G39" s="127" t="s">
        <v>42</v>
      </c>
      <c r="H39" s="53" t="s">
        <v>127</v>
      </c>
      <c r="I39" s="53" t="s">
        <v>159</v>
      </c>
      <c r="J39" s="127" t="s">
        <v>58</v>
      </c>
      <c r="K39" s="53" t="s">
        <v>59</v>
      </c>
      <c r="L39" s="53">
        <v>2</v>
      </c>
      <c r="N39" s="53">
        <v>5</v>
      </c>
      <c r="O39" s="53">
        <v>1.6</v>
      </c>
      <c r="P39" s="53">
        <v>1.4</v>
      </c>
      <c r="Q39" s="76">
        <f t="shared" si="0"/>
        <v>1.5</v>
      </c>
      <c r="R39" s="53">
        <v>14.1</v>
      </c>
      <c r="S39" s="53">
        <v>73.5</v>
      </c>
      <c r="T39" s="16">
        <f t="shared" si="1"/>
        <v>42</v>
      </c>
      <c r="U39" s="53">
        <v>429</v>
      </c>
      <c r="V39" s="129">
        <f t="shared" si="2"/>
        <v>3603.6</v>
      </c>
      <c r="W39" s="53">
        <v>12</v>
      </c>
      <c r="X39" s="127" t="s">
        <v>46</v>
      </c>
      <c r="Y39" s="53" t="s">
        <v>84</v>
      </c>
      <c r="Z39" s="53" t="s">
        <v>40</v>
      </c>
      <c r="AA39" s="53" t="s">
        <v>90</v>
      </c>
      <c r="AB39" s="127" t="s">
        <v>158</v>
      </c>
      <c r="AC39" s="34"/>
    </row>
    <row r="40" spans="1:29" x14ac:dyDescent="0.15">
      <c r="A40" s="127" t="s">
        <v>61</v>
      </c>
      <c r="B40" s="127" t="s">
        <v>235</v>
      </c>
      <c r="C40" s="53">
        <v>2019</v>
      </c>
      <c r="D40" s="128" t="s">
        <v>313</v>
      </c>
      <c r="E40" s="127" t="s">
        <v>303</v>
      </c>
      <c r="F40" s="127" t="s">
        <v>302</v>
      </c>
      <c r="G40" s="127" t="s">
        <v>42</v>
      </c>
      <c r="H40" s="53" t="s">
        <v>127</v>
      </c>
      <c r="I40" s="53" t="s">
        <v>159</v>
      </c>
      <c r="J40" s="127" t="s">
        <v>58</v>
      </c>
      <c r="K40" s="53" t="s">
        <v>59</v>
      </c>
      <c r="L40" s="53">
        <v>3</v>
      </c>
      <c r="N40" s="53">
        <v>5</v>
      </c>
      <c r="O40" s="53">
        <v>1.5</v>
      </c>
      <c r="P40" s="53">
        <v>1.4</v>
      </c>
      <c r="Q40" s="76">
        <f t="shared" si="0"/>
        <v>1.45</v>
      </c>
      <c r="R40" s="53">
        <v>13.7</v>
      </c>
      <c r="S40" s="53">
        <v>71.5</v>
      </c>
      <c r="T40" s="16">
        <f t="shared" si="1"/>
        <v>42</v>
      </c>
      <c r="U40" s="53">
        <v>429</v>
      </c>
      <c r="V40" s="129">
        <f t="shared" si="2"/>
        <v>3603.6</v>
      </c>
      <c r="W40" s="53">
        <v>12</v>
      </c>
      <c r="X40" s="127" t="s">
        <v>46</v>
      </c>
      <c r="Y40" s="53" t="s">
        <v>84</v>
      </c>
      <c r="Z40" s="53" t="s">
        <v>40</v>
      </c>
      <c r="AA40" s="53" t="s">
        <v>90</v>
      </c>
      <c r="AB40" s="127" t="s">
        <v>158</v>
      </c>
      <c r="AC40" s="34"/>
    </row>
    <row r="41" spans="1:29" x14ac:dyDescent="0.15">
      <c r="A41" s="127" t="s">
        <v>61</v>
      </c>
      <c r="B41" s="127" t="s">
        <v>235</v>
      </c>
      <c r="C41" s="53">
        <v>2019</v>
      </c>
      <c r="D41" s="128" t="s">
        <v>313</v>
      </c>
      <c r="E41" s="127" t="s">
        <v>303</v>
      </c>
      <c r="F41" s="127" t="s">
        <v>302</v>
      </c>
      <c r="G41" s="127" t="s">
        <v>42</v>
      </c>
      <c r="H41" s="53" t="s">
        <v>127</v>
      </c>
      <c r="I41" s="53" t="s">
        <v>159</v>
      </c>
      <c r="J41" s="127" t="s">
        <v>80</v>
      </c>
      <c r="K41" s="53" t="s">
        <v>45</v>
      </c>
      <c r="L41" s="53">
        <v>1</v>
      </c>
      <c r="N41" s="53">
        <v>5</v>
      </c>
      <c r="O41" s="53">
        <v>1.25</v>
      </c>
      <c r="P41" s="53">
        <v>1.25</v>
      </c>
      <c r="Q41" s="76">
        <f t="shared" si="0"/>
        <v>1.25</v>
      </c>
      <c r="R41" s="53">
        <v>14.6</v>
      </c>
      <c r="S41" s="53">
        <v>86.5</v>
      </c>
      <c r="T41" s="16">
        <f t="shared" si="1"/>
        <v>36</v>
      </c>
      <c r="U41" s="53">
        <v>429</v>
      </c>
      <c r="V41" s="129">
        <f t="shared" si="2"/>
        <v>3088.7999999999997</v>
      </c>
      <c r="W41" s="53">
        <v>12</v>
      </c>
      <c r="X41" s="127" t="s">
        <v>46</v>
      </c>
      <c r="Y41" s="53" t="s">
        <v>84</v>
      </c>
      <c r="Z41" s="53" t="s">
        <v>40</v>
      </c>
      <c r="AA41" s="53" t="s">
        <v>90</v>
      </c>
      <c r="AB41" s="127" t="s">
        <v>158</v>
      </c>
      <c r="AC41" s="34"/>
    </row>
    <row r="42" spans="1:29" x14ac:dyDescent="0.15">
      <c r="A42" s="127" t="s">
        <v>61</v>
      </c>
      <c r="B42" s="127" t="s">
        <v>235</v>
      </c>
      <c r="C42" s="53">
        <v>2019</v>
      </c>
      <c r="D42" s="128" t="s">
        <v>313</v>
      </c>
      <c r="E42" s="127" t="s">
        <v>303</v>
      </c>
      <c r="F42" s="127" t="s">
        <v>302</v>
      </c>
      <c r="G42" s="127" t="s">
        <v>42</v>
      </c>
      <c r="H42" s="53" t="s">
        <v>127</v>
      </c>
      <c r="I42" s="53" t="s">
        <v>159</v>
      </c>
      <c r="J42" s="127" t="s">
        <v>80</v>
      </c>
      <c r="K42" s="53" t="s">
        <v>45</v>
      </c>
      <c r="L42" s="53">
        <v>2</v>
      </c>
      <c r="N42" s="53">
        <v>5</v>
      </c>
      <c r="O42" s="53">
        <v>1.3</v>
      </c>
      <c r="P42" s="53">
        <v>1</v>
      </c>
      <c r="Q42" s="76">
        <f t="shared" si="0"/>
        <v>1.1499999999999999</v>
      </c>
      <c r="R42" s="53">
        <v>14.5</v>
      </c>
      <c r="S42" s="53">
        <v>91</v>
      </c>
      <c r="T42" s="16">
        <f t="shared" si="1"/>
        <v>36</v>
      </c>
      <c r="U42" s="53">
        <v>429</v>
      </c>
      <c r="V42" s="129">
        <f t="shared" si="2"/>
        <v>3088.7999999999997</v>
      </c>
      <c r="W42" s="53">
        <v>12</v>
      </c>
      <c r="X42" s="127" t="s">
        <v>46</v>
      </c>
      <c r="Y42" s="53" t="s">
        <v>84</v>
      </c>
      <c r="Z42" s="53" t="s">
        <v>40</v>
      </c>
      <c r="AA42" s="53" t="s">
        <v>90</v>
      </c>
      <c r="AB42" s="127" t="s">
        <v>158</v>
      </c>
      <c r="AC42" s="34"/>
    </row>
    <row r="43" spans="1:29" x14ac:dyDescent="0.15">
      <c r="A43" s="127" t="s">
        <v>61</v>
      </c>
      <c r="B43" s="127" t="s">
        <v>235</v>
      </c>
      <c r="C43" s="53">
        <v>2019</v>
      </c>
      <c r="D43" s="128" t="s">
        <v>313</v>
      </c>
      <c r="E43" s="127" t="s">
        <v>303</v>
      </c>
      <c r="F43" s="127" t="s">
        <v>302</v>
      </c>
      <c r="G43" s="127" t="s">
        <v>42</v>
      </c>
      <c r="H43" s="53" t="s">
        <v>127</v>
      </c>
      <c r="I43" s="53" t="s">
        <v>159</v>
      </c>
      <c r="J43" s="127" t="s">
        <v>80</v>
      </c>
      <c r="K43" s="53" t="s">
        <v>45</v>
      </c>
      <c r="L43" s="53">
        <v>3</v>
      </c>
      <c r="N43" s="53">
        <v>5</v>
      </c>
      <c r="O43" s="53">
        <v>1.5</v>
      </c>
      <c r="P43" s="53">
        <v>1.25</v>
      </c>
      <c r="Q43" s="76">
        <f t="shared" si="0"/>
        <v>1.375</v>
      </c>
      <c r="R43" s="53">
        <v>14.5</v>
      </c>
      <c r="S43" s="53">
        <v>92</v>
      </c>
      <c r="T43" s="16">
        <f t="shared" si="1"/>
        <v>36</v>
      </c>
      <c r="U43" s="53">
        <v>429</v>
      </c>
      <c r="V43" s="129">
        <f t="shared" si="2"/>
        <v>3088.7999999999997</v>
      </c>
      <c r="W43" s="53">
        <v>12</v>
      </c>
      <c r="X43" s="127" t="s">
        <v>46</v>
      </c>
      <c r="Y43" s="53" t="s">
        <v>84</v>
      </c>
      <c r="Z43" s="53" t="s">
        <v>40</v>
      </c>
      <c r="AA43" s="53" t="s">
        <v>90</v>
      </c>
      <c r="AB43" s="127" t="s">
        <v>158</v>
      </c>
      <c r="AC43" s="34"/>
    </row>
    <row r="44" spans="1:29" x14ac:dyDescent="0.15">
      <c r="A44" s="127"/>
      <c r="B44" s="127"/>
      <c r="D44" s="128"/>
      <c r="E44" s="127"/>
      <c r="F44" s="127"/>
      <c r="G44" s="127"/>
      <c r="J44" s="127"/>
      <c r="Q44" s="76" t="str">
        <f t="shared" si="0"/>
        <v/>
      </c>
      <c r="T44" s="16" t="str">
        <f t="shared" si="1"/>
        <v/>
      </c>
      <c r="V44" s="129" t="str">
        <f t="shared" si="2"/>
        <v/>
      </c>
      <c r="X44" s="127"/>
      <c r="AB44" s="127"/>
    </row>
    <row r="45" spans="1:29" x14ac:dyDescent="0.15">
      <c r="A45" s="127"/>
      <c r="B45" s="127"/>
      <c r="D45" s="128"/>
      <c r="E45" s="127"/>
      <c r="F45" s="127"/>
      <c r="G45" s="127"/>
      <c r="J45" s="127"/>
      <c r="Q45" s="76" t="str">
        <f t="shared" si="0"/>
        <v/>
      </c>
      <c r="T45" s="16" t="str">
        <f t="shared" si="1"/>
        <v/>
      </c>
      <c r="V45" s="129" t="str">
        <f t="shared" si="2"/>
        <v/>
      </c>
      <c r="X45" s="127"/>
      <c r="AB45" s="127"/>
    </row>
    <row r="46" spans="1:29" x14ac:dyDescent="0.15">
      <c r="A46" s="127"/>
      <c r="B46" s="127"/>
      <c r="D46" s="128"/>
      <c r="E46" s="127"/>
      <c r="F46" s="127"/>
      <c r="G46" s="127"/>
      <c r="J46" s="127"/>
      <c r="Q46" s="76" t="str">
        <f t="shared" si="0"/>
        <v/>
      </c>
      <c r="T46" s="16" t="str">
        <f t="shared" si="1"/>
        <v/>
      </c>
      <c r="V46" s="129" t="str">
        <f t="shared" si="2"/>
        <v/>
      </c>
      <c r="X46" s="127"/>
      <c r="AB46" s="127"/>
    </row>
    <row r="47" spans="1:29" x14ac:dyDescent="0.15">
      <c r="A47" s="127"/>
      <c r="B47" s="127"/>
      <c r="D47" s="128"/>
      <c r="E47" s="127"/>
      <c r="F47" s="127"/>
      <c r="G47" s="127"/>
      <c r="J47" s="127"/>
      <c r="Q47" s="76" t="str">
        <f t="shared" si="0"/>
        <v/>
      </c>
      <c r="T47" s="16" t="str">
        <f t="shared" si="1"/>
        <v/>
      </c>
      <c r="V47" s="129" t="str">
        <f t="shared" si="2"/>
        <v/>
      </c>
      <c r="X47" s="127"/>
      <c r="AB47" s="127"/>
      <c r="AC47" s="34"/>
    </row>
    <row r="48" spans="1:29" x14ac:dyDescent="0.15">
      <c r="A48" s="127"/>
      <c r="B48" s="127"/>
      <c r="D48" s="128"/>
      <c r="E48" s="127"/>
      <c r="F48" s="127"/>
      <c r="G48" s="127"/>
      <c r="J48" s="127"/>
      <c r="Q48" s="76" t="str">
        <f t="shared" si="0"/>
        <v/>
      </c>
      <c r="T48" s="16" t="str">
        <f t="shared" si="1"/>
        <v/>
      </c>
      <c r="V48" s="129" t="str">
        <f t="shared" si="2"/>
        <v/>
      </c>
      <c r="X48" s="127"/>
      <c r="AB48" s="127"/>
      <c r="AC48" s="34"/>
    </row>
    <row r="49" spans="1:29" x14ac:dyDescent="0.15">
      <c r="A49" s="127"/>
      <c r="B49" s="127"/>
      <c r="D49" s="128"/>
      <c r="E49" s="127"/>
      <c r="F49" s="127"/>
      <c r="G49" s="127"/>
      <c r="J49" s="127"/>
      <c r="Q49" s="76" t="str">
        <f t="shared" si="0"/>
        <v/>
      </c>
      <c r="T49" s="16" t="str">
        <f t="shared" si="1"/>
        <v/>
      </c>
      <c r="V49" s="129" t="str">
        <f t="shared" si="2"/>
        <v/>
      </c>
      <c r="X49" s="127"/>
      <c r="AB49" s="127"/>
      <c r="AC49" s="34"/>
    </row>
    <row r="50" spans="1:29" x14ac:dyDescent="0.15">
      <c r="A50" s="127"/>
      <c r="B50" s="127"/>
      <c r="D50" s="128"/>
      <c r="E50" s="127"/>
      <c r="F50" s="127"/>
      <c r="G50" s="127"/>
      <c r="J50" s="127"/>
      <c r="Q50" s="76" t="str">
        <f t="shared" si="0"/>
        <v/>
      </c>
      <c r="T50" s="16" t="str">
        <f t="shared" si="1"/>
        <v/>
      </c>
      <c r="V50" s="129" t="str">
        <f t="shared" si="2"/>
        <v/>
      </c>
      <c r="X50" s="127"/>
      <c r="AB50" s="127"/>
      <c r="AC50" s="34"/>
    </row>
    <row r="51" spans="1:29" x14ac:dyDescent="0.15">
      <c r="A51" s="127"/>
      <c r="B51" s="127"/>
      <c r="C51" s="127"/>
      <c r="D51" s="128"/>
      <c r="E51" s="127"/>
      <c r="F51" s="127"/>
      <c r="G51" s="127"/>
      <c r="J51" s="127"/>
      <c r="Q51" s="76" t="str">
        <f t="shared" si="0"/>
        <v/>
      </c>
      <c r="T51" s="16" t="str">
        <f t="shared" si="1"/>
        <v/>
      </c>
      <c r="V51" s="129" t="str">
        <f t="shared" si="2"/>
        <v/>
      </c>
      <c r="X51" s="127"/>
      <c r="AB51" s="127"/>
      <c r="AC51" s="34"/>
    </row>
    <row r="52" spans="1:29" x14ac:dyDescent="0.15">
      <c r="A52" s="127"/>
      <c r="B52" s="127"/>
      <c r="C52" s="127"/>
      <c r="D52" s="128"/>
      <c r="E52" s="127"/>
      <c r="F52" s="127"/>
      <c r="G52" s="127"/>
      <c r="J52" s="127"/>
      <c r="Q52" s="76" t="str">
        <f t="shared" si="0"/>
        <v/>
      </c>
      <c r="T52" s="16" t="str">
        <f t="shared" si="1"/>
        <v/>
      </c>
      <c r="V52" s="129" t="str">
        <f t="shared" si="2"/>
        <v/>
      </c>
      <c r="X52" s="127"/>
      <c r="AB52" s="127"/>
      <c r="AC52" s="34"/>
    </row>
    <row r="53" spans="1:29" x14ac:dyDescent="0.15">
      <c r="A53" s="127"/>
      <c r="B53" s="127"/>
      <c r="C53" s="127"/>
      <c r="D53" s="128"/>
      <c r="E53" s="127"/>
      <c r="F53" s="127"/>
      <c r="G53" s="127"/>
      <c r="J53" s="127"/>
      <c r="Q53" s="76" t="str">
        <f t="shared" si="0"/>
        <v/>
      </c>
      <c r="T53" s="16" t="str">
        <f t="shared" si="1"/>
        <v/>
      </c>
      <c r="V53" s="129" t="str">
        <f t="shared" si="2"/>
        <v/>
      </c>
      <c r="X53" s="127"/>
      <c r="AB53" s="127"/>
      <c r="AC53" s="34"/>
    </row>
    <row r="54" spans="1:29" x14ac:dyDescent="0.15">
      <c r="A54" s="127"/>
      <c r="B54" s="127"/>
      <c r="C54" s="127"/>
      <c r="D54" s="128"/>
      <c r="E54" s="127"/>
      <c r="F54" s="127"/>
      <c r="G54" s="127"/>
      <c r="J54" s="127"/>
      <c r="Q54" s="76" t="str">
        <f t="shared" si="0"/>
        <v/>
      </c>
      <c r="T54" s="16" t="str">
        <f t="shared" si="1"/>
        <v/>
      </c>
      <c r="V54" s="129" t="str">
        <f t="shared" si="2"/>
        <v/>
      </c>
      <c r="X54" s="127"/>
      <c r="AB54" s="127"/>
      <c r="AC54" s="34"/>
    </row>
    <row r="55" spans="1:29" x14ac:dyDescent="0.15">
      <c r="A55" s="127"/>
      <c r="B55" s="127"/>
      <c r="C55" s="127"/>
      <c r="D55" s="128"/>
      <c r="E55" s="127"/>
      <c r="F55" s="127"/>
      <c r="G55" s="127"/>
      <c r="J55" s="127"/>
      <c r="Q55" s="76" t="str">
        <f t="shared" si="0"/>
        <v/>
      </c>
      <c r="T55" s="16" t="str">
        <f t="shared" si="1"/>
        <v/>
      </c>
      <c r="V55" s="129" t="str">
        <f t="shared" si="2"/>
        <v/>
      </c>
      <c r="X55" s="127"/>
      <c r="AB55" s="127"/>
      <c r="AC55" s="34"/>
    </row>
    <row r="56" spans="1:29" x14ac:dyDescent="0.15">
      <c r="A56" s="127"/>
      <c r="B56" s="127"/>
      <c r="C56" s="127"/>
      <c r="D56" s="128"/>
      <c r="E56" s="127"/>
      <c r="F56" s="127"/>
      <c r="G56" s="127"/>
      <c r="J56" s="127"/>
      <c r="Q56" s="76" t="str">
        <f t="shared" si="0"/>
        <v/>
      </c>
      <c r="T56" s="16" t="str">
        <f t="shared" si="1"/>
        <v/>
      </c>
      <c r="V56" s="129" t="str">
        <f t="shared" si="2"/>
        <v/>
      </c>
      <c r="X56" s="127"/>
      <c r="AB56" s="127"/>
      <c r="AC56" s="34"/>
    </row>
    <row r="57" spans="1:29" x14ac:dyDescent="0.15">
      <c r="A57" s="127"/>
      <c r="B57" s="127"/>
      <c r="C57" s="127"/>
      <c r="D57" s="128"/>
      <c r="E57" s="127"/>
      <c r="F57" s="127"/>
      <c r="G57" s="127"/>
      <c r="J57" s="127"/>
      <c r="Q57" s="76" t="str">
        <f t="shared" si="0"/>
        <v/>
      </c>
      <c r="T57" s="16" t="str">
        <f t="shared" si="1"/>
        <v/>
      </c>
      <c r="V57" s="129" t="str">
        <f t="shared" si="2"/>
        <v/>
      </c>
      <c r="X57" s="127"/>
      <c r="AB57" s="127"/>
      <c r="AC57" s="34"/>
    </row>
    <row r="58" spans="1:29" x14ac:dyDescent="0.15">
      <c r="A58" s="127"/>
      <c r="B58" s="127"/>
      <c r="C58" s="127"/>
      <c r="D58" s="128"/>
      <c r="E58" s="127"/>
      <c r="F58" s="127"/>
      <c r="G58" s="127"/>
      <c r="J58" s="127"/>
      <c r="Q58" s="76" t="str">
        <f t="shared" si="0"/>
        <v/>
      </c>
      <c r="T58" s="16" t="str">
        <f t="shared" si="1"/>
        <v/>
      </c>
      <c r="V58" s="129" t="str">
        <f t="shared" si="2"/>
        <v/>
      </c>
      <c r="X58" s="127"/>
      <c r="AB58" s="127"/>
      <c r="AC58" s="34"/>
    </row>
    <row r="59" spans="1:29" x14ac:dyDescent="0.15">
      <c r="A59" s="127"/>
      <c r="B59" s="127"/>
      <c r="C59" s="127"/>
      <c r="D59" s="128"/>
      <c r="E59" s="127"/>
      <c r="F59" s="127"/>
      <c r="G59" s="127"/>
      <c r="J59" s="127"/>
      <c r="Q59" s="76" t="str">
        <f t="shared" si="0"/>
        <v/>
      </c>
      <c r="T59" s="16" t="str">
        <f t="shared" si="1"/>
        <v/>
      </c>
      <c r="V59" s="129" t="str">
        <f t="shared" si="2"/>
        <v/>
      </c>
      <c r="X59" s="127"/>
      <c r="AB59" s="127"/>
    </row>
    <row r="60" spans="1:29" x14ac:dyDescent="0.15">
      <c r="A60" s="127"/>
      <c r="B60" s="127"/>
      <c r="C60" s="127"/>
      <c r="D60" s="128"/>
      <c r="E60" s="127"/>
      <c r="F60" s="127"/>
      <c r="G60" s="127"/>
      <c r="J60" s="127"/>
      <c r="Q60" s="76" t="str">
        <f t="shared" si="0"/>
        <v/>
      </c>
      <c r="T60" s="16" t="str">
        <f t="shared" si="1"/>
        <v/>
      </c>
      <c r="V60" s="129" t="str">
        <f t="shared" si="2"/>
        <v/>
      </c>
      <c r="X60" s="127"/>
      <c r="AB60" s="127"/>
    </row>
    <row r="61" spans="1:29" x14ac:dyDescent="0.15">
      <c r="A61" s="127"/>
      <c r="B61" s="127"/>
      <c r="C61" s="127"/>
      <c r="D61" s="128"/>
      <c r="E61" s="127"/>
      <c r="F61" s="127"/>
      <c r="G61" s="127"/>
      <c r="J61" s="127"/>
      <c r="Q61" s="76" t="str">
        <f t="shared" si="0"/>
        <v/>
      </c>
      <c r="T61" s="16" t="str">
        <f t="shared" si="1"/>
        <v/>
      </c>
      <c r="V61" s="129" t="str">
        <f t="shared" si="2"/>
        <v/>
      </c>
      <c r="X61" s="127"/>
      <c r="AB61" s="127"/>
    </row>
    <row r="62" spans="1:29" x14ac:dyDescent="0.15">
      <c r="A62" s="127"/>
      <c r="B62" s="127"/>
      <c r="C62" s="127"/>
      <c r="D62" s="128"/>
      <c r="E62" s="127"/>
      <c r="F62" s="127"/>
      <c r="G62" s="127"/>
      <c r="J62" s="127"/>
      <c r="Q62" s="76" t="str">
        <f>IF(OR(O62="",P62=""),"",AVERAGE(O62,P62))</f>
        <v/>
      </c>
      <c r="T62" s="16" t="str">
        <f t="shared" si="1"/>
        <v/>
      </c>
      <c r="V62" s="129" t="str">
        <f t="shared" si="2"/>
        <v/>
      </c>
      <c r="X62" s="127"/>
      <c r="AB62" s="127"/>
    </row>
    <row r="63" spans="1:29" x14ac:dyDescent="0.15">
      <c r="A63" s="127"/>
      <c r="B63" s="127"/>
      <c r="C63" s="127"/>
      <c r="D63" s="128"/>
      <c r="E63" s="127"/>
      <c r="F63" s="127"/>
      <c r="G63" s="127"/>
      <c r="J63" s="127"/>
      <c r="Q63" s="76" t="str">
        <f t="shared" si="0"/>
        <v/>
      </c>
      <c r="T63" s="16" t="str">
        <f t="shared" si="1"/>
        <v/>
      </c>
      <c r="V63" s="129" t="str">
        <f t="shared" si="2"/>
        <v/>
      </c>
      <c r="X63" s="127"/>
      <c r="AB63" s="127"/>
    </row>
    <row r="64" spans="1:29" x14ac:dyDescent="0.15">
      <c r="A64" s="127"/>
      <c r="B64" s="127"/>
      <c r="C64" s="127"/>
      <c r="D64" s="128"/>
      <c r="E64" s="127"/>
      <c r="F64" s="127"/>
      <c r="G64" s="127"/>
      <c r="J64" s="127"/>
      <c r="Q64" s="76" t="str">
        <f t="shared" si="0"/>
        <v/>
      </c>
      <c r="T64" s="16" t="str">
        <f t="shared" si="1"/>
        <v/>
      </c>
      <c r="V64" s="129" t="str">
        <f t="shared" si="2"/>
        <v/>
      </c>
      <c r="X64" s="127"/>
      <c r="AB64" s="127"/>
    </row>
    <row r="65" spans="1:29" x14ac:dyDescent="0.15">
      <c r="A65" s="127"/>
      <c r="B65" s="127"/>
      <c r="C65" s="127"/>
      <c r="D65" s="128"/>
      <c r="E65" s="127"/>
      <c r="F65" s="127"/>
      <c r="G65" s="127"/>
      <c r="J65" s="127"/>
      <c r="Q65" s="76" t="str">
        <f t="shared" si="0"/>
        <v/>
      </c>
      <c r="T65" s="16" t="str">
        <f t="shared" si="1"/>
        <v/>
      </c>
      <c r="V65" s="129" t="str">
        <f t="shared" si="2"/>
        <v/>
      </c>
      <c r="X65" s="127"/>
      <c r="AB65" s="127"/>
      <c r="AC65" s="34"/>
    </row>
    <row r="66" spans="1:29" x14ac:dyDescent="0.15">
      <c r="A66" s="127"/>
      <c r="B66" s="127"/>
      <c r="C66" s="127"/>
      <c r="D66" s="128"/>
      <c r="E66" s="127"/>
      <c r="F66" s="127"/>
      <c r="G66" s="127"/>
      <c r="J66" s="127"/>
      <c r="Q66" s="76" t="str">
        <f t="shared" ref="Q66:Q79" si="3">IF(OR(O66="",P66=""),"",AVERAGE(O66,P66))</f>
        <v/>
      </c>
      <c r="T66" s="16" t="str">
        <f t="shared" ref="T66:T79" si="4">IF(H66="","",IF(OR(H66="GREEN",H66="GK"),IF(S66&gt;=$AX$2,VLOOKUP(S66,$AX$2:$AY$15,2,1),""),IF(S66&gt;=$AZ$2,VLOOKUP(S66,$AZ$2:$BA$15,2,1),"")))</f>
        <v/>
      </c>
      <c r="V66" s="129" t="str">
        <f t="shared" si="2"/>
        <v/>
      </c>
      <c r="X66" s="127"/>
      <c r="AB66" s="127"/>
      <c r="AC66" s="34"/>
    </row>
    <row r="67" spans="1:29" x14ac:dyDescent="0.15">
      <c r="A67" s="127"/>
      <c r="B67" s="127"/>
      <c r="C67" s="127"/>
      <c r="D67" s="128"/>
      <c r="E67" s="127"/>
      <c r="F67" s="127"/>
      <c r="G67" s="127"/>
      <c r="J67" s="127"/>
      <c r="Q67" s="76" t="str">
        <f t="shared" si="3"/>
        <v/>
      </c>
      <c r="R67" s="34"/>
      <c r="T67" s="16" t="str">
        <f t="shared" si="4"/>
        <v/>
      </c>
      <c r="V67" s="129" t="str">
        <f t="shared" ref="V67:V79" si="5">IF(OR(N67="",U67="",T67=""),"",U67/N67*T67)</f>
        <v/>
      </c>
      <c r="X67" s="127"/>
      <c r="AB67" s="127"/>
      <c r="AC67" s="34"/>
    </row>
    <row r="68" spans="1:29" x14ac:dyDescent="0.15">
      <c r="A68" s="127"/>
      <c r="B68" s="127"/>
      <c r="C68" s="127"/>
      <c r="D68" s="128"/>
      <c r="F68" s="127"/>
      <c r="G68" s="127"/>
      <c r="J68" s="127"/>
      <c r="Q68" s="76" t="str">
        <f t="shared" si="3"/>
        <v/>
      </c>
      <c r="T68" s="16" t="str">
        <f t="shared" si="4"/>
        <v/>
      </c>
      <c r="V68" s="129" t="str">
        <f t="shared" si="5"/>
        <v/>
      </c>
      <c r="X68" s="127"/>
      <c r="AB68" s="127"/>
      <c r="AC68" s="34"/>
    </row>
    <row r="69" spans="1:29" x14ac:dyDescent="0.15">
      <c r="A69" s="127"/>
      <c r="B69" s="127"/>
      <c r="C69" s="127"/>
      <c r="D69" s="128"/>
      <c r="F69" s="127"/>
      <c r="G69" s="127"/>
      <c r="J69" s="127"/>
      <c r="Q69" s="76" t="str">
        <f t="shared" si="3"/>
        <v/>
      </c>
      <c r="R69" s="34"/>
      <c r="T69" s="16" t="str">
        <f t="shared" si="4"/>
        <v/>
      </c>
      <c r="V69" s="129" t="str">
        <f t="shared" si="5"/>
        <v/>
      </c>
      <c r="X69" s="127"/>
      <c r="AB69" s="127"/>
      <c r="AC69" s="34"/>
    </row>
    <row r="70" spans="1:29" x14ac:dyDescent="0.15">
      <c r="A70" s="127"/>
      <c r="B70" s="127"/>
      <c r="C70" s="127"/>
      <c r="D70" s="128"/>
      <c r="F70" s="127"/>
      <c r="G70" s="127"/>
      <c r="J70" s="127"/>
      <c r="Q70" s="76" t="str">
        <f t="shared" si="3"/>
        <v/>
      </c>
      <c r="R70" s="34"/>
      <c r="T70" s="16" t="str">
        <f t="shared" si="4"/>
        <v/>
      </c>
      <c r="V70" s="129" t="str">
        <f t="shared" si="5"/>
        <v/>
      </c>
      <c r="X70" s="127"/>
      <c r="AB70" s="127"/>
      <c r="AC70" s="34"/>
    </row>
    <row r="71" spans="1:29" x14ac:dyDescent="0.15">
      <c r="A71" s="127"/>
      <c r="B71" s="127"/>
      <c r="C71" s="127"/>
      <c r="D71" s="128"/>
      <c r="G71" s="127"/>
      <c r="J71" s="127"/>
      <c r="Q71" s="76" t="str">
        <f t="shared" si="3"/>
        <v/>
      </c>
      <c r="T71" s="16" t="str">
        <f t="shared" si="4"/>
        <v/>
      </c>
      <c r="V71" s="129" t="str">
        <f t="shared" si="5"/>
        <v/>
      </c>
      <c r="X71" s="127"/>
      <c r="AB71" s="127"/>
      <c r="AC71" s="34"/>
    </row>
    <row r="72" spans="1:29" x14ac:dyDescent="0.15">
      <c r="A72" s="127"/>
      <c r="B72" s="127"/>
      <c r="C72" s="127"/>
      <c r="D72" s="128"/>
      <c r="G72" s="127"/>
      <c r="J72" s="127"/>
      <c r="Q72" s="76" t="str">
        <f t="shared" si="3"/>
        <v/>
      </c>
      <c r="T72" s="16" t="str">
        <f t="shared" si="4"/>
        <v/>
      </c>
      <c r="V72" s="129" t="str">
        <f t="shared" si="5"/>
        <v/>
      </c>
      <c r="X72" s="127"/>
      <c r="AB72" s="127"/>
      <c r="AC72" s="34"/>
    </row>
    <row r="73" spans="1:29" x14ac:dyDescent="0.15">
      <c r="A73" s="127"/>
      <c r="B73" s="127"/>
      <c r="C73" s="127"/>
      <c r="D73" s="128"/>
      <c r="G73" s="127"/>
      <c r="J73" s="127"/>
      <c r="Q73" s="76" t="str">
        <f t="shared" si="3"/>
        <v/>
      </c>
      <c r="T73" s="16" t="str">
        <f t="shared" si="4"/>
        <v/>
      </c>
      <c r="V73" s="129" t="str">
        <f t="shared" si="5"/>
        <v/>
      </c>
      <c r="X73" s="127"/>
      <c r="AB73" s="127"/>
      <c r="AC73" s="34"/>
    </row>
    <row r="74" spans="1:29" x14ac:dyDescent="0.15">
      <c r="A74" s="127"/>
      <c r="B74" s="127"/>
      <c r="C74" s="127"/>
      <c r="D74" s="128"/>
      <c r="G74" s="127"/>
      <c r="J74" s="127"/>
      <c r="Q74" s="76"/>
      <c r="V74" s="129"/>
      <c r="X74" s="127"/>
      <c r="AB74" s="127"/>
    </row>
    <row r="75" spans="1:29" x14ac:dyDescent="0.15">
      <c r="A75" s="127"/>
      <c r="B75" s="127"/>
      <c r="C75" s="127"/>
      <c r="D75" s="128"/>
      <c r="G75" s="127"/>
      <c r="J75" s="127"/>
      <c r="Q75" s="76"/>
      <c r="V75" s="129"/>
      <c r="X75" s="127"/>
      <c r="AB75" s="127"/>
    </row>
    <row r="76" spans="1:29" x14ac:dyDescent="0.15">
      <c r="A76" s="127"/>
      <c r="B76" s="127"/>
      <c r="C76" s="127"/>
      <c r="D76" s="128"/>
      <c r="G76" s="127"/>
      <c r="J76" s="127"/>
      <c r="Q76" s="76"/>
      <c r="V76" s="129"/>
      <c r="X76" s="127"/>
      <c r="AB76" s="127"/>
    </row>
    <row r="77" spans="1:29" x14ac:dyDescent="0.15">
      <c r="A77" s="127"/>
      <c r="B77" s="127"/>
      <c r="C77" s="127"/>
      <c r="D77" s="128"/>
      <c r="G77" s="127"/>
      <c r="J77" s="127"/>
      <c r="Q77" s="76" t="str">
        <f t="shared" si="3"/>
        <v/>
      </c>
      <c r="T77" s="16" t="str">
        <f t="shared" si="4"/>
        <v/>
      </c>
      <c r="V77" s="129" t="str">
        <f t="shared" si="5"/>
        <v/>
      </c>
      <c r="X77" s="127"/>
      <c r="AB77" s="127"/>
    </row>
    <row r="78" spans="1:29" x14ac:dyDescent="0.15">
      <c r="A78" s="127"/>
      <c r="B78" s="127"/>
      <c r="C78" s="127"/>
      <c r="D78" s="128"/>
      <c r="G78" s="127"/>
      <c r="J78" s="127"/>
      <c r="Q78" s="76" t="str">
        <f t="shared" si="3"/>
        <v/>
      </c>
      <c r="T78" s="16" t="str">
        <f t="shared" si="4"/>
        <v/>
      </c>
      <c r="V78" s="129" t="str">
        <f t="shared" si="5"/>
        <v/>
      </c>
      <c r="X78" s="127"/>
      <c r="AB78" s="127"/>
    </row>
    <row r="79" spans="1:29" x14ac:dyDescent="0.15">
      <c r="A79" s="127"/>
      <c r="B79" s="127"/>
      <c r="C79" s="127"/>
      <c r="D79" s="128"/>
      <c r="G79" s="127"/>
      <c r="J79" s="127"/>
      <c r="Q79" s="76" t="str">
        <f t="shared" si="3"/>
        <v/>
      </c>
      <c r="T79" s="16" t="str">
        <f t="shared" si="4"/>
        <v/>
      </c>
      <c r="V79" s="129" t="str">
        <f t="shared" si="5"/>
        <v/>
      </c>
      <c r="X79" s="127"/>
      <c r="AB79" s="127"/>
    </row>
    <row r="80" spans="1:29" x14ac:dyDescent="0.15">
      <c r="A80" s="127"/>
      <c r="B80" s="127"/>
      <c r="C80" s="127"/>
      <c r="D80" s="128"/>
      <c r="G80" s="127"/>
      <c r="J80" s="127"/>
      <c r="Q80" s="76"/>
      <c r="V80" s="129"/>
      <c r="X80" s="127"/>
      <c r="AB80" s="127"/>
    </row>
    <row r="81" spans="1:28" x14ac:dyDescent="0.15">
      <c r="A81" s="127"/>
      <c r="B81" s="127"/>
      <c r="C81" s="127"/>
      <c r="D81" s="128"/>
      <c r="G81" s="127"/>
      <c r="J81" s="127"/>
      <c r="Q81" s="76"/>
      <c r="V81" s="129"/>
      <c r="X81" s="127"/>
      <c r="AB81" s="127"/>
    </row>
    <row r="82" spans="1:28" x14ac:dyDescent="0.15">
      <c r="A82" s="127"/>
      <c r="B82" s="127"/>
      <c r="C82" s="127"/>
      <c r="D82" s="128"/>
      <c r="G82" s="127"/>
      <c r="J82" s="127"/>
      <c r="Q82" s="76"/>
      <c r="V82" s="129"/>
      <c r="X82" s="127"/>
      <c r="AB82" s="127"/>
    </row>
    <row r="83" spans="1:28" x14ac:dyDescent="0.15">
      <c r="A83" s="127"/>
      <c r="B83" s="127"/>
      <c r="C83" s="127"/>
      <c r="D83" s="128"/>
      <c r="G83" s="127"/>
      <c r="J83" s="127"/>
      <c r="Q83" s="76"/>
      <c r="V83" s="129"/>
      <c r="X83" s="127"/>
      <c r="AB83" s="127"/>
    </row>
    <row r="84" spans="1:28" x14ac:dyDescent="0.15">
      <c r="A84" s="127"/>
      <c r="B84" s="127"/>
      <c r="C84" s="127"/>
      <c r="D84" s="128"/>
      <c r="G84" s="127"/>
      <c r="J84" s="127"/>
      <c r="Q84" s="76"/>
      <c r="V84" s="129"/>
      <c r="X84" s="127"/>
      <c r="AB84" s="127"/>
    </row>
    <row r="85" spans="1:28" x14ac:dyDescent="0.15">
      <c r="A85" s="127"/>
      <c r="B85" s="127"/>
      <c r="C85" s="127"/>
      <c r="D85" s="128"/>
      <c r="G85" s="127"/>
      <c r="J85" s="127"/>
      <c r="Q85" s="76"/>
      <c r="V85" s="129"/>
      <c r="X85" s="127"/>
      <c r="AB85" s="127"/>
    </row>
    <row r="86" spans="1:28" x14ac:dyDescent="0.15">
      <c r="A86" s="127"/>
      <c r="B86" s="127"/>
      <c r="C86" s="127"/>
      <c r="D86" s="128"/>
      <c r="G86" s="127"/>
      <c r="J86" s="127"/>
      <c r="Q86" s="76"/>
      <c r="V86" s="129"/>
      <c r="X86" s="127"/>
      <c r="AB86" s="127"/>
    </row>
    <row r="87" spans="1:28" x14ac:dyDescent="0.15">
      <c r="A87" s="127"/>
      <c r="B87" s="127"/>
      <c r="C87" s="127"/>
      <c r="D87" s="128"/>
      <c r="G87" s="127"/>
      <c r="J87" s="127"/>
      <c r="Q87" s="76"/>
      <c r="V87" s="129"/>
      <c r="X87" s="127"/>
      <c r="AB87" s="127"/>
    </row>
    <row r="88" spans="1:28" x14ac:dyDescent="0.15">
      <c r="A88" s="127"/>
      <c r="B88" s="127"/>
      <c r="C88" s="127"/>
      <c r="D88" s="128"/>
      <c r="G88" s="127"/>
      <c r="J88" s="127"/>
      <c r="Q88" s="76"/>
      <c r="V88" s="129"/>
      <c r="X88" s="127"/>
      <c r="AB88" s="127"/>
    </row>
    <row r="89" spans="1:28" x14ac:dyDescent="0.15">
      <c r="A89" s="127"/>
      <c r="B89" s="127"/>
      <c r="C89" s="127"/>
      <c r="D89" s="128"/>
      <c r="G89" s="127"/>
      <c r="J89" s="127"/>
      <c r="Q89" s="76"/>
      <c r="V89" s="129"/>
      <c r="X89" s="127"/>
      <c r="AB89" s="127"/>
    </row>
    <row r="90" spans="1:28" x14ac:dyDescent="0.15">
      <c r="A90" s="127"/>
      <c r="B90" s="127"/>
      <c r="C90" s="127"/>
      <c r="D90" s="128"/>
      <c r="G90" s="127"/>
      <c r="J90" s="127"/>
      <c r="Q90" s="76"/>
      <c r="V90" s="129"/>
      <c r="X90" s="127"/>
      <c r="AB90" s="127"/>
    </row>
    <row r="91" spans="1:28" x14ac:dyDescent="0.15">
      <c r="A91" s="127"/>
      <c r="B91" s="127"/>
      <c r="C91" s="127"/>
      <c r="D91" s="128"/>
      <c r="G91" s="127"/>
      <c r="J91" s="127"/>
      <c r="Q91" s="76"/>
      <c r="V91" s="129"/>
      <c r="X91" s="127"/>
      <c r="AB91" s="127"/>
    </row>
    <row r="92" spans="1:28" x14ac:dyDescent="0.15">
      <c r="A92" s="127"/>
      <c r="B92" s="127"/>
      <c r="C92" s="127"/>
      <c r="D92" s="128"/>
      <c r="G92" s="127"/>
      <c r="J92" s="127"/>
      <c r="Q92" s="76"/>
      <c r="V92" s="129"/>
      <c r="X92" s="127"/>
      <c r="AB92" s="127"/>
    </row>
    <row r="93" spans="1:28" x14ac:dyDescent="0.15">
      <c r="A93" s="127"/>
      <c r="B93" s="127"/>
      <c r="C93" s="127"/>
      <c r="D93" s="128"/>
      <c r="G93" s="127"/>
      <c r="J93" s="127"/>
      <c r="Q93" s="76"/>
      <c r="V93" s="129"/>
      <c r="X93" s="127"/>
      <c r="AB93" s="127"/>
    </row>
    <row r="94" spans="1:28" x14ac:dyDescent="0.15">
      <c r="A94" s="127"/>
      <c r="B94" s="127"/>
      <c r="C94" s="127"/>
      <c r="D94" s="128"/>
      <c r="G94" s="127"/>
      <c r="J94" s="127"/>
      <c r="Q94" s="76"/>
      <c r="V94" s="129"/>
      <c r="X94" s="127"/>
      <c r="AB94" s="127"/>
    </row>
    <row r="96" spans="1:28" x14ac:dyDescent="0.15">
      <c r="A96" s="127"/>
      <c r="B96" s="127"/>
      <c r="C96" s="127"/>
      <c r="D96" s="128"/>
      <c r="G96" s="127"/>
      <c r="J96" s="127"/>
      <c r="Q96" s="76"/>
      <c r="V96" s="129"/>
      <c r="X96" s="127"/>
      <c r="AB96" s="127"/>
    </row>
    <row r="97" spans="1:28" x14ac:dyDescent="0.15">
      <c r="A97" s="127"/>
      <c r="B97" s="127"/>
      <c r="C97" s="127"/>
      <c r="D97" s="128"/>
      <c r="G97" s="127"/>
      <c r="J97" s="127"/>
      <c r="Q97" s="76"/>
      <c r="V97" s="129"/>
      <c r="X97" s="127"/>
      <c r="AB97" s="127"/>
    </row>
    <row r="98" spans="1:28" x14ac:dyDescent="0.15">
      <c r="A98" s="127"/>
      <c r="B98" s="127"/>
      <c r="C98" s="127"/>
      <c r="D98" s="128"/>
      <c r="G98" s="127"/>
      <c r="J98" s="127"/>
      <c r="Q98" s="76"/>
      <c r="V98" s="129"/>
      <c r="X98" s="127"/>
      <c r="AB98" s="127"/>
    </row>
    <row r="99" spans="1:28" x14ac:dyDescent="0.15">
      <c r="A99" s="127"/>
      <c r="B99" s="127"/>
      <c r="C99" s="127"/>
      <c r="D99" s="128"/>
      <c r="G99" s="127"/>
      <c r="J99" s="127"/>
      <c r="Q99" s="76"/>
      <c r="V99" s="129"/>
      <c r="X99" s="127"/>
      <c r="AB99" s="127"/>
    </row>
    <row r="100" spans="1:28" x14ac:dyDescent="0.15">
      <c r="A100" s="127"/>
      <c r="B100" s="127"/>
      <c r="C100" s="127"/>
      <c r="D100" s="128"/>
      <c r="G100" s="127"/>
      <c r="J100" s="127"/>
      <c r="Q100" s="76"/>
      <c r="V100" s="129"/>
      <c r="X100" s="127"/>
      <c r="AB100" s="127"/>
    </row>
    <row r="101" spans="1:28" x14ac:dyDescent="0.15">
      <c r="A101" s="127"/>
      <c r="B101" s="127"/>
      <c r="C101" s="127"/>
      <c r="D101" s="128"/>
      <c r="G101" s="127"/>
      <c r="J101" s="127"/>
      <c r="Q101" s="76"/>
      <c r="V101" s="129"/>
      <c r="X101" s="127"/>
      <c r="AB101" s="127"/>
    </row>
    <row r="102" spans="1:28" x14ac:dyDescent="0.15">
      <c r="A102" s="127"/>
      <c r="B102" s="127"/>
      <c r="C102" s="127"/>
      <c r="D102" s="128"/>
      <c r="G102" s="127"/>
      <c r="J102" s="127"/>
      <c r="Q102" s="76"/>
      <c r="V102" s="129"/>
      <c r="X102" s="127"/>
      <c r="AB102" s="127"/>
    </row>
    <row r="103" spans="1:28" x14ac:dyDescent="0.15">
      <c r="A103" s="127"/>
      <c r="B103" s="127"/>
      <c r="C103" s="127"/>
      <c r="D103" s="128"/>
      <c r="G103" s="127"/>
      <c r="J103" s="127"/>
      <c r="Q103" s="76"/>
      <c r="V103" s="129"/>
      <c r="X103" s="127"/>
      <c r="AB103" s="127"/>
    </row>
    <row r="104" spans="1:28" x14ac:dyDescent="0.15">
      <c r="A104" s="127"/>
      <c r="B104" s="127"/>
      <c r="C104" s="127"/>
      <c r="D104" s="128"/>
      <c r="G104" s="127"/>
      <c r="J104" s="127"/>
      <c r="Q104" s="76"/>
      <c r="V104" s="129"/>
      <c r="X104" s="127"/>
      <c r="AB104" s="127"/>
    </row>
    <row r="105" spans="1:28" x14ac:dyDescent="0.15">
      <c r="A105" s="127"/>
      <c r="B105" s="127"/>
      <c r="C105" s="127"/>
      <c r="D105" s="128"/>
      <c r="G105" s="127"/>
      <c r="J105" s="127"/>
      <c r="Q105" s="76"/>
      <c r="V105" s="129"/>
      <c r="X105" s="127"/>
      <c r="AB105" s="127"/>
    </row>
    <row r="106" spans="1:28" x14ac:dyDescent="0.15">
      <c r="A106" s="127"/>
      <c r="B106" s="127"/>
      <c r="C106" s="127"/>
      <c r="D106" s="128"/>
      <c r="G106" s="127"/>
      <c r="J106" s="127"/>
      <c r="Q106" s="76"/>
      <c r="V106" s="129"/>
      <c r="X106" s="127"/>
      <c r="AB106" s="127"/>
    </row>
    <row r="107" spans="1:28" x14ac:dyDescent="0.15">
      <c r="A107" s="127"/>
      <c r="B107" s="127"/>
      <c r="C107" s="127"/>
      <c r="D107" s="128"/>
      <c r="G107" s="127"/>
      <c r="J107" s="127"/>
      <c r="Q107" s="76"/>
      <c r="V107" s="129"/>
      <c r="X107" s="127"/>
      <c r="AB107" s="127"/>
    </row>
    <row r="108" spans="1:28" x14ac:dyDescent="0.15">
      <c r="A108" s="127"/>
      <c r="B108" s="127"/>
      <c r="C108" s="127"/>
      <c r="D108" s="128"/>
      <c r="G108" s="127"/>
      <c r="J108" s="127"/>
      <c r="Q108" s="76"/>
      <c r="V108" s="129"/>
      <c r="X108" s="127"/>
      <c r="AB108" s="127"/>
    </row>
    <row r="109" spans="1:28" x14ac:dyDescent="0.15">
      <c r="A109" s="127"/>
      <c r="B109" s="127"/>
      <c r="C109" s="127"/>
      <c r="D109" s="128"/>
      <c r="G109" s="127"/>
      <c r="J109" s="127"/>
      <c r="Q109" s="76"/>
      <c r="V109" s="129"/>
      <c r="X109" s="127"/>
      <c r="AB109" s="127"/>
    </row>
    <row r="110" spans="1:28" x14ac:dyDescent="0.15">
      <c r="A110" s="127"/>
      <c r="B110" s="127"/>
      <c r="C110" s="127"/>
      <c r="D110" s="128"/>
      <c r="G110" s="127"/>
      <c r="J110" s="127"/>
      <c r="Q110" s="76"/>
      <c r="V110" s="129"/>
      <c r="X110" s="127"/>
      <c r="AB110" s="127"/>
    </row>
    <row r="111" spans="1:28" x14ac:dyDescent="0.15">
      <c r="A111" s="127"/>
      <c r="B111" s="127"/>
      <c r="C111" s="127"/>
      <c r="D111" s="128"/>
      <c r="G111" s="127"/>
      <c r="J111" s="127"/>
      <c r="Q111" s="76"/>
      <c r="V111" s="129"/>
      <c r="X111" s="127"/>
      <c r="AB111" s="127"/>
    </row>
    <row r="112" spans="1:28" x14ac:dyDescent="0.15">
      <c r="A112" s="127"/>
      <c r="B112" s="127"/>
      <c r="C112" s="127"/>
      <c r="D112" s="128"/>
      <c r="G112" s="127"/>
      <c r="J112" s="127"/>
      <c r="Q112" s="76"/>
      <c r="V112" s="129"/>
      <c r="X112" s="127"/>
      <c r="AB112" s="127"/>
    </row>
  </sheetData>
  <autoFilter ref="A1:BA1" xr:uid="{00000000-0009-0000-0000-000004000000}"/>
  <phoneticPr fontId="3"/>
  <dataValidations count="21">
    <dataValidation type="list" allowBlank="1" showInputMessage="1" showErrorMessage="1" sqref="K2:K120" xr:uid="{F6DB1182-CCB8-4A40-B6D6-4D691464C416}">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CF3C2BF9-1FA4-48DC-A25A-2C5BB85F1A9B}">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914FDB54-1C0E-4D3E-BE29-DFD590014090}">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72B2E6CC-4BF4-4692-BA17-B91B97FCEF31}">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F8C2F05B-8BCC-480F-B731-5585A799BD8B}">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E8CC2910-6875-4977-9D06-44B4302A7547}">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6D8B696F-B6C0-46D2-B0FA-6F8D6F5B355A}">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xr:uid="{56597120-97D4-43C1-B578-BA983EF3BADA}"/>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DC33AD8E-C867-462C-AB84-491C992F305E}">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D831198D-70C4-439A-ACA1-12E2EE06461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77716672-6867-42E8-AB08-815A679C1D5C}">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B8DE42A9-3FC1-4EB1-B282-D21C1051DB5F}">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17FD38DB-9E05-487F-B3F3-9672B0975C1E}">
      <formula1>$AV$2:$AV$22</formula1>
    </dataValidation>
    <dataValidation type="list" allowBlank="1" showInputMessage="1" showErrorMessage="1" sqref="K121:K500" xr:uid="{5F18A580-E8A0-48D4-AC2B-EE9CF0DBFC94}">
      <formula1>$AR$2:$AR$25</formula1>
    </dataValidation>
    <dataValidation type="list" allowBlank="1" showInputMessage="1" showErrorMessage="1" sqref="J96:J500 J2:J94" xr:uid="{71D2193C-5CA0-4925-BA4F-AD09C644B5A3}">
      <formula1>$AP$2:$AP$27</formula1>
    </dataValidation>
    <dataValidation type="list" allowBlank="1" showInputMessage="1" showErrorMessage="1" sqref="F96:F500 F2:F94" xr:uid="{142D8799-3781-4CB4-BE6F-0D15A2678566}">
      <formula1>$AH$2:$AH$10</formula1>
    </dataValidation>
    <dataValidation type="list" allowBlank="1" showInputMessage="1" showErrorMessage="1" sqref="E96:E500 E2:E94" xr:uid="{00C129D7-9A42-4394-B490-8026EB2F399F}">
      <formula1>$AG$2:$AG$11</formula1>
    </dataValidation>
    <dataValidation type="list" allowBlank="1" showInputMessage="1" showErrorMessage="1" sqref="A96:A500 A2:A94" xr:uid="{92E9CD36-B08E-4DA8-88CA-399F1703C4EA}">
      <formula1>$AE$2:$AE$19</formula1>
    </dataValidation>
    <dataValidation type="list" allowBlank="1" showInputMessage="1" showErrorMessage="1" sqref="H96:H500 H2:H94" xr:uid="{ACF19FE4-E572-45FB-B837-7D3A45618556}">
      <formula1>$AL$2:$AL$8</formula1>
    </dataValidation>
    <dataValidation type="list" allowBlank="1" showInputMessage="1" showErrorMessage="1" sqref="Y96:AA500 Y2:AA94" xr:uid="{39813CD8-8414-4A20-A8A8-72D11B8CE36A}">
      <formula1>$AV$2:$AV$21</formula1>
    </dataValidation>
    <dataValidation type="decimal" allowBlank="1" showInputMessage="1" showErrorMessage="1" error="硬度を正しく入力して下さい。" sqref="O96:P500 O5:P10 P11:P16 P35:P40 O41:P94 O17:P34" xr:uid="{BC1C8B79-652D-44BA-A503-8F1FC202A803}">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879E1-4165-47A6-8A31-550672BF1082}">
  <dimension ref="A1:BA112"/>
  <sheetViews>
    <sheetView zoomScale="85" zoomScaleNormal="85" workbookViewId="0">
      <selection activeCell="K41" sqref="K41"/>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315</v>
      </c>
      <c r="O1" s="56" t="s">
        <v>14</v>
      </c>
      <c r="P1" s="56" t="s">
        <v>15</v>
      </c>
      <c r="Q1" s="3" t="s">
        <v>16</v>
      </c>
      <c r="R1" s="56" t="s">
        <v>17</v>
      </c>
      <c r="S1" s="56" t="s">
        <v>18</v>
      </c>
      <c r="T1" s="3" t="s">
        <v>19</v>
      </c>
      <c r="U1" s="58" t="s">
        <v>316</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235</v>
      </c>
      <c r="C2" s="62">
        <v>2020</v>
      </c>
      <c r="D2" s="137" t="s">
        <v>236</v>
      </c>
      <c r="E2" s="53" t="s">
        <v>317</v>
      </c>
      <c r="F2" s="53" t="s">
        <v>318</v>
      </c>
      <c r="G2" s="53" t="s">
        <v>36</v>
      </c>
      <c r="H2" s="53" t="s">
        <v>127</v>
      </c>
      <c r="I2" s="53" t="s">
        <v>159</v>
      </c>
      <c r="J2" s="53" t="s">
        <v>280</v>
      </c>
      <c r="K2" s="53" t="s">
        <v>319</v>
      </c>
      <c r="L2" s="53">
        <v>1</v>
      </c>
      <c r="N2" s="53">
        <v>5</v>
      </c>
      <c r="O2" s="53">
        <v>0.3</v>
      </c>
      <c r="P2" s="53">
        <v>0.25</v>
      </c>
      <c r="Q2" s="76">
        <f>IF(OR(O2="",P2=""),"",AVERAGE(O2,P2))</f>
        <v>0.27500000000000002</v>
      </c>
      <c r="R2" s="53">
        <v>14.1</v>
      </c>
      <c r="S2" s="53">
        <v>100</v>
      </c>
      <c r="T2" s="16">
        <f t="shared" ref="T2:T43" si="0">IF(H2="","",IF(OR(H2="GREEN",H2="GK"),IF(S2&gt;=$AX$2,VLOOKUP(S2,$AX$2:$AY$12,2,1),""),IF(S2&gt;=$AZ$2,VLOOKUP(S2,$AZ$2:$BA$12,2,1),"")))</f>
        <v>33</v>
      </c>
      <c r="U2" s="53">
        <v>398</v>
      </c>
      <c r="V2" s="16">
        <f t="shared" ref="V2:V43" si="1">IF(J2="","",IF(OR(J2="GREEN",J2="GK"),IF(U2&gt;=$AX$2,VLOOKUP(U2,$AX$2:$AY$12,2,1),""),IF(U2&gt;=$AZ$2,VLOOKUP(U2,$AZ$2:$BA$12,2,1),"")))</f>
        <v>25</v>
      </c>
      <c r="W2" s="53">
        <v>2</v>
      </c>
      <c r="X2" s="53" t="s">
        <v>39</v>
      </c>
      <c r="Y2" s="53" t="s">
        <v>84</v>
      </c>
      <c r="Z2" s="53" t="s">
        <v>90</v>
      </c>
      <c r="AA2" s="53" t="s">
        <v>69</v>
      </c>
      <c r="AB2" s="53" t="s">
        <v>320</v>
      </c>
      <c r="AE2" s="64" t="s">
        <v>35</v>
      </c>
      <c r="AG2" s="138" t="s">
        <v>321</v>
      </c>
      <c r="AH2" s="139" t="s">
        <v>322</v>
      </c>
      <c r="AJ2" s="67" t="s">
        <v>36</v>
      </c>
      <c r="AL2" s="67" t="s">
        <v>127</v>
      </c>
      <c r="AN2" s="67" t="s">
        <v>323</v>
      </c>
      <c r="AP2" s="67" t="s">
        <v>38</v>
      </c>
      <c r="AR2" s="67" t="s">
        <v>120</v>
      </c>
      <c r="AT2" s="67" t="s">
        <v>39</v>
      </c>
      <c r="AV2" s="23" t="s">
        <v>55</v>
      </c>
      <c r="AX2" s="68">
        <v>1</v>
      </c>
      <c r="AY2" s="69">
        <v>50</v>
      </c>
      <c r="AZ2" s="69">
        <v>1</v>
      </c>
      <c r="BA2" s="70">
        <v>50</v>
      </c>
    </row>
    <row r="3" spans="1:53" x14ac:dyDescent="0.15">
      <c r="A3" s="53" t="s">
        <v>59</v>
      </c>
      <c r="B3" s="53" t="s">
        <v>235</v>
      </c>
      <c r="C3" s="62">
        <v>2020</v>
      </c>
      <c r="D3" s="137" t="s">
        <v>236</v>
      </c>
      <c r="E3" s="53" t="s">
        <v>317</v>
      </c>
      <c r="F3" s="53" t="s">
        <v>318</v>
      </c>
      <c r="G3" s="53" t="s">
        <v>36</v>
      </c>
      <c r="H3" s="53" t="s">
        <v>127</v>
      </c>
      <c r="I3" s="53" t="s">
        <v>159</v>
      </c>
      <c r="J3" s="53" t="s">
        <v>280</v>
      </c>
      <c r="K3" s="53" t="s">
        <v>319</v>
      </c>
      <c r="L3" s="53">
        <v>2</v>
      </c>
      <c r="N3" s="53">
        <v>5</v>
      </c>
      <c r="O3" s="53">
        <v>0.24</v>
      </c>
      <c r="P3" s="53">
        <v>0.22</v>
      </c>
      <c r="Q3" s="76">
        <f t="shared" ref="Q3:Q43" si="2">IF(OR(O3="",P3=""),"",AVERAGE(O3,P3))</f>
        <v>0.22999999999999998</v>
      </c>
      <c r="R3" s="53">
        <v>14.4</v>
      </c>
      <c r="S3" s="53">
        <v>91</v>
      </c>
      <c r="T3" s="16">
        <f t="shared" si="0"/>
        <v>36</v>
      </c>
      <c r="U3" s="53">
        <v>398</v>
      </c>
      <c r="V3" s="16">
        <f t="shared" si="1"/>
        <v>25</v>
      </c>
      <c r="W3" s="53">
        <v>2</v>
      </c>
      <c r="X3" s="53" t="s">
        <v>39</v>
      </c>
      <c r="Y3" s="53" t="s">
        <v>84</v>
      </c>
      <c r="Z3" s="53" t="s">
        <v>90</v>
      </c>
      <c r="AA3" s="53" t="s">
        <v>69</v>
      </c>
      <c r="AB3" s="53" t="s">
        <v>320</v>
      </c>
      <c r="AE3" s="22" t="s">
        <v>41</v>
      </c>
      <c r="AG3" s="138" t="s">
        <v>324</v>
      </c>
      <c r="AH3" s="139" t="s">
        <v>318</v>
      </c>
      <c r="AJ3" s="23" t="s">
        <v>42</v>
      </c>
      <c r="AL3" s="23" t="s">
        <v>128</v>
      </c>
      <c r="AN3" s="23" t="s">
        <v>43</v>
      </c>
      <c r="AP3" s="23" t="s">
        <v>44</v>
      </c>
      <c r="AR3" s="23" t="s">
        <v>45</v>
      </c>
      <c r="AT3" s="23" t="s">
        <v>46</v>
      </c>
      <c r="AV3" s="23" t="s">
        <v>325</v>
      </c>
      <c r="AX3" s="24">
        <v>72</v>
      </c>
      <c r="AY3" s="25">
        <v>46</v>
      </c>
      <c r="AZ3" s="25">
        <v>71</v>
      </c>
      <c r="BA3" s="26">
        <v>42</v>
      </c>
    </row>
    <row r="4" spans="1:53" x14ac:dyDescent="0.15">
      <c r="A4" s="53" t="s">
        <v>59</v>
      </c>
      <c r="B4" s="53" t="s">
        <v>235</v>
      </c>
      <c r="C4" s="62">
        <v>2020</v>
      </c>
      <c r="D4" s="137" t="s">
        <v>236</v>
      </c>
      <c r="E4" s="53" t="s">
        <v>317</v>
      </c>
      <c r="F4" s="53" t="s">
        <v>318</v>
      </c>
      <c r="G4" s="53" t="s">
        <v>36</v>
      </c>
      <c r="H4" s="53" t="s">
        <v>127</v>
      </c>
      <c r="I4" s="53" t="s">
        <v>326</v>
      </c>
      <c r="J4" s="53" t="s">
        <v>280</v>
      </c>
      <c r="K4" s="53" t="s">
        <v>319</v>
      </c>
      <c r="L4" s="53">
        <v>3</v>
      </c>
      <c r="N4" s="53">
        <v>5</v>
      </c>
      <c r="O4" s="53">
        <v>0.37</v>
      </c>
      <c r="P4" s="53">
        <v>0.43</v>
      </c>
      <c r="Q4" s="76">
        <f t="shared" si="2"/>
        <v>0.4</v>
      </c>
      <c r="R4" s="53">
        <v>13.7</v>
      </c>
      <c r="S4" s="53">
        <v>88</v>
      </c>
      <c r="T4" s="16">
        <f t="shared" si="0"/>
        <v>36</v>
      </c>
      <c r="U4" s="53">
        <v>398</v>
      </c>
      <c r="V4" s="16">
        <f t="shared" si="1"/>
        <v>25</v>
      </c>
      <c r="W4" s="53">
        <v>2</v>
      </c>
      <c r="X4" s="53" t="s">
        <v>39</v>
      </c>
      <c r="Y4" s="53" t="s">
        <v>84</v>
      </c>
      <c r="Z4" s="53" t="s">
        <v>90</v>
      </c>
      <c r="AA4" s="53" t="s">
        <v>69</v>
      </c>
      <c r="AB4" s="53" t="s">
        <v>320</v>
      </c>
      <c r="AE4" s="22" t="s">
        <v>34</v>
      </c>
      <c r="AG4" s="138" t="s">
        <v>327</v>
      </c>
      <c r="AH4" s="139" t="s">
        <v>328</v>
      </c>
      <c r="AJ4" s="27" t="s">
        <v>48</v>
      </c>
      <c r="AL4" s="27" t="s">
        <v>129</v>
      </c>
      <c r="AN4" s="28" t="s">
        <v>49</v>
      </c>
      <c r="AP4" s="23" t="s">
        <v>93</v>
      </c>
      <c r="AR4" s="23" t="s">
        <v>319</v>
      </c>
      <c r="AT4" s="28"/>
      <c r="AV4" s="23" t="s">
        <v>329</v>
      </c>
      <c r="AX4" s="24">
        <v>75</v>
      </c>
      <c r="AY4" s="25">
        <v>42</v>
      </c>
      <c r="AZ4" s="25">
        <v>76</v>
      </c>
      <c r="BA4" s="26">
        <v>39</v>
      </c>
    </row>
    <row r="5" spans="1:53" x14ac:dyDescent="0.15">
      <c r="A5" s="53" t="s">
        <v>59</v>
      </c>
      <c r="B5" s="53" t="s">
        <v>235</v>
      </c>
      <c r="C5" s="62">
        <v>2020</v>
      </c>
      <c r="D5" s="137" t="s">
        <v>236</v>
      </c>
      <c r="E5" s="53" t="s">
        <v>321</v>
      </c>
      <c r="F5" s="53" t="s">
        <v>322</v>
      </c>
      <c r="G5" s="53" t="s">
        <v>36</v>
      </c>
      <c r="H5" s="53" t="s">
        <v>163</v>
      </c>
      <c r="I5" s="53" t="s">
        <v>159</v>
      </c>
      <c r="J5" s="53" t="s">
        <v>38</v>
      </c>
      <c r="K5" s="53" t="s">
        <v>160</v>
      </c>
      <c r="L5" s="53">
        <v>1</v>
      </c>
      <c r="N5" s="53">
        <v>4</v>
      </c>
      <c r="O5" s="53">
        <v>0.4</v>
      </c>
      <c r="P5" s="53">
        <v>0.38</v>
      </c>
      <c r="Q5" s="76">
        <f t="shared" si="2"/>
        <v>0.39</v>
      </c>
      <c r="R5" s="53">
        <v>14.2</v>
      </c>
      <c r="S5" s="53">
        <v>89</v>
      </c>
      <c r="T5" s="16">
        <f t="shared" si="0"/>
        <v>36</v>
      </c>
      <c r="U5" s="53">
        <v>297</v>
      </c>
      <c r="V5" s="16">
        <f t="shared" si="1"/>
        <v>25</v>
      </c>
      <c r="W5" s="53">
        <v>1</v>
      </c>
      <c r="X5" s="53" t="s">
        <v>39</v>
      </c>
      <c r="Y5" s="53" t="s">
        <v>84</v>
      </c>
      <c r="Z5" s="53" t="s">
        <v>90</v>
      </c>
      <c r="AA5" s="53" t="s">
        <v>69</v>
      </c>
      <c r="AB5" s="53" t="s">
        <v>320</v>
      </c>
      <c r="AE5" s="22" t="s">
        <v>51</v>
      </c>
      <c r="AG5" s="138" t="s">
        <v>330</v>
      </c>
      <c r="AH5" s="139" t="s">
        <v>331</v>
      </c>
      <c r="AJ5" s="28"/>
      <c r="AL5" s="73" t="s">
        <v>66</v>
      </c>
      <c r="AN5" s="73" t="s">
        <v>52</v>
      </c>
      <c r="AP5" s="23" t="s">
        <v>248</v>
      </c>
      <c r="AR5" s="23" t="s">
        <v>54</v>
      </c>
      <c r="AV5" s="23" t="s">
        <v>332</v>
      </c>
      <c r="AX5" s="24">
        <v>84</v>
      </c>
      <c r="AY5" s="25">
        <v>39</v>
      </c>
      <c r="AZ5" s="25">
        <v>84</v>
      </c>
      <c r="BA5" s="26">
        <v>36</v>
      </c>
    </row>
    <row r="6" spans="1:53" x14ac:dyDescent="0.15">
      <c r="A6" s="53" t="s">
        <v>59</v>
      </c>
      <c r="B6" s="53" t="s">
        <v>235</v>
      </c>
      <c r="C6" s="62">
        <v>2020</v>
      </c>
      <c r="D6" s="137" t="s">
        <v>236</v>
      </c>
      <c r="E6" s="53" t="s">
        <v>321</v>
      </c>
      <c r="F6" s="53" t="s">
        <v>322</v>
      </c>
      <c r="G6" s="53" t="s">
        <v>36</v>
      </c>
      <c r="H6" s="53" t="s">
        <v>163</v>
      </c>
      <c r="I6" s="53" t="s">
        <v>159</v>
      </c>
      <c r="J6" s="53" t="s">
        <v>38</v>
      </c>
      <c r="K6" s="53" t="s">
        <v>160</v>
      </c>
      <c r="L6" s="53">
        <v>2</v>
      </c>
      <c r="N6" s="53">
        <v>4</v>
      </c>
      <c r="O6" s="53">
        <v>0.64</v>
      </c>
      <c r="P6" s="53">
        <v>0.57999999999999996</v>
      </c>
      <c r="Q6" s="76">
        <f t="shared" si="2"/>
        <v>0.61</v>
      </c>
      <c r="R6" s="53">
        <v>13.3</v>
      </c>
      <c r="S6" s="53">
        <v>95</v>
      </c>
      <c r="T6" s="16">
        <f t="shared" si="0"/>
        <v>36</v>
      </c>
      <c r="U6" s="53">
        <v>297</v>
      </c>
      <c r="V6" s="16">
        <f t="shared" si="1"/>
        <v>25</v>
      </c>
      <c r="W6" s="53">
        <v>1</v>
      </c>
      <c r="X6" s="53" t="s">
        <v>39</v>
      </c>
      <c r="Y6" s="53" t="s">
        <v>84</v>
      </c>
      <c r="Z6" s="53" t="s">
        <v>90</v>
      </c>
      <c r="AA6" s="53" t="s">
        <v>69</v>
      </c>
      <c r="AB6" s="53" t="s">
        <v>320</v>
      </c>
      <c r="AE6" s="22" t="s">
        <v>56</v>
      </c>
      <c r="AG6" s="138" t="s">
        <v>333</v>
      </c>
      <c r="AH6" s="139" t="s">
        <v>334</v>
      </c>
      <c r="AL6" s="73" t="s">
        <v>99</v>
      </c>
      <c r="AN6" s="73" t="s">
        <v>57</v>
      </c>
      <c r="AP6" s="23" t="s">
        <v>53</v>
      </c>
      <c r="AR6" s="23" t="s">
        <v>335</v>
      </c>
      <c r="AV6" s="23" t="s">
        <v>60</v>
      </c>
      <c r="AX6" s="24">
        <v>97</v>
      </c>
      <c r="AY6" s="25">
        <v>36</v>
      </c>
      <c r="AZ6" s="25">
        <v>99</v>
      </c>
      <c r="BA6" s="26">
        <v>33</v>
      </c>
    </row>
    <row r="7" spans="1:53" x14ac:dyDescent="0.15">
      <c r="A7" s="53" t="s">
        <v>59</v>
      </c>
      <c r="B7" s="53" t="s">
        <v>235</v>
      </c>
      <c r="C7" s="62">
        <v>2020</v>
      </c>
      <c r="D7" s="137" t="s">
        <v>236</v>
      </c>
      <c r="E7" s="53" t="s">
        <v>321</v>
      </c>
      <c r="F7" s="53" t="s">
        <v>322</v>
      </c>
      <c r="G7" s="53" t="s">
        <v>36</v>
      </c>
      <c r="H7" s="53" t="s">
        <v>163</v>
      </c>
      <c r="I7" s="53" t="s">
        <v>159</v>
      </c>
      <c r="J7" s="53" t="s">
        <v>38</v>
      </c>
      <c r="K7" s="53" t="s">
        <v>160</v>
      </c>
      <c r="L7" s="53">
        <v>3</v>
      </c>
      <c r="N7" s="53">
        <v>4</v>
      </c>
      <c r="O7" s="53">
        <v>0.51</v>
      </c>
      <c r="P7" s="53">
        <v>0.56000000000000005</v>
      </c>
      <c r="Q7" s="76">
        <f t="shared" si="2"/>
        <v>0.53500000000000003</v>
      </c>
      <c r="R7" s="53">
        <v>13.9</v>
      </c>
      <c r="S7" s="53">
        <v>91</v>
      </c>
      <c r="T7" s="16">
        <f t="shared" si="0"/>
        <v>36</v>
      </c>
      <c r="U7" s="53">
        <v>297</v>
      </c>
      <c r="V7" s="16">
        <f t="shared" si="1"/>
        <v>25</v>
      </c>
      <c r="W7" s="53">
        <v>1</v>
      </c>
      <c r="X7" s="53" t="s">
        <v>39</v>
      </c>
      <c r="Y7" s="53" t="s">
        <v>84</v>
      </c>
      <c r="Z7" s="53" t="s">
        <v>90</v>
      </c>
      <c r="AA7" s="53" t="s">
        <v>69</v>
      </c>
      <c r="AB7" s="53" t="s">
        <v>320</v>
      </c>
      <c r="AE7" s="22" t="s">
        <v>61</v>
      </c>
      <c r="AG7" s="138" t="s">
        <v>336</v>
      </c>
      <c r="AH7" s="139" t="s">
        <v>337</v>
      </c>
      <c r="AL7" s="34" t="s">
        <v>109</v>
      </c>
      <c r="AP7" s="23" t="s">
        <v>58</v>
      </c>
      <c r="AR7" s="23" t="s">
        <v>338</v>
      </c>
      <c r="AV7" s="23" t="s">
        <v>64</v>
      </c>
      <c r="AX7" s="24">
        <v>109</v>
      </c>
      <c r="AY7" s="25">
        <v>33</v>
      </c>
      <c r="AZ7" s="25">
        <v>113</v>
      </c>
      <c r="BA7" s="26">
        <v>30</v>
      </c>
    </row>
    <row r="8" spans="1:53" x14ac:dyDescent="0.15">
      <c r="A8" s="53" t="s">
        <v>59</v>
      </c>
      <c r="B8" s="53" t="s">
        <v>235</v>
      </c>
      <c r="C8" s="62">
        <v>2020</v>
      </c>
      <c r="D8" s="137" t="s">
        <v>236</v>
      </c>
      <c r="E8" s="53" t="s">
        <v>330</v>
      </c>
      <c r="F8" s="53" t="s">
        <v>331</v>
      </c>
      <c r="G8" s="53" t="s">
        <v>36</v>
      </c>
      <c r="H8" s="53" t="s">
        <v>163</v>
      </c>
      <c r="I8" s="53" t="s">
        <v>159</v>
      </c>
      <c r="J8" s="53" t="s">
        <v>38</v>
      </c>
      <c r="K8" s="53" t="s">
        <v>160</v>
      </c>
      <c r="L8" s="53">
        <v>1</v>
      </c>
      <c r="N8" s="53">
        <v>4</v>
      </c>
      <c r="O8" s="53">
        <v>0.28000000000000003</v>
      </c>
      <c r="P8" s="53">
        <v>0.26</v>
      </c>
      <c r="Q8" s="76">
        <f t="shared" si="2"/>
        <v>0.27</v>
      </c>
      <c r="R8" s="53">
        <v>14.7</v>
      </c>
      <c r="S8" s="53">
        <v>94</v>
      </c>
      <c r="T8" s="16">
        <f t="shared" si="0"/>
        <v>36</v>
      </c>
      <c r="U8" s="53">
        <v>399</v>
      </c>
      <c r="V8" s="16">
        <f t="shared" si="1"/>
        <v>25</v>
      </c>
      <c r="W8" s="53">
        <v>2</v>
      </c>
      <c r="X8" s="53" t="s">
        <v>39</v>
      </c>
      <c r="Y8" s="53" t="s">
        <v>84</v>
      </c>
      <c r="Z8" s="53" t="s">
        <v>90</v>
      </c>
      <c r="AA8" s="53" t="s">
        <v>40</v>
      </c>
      <c r="AB8" s="53" t="s">
        <v>320</v>
      </c>
      <c r="AE8" s="22" t="s">
        <v>51</v>
      </c>
      <c r="AG8" s="138" t="s">
        <v>330</v>
      </c>
      <c r="AH8" s="139" t="s">
        <v>331</v>
      </c>
      <c r="AJ8" s="28"/>
      <c r="AL8" s="73" t="s">
        <v>66</v>
      </c>
      <c r="AN8" s="73" t="s">
        <v>52</v>
      </c>
      <c r="AP8" s="23" t="s">
        <v>248</v>
      </c>
      <c r="AR8" s="23" t="s">
        <v>54</v>
      </c>
      <c r="AV8" s="23" t="s">
        <v>332</v>
      </c>
      <c r="AX8" s="24">
        <v>84</v>
      </c>
      <c r="AY8" s="25">
        <v>39</v>
      </c>
      <c r="AZ8" s="25">
        <v>84</v>
      </c>
      <c r="BA8" s="26">
        <v>36</v>
      </c>
    </row>
    <row r="9" spans="1:53" x14ac:dyDescent="0.15">
      <c r="A9" s="53" t="s">
        <v>59</v>
      </c>
      <c r="B9" s="53" t="s">
        <v>235</v>
      </c>
      <c r="C9" s="62">
        <v>2020</v>
      </c>
      <c r="D9" s="137" t="s">
        <v>236</v>
      </c>
      <c r="E9" s="53" t="s">
        <v>330</v>
      </c>
      <c r="F9" s="53" t="s">
        <v>331</v>
      </c>
      <c r="G9" s="53" t="s">
        <v>36</v>
      </c>
      <c r="H9" s="53" t="s">
        <v>163</v>
      </c>
      <c r="I9" s="53" t="s">
        <v>159</v>
      </c>
      <c r="J9" s="53" t="s">
        <v>38</v>
      </c>
      <c r="K9" s="53" t="s">
        <v>160</v>
      </c>
      <c r="L9" s="53">
        <v>2</v>
      </c>
      <c r="N9" s="53">
        <v>4</v>
      </c>
      <c r="O9" s="53">
        <v>0.33</v>
      </c>
      <c r="P9" s="53">
        <v>0.4</v>
      </c>
      <c r="Q9" s="76">
        <f t="shared" si="2"/>
        <v>0.36499999999999999</v>
      </c>
      <c r="R9" s="53">
        <v>13.3</v>
      </c>
      <c r="S9" s="53">
        <v>97</v>
      </c>
      <c r="T9" s="16">
        <f t="shared" si="0"/>
        <v>36</v>
      </c>
      <c r="U9" s="53">
        <v>399</v>
      </c>
      <c r="V9" s="16">
        <f t="shared" si="1"/>
        <v>25</v>
      </c>
      <c r="W9" s="53">
        <v>2</v>
      </c>
      <c r="X9" s="53" t="s">
        <v>39</v>
      </c>
      <c r="Y9" s="53" t="s">
        <v>84</v>
      </c>
      <c r="Z9" s="53" t="s">
        <v>90</v>
      </c>
      <c r="AA9" s="53" t="s">
        <v>40</v>
      </c>
      <c r="AB9" s="53" t="s">
        <v>320</v>
      </c>
      <c r="AE9" s="22" t="s">
        <v>56</v>
      </c>
      <c r="AG9" s="138" t="s">
        <v>333</v>
      </c>
      <c r="AH9" s="139" t="s">
        <v>334</v>
      </c>
      <c r="AL9" s="73" t="s">
        <v>99</v>
      </c>
      <c r="AN9" s="73" t="s">
        <v>57</v>
      </c>
      <c r="AP9" s="23" t="s">
        <v>53</v>
      </c>
      <c r="AR9" s="23" t="s">
        <v>335</v>
      </c>
      <c r="AV9" s="23" t="s">
        <v>60</v>
      </c>
      <c r="AX9" s="24">
        <v>97</v>
      </c>
      <c r="AY9" s="25">
        <v>36</v>
      </c>
      <c r="AZ9" s="25">
        <v>99</v>
      </c>
      <c r="BA9" s="26">
        <v>33</v>
      </c>
    </row>
    <row r="10" spans="1:53" x14ac:dyDescent="0.15">
      <c r="A10" s="53" t="s">
        <v>59</v>
      </c>
      <c r="B10" s="53" t="s">
        <v>235</v>
      </c>
      <c r="C10" s="62">
        <v>2020</v>
      </c>
      <c r="D10" s="137" t="s">
        <v>236</v>
      </c>
      <c r="E10" s="53" t="s">
        <v>330</v>
      </c>
      <c r="F10" s="53" t="s">
        <v>331</v>
      </c>
      <c r="G10" s="53" t="s">
        <v>36</v>
      </c>
      <c r="H10" s="53" t="s">
        <v>163</v>
      </c>
      <c r="I10" s="53" t="s">
        <v>159</v>
      </c>
      <c r="J10" s="53" t="s">
        <v>38</v>
      </c>
      <c r="K10" s="53" t="s">
        <v>160</v>
      </c>
      <c r="L10" s="53">
        <v>3</v>
      </c>
      <c r="N10" s="53">
        <v>4</v>
      </c>
      <c r="O10" s="53">
        <v>0.28999999999999998</v>
      </c>
      <c r="P10" s="53">
        <v>0.33</v>
      </c>
      <c r="Q10" s="76">
        <f t="shared" si="2"/>
        <v>0.31</v>
      </c>
      <c r="R10" s="53">
        <v>13.7</v>
      </c>
      <c r="S10" s="53">
        <v>101</v>
      </c>
      <c r="T10" s="16">
        <f t="shared" si="0"/>
        <v>33</v>
      </c>
      <c r="U10" s="53">
        <v>399</v>
      </c>
      <c r="V10" s="16">
        <f t="shared" si="1"/>
        <v>25</v>
      </c>
      <c r="W10" s="53">
        <v>2</v>
      </c>
      <c r="X10" s="53" t="s">
        <v>39</v>
      </c>
      <c r="Y10" s="53" t="s">
        <v>84</v>
      </c>
      <c r="Z10" s="53" t="s">
        <v>90</v>
      </c>
      <c r="AA10" s="53" t="s">
        <v>40</v>
      </c>
      <c r="AB10" s="53" t="s">
        <v>320</v>
      </c>
      <c r="AE10" s="22" t="s">
        <v>61</v>
      </c>
      <c r="AG10" s="138" t="s">
        <v>336</v>
      </c>
      <c r="AH10" s="139" t="s">
        <v>337</v>
      </c>
      <c r="AL10" s="34" t="s">
        <v>109</v>
      </c>
      <c r="AP10" s="23" t="s">
        <v>58</v>
      </c>
      <c r="AR10" s="23" t="s">
        <v>338</v>
      </c>
      <c r="AV10" s="23" t="s">
        <v>64</v>
      </c>
      <c r="AX10" s="24">
        <v>109</v>
      </c>
      <c r="AY10" s="25">
        <v>33</v>
      </c>
      <c r="AZ10" s="25">
        <v>113</v>
      </c>
      <c r="BA10" s="26">
        <v>30</v>
      </c>
    </row>
    <row r="11" spans="1:53" x14ac:dyDescent="0.15">
      <c r="A11" s="53" t="s">
        <v>59</v>
      </c>
      <c r="B11" s="53" t="s">
        <v>235</v>
      </c>
      <c r="C11" s="62">
        <v>2020</v>
      </c>
      <c r="D11" s="137" t="s">
        <v>236</v>
      </c>
      <c r="E11" s="53" t="s">
        <v>330</v>
      </c>
      <c r="F11" s="53" t="s">
        <v>331</v>
      </c>
      <c r="G11" s="53" t="s">
        <v>36</v>
      </c>
      <c r="H11" s="53" t="s">
        <v>127</v>
      </c>
      <c r="I11" s="53" t="s">
        <v>159</v>
      </c>
      <c r="J11" s="53" t="s">
        <v>280</v>
      </c>
      <c r="K11" s="53" t="s">
        <v>319</v>
      </c>
      <c r="L11" s="53">
        <v>1</v>
      </c>
      <c r="N11" s="53">
        <v>5</v>
      </c>
      <c r="O11" s="53">
        <v>1.02</v>
      </c>
      <c r="P11" s="53">
        <v>1.18</v>
      </c>
      <c r="Q11" s="76">
        <f t="shared" si="2"/>
        <v>1.1000000000000001</v>
      </c>
      <c r="R11" s="53">
        <v>12.5</v>
      </c>
      <c r="S11" s="53">
        <v>79</v>
      </c>
      <c r="T11" s="16">
        <f t="shared" si="0"/>
        <v>39</v>
      </c>
      <c r="U11" s="53">
        <v>399</v>
      </c>
      <c r="V11" s="16">
        <f t="shared" si="1"/>
        <v>25</v>
      </c>
      <c r="W11" s="53">
        <v>1</v>
      </c>
      <c r="X11" s="53" t="s">
        <v>39</v>
      </c>
      <c r="Y11" s="53" t="s">
        <v>84</v>
      </c>
      <c r="Z11" s="53" t="s">
        <v>90</v>
      </c>
      <c r="AA11" s="53" t="s">
        <v>40</v>
      </c>
      <c r="AB11" s="53" t="s">
        <v>320</v>
      </c>
      <c r="AE11" s="22" t="s">
        <v>59</v>
      </c>
      <c r="AG11" s="140" t="s">
        <v>161</v>
      </c>
      <c r="AH11" s="139" t="s">
        <v>339</v>
      </c>
      <c r="AL11" s="34" t="s">
        <v>134</v>
      </c>
      <c r="AP11" s="23" t="s">
        <v>62</v>
      </c>
      <c r="AR11" s="23" t="s">
        <v>81</v>
      </c>
      <c r="AV11" s="23" t="s">
        <v>97</v>
      </c>
      <c r="AX11" s="24">
        <v>119</v>
      </c>
      <c r="AY11" s="25">
        <v>30</v>
      </c>
      <c r="AZ11" s="25">
        <v>121</v>
      </c>
      <c r="BA11" s="26">
        <v>27</v>
      </c>
    </row>
    <row r="12" spans="1:53" x14ac:dyDescent="0.15">
      <c r="A12" s="53" t="s">
        <v>59</v>
      </c>
      <c r="B12" s="53" t="s">
        <v>235</v>
      </c>
      <c r="C12" s="62">
        <v>2020</v>
      </c>
      <c r="D12" s="137" t="s">
        <v>236</v>
      </c>
      <c r="E12" s="53" t="s">
        <v>330</v>
      </c>
      <c r="F12" s="53" t="s">
        <v>331</v>
      </c>
      <c r="G12" s="53" t="s">
        <v>36</v>
      </c>
      <c r="H12" s="53" t="s">
        <v>127</v>
      </c>
      <c r="I12" s="53" t="s">
        <v>159</v>
      </c>
      <c r="J12" s="53" t="s">
        <v>280</v>
      </c>
      <c r="K12" s="53" t="s">
        <v>319</v>
      </c>
      <c r="L12" s="53">
        <v>2</v>
      </c>
      <c r="N12" s="53">
        <v>5</v>
      </c>
      <c r="O12" s="53">
        <v>1</v>
      </c>
      <c r="P12" s="53">
        <v>0.92</v>
      </c>
      <c r="Q12" s="76">
        <f t="shared" si="2"/>
        <v>0.96</v>
      </c>
      <c r="R12" s="53">
        <v>15.3</v>
      </c>
      <c r="S12" s="53">
        <v>86</v>
      </c>
      <c r="T12" s="16">
        <f t="shared" si="0"/>
        <v>36</v>
      </c>
      <c r="U12" s="53">
        <v>399</v>
      </c>
      <c r="V12" s="16">
        <f t="shared" si="1"/>
        <v>25</v>
      </c>
      <c r="W12" s="53">
        <v>1</v>
      </c>
      <c r="X12" s="53" t="s">
        <v>39</v>
      </c>
      <c r="Y12" s="53" t="s">
        <v>84</v>
      </c>
      <c r="Z12" s="53" t="s">
        <v>90</v>
      </c>
      <c r="AA12" s="53" t="s">
        <v>40</v>
      </c>
      <c r="AB12" s="53" t="s">
        <v>320</v>
      </c>
      <c r="AE12" s="22" t="s">
        <v>98</v>
      </c>
      <c r="AG12" s="140" t="s">
        <v>340</v>
      </c>
      <c r="AH12" s="139" t="s">
        <v>339</v>
      </c>
      <c r="AL12" s="73"/>
      <c r="AP12" s="23" t="s">
        <v>341</v>
      </c>
      <c r="AR12" s="23" t="s">
        <v>89</v>
      </c>
      <c r="AV12" s="23" t="s">
        <v>102</v>
      </c>
      <c r="AX12" s="24">
        <v>128</v>
      </c>
      <c r="AY12" s="25">
        <v>27</v>
      </c>
      <c r="AZ12" s="25">
        <v>129</v>
      </c>
      <c r="BA12" s="26">
        <v>25</v>
      </c>
    </row>
    <row r="13" spans="1:53" x14ac:dyDescent="0.15">
      <c r="A13" s="53" t="s">
        <v>59</v>
      </c>
      <c r="B13" s="53" t="s">
        <v>235</v>
      </c>
      <c r="C13" s="62">
        <v>2020</v>
      </c>
      <c r="D13" s="137" t="s">
        <v>236</v>
      </c>
      <c r="E13" s="53" t="s">
        <v>330</v>
      </c>
      <c r="F13" s="53" t="s">
        <v>331</v>
      </c>
      <c r="G13" s="53" t="s">
        <v>36</v>
      </c>
      <c r="H13" s="53" t="s">
        <v>127</v>
      </c>
      <c r="I13" s="53" t="s">
        <v>159</v>
      </c>
      <c r="J13" s="53" t="s">
        <v>280</v>
      </c>
      <c r="K13" s="53" t="s">
        <v>319</v>
      </c>
      <c r="L13" s="53">
        <v>3</v>
      </c>
      <c r="N13" s="53">
        <v>5</v>
      </c>
      <c r="O13" s="53">
        <v>0.76</v>
      </c>
      <c r="P13" s="53">
        <v>0.9</v>
      </c>
      <c r="Q13" s="76">
        <f t="shared" si="2"/>
        <v>0.83000000000000007</v>
      </c>
      <c r="R13" s="53">
        <v>12.9</v>
      </c>
      <c r="S13" s="53">
        <v>78</v>
      </c>
      <c r="T13" s="16">
        <f t="shared" si="0"/>
        <v>39</v>
      </c>
      <c r="U13" s="53">
        <v>399</v>
      </c>
      <c r="V13" s="16">
        <f t="shared" si="1"/>
        <v>25</v>
      </c>
      <c r="W13" s="53">
        <v>1</v>
      </c>
      <c r="X13" s="53" t="s">
        <v>39</v>
      </c>
      <c r="Y13" s="53" t="s">
        <v>84</v>
      </c>
      <c r="Z13" s="53" t="s">
        <v>90</v>
      </c>
      <c r="AA13" s="53" t="s">
        <v>40</v>
      </c>
      <c r="AB13" s="53" t="s">
        <v>320</v>
      </c>
      <c r="AE13" s="22" t="s">
        <v>103</v>
      </c>
      <c r="AG13" s="138" t="s">
        <v>342</v>
      </c>
      <c r="AH13" s="139" t="s">
        <v>331</v>
      </c>
      <c r="AL13" s="83"/>
      <c r="AP13" s="23" t="s">
        <v>100</v>
      </c>
      <c r="AR13" s="23" t="s">
        <v>123</v>
      </c>
      <c r="AV13" s="23" t="s">
        <v>106</v>
      </c>
      <c r="AX13" s="24">
        <v>138</v>
      </c>
      <c r="AY13" s="25">
        <v>25</v>
      </c>
      <c r="AZ13" s="25">
        <v>138</v>
      </c>
      <c r="BA13" s="26">
        <v>22</v>
      </c>
    </row>
    <row r="14" spans="1:53" x14ac:dyDescent="0.15">
      <c r="A14" s="53" t="s">
        <v>59</v>
      </c>
      <c r="B14" s="53" t="s">
        <v>235</v>
      </c>
      <c r="C14" s="62">
        <v>2020</v>
      </c>
      <c r="D14" s="137" t="s">
        <v>236</v>
      </c>
      <c r="E14" s="53" t="s">
        <v>342</v>
      </c>
      <c r="F14" s="53" t="s">
        <v>331</v>
      </c>
      <c r="G14" s="53" t="s">
        <v>36</v>
      </c>
      <c r="H14" s="53" t="s">
        <v>163</v>
      </c>
      <c r="I14" s="53" t="s">
        <v>159</v>
      </c>
      <c r="J14" s="53" t="s">
        <v>38</v>
      </c>
      <c r="K14" s="53" t="s">
        <v>160</v>
      </c>
      <c r="L14" s="53">
        <v>1</v>
      </c>
      <c r="N14" s="53">
        <v>4</v>
      </c>
      <c r="O14" s="53">
        <v>0.39</v>
      </c>
      <c r="P14" s="53">
        <v>0.44</v>
      </c>
      <c r="Q14" s="76">
        <f t="shared" si="2"/>
        <v>0.41500000000000004</v>
      </c>
      <c r="R14" s="53">
        <v>14.7</v>
      </c>
      <c r="S14" s="53">
        <v>86</v>
      </c>
      <c r="T14" s="16">
        <f t="shared" si="0"/>
        <v>36</v>
      </c>
      <c r="U14" s="53">
        <v>321</v>
      </c>
      <c r="V14" s="16">
        <f t="shared" si="1"/>
        <v>25</v>
      </c>
      <c r="W14" s="53">
        <v>1</v>
      </c>
      <c r="X14" s="53" t="s">
        <v>46</v>
      </c>
      <c r="Y14" s="53" t="s">
        <v>84</v>
      </c>
      <c r="Z14" s="53" t="s">
        <v>40</v>
      </c>
      <c r="AA14" s="53" t="s">
        <v>90</v>
      </c>
      <c r="AB14" s="53" t="s">
        <v>320</v>
      </c>
      <c r="AE14" s="22" t="s">
        <v>65</v>
      </c>
      <c r="AG14" s="140" t="s">
        <v>343</v>
      </c>
      <c r="AH14" s="139" t="s">
        <v>344</v>
      </c>
      <c r="AL14" s="83"/>
      <c r="AP14" s="23" t="s">
        <v>345</v>
      </c>
      <c r="AR14" s="23" t="s">
        <v>346</v>
      </c>
      <c r="AV14" s="23" t="s">
        <v>347</v>
      </c>
      <c r="AX14" s="24">
        <v>151</v>
      </c>
      <c r="AY14" s="25">
        <v>22</v>
      </c>
      <c r="AZ14" s="25">
        <v>152</v>
      </c>
      <c r="BA14" s="26">
        <v>18</v>
      </c>
    </row>
    <row r="15" spans="1:53" x14ac:dyDescent="0.15">
      <c r="A15" s="53" t="s">
        <v>59</v>
      </c>
      <c r="B15" s="53" t="s">
        <v>235</v>
      </c>
      <c r="C15" s="62">
        <v>2020</v>
      </c>
      <c r="D15" s="137" t="s">
        <v>236</v>
      </c>
      <c r="E15" s="53" t="s">
        <v>342</v>
      </c>
      <c r="F15" s="53" t="s">
        <v>331</v>
      </c>
      <c r="G15" s="53" t="s">
        <v>36</v>
      </c>
      <c r="H15" s="53" t="s">
        <v>163</v>
      </c>
      <c r="I15" s="53" t="s">
        <v>159</v>
      </c>
      <c r="J15" s="53" t="s">
        <v>38</v>
      </c>
      <c r="K15" s="53" t="s">
        <v>160</v>
      </c>
      <c r="L15" s="53">
        <v>2</v>
      </c>
      <c r="N15" s="53">
        <v>4</v>
      </c>
      <c r="O15" s="53">
        <v>0.25</v>
      </c>
      <c r="P15" s="53">
        <v>0.22</v>
      </c>
      <c r="Q15" s="76">
        <f t="shared" si="2"/>
        <v>0.23499999999999999</v>
      </c>
      <c r="R15" s="53">
        <v>15</v>
      </c>
      <c r="S15" s="53">
        <v>90</v>
      </c>
      <c r="T15" s="16">
        <f t="shared" si="0"/>
        <v>36</v>
      </c>
      <c r="U15" s="53">
        <v>321</v>
      </c>
      <c r="V15" s="16">
        <f t="shared" si="1"/>
        <v>25</v>
      </c>
      <c r="W15" s="53">
        <v>1</v>
      </c>
      <c r="X15" s="53" t="s">
        <v>46</v>
      </c>
      <c r="Y15" s="53" t="s">
        <v>84</v>
      </c>
      <c r="Z15" s="53" t="s">
        <v>40</v>
      </c>
      <c r="AA15" s="53" t="s">
        <v>90</v>
      </c>
      <c r="AB15" s="53" t="s">
        <v>320</v>
      </c>
      <c r="AE15" s="22" t="s">
        <v>70</v>
      </c>
      <c r="AG15" s="23"/>
      <c r="AH15" s="141"/>
      <c r="AL15" s="83"/>
      <c r="AP15" s="23" t="s">
        <v>67</v>
      </c>
      <c r="AR15" s="23" t="s">
        <v>124</v>
      </c>
      <c r="AV15" s="23" t="s">
        <v>72</v>
      </c>
      <c r="AX15" s="31">
        <v>180</v>
      </c>
      <c r="AY15" s="32">
        <v>18</v>
      </c>
      <c r="AZ15" s="32">
        <v>181</v>
      </c>
      <c r="BA15" s="33">
        <v>16</v>
      </c>
    </row>
    <row r="16" spans="1:53" x14ac:dyDescent="0.15">
      <c r="A16" s="53" t="s">
        <v>59</v>
      </c>
      <c r="B16" s="53" t="s">
        <v>235</v>
      </c>
      <c r="C16" s="62">
        <v>2020</v>
      </c>
      <c r="D16" s="137" t="s">
        <v>236</v>
      </c>
      <c r="E16" s="53" t="s">
        <v>342</v>
      </c>
      <c r="F16" s="53" t="s">
        <v>331</v>
      </c>
      <c r="G16" s="53" t="s">
        <v>36</v>
      </c>
      <c r="H16" s="53" t="s">
        <v>163</v>
      </c>
      <c r="I16" s="53" t="s">
        <v>159</v>
      </c>
      <c r="J16" s="53" t="s">
        <v>38</v>
      </c>
      <c r="K16" s="53" t="s">
        <v>160</v>
      </c>
      <c r="L16" s="53">
        <v>3</v>
      </c>
      <c r="N16" s="53">
        <v>4</v>
      </c>
      <c r="O16" s="53">
        <v>0.24</v>
      </c>
      <c r="P16" s="53">
        <v>0.28999999999999998</v>
      </c>
      <c r="Q16" s="76">
        <f t="shared" si="2"/>
        <v>0.26500000000000001</v>
      </c>
      <c r="R16" s="53">
        <v>15.1</v>
      </c>
      <c r="S16" s="53">
        <v>94</v>
      </c>
      <c r="T16" s="16">
        <f t="shared" si="0"/>
        <v>36</v>
      </c>
      <c r="U16" s="53">
        <v>321</v>
      </c>
      <c r="V16" s="16">
        <f t="shared" si="1"/>
        <v>25</v>
      </c>
      <c r="W16" s="53">
        <v>1</v>
      </c>
      <c r="X16" s="53" t="s">
        <v>46</v>
      </c>
      <c r="Y16" s="53" t="s">
        <v>84</v>
      </c>
      <c r="Z16" s="53" t="s">
        <v>40</v>
      </c>
      <c r="AA16" s="53" t="s">
        <v>90</v>
      </c>
      <c r="AB16" s="53" t="s">
        <v>320</v>
      </c>
      <c r="AE16" s="22" t="s">
        <v>73</v>
      </c>
      <c r="AG16" s="23"/>
      <c r="AH16" s="23"/>
      <c r="AP16" s="23" t="s">
        <v>71</v>
      </c>
      <c r="AR16" s="23" t="s">
        <v>103</v>
      </c>
      <c r="AV16" s="23" t="s">
        <v>75</v>
      </c>
    </row>
    <row r="17" spans="1:48" x14ac:dyDescent="0.15">
      <c r="A17" s="53" t="s">
        <v>59</v>
      </c>
      <c r="B17" s="53" t="s">
        <v>235</v>
      </c>
      <c r="C17" s="62">
        <v>2020</v>
      </c>
      <c r="D17" s="137" t="s">
        <v>236</v>
      </c>
      <c r="E17" s="53" t="s">
        <v>342</v>
      </c>
      <c r="F17" s="53" t="s">
        <v>331</v>
      </c>
      <c r="G17" s="53" t="s">
        <v>36</v>
      </c>
      <c r="H17" s="53" t="s">
        <v>128</v>
      </c>
      <c r="I17" s="53" t="s">
        <v>159</v>
      </c>
      <c r="J17" s="53" t="s">
        <v>80</v>
      </c>
      <c r="K17" s="53" t="s">
        <v>338</v>
      </c>
      <c r="L17" s="53">
        <v>1</v>
      </c>
      <c r="N17" s="53">
        <v>4</v>
      </c>
      <c r="O17" s="53">
        <v>0.48</v>
      </c>
      <c r="P17" s="53">
        <v>0.56000000000000005</v>
      </c>
      <c r="Q17" s="76">
        <f t="shared" si="2"/>
        <v>0.52</v>
      </c>
      <c r="R17" s="53">
        <v>14.5</v>
      </c>
      <c r="S17" s="53">
        <v>88</v>
      </c>
      <c r="T17" s="16">
        <f t="shared" si="0"/>
        <v>36</v>
      </c>
      <c r="U17" s="53">
        <v>518</v>
      </c>
      <c r="V17" s="16">
        <f t="shared" si="1"/>
        <v>25</v>
      </c>
      <c r="W17" s="53">
        <v>1</v>
      </c>
      <c r="X17" s="53" t="s">
        <v>46</v>
      </c>
      <c r="Y17" s="53" t="s">
        <v>84</v>
      </c>
      <c r="Z17" s="53" t="s">
        <v>40</v>
      </c>
      <c r="AA17" s="53" t="s">
        <v>90</v>
      </c>
      <c r="AB17" s="53" t="s">
        <v>320</v>
      </c>
      <c r="AE17" s="22" t="s">
        <v>76</v>
      </c>
      <c r="AG17" s="23"/>
      <c r="AH17" s="23"/>
      <c r="AP17" s="23" t="s">
        <v>348</v>
      </c>
      <c r="AR17" s="23" t="s">
        <v>125</v>
      </c>
      <c r="AV17" s="23" t="s">
        <v>78</v>
      </c>
    </row>
    <row r="18" spans="1:48" x14ac:dyDescent="0.15">
      <c r="A18" s="53" t="s">
        <v>59</v>
      </c>
      <c r="B18" s="53" t="s">
        <v>235</v>
      </c>
      <c r="C18" s="62">
        <v>2020</v>
      </c>
      <c r="D18" s="137" t="s">
        <v>236</v>
      </c>
      <c r="E18" s="53" t="s">
        <v>342</v>
      </c>
      <c r="F18" s="53" t="s">
        <v>331</v>
      </c>
      <c r="G18" s="53" t="s">
        <v>36</v>
      </c>
      <c r="H18" s="53" t="s">
        <v>128</v>
      </c>
      <c r="I18" s="53" t="s">
        <v>159</v>
      </c>
      <c r="J18" s="53" t="s">
        <v>80</v>
      </c>
      <c r="K18" s="53" t="s">
        <v>338</v>
      </c>
      <c r="L18" s="53">
        <v>2</v>
      </c>
      <c r="N18" s="53">
        <v>4</v>
      </c>
      <c r="O18" s="53">
        <v>0.55000000000000004</v>
      </c>
      <c r="P18" s="53">
        <v>0.56000000000000005</v>
      </c>
      <c r="Q18" s="76">
        <f t="shared" si="2"/>
        <v>0.55500000000000005</v>
      </c>
      <c r="R18" s="53">
        <v>13.2</v>
      </c>
      <c r="S18" s="53">
        <v>92</v>
      </c>
      <c r="T18" s="16">
        <f t="shared" si="0"/>
        <v>36</v>
      </c>
      <c r="U18" s="53">
        <v>518</v>
      </c>
      <c r="V18" s="16">
        <f t="shared" si="1"/>
        <v>25</v>
      </c>
      <c r="W18" s="53">
        <v>1</v>
      </c>
      <c r="X18" s="53" t="s">
        <v>46</v>
      </c>
      <c r="Y18" s="53" t="s">
        <v>84</v>
      </c>
      <c r="Z18" s="53" t="s">
        <v>40</v>
      </c>
      <c r="AA18" s="53" t="s">
        <v>90</v>
      </c>
      <c r="AB18" s="53" t="s">
        <v>320</v>
      </c>
      <c r="AE18" s="22" t="s">
        <v>79</v>
      </c>
      <c r="AG18" s="23"/>
      <c r="AH18" s="23"/>
      <c r="AP18" s="23" t="s">
        <v>349</v>
      </c>
      <c r="AR18" s="23" t="s">
        <v>94</v>
      </c>
      <c r="AV18" s="23" t="s">
        <v>107</v>
      </c>
    </row>
    <row r="19" spans="1:48" x14ac:dyDescent="0.15">
      <c r="A19" s="53" t="s">
        <v>59</v>
      </c>
      <c r="B19" s="53" t="s">
        <v>235</v>
      </c>
      <c r="C19" s="62">
        <v>2020</v>
      </c>
      <c r="D19" s="137" t="s">
        <v>236</v>
      </c>
      <c r="E19" s="53" t="s">
        <v>342</v>
      </c>
      <c r="F19" s="53" t="s">
        <v>331</v>
      </c>
      <c r="G19" s="53" t="s">
        <v>36</v>
      </c>
      <c r="H19" s="53" t="s">
        <v>128</v>
      </c>
      <c r="I19" s="53" t="s">
        <v>159</v>
      </c>
      <c r="J19" s="53" t="s">
        <v>80</v>
      </c>
      <c r="K19" s="53" t="s">
        <v>338</v>
      </c>
      <c r="L19" s="53">
        <v>3</v>
      </c>
      <c r="N19" s="53">
        <v>4</v>
      </c>
      <c r="O19" s="53">
        <v>0.52</v>
      </c>
      <c r="P19" s="53">
        <v>0.55000000000000004</v>
      </c>
      <c r="Q19" s="76">
        <f t="shared" si="2"/>
        <v>0.53500000000000003</v>
      </c>
      <c r="R19" s="53">
        <v>14.2</v>
      </c>
      <c r="S19" s="53">
        <v>92</v>
      </c>
      <c r="T19" s="16">
        <f t="shared" si="0"/>
        <v>36</v>
      </c>
      <c r="U19" s="53">
        <v>518</v>
      </c>
      <c r="V19" s="16">
        <f t="shared" si="1"/>
        <v>25</v>
      </c>
      <c r="W19" s="53">
        <v>1</v>
      </c>
      <c r="X19" s="53" t="s">
        <v>46</v>
      </c>
      <c r="Y19" s="53" t="s">
        <v>84</v>
      </c>
      <c r="Z19" s="53" t="s">
        <v>40</v>
      </c>
      <c r="AA19" s="53" t="s">
        <v>90</v>
      </c>
      <c r="AB19" s="53" t="s">
        <v>320</v>
      </c>
      <c r="AE19" s="22" t="s">
        <v>82</v>
      </c>
      <c r="AG19" s="28"/>
      <c r="AH19" s="28"/>
      <c r="AP19" s="23" t="s">
        <v>80</v>
      </c>
      <c r="AR19" s="23" t="s">
        <v>63</v>
      </c>
      <c r="AV19" s="23" t="s">
        <v>84</v>
      </c>
    </row>
    <row r="20" spans="1:48" x14ac:dyDescent="0.15">
      <c r="A20" s="53" t="s">
        <v>59</v>
      </c>
      <c r="B20" s="53" t="s">
        <v>235</v>
      </c>
      <c r="C20" s="62">
        <v>2020</v>
      </c>
      <c r="D20" s="137" t="s">
        <v>236</v>
      </c>
      <c r="E20" s="53" t="s">
        <v>340</v>
      </c>
      <c r="F20" s="53" t="s">
        <v>339</v>
      </c>
      <c r="G20" s="53" t="s">
        <v>36</v>
      </c>
      <c r="H20" s="53" t="s">
        <v>163</v>
      </c>
      <c r="I20" s="53" t="s">
        <v>159</v>
      </c>
      <c r="J20" s="53" t="s">
        <v>38</v>
      </c>
      <c r="K20" s="53" t="s">
        <v>160</v>
      </c>
      <c r="L20" s="53">
        <v>1</v>
      </c>
      <c r="N20" s="53">
        <v>4</v>
      </c>
      <c r="O20" s="53">
        <v>0.24</v>
      </c>
      <c r="P20" s="53">
        <v>0.27</v>
      </c>
      <c r="Q20" s="76">
        <f t="shared" si="2"/>
        <v>0.255</v>
      </c>
      <c r="R20" s="53">
        <v>16.899999999999999</v>
      </c>
      <c r="S20" s="53">
        <v>105</v>
      </c>
      <c r="T20" s="16">
        <f t="shared" si="0"/>
        <v>33</v>
      </c>
      <c r="U20" s="53">
        <v>398</v>
      </c>
      <c r="V20" s="16">
        <f t="shared" si="1"/>
        <v>25</v>
      </c>
      <c r="W20" s="53">
        <v>1</v>
      </c>
      <c r="X20" s="53" t="s">
        <v>39</v>
      </c>
      <c r="Y20" s="53" t="s">
        <v>84</v>
      </c>
      <c r="Z20" s="53" t="s">
        <v>90</v>
      </c>
      <c r="AA20" s="53" t="s">
        <v>69</v>
      </c>
      <c r="AB20" s="53" t="s">
        <v>320</v>
      </c>
      <c r="AE20" s="22" t="s">
        <v>85</v>
      </c>
      <c r="AP20" s="27" t="s">
        <v>110</v>
      </c>
      <c r="AR20" s="23" t="s">
        <v>96</v>
      </c>
      <c r="AV20" s="23" t="s">
        <v>86</v>
      </c>
    </row>
    <row r="21" spans="1:48" x14ac:dyDescent="0.15">
      <c r="A21" s="53" t="s">
        <v>59</v>
      </c>
      <c r="B21" s="53" t="s">
        <v>235</v>
      </c>
      <c r="C21" s="62">
        <v>2020</v>
      </c>
      <c r="D21" s="137" t="s">
        <v>236</v>
      </c>
      <c r="E21" s="53" t="s">
        <v>340</v>
      </c>
      <c r="F21" s="53" t="s">
        <v>339</v>
      </c>
      <c r="G21" s="53" t="s">
        <v>36</v>
      </c>
      <c r="H21" s="53" t="s">
        <v>163</v>
      </c>
      <c r="I21" s="53" t="s">
        <v>159</v>
      </c>
      <c r="J21" s="53" t="s">
        <v>38</v>
      </c>
      <c r="K21" s="53" t="s">
        <v>160</v>
      </c>
      <c r="L21" s="53">
        <v>2</v>
      </c>
      <c r="N21" s="53">
        <v>4</v>
      </c>
      <c r="O21" s="53">
        <v>0.22</v>
      </c>
      <c r="P21" s="53">
        <v>0.24</v>
      </c>
      <c r="Q21" s="76">
        <f t="shared" si="2"/>
        <v>0.22999999999999998</v>
      </c>
      <c r="R21" s="53">
        <v>16.2</v>
      </c>
      <c r="S21" s="53">
        <v>100</v>
      </c>
      <c r="T21" s="16">
        <f t="shared" si="0"/>
        <v>33</v>
      </c>
      <c r="U21" s="53">
        <v>398</v>
      </c>
      <c r="V21" s="16">
        <f t="shared" si="1"/>
        <v>25</v>
      </c>
      <c r="W21" s="53">
        <v>1</v>
      </c>
      <c r="X21" s="53" t="s">
        <v>39</v>
      </c>
      <c r="Y21" s="53" t="s">
        <v>84</v>
      </c>
      <c r="Z21" s="53" t="s">
        <v>90</v>
      </c>
      <c r="AA21" s="53" t="s">
        <v>69</v>
      </c>
      <c r="AB21" s="53" t="s">
        <v>320</v>
      </c>
      <c r="AE21" s="22" t="s">
        <v>87</v>
      </c>
      <c r="AP21" s="27" t="s">
        <v>350</v>
      </c>
      <c r="AR21" s="23" t="s">
        <v>101</v>
      </c>
      <c r="AV21" s="23" t="s">
        <v>88</v>
      </c>
    </row>
    <row r="22" spans="1:48" x14ac:dyDescent="0.15">
      <c r="A22" s="53" t="s">
        <v>59</v>
      </c>
      <c r="B22" s="53" t="s">
        <v>235</v>
      </c>
      <c r="C22" s="62">
        <v>2020</v>
      </c>
      <c r="D22" s="137" t="s">
        <v>236</v>
      </c>
      <c r="E22" s="53" t="s">
        <v>340</v>
      </c>
      <c r="F22" s="53" t="s">
        <v>339</v>
      </c>
      <c r="G22" s="53" t="s">
        <v>36</v>
      </c>
      <c r="H22" s="53" t="s">
        <v>163</v>
      </c>
      <c r="I22" s="53" t="s">
        <v>159</v>
      </c>
      <c r="J22" s="53" t="s">
        <v>38</v>
      </c>
      <c r="K22" s="53" t="s">
        <v>160</v>
      </c>
      <c r="L22" s="53">
        <v>3</v>
      </c>
      <c r="N22" s="53">
        <v>4</v>
      </c>
      <c r="O22" s="53">
        <v>0.24</v>
      </c>
      <c r="P22" s="53">
        <v>0.21</v>
      </c>
      <c r="Q22" s="76">
        <f t="shared" si="2"/>
        <v>0.22499999999999998</v>
      </c>
      <c r="R22" s="53">
        <v>15.2</v>
      </c>
      <c r="S22" s="53">
        <v>98</v>
      </c>
      <c r="T22" s="16">
        <f t="shared" si="0"/>
        <v>36</v>
      </c>
      <c r="U22" s="53">
        <v>398</v>
      </c>
      <c r="V22" s="16">
        <f t="shared" si="1"/>
        <v>25</v>
      </c>
      <c r="W22" s="53">
        <v>1</v>
      </c>
      <c r="X22" s="53" t="s">
        <v>39</v>
      </c>
      <c r="Y22" s="53" t="s">
        <v>84</v>
      </c>
      <c r="Z22" s="53" t="s">
        <v>90</v>
      </c>
      <c r="AA22" s="53" t="s">
        <v>69</v>
      </c>
      <c r="AB22" s="53" t="s">
        <v>320</v>
      </c>
      <c r="AE22" s="35" t="s">
        <v>89</v>
      </c>
      <c r="AP22" s="27" t="s">
        <v>112</v>
      </c>
      <c r="AR22" s="23" t="s">
        <v>126</v>
      </c>
      <c r="AV22" s="23" t="s">
        <v>351</v>
      </c>
    </row>
    <row r="23" spans="1:48" x14ac:dyDescent="0.15">
      <c r="A23" s="53" t="s">
        <v>59</v>
      </c>
      <c r="B23" s="53" t="s">
        <v>235</v>
      </c>
      <c r="C23" s="62">
        <v>2020</v>
      </c>
      <c r="D23" s="137" t="s">
        <v>236</v>
      </c>
      <c r="E23" s="53" t="s">
        <v>161</v>
      </c>
      <c r="F23" s="53" t="s">
        <v>339</v>
      </c>
      <c r="G23" s="53" t="s">
        <v>36</v>
      </c>
      <c r="H23" s="53" t="s">
        <v>163</v>
      </c>
      <c r="I23" s="53" t="s">
        <v>159</v>
      </c>
      <c r="J23" s="53" t="s">
        <v>38</v>
      </c>
      <c r="K23" s="53" t="s">
        <v>160</v>
      </c>
      <c r="L23" s="53">
        <v>1</v>
      </c>
      <c r="N23" s="53">
        <v>1</v>
      </c>
      <c r="O23" s="53">
        <v>0.33</v>
      </c>
      <c r="P23" s="53">
        <v>0.35</v>
      </c>
      <c r="Q23" s="76">
        <f t="shared" si="2"/>
        <v>0.33999999999999997</v>
      </c>
      <c r="R23" s="53">
        <v>14.2</v>
      </c>
      <c r="S23" s="53">
        <v>106</v>
      </c>
      <c r="T23" s="16">
        <f t="shared" si="0"/>
        <v>33</v>
      </c>
      <c r="U23" s="53">
        <v>88</v>
      </c>
      <c r="V23" s="16">
        <f t="shared" si="1"/>
        <v>36</v>
      </c>
      <c r="W23" s="53">
        <v>2</v>
      </c>
      <c r="X23" s="53" t="s">
        <v>46</v>
      </c>
      <c r="Y23" s="53" t="s">
        <v>84</v>
      </c>
      <c r="Z23" s="53" t="s">
        <v>40</v>
      </c>
      <c r="AA23" s="53" t="s">
        <v>69</v>
      </c>
      <c r="AB23" s="53" t="s">
        <v>320</v>
      </c>
      <c r="AE23" s="35"/>
      <c r="AP23" s="27" t="s">
        <v>113</v>
      </c>
      <c r="AR23" s="23" t="s">
        <v>105</v>
      </c>
      <c r="AV23" s="27" t="s">
        <v>135</v>
      </c>
    </row>
    <row r="24" spans="1:48" x14ac:dyDescent="0.15">
      <c r="A24" s="53" t="s">
        <v>59</v>
      </c>
      <c r="B24" s="53" t="s">
        <v>235</v>
      </c>
      <c r="C24" s="62">
        <v>2020</v>
      </c>
      <c r="D24" s="137" t="s">
        <v>236</v>
      </c>
      <c r="E24" s="53" t="s">
        <v>161</v>
      </c>
      <c r="F24" s="53" t="s">
        <v>339</v>
      </c>
      <c r="G24" s="53" t="s">
        <v>36</v>
      </c>
      <c r="H24" s="53" t="s">
        <v>163</v>
      </c>
      <c r="I24" s="53" t="s">
        <v>159</v>
      </c>
      <c r="J24" s="53" t="s">
        <v>38</v>
      </c>
      <c r="K24" s="53" t="s">
        <v>160</v>
      </c>
      <c r="L24" s="53">
        <v>2</v>
      </c>
      <c r="N24" s="53">
        <v>1</v>
      </c>
      <c r="O24" s="53">
        <v>0.4</v>
      </c>
      <c r="P24" s="53">
        <v>0.33</v>
      </c>
      <c r="Q24" s="76">
        <f t="shared" si="2"/>
        <v>0.36499999999999999</v>
      </c>
      <c r="R24" s="53">
        <v>14.3</v>
      </c>
      <c r="S24" s="53">
        <v>105</v>
      </c>
      <c r="T24" s="16">
        <f t="shared" si="0"/>
        <v>33</v>
      </c>
      <c r="U24" s="53">
        <v>88</v>
      </c>
      <c r="V24" s="16">
        <f t="shared" si="1"/>
        <v>36</v>
      </c>
      <c r="W24" s="53">
        <v>2</v>
      </c>
      <c r="X24" s="53" t="s">
        <v>46</v>
      </c>
      <c r="Y24" s="53" t="s">
        <v>84</v>
      </c>
      <c r="Z24" s="53" t="s">
        <v>40</v>
      </c>
      <c r="AA24" s="53" t="s">
        <v>69</v>
      </c>
      <c r="AB24" s="53" t="s">
        <v>320</v>
      </c>
      <c r="AE24" s="28"/>
      <c r="AP24" s="27" t="s">
        <v>352</v>
      </c>
      <c r="AR24" s="23" t="s">
        <v>68</v>
      </c>
      <c r="AV24" s="27" t="s">
        <v>136</v>
      </c>
    </row>
    <row r="25" spans="1:48" x14ac:dyDescent="0.15">
      <c r="A25" s="53" t="s">
        <v>59</v>
      </c>
      <c r="B25" s="53" t="s">
        <v>235</v>
      </c>
      <c r="C25" s="62">
        <v>2020</v>
      </c>
      <c r="D25" s="137" t="s">
        <v>236</v>
      </c>
      <c r="E25" s="53" t="s">
        <v>161</v>
      </c>
      <c r="F25" s="53" t="s">
        <v>339</v>
      </c>
      <c r="G25" s="53" t="s">
        <v>36</v>
      </c>
      <c r="H25" s="53" t="s">
        <v>163</v>
      </c>
      <c r="I25" s="53" t="s">
        <v>159</v>
      </c>
      <c r="J25" s="53" t="s">
        <v>38</v>
      </c>
      <c r="K25" s="53" t="s">
        <v>160</v>
      </c>
      <c r="L25" s="53">
        <v>3</v>
      </c>
      <c r="N25" s="53">
        <v>1</v>
      </c>
      <c r="O25" s="53">
        <v>0.38</v>
      </c>
      <c r="P25" s="53">
        <v>0.36</v>
      </c>
      <c r="Q25" s="76">
        <f t="shared" si="2"/>
        <v>0.37</v>
      </c>
      <c r="R25" s="53">
        <v>14.1</v>
      </c>
      <c r="S25" s="53">
        <v>110</v>
      </c>
      <c r="T25" s="16">
        <f t="shared" si="0"/>
        <v>33</v>
      </c>
      <c r="U25" s="53">
        <v>88</v>
      </c>
      <c r="V25" s="16">
        <f t="shared" si="1"/>
        <v>36</v>
      </c>
      <c r="W25" s="53">
        <v>2</v>
      </c>
      <c r="X25" s="53" t="s">
        <v>46</v>
      </c>
      <c r="Y25" s="53" t="s">
        <v>84</v>
      </c>
      <c r="Z25" s="53" t="s">
        <v>40</v>
      </c>
      <c r="AA25" s="53" t="s">
        <v>69</v>
      </c>
      <c r="AB25" s="53" t="s">
        <v>320</v>
      </c>
      <c r="AP25" s="27" t="s">
        <v>353</v>
      </c>
      <c r="AR25" s="23" t="s">
        <v>83</v>
      </c>
      <c r="AV25" s="27" t="s">
        <v>354</v>
      </c>
    </row>
    <row r="26" spans="1:48" x14ac:dyDescent="0.15">
      <c r="A26" s="53" t="s">
        <v>59</v>
      </c>
      <c r="B26" s="53" t="s">
        <v>235</v>
      </c>
      <c r="C26" s="62">
        <v>2020</v>
      </c>
      <c r="D26" s="137" t="s">
        <v>236</v>
      </c>
      <c r="E26" s="53" t="s">
        <v>161</v>
      </c>
      <c r="F26" s="53" t="s">
        <v>339</v>
      </c>
      <c r="G26" s="53" t="s">
        <v>36</v>
      </c>
      <c r="H26" s="53" t="s">
        <v>164</v>
      </c>
      <c r="I26" s="53" t="s">
        <v>159</v>
      </c>
      <c r="J26" s="53" t="s">
        <v>38</v>
      </c>
      <c r="K26" s="53" t="s">
        <v>335</v>
      </c>
      <c r="L26" s="53">
        <v>1</v>
      </c>
      <c r="N26" s="53">
        <v>4</v>
      </c>
      <c r="O26" s="53">
        <v>0.31</v>
      </c>
      <c r="P26" s="53">
        <v>0.24</v>
      </c>
      <c r="Q26" s="76">
        <f t="shared" si="2"/>
        <v>0.27500000000000002</v>
      </c>
      <c r="R26" s="53">
        <v>15.7</v>
      </c>
      <c r="S26" s="53">
        <v>75</v>
      </c>
      <c r="T26" s="16">
        <f t="shared" si="0"/>
        <v>42</v>
      </c>
      <c r="U26" s="53">
        <v>498</v>
      </c>
      <c r="V26" s="16">
        <f t="shared" si="1"/>
        <v>25</v>
      </c>
      <c r="W26" s="53">
        <v>2</v>
      </c>
      <c r="X26" s="53" t="s">
        <v>46</v>
      </c>
      <c r="Y26" s="53" t="s">
        <v>84</v>
      </c>
      <c r="Z26" s="53" t="s">
        <v>40</v>
      </c>
      <c r="AA26" s="53" t="s">
        <v>69</v>
      </c>
      <c r="AB26" s="53" t="s">
        <v>320</v>
      </c>
      <c r="AP26" s="27" t="s">
        <v>137</v>
      </c>
      <c r="AR26" s="23" t="s">
        <v>61</v>
      </c>
      <c r="AV26" s="27" t="s">
        <v>355</v>
      </c>
    </row>
    <row r="27" spans="1:48" x14ac:dyDescent="0.15">
      <c r="A27" s="53" t="s">
        <v>59</v>
      </c>
      <c r="B27" s="53" t="s">
        <v>235</v>
      </c>
      <c r="C27" s="62">
        <v>2020</v>
      </c>
      <c r="D27" s="137" t="s">
        <v>236</v>
      </c>
      <c r="E27" s="53" t="s">
        <v>161</v>
      </c>
      <c r="F27" s="53" t="s">
        <v>339</v>
      </c>
      <c r="G27" s="53" t="s">
        <v>36</v>
      </c>
      <c r="H27" s="53" t="s">
        <v>164</v>
      </c>
      <c r="I27" s="53" t="s">
        <v>159</v>
      </c>
      <c r="J27" s="53" t="s">
        <v>38</v>
      </c>
      <c r="K27" s="53" t="s">
        <v>335</v>
      </c>
      <c r="L27" s="53">
        <v>2</v>
      </c>
      <c r="N27" s="53">
        <v>4</v>
      </c>
      <c r="O27" s="53">
        <v>0.36</v>
      </c>
      <c r="P27" s="53">
        <v>0.36</v>
      </c>
      <c r="Q27" s="76">
        <f t="shared" si="2"/>
        <v>0.36</v>
      </c>
      <c r="R27" s="53">
        <v>15.8</v>
      </c>
      <c r="S27" s="53">
        <v>75</v>
      </c>
      <c r="T27" s="16">
        <f t="shared" si="0"/>
        <v>42</v>
      </c>
      <c r="U27" s="53">
        <v>498</v>
      </c>
      <c r="V27" s="16">
        <f t="shared" si="1"/>
        <v>25</v>
      </c>
      <c r="W27" s="53">
        <v>2</v>
      </c>
      <c r="X27" s="53" t="s">
        <v>46</v>
      </c>
      <c r="Y27" s="53" t="s">
        <v>84</v>
      </c>
      <c r="Z27" s="53" t="s">
        <v>40</v>
      </c>
      <c r="AA27" s="53" t="s">
        <v>69</v>
      </c>
      <c r="AB27" s="53" t="s">
        <v>320</v>
      </c>
      <c r="AP27" s="27" t="s">
        <v>138</v>
      </c>
      <c r="AR27" s="23" t="s">
        <v>91</v>
      </c>
      <c r="AV27" s="27" t="s">
        <v>356</v>
      </c>
    </row>
    <row r="28" spans="1:48" x14ac:dyDescent="0.15">
      <c r="A28" s="53" t="s">
        <v>59</v>
      </c>
      <c r="B28" s="53" t="s">
        <v>235</v>
      </c>
      <c r="C28" s="62">
        <v>2020</v>
      </c>
      <c r="D28" s="137" t="s">
        <v>236</v>
      </c>
      <c r="E28" s="53" t="s">
        <v>161</v>
      </c>
      <c r="F28" s="53" t="s">
        <v>339</v>
      </c>
      <c r="G28" s="53" t="s">
        <v>36</v>
      </c>
      <c r="H28" s="53" t="s">
        <v>164</v>
      </c>
      <c r="I28" s="53" t="s">
        <v>159</v>
      </c>
      <c r="J28" s="53" t="s">
        <v>38</v>
      </c>
      <c r="K28" s="53" t="s">
        <v>335</v>
      </c>
      <c r="L28" s="53">
        <v>3</v>
      </c>
      <c r="N28" s="53">
        <v>4</v>
      </c>
      <c r="O28" s="53">
        <v>0.32</v>
      </c>
      <c r="P28" s="53">
        <v>0.4</v>
      </c>
      <c r="Q28" s="76">
        <f t="shared" si="2"/>
        <v>0.36</v>
      </c>
      <c r="R28" s="53">
        <v>15.7</v>
      </c>
      <c r="S28" s="53">
        <v>77</v>
      </c>
      <c r="T28" s="16">
        <f t="shared" si="0"/>
        <v>42</v>
      </c>
      <c r="U28" s="53">
        <v>498</v>
      </c>
      <c r="V28" s="16">
        <f t="shared" si="1"/>
        <v>25</v>
      </c>
      <c r="W28" s="53">
        <v>2</v>
      </c>
      <c r="X28" s="53" t="s">
        <v>46</v>
      </c>
      <c r="Y28" s="53" t="s">
        <v>84</v>
      </c>
      <c r="Z28" s="53" t="s">
        <v>40</v>
      </c>
      <c r="AA28" s="53" t="s">
        <v>69</v>
      </c>
      <c r="AB28" s="53" t="s">
        <v>320</v>
      </c>
      <c r="AP28" s="27" t="s">
        <v>116</v>
      </c>
      <c r="AR28" s="27" t="s">
        <v>92</v>
      </c>
      <c r="AV28" s="27" t="s">
        <v>357</v>
      </c>
    </row>
    <row r="29" spans="1:48" x14ac:dyDescent="0.15">
      <c r="A29" s="53" t="s">
        <v>59</v>
      </c>
      <c r="B29" s="53" t="s">
        <v>235</v>
      </c>
      <c r="C29" s="62">
        <v>2020</v>
      </c>
      <c r="D29" s="137" t="s">
        <v>236</v>
      </c>
      <c r="E29" s="53" t="s">
        <v>336</v>
      </c>
      <c r="F29" s="53" t="s">
        <v>337</v>
      </c>
      <c r="G29" s="53" t="s">
        <v>36</v>
      </c>
      <c r="H29" s="53" t="s">
        <v>163</v>
      </c>
      <c r="I29" s="53" t="s">
        <v>159</v>
      </c>
      <c r="J29" s="53" t="s">
        <v>38</v>
      </c>
      <c r="K29" s="53" t="s">
        <v>160</v>
      </c>
      <c r="L29" s="53">
        <v>1</v>
      </c>
      <c r="N29" s="53">
        <v>3</v>
      </c>
      <c r="O29" s="53">
        <v>0.5</v>
      </c>
      <c r="P29" s="53">
        <v>0.56000000000000005</v>
      </c>
      <c r="Q29" s="76">
        <f t="shared" si="2"/>
        <v>0.53</v>
      </c>
      <c r="R29" s="53">
        <v>13.4</v>
      </c>
      <c r="S29" s="53">
        <v>107</v>
      </c>
      <c r="T29" s="16">
        <f t="shared" si="0"/>
        <v>33</v>
      </c>
      <c r="U29" s="53">
        <v>299</v>
      </c>
      <c r="V29" s="16">
        <f t="shared" si="1"/>
        <v>25</v>
      </c>
      <c r="W29" s="53">
        <v>2</v>
      </c>
      <c r="X29" s="53" t="s">
        <v>39</v>
      </c>
      <c r="Y29" s="53" t="s">
        <v>40</v>
      </c>
      <c r="Z29" s="53" t="s">
        <v>90</v>
      </c>
      <c r="AA29" s="53" t="s">
        <v>69</v>
      </c>
      <c r="AB29" s="53" t="s">
        <v>320</v>
      </c>
      <c r="AP29" s="27" t="s">
        <v>117</v>
      </c>
      <c r="AR29" s="27" t="s">
        <v>358</v>
      </c>
      <c r="AV29" s="27"/>
    </row>
    <row r="30" spans="1:48" x14ac:dyDescent="0.15">
      <c r="A30" s="53" t="s">
        <v>59</v>
      </c>
      <c r="B30" s="53" t="s">
        <v>235</v>
      </c>
      <c r="C30" s="62">
        <v>2020</v>
      </c>
      <c r="D30" s="137" t="s">
        <v>236</v>
      </c>
      <c r="E30" s="53" t="s">
        <v>336</v>
      </c>
      <c r="F30" s="53" t="s">
        <v>337</v>
      </c>
      <c r="G30" s="53" t="s">
        <v>36</v>
      </c>
      <c r="H30" s="53" t="s">
        <v>163</v>
      </c>
      <c r="I30" s="53" t="s">
        <v>159</v>
      </c>
      <c r="J30" s="53" t="s">
        <v>38</v>
      </c>
      <c r="K30" s="53" t="s">
        <v>160</v>
      </c>
      <c r="L30" s="53">
        <v>2</v>
      </c>
      <c r="N30" s="53">
        <v>3</v>
      </c>
      <c r="O30" s="53">
        <v>0.41</v>
      </c>
      <c r="P30" s="53">
        <v>0.32</v>
      </c>
      <c r="Q30" s="76">
        <f t="shared" si="2"/>
        <v>0.36499999999999999</v>
      </c>
      <c r="R30" s="53">
        <v>15.7</v>
      </c>
      <c r="S30" s="53">
        <v>103</v>
      </c>
      <c r="T30" s="16">
        <f t="shared" si="0"/>
        <v>33</v>
      </c>
      <c r="U30" s="53">
        <v>299</v>
      </c>
      <c r="V30" s="16">
        <f t="shared" si="1"/>
        <v>25</v>
      </c>
      <c r="W30" s="53">
        <v>2</v>
      </c>
      <c r="X30" s="53" t="s">
        <v>39</v>
      </c>
      <c r="Y30" s="53" t="s">
        <v>40</v>
      </c>
      <c r="Z30" s="53" t="s">
        <v>90</v>
      </c>
      <c r="AA30" s="53" t="s">
        <v>69</v>
      </c>
      <c r="AB30" s="53" t="s">
        <v>320</v>
      </c>
      <c r="AP30" s="27" t="s">
        <v>118</v>
      </c>
      <c r="AR30" s="28" t="s">
        <v>153</v>
      </c>
      <c r="AV30" s="27"/>
    </row>
    <row r="31" spans="1:48" x14ac:dyDescent="0.15">
      <c r="A31" s="53" t="s">
        <v>59</v>
      </c>
      <c r="B31" s="53" t="s">
        <v>235</v>
      </c>
      <c r="C31" s="62">
        <v>2020</v>
      </c>
      <c r="D31" s="137" t="s">
        <v>236</v>
      </c>
      <c r="E31" s="53" t="s">
        <v>336</v>
      </c>
      <c r="F31" s="53" t="s">
        <v>337</v>
      </c>
      <c r="G31" s="53" t="s">
        <v>36</v>
      </c>
      <c r="H31" s="53" t="s">
        <v>163</v>
      </c>
      <c r="I31" s="53" t="s">
        <v>159</v>
      </c>
      <c r="J31" s="53" t="s">
        <v>38</v>
      </c>
      <c r="K31" s="53" t="s">
        <v>160</v>
      </c>
      <c r="L31" s="53">
        <v>3</v>
      </c>
      <c r="N31" s="53">
        <v>3</v>
      </c>
      <c r="O31" s="53">
        <v>0.38</v>
      </c>
      <c r="P31" s="53">
        <v>0.44</v>
      </c>
      <c r="Q31" s="76">
        <f t="shared" si="2"/>
        <v>0.41000000000000003</v>
      </c>
      <c r="R31" s="53">
        <v>15.2</v>
      </c>
      <c r="S31" s="53">
        <v>110</v>
      </c>
      <c r="T31" s="16">
        <f t="shared" si="0"/>
        <v>33</v>
      </c>
      <c r="U31" s="53">
        <v>299</v>
      </c>
      <c r="V31" s="16">
        <f t="shared" si="1"/>
        <v>25</v>
      </c>
      <c r="W31" s="53">
        <v>2</v>
      </c>
      <c r="X31" s="53" t="s">
        <v>39</v>
      </c>
      <c r="Y31" s="53" t="s">
        <v>40</v>
      </c>
      <c r="Z31" s="53" t="s">
        <v>90</v>
      </c>
      <c r="AA31" s="53" t="s">
        <v>69</v>
      </c>
      <c r="AB31" s="53" t="s">
        <v>320</v>
      </c>
      <c r="AV31" s="27"/>
    </row>
    <row r="32" spans="1:48" x14ac:dyDescent="0.15">
      <c r="A32" s="53" t="s">
        <v>59</v>
      </c>
      <c r="B32" s="53" t="s">
        <v>235</v>
      </c>
      <c r="C32" s="62">
        <v>2020</v>
      </c>
      <c r="D32" s="137" t="s">
        <v>236</v>
      </c>
      <c r="E32" s="53" t="s">
        <v>336</v>
      </c>
      <c r="F32" s="53" t="s">
        <v>337</v>
      </c>
      <c r="G32" s="53" t="s">
        <v>36</v>
      </c>
      <c r="H32" s="53" t="s">
        <v>164</v>
      </c>
      <c r="I32" s="53" t="s">
        <v>159</v>
      </c>
      <c r="J32" s="53" t="s">
        <v>38</v>
      </c>
      <c r="K32" s="53" t="s">
        <v>335</v>
      </c>
      <c r="L32" s="53">
        <v>1</v>
      </c>
      <c r="N32" s="53">
        <v>4</v>
      </c>
      <c r="O32" s="53">
        <v>0.41</v>
      </c>
      <c r="P32" s="53">
        <v>0.33</v>
      </c>
      <c r="Q32" s="76">
        <f t="shared" si="2"/>
        <v>0.37</v>
      </c>
      <c r="R32" s="53">
        <v>12.3</v>
      </c>
      <c r="S32" s="53">
        <v>87</v>
      </c>
      <c r="T32" s="16">
        <f t="shared" si="0"/>
        <v>39</v>
      </c>
      <c r="U32" s="53">
        <v>599</v>
      </c>
      <c r="V32" s="16">
        <f t="shared" si="1"/>
        <v>25</v>
      </c>
      <c r="W32" s="53">
        <v>1</v>
      </c>
      <c r="X32" s="53" t="s">
        <v>39</v>
      </c>
      <c r="Y32" s="53" t="s">
        <v>40</v>
      </c>
      <c r="Z32" s="53" t="s">
        <v>90</v>
      </c>
      <c r="AA32" s="53" t="s">
        <v>69</v>
      </c>
      <c r="AB32" s="53" t="s">
        <v>320</v>
      </c>
      <c r="AP32" s="27" t="s">
        <v>117</v>
      </c>
      <c r="AR32" s="27" t="s">
        <v>358</v>
      </c>
      <c r="AV32" s="27"/>
    </row>
    <row r="33" spans="1:48" x14ac:dyDescent="0.15">
      <c r="A33" s="53" t="s">
        <v>59</v>
      </c>
      <c r="B33" s="53" t="s">
        <v>235</v>
      </c>
      <c r="C33" s="62">
        <v>2020</v>
      </c>
      <c r="D33" s="137" t="s">
        <v>236</v>
      </c>
      <c r="E33" s="53" t="s">
        <v>336</v>
      </c>
      <c r="F33" s="53" t="s">
        <v>337</v>
      </c>
      <c r="G33" s="53" t="s">
        <v>36</v>
      </c>
      <c r="H33" s="53" t="s">
        <v>164</v>
      </c>
      <c r="I33" s="53" t="s">
        <v>159</v>
      </c>
      <c r="J33" s="53" t="s">
        <v>38</v>
      </c>
      <c r="K33" s="53" t="s">
        <v>335</v>
      </c>
      <c r="L33" s="53">
        <v>2</v>
      </c>
      <c r="N33" s="53">
        <v>4</v>
      </c>
      <c r="O33" s="53">
        <v>0.39</v>
      </c>
      <c r="P33" s="53">
        <v>0.35</v>
      </c>
      <c r="Q33" s="76">
        <f t="shared" si="2"/>
        <v>0.37</v>
      </c>
      <c r="R33" s="53">
        <v>12.7</v>
      </c>
      <c r="S33" s="53">
        <v>94</v>
      </c>
      <c r="T33" s="16">
        <f t="shared" si="0"/>
        <v>39</v>
      </c>
      <c r="U33" s="53">
        <v>599</v>
      </c>
      <c r="V33" s="16">
        <f t="shared" si="1"/>
        <v>25</v>
      </c>
      <c r="W33" s="53">
        <v>1</v>
      </c>
      <c r="X33" s="53" t="s">
        <v>39</v>
      </c>
      <c r="Y33" s="53" t="s">
        <v>40</v>
      </c>
      <c r="Z33" s="53" t="s">
        <v>90</v>
      </c>
      <c r="AA33" s="53" t="s">
        <v>69</v>
      </c>
      <c r="AB33" s="53" t="s">
        <v>320</v>
      </c>
      <c r="AP33" s="27" t="s">
        <v>118</v>
      </c>
      <c r="AR33" s="28" t="s">
        <v>153</v>
      </c>
      <c r="AV33" s="27"/>
    </row>
    <row r="34" spans="1:48" x14ac:dyDescent="0.15">
      <c r="A34" s="53" t="s">
        <v>59</v>
      </c>
      <c r="B34" s="53" t="s">
        <v>235</v>
      </c>
      <c r="C34" s="62">
        <v>2020</v>
      </c>
      <c r="D34" s="137" t="s">
        <v>236</v>
      </c>
      <c r="E34" s="53" t="s">
        <v>336</v>
      </c>
      <c r="F34" s="53" t="s">
        <v>337</v>
      </c>
      <c r="G34" s="53" t="s">
        <v>36</v>
      </c>
      <c r="H34" s="53" t="s">
        <v>164</v>
      </c>
      <c r="I34" s="53" t="s">
        <v>159</v>
      </c>
      <c r="J34" s="53" t="s">
        <v>38</v>
      </c>
      <c r="K34" s="53" t="s">
        <v>335</v>
      </c>
      <c r="L34" s="53">
        <v>3</v>
      </c>
      <c r="N34" s="53">
        <v>4</v>
      </c>
      <c r="O34" s="53">
        <v>0.37</v>
      </c>
      <c r="P34" s="53">
        <v>0.31</v>
      </c>
      <c r="Q34" s="76">
        <f t="shared" si="2"/>
        <v>0.33999999999999997</v>
      </c>
      <c r="R34" s="53">
        <v>12.4</v>
      </c>
      <c r="S34" s="53">
        <v>76</v>
      </c>
      <c r="T34" s="16">
        <f t="shared" si="0"/>
        <v>42</v>
      </c>
      <c r="U34" s="53">
        <v>599</v>
      </c>
      <c r="V34" s="16">
        <f t="shared" si="1"/>
        <v>25</v>
      </c>
      <c r="W34" s="53">
        <v>1</v>
      </c>
      <c r="X34" s="53" t="s">
        <v>39</v>
      </c>
      <c r="Y34" s="53" t="s">
        <v>40</v>
      </c>
      <c r="Z34" s="53" t="s">
        <v>90</v>
      </c>
      <c r="AA34" s="53" t="s">
        <v>69</v>
      </c>
      <c r="AB34" s="53" t="s">
        <v>320</v>
      </c>
      <c r="AV34" s="27"/>
    </row>
    <row r="35" spans="1:48" x14ac:dyDescent="0.15">
      <c r="A35" s="53" t="s">
        <v>59</v>
      </c>
      <c r="B35" s="53" t="s">
        <v>235</v>
      </c>
      <c r="C35" s="62">
        <v>2020</v>
      </c>
      <c r="D35" s="137" t="s">
        <v>236</v>
      </c>
      <c r="E35" s="53" t="s">
        <v>327</v>
      </c>
      <c r="F35" s="53" t="s">
        <v>328</v>
      </c>
      <c r="G35" s="53" t="s">
        <v>36</v>
      </c>
      <c r="H35" s="53" t="s">
        <v>163</v>
      </c>
      <c r="I35" s="53" t="s">
        <v>159</v>
      </c>
      <c r="J35" s="53" t="s">
        <v>38</v>
      </c>
      <c r="K35" s="53" t="s">
        <v>160</v>
      </c>
      <c r="L35" s="53">
        <v>1</v>
      </c>
      <c r="N35" s="53">
        <v>6</v>
      </c>
      <c r="O35" s="53">
        <v>0.39</v>
      </c>
      <c r="P35" s="53">
        <v>0.34</v>
      </c>
      <c r="Q35" s="76">
        <f t="shared" si="2"/>
        <v>0.36499999999999999</v>
      </c>
      <c r="R35" s="53">
        <v>14.3</v>
      </c>
      <c r="S35" s="53">
        <v>99</v>
      </c>
      <c r="T35" s="16">
        <f t="shared" si="0"/>
        <v>33</v>
      </c>
      <c r="U35" s="53">
        <v>398</v>
      </c>
      <c r="V35" s="16">
        <f t="shared" si="1"/>
        <v>25</v>
      </c>
      <c r="W35" s="53">
        <v>2</v>
      </c>
      <c r="X35" s="53" t="s">
        <v>39</v>
      </c>
      <c r="Y35" s="53" t="s">
        <v>90</v>
      </c>
      <c r="Z35" s="53" t="s">
        <v>69</v>
      </c>
      <c r="AA35" s="53" t="s">
        <v>40</v>
      </c>
      <c r="AB35" s="53" t="s">
        <v>320</v>
      </c>
      <c r="AV35" s="27"/>
    </row>
    <row r="36" spans="1:48" x14ac:dyDescent="0.15">
      <c r="A36" s="53" t="s">
        <v>59</v>
      </c>
      <c r="B36" s="53" t="s">
        <v>235</v>
      </c>
      <c r="C36" s="62">
        <v>2020</v>
      </c>
      <c r="D36" s="137" t="s">
        <v>236</v>
      </c>
      <c r="E36" s="53" t="s">
        <v>327</v>
      </c>
      <c r="F36" s="53" t="s">
        <v>328</v>
      </c>
      <c r="G36" s="53" t="s">
        <v>36</v>
      </c>
      <c r="H36" s="53" t="s">
        <v>163</v>
      </c>
      <c r="I36" s="53" t="s">
        <v>159</v>
      </c>
      <c r="J36" s="53" t="s">
        <v>38</v>
      </c>
      <c r="K36" s="53" t="s">
        <v>160</v>
      </c>
      <c r="L36" s="53">
        <v>2</v>
      </c>
      <c r="N36" s="53">
        <v>6</v>
      </c>
      <c r="O36" s="53">
        <v>0.49</v>
      </c>
      <c r="P36" s="53">
        <v>0.48</v>
      </c>
      <c r="Q36" s="76">
        <f t="shared" si="2"/>
        <v>0.48499999999999999</v>
      </c>
      <c r="R36" s="53">
        <v>14.4</v>
      </c>
      <c r="S36" s="53">
        <v>104</v>
      </c>
      <c r="T36" s="16">
        <f t="shared" si="0"/>
        <v>33</v>
      </c>
      <c r="U36" s="53">
        <v>398</v>
      </c>
      <c r="V36" s="16">
        <f t="shared" si="1"/>
        <v>25</v>
      </c>
      <c r="W36" s="53">
        <v>2</v>
      </c>
      <c r="X36" s="53" t="s">
        <v>39</v>
      </c>
      <c r="Y36" s="53" t="s">
        <v>90</v>
      </c>
      <c r="Z36" s="53" t="s">
        <v>69</v>
      </c>
      <c r="AA36" s="53" t="s">
        <v>40</v>
      </c>
      <c r="AB36" s="53" t="s">
        <v>320</v>
      </c>
      <c r="AV36" s="27"/>
    </row>
    <row r="37" spans="1:48" x14ac:dyDescent="0.15">
      <c r="A37" s="53" t="s">
        <v>59</v>
      </c>
      <c r="B37" s="53" t="s">
        <v>235</v>
      </c>
      <c r="C37" s="62">
        <v>2020</v>
      </c>
      <c r="D37" s="137" t="s">
        <v>236</v>
      </c>
      <c r="E37" s="53" t="s">
        <v>327</v>
      </c>
      <c r="F37" s="53" t="s">
        <v>328</v>
      </c>
      <c r="G37" s="53" t="s">
        <v>36</v>
      </c>
      <c r="H37" s="53" t="s">
        <v>163</v>
      </c>
      <c r="I37" s="53" t="s">
        <v>159</v>
      </c>
      <c r="J37" s="53" t="s">
        <v>38</v>
      </c>
      <c r="K37" s="53" t="s">
        <v>160</v>
      </c>
      <c r="L37" s="53">
        <v>3</v>
      </c>
      <c r="N37" s="53">
        <v>6</v>
      </c>
      <c r="O37" s="53">
        <v>0.41</v>
      </c>
      <c r="P37" s="53">
        <v>0.37</v>
      </c>
      <c r="Q37" s="76">
        <f t="shared" si="2"/>
        <v>0.39</v>
      </c>
      <c r="R37" s="53">
        <v>14.8</v>
      </c>
      <c r="S37" s="53">
        <v>105</v>
      </c>
      <c r="T37" s="16">
        <f t="shared" si="0"/>
        <v>33</v>
      </c>
      <c r="U37" s="53">
        <v>398</v>
      </c>
      <c r="V37" s="16">
        <f t="shared" si="1"/>
        <v>25</v>
      </c>
      <c r="W37" s="53">
        <v>2</v>
      </c>
      <c r="X37" s="53" t="s">
        <v>39</v>
      </c>
      <c r="Y37" s="53" t="s">
        <v>90</v>
      </c>
      <c r="Z37" s="53" t="s">
        <v>69</v>
      </c>
      <c r="AA37" s="53" t="s">
        <v>40</v>
      </c>
      <c r="AB37" s="53" t="s">
        <v>320</v>
      </c>
      <c r="AV37" s="27"/>
    </row>
    <row r="38" spans="1:48" x14ac:dyDescent="0.15">
      <c r="A38" s="53" t="s">
        <v>59</v>
      </c>
      <c r="B38" s="53" t="s">
        <v>235</v>
      </c>
      <c r="C38" s="62">
        <v>2020</v>
      </c>
      <c r="D38" s="137" t="s">
        <v>236</v>
      </c>
      <c r="E38" s="53" t="s">
        <v>343</v>
      </c>
      <c r="F38" s="53" t="s">
        <v>344</v>
      </c>
      <c r="G38" s="53" t="s">
        <v>36</v>
      </c>
      <c r="H38" s="53" t="s">
        <v>127</v>
      </c>
      <c r="I38" s="53" t="s">
        <v>159</v>
      </c>
      <c r="J38" s="53" t="s">
        <v>80</v>
      </c>
      <c r="K38" s="53" t="s">
        <v>319</v>
      </c>
      <c r="L38" s="53">
        <v>1</v>
      </c>
      <c r="N38" s="53">
        <v>4</v>
      </c>
      <c r="O38" s="53">
        <v>0.22</v>
      </c>
      <c r="P38" s="53">
        <v>0.23</v>
      </c>
      <c r="Q38" s="76">
        <f t="shared" si="2"/>
        <v>0.22500000000000001</v>
      </c>
      <c r="R38" s="53">
        <v>13.4</v>
      </c>
      <c r="S38" s="53">
        <v>106</v>
      </c>
      <c r="T38" s="16">
        <f t="shared" si="0"/>
        <v>33</v>
      </c>
      <c r="U38" s="53">
        <v>198</v>
      </c>
      <c r="V38" s="16">
        <f t="shared" si="1"/>
        <v>25</v>
      </c>
      <c r="W38" s="53">
        <v>1</v>
      </c>
      <c r="X38" s="53" t="s">
        <v>39</v>
      </c>
      <c r="Y38" s="53" t="s">
        <v>84</v>
      </c>
      <c r="Z38" s="53" t="s">
        <v>40</v>
      </c>
      <c r="AA38" s="53" t="s">
        <v>90</v>
      </c>
      <c r="AB38" s="53" t="s">
        <v>320</v>
      </c>
      <c r="AV38" s="27"/>
    </row>
    <row r="39" spans="1:48" x14ac:dyDescent="0.15">
      <c r="A39" s="53" t="s">
        <v>59</v>
      </c>
      <c r="B39" s="53" t="s">
        <v>235</v>
      </c>
      <c r="C39" s="62">
        <v>2020</v>
      </c>
      <c r="D39" s="137" t="s">
        <v>236</v>
      </c>
      <c r="E39" s="53" t="s">
        <v>343</v>
      </c>
      <c r="F39" s="53" t="s">
        <v>344</v>
      </c>
      <c r="G39" s="53" t="s">
        <v>36</v>
      </c>
      <c r="H39" s="53" t="s">
        <v>127</v>
      </c>
      <c r="I39" s="53" t="s">
        <v>159</v>
      </c>
      <c r="J39" s="53" t="s">
        <v>80</v>
      </c>
      <c r="K39" s="53" t="s">
        <v>319</v>
      </c>
      <c r="L39" s="53">
        <v>2</v>
      </c>
      <c r="N39" s="53">
        <v>4</v>
      </c>
      <c r="O39" s="53">
        <v>0.23</v>
      </c>
      <c r="P39" s="53">
        <v>0.21</v>
      </c>
      <c r="Q39" s="76">
        <f t="shared" si="2"/>
        <v>0.22</v>
      </c>
      <c r="R39" s="53">
        <v>13.7</v>
      </c>
      <c r="S39" s="53">
        <v>111</v>
      </c>
      <c r="T39" s="16">
        <f t="shared" si="0"/>
        <v>33</v>
      </c>
      <c r="U39" s="53">
        <v>198</v>
      </c>
      <c r="V39" s="16">
        <f t="shared" si="1"/>
        <v>25</v>
      </c>
      <c r="W39" s="53">
        <v>1</v>
      </c>
      <c r="X39" s="53" t="s">
        <v>39</v>
      </c>
      <c r="Y39" s="53" t="s">
        <v>84</v>
      </c>
      <c r="Z39" s="53" t="s">
        <v>40</v>
      </c>
      <c r="AA39" s="53" t="s">
        <v>90</v>
      </c>
      <c r="AB39" s="53" t="s">
        <v>320</v>
      </c>
      <c r="AV39" s="27"/>
    </row>
    <row r="40" spans="1:48" x14ac:dyDescent="0.15">
      <c r="A40" s="53" t="s">
        <v>59</v>
      </c>
      <c r="B40" s="53" t="s">
        <v>235</v>
      </c>
      <c r="C40" s="62">
        <v>2020</v>
      </c>
      <c r="D40" s="137" t="s">
        <v>236</v>
      </c>
      <c r="E40" s="53" t="s">
        <v>343</v>
      </c>
      <c r="F40" s="53" t="s">
        <v>344</v>
      </c>
      <c r="G40" s="53" t="s">
        <v>36</v>
      </c>
      <c r="H40" s="53" t="s">
        <v>127</v>
      </c>
      <c r="I40" s="53" t="s">
        <v>159</v>
      </c>
      <c r="J40" s="53" t="s">
        <v>80</v>
      </c>
      <c r="K40" s="53" t="s">
        <v>319</v>
      </c>
      <c r="L40" s="53">
        <v>3</v>
      </c>
      <c r="N40" s="53">
        <v>4</v>
      </c>
      <c r="O40" s="53">
        <v>0.26</v>
      </c>
      <c r="P40" s="53">
        <v>0.24</v>
      </c>
      <c r="Q40" s="76">
        <f t="shared" si="2"/>
        <v>0.25</v>
      </c>
      <c r="R40" s="53">
        <v>13.3</v>
      </c>
      <c r="S40" s="53">
        <v>109</v>
      </c>
      <c r="T40" s="16">
        <f t="shared" si="0"/>
        <v>33</v>
      </c>
      <c r="U40" s="53">
        <v>198</v>
      </c>
      <c r="V40" s="16">
        <f t="shared" si="1"/>
        <v>25</v>
      </c>
      <c r="W40" s="53">
        <v>1</v>
      </c>
      <c r="X40" s="53" t="s">
        <v>39</v>
      </c>
      <c r="Y40" s="53" t="s">
        <v>84</v>
      </c>
      <c r="Z40" s="53" t="s">
        <v>40</v>
      </c>
      <c r="AA40" s="53" t="s">
        <v>90</v>
      </c>
      <c r="AB40" s="53" t="s">
        <v>320</v>
      </c>
      <c r="AV40" s="27"/>
    </row>
    <row r="41" spans="1:48" x14ac:dyDescent="0.15">
      <c r="A41" s="53" t="s">
        <v>59</v>
      </c>
      <c r="B41" s="53" t="s">
        <v>235</v>
      </c>
      <c r="C41" s="62">
        <v>2020</v>
      </c>
      <c r="D41" s="137" t="s">
        <v>236</v>
      </c>
      <c r="E41" s="53" t="s">
        <v>333</v>
      </c>
      <c r="F41" s="53" t="s">
        <v>334</v>
      </c>
      <c r="G41" s="53" t="s">
        <v>36</v>
      </c>
      <c r="H41" s="53" t="s">
        <v>163</v>
      </c>
      <c r="I41" s="53" t="s">
        <v>159</v>
      </c>
      <c r="J41" s="53" t="s">
        <v>38</v>
      </c>
      <c r="K41" s="53" t="s">
        <v>160</v>
      </c>
      <c r="L41" s="53">
        <v>1</v>
      </c>
      <c r="N41" s="53">
        <v>4</v>
      </c>
      <c r="O41" s="53">
        <v>0.38</v>
      </c>
      <c r="P41" s="53">
        <v>0.32</v>
      </c>
      <c r="Q41" s="76">
        <f t="shared" si="2"/>
        <v>0.35</v>
      </c>
      <c r="R41" s="53">
        <v>13.9</v>
      </c>
      <c r="S41" s="53">
        <v>100</v>
      </c>
      <c r="T41" s="16">
        <f t="shared" si="0"/>
        <v>33</v>
      </c>
      <c r="U41" s="53">
        <v>321</v>
      </c>
      <c r="V41" s="16">
        <f t="shared" si="1"/>
        <v>25</v>
      </c>
      <c r="W41" s="53">
        <v>1</v>
      </c>
      <c r="X41" s="53" t="s">
        <v>39</v>
      </c>
      <c r="Y41" s="53" t="s">
        <v>84</v>
      </c>
      <c r="Z41" s="53" t="s">
        <v>90</v>
      </c>
      <c r="AA41" s="53" t="s">
        <v>40</v>
      </c>
      <c r="AB41" s="53" t="s">
        <v>320</v>
      </c>
      <c r="AV41" s="27"/>
    </row>
    <row r="42" spans="1:48" x14ac:dyDescent="0.15">
      <c r="A42" s="53" t="s">
        <v>59</v>
      </c>
      <c r="B42" s="53" t="s">
        <v>235</v>
      </c>
      <c r="C42" s="62">
        <v>2020</v>
      </c>
      <c r="D42" s="137" t="s">
        <v>236</v>
      </c>
      <c r="E42" s="53" t="s">
        <v>333</v>
      </c>
      <c r="F42" s="53" t="s">
        <v>334</v>
      </c>
      <c r="G42" s="53" t="s">
        <v>36</v>
      </c>
      <c r="H42" s="53" t="s">
        <v>163</v>
      </c>
      <c r="I42" s="53" t="s">
        <v>159</v>
      </c>
      <c r="J42" s="53" t="s">
        <v>38</v>
      </c>
      <c r="K42" s="53" t="s">
        <v>160</v>
      </c>
      <c r="L42" s="53">
        <v>2</v>
      </c>
      <c r="N42" s="53">
        <v>4</v>
      </c>
      <c r="O42" s="53">
        <v>0.33</v>
      </c>
      <c r="P42" s="53">
        <v>0.28000000000000003</v>
      </c>
      <c r="Q42" s="76">
        <f t="shared" si="2"/>
        <v>0.30500000000000005</v>
      </c>
      <c r="R42" s="53">
        <v>15.1</v>
      </c>
      <c r="S42" s="53">
        <v>105</v>
      </c>
      <c r="T42" s="16">
        <f t="shared" si="0"/>
        <v>33</v>
      </c>
      <c r="U42" s="53">
        <v>321</v>
      </c>
      <c r="V42" s="16">
        <f t="shared" si="1"/>
        <v>25</v>
      </c>
      <c r="W42" s="53">
        <v>1</v>
      </c>
      <c r="X42" s="53" t="s">
        <v>39</v>
      </c>
      <c r="Y42" s="53" t="s">
        <v>84</v>
      </c>
      <c r="Z42" s="53" t="s">
        <v>90</v>
      </c>
      <c r="AA42" s="53" t="s">
        <v>40</v>
      </c>
      <c r="AB42" s="53" t="s">
        <v>320</v>
      </c>
      <c r="AV42" s="27"/>
    </row>
    <row r="43" spans="1:48" x14ac:dyDescent="0.15">
      <c r="A43" s="53" t="s">
        <v>59</v>
      </c>
      <c r="B43" s="53" t="s">
        <v>235</v>
      </c>
      <c r="C43" s="62">
        <v>2020</v>
      </c>
      <c r="D43" s="137" t="s">
        <v>236</v>
      </c>
      <c r="E43" s="53" t="s">
        <v>333</v>
      </c>
      <c r="F43" s="53" t="s">
        <v>334</v>
      </c>
      <c r="G43" s="53" t="s">
        <v>36</v>
      </c>
      <c r="H43" s="53" t="s">
        <v>163</v>
      </c>
      <c r="I43" s="53" t="s">
        <v>159</v>
      </c>
      <c r="J43" s="53" t="s">
        <v>38</v>
      </c>
      <c r="K43" s="53" t="s">
        <v>160</v>
      </c>
      <c r="L43" s="53">
        <v>3</v>
      </c>
      <c r="N43" s="53">
        <v>4</v>
      </c>
      <c r="O43" s="53">
        <v>0.37</v>
      </c>
      <c r="P43" s="53">
        <v>0.32</v>
      </c>
      <c r="Q43" s="76">
        <f t="shared" si="2"/>
        <v>0.34499999999999997</v>
      </c>
      <c r="R43" s="53">
        <v>15</v>
      </c>
      <c r="S43" s="53">
        <v>96</v>
      </c>
      <c r="T43" s="16">
        <f t="shared" si="0"/>
        <v>36</v>
      </c>
      <c r="U43" s="53">
        <v>321</v>
      </c>
      <c r="V43" s="16">
        <f t="shared" si="1"/>
        <v>25</v>
      </c>
      <c r="W43" s="53">
        <v>1</v>
      </c>
      <c r="X43" s="53" t="s">
        <v>39</v>
      </c>
      <c r="Y43" s="53" t="s">
        <v>84</v>
      </c>
      <c r="Z43" s="53" t="s">
        <v>90</v>
      </c>
      <c r="AA43" s="53" t="s">
        <v>40</v>
      </c>
      <c r="AB43" s="53" t="s">
        <v>320</v>
      </c>
      <c r="AV43" s="27"/>
    </row>
    <row r="44" spans="1:48" x14ac:dyDescent="0.15">
      <c r="C44" s="62"/>
      <c r="D44" s="137"/>
      <c r="Q44" s="76"/>
    </row>
    <row r="45" spans="1:48" x14ac:dyDescent="0.15">
      <c r="C45" s="62"/>
      <c r="D45" s="137"/>
      <c r="Q45" s="76"/>
    </row>
    <row r="46" spans="1:48" x14ac:dyDescent="0.15">
      <c r="C46" s="62"/>
      <c r="D46" s="137"/>
      <c r="Q46" s="76"/>
    </row>
    <row r="47" spans="1:48" x14ac:dyDescent="0.15">
      <c r="C47" s="62"/>
      <c r="Q47" s="76"/>
    </row>
    <row r="48" spans="1:48" x14ac:dyDescent="0.15">
      <c r="C48" s="62"/>
      <c r="Q48" s="76"/>
    </row>
    <row r="49" spans="3:22" x14ac:dyDescent="0.15">
      <c r="C49" s="62"/>
      <c r="Q49" s="76"/>
    </row>
    <row r="50" spans="3:22" x14ac:dyDescent="0.15">
      <c r="C50" s="62"/>
      <c r="Q50" s="76"/>
    </row>
    <row r="51" spans="3:22" x14ac:dyDescent="0.15">
      <c r="C51" s="62"/>
      <c r="Q51" s="76"/>
    </row>
    <row r="52" spans="3:22" x14ac:dyDescent="0.15">
      <c r="C52" s="62"/>
      <c r="Q52" s="76"/>
    </row>
    <row r="53" spans="3:22" x14ac:dyDescent="0.15">
      <c r="C53" s="62"/>
      <c r="Q53" s="76"/>
    </row>
    <row r="54" spans="3:22" x14ac:dyDescent="0.15">
      <c r="C54" s="62"/>
      <c r="Q54" s="76"/>
    </row>
    <row r="55" spans="3:22" x14ac:dyDescent="0.15">
      <c r="C55" s="62"/>
      <c r="Q55" s="76"/>
    </row>
    <row r="56" spans="3:22" x14ac:dyDescent="0.15">
      <c r="C56" s="62"/>
      <c r="Q56" s="76"/>
    </row>
    <row r="57" spans="3:22" x14ac:dyDescent="0.15">
      <c r="C57" s="62"/>
      <c r="Q57" s="76"/>
    </row>
    <row r="58" spans="3:22" x14ac:dyDescent="0.15">
      <c r="C58" s="62"/>
      <c r="Q58" s="76"/>
    </row>
    <row r="59" spans="3:22" x14ac:dyDescent="0.15">
      <c r="C59" s="62"/>
    </row>
    <row r="60" spans="3:22" x14ac:dyDescent="0.15">
      <c r="C60" s="62"/>
    </row>
    <row r="61" spans="3:22" x14ac:dyDescent="0.15">
      <c r="Q61" s="16" t="str">
        <f t="shared" ref="Q61:Q112" si="3">IF(OR(O61="",P61=""),"",AVERAGE(O61,P61))</f>
        <v/>
      </c>
      <c r="T61" s="16" t="str">
        <f t="shared" ref="T61:T112" si="4">IF(H61="","",IF(OR(H61="GREEN",H61="GK"),IF(S61&gt;=$AX$2,VLOOKUP(S61,$AX$2:$AY$12,2,1),""),IF(S61&gt;=$AZ$2,VLOOKUP(S61,$AZ$2:$BA$12,2,1),"")))</f>
        <v/>
      </c>
      <c r="V61" s="16" t="str">
        <f t="shared" ref="V61:V112" si="5">IF(J61="","",IF(OR(J61="GREEN",J61="GK"),IF(U61&gt;=$AX$2,VLOOKUP(U61,$AX$2:$AY$12,2,1),""),IF(U61&gt;=$AZ$2,VLOOKUP(U61,$AZ$2:$BA$12,2,1),"")))</f>
        <v/>
      </c>
    </row>
    <row r="62" spans="3:22" x14ac:dyDescent="0.15">
      <c r="Q62" s="16" t="str">
        <f t="shared" si="3"/>
        <v/>
      </c>
      <c r="T62" s="16" t="str">
        <f t="shared" si="4"/>
        <v/>
      </c>
      <c r="V62" s="16" t="str">
        <f t="shared" si="5"/>
        <v/>
      </c>
    </row>
    <row r="63" spans="3:22" x14ac:dyDescent="0.15">
      <c r="Q63" s="16" t="str">
        <f t="shared" si="3"/>
        <v/>
      </c>
      <c r="T63" s="16" t="str">
        <f t="shared" si="4"/>
        <v/>
      </c>
      <c r="V63" s="16" t="str">
        <f t="shared" si="5"/>
        <v/>
      </c>
    </row>
    <row r="64" spans="3:22" x14ac:dyDescent="0.15">
      <c r="Q64" s="16" t="str">
        <f t="shared" si="3"/>
        <v/>
      </c>
      <c r="T64" s="16" t="str">
        <f t="shared" si="4"/>
        <v/>
      </c>
      <c r="V64" s="16" t="str">
        <f t="shared" si="5"/>
        <v/>
      </c>
    </row>
    <row r="65" spans="17:22" x14ac:dyDescent="0.15">
      <c r="Q65" s="16" t="str">
        <f t="shared" si="3"/>
        <v/>
      </c>
      <c r="T65" s="16" t="str">
        <f t="shared" si="4"/>
        <v/>
      </c>
      <c r="V65" s="16" t="str">
        <f t="shared" si="5"/>
        <v/>
      </c>
    </row>
    <row r="66" spans="17:22" x14ac:dyDescent="0.15">
      <c r="Q66" s="16" t="str">
        <f t="shared" si="3"/>
        <v/>
      </c>
      <c r="T66" s="16" t="str">
        <f t="shared" si="4"/>
        <v/>
      </c>
      <c r="V66" s="16" t="str">
        <f t="shared" si="5"/>
        <v/>
      </c>
    </row>
    <row r="67" spans="17:22" x14ac:dyDescent="0.15">
      <c r="Q67" s="16" t="str">
        <f t="shared" si="3"/>
        <v/>
      </c>
      <c r="T67" s="16" t="str">
        <f t="shared" si="4"/>
        <v/>
      </c>
      <c r="V67" s="16" t="str">
        <f t="shared" si="5"/>
        <v/>
      </c>
    </row>
    <row r="68" spans="17:22" x14ac:dyDescent="0.15">
      <c r="Q68" s="16" t="str">
        <f t="shared" si="3"/>
        <v/>
      </c>
      <c r="T68" s="16" t="str">
        <f t="shared" si="4"/>
        <v/>
      </c>
      <c r="V68" s="16" t="str">
        <f t="shared" si="5"/>
        <v/>
      </c>
    </row>
    <row r="69" spans="17:22" x14ac:dyDescent="0.15">
      <c r="Q69" s="16" t="str">
        <f t="shared" si="3"/>
        <v/>
      </c>
      <c r="T69" s="16" t="str">
        <f t="shared" si="4"/>
        <v/>
      </c>
      <c r="V69" s="16" t="str">
        <f t="shared" si="5"/>
        <v/>
      </c>
    </row>
    <row r="70" spans="17:22" x14ac:dyDescent="0.15">
      <c r="Q70" s="16" t="str">
        <f t="shared" si="3"/>
        <v/>
      </c>
      <c r="T70" s="16" t="str">
        <f t="shared" si="4"/>
        <v/>
      </c>
      <c r="V70" s="16" t="str">
        <f t="shared" si="5"/>
        <v/>
      </c>
    </row>
    <row r="71" spans="17:22" x14ac:dyDescent="0.15">
      <c r="Q71" s="16" t="str">
        <f t="shared" si="3"/>
        <v/>
      </c>
      <c r="T71" s="16" t="str">
        <f t="shared" si="4"/>
        <v/>
      </c>
      <c r="V71" s="16" t="str">
        <f t="shared" si="5"/>
        <v/>
      </c>
    </row>
    <row r="72" spans="17:22" x14ac:dyDescent="0.15">
      <c r="Q72" s="16" t="str">
        <f t="shared" si="3"/>
        <v/>
      </c>
      <c r="T72" s="16" t="str">
        <f t="shared" si="4"/>
        <v/>
      </c>
      <c r="V72" s="16" t="str">
        <f t="shared" si="5"/>
        <v/>
      </c>
    </row>
    <row r="73" spans="17:22" x14ac:dyDescent="0.15">
      <c r="Q73" s="16" t="str">
        <f t="shared" si="3"/>
        <v/>
      </c>
      <c r="T73" s="16" t="str">
        <f t="shared" si="4"/>
        <v/>
      </c>
      <c r="V73" s="16" t="str">
        <f t="shared" si="5"/>
        <v/>
      </c>
    </row>
    <row r="74" spans="17:22" x14ac:dyDescent="0.15">
      <c r="Q74" s="16" t="str">
        <f t="shared" si="3"/>
        <v/>
      </c>
      <c r="T74" s="16" t="str">
        <f t="shared" si="4"/>
        <v/>
      </c>
      <c r="V74" s="16" t="str">
        <f t="shared" si="5"/>
        <v/>
      </c>
    </row>
    <row r="75" spans="17:22" x14ac:dyDescent="0.15">
      <c r="Q75" s="16" t="str">
        <f t="shared" si="3"/>
        <v/>
      </c>
      <c r="T75" s="16" t="str">
        <f t="shared" si="4"/>
        <v/>
      </c>
      <c r="V75" s="16" t="str">
        <f t="shared" si="5"/>
        <v/>
      </c>
    </row>
    <row r="76" spans="17:22" x14ac:dyDescent="0.15">
      <c r="Q76" s="16" t="str">
        <f t="shared" si="3"/>
        <v/>
      </c>
      <c r="T76" s="16" t="str">
        <f t="shared" si="4"/>
        <v/>
      </c>
      <c r="V76" s="16" t="str">
        <f t="shared" si="5"/>
        <v/>
      </c>
    </row>
    <row r="77" spans="17:22" x14ac:dyDescent="0.15">
      <c r="Q77" s="16" t="str">
        <f t="shared" si="3"/>
        <v/>
      </c>
      <c r="T77" s="16" t="str">
        <f t="shared" si="4"/>
        <v/>
      </c>
      <c r="V77" s="16" t="str">
        <f t="shared" si="5"/>
        <v/>
      </c>
    </row>
    <row r="78" spans="17:22" x14ac:dyDescent="0.15">
      <c r="Q78" s="16" t="str">
        <f t="shared" si="3"/>
        <v/>
      </c>
      <c r="T78" s="16" t="str">
        <f t="shared" si="4"/>
        <v/>
      </c>
      <c r="V78" s="16" t="str">
        <f t="shared" si="5"/>
        <v/>
      </c>
    </row>
    <row r="79" spans="17:22" x14ac:dyDescent="0.15">
      <c r="Q79" s="16" t="str">
        <f t="shared" si="3"/>
        <v/>
      </c>
      <c r="T79" s="16" t="str">
        <f t="shared" si="4"/>
        <v/>
      </c>
      <c r="V79" s="16" t="str">
        <f t="shared" si="5"/>
        <v/>
      </c>
    </row>
    <row r="80" spans="17: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sheetData>
  <autoFilter ref="A1:BA112" xr:uid="{00000000-0009-0000-0000-000000000000}"/>
  <phoneticPr fontId="3"/>
  <dataValidations count="19">
    <dataValidation type="list" allowBlank="1" showInputMessage="1" showErrorMessage="1" sqref="K2:K394" xr:uid="{55288D2E-D3D1-4392-A1A2-172A9D41E863}">
      <formula1>$AR$2:$AR$27</formula1>
    </dataValidation>
    <dataValidation type="list" allowBlank="1" showInputMessage="1" showErrorMessage="1" sqref="E2:E452" xr:uid="{EDCFBEA2-7445-49E7-AA45-9CD767E05661}">
      <formula1>$AG$2:$AG$11</formula1>
    </dataValidation>
    <dataValidation type="list" allowBlank="1" showInputMessage="1" showErrorMessage="1" sqref="H2:H452" xr:uid="{F1CCE2FD-1C0D-4A07-A680-796ED3283EA1}">
      <formula1>$AL$2:$AL$8</formula1>
    </dataValidation>
    <dataValidation type="decimal" allowBlank="1" showInputMessage="1" showErrorMessage="1" error="硬度を正しく入力して下さい。" sqref="O2:P452" xr:uid="{397D4647-C748-4525-8D2E-BADE7F58F1FD}">
      <formula1>0</formula1>
      <formula2>7</formula2>
    </dataValidation>
    <dataValidation type="list" allowBlank="1" showInputMessage="1" showErrorMessage="1" sqref="F2:F1406" xr:uid="{16225BFE-DA01-494E-B50C-9C4851BB01EB}">
      <formula1>$AH$2:$AH$11</formula1>
    </dataValidation>
    <dataValidation type="list" allowBlank="1" showInputMessage="1" showErrorMessage="1" sqref="Y2:AA543" xr:uid="{80525BE6-4E7F-439F-A13E-20B071C6A89D}">
      <formula1>$AV$2:$AV$38</formula1>
    </dataValidation>
    <dataValidation type="list" allowBlank="1" showInputMessage="1" showErrorMessage="1" sqref="J2:J43" xr:uid="{4F2ABCE5-CD2F-47B3-9D10-1F905483E343}">
      <formula1>$AP$2:$AP$38</formula1>
    </dataValidation>
    <dataValidation type="list" allowBlank="1" showInputMessage="1" showErrorMessage="1" sqref="WVS982994:WVS983059 K65490:K65555 JG65490:JG65555 TC65490:TC65555 ACY65490:ACY65555 AMU65490:AMU65555 AWQ65490:AWQ65555 BGM65490:BGM65555 BQI65490:BQI65555 CAE65490:CAE65555 CKA65490:CKA65555 CTW65490:CTW65555 DDS65490:DDS65555 DNO65490:DNO65555 DXK65490:DXK65555 EHG65490:EHG65555 ERC65490:ERC65555 FAY65490:FAY65555 FKU65490:FKU65555 FUQ65490:FUQ65555 GEM65490:GEM65555 GOI65490:GOI65555 GYE65490:GYE65555 HIA65490:HIA65555 HRW65490:HRW65555 IBS65490:IBS65555 ILO65490:ILO65555 IVK65490:IVK65555 JFG65490:JFG65555 JPC65490:JPC65555 JYY65490:JYY65555 KIU65490:KIU65555 KSQ65490:KSQ65555 LCM65490:LCM65555 LMI65490:LMI65555 LWE65490:LWE65555 MGA65490:MGA65555 MPW65490:MPW65555 MZS65490:MZS65555 NJO65490:NJO65555 NTK65490:NTK65555 ODG65490:ODG65555 ONC65490:ONC65555 OWY65490:OWY65555 PGU65490:PGU65555 PQQ65490:PQQ65555 QAM65490:QAM65555 QKI65490:QKI65555 QUE65490:QUE65555 REA65490:REA65555 RNW65490:RNW65555 RXS65490:RXS65555 SHO65490:SHO65555 SRK65490:SRK65555 TBG65490:TBG65555 TLC65490:TLC65555 TUY65490:TUY65555 UEU65490:UEU65555 UOQ65490:UOQ65555 UYM65490:UYM65555 VII65490:VII65555 VSE65490:VSE65555 WCA65490:WCA65555 WLW65490:WLW65555 WVS65490:WVS65555 K131026:K131091 JG131026:JG131091 TC131026:TC131091 ACY131026:ACY131091 AMU131026:AMU131091 AWQ131026:AWQ131091 BGM131026:BGM131091 BQI131026:BQI131091 CAE131026:CAE131091 CKA131026:CKA131091 CTW131026:CTW131091 DDS131026:DDS131091 DNO131026:DNO131091 DXK131026:DXK131091 EHG131026:EHG131091 ERC131026:ERC131091 FAY131026:FAY131091 FKU131026:FKU131091 FUQ131026:FUQ131091 GEM131026:GEM131091 GOI131026:GOI131091 GYE131026:GYE131091 HIA131026:HIA131091 HRW131026:HRW131091 IBS131026:IBS131091 ILO131026:ILO131091 IVK131026:IVK131091 JFG131026:JFG131091 JPC131026:JPC131091 JYY131026:JYY131091 KIU131026:KIU131091 KSQ131026:KSQ131091 LCM131026:LCM131091 LMI131026:LMI131091 LWE131026:LWE131091 MGA131026:MGA131091 MPW131026:MPW131091 MZS131026:MZS131091 NJO131026:NJO131091 NTK131026:NTK131091 ODG131026:ODG131091 ONC131026:ONC131091 OWY131026:OWY131091 PGU131026:PGU131091 PQQ131026:PQQ131091 QAM131026:QAM131091 QKI131026:QKI131091 QUE131026:QUE131091 REA131026:REA131091 RNW131026:RNW131091 RXS131026:RXS131091 SHO131026:SHO131091 SRK131026:SRK131091 TBG131026:TBG131091 TLC131026:TLC131091 TUY131026:TUY131091 UEU131026:UEU131091 UOQ131026:UOQ131091 UYM131026:UYM131091 VII131026:VII131091 VSE131026:VSE131091 WCA131026:WCA131091 WLW131026:WLW131091 WVS131026:WVS131091 K196562:K196627 JG196562:JG196627 TC196562:TC196627 ACY196562:ACY196627 AMU196562:AMU196627 AWQ196562:AWQ196627 BGM196562:BGM196627 BQI196562:BQI196627 CAE196562:CAE196627 CKA196562:CKA196627 CTW196562:CTW196627 DDS196562:DDS196627 DNO196562:DNO196627 DXK196562:DXK196627 EHG196562:EHG196627 ERC196562:ERC196627 FAY196562:FAY196627 FKU196562:FKU196627 FUQ196562:FUQ196627 GEM196562:GEM196627 GOI196562:GOI196627 GYE196562:GYE196627 HIA196562:HIA196627 HRW196562:HRW196627 IBS196562:IBS196627 ILO196562:ILO196627 IVK196562:IVK196627 JFG196562:JFG196627 JPC196562:JPC196627 JYY196562:JYY196627 KIU196562:KIU196627 KSQ196562:KSQ196627 LCM196562:LCM196627 LMI196562:LMI196627 LWE196562:LWE196627 MGA196562:MGA196627 MPW196562:MPW196627 MZS196562:MZS196627 NJO196562:NJO196627 NTK196562:NTK196627 ODG196562:ODG196627 ONC196562:ONC196627 OWY196562:OWY196627 PGU196562:PGU196627 PQQ196562:PQQ196627 QAM196562:QAM196627 QKI196562:QKI196627 QUE196562:QUE196627 REA196562:REA196627 RNW196562:RNW196627 RXS196562:RXS196627 SHO196562:SHO196627 SRK196562:SRK196627 TBG196562:TBG196627 TLC196562:TLC196627 TUY196562:TUY196627 UEU196562:UEU196627 UOQ196562:UOQ196627 UYM196562:UYM196627 VII196562:VII196627 VSE196562:VSE196627 WCA196562:WCA196627 WLW196562:WLW196627 WVS196562:WVS196627 K262098:K262163 JG262098:JG262163 TC262098:TC262163 ACY262098:ACY262163 AMU262098:AMU262163 AWQ262098:AWQ262163 BGM262098:BGM262163 BQI262098:BQI262163 CAE262098:CAE262163 CKA262098:CKA262163 CTW262098:CTW262163 DDS262098:DDS262163 DNO262098:DNO262163 DXK262098:DXK262163 EHG262098:EHG262163 ERC262098:ERC262163 FAY262098:FAY262163 FKU262098:FKU262163 FUQ262098:FUQ262163 GEM262098:GEM262163 GOI262098:GOI262163 GYE262098:GYE262163 HIA262098:HIA262163 HRW262098:HRW262163 IBS262098:IBS262163 ILO262098:ILO262163 IVK262098:IVK262163 JFG262098:JFG262163 JPC262098:JPC262163 JYY262098:JYY262163 KIU262098:KIU262163 KSQ262098:KSQ262163 LCM262098:LCM262163 LMI262098:LMI262163 LWE262098:LWE262163 MGA262098:MGA262163 MPW262098:MPW262163 MZS262098:MZS262163 NJO262098:NJO262163 NTK262098:NTK262163 ODG262098:ODG262163 ONC262098:ONC262163 OWY262098:OWY262163 PGU262098:PGU262163 PQQ262098:PQQ262163 QAM262098:QAM262163 QKI262098:QKI262163 QUE262098:QUE262163 REA262098:REA262163 RNW262098:RNW262163 RXS262098:RXS262163 SHO262098:SHO262163 SRK262098:SRK262163 TBG262098:TBG262163 TLC262098:TLC262163 TUY262098:TUY262163 UEU262098:UEU262163 UOQ262098:UOQ262163 UYM262098:UYM262163 VII262098:VII262163 VSE262098:VSE262163 WCA262098:WCA262163 WLW262098:WLW262163 WVS262098:WVS262163 K327634:K327699 JG327634:JG327699 TC327634:TC327699 ACY327634:ACY327699 AMU327634:AMU327699 AWQ327634:AWQ327699 BGM327634:BGM327699 BQI327634:BQI327699 CAE327634:CAE327699 CKA327634:CKA327699 CTW327634:CTW327699 DDS327634:DDS327699 DNO327634:DNO327699 DXK327634:DXK327699 EHG327634:EHG327699 ERC327634:ERC327699 FAY327634:FAY327699 FKU327634:FKU327699 FUQ327634:FUQ327699 GEM327634:GEM327699 GOI327634:GOI327699 GYE327634:GYE327699 HIA327634:HIA327699 HRW327634:HRW327699 IBS327634:IBS327699 ILO327634:ILO327699 IVK327634:IVK327699 JFG327634:JFG327699 JPC327634:JPC327699 JYY327634:JYY327699 KIU327634:KIU327699 KSQ327634:KSQ327699 LCM327634:LCM327699 LMI327634:LMI327699 LWE327634:LWE327699 MGA327634:MGA327699 MPW327634:MPW327699 MZS327634:MZS327699 NJO327634:NJO327699 NTK327634:NTK327699 ODG327634:ODG327699 ONC327634:ONC327699 OWY327634:OWY327699 PGU327634:PGU327699 PQQ327634:PQQ327699 QAM327634:QAM327699 QKI327634:QKI327699 QUE327634:QUE327699 REA327634:REA327699 RNW327634:RNW327699 RXS327634:RXS327699 SHO327634:SHO327699 SRK327634:SRK327699 TBG327634:TBG327699 TLC327634:TLC327699 TUY327634:TUY327699 UEU327634:UEU327699 UOQ327634:UOQ327699 UYM327634:UYM327699 VII327634:VII327699 VSE327634:VSE327699 WCA327634:WCA327699 WLW327634:WLW327699 WVS327634:WVS327699 K393170:K393235 JG393170:JG393235 TC393170:TC393235 ACY393170:ACY393235 AMU393170:AMU393235 AWQ393170:AWQ393235 BGM393170:BGM393235 BQI393170:BQI393235 CAE393170:CAE393235 CKA393170:CKA393235 CTW393170:CTW393235 DDS393170:DDS393235 DNO393170:DNO393235 DXK393170:DXK393235 EHG393170:EHG393235 ERC393170:ERC393235 FAY393170:FAY393235 FKU393170:FKU393235 FUQ393170:FUQ393235 GEM393170:GEM393235 GOI393170:GOI393235 GYE393170:GYE393235 HIA393170:HIA393235 HRW393170:HRW393235 IBS393170:IBS393235 ILO393170:ILO393235 IVK393170:IVK393235 JFG393170:JFG393235 JPC393170:JPC393235 JYY393170:JYY393235 KIU393170:KIU393235 KSQ393170:KSQ393235 LCM393170:LCM393235 LMI393170:LMI393235 LWE393170:LWE393235 MGA393170:MGA393235 MPW393170:MPW393235 MZS393170:MZS393235 NJO393170:NJO393235 NTK393170:NTK393235 ODG393170:ODG393235 ONC393170:ONC393235 OWY393170:OWY393235 PGU393170:PGU393235 PQQ393170:PQQ393235 QAM393170:QAM393235 QKI393170:QKI393235 QUE393170:QUE393235 REA393170:REA393235 RNW393170:RNW393235 RXS393170:RXS393235 SHO393170:SHO393235 SRK393170:SRK393235 TBG393170:TBG393235 TLC393170:TLC393235 TUY393170:TUY393235 UEU393170:UEU393235 UOQ393170:UOQ393235 UYM393170:UYM393235 VII393170:VII393235 VSE393170:VSE393235 WCA393170:WCA393235 WLW393170:WLW393235 WVS393170:WVS393235 K458706:K458771 JG458706:JG458771 TC458706:TC458771 ACY458706:ACY458771 AMU458706:AMU458771 AWQ458706:AWQ458771 BGM458706:BGM458771 BQI458706:BQI458771 CAE458706:CAE458771 CKA458706:CKA458771 CTW458706:CTW458771 DDS458706:DDS458771 DNO458706:DNO458771 DXK458706:DXK458771 EHG458706:EHG458771 ERC458706:ERC458771 FAY458706:FAY458771 FKU458706:FKU458771 FUQ458706:FUQ458771 GEM458706:GEM458771 GOI458706:GOI458771 GYE458706:GYE458771 HIA458706:HIA458771 HRW458706:HRW458771 IBS458706:IBS458771 ILO458706:ILO458771 IVK458706:IVK458771 JFG458706:JFG458771 JPC458706:JPC458771 JYY458706:JYY458771 KIU458706:KIU458771 KSQ458706:KSQ458771 LCM458706:LCM458771 LMI458706:LMI458771 LWE458706:LWE458771 MGA458706:MGA458771 MPW458706:MPW458771 MZS458706:MZS458771 NJO458706:NJO458771 NTK458706:NTK458771 ODG458706:ODG458771 ONC458706:ONC458771 OWY458706:OWY458771 PGU458706:PGU458771 PQQ458706:PQQ458771 QAM458706:QAM458771 QKI458706:QKI458771 QUE458706:QUE458771 REA458706:REA458771 RNW458706:RNW458771 RXS458706:RXS458771 SHO458706:SHO458771 SRK458706:SRK458771 TBG458706:TBG458771 TLC458706:TLC458771 TUY458706:TUY458771 UEU458706:UEU458771 UOQ458706:UOQ458771 UYM458706:UYM458771 VII458706:VII458771 VSE458706:VSE458771 WCA458706:WCA458771 WLW458706:WLW458771 WVS458706:WVS458771 K524242:K524307 JG524242:JG524307 TC524242:TC524307 ACY524242:ACY524307 AMU524242:AMU524307 AWQ524242:AWQ524307 BGM524242:BGM524307 BQI524242:BQI524307 CAE524242:CAE524307 CKA524242:CKA524307 CTW524242:CTW524307 DDS524242:DDS524307 DNO524242:DNO524307 DXK524242:DXK524307 EHG524242:EHG524307 ERC524242:ERC524307 FAY524242:FAY524307 FKU524242:FKU524307 FUQ524242:FUQ524307 GEM524242:GEM524307 GOI524242:GOI524307 GYE524242:GYE524307 HIA524242:HIA524307 HRW524242:HRW524307 IBS524242:IBS524307 ILO524242:ILO524307 IVK524242:IVK524307 JFG524242:JFG524307 JPC524242:JPC524307 JYY524242:JYY524307 KIU524242:KIU524307 KSQ524242:KSQ524307 LCM524242:LCM524307 LMI524242:LMI524307 LWE524242:LWE524307 MGA524242:MGA524307 MPW524242:MPW524307 MZS524242:MZS524307 NJO524242:NJO524307 NTK524242:NTK524307 ODG524242:ODG524307 ONC524242:ONC524307 OWY524242:OWY524307 PGU524242:PGU524307 PQQ524242:PQQ524307 QAM524242:QAM524307 QKI524242:QKI524307 QUE524242:QUE524307 REA524242:REA524307 RNW524242:RNW524307 RXS524242:RXS524307 SHO524242:SHO524307 SRK524242:SRK524307 TBG524242:TBG524307 TLC524242:TLC524307 TUY524242:TUY524307 UEU524242:UEU524307 UOQ524242:UOQ524307 UYM524242:UYM524307 VII524242:VII524307 VSE524242:VSE524307 WCA524242:WCA524307 WLW524242:WLW524307 WVS524242:WVS524307 K589778:K589843 JG589778:JG589843 TC589778:TC589843 ACY589778:ACY589843 AMU589778:AMU589843 AWQ589778:AWQ589843 BGM589778:BGM589843 BQI589778:BQI589843 CAE589778:CAE589843 CKA589778:CKA589843 CTW589778:CTW589843 DDS589778:DDS589843 DNO589778:DNO589843 DXK589778:DXK589843 EHG589778:EHG589843 ERC589778:ERC589843 FAY589778:FAY589843 FKU589778:FKU589843 FUQ589778:FUQ589843 GEM589778:GEM589843 GOI589778:GOI589843 GYE589778:GYE589843 HIA589778:HIA589843 HRW589778:HRW589843 IBS589778:IBS589843 ILO589778:ILO589843 IVK589778:IVK589843 JFG589778:JFG589843 JPC589778:JPC589843 JYY589778:JYY589843 KIU589778:KIU589843 KSQ589778:KSQ589843 LCM589778:LCM589843 LMI589778:LMI589843 LWE589778:LWE589843 MGA589778:MGA589843 MPW589778:MPW589843 MZS589778:MZS589843 NJO589778:NJO589843 NTK589778:NTK589843 ODG589778:ODG589843 ONC589778:ONC589843 OWY589778:OWY589843 PGU589778:PGU589843 PQQ589778:PQQ589843 QAM589778:QAM589843 QKI589778:QKI589843 QUE589778:QUE589843 REA589778:REA589843 RNW589778:RNW589843 RXS589778:RXS589843 SHO589778:SHO589843 SRK589778:SRK589843 TBG589778:TBG589843 TLC589778:TLC589843 TUY589778:TUY589843 UEU589778:UEU589843 UOQ589778:UOQ589843 UYM589778:UYM589843 VII589778:VII589843 VSE589778:VSE589843 WCA589778:WCA589843 WLW589778:WLW589843 WVS589778:WVS589843 K655314:K655379 JG655314:JG655379 TC655314:TC655379 ACY655314:ACY655379 AMU655314:AMU655379 AWQ655314:AWQ655379 BGM655314:BGM655379 BQI655314:BQI655379 CAE655314:CAE655379 CKA655314:CKA655379 CTW655314:CTW655379 DDS655314:DDS655379 DNO655314:DNO655379 DXK655314:DXK655379 EHG655314:EHG655379 ERC655314:ERC655379 FAY655314:FAY655379 FKU655314:FKU655379 FUQ655314:FUQ655379 GEM655314:GEM655379 GOI655314:GOI655379 GYE655314:GYE655379 HIA655314:HIA655379 HRW655314:HRW655379 IBS655314:IBS655379 ILO655314:ILO655379 IVK655314:IVK655379 JFG655314:JFG655379 JPC655314:JPC655379 JYY655314:JYY655379 KIU655314:KIU655379 KSQ655314:KSQ655379 LCM655314:LCM655379 LMI655314:LMI655379 LWE655314:LWE655379 MGA655314:MGA655379 MPW655314:MPW655379 MZS655314:MZS655379 NJO655314:NJO655379 NTK655314:NTK655379 ODG655314:ODG655379 ONC655314:ONC655379 OWY655314:OWY655379 PGU655314:PGU655379 PQQ655314:PQQ655379 QAM655314:QAM655379 QKI655314:QKI655379 QUE655314:QUE655379 REA655314:REA655379 RNW655314:RNW655379 RXS655314:RXS655379 SHO655314:SHO655379 SRK655314:SRK655379 TBG655314:TBG655379 TLC655314:TLC655379 TUY655314:TUY655379 UEU655314:UEU655379 UOQ655314:UOQ655379 UYM655314:UYM655379 VII655314:VII655379 VSE655314:VSE655379 WCA655314:WCA655379 WLW655314:WLW655379 WVS655314:WVS655379 K720850:K720915 JG720850:JG720915 TC720850:TC720915 ACY720850:ACY720915 AMU720850:AMU720915 AWQ720850:AWQ720915 BGM720850:BGM720915 BQI720850:BQI720915 CAE720850:CAE720915 CKA720850:CKA720915 CTW720850:CTW720915 DDS720850:DDS720915 DNO720850:DNO720915 DXK720850:DXK720915 EHG720850:EHG720915 ERC720850:ERC720915 FAY720850:FAY720915 FKU720850:FKU720915 FUQ720850:FUQ720915 GEM720850:GEM720915 GOI720850:GOI720915 GYE720850:GYE720915 HIA720850:HIA720915 HRW720850:HRW720915 IBS720850:IBS720915 ILO720850:ILO720915 IVK720850:IVK720915 JFG720850:JFG720915 JPC720850:JPC720915 JYY720850:JYY720915 KIU720850:KIU720915 KSQ720850:KSQ720915 LCM720850:LCM720915 LMI720850:LMI720915 LWE720850:LWE720915 MGA720850:MGA720915 MPW720850:MPW720915 MZS720850:MZS720915 NJO720850:NJO720915 NTK720850:NTK720915 ODG720850:ODG720915 ONC720850:ONC720915 OWY720850:OWY720915 PGU720850:PGU720915 PQQ720850:PQQ720915 QAM720850:QAM720915 QKI720850:QKI720915 QUE720850:QUE720915 REA720850:REA720915 RNW720850:RNW720915 RXS720850:RXS720915 SHO720850:SHO720915 SRK720850:SRK720915 TBG720850:TBG720915 TLC720850:TLC720915 TUY720850:TUY720915 UEU720850:UEU720915 UOQ720850:UOQ720915 UYM720850:UYM720915 VII720850:VII720915 VSE720850:VSE720915 WCA720850:WCA720915 WLW720850:WLW720915 WVS720850:WVS720915 K786386:K786451 JG786386:JG786451 TC786386:TC786451 ACY786386:ACY786451 AMU786386:AMU786451 AWQ786386:AWQ786451 BGM786386:BGM786451 BQI786386:BQI786451 CAE786386:CAE786451 CKA786386:CKA786451 CTW786386:CTW786451 DDS786386:DDS786451 DNO786386:DNO786451 DXK786386:DXK786451 EHG786386:EHG786451 ERC786386:ERC786451 FAY786386:FAY786451 FKU786386:FKU786451 FUQ786386:FUQ786451 GEM786386:GEM786451 GOI786386:GOI786451 GYE786386:GYE786451 HIA786386:HIA786451 HRW786386:HRW786451 IBS786386:IBS786451 ILO786386:ILO786451 IVK786386:IVK786451 JFG786386:JFG786451 JPC786386:JPC786451 JYY786386:JYY786451 KIU786386:KIU786451 KSQ786386:KSQ786451 LCM786386:LCM786451 LMI786386:LMI786451 LWE786386:LWE786451 MGA786386:MGA786451 MPW786386:MPW786451 MZS786386:MZS786451 NJO786386:NJO786451 NTK786386:NTK786451 ODG786386:ODG786451 ONC786386:ONC786451 OWY786386:OWY786451 PGU786386:PGU786451 PQQ786386:PQQ786451 QAM786386:QAM786451 QKI786386:QKI786451 QUE786386:QUE786451 REA786386:REA786451 RNW786386:RNW786451 RXS786386:RXS786451 SHO786386:SHO786451 SRK786386:SRK786451 TBG786386:TBG786451 TLC786386:TLC786451 TUY786386:TUY786451 UEU786386:UEU786451 UOQ786386:UOQ786451 UYM786386:UYM786451 VII786386:VII786451 VSE786386:VSE786451 WCA786386:WCA786451 WLW786386:WLW786451 WVS786386:WVS786451 K851922:K851987 JG851922:JG851987 TC851922:TC851987 ACY851922:ACY851987 AMU851922:AMU851987 AWQ851922:AWQ851987 BGM851922:BGM851987 BQI851922:BQI851987 CAE851922:CAE851987 CKA851922:CKA851987 CTW851922:CTW851987 DDS851922:DDS851987 DNO851922:DNO851987 DXK851922:DXK851987 EHG851922:EHG851987 ERC851922:ERC851987 FAY851922:FAY851987 FKU851922:FKU851987 FUQ851922:FUQ851987 GEM851922:GEM851987 GOI851922:GOI851987 GYE851922:GYE851987 HIA851922:HIA851987 HRW851922:HRW851987 IBS851922:IBS851987 ILO851922:ILO851987 IVK851922:IVK851987 JFG851922:JFG851987 JPC851922:JPC851987 JYY851922:JYY851987 KIU851922:KIU851987 KSQ851922:KSQ851987 LCM851922:LCM851987 LMI851922:LMI851987 LWE851922:LWE851987 MGA851922:MGA851987 MPW851922:MPW851987 MZS851922:MZS851987 NJO851922:NJO851987 NTK851922:NTK851987 ODG851922:ODG851987 ONC851922:ONC851987 OWY851922:OWY851987 PGU851922:PGU851987 PQQ851922:PQQ851987 QAM851922:QAM851987 QKI851922:QKI851987 QUE851922:QUE851987 REA851922:REA851987 RNW851922:RNW851987 RXS851922:RXS851987 SHO851922:SHO851987 SRK851922:SRK851987 TBG851922:TBG851987 TLC851922:TLC851987 TUY851922:TUY851987 UEU851922:UEU851987 UOQ851922:UOQ851987 UYM851922:UYM851987 VII851922:VII851987 VSE851922:VSE851987 WCA851922:WCA851987 WLW851922:WLW851987 WVS851922:WVS851987 K917458:K917523 JG917458:JG917523 TC917458:TC917523 ACY917458:ACY917523 AMU917458:AMU917523 AWQ917458:AWQ917523 BGM917458:BGM917523 BQI917458:BQI917523 CAE917458:CAE917523 CKA917458:CKA917523 CTW917458:CTW917523 DDS917458:DDS917523 DNO917458:DNO917523 DXK917458:DXK917523 EHG917458:EHG917523 ERC917458:ERC917523 FAY917458:FAY917523 FKU917458:FKU917523 FUQ917458:FUQ917523 GEM917458:GEM917523 GOI917458:GOI917523 GYE917458:GYE917523 HIA917458:HIA917523 HRW917458:HRW917523 IBS917458:IBS917523 ILO917458:ILO917523 IVK917458:IVK917523 JFG917458:JFG917523 JPC917458:JPC917523 JYY917458:JYY917523 KIU917458:KIU917523 KSQ917458:KSQ917523 LCM917458:LCM917523 LMI917458:LMI917523 LWE917458:LWE917523 MGA917458:MGA917523 MPW917458:MPW917523 MZS917458:MZS917523 NJO917458:NJO917523 NTK917458:NTK917523 ODG917458:ODG917523 ONC917458:ONC917523 OWY917458:OWY917523 PGU917458:PGU917523 PQQ917458:PQQ917523 QAM917458:QAM917523 QKI917458:QKI917523 QUE917458:QUE917523 REA917458:REA917523 RNW917458:RNW917523 RXS917458:RXS917523 SHO917458:SHO917523 SRK917458:SRK917523 TBG917458:TBG917523 TLC917458:TLC917523 TUY917458:TUY917523 UEU917458:UEU917523 UOQ917458:UOQ917523 UYM917458:UYM917523 VII917458:VII917523 VSE917458:VSE917523 WCA917458:WCA917523 WLW917458:WLW917523 WVS917458:WVS917523 K982994:K983059 JG982994:JG983059 TC982994:TC983059 ACY982994:ACY983059 AMU982994:AMU983059 AWQ982994:AWQ983059 BGM982994:BGM983059 BQI982994:BQI983059 CAE982994:CAE983059 CKA982994:CKA983059 CTW982994:CTW983059 DDS982994:DDS983059 DNO982994:DNO983059 DXK982994:DXK983059 EHG982994:EHG983059 ERC982994:ERC983059 FAY982994:FAY983059 FKU982994:FKU983059 FUQ982994:FUQ983059 GEM982994:GEM983059 GOI982994:GOI983059 GYE982994:GYE983059 HIA982994:HIA983059 HRW982994:HRW983059 IBS982994:IBS983059 ILO982994:ILO983059 IVK982994:IVK983059 JFG982994:JFG983059 JPC982994:JPC983059 JYY982994:JYY983059 KIU982994:KIU983059 KSQ982994:KSQ983059 LCM982994:LCM983059 LMI982994:LMI983059 LWE982994:LWE983059 MGA982994:MGA983059 MPW982994:MPW983059 MZS982994:MZS983059 NJO982994:NJO983059 NTK982994:NTK983059 ODG982994:ODG983059 ONC982994:ONC983059 OWY982994:OWY983059 PGU982994:PGU983059 PQQ982994:PQQ983059 QAM982994:QAM983059 QKI982994:QKI983059 QUE982994:QUE983059 REA982994:REA983059 RNW982994:RNW983059 RXS982994:RXS983059 SHO982994:SHO983059 SRK982994:SRK983059 TBG982994:TBG983059 TLC982994:TLC983059 TUY982994:TUY983059 UEU982994:UEU983059 UOQ982994:UOQ983059 UYM982994:UYM983059 VII982994:VII983059 VSE982994:VSE983059 WCA982994:WCA983059 WLW982994:WLW983059 K395:K452 WVS2:WVS43 JG2:JG43 TC2:TC43 ACY2:ACY43 AMU2:AMU43 AWQ2:AWQ43 BGM2:BGM43 BQI2:BQI43 CAE2:CAE43 CKA2:CKA43 CTW2:CTW43 DDS2:DDS43 DNO2:DNO43 DXK2:DXK43 EHG2:EHG43 ERC2:ERC43 FAY2:FAY43 FKU2:FKU43 FUQ2:FUQ43 GEM2:GEM43 GOI2:GOI43 GYE2:GYE43 HIA2:HIA43 HRW2:HRW43 IBS2:IBS43 ILO2:ILO43 IVK2:IVK43 JFG2:JFG43 JPC2:JPC43 JYY2:JYY43 KIU2:KIU43 KSQ2:KSQ43 LCM2:LCM43 LMI2:LMI43 LWE2:LWE43 MGA2:MGA43 MPW2:MPW43 MZS2:MZS43 NJO2:NJO43 NTK2:NTK43 ODG2:ODG43 ONC2:ONC43 OWY2:OWY43 PGU2:PGU43 PQQ2:PQQ43 QAM2:QAM43 QKI2:QKI43 QUE2:QUE43 REA2:REA43 RNW2:RNW43 RXS2:RXS43 SHO2:SHO43 SRK2:SRK43 TBG2:TBG43 TLC2:TLC43 TUY2:TUY43 UEU2:UEU43 UOQ2:UOQ43 UYM2:UYM43 VII2:VII43 VSE2:VSE43 WCA2:WCA43 WLW2:WLW43" xr:uid="{09A40ED2-5273-4AD4-B25C-BD52E835BC35}">
      <formula1>$AR$2:$AR$25</formula1>
    </dataValidation>
    <dataValidation type="list" allowBlank="1" showInputMessage="1" showErrorMessage="1" sqref="WVR982994:WVR983059 J65490:J65555 JF65490:JF65555 TB65490:TB65555 ACX65490:ACX65555 AMT65490:AMT65555 AWP65490:AWP65555 BGL65490:BGL65555 BQH65490:BQH65555 CAD65490:CAD65555 CJZ65490:CJZ65555 CTV65490:CTV65555 DDR65490:DDR65555 DNN65490:DNN65555 DXJ65490:DXJ65555 EHF65490:EHF65555 ERB65490:ERB65555 FAX65490:FAX65555 FKT65490:FKT65555 FUP65490:FUP65555 GEL65490:GEL65555 GOH65490:GOH65555 GYD65490:GYD65555 HHZ65490:HHZ65555 HRV65490:HRV65555 IBR65490:IBR65555 ILN65490:ILN65555 IVJ65490:IVJ65555 JFF65490:JFF65555 JPB65490:JPB65555 JYX65490:JYX65555 KIT65490:KIT65555 KSP65490:KSP65555 LCL65490:LCL65555 LMH65490:LMH65555 LWD65490:LWD65555 MFZ65490:MFZ65555 MPV65490:MPV65555 MZR65490:MZR65555 NJN65490:NJN65555 NTJ65490:NTJ65555 ODF65490:ODF65555 ONB65490:ONB65555 OWX65490:OWX65555 PGT65490:PGT65555 PQP65490:PQP65555 QAL65490:QAL65555 QKH65490:QKH65555 QUD65490:QUD65555 RDZ65490:RDZ65555 RNV65490:RNV65555 RXR65490:RXR65555 SHN65490:SHN65555 SRJ65490:SRJ65555 TBF65490:TBF65555 TLB65490:TLB65555 TUX65490:TUX65555 UET65490:UET65555 UOP65490:UOP65555 UYL65490:UYL65555 VIH65490:VIH65555 VSD65490:VSD65555 WBZ65490:WBZ65555 WLV65490:WLV65555 WVR65490:WVR65555 J131026:J131091 JF131026:JF131091 TB131026:TB131091 ACX131026:ACX131091 AMT131026:AMT131091 AWP131026:AWP131091 BGL131026:BGL131091 BQH131026:BQH131091 CAD131026:CAD131091 CJZ131026:CJZ131091 CTV131026:CTV131091 DDR131026:DDR131091 DNN131026:DNN131091 DXJ131026:DXJ131091 EHF131026:EHF131091 ERB131026:ERB131091 FAX131026:FAX131091 FKT131026:FKT131091 FUP131026:FUP131091 GEL131026:GEL131091 GOH131026:GOH131091 GYD131026:GYD131091 HHZ131026:HHZ131091 HRV131026:HRV131091 IBR131026:IBR131091 ILN131026:ILN131091 IVJ131026:IVJ131091 JFF131026:JFF131091 JPB131026:JPB131091 JYX131026:JYX131091 KIT131026:KIT131091 KSP131026:KSP131091 LCL131026:LCL131091 LMH131026:LMH131091 LWD131026:LWD131091 MFZ131026:MFZ131091 MPV131026:MPV131091 MZR131026:MZR131091 NJN131026:NJN131091 NTJ131026:NTJ131091 ODF131026:ODF131091 ONB131026:ONB131091 OWX131026:OWX131091 PGT131026:PGT131091 PQP131026:PQP131091 QAL131026:QAL131091 QKH131026:QKH131091 QUD131026:QUD131091 RDZ131026:RDZ131091 RNV131026:RNV131091 RXR131026:RXR131091 SHN131026:SHN131091 SRJ131026:SRJ131091 TBF131026:TBF131091 TLB131026:TLB131091 TUX131026:TUX131091 UET131026:UET131091 UOP131026:UOP131091 UYL131026:UYL131091 VIH131026:VIH131091 VSD131026:VSD131091 WBZ131026:WBZ131091 WLV131026:WLV131091 WVR131026:WVR131091 J196562:J196627 JF196562:JF196627 TB196562:TB196627 ACX196562:ACX196627 AMT196562:AMT196627 AWP196562:AWP196627 BGL196562:BGL196627 BQH196562:BQH196627 CAD196562:CAD196627 CJZ196562:CJZ196627 CTV196562:CTV196627 DDR196562:DDR196627 DNN196562:DNN196627 DXJ196562:DXJ196627 EHF196562:EHF196627 ERB196562:ERB196627 FAX196562:FAX196627 FKT196562:FKT196627 FUP196562:FUP196627 GEL196562:GEL196627 GOH196562:GOH196627 GYD196562:GYD196627 HHZ196562:HHZ196627 HRV196562:HRV196627 IBR196562:IBR196627 ILN196562:ILN196627 IVJ196562:IVJ196627 JFF196562:JFF196627 JPB196562:JPB196627 JYX196562:JYX196627 KIT196562:KIT196627 KSP196562:KSP196627 LCL196562:LCL196627 LMH196562:LMH196627 LWD196562:LWD196627 MFZ196562:MFZ196627 MPV196562:MPV196627 MZR196562:MZR196627 NJN196562:NJN196627 NTJ196562:NTJ196627 ODF196562:ODF196627 ONB196562:ONB196627 OWX196562:OWX196627 PGT196562:PGT196627 PQP196562:PQP196627 QAL196562:QAL196627 QKH196562:QKH196627 QUD196562:QUD196627 RDZ196562:RDZ196627 RNV196562:RNV196627 RXR196562:RXR196627 SHN196562:SHN196627 SRJ196562:SRJ196627 TBF196562:TBF196627 TLB196562:TLB196627 TUX196562:TUX196627 UET196562:UET196627 UOP196562:UOP196627 UYL196562:UYL196627 VIH196562:VIH196627 VSD196562:VSD196627 WBZ196562:WBZ196627 WLV196562:WLV196627 WVR196562:WVR196627 J262098:J262163 JF262098:JF262163 TB262098:TB262163 ACX262098:ACX262163 AMT262098:AMT262163 AWP262098:AWP262163 BGL262098:BGL262163 BQH262098:BQH262163 CAD262098:CAD262163 CJZ262098:CJZ262163 CTV262098:CTV262163 DDR262098:DDR262163 DNN262098:DNN262163 DXJ262098:DXJ262163 EHF262098:EHF262163 ERB262098:ERB262163 FAX262098:FAX262163 FKT262098:FKT262163 FUP262098:FUP262163 GEL262098:GEL262163 GOH262098:GOH262163 GYD262098:GYD262163 HHZ262098:HHZ262163 HRV262098:HRV262163 IBR262098:IBR262163 ILN262098:ILN262163 IVJ262098:IVJ262163 JFF262098:JFF262163 JPB262098:JPB262163 JYX262098:JYX262163 KIT262098:KIT262163 KSP262098:KSP262163 LCL262098:LCL262163 LMH262098:LMH262163 LWD262098:LWD262163 MFZ262098:MFZ262163 MPV262098:MPV262163 MZR262098:MZR262163 NJN262098:NJN262163 NTJ262098:NTJ262163 ODF262098:ODF262163 ONB262098:ONB262163 OWX262098:OWX262163 PGT262098:PGT262163 PQP262098:PQP262163 QAL262098:QAL262163 QKH262098:QKH262163 QUD262098:QUD262163 RDZ262098:RDZ262163 RNV262098:RNV262163 RXR262098:RXR262163 SHN262098:SHN262163 SRJ262098:SRJ262163 TBF262098:TBF262163 TLB262098:TLB262163 TUX262098:TUX262163 UET262098:UET262163 UOP262098:UOP262163 UYL262098:UYL262163 VIH262098:VIH262163 VSD262098:VSD262163 WBZ262098:WBZ262163 WLV262098:WLV262163 WVR262098:WVR262163 J327634:J327699 JF327634:JF327699 TB327634:TB327699 ACX327634:ACX327699 AMT327634:AMT327699 AWP327634:AWP327699 BGL327634:BGL327699 BQH327634:BQH327699 CAD327634:CAD327699 CJZ327634:CJZ327699 CTV327634:CTV327699 DDR327634:DDR327699 DNN327634:DNN327699 DXJ327634:DXJ327699 EHF327634:EHF327699 ERB327634:ERB327699 FAX327634:FAX327699 FKT327634:FKT327699 FUP327634:FUP327699 GEL327634:GEL327699 GOH327634:GOH327699 GYD327634:GYD327699 HHZ327634:HHZ327699 HRV327634:HRV327699 IBR327634:IBR327699 ILN327634:ILN327699 IVJ327634:IVJ327699 JFF327634:JFF327699 JPB327634:JPB327699 JYX327634:JYX327699 KIT327634:KIT327699 KSP327634:KSP327699 LCL327634:LCL327699 LMH327634:LMH327699 LWD327634:LWD327699 MFZ327634:MFZ327699 MPV327634:MPV327699 MZR327634:MZR327699 NJN327634:NJN327699 NTJ327634:NTJ327699 ODF327634:ODF327699 ONB327634:ONB327699 OWX327634:OWX327699 PGT327634:PGT327699 PQP327634:PQP327699 QAL327634:QAL327699 QKH327634:QKH327699 QUD327634:QUD327699 RDZ327634:RDZ327699 RNV327634:RNV327699 RXR327634:RXR327699 SHN327634:SHN327699 SRJ327634:SRJ327699 TBF327634:TBF327699 TLB327634:TLB327699 TUX327634:TUX327699 UET327634:UET327699 UOP327634:UOP327699 UYL327634:UYL327699 VIH327634:VIH327699 VSD327634:VSD327699 WBZ327634:WBZ327699 WLV327634:WLV327699 WVR327634:WVR327699 J393170:J393235 JF393170:JF393235 TB393170:TB393235 ACX393170:ACX393235 AMT393170:AMT393235 AWP393170:AWP393235 BGL393170:BGL393235 BQH393170:BQH393235 CAD393170:CAD393235 CJZ393170:CJZ393235 CTV393170:CTV393235 DDR393170:DDR393235 DNN393170:DNN393235 DXJ393170:DXJ393235 EHF393170:EHF393235 ERB393170:ERB393235 FAX393170:FAX393235 FKT393170:FKT393235 FUP393170:FUP393235 GEL393170:GEL393235 GOH393170:GOH393235 GYD393170:GYD393235 HHZ393170:HHZ393235 HRV393170:HRV393235 IBR393170:IBR393235 ILN393170:ILN393235 IVJ393170:IVJ393235 JFF393170:JFF393235 JPB393170:JPB393235 JYX393170:JYX393235 KIT393170:KIT393235 KSP393170:KSP393235 LCL393170:LCL393235 LMH393170:LMH393235 LWD393170:LWD393235 MFZ393170:MFZ393235 MPV393170:MPV393235 MZR393170:MZR393235 NJN393170:NJN393235 NTJ393170:NTJ393235 ODF393170:ODF393235 ONB393170:ONB393235 OWX393170:OWX393235 PGT393170:PGT393235 PQP393170:PQP393235 QAL393170:QAL393235 QKH393170:QKH393235 QUD393170:QUD393235 RDZ393170:RDZ393235 RNV393170:RNV393235 RXR393170:RXR393235 SHN393170:SHN393235 SRJ393170:SRJ393235 TBF393170:TBF393235 TLB393170:TLB393235 TUX393170:TUX393235 UET393170:UET393235 UOP393170:UOP393235 UYL393170:UYL393235 VIH393170:VIH393235 VSD393170:VSD393235 WBZ393170:WBZ393235 WLV393170:WLV393235 WVR393170:WVR393235 J458706:J458771 JF458706:JF458771 TB458706:TB458771 ACX458706:ACX458771 AMT458706:AMT458771 AWP458706:AWP458771 BGL458706:BGL458771 BQH458706:BQH458771 CAD458706:CAD458771 CJZ458706:CJZ458771 CTV458706:CTV458771 DDR458706:DDR458771 DNN458706:DNN458771 DXJ458706:DXJ458771 EHF458706:EHF458771 ERB458706:ERB458771 FAX458706:FAX458771 FKT458706:FKT458771 FUP458706:FUP458771 GEL458706:GEL458771 GOH458706:GOH458771 GYD458706:GYD458771 HHZ458706:HHZ458771 HRV458706:HRV458771 IBR458706:IBR458771 ILN458706:ILN458771 IVJ458706:IVJ458771 JFF458706:JFF458771 JPB458706:JPB458771 JYX458706:JYX458771 KIT458706:KIT458771 KSP458706:KSP458771 LCL458706:LCL458771 LMH458706:LMH458771 LWD458706:LWD458771 MFZ458706:MFZ458771 MPV458706:MPV458771 MZR458706:MZR458771 NJN458706:NJN458771 NTJ458706:NTJ458771 ODF458706:ODF458771 ONB458706:ONB458771 OWX458706:OWX458771 PGT458706:PGT458771 PQP458706:PQP458771 QAL458706:QAL458771 QKH458706:QKH458771 QUD458706:QUD458771 RDZ458706:RDZ458771 RNV458706:RNV458771 RXR458706:RXR458771 SHN458706:SHN458771 SRJ458706:SRJ458771 TBF458706:TBF458771 TLB458706:TLB458771 TUX458706:TUX458771 UET458706:UET458771 UOP458706:UOP458771 UYL458706:UYL458771 VIH458706:VIH458771 VSD458706:VSD458771 WBZ458706:WBZ458771 WLV458706:WLV458771 WVR458706:WVR458771 J524242:J524307 JF524242:JF524307 TB524242:TB524307 ACX524242:ACX524307 AMT524242:AMT524307 AWP524242:AWP524307 BGL524242:BGL524307 BQH524242:BQH524307 CAD524242:CAD524307 CJZ524242:CJZ524307 CTV524242:CTV524307 DDR524242:DDR524307 DNN524242:DNN524307 DXJ524242:DXJ524307 EHF524242:EHF524307 ERB524242:ERB524307 FAX524242:FAX524307 FKT524242:FKT524307 FUP524242:FUP524307 GEL524242:GEL524307 GOH524242:GOH524307 GYD524242:GYD524307 HHZ524242:HHZ524307 HRV524242:HRV524307 IBR524242:IBR524307 ILN524242:ILN524307 IVJ524242:IVJ524307 JFF524242:JFF524307 JPB524242:JPB524307 JYX524242:JYX524307 KIT524242:KIT524307 KSP524242:KSP524307 LCL524242:LCL524307 LMH524242:LMH524307 LWD524242:LWD524307 MFZ524242:MFZ524307 MPV524242:MPV524307 MZR524242:MZR524307 NJN524242:NJN524307 NTJ524242:NTJ524307 ODF524242:ODF524307 ONB524242:ONB524307 OWX524242:OWX524307 PGT524242:PGT524307 PQP524242:PQP524307 QAL524242:QAL524307 QKH524242:QKH524307 QUD524242:QUD524307 RDZ524242:RDZ524307 RNV524242:RNV524307 RXR524242:RXR524307 SHN524242:SHN524307 SRJ524242:SRJ524307 TBF524242:TBF524307 TLB524242:TLB524307 TUX524242:TUX524307 UET524242:UET524307 UOP524242:UOP524307 UYL524242:UYL524307 VIH524242:VIH524307 VSD524242:VSD524307 WBZ524242:WBZ524307 WLV524242:WLV524307 WVR524242:WVR524307 J589778:J589843 JF589778:JF589843 TB589778:TB589843 ACX589778:ACX589843 AMT589778:AMT589843 AWP589778:AWP589843 BGL589778:BGL589843 BQH589778:BQH589843 CAD589778:CAD589843 CJZ589778:CJZ589843 CTV589778:CTV589843 DDR589778:DDR589843 DNN589778:DNN589843 DXJ589778:DXJ589843 EHF589778:EHF589843 ERB589778:ERB589843 FAX589778:FAX589843 FKT589778:FKT589843 FUP589778:FUP589843 GEL589778:GEL589843 GOH589778:GOH589843 GYD589778:GYD589843 HHZ589778:HHZ589843 HRV589778:HRV589843 IBR589778:IBR589843 ILN589778:ILN589843 IVJ589778:IVJ589843 JFF589778:JFF589843 JPB589778:JPB589843 JYX589778:JYX589843 KIT589778:KIT589843 KSP589778:KSP589843 LCL589778:LCL589843 LMH589778:LMH589843 LWD589778:LWD589843 MFZ589778:MFZ589843 MPV589778:MPV589843 MZR589778:MZR589843 NJN589778:NJN589843 NTJ589778:NTJ589843 ODF589778:ODF589843 ONB589778:ONB589843 OWX589778:OWX589843 PGT589778:PGT589843 PQP589778:PQP589843 QAL589778:QAL589843 QKH589778:QKH589843 QUD589778:QUD589843 RDZ589778:RDZ589843 RNV589778:RNV589843 RXR589778:RXR589843 SHN589778:SHN589843 SRJ589778:SRJ589843 TBF589778:TBF589843 TLB589778:TLB589843 TUX589778:TUX589843 UET589778:UET589843 UOP589778:UOP589843 UYL589778:UYL589843 VIH589778:VIH589843 VSD589778:VSD589843 WBZ589778:WBZ589843 WLV589778:WLV589843 WVR589778:WVR589843 J655314:J655379 JF655314:JF655379 TB655314:TB655379 ACX655314:ACX655379 AMT655314:AMT655379 AWP655314:AWP655379 BGL655314:BGL655379 BQH655314:BQH655379 CAD655314:CAD655379 CJZ655314:CJZ655379 CTV655314:CTV655379 DDR655314:DDR655379 DNN655314:DNN655379 DXJ655314:DXJ655379 EHF655314:EHF655379 ERB655314:ERB655379 FAX655314:FAX655379 FKT655314:FKT655379 FUP655314:FUP655379 GEL655314:GEL655379 GOH655314:GOH655379 GYD655314:GYD655379 HHZ655314:HHZ655379 HRV655314:HRV655379 IBR655314:IBR655379 ILN655314:ILN655379 IVJ655314:IVJ655379 JFF655314:JFF655379 JPB655314:JPB655379 JYX655314:JYX655379 KIT655314:KIT655379 KSP655314:KSP655379 LCL655314:LCL655379 LMH655314:LMH655379 LWD655314:LWD655379 MFZ655314:MFZ655379 MPV655314:MPV655379 MZR655314:MZR655379 NJN655314:NJN655379 NTJ655314:NTJ655379 ODF655314:ODF655379 ONB655314:ONB655379 OWX655314:OWX655379 PGT655314:PGT655379 PQP655314:PQP655379 QAL655314:QAL655379 QKH655314:QKH655379 QUD655314:QUD655379 RDZ655314:RDZ655379 RNV655314:RNV655379 RXR655314:RXR655379 SHN655314:SHN655379 SRJ655314:SRJ655379 TBF655314:TBF655379 TLB655314:TLB655379 TUX655314:TUX655379 UET655314:UET655379 UOP655314:UOP655379 UYL655314:UYL655379 VIH655314:VIH655379 VSD655314:VSD655379 WBZ655314:WBZ655379 WLV655314:WLV655379 WVR655314:WVR655379 J720850:J720915 JF720850:JF720915 TB720850:TB720915 ACX720850:ACX720915 AMT720850:AMT720915 AWP720850:AWP720915 BGL720850:BGL720915 BQH720850:BQH720915 CAD720850:CAD720915 CJZ720850:CJZ720915 CTV720850:CTV720915 DDR720850:DDR720915 DNN720850:DNN720915 DXJ720850:DXJ720915 EHF720850:EHF720915 ERB720850:ERB720915 FAX720850:FAX720915 FKT720850:FKT720915 FUP720850:FUP720915 GEL720850:GEL720915 GOH720850:GOH720915 GYD720850:GYD720915 HHZ720850:HHZ720915 HRV720850:HRV720915 IBR720850:IBR720915 ILN720850:ILN720915 IVJ720850:IVJ720915 JFF720850:JFF720915 JPB720850:JPB720915 JYX720850:JYX720915 KIT720850:KIT720915 KSP720850:KSP720915 LCL720850:LCL720915 LMH720850:LMH720915 LWD720850:LWD720915 MFZ720850:MFZ720915 MPV720850:MPV720915 MZR720850:MZR720915 NJN720850:NJN720915 NTJ720850:NTJ720915 ODF720850:ODF720915 ONB720850:ONB720915 OWX720850:OWX720915 PGT720850:PGT720915 PQP720850:PQP720915 QAL720850:QAL720915 QKH720850:QKH720915 QUD720850:QUD720915 RDZ720850:RDZ720915 RNV720850:RNV720915 RXR720850:RXR720915 SHN720850:SHN720915 SRJ720850:SRJ720915 TBF720850:TBF720915 TLB720850:TLB720915 TUX720850:TUX720915 UET720850:UET720915 UOP720850:UOP720915 UYL720850:UYL720915 VIH720850:VIH720915 VSD720850:VSD720915 WBZ720850:WBZ720915 WLV720850:WLV720915 WVR720850:WVR720915 J786386:J786451 JF786386:JF786451 TB786386:TB786451 ACX786386:ACX786451 AMT786386:AMT786451 AWP786386:AWP786451 BGL786386:BGL786451 BQH786386:BQH786451 CAD786386:CAD786451 CJZ786386:CJZ786451 CTV786386:CTV786451 DDR786386:DDR786451 DNN786386:DNN786451 DXJ786386:DXJ786451 EHF786386:EHF786451 ERB786386:ERB786451 FAX786386:FAX786451 FKT786386:FKT786451 FUP786386:FUP786451 GEL786386:GEL786451 GOH786386:GOH786451 GYD786386:GYD786451 HHZ786386:HHZ786451 HRV786386:HRV786451 IBR786386:IBR786451 ILN786386:ILN786451 IVJ786386:IVJ786451 JFF786386:JFF786451 JPB786386:JPB786451 JYX786386:JYX786451 KIT786386:KIT786451 KSP786386:KSP786451 LCL786386:LCL786451 LMH786386:LMH786451 LWD786386:LWD786451 MFZ786386:MFZ786451 MPV786386:MPV786451 MZR786386:MZR786451 NJN786386:NJN786451 NTJ786386:NTJ786451 ODF786386:ODF786451 ONB786386:ONB786451 OWX786386:OWX786451 PGT786386:PGT786451 PQP786386:PQP786451 QAL786386:QAL786451 QKH786386:QKH786451 QUD786386:QUD786451 RDZ786386:RDZ786451 RNV786386:RNV786451 RXR786386:RXR786451 SHN786386:SHN786451 SRJ786386:SRJ786451 TBF786386:TBF786451 TLB786386:TLB786451 TUX786386:TUX786451 UET786386:UET786451 UOP786386:UOP786451 UYL786386:UYL786451 VIH786386:VIH786451 VSD786386:VSD786451 WBZ786386:WBZ786451 WLV786386:WLV786451 WVR786386:WVR786451 J851922:J851987 JF851922:JF851987 TB851922:TB851987 ACX851922:ACX851987 AMT851922:AMT851987 AWP851922:AWP851987 BGL851922:BGL851987 BQH851922:BQH851987 CAD851922:CAD851987 CJZ851922:CJZ851987 CTV851922:CTV851987 DDR851922:DDR851987 DNN851922:DNN851987 DXJ851922:DXJ851987 EHF851922:EHF851987 ERB851922:ERB851987 FAX851922:FAX851987 FKT851922:FKT851987 FUP851922:FUP851987 GEL851922:GEL851987 GOH851922:GOH851987 GYD851922:GYD851987 HHZ851922:HHZ851987 HRV851922:HRV851987 IBR851922:IBR851987 ILN851922:ILN851987 IVJ851922:IVJ851987 JFF851922:JFF851987 JPB851922:JPB851987 JYX851922:JYX851987 KIT851922:KIT851987 KSP851922:KSP851987 LCL851922:LCL851987 LMH851922:LMH851987 LWD851922:LWD851987 MFZ851922:MFZ851987 MPV851922:MPV851987 MZR851922:MZR851987 NJN851922:NJN851987 NTJ851922:NTJ851987 ODF851922:ODF851987 ONB851922:ONB851987 OWX851922:OWX851987 PGT851922:PGT851987 PQP851922:PQP851987 QAL851922:QAL851987 QKH851922:QKH851987 QUD851922:QUD851987 RDZ851922:RDZ851987 RNV851922:RNV851987 RXR851922:RXR851987 SHN851922:SHN851987 SRJ851922:SRJ851987 TBF851922:TBF851987 TLB851922:TLB851987 TUX851922:TUX851987 UET851922:UET851987 UOP851922:UOP851987 UYL851922:UYL851987 VIH851922:VIH851987 VSD851922:VSD851987 WBZ851922:WBZ851987 WLV851922:WLV851987 WVR851922:WVR851987 J917458:J917523 JF917458:JF917523 TB917458:TB917523 ACX917458:ACX917523 AMT917458:AMT917523 AWP917458:AWP917523 BGL917458:BGL917523 BQH917458:BQH917523 CAD917458:CAD917523 CJZ917458:CJZ917523 CTV917458:CTV917523 DDR917458:DDR917523 DNN917458:DNN917523 DXJ917458:DXJ917523 EHF917458:EHF917523 ERB917458:ERB917523 FAX917458:FAX917523 FKT917458:FKT917523 FUP917458:FUP917523 GEL917458:GEL917523 GOH917458:GOH917523 GYD917458:GYD917523 HHZ917458:HHZ917523 HRV917458:HRV917523 IBR917458:IBR917523 ILN917458:ILN917523 IVJ917458:IVJ917523 JFF917458:JFF917523 JPB917458:JPB917523 JYX917458:JYX917523 KIT917458:KIT917523 KSP917458:KSP917523 LCL917458:LCL917523 LMH917458:LMH917523 LWD917458:LWD917523 MFZ917458:MFZ917523 MPV917458:MPV917523 MZR917458:MZR917523 NJN917458:NJN917523 NTJ917458:NTJ917523 ODF917458:ODF917523 ONB917458:ONB917523 OWX917458:OWX917523 PGT917458:PGT917523 PQP917458:PQP917523 QAL917458:QAL917523 QKH917458:QKH917523 QUD917458:QUD917523 RDZ917458:RDZ917523 RNV917458:RNV917523 RXR917458:RXR917523 SHN917458:SHN917523 SRJ917458:SRJ917523 TBF917458:TBF917523 TLB917458:TLB917523 TUX917458:TUX917523 UET917458:UET917523 UOP917458:UOP917523 UYL917458:UYL917523 VIH917458:VIH917523 VSD917458:VSD917523 WBZ917458:WBZ917523 WLV917458:WLV917523 WVR917458:WVR917523 J982994:J983059 JF982994:JF983059 TB982994:TB983059 ACX982994:ACX983059 AMT982994:AMT983059 AWP982994:AWP983059 BGL982994:BGL983059 BQH982994:BQH983059 CAD982994:CAD983059 CJZ982994:CJZ983059 CTV982994:CTV983059 DDR982994:DDR983059 DNN982994:DNN983059 DXJ982994:DXJ983059 EHF982994:EHF983059 ERB982994:ERB983059 FAX982994:FAX983059 FKT982994:FKT983059 FUP982994:FUP983059 GEL982994:GEL983059 GOH982994:GOH983059 GYD982994:GYD983059 HHZ982994:HHZ983059 HRV982994:HRV983059 IBR982994:IBR983059 ILN982994:ILN983059 IVJ982994:IVJ983059 JFF982994:JFF983059 JPB982994:JPB983059 JYX982994:JYX983059 KIT982994:KIT983059 KSP982994:KSP983059 LCL982994:LCL983059 LMH982994:LMH983059 LWD982994:LWD983059 MFZ982994:MFZ983059 MPV982994:MPV983059 MZR982994:MZR983059 NJN982994:NJN983059 NTJ982994:NTJ983059 ODF982994:ODF983059 ONB982994:ONB983059 OWX982994:OWX983059 PGT982994:PGT983059 PQP982994:PQP983059 QAL982994:QAL983059 QKH982994:QKH983059 QUD982994:QUD983059 RDZ982994:RDZ983059 RNV982994:RNV983059 RXR982994:RXR983059 SHN982994:SHN983059 SRJ982994:SRJ983059 TBF982994:TBF983059 TLB982994:TLB983059 TUX982994:TUX983059 UET982994:UET983059 UOP982994:UOP983059 UYL982994:UYL983059 VIH982994:VIH983059 VSD982994:VSD983059 WBZ982994:WBZ983059 WLV982994:WLV983059 J44:J452 WLV2:WLV43 WVR2:WVR43 JF2:JF43 TB2:TB43 ACX2:ACX43 AMT2:AMT43 AWP2:AWP43 BGL2:BGL43 BQH2:BQH43 CAD2:CAD43 CJZ2:CJZ43 CTV2:CTV43 DDR2:DDR43 DNN2:DNN43 DXJ2:DXJ43 EHF2:EHF43 ERB2:ERB43 FAX2:FAX43 FKT2:FKT43 FUP2:FUP43 GEL2:GEL43 GOH2:GOH43 GYD2:GYD43 HHZ2:HHZ43 HRV2:HRV43 IBR2:IBR43 ILN2:ILN43 IVJ2:IVJ43 JFF2:JFF43 JPB2:JPB43 JYX2:JYX43 KIT2:KIT43 KSP2:KSP43 LCL2:LCL43 LMH2:LMH43 LWD2:LWD43 MFZ2:MFZ43 MPV2:MPV43 MZR2:MZR43 NJN2:NJN43 NTJ2:NTJ43 ODF2:ODF43 ONB2:ONB43 OWX2:OWX43 PGT2:PGT43 PQP2:PQP43 QAL2:QAL43 QKH2:QKH43 QUD2:QUD43 RDZ2:RDZ43 RNV2:RNV43 RXR2:RXR43 SHN2:SHN43 SRJ2:SRJ43 TBF2:TBF43 TLB2:TLB43 TUX2:TUX43 UET2:UET43 UOP2:UOP43 UYL2:UYL43 VIH2:VIH43 VSD2:VSD43 WBZ2:WBZ43" xr:uid="{FEC525FE-3114-4438-9F2F-3F900A858082}">
      <formula1>$AP$2:$AP$27</formula1>
    </dataValidation>
    <dataValidation type="list" allowBlank="1" showInputMessage="1" showErrorMessage="1" sqref="WVP982994:WVP983059 H65490:H65555 JD65490:JD65555 SZ65490:SZ65555 ACV65490:ACV65555 AMR65490:AMR65555 AWN65490:AWN65555 BGJ65490:BGJ65555 BQF65490:BQF65555 CAB65490:CAB65555 CJX65490:CJX65555 CTT65490:CTT65555 DDP65490:DDP65555 DNL65490:DNL65555 DXH65490:DXH65555 EHD65490:EHD65555 EQZ65490:EQZ65555 FAV65490:FAV65555 FKR65490:FKR65555 FUN65490:FUN65555 GEJ65490:GEJ65555 GOF65490:GOF65555 GYB65490:GYB65555 HHX65490:HHX65555 HRT65490:HRT65555 IBP65490:IBP65555 ILL65490:ILL65555 IVH65490:IVH65555 JFD65490:JFD65555 JOZ65490:JOZ65555 JYV65490:JYV65555 KIR65490:KIR65555 KSN65490:KSN65555 LCJ65490:LCJ65555 LMF65490:LMF65555 LWB65490:LWB65555 MFX65490:MFX65555 MPT65490:MPT65555 MZP65490:MZP65555 NJL65490:NJL65555 NTH65490:NTH65555 ODD65490:ODD65555 OMZ65490:OMZ65555 OWV65490:OWV65555 PGR65490:PGR65555 PQN65490:PQN65555 QAJ65490:QAJ65555 QKF65490:QKF65555 QUB65490:QUB65555 RDX65490:RDX65555 RNT65490:RNT65555 RXP65490:RXP65555 SHL65490:SHL65555 SRH65490:SRH65555 TBD65490:TBD65555 TKZ65490:TKZ65555 TUV65490:TUV65555 UER65490:UER65555 UON65490:UON65555 UYJ65490:UYJ65555 VIF65490:VIF65555 VSB65490:VSB65555 WBX65490:WBX65555 WLT65490:WLT65555 WVP65490:WVP65555 H131026:H131091 JD131026:JD131091 SZ131026:SZ131091 ACV131026:ACV131091 AMR131026:AMR131091 AWN131026:AWN131091 BGJ131026:BGJ131091 BQF131026:BQF131091 CAB131026:CAB131091 CJX131026:CJX131091 CTT131026:CTT131091 DDP131026:DDP131091 DNL131026:DNL131091 DXH131026:DXH131091 EHD131026:EHD131091 EQZ131026:EQZ131091 FAV131026:FAV131091 FKR131026:FKR131091 FUN131026:FUN131091 GEJ131026:GEJ131091 GOF131026:GOF131091 GYB131026:GYB131091 HHX131026:HHX131091 HRT131026:HRT131091 IBP131026:IBP131091 ILL131026:ILL131091 IVH131026:IVH131091 JFD131026:JFD131091 JOZ131026:JOZ131091 JYV131026:JYV131091 KIR131026:KIR131091 KSN131026:KSN131091 LCJ131026:LCJ131091 LMF131026:LMF131091 LWB131026:LWB131091 MFX131026:MFX131091 MPT131026:MPT131091 MZP131026:MZP131091 NJL131026:NJL131091 NTH131026:NTH131091 ODD131026:ODD131091 OMZ131026:OMZ131091 OWV131026:OWV131091 PGR131026:PGR131091 PQN131026:PQN131091 QAJ131026:QAJ131091 QKF131026:QKF131091 QUB131026:QUB131091 RDX131026:RDX131091 RNT131026:RNT131091 RXP131026:RXP131091 SHL131026:SHL131091 SRH131026:SRH131091 TBD131026:TBD131091 TKZ131026:TKZ131091 TUV131026:TUV131091 UER131026:UER131091 UON131026:UON131091 UYJ131026:UYJ131091 VIF131026:VIF131091 VSB131026:VSB131091 WBX131026:WBX131091 WLT131026:WLT131091 WVP131026:WVP131091 H196562:H196627 JD196562:JD196627 SZ196562:SZ196627 ACV196562:ACV196627 AMR196562:AMR196627 AWN196562:AWN196627 BGJ196562:BGJ196627 BQF196562:BQF196627 CAB196562:CAB196627 CJX196562:CJX196627 CTT196562:CTT196627 DDP196562:DDP196627 DNL196562:DNL196627 DXH196562:DXH196627 EHD196562:EHD196627 EQZ196562:EQZ196627 FAV196562:FAV196627 FKR196562:FKR196627 FUN196562:FUN196627 GEJ196562:GEJ196627 GOF196562:GOF196627 GYB196562:GYB196627 HHX196562:HHX196627 HRT196562:HRT196627 IBP196562:IBP196627 ILL196562:ILL196627 IVH196562:IVH196627 JFD196562:JFD196627 JOZ196562:JOZ196627 JYV196562:JYV196627 KIR196562:KIR196627 KSN196562:KSN196627 LCJ196562:LCJ196627 LMF196562:LMF196627 LWB196562:LWB196627 MFX196562:MFX196627 MPT196562:MPT196627 MZP196562:MZP196627 NJL196562:NJL196627 NTH196562:NTH196627 ODD196562:ODD196627 OMZ196562:OMZ196627 OWV196562:OWV196627 PGR196562:PGR196627 PQN196562:PQN196627 QAJ196562:QAJ196627 QKF196562:QKF196627 QUB196562:QUB196627 RDX196562:RDX196627 RNT196562:RNT196627 RXP196562:RXP196627 SHL196562:SHL196627 SRH196562:SRH196627 TBD196562:TBD196627 TKZ196562:TKZ196627 TUV196562:TUV196627 UER196562:UER196627 UON196562:UON196627 UYJ196562:UYJ196627 VIF196562:VIF196627 VSB196562:VSB196627 WBX196562:WBX196627 WLT196562:WLT196627 WVP196562:WVP196627 H262098:H262163 JD262098:JD262163 SZ262098:SZ262163 ACV262098:ACV262163 AMR262098:AMR262163 AWN262098:AWN262163 BGJ262098:BGJ262163 BQF262098:BQF262163 CAB262098:CAB262163 CJX262098:CJX262163 CTT262098:CTT262163 DDP262098:DDP262163 DNL262098:DNL262163 DXH262098:DXH262163 EHD262098:EHD262163 EQZ262098:EQZ262163 FAV262098:FAV262163 FKR262098:FKR262163 FUN262098:FUN262163 GEJ262098:GEJ262163 GOF262098:GOF262163 GYB262098:GYB262163 HHX262098:HHX262163 HRT262098:HRT262163 IBP262098:IBP262163 ILL262098:ILL262163 IVH262098:IVH262163 JFD262098:JFD262163 JOZ262098:JOZ262163 JYV262098:JYV262163 KIR262098:KIR262163 KSN262098:KSN262163 LCJ262098:LCJ262163 LMF262098:LMF262163 LWB262098:LWB262163 MFX262098:MFX262163 MPT262098:MPT262163 MZP262098:MZP262163 NJL262098:NJL262163 NTH262098:NTH262163 ODD262098:ODD262163 OMZ262098:OMZ262163 OWV262098:OWV262163 PGR262098:PGR262163 PQN262098:PQN262163 QAJ262098:QAJ262163 QKF262098:QKF262163 QUB262098:QUB262163 RDX262098:RDX262163 RNT262098:RNT262163 RXP262098:RXP262163 SHL262098:SHL262163 SRH262098:SRH262163 TBD262098:TBD262163 TKZ262098:TKZ262163 TUV262098:TUV262163 UER262098:UER262163 UON262098:UON262163 UYJ262098:UYJ262163 VIF262098:VIF262163 VSB262098:VSB262163 WBX262098:WBX262163 WLT262098:WLT262163 WVP262098:WVP262163 H327634:H327699 JD327634:JD327699 SZ327634:SZ327699 ACV327634:ACV327699 AMR327634:AMR327699 AWN327634:AWN327699 BGJ327634:BGJ327699 BQF327634:BQF327699 CAB327634:CAB327699 CJX327634:CJX327699 CTT327634:CTT327699 DDP327634:DDP327699 DNL327634:DNL327699 DXH327634:DXH327699 EHD327634:EHD327699 EQZ327634:EQZ327699 FAV327634:FAV327699 FKR327634:FKR327699 FUN327634:FUN327699 GEJ327634:GEJ327699 GOF327634:GOF327699 GYB327634:GYB327699 HHX327634:HHX327699 HRT327634:HRT327699 IBP327634:IBP327699 ILL327634:ILL327699 IVH327634:IVH327699 JFD327634:JFD327699 JOZ327634:JOZ327699 JYV327634:JYV327699 KIR327634:KIR327699 KSN327634:KSN327699 LCJ327634:LCJ327699 LMF327634:LMF327699 LWB327634:LWB327699 MFX327634:MFX327699 MPT327634:MPT327699 MZP327634:MZP327699 NJL327634:NJL327699 NTH327634:NTH327699 ODD327634:ODD327699 OMZ327634:OMZ327699 OWV327634:OWV327699 PGR327634:PGR327699 PQN327634:PQN327699 QAJ327634:QAJ327699 QKF327634:QKF327699 QUB327634:QUB327699 RDX327634:RDX327699 RNT327634:RNT327699 RXP327634:RXP327699 SHL327634:SHL327699 SRH327634:SRH327699 TBD327634:TBD327699 TKZ327634:TKZ327699 TUV327634:TUV327699 UER327634:UER327699 UON327634:UON327699 UYJ327634:UYJ327699 VIF327634:VIF327699 VSB327634:VSB327699 WBX327634:WBX327699 WLT327634:WLT327699 WVP327634:WVP327699 H393170:H393235 JD393170:JD393235 SZ393170:SZ393235 ACV393170:ACV393235 AMR393170:AMR393235 AWN393170:AWN393235 BGJ393170:BGJ393235 BQF393170:BQF393235 CAB393170:CAB393235 CJX393170:CJX393235 CTT393170:CTT393235 DDP393170:DDP393235 DNL393170:DNL393235 DXH393170:DXH393235 EHD393170:EHD393235 EQZ393170:EQZ393235 FAV393170:FAV393235 FKR393170:FKR393235 FUN393170:FUN393235 GEJ393170:GEJ393235 GOF393170:GOF393235 GYB393170:GYB393235 HHX393170:HHX393235 HRT393170:HRT393235 IBP393170:IBP393235 ILL393170:ILL393235 IVH393170:IVH393235 JFD393170:JFD393235 JOZ393170:JOZ393235 JYV393170:JYV393235 KIR393170:KIR393235 KSN393170:KSN393235 LCJ393170:LCJ393235 LMF393170:LMF393235 LWB393170:LWB393235 MFX393170:MFX393235 MPT393170:MPT393235 MZP393170:MZP393235 NJL393170:NJL393235 NTH393170:NTH393235 ODD393170:ODD393235 OMZ393170:OMZ393235 OWV393170:OWV393235 PGR393170:PGR393235 PQN393170:PQN393235 QAJ393170:QAJ393235 QKF393170:QKF393235 QUB393170:QUB393235 RDX393170:RDX393235 RNT393170:RNT393235 RXP393170:RXP393235 SHL393170:SHL393235 SRH393170:SRH393235 TBD393170:TBD393235 TKZ393170:TKZ393235 TUV393170:TUV393235 UER393170:UER393235 UON393170:UON393235 UYJ393170:UYJ393235 VIF393170:VIF393235 VSB393170:VSB393235 WBX393170:WBX393235 WLT393170:WLT393235 WVP393170:WVP393235 H458706:H458771 JD458706:JD458771 SZ458706:SZ458771 ACV458706:ACV458771 AMR458706:AMR458771 AWN458706:AWN458771 BGJ458706:BGJ458771 BQF458706:BQF458771 CAB458706:CAB458771 CJX458706:CJX458771 CTT458706:CTT458771 DDP458706:DDP458771 DNL458706:DNL458771 DXH458706:DXH458771 EHD458706:EHD458771 EQZ458706:EQZ458771 FAV458706:FAV458771 FKR458706:FKR458771 FUN458706:FUN458771 GEJ458706:GEJ458771 GOF458706:GOF458771 GYB458706:GYB458771 HHX458706:HHX458771 HRT458706:HRT458771 IBP458706:IBP458771 ILL458706:ILL458771 IVH458706:IVH458771 JFD458706:JFD458771 JOZ458706:JOZ458771 JYV458706:JYV458771 KIR458706:KIR458771 KSN458706:KSN458771 LCJ458706:LCJ458771 LMF458706:LMF458771 LWB458706:LWB458771 MFX458706:MFX458771 MPT458706:MPT458771 MZP458706:MZP458771 NJL458706:NJL458771 NTH458706:NTH458771 ODD458706:ODD458771 OMZ458706:OMZ458771 OWV458706:OWV458771 PGR458706:PGR458771 PQN458706:PQN458771 QAJ458706:QAJ458771 QKF458706:QKF458771 QUB458706:QUB458771 RDX458706:RDX458771 RNT458706:RNT458771 RXP458706:RXP458771 SHL458706:SHL458771 SRH458706:SRH458771 TBD458706:TBD458771 TKZ458706:TKZ458771 TUV458706:TUV458771 UER458706:UER458771 UON458706:UON458771 UYJ458706:UYJ458771 VIF458706:VIF458771 VSB458706:VSB458771 WBX458706:WBX458771 WLT458706:WLT458771 WVP458706:WVP458771 H524242:H524307 JD524242:JD524307 SZ524242:SZ524307 ACV524242:ACV524307 AMR524242:AMR524307 AWN524242:AWN524307 BGJ524242:BGJ524307 BQF524242:BQF524307 CAB524242:CAB524307 CJX524242:CJX524307 CTT524242:CTT524307 DDP524242:DDP524307 DNL524242:DNL524307 DXH524242:DXH524307 EHD524242:EHD524307 EQZ524242:EQZ524307 FAV524242:FAV524307 FKR524242:FKR524307 FUN524242:FUN524307 GEJ524242:GEJ524307 GOF524242:GOF524307 GYB524242:GYB524307 HHX524242:HHX524307 HRT524242:HRT524307 IBP524242:IBP524307 ILL524242:ILL524307 IVH524242:IVH524307 JFD524242:JFD524307 JOZ524242:JOZ524307 JYV524242:JYV524307 KIR524242:KIR524307 KSN524242:KSN524307 LCJ524242:LCJ524307 LMF524242:LMF524307 LWB524242:LWB524307 MFX524242:MFX524307 MPT524242:MPT524307 MZP524242:MZP524307 NJL524242:NJL524307 NTH524242:NTH524307 ODD524242:ODD524307 OMZ524242:OMZ524307 OWV524242:OWV524307 PGR524242:PGR524307 PQN524242:PQN524307 QAJ524242:QAJ524307 QKF524242:QKF524307 QUB524242:QUB524307 RDX524242:RDX524307 RNT524242:RNT524307 RXP524242:RXP524307 SHL524242:SHL524307 SRH524242:SRH524307 TBD524242:TBD524307 TKZ524242:TKZ524307 TUV524242:TUV524307 UER524242:UER524307 UON524242:UON524307 UYJ524242:UYJ524307 VIF524242:VIF524307 VSB524242:VSB524307 WBX524242:WBX524307 WLT524242:WLT524307 WVP524242:WVP524307 H589778:H589843 JD589778:JD589843 SZ589778:SZ589843 ACV589778:ACV589843 AMR589778:AMR589843 AWN589778:AWN589843 BGJ589778:BGJ589843 BQF589778:BQF589843 CAB589778:CAB589843 CJX589778:CJX589843 CTT589778:CTT589843 DDP589778:DDP589843 DNL589778:DNL589843 DXH589778:DXH589843 EHD589778:EHD589843 EQZ589778:EQZ589843 FAV589778:FAV589843 FKR589778:FKR589843 FUN589778:FUN589843 GEJ589778:GEJ589843 GOF589778:GOF589843 GYB589778:GYB589843 HHX589778:HHX589843 HRT589778:HRT589843 IBP589778:IBP589843 ILL589778:ILL589843 IVH589778:IVH589843 JFD589778:JFD589843 JOZ589778:JOZ589843 JYV589778:JYV589843 KIR589778:KIR589843 KSN589778:KSN589843 LCJ589778:LCJ589843 LMF589778:LMF589843 LWB589778:LWB589843 MFX589778:MFX589843 MPT589778:MPT589843 MZP589778:MZP589843 NJL589778:NJL589843 NTH589778:NTH589843 ODD589778:ODD589843 OMZ589778:OMZ589843 OWV589778:OWV589843 PGR589778:PGR589843 PQN589778:PQN589843 QAJ589778:QAJ589843 QKF589778:QKF589843 QUB589778:QUB589843 RDX589778:RDX589843 RNT589778:RNT589843 RXP589778:RXP589843 SHL589778:SHL589843 SRH589778:SRH589843 TBD589778:TBD589843 TKZ589778:TKZ589843 TUV589778:TUV589843 UER589778:UER589843 UON589778:UON589843 UYJ589778:UYJ589843 VIF589778:VIF589843 VSB589778:VSB589843 WBX589778:WBX589843 WLT589778:WLT589843 WVP589778:WVP589843 H655314:H655379 JD655314:JD655379 SZ655314:SZ655379 ACV655314:ACV655379 AMR655314:AMR655379 AWN655314:AWN655379 BGJ655314:BGJ655379 BQF655314:BQF655379 CAB655314:CAB655379 CJX655314:CJX655379 CTT655314:CTT655379 DDP655314:DDP655379 DNL655314:DNL655379 DXH655314:DXH655379 EHD655314:EHD655379 EQZ655314:EQZ655379 FAV655314:FAV655379 FKR655314:FKR655379 FUN655314:FUN655379 GEJ655314:GEJ655379 GOF655314:GOF655379 GYB655314:GYB655379 HHX655314:HHX655379 HRT655314:HRT655379 IBP655314:IBP655379 ILL655314:ILL655379 IVH655314:IVH655379 JFD655314:JFD655379 JOZ655314:JOZ655379 JYV655314:JYV655379 KIR655314:KIR655379 KSN655314:KSN655379 LCJ655314:LCJ655379 LMF655314:LMF655379 LWB655314:LWB655379 MFX655314:MFX655379 MPT655314:MPT655379 MZP655314:MZP655379 NJL655314:NJL655379 NTH655314:NTH655379 ODD655314:ODD655379 OMZ655314:OMZ655379 OWV655314:OWV655379 PGR655314:PGR655379 PQN655314:PQN655379 QAJ655314:QAJ655379 QKF655314:QKF655379 QUB655314:QUB655379 RDX655314:RDX655379 RNT655314:RNT655379 RXP655314:RXP655379 SHL655314:SHL655379 SRH655314:SRH655379 TBD655314:TBD655379 TKZ655314:TKZ655379 TUV655314:TUV655379 UER655314:UER655379 UON655314:UON655379 UYJ655314:UYJ655379 VIF655314:VIF655379 VSB655314:VSB655379 WBX655314:WBX655379 WLT655314:WLT655379 WVP655314:WVP655379 H720850:H720915 JD720850:JD720915 SZ720850:SZ720915 ACV720850:ACV720915 AMR720850:AMR720915 AWN720850:AWN720915 BGJ720850:BGJ720915 BQF720850:BQF720915 CAB720850:CAB720915 CJX720850:CJX720915 CTT720850:CTT720915 DDP720850:DDP720915 DNL720850:DNL720915 DXH720850:DXH720915 EHD720850:EHD720915 EQZ720850:EQZ720915 FAV720850:FAV720915 FKR720850:FKR720915 FUN720850:FUN720915 GEJ720850:GEJ720915 GOF720850:GOF720915 GYB720850:GYB720915 HHX720850:HHX720915 HRT720850:HRT720915 IBP720850:IBP720915 ILL720850:ILL720915 IVH720850:IVH720915 JFD720850:JFD720915 JOZ720850:JOZ720915 JYV720850:JYV720915 KIR720850:KIR720915 KSN720850:KSN720915 LCJ720850:LCJ720915 LMF720850:LMF720915 LWB720850:LWB720915 MFX720850:MFX720915 MPT720850:MPT720915 MZP720850:MZP720915 NJL720850:NJL720915 NTH720850:NTH720915 ODD720850:ODD720915 OMZ720850:OMZ720915 OWV720850:OWV720915 PGR720850:PGR720915 PQN720850:PQN720915 QAJ720850:QAJ720915 QKF720850:QKF720915 QUB720850:QUB720915 RDX720850:RDX720915 RNT720850:RNT720915 RXP720850:RXP720915 SHL720850:SHL720915 SRH720850:SRH720915 TBD720850:TBD720915 TKZ720850:TKZ720915 TUV720850:TUV720915 UER720850:UER720915 UON720850:UON720915 UYJ720850:UYJ720915 VIF720850:VIF720915 VSB720850:VSB720915 WBX720850:WBX720915 WLT720850:WLT720915 WVP720850:WVP720915 H786386:H786451 JD786386:JD786451 SZ786386:SZ786451 ACV786386:ACV786451 AMR786386:AMR786451 AWN786386:AWN786451 BGJ786386:BGJ786451 BQF786386:BQF786451 CAB786386:CAB786451 CJX786386:CJX786451 CTT786386:CTT786451 DDP786386:DDP786451 DNL786386:DNL786451 DXH786386:DXH786451 EHD786386:EHD786451 EQZ786386:EQZ786451 FAV786386:FAV786451 FKR786386:FKR786451 FUN786386:FUN786451 GEJ786386:GEJ786451 GOF786386:GOF786451 GYB786386:GYB786451 HHX786386:HHX786451 HRT786386:HRT786451 IBP786386:IBP786451 ILL786386:ILL786451 IVH786386:IVH786451 JFD786386:JFD786451 JOZ786386:JOZ786451 JYV786386:JYV786451 KIR786386:KIR786451 KSN786386:KSN786451 LCJ786386:LCJ786451 LMF786386:LMF786451 LWB786386:LWB786451 MFX786386:MFX786451 MPT786386:MPT786451 MZP786386:MZP786451 NJL786386:NJL786451 NTH786386:NTH786451 ODD786386:ODD786451 OMZ786386:OMZ786451 OWV786386:OWV786451 PGR786386:PGR786451 PQN786386:PQN786451 QAJ786386:QAJ786451 QKF786386:QKF786451 QUB786386:QUB786451 RDX786386:RDX786451 RNT786386:RNT786451 RXP786386:RXP786451 SHL786386:SHL786451 SRH786386:SRH786451 TBD786386:TBD786451 TKZ786386:TKZ786451 TUV786386:TUV786451 UER786386:UER786451 UON786386:UON786451 UYJ786386:UYJ786451 VIF786386:VIF786451 VSB786386:VSB786451 WBX786386:WBX786451 WLT786386:WLT786451 WVP786386:WVP786451 H851922:H851987 JD851922:JD851987 SZ851922:SZ851987 ACV851922:ACV851987 AMR851922:AMR851987 AWN851922:AWN851987 BGJ851922:BGJ851987 BQF851922:BQF851987 CAB851922:CAB851987 CJX851922:CJX851987 CTT851922:CTT851987 DDP851922:DDP851987 DNL851922:DNL851987 DXH851922:DXH851987 EHD851922:EHD851987 EQZ851922:EQZ851987 FAV851922:FAV851987 FKR851922:FKR851987 FUN851922:FUN851987 GEJ851922:GEJ851987 GOF851922:GOF851987 GYB851922:GYB851987 HHX851922:HHX851987 HRT851922:HRT851987 IBP851922:IBP851987 ILL851922:ILL851987 IVH851922:IVH851987 JFD851922:JFD851987 JOZ851922:JOZ851987 JYV851922:JYV851987 KIR851922:KIR851987 KSN851922:KSN851987 LCJ851922:LCJ851987 LMF851922:LMF851987 LWB851922:LWB851987 MFX851922:MFX851987 MPT851922:MPT851987 MZP851922:MZP851987 NJL851922:NJL851987 NTH851922:NTH851987 ODD851922:ODD851987 OMZ851922:OMZ851987 OWV851922:OWV851987 PGR851922:PGR851987 PQN851922:PQN851987 QAJ851922:QAJ851987 QKF851922:QKF851987 QUB851922:QUB851987 RDX851922:RDX851987 RNT851922:RNT851987 RXP851922:RXP851987 SHL851922:SHL851987 SRH851922:SRH851987 TBD851922:TBD851987 TKZ851922:TKZ851987 TUV851922:TUV851987 UER851922:UER851987 UON851922:UON851987 UYJ851922:UYJ851987 VIF851922:VIF851987 VSB851922:VSB851987 WBX851922:WBX851987 WLT851922:WLT851987 WVP851922:WVP851987 H917458:H917523 JD917458:JD917523 SZ917458:SZ917523 ACV917458:ACV917523 AMR917458:AMR917523 AWN917458:AWN917523 BGJ917458:BGJ917523 BQF917458:BQF917523 CAB917458:CAB917523 CJX917458:CJX917523 CTT917458:CTT917523 DDP917458:DDP917523 DNL917458:DNL917523 DXH917458:DXH917523 EHD917458:EHD917523 EQZ917458:EQZ917523 FAV917458:FAV917523 FKR917458:FKR917523 FUN917458:FUN917523 GEJ917458:GEJ917523 GOF917458:GOF917523 GYB917458:GYB917523 HHX917458:HHX917523 HRT917458:HRT917523 IBP917458:IBP917523 ILL917458:ILL917523 IVH917458:IVH917523 JFD917458:JFD917523 JOZ917458:JOZ917523 JYV917458:JYV917523 KIR917458:KIR917523 KSN917458:KSN917523 LCJ917458:LCJ917523 LMF917458:LMF917523 LWB917458:LWB917523 MFX917458:MFX917523 MPT917458:MPT917523 MZP917458:MZP917523 NJL917458:NJL917523 NTH917458:NTH917523 ODD917458:ODD917523 OMZ917458:OMZ917523 OWV917458:OWV917523 PGR917458:PGR917523 PQN917458:PQN917523 QAJ917458:QAJ917523 QKF917458:QKF917523 QUB917458:QUB917523 RDX917458:RDX917523 RNT917458:RNT917523 RXP917458:RXP917523 SHL917458:SHL917523 SRH917458:SRH917523 TBD917458:TBD917523 TKZ917458:TKZ917523 TUV917458:TUV917523 UER917458:UER917523 UON917458:UON917523 UYJ917458:UYJ917523 VIF917458:VIF917523 VSB917458:VSB917523 WBX917458:WBX917523 WLT917458:WLT917523 WVP917458:WVP917523 H982994:H983059 JD982994:JD983059 SZ982994:SZ983059 ACV982994:ACV983059 AMR982994:AMR983059 AWN982994:AWN983059 BGJ982994:BGJ983059 BQF982994:BQF983059 CAB982994:CAB983059 CJX982994:CJX983059 CTT982994:CTT983059 DDP982994:DDP983059 DNL982994:DNL983059 DXH982994:DXH983059 EHD982994:EHD983059 EQZ982994:EQZ983059 FAV982994:FAV983059 FKR982994:FKR983059 FUN982994:FUN983059 GEJ982994:GEJ983059 GOF982994:GOF983059 GYB982994:GYB983059 HHX982994:HHX983059 HRT982994:HRT983059 IBP982994:IBP983059 ILL982994:ILL983059 IVH982994:IVH983059 JFD982994:JFD983059 JOZ982994:JOZ983059 JYV982994:JYV983059 KIR982994:KIR983059 KSN982994:KSN983059 LCJ982994:LCJ983059 LMF982994:LMF983059 LWB982994:LWB983059 MFX982994:MFX983059 MPT982994:MPT983059 MZP982994:MZP983059 NJL982994:NJL983059 NTH982994:NTH983059 ODD982994:ODD983059 OMZ982994:OMZ983059 OWV982994:OWV983059 PGR982994:PGR983059 PQN982994:PQN983059 QAJ982994:QAJ983059 QKF982994:QKF983059 QUB982994:QUB983059 RDX982994:RDX983059 RNT982994:RNT983059 RXP982994:RXP983059 SHL982994:SHL983059 SRH982994:SRH983059 TBD982994:TBD983059 TKZ982994:TKZ983059 TUV982994:TUV983059 UER982994:UER983059 UON982994:UON983059 UYJ982994:UYJ983059 VIF982994:VIF983059 VSB982994:VSB983059 WBX982994:WBX983059 WLT982994:WLT983059 WLT2:WLT43 WVP2:WVP43 JD2:JD43 SZ2:SZ43 ACV2:ACV43 AMR2:AMR43 AWN2:AWN43 BGJ2:BGJ43 BQF2:BQF43 CAB2:CAB43 CJX2:CJX43 CTT2:CTT43 DDP2:DDP43 DNL2:DNL43 DXH2:DXH43 EHD2:EHD43 EQZ2:EQZ43 FAV2:FAV43 FKR2:FKR43 FUN2:FUN43 GEJ2:GEJ43 GOF2:GOF43 GYB2:GYB43 HHX2:HHX43 HRT2:HRT43 IBP2:IBP43 ILL2:ILL43 IVH2:IVH43 JFD2:JFD43 JOZ2:JOZ43 JYV2:JYV43 KIR2:KIR43 KSN2:KSN43 LCJ2:LCJ43 LMF2:LMF43 LWB2:LWB43 MFX2:MFX43 MPT2:MPT43 MZP2:MZP43 NJL2:NJL43 NTH2:NTH43 ODD2:ODD43 OMZ2:OMZ43 OWV2:OWV43 PGR2:PGR43 PQN2:PQN43 QAJ2:QAJ43 QKF2:QKF43 QUB2:QUB43 RDX2:RDX43 RNT2:RNT43 RXP2:RXP43 SHL2:SHL43 SRH2:SRH43 TBD2:TBD43 TKZ2:TKZ43 TUV2:TUV43 UER2:UER43 UON2:UON43 UYJ2:UYJ43 VIF2:VIF43 VSB2:VSB43 WBX2:WBX43" xr:uid="{E61FFA84-B2E7-4549-BBCB-5E7768546A36}">
      <formula1>$AL$4:$AL$12</formula1>
    </dataValidation>
    <dataValidation type="list" allowBlank="1" showInputMessage="1" showErrorMessage="1" sqref="A64315:A64380 IW64315:IW64380 SS64315:SS64380 ACO64315:ACO64380 AMK64315:AMK64380 AWG64315:AWG64380 BGC64315:BGC64380 BPY64315:BPY64380 BZU64315:BZU64380 CJQ64315:CJQ64380 CTM64315:CTM64380 DDI64315:DDI64380 DNE64315:DNE64380 DXA64315:DXA64380 EGW64315:EGW64380 EQS64315:EQS64380 FAO64315:FAO64380 FKK64315:FKK64380 FUG64315:FUG64380 GEC64315:GEC64380 GNY64315:GNY64380 GXU64315:GXU64380 HHQ64315:HHQ64380 HRM64315:HRM64380 IBI64315:IBI64380 ILE64315:ILE64380 IVA64315:IVA64380 JEW64315:JEW64380 JOS64315:JOS64380 JYO64315:JYO64380 KIK64315:KIK64380 KSG64315:KSG64380 LCC64315:LCC64380 LLY64315:LLY64380 LVU64315:LVU64380 MFQ64315:MFQ64380 MPM64315:MPM64380 MZI64315:MZI64380 NJE64315:NJE64380 NTA64315:NTA64380 OCW64315:OCW64380 OMS64315:OMS64380 OWO64315:OWO64380 PGK64315:PGK64380 PQG64315:PQG64380 QAC64315:QAC64380 QJY64315:QJY64380 QTU64315:QTU64380 RDQ64315:RDQ64380 RNM64315:RNM64380 RXI64315:RXI64380 SHE64315:SHE64380 SRA64315:SRA64380 TAW64315:TAW64380 TKS64315:TKS64380 TUO64315:TUO64380 UEK64315:UEK64380 UOG64315:UOG64380 UYC64315:UYC64380 VHY64315:VHY64380 VRU64315:VRU64380 WBQ64315:WBQ64380 WLM64315:WLM64380 WVI64315:WVI64380 A129851:A129916 IW129851:IW129916 SS129851:SS129916 ACO129851:ACO129916 AMK129851:AMK129916 AWG129851:AWG129916 BGC129851:BGC129916 BPY129851:BPY129916 BZU129851:BZU129916 CJQ129851:CJQ129916 CTM129851:CTM129916 DDI129851:DDI129916 DNE129851:DNE129916 DXA129851:DXA129916 EGW129851:EGW129916 EQS129851:EQS129916 FAO129851:FAO129916 FKK129851:FKK129916 FUG129851:FUG129916 GEC129851:GEC129916 GNY129851:GNY129916 GXU129851:GXU129916 HHQ129851:HHQ129916 HRM129851:HRM129916 IBI129851:IBI129916 ILE129851:ILE129916 IVA129851:IVA129916 JEW129851:JEW129916 JOS129851:JOS129916 JYO129851:JYO129916 KIK129851:KIK129916 KSG129851:KSG129916 LCC129851:LCC129916 LLY129851:LLY129916 LVU129851:LVU129916 MFQ129851:MFQ129916 MPM129851:MPM129916 MZI129851:MZI129916 NJE129851:NJE129916 NTA129851:NTA129916 OCW129851:OCW129916 OMS129851:OMS129916 OWO129851:OWO129916 PGK129851:PGK129916 PQG129851:PQG129916 QAC129851:QAC129916 QJY129851:QJY129916 QTU129851:QTU129916 RDQ129851:RDQ129916 RNM129851:RNM129916 RXI129851:RXI129916 SHE129851:SHE129916 SRA129851:SRA129916 TAW129851:TAW129916 TKS129851:TKS129916 TUO129851:TUO129916 UEK129851:UEK129916 UOG129851:UOG129916 UYC129851:UYC129916 VHY129851:VHY129916 VRU129851:VRU129916 WBQ129851:WBQ129916 WLM129851:WLM129916 WVI129851:WVI129916 A195387:A195452 IW195387:IW195452 SS195387:SS195452 ACO195387:ACO195452 AMK195387:AMK195452 AWG195387:AWG195452 BGC195387:BGC195452 BPY195387:BPY195452 BZU195387:BZU195452 CJQ195387:CJQ195452 CTM195387:CTM195452 DDI195387:DDI195452 DNE195387:DNE195452 DXA195387:DXA195452 EGW195387:EGW195452 EQS195387:EQS195452 FAO195387:FAO195452 FKK195387:FKK195452 FUG195387:FUG195452 GEC195387:GEC195452 GNY195387:GNY195452 GXU195387:GXU195452 HHQ195387:HHQ195452 HRM195387:HRM195452 IBI195387:IBI195452 ILE195387:ILE195452 IVA195387:IVA195452 JEW195387:JEW195452 JOS195387:JOS195452 JYO195387:JYO195452 KIK195387:KIK195452 KSG195387:KSG195452 LCC195387:LCC195452 LLY195387:LLY195452 LVU195387:LVU195452 MFQ195387:MFQ195452 MPM195387:MPM195452 MZI195387:MZI195452 NJE195387:NJE195452 NTA195387:NTA195452 OCW195387:OCW195452 OMS195387:OMS195452 OWO195387:OWO195452 PGK195387:PGK195452 PQG195387:PQG195452 QAC195387:QAC195452 QJY195387:QJY195452 QTU195387:QTU195452 RDQ195387:RDQ195452 RNM195387:RNM195452 RXI195387:RXI195452 SHE195387:SHE195452 SRA195387:SRA195452 TAW195387:TAW195452 TKS195387:TKS195452 TUO195387:TUO195452 UEK195387:UEK195452 UOG195387:UOG195452 UYC195387:UYC195452 VHY195387:VHY195452 VRU195387:VRU195452 WBQ195387:WBQ195452 WLM195387:WLM195452 WVI195387:WVI195452 A260923:A260988 IW260923:IW260988 SS260923:SS260988 ACO260923:ACO260988 AMK260923:AMK260988 AWG260923:AWG260988 BGC260923:BGC260988 BPY260923:BPY260988 BZU260923:BZU260988 CJQ260923:CJQ260988 CTM260923:CTM260988 DDI260923:DDI260988 DNE260923:DNE260988 DXA260923:DXA260988 EGW260923:EGW260988 EQS260923:EQS260988 FAO260923:FAO260988 FKK260923:FKK260988 FUG260923:FUG260988 GEC260923:GEC260988 GNY260923:GNY260988 GXU260923:GXU260988 HHQ260923:HHQ260988 HRM260923:HRM260988 IBI260923:IBI260988 ILE260923:ILE260988 IVA260923:IVA260988 JEW260923:JEW260988 JOS260923:JOS260988 JYO260923:JYO260988 KIK260923:KIK260988 KSG260923:KSG260988 LCC260923:LCC260988 LLY260923:LLY260988 LVU260923:LVU260988 MFQ260923:MFQ260988 MPM260923:MPM260988 MZI260923:MZI260988 NJE260923:NJE260988 NTA260923:NTA260988 OCW260923:OCW260988 OMS260923:OMS260988 OWO260923:OWO260988 PGK260923:PGK260988 PQG260923:PQG260988 QAC260923:QAC260988 QJY260923:QJY260988 QTU260923:QTU260988 RDQ260923:RDQ260988 RNM260923:RNM260988 RXI260923:RXI260988 SHE260923:SHE260988 SRA260923:SRA260988 TAW260923:TAW260988 TKS260923:TKS260988 TUO260923:TUO260988 UEK260923:UEK260988 UOG260923:UOG260988 UYC260923:UYC260988 VHY260923:VHY260988 VRU260923:VRU260988 WBQ260923:WBQ260988 WLM260923:WLM260988 WVI260923:WVI260988 A326459:A326524 IW326459:IW326524 SS326459:SS326524 ACO326459:ACO326524 AMK326459:AMK326524 AWG326459:AWG326524 BGC326459:BGC326524 BPY326459:BPY326524 BZU326459:BZU326524 CJQ326459:CJQ326524 CTM326459:CTM326524 DDI326459:DDI326524 DNE326459:DNE326524 DXA326459:DXA326524 EGW326459:EGW326524 EQS326459:EQS326524 FAO326459:FAO326524 FKK326459:FKK326524 FUG326459:FUG326524 GEC326459:GEC326524 GNY326459:GNY326524 GXU326459:GXU326524 HHQ326459:HHQ326524 HRM326459:HRM326524 IBI326459:IBI326524 ILE326459:ILE326524 IVA326459:IVA326524 JEW326459:JEW326524 JOS326459:JOS326524 JYO326459:JYO326524 KIK326459:KIK326524 KSG326459:KSG326524 LCC326459:LCC326524 LLY326459:LLY326524 LVU326459:LVU326524 MFQ326459:MFQ326524 MPM326459:MPM326524 MZI326459:MZI326524 NJE326459:NJE326524 NTA326459:NTA326524 OCW326459:OCW326524 OMS326459:OMS326524 OWO326459:OWO326524 PGK326459:PGK326524 PQG326459:PQG326524 QAC326459:QAC326524 QJY326459:QJY326524 QTU326459:QTU326524 RDQ326459:RDQ326524 RNM326459:RNM326524 RXI326459:RXI326524 SHE326459:SHE326524 SRA326459:SRA326524 TAW326459:TAW326524 TKS326459:TKS326524 TUO326459:TUO326524 UEK326459:UEK326524 UOG326459:UOG326524 UYC326459:UYC326524 VHY326459:VHY326524 VRU326459:VRU326524 WBQ326459:WBQ326524 WLM326459:WLM326524 WVI326459:WVI326524 A391995:A392060 IW391995:IW392060 SS391995:SS392060 ACO391995:ACO392060 AMK391995:AMK392060 AWG391995:AWG392060 BGC391995:BGC392060 BPY391995:BPY392060 BZU391995:BZU392060 CJQ391995:CJQ392060 CTM391995:CTM392060 DDI391995:DDI392060 DNE391995:DNE392060 DXA391995:DXA392060 EGW391995:EGW392060 EQS391995:EQS392060 FAO391995:FAO392060 FKK391995:FKK392060 FUG391995:FUG392060 GEC391995:GEC392060 GNY391995:GNY392060 GXU391995:GXU392060 HHQ391995:HHQ392060 HRM391995:HRM392060 IBI391995:IBI392060 ILE391995:ILE392060 IVA391995:IVA392060 JEW391995:JEW392060 JOS391995:JOS392060 JYO391995:JYO392060 KIK391995:KIK392060 KSG391995:KSG392060 LCC391995:LCC392060 LLY391995:LLY392060 LVU391995:LVU392060 MFQ391995:MFQ392060 MPM391995:MPM392060 MZI391995:MZI392060 NJE391995:NJE392060 NTA391995:NTA392060 OCW391995:OCW392060 OMS391995:OMS392060 OWO391995:OWO392060 PGK391995:PGK392060 PQG391995:PQG392060 QAC391995:QAC392060 QJY391995:QJY392060 QTU391995:QTU392060 RDQ391995:RDQ392060 RNM391995:RNM392060 RXI391995:RXI392060 SHE391995:SHE392060 SRA391995:SRA392060 TAW391995:TAW392060 TKS391995:TKS392060 TUO391995:TUO392060 UEK391995:UEK392060 UOG391995:UOG392060 UYC391995:UYC392060 VHY391995:VHY392060 VRU391995:VRU392060 WBQ391995:WBQ392060 WLM391995:WLM392060 WVI391995:WVI392060 A457531:A457596 IW457531:IW457596 SS457531:SS457596 ACO457531:ACO457596 AMK457531:AMK457596 AWG457531:AWG457596 BGC457531:BGC457596 BPY457531:BPY457596 BZU457531:BZU457596 CJQ457531:CJQ457596 CTM457531:CTM457596 DDI457531:DDI457596 DNE457531:DNE457596 DXA457531:DXA457596 EGW457531:EGW457596 EQS457531:EQS457596 FAO457531:FAO457596 FKK457531:FKK457596 FUG457531:FUG457596 GEC457531:GEC457596 GNY457531:GNY457596 GXU457531:GXU457596 HHQ457531:HHQ457596 HRM457531:HRM457596 IBI457531:IBI457596 ILE457531:ILE457596 IVA457531:IVA457596 JEW457531:JEW457596 JOS457531:JOS457596 JYO457531:JYO457596 KIK457531:KIK457596 KSG457531:KSG457596 LCC457531:LCC457596 LLY457531:LLY457596 LVU457531:LVU457596 MFQ457531:MFQ457596 MPM457531:MPM457596 MZI457531:MZI457596 NJE457531:NJE457596 NTA457531:NTA457596 OCW457531:OCW457596 OMS457531:OMS457596 OWO457531:OWO457596 PGK457531:PGK457596 PQG457531:PQG457596 QAC457531:QAC457596 QJY457531:QJY457596 QTU457531:QTU457596 RDQ457531:RDQ457596 RNM457531:RNM457596 RXI457531:RXI457596 SHE457531:SHE457596 SRA457531:SRA457596 TAW457531:TAW457596 TKS457531:TKS457596 TUO457531:TUO457596 UEK457531:UEK457596 UOG457531:UOG457596 UYC457531:UYC457596 VHY457531:VHY457596 VRU457531:VRU457596 WBQ457531:WBQ457596 WLM457531:WLM457596 WVI457531:WVI457596 A523067:A523132 IW523067:IW523132 SS523067:SS523132 ACO523067:ACO523132 AMK523067:AMK523132 AWG523067:AWG523132 BGC523067:BGC523132 BPY523067:BPY523132 BZU523067:BZU523132 CJQ523067:CJQ523132 CTM523067:CTM523132 DDI523067:DDI523132 DNE523067:DNE523132 DXA523067:DXA523132 EGW523067:EGW523132 EQS523067:EQS523132 FAO523067:FAO523132 FKK523067:FKK523132 FUG523067:FUG523132 GEC523067:GEC523132 GNY523067:GNY523132 GXU523067:GXU523132 HHQ523067:HHQ523132 HRM523067:HRM523132 IBI523067:IBI523132 ILE523067:ILE523132 IVA523067:IVA523132 JEW523067:JEW523132 JOS523067:JOS523132 JYO523067:JYO523132 KIK523067:KIK523132 KSG523067:KSG523132 LCC523067:LCC523132 LLY523067:LLY523132 LVU523067:LVU523132 MFQ523067:MFQ523132 MPM523067:MPM523132 MZI523067:MZI523132 NJE523067:NJE523132 NTA523067:NTA523132 OCW523067:OCW523132 OMS523067:OMS523132 OWO523067:OWO523132 PGK523067:PGK523132 PQG523067:PQG523132 QAC523067:QAC523132 QJY523067:QJY523132 QTU523067:QTU523132 RDQ523067:RDQ523132 RNM523067:RNM523132 RXI523067:RXI523132 SHE523067:SHE523132 SRA523067:SRA523132 TAW523067:TAW523132 TKS523067:TKS523132 TUO523067:TUO523132 UEK523067:UEK523132 UOG523067:UOG523132 UYC523067:UYC523132 VHY523067:VHY523132 VRU523067:VRU523132 WBQ523067:WBQ523132 WLM523067:WLM523132 WVI523067:WVI523132 A588603:A588668 IW588603:IW588668 SS588603:SS588668 ACO588603:ACO588668 AMK588603:AMK588668 AWG588603:AWG588668 BGC588603:BGC588668 BPY588603:BPY588668 BZU588603:BZU588668 CJQ588603:CJQ588668 CTM588603:CTM588668 DDI588603:DDI588668 DNE588603:DNE588668 DXA588603:DXA588668 EGW588603:EGW588668 EQS588603:EQS588668 FAO588603:FAO588668 FKK588603:FKK588668 FUG588603:FUG588668 GEC588603:GEC588668 GNY588603:GNY588668 GXU588603:GXU588668 HHQ588603:HHQ588668 HRM588603:HRM588668 IBI588603:IBI588668 ILE588603:ILE588668 IVA588603:IVA588668 JEW588603:JEW588668 JOS588603:JOS588668 JYO588603:JYO588668 KIK588603:KIK588668 KSG588603:KSG588668 LCC588603:LCC588668 LLY588603:LLY588668 LVU588603:LVU588668 MFQ588603:MFQ588668 MPM588603:MPM588668 MZI588603:MZI588668 NJE588603:NJE588668 NTA588603:NTA588668 OCW588603:OCW588668 OMS588603:OMS588668 OWO588603:OWO588668 PGK588603:PGK588668 PQG588603:PQG588668 QAC588603:QAC588668 QJY588603:QJY588668 QTU588603:QTU588668 RDQ588603:RDQ588668 RNM588603:RNM588668 RXI588603:RXI588668 SHE588603:SHE588668 SRA588603:SRA588668 TAW588603:TAW588668 TKS588603:TKS588668 TUO588603:TUO588668 UEK588603:UEK588668 UOG588603:UOG588668 UYC588603:UYC588668 VHY588603:VHY588668 VRU588603:VRU588668 WBQ588603:WBQ588668 WLM588603:WLM588668 WVI588603:WVI588668 A654139:A654204 IW654139:IW654204 SS654139:SS654204 ACO654139:ACO654204 AMK654139:AMK654204 AWG654139:AWG654204 BGC654139:BGC654204 BPY654139:BPY654204 BZU654139:BZU654204 CJQ654139:CJQ654204 CTM654139:CTM654204 DDI654139:DDI654204 DNE654139:DNE654204 DXA654139:DXA654204 EGW654139:EGW654204 EQS654139:EQS654204 FAO654139:FAO654204 FKK654139:FKK654204 FUG654139:FUG654204 GEC654139:GEC654204 GNY654139:GNY654204 GXU654139:GXU654204 HHQ654139:HHQ654204 HRM654139:HRM654204 IBI654139:IBI654204 ILE654139:ILE654204 IVA654139:IVA654204 JEW654139:JEW654204 JOS654139:JOS654204 JYO654139:JYO654204 KIK654139:KIK654204 KSG654139:KSG654204 LCC654139:LCC654204 LLY654139:LLY654204 LVU654139:LVU654204 MFQ654139:MFQ654204 MPM654139:MPM654204 MZI654139:MZI654204 NJE654139:NJE654204 NTA654139:NTA654204 OCW654139:OCW654204 OMS654139:OMS654204 OWO654139:OWO654204 PGK654139:PGK654204 PQG654139:PQG654204 QAC654139:QAC654204 QJY654139:QJY654204 QTU654139:QTU654204 RDQ654139:RDQ654204 RNM654139:RNM654204 RXI654139:RXI654204 SHE654139:SHE654204 SRA654139:SRA654204 TAW654139:TAW654204 TKS654139:TKS654204 TUO654139:TUO654204 UEK654139:UEK654204 UOG654139:UOG654204 UYC654139:UYC654204 VHY654139:VHY654204 VRU654139:VRU654204 WBQ654139:WBQ654204 WLM654139:WLM654204 WVI654139:WVI654204 A719675:A719740 IW719675:IW719740 SS719675:SS719740 ACO719675:ACO719740 AMK719675:AMK719740 AWG719675:AWG719740 BGC719675:BGC719740 BPY719675:BPY719740 BZU719675:BZU719740 CJQ719675:CJQ719740 CTM719675:CTM719740 DDI719675:DDI719740 DNE719675:DNE719740 DXA719675:DXA719740 EGW719675:EGW719740 EQS719675:EQS719740 FAO719675:FAO719740 FKK719675:FKK719740 FUG719675:FUG719740 GEC719675:GEC719740 GNY719675:GNY719740 GXU719675:GXU719740 HHQ719675:HHQ719740 HRM719675:HRM719740 IBI719675:IBI719740 ILE719675:ILE719740 IVA719675:IVA719740 JEW719675:JEW719740 JOS719675:JOS719740 JYO719675:JYO719740 KIK719675:KIK719740 KSG719675:KSG719740 LCC719675:LCC719740 LLY719675:LLY719740 LVU719675:LVU719740 MFQ719675:MFQ719740 MPM719675:MPM719740 MZI719675:MZI719740 NJE719675:NJE719740 NTA719675:NTA719740 OCW719675:OCW719740 OMS719675:OMS719740 OWO719675:OWO719740 PGK719675:PGK719740 PQG719675:PQG719740 QAC719675:QAC719740 QJY719675:QJY719740 QTU719675:QTU719740 RDQ719675:RDQ719740 RNM719675:RNM719740 RXI719675:RXI719740 SHE719675:SHE719740 SRA719675:SRA719740 TAW719675:TAW719740 TKS719675:TKS719740 TUO719675:TUO719740 UEK719675:UEK719740 UOG719675:UOG719740 UYC719675:UYC719740 VHY719675:VHY719740 VRU719675:VRU719740 WBQ719675:WBQ719740 WLM719675:WLM719740 WVI719675:WVI719740 A785211:A785276 IW785211:IW785276 SS785211:SS785276 ACO785211:ACO785276 AMK785211:AMK785276 AWG785211:AWG785276 BGC785211:BGC785276 BPY785211:BPY785276 BZU785211:BZU785276 CJQ785211:CJQ785276 CTM785211:CTM785276 DDI785211:DDI785276 DNE785211:DNE785276 DXA785211:DXA785276 EGW785211:EGW785276 EQS785211:EQS785276 FAO785211:FAO785276 FKK785211:FKK785276 FUG785211:FUG785276 GEC785211:GEC785276 GNY785211:GNY785276 GXU785211:GXU785276 HHQ785211:HHQ785276 HRM785211:HRM785276 IBI785211:IBI785276 ILE785211:ILE785276 IVA785211:IVA785276 JEW785211:JEW785276 JOS785211:JOS785276 JYO785211:JYO785276 KIK785211:KIK785276 KSG785211:KSG785276 LCC785211:LCC785276 LLY785211:LLY785276 LVU785211:LVU785276 MFQ785211:MFQ785276 MPM785211:MPM785276 MZI785211:MZI785276 NJE785211:NJE785276 NTA785211:NTA785276 OCW785211:OCW785276 OMS785211:OMS785276 OWO785211:OWO785276 PGK785211:PGK785276 PQG785211:PQG785276 QAC785211:QAC785276 QJY785211:QJY785276 QTU785211:QTU785276 RDQ785211:RDQ785276 RNM785211:RNM785276 RXI785211:RXI785276 SHE785211:SHE785276 SRA785211:SRA785276 TAW785211:TAW785276 TKS785211:TKS785276 TUO785211:TUO785276 UEK785211:UEK785276 UOG785211:UOG785276 UYC785211:UYC785276 VHY785211:VHY785276 VRU785211:VRU785276 WBQ785211:WBQ785276 WLM785211:WLM785276 WVI785211:WVI785276 A850747:A850812 IW850747:IW850812 SS850747:SS850812 ACO850747:ACO850812 AMK850747:AMK850812 AWG850747:AWG850812 BGC850747:BGC850812 BPY850747:BPY850812 BZU850747:BZU850812 CJQ850747:CJQ850812 CTM850747:CTM850812 DDI850747:DDI850812 DNE850747:DNE850812 DXA850747:DXA850812 EGW850747:EGW850812 EQS850747:EQS850812 FAO850747:FAO850812 FKK850747:FKK850812 FUG850747:FUG850812 GEC850747:GEC850812 GNY850747:GNY850812 GXU850747:GXU850812 HHQ850747:HHQ850812 HRM850747:HRM850812 IBI850747:IBI850812 ILE850747:ILE850812 IVA850747:IVA850812 JEW850747:JEW850812 JOS850747:JOS850812 JYO850747:JYO850812 KIK850747:KIK850812 KSG850747:KSG850812 LCC850747:LCC850812 LLY850747:LLY850812 LVU850747:LVU850812 MFQ850747:MFQ850812 MPM850747:MPM850812 MZI850747:MZI850812 NJE850747:NJE850812 NTA850747:NTA850812 OCW850747:OCW850812 OMS850747:OMS850812 OWO850747:OWO850812 PGK850747:PGK850812 PQG850747:PQG850812 QAC850747:QAC850812 QJY850747:QJY850812 QTU850747:QTU850812 RDQ850747:RDQ850812 RNM850747:RNM850812 RXI850747:RXI850812 SHE850747:SHE850812 SRA850747:SRA850812 TAW850747:TAW850812 TKS850747:TKS850812 TUO850747:TUO850812 UEK850747:UEK850812 UOG850747:UOG850812 UYC850747:UYC850812 VHY850747:VHY850812 VRU850747:VRU850812 WBQ850747:WBQ850812 WLM850747:WLM850812 WVI850747:WVI850812 A916283:A916348 IW916283:IW916348 SS916283:SS916348 ACO916283:ACO916348 AMK916283:AMK916348 AWG916283:AWG916348 BGC916283:BGC916348 BPY916283:BPY916348 BZU916283:BZU916348 CJQ916283:CJQ916348 CTM916283:CTM916348 DDI916283:DDI916348 DNE916283:DNE916348 DXA916283:DXA916348 EGW916283:EGW916348 EQS916283:EQS916348 FAO916283:FAO916348 FKK916283:FKK916348 FUG916283:FUG916348 GEC916283:GEC916348 GNY916283:GNY916348 GXU916283:GXU916348 HHQ916283:HHQ916348 HRM916283:HRM916348 IBI916283:IBI916348 ILE916283:ILE916348 IVA916283:IVA916348 JEW916283:JEW916348 JOS916283:JOS916348 JYO916283:JYO916348 KIK916283:KIK916348 KSG916283:KSG916348 LCC916283:LCC916348 LLY916283:LLY916348 LVU916283:LVU916348 MFQ916283:MFQ916348 MPM916283:MPM916348 MZI916283:MZI916348 NJE916283:NJE916348 NTA916283:NTA916348 OCW916283:OCW916348 OMS916283:OMS916348 OWO916283:OWO916348 PGK916283:PGK916348 PQG916283:PQG916348 QAC916283:QAC916348 QJY916283:QJY916348 QTU916283:QTU916348 RDQ916283:RDQ916348 RNM916283:RNM916348 RXI916283:RXI916348 SHE916283:SHE916348 SRA916283:SRA916348 TAW916283:TAW916348 TKS916283:TKS916348 TUO916283:TUO916348 UEK916283:UEK916348 UOG916283:UOG916348 UYC916283:UYC916348 VHY916283:VHY916348 VRU916283:VRU916348 WBQ916283:WBQ916348 WLM916283:WLM916348 WVI916283:WVI916348 A981819:A981884 IW981819:IW981884 SS981819:SS981884 ACO981819:ACO981884 AMK981819:AMK981884 AWG981819:AWG981884 BGC981819:BGC981884 BPY981819:BPY981884 BZU981819:BZU981884 CJQ981819:CJQ981884 CTM981819:CTM981884 DDI981819:DDI981884 DNE981819:DNE981884 DXA981819:DXA981884 EGW981819:EGW981884 EQS981819:EQS981884 FAO981819:FAO981884 FKK981819:FKK981884 FUG981819:FUG981884 GEC981819:GEC981884 GNY981819:GNY981884 GXU981819:GXU981884 HHQ981819:HHQ981884 HRM981819:HRM981884 IBI981819:IBI981884 ILE981819:ILE981884 IVA981819:IVA981884 JEW981819:JEW981884 JOS981819:JOS981884 JYO981819:JYO981884 KIK981819:KIK981884 KSG981819:KSG981884 LCC981819:LCC981884 LLY981819:LLY981884 LVU981819:LVU981884 MFQ981819:MFQ981884 MPM981819:MPM981884 MZI981819:MZI981884 NJE981819:NJE981884 NTA981819:NTA981884 OCW981819:OCW981884 OMS981819:OMS981884 OWO981819:OWO981884 PGK981819:PGK981884 PQG981819:PQG981884 QAC981819:QAC981884 QJY981819:QJY981884 QTU981819:QTU981884 RDQ981819:RDQ981884 RNM981819:RNM981884 RXI981819:RXI981884 SHE981819:SHE981884 SRA981819:SRA981884 TAW981819:TAW981884 TKS981819:TKS981884 TUO981819:TUO981884 UEK981819:UEK981884 UOG981819:UOG981884 UYC981819:UYC981884 VHY981819:VHY981884 VRU981819:VRU981884 WBQ981819:WBQ981884 WLM981819:WLM981884 WVI981819:WVI981884 A1047355:A1047420 IW1047355:IW1047420 SS1047355:SS1047420 ACO1047355:ACO1047420 AMK1047355:AMK1047420 AWG1047355:AWG1047420 BGC1047355:BGC1047420 BPY1047355:BPY1047420 BZU1047355:BZU1047420 CJQ1047355:CJQ1047420 CTM1047355:CTM1047420 DDI1047355:DDI1047420 DNE1047355:DNE1047420 DXA1047355:DXA1047420 EGW1047355:EGW1047420 EQS1047355:EQS1047420 FAO1047355:FAO1047420 FKK1047355:FKK1047420 FUG1047355:FUG1047420 GEC1047355:GEC1047420 GNY1047355:GNY1047420 GXU1047355:GXU1047420 HHQ1047355:HHQ1047420 HRM1047355:HRM1047420 IBI1047355:IBI1047420 ILE1047355:ILE1047420 IVA1047355:IVA1047420 JEW1047355:JEW1047420 JOS1047355:JOS1047420 JYO1047355:JYO1047420 KIK1047355:KIK1047420 KSG1047355:KSG1047420 LCC1047355:LCC1047420 LLY1047355:LLY1047420 LVU1047355:LVU1047420 MFQ1047355:MFQ1047420 MPM1047355:MPM1047420 MZI1047355:MZI1047420 NJE1047355:NJE1047420 NTA1047355:NTA1047420 OCW1047355:OCW1047420 OMS1047355:OMS1047420 OWO1047355:OWO1047420 PGK1047355:PGK1047420 PQG1047355:PQG1047420 QAC1047355:QAC1047420 QJY1047355:QJY1047420 QTU1047355:QTU1047420 RDQ1047355:RDQ1047420 RNM1047355:RNM1047420 RXI1047355:RXI1047420 SHE1047355:SHE1047420 SRA1047355:SRA1047420 TAW1047355:TAW1047420 TKS1047355:TKS1047420 TUO1047355:TUO1047420 UEK1047355:UEK1047420 UOG1047355:UOG1047420 UYC1047355:UYC1047420 VHY1047355:VHY1047420 VRU1047355:VRU1047420 WBQ1047355:WBQ1047420 WLM1047355:WLM1047420 WVI1047355:WVI1047420 WVI982994:WVI983065 A65490:A65561 IW65490:IW65561 SS65490:SS65561 ACO65490:ACO65561 AMK65490:AMK65561 AWG65490:AWG65561 BGC65490:BGC65561 BPY65490:BPY65561 BZU65490:BZU65561 CJQ65490:CJQ65561 CTM65490:CTM65561 DDI65490:DDI65561 DNE65490:DNE65561 DXA65490:DXA65561 EGW65490:EGW65561 EQS65490:EQS65561 FAO65490:FAO65561 FKK65490:FKK65561 FUG65490:FUG65561 GEC65490:GEC65561 GNY65490:GNY65561 GXU65490:GXU65561 HHQ65490:HHQ65561 HRM65490:HRM65561 IBI65490:IBI65561 ILE65490:ILE65561 IVA65490:IVA65561 JEW65490:JEW65561 JOS65490:JOS65561 JYO65490:JYO65561 KIK65490:KIK65561 KSG65490:KSG65561 LCC65490:LCC65561 LLY65490:LLY65561 LVU65490:LVU65561 MFQ65490:MFQ65561 MPM65490:MPM65561 MZI65490:MZI65561 NJE65490:NJE65561 NTA65490:NTA65561 OCW65490:OCW65561 OMS65490:OMS65561 OWO65490:OWO65561 PGK65490:PGK65561 PQG65490:PQG65561 QAC65490:QAC65561 QJY65490:QJY65561 QTU65490:QTU65561 RDQ65490:RDQ65561 RNM65490:RNM65561 RXI65490:RXI65561 SHE65490:SHE65561 SRA65490:SRA65561 TAW65490:TAW65561 TKS65490:TKS65561 TUO65490:TUO65561 UEK65490:UEK65561 UOG65490:UOG65561 UYC65490:UYC65561 VHY65490:VHY65561 VRU65490:VRU65561 WBQ65490:WBQ65561 WLM65490:WLM65561 WVI65490:WVI65561 A131026:A131097 IW131026:IW131097 SS131026:SS131097 ACO131026:ACO131097 AMK131026:AMK131097 AWG131026:AWG131097 BGC131026:BGC131097 BPY131026:BPY131097 BZU131026:BZU131097 CJQ131026:CJQ131097 CTM131026:CTM131097 DDI131026:DDI131097 DNE131026:DNE131097 DXA131026:DXA131097 EGW131026:EGW131097 EQS131026:EQS131097 FAO131026:FAO131097 FKK131026:FKK131097 FUG131026:FUG131097 GEC131026:GEC131097 GNY131026:GNY131097 GXU131026:GXU131097 HHQ131026:HHQ131097 HRM131026:HRM131097 IBI131026:IBI131097 ILE131026:ILE131097 IVA131026:IVA131097 JEW131026:JEW131097 JOS131026:JOS131097 JYO131026:JYO131097 KIK131026:KIK131097 KSG131026:KSG131097 LCC131026:LCC131097 LLY131026:LLY131097 LVU131026:LVU131097 MFQ131026:MFQ131097 MPM131026:MPM131097 MZI131026:MZI131097 NJE131026:NJE131097 NTA131026:NTA131097 OCW131026:OCW131097 OMS131026:OMS131097 OWO131026:OWO131097 PGK131026:PGK131097 PQG131026:PQG131097 QAC131026:QAC131097 QJY131026:QJY131097 QTU131026:QTU131097 RDQ131026:RDQ131097 RNM131026:RNM131097 RXI131026:RXI131097 SHE131026:SHE131097 SRA131026:SRA131097 TAW131026:TAW131097 TKS131026:TKS131097 TUO131026:TUO131097 UEK131026:UEK131097 UOG131026:UOG131097 UYC131026:UYC131097 VHY131026:VHY131097 VRU131026:VRU131097 WBQ131026:WBQ131097 WLM131026:WLM131097 WVI131026:WVI131097 A196562:A196633 IW196562:IW196633 SS196562:SS196633 ACO196562:ACO196633 AMK196562:AMK196633 AWG196562:AWG196633 BGC196562:BGC196633 BPY196562:BPY196633 BZU196562:BZU196633 CJQ196562:CJQ196633 CTM196562:CTM196633 DDI196562:DDI196633 DNE196562:DNE196633 DXA196562:DXA196633 EGW196562:EGW196633 EQS196562:EQS196633 FAO196562:FAO196633 FKK196562:FKK196633 FUG196562:FUG196633 GEC196562:GEC196633 GNY196562:GNY196633 GXU196562:GXU196633 HHQ196562:HHQ196633 HRM196562:HRM196633 IBI196562:IBI196633 ILE196562:ILE196633 IVA196562:IVA196633 JEW196562:JEW196633 JOS196562:JOS196633 JYO196562:JYO196633 KIK196562:KIK196633 KSG196562:KSG196633 LCC196562:LCC196633 LLY196562:LLY196633 LVU196562:LVU196633 MFQ196562:MFQ196633 MPM196562:MPM196633 MZI196562:MZI196633 NJE196562:NJE196633 NTA196562:NTA196633 OCW196562:OCW196633 OMS196562:OMS196633 OWO196562:OWO196633 PGK196562:PGK196633 PQG196562:PQG196633 QAC196562:QAC196633 QJY196562:QJY196633 QTU196562:QTU196633 RDQ196562:RDQ196633 RNM196562:RNM196633 RXI196562:RXI196633 SHE196562:SHE196633 SRA196562:SRA196633 TAW196562:TAW196633 TKS196562:TKS196633 TUO196562:TUO196633 UEK196562:UEK196633 UOG196562:UOG196633 UYC196562:UYC196633 VHY196562:VHY196633 VRU196562:VRU196633 WBQ196562:WBQ196633 WLM196562:WLM196633 WVI196562:WVI196633 A262098:A262169 IW262098:IW262169 SS262098:SS262169 ACO262098:ACO262169 AMK262098:AMK262169 AWG262098:AWG262169 BGC262098:BGC262169 BPY262098:BPY262169 BZU262098:BZU262169 CJQ262098:CJQ262169 CTM262098:CTM262169 DDI262098:DDI262169 DNE262098:DNE262169 DXA262098:DXA262169 EGW262098:EGW262169 EQS262098:EQS262169 FAO262098:FAO262169 FKK262098:FKK262169 FUG262098:FUG262169 GEC262098:GEC262169 GNY262098:GNY262169 GXU262098:GXU262169 HHQ262098:HHQ262169 HRM262098:HRM262169 IBI262098:IBI262169 ILE262098:ILE262169 IVA262098:IVA262169 JEW262098:JEW262169 JOS262098:JOS262169 JYO262098:JYO262169 KIK262098:KIK262169 KSG262098:KSG262169 LCC262098:LCC262169 LLY262098:LLY262169 LVU262098:LVU262169 MFQ262098:MFQ262169 MPM262098:MPM262169 MZI262098:MZI262169 NJE262098:NJE262169 NTA262098:NTA262169 OCW262098:OCW262169 OMS262098:OMS262169 OWO262098:OWO262169 PGK262098:PGK262169 PQG262098:PQG262169 QAC262098:QAC262169 QJY262098:QJY262169 QTU262098:QTU262169 RDQ262098:RDQ262169 RNM262098:RNM262169 RXI262098:RXI262169 SHE262098:SHE262169 SRA262098:SRA262169 TAW262098:TAW262169 TKS262098:TKS262169 TUO262098:TUO262169 UEK262098:UEK262169 UOG262098:UOG262169 UYC262098:UYC262169 VHY262098:VHY262169 VRU262098:VRU262169 WBQ262098:WBQ262169 WLM262098:WLM262169 WVI262098:WVI262169 A327634:A327705 IW327634:IW327705 SS327634:SS327705 ACO327634:ACO327705 AMK327634:AMK327705 AWG327634:AWG327705 BGC327634:BGC327705 BPY327634:BPY327705 BZU327634:BZU327705 CJQ327634:CJQ327705 CTM327634:CTM327705 DDI327634:DDI327705 DNE327634:DNE327705 DXA327634:DXA327705 EGW327634:EGW327705 EQS327634:EQS327705 FAO327634:FAO327705 FKK327634:FKK327705 FUG327634:FUG327705 GEC327634:GEC327705 GNY327634:GNY327705 GXU327634:GXU327705 HHQ327634:HHQ327705 HRM327634:HRM327705 IBI327634:IBI327705 ILE327634:ILE327705 IVA327634:IVA327705 JEW327634:JEW327705 JOS327634:JOS327705 JYO327634:JYO327705 KIK327634:KIK327705 KSG327634:KSG327705 LCC327634:LCC327705 LLY327634:LLY327705 LVU327634:LVU327705 MFQ327634:MFQ327705 MPM327634:MPM327705 MZI327634:MZI327705 NJE327634:NJE327705 NTA327634:NTA327705 OCW327634:OCW327705 OMS327634:OMS327705 OWO327634:OWO327705 PGK327634:PGK327705 PQG327634:PQG327705 QAC327634:QAC327705 QJY327634:QJY327705 QTU327634:QTU327705 RDQ327634:RDQ327705 RNM327634:RNM327705 RXI327634:RXI327705 SHE327634:SHE327705 SRA327634:SRA327705 TAW327634:TAW327705 TKS327634:TKS327705 TUO327634:TUO327705 UEK327634:UEK327705 UOG327634:UOG327705 UYC327634:UYC327705 VHY327634:VHY327705 VRU327634:VRU327705 WBQ327634:WBQ327705 WLM327634:WLM327705 WVI327634:WVI327705 A393170:A393241 IW393170:IW393241 SS393170:SS393241 ACO393170:ACO393241 AMK393170:AMK393241 AWG393170:AWG393241 BGC393170:BGC393241 BPY393170:BPY393241 BZU393170:BZU393241 CJQ393170:CJQ393241 CTM393170:CTM393241 DDI393170:DDI393241 DNE393170:DNE393241 DXA393170:DXA393241 EGW393170:EGW393241 EQS393170:EQS393241 FAO393170:FAO393241 FKK393170:FKK393241 FUG393170:FUG393241 GEC393170:GEC393241 GNY393170:GNY393241 GXU393170:GXU393241 HHQ393170:HHQ393241 HRM393170:HRM393241 IBI393170:IBI393241 ILE393170:ILE393241 IVA393170:IVA393241 JEW393170:JEW393241 JOS393170:JOS393241 JYO393170:JYO393241 KIK393170:KIK393241 KSG393170:KSG393241 LCC393170:LCC393241 LLY393170:LLY393241 LVU393170:LVU393241 MFQ393170:MFQ393241 MPM393170:MPM393241 MZI393170:MZI393241 NJE393170:NJE393241 NTA393170:NTA393241 OCW393170:OCW393241 OMS393170:OMS393241 OWO393170:OWO393241 PGK393170:PGK393241 PQG393170:PQG393241 QAC393170:QAC393241 QJY393170:QJY393241 QTU393170:QTU393241 RDQ393170:RDQ393241 RNM393170:RNM393241 RXI393170:RXI393241 SHE393170:SHE393241 SRA393170:SRA393241 TAW393170:TAW393241 TKS393170:TKS393241 TUO393170:TUO393241 UEK393170:UEK393241 UOG393170:UOG393241 UYC393170:UYC393241 VHY393170:VHY393241 VRU393170:VRU393241 WBQ393170:WBQ393241 WLM393170:WLM393241 WVI393170:WVI393241 A458706:A458777 IW458706:IW458777 SS458706:SS458777 ACO458706:ACO458777 AMK458706:AMK458777 AWG458706:AWG458777 BGC458706:BGC458777 BPY458706:BPY458777 BZU458706:BZU458777 CJQ458706:CJQ458777 CTM458706:CTM458777 DDI458706:DDI458777 DNE458706:DNE458777 DXA458706:DXA458777 EGW458706:EGW458777 EQS458706:EQS458777 FAO458706:FAO458777 FKK458706:FKK458777 FUG458706:FUG458777 GEC458706:GEC458777 GNY458706:GNY458777 GXU458706:GXU458777 HHQ458706:HHQ458777 HRM458706:HRM458777 IBI458706:IBI458777 ILE458706:ILE458777 IVA458706:IVA458777 JEW458706:JEW458777 JOS458706:JOS458777 JYO458706:JYO458777 KIK458706:KIK458777 KSG458706:KSG458777 LCC458706:LCC458777 LLY458706:LLY458777 LVU458706:LVU458777 MFQ458706:MFQ458777 MPM458706:MPM458777 MZI458706:MZI458777 NJE458706:NJE458777 NTA458706:NTA458777 OCW458706:OCW458777 OMS458706:OMS458777 OWO458706:OWO458777 PGK458706:PGK458777 PQG458706:PQG458777 QAC458706:QAC458777 QJY458706:QJY458777 QTU458706:QTU458777 RDQ458706:RDQ458777 RNM458706:RNM458777 RXI458706:RXI458777 SHE458706:SHE458777 SRA458706:SRA458777 TAW458706:TAW458777 TKS458706:TKS458777 TUO458706:TUO458777 UEK458706:UEK458777 UOG458706:UOG458777 UYC458706:UYC458777 VHY458706:VHY458777 VRU458706:VRU458777 WBQ458706:WBQ458777 WLM458706:WLM458777 WVI458706:WVI458777 A524242:A524313 IW524242:IW524313 SS524242:SS524313 ACO524242:ACO524313 AMK524242:AMK524313 AWG524242:AWG524313 BGC524242:BGC524313 BPY524242:BPY524313 BZU524242:BZU524313 CJQ524242:CJQ524313 CTM524242:CTM524313 DDI524242:DDI524313 DNE524242:DNE524313 DXA524242:DXA524313 EGW524242:EGW524313 EQS524242:EQS524313 FAO524242:FAO524313 FKK524242:FKK524313 FUG524242:FUG524313 GEC524242:GEC524313 GNY524242:GNY524313 GXU524242:GXU524313 HHQ524242:HHQ524313 HRM524242:HRM524313 IBI524242:IBI524313 ILE524242:ILE524313 IVA524242:IVA524313 JEW524242:JEW524313 JOS524242:JOS524313 JYO524242:JYO524313 KIK524242:KIK524313 KSG524242:KSG524313 LCC524242:LCC524313 LLY524242:LLY524313 LVU524242:LVU524313 MFQ524242:MFQ524313 MPM524242:MPM524313 MZI524242:MZI524313 NJE524242:NJE524313 NTA524242:NTA524313 OCW524242:OCW524313 OMS524242:OMS524313 OWO524242:OWO524313 PGK524242:PGK524313 PQG524242:PQG524313 QAC524242:QAC524313 QJY524242:QJY524313 QTU524242:QTU524313 RDQ524242:RDQ524313 RNM524242:RNM524313 RXI524242:RXI524313 SHE524242:SHE524313 SRA524242:SRA524313 TAW524242:TAW524313 TKS524242:TKS524313 TUO524242:TUO524313 UEK524242:UEK524313 UOG524242:UOG524313 UYC524242:UYC524313 VHY524242:VHY524313 VRU524242:VRU524313 WBQ524242:WBQ524313 WLM524242:WLM524313 WVI524242:WVI524313 A589778:A589849 IW589778:IW589849 SS589778:SS589849 ACO589778:ACO589849 AMK589778:AMK589849 AWG589778:AWG589849 BGC589778:BGC589849 BPY589778:BPY589849 BZU589778:BZU589849 CJQ589778:CJQ589849 CTM589778:CTM589849 DDI589778:DDI589849 DNE589778:DNE589849 DXA589778:DXA589849 EGW589778:EGW589849 EQS589778:EQS589849 FAO589778:FAO589849 FKK589778:FKK589849 FUG589778:FUG589849 GEC589778:GEC589849 GNY589778:GNY589849 GXU589778:GXU589849 HHQ589778:HHQ589849 HRM589778:HRM589849 IBI589778:IBI589849 ILE589778:ILE589849 IVA589778:IVA589849 JEW589778:JEW589849 JOS589778:JOS589849 JYO589778:JYO589849 KIK589778:KIK589849 KSG589778:KSG589849 LCC589778:LCC589849 LLY589778:LLY589849 LVU589778:LVU589849 MFQ589778:MFQ589849 MPM589778:MPM589849 MZI589778:MZI589849 NJE589778:NJE589849 NTA589778:NTA589849 OCW589778:OCW589849 OMS589778:OMS589849 OWO589778:OWO589849 PGK589778:PGK589849 PQG589778:PQG589849 QAC589778:QAC589849 QJY589778:QJY589849 QTU589778:QTU589849 RDQ589778:RDQ589849 RNM589778:RNM589849 RXI589778:RXI589849 SHE589778:SHE589849 SRA589778:SRA589849 TAW589778:TAW589849 TKS589778:TKS589849 TUO589778:TUO589849 UEK589778:UEK589849 UOG589778:UOG589849 UYC589778:UYC589849 VHY589778:VHY589849 VRU589778:VRU589849 WBQ589778:WBQ589849 WLM589778:WLM589849 WVI589778:WVI589849 A655314:A655385 IW655314:IW655385 SS655314:SS655385 ACO655314:ACO655385 AMK655314:AMK655385 AWG655314:AWG655385 BGC655314:BGC655385 BPY655314:BPY655385 BZU655314:BZU655385 CJQ655314:CJQ655385 CTM655314:CTM655385 DDI655314:DDI655385 DNE655314:DNE655385 DXA655314:DXA655385 EGW655314:EGW655385 EQS655314:EQS655385 FAO655314:FAO655385 FKK655314:FKK655385 FUG655314:FUG655385 GEC655314:GEC655385 GNY655314:GNY655385 GXU655314:GXU655385 HHQ655314:HHQ655385 HRM655314:HRM655385 IBI655314:IBI655385 ILE655314:ILE655385 IVA655314:IVA655385 JEW655314:JEW655385 JOS655314:JOS655385 JYO655314:JYO655385 KIK655314:KIK655385 KSG655314:KSG655385 LCC655314:LCC655385 LLY655314:LLY655385 LVU655314:LVU655385 MFQ655314:MFQ655385 MPM655314:MPM655385 MZI655314:MZI655385 NJE655314:NJE655385 NTA655314:NTA655385 OCW655314:OCW655385 OMS655314:OMS655385 OWO655314:OWO655385 PGK655314:PGK655385 PQG655314:PQG655385 QAC655314:QAC655385 QJY655314:QJY655385 QTU655314:QTU655385 RDQ655314:RDQ655385 RNM655314:RNM655385 RXI655314:RXI655385 SHE655314:SHE655385 SRA655314:SRA655385 TAW655314:TAW655385 TKS655314:TKS655385 TUO655314:TUO655385 UEK655314:UEK655385 UOG655314:UOG655385 UYC655314:UYC655385 VHY655314:VHY655385 VRU655314:VRU655385 WBQ655314:WBQ655385 WLM655314:WLM655385 WVI655314:WVI655385 A720850:A720921 IW720850:IW720921 SS720850:SS720921 ACO720850:ACO720921 AMK720850:AMK720921 AWG720850:AWG720921 BGC720850:BGC720921 BPY720850:BPY720921 BZU720850:BZU720921 CJQ720850:CJQ720921 CTM720850:CTM720921 DDI720850:DDI720921 DNE720850:DNE720921 DXA720850:DXA720921 EGW720850:EGW720921 EQS720850:EQS720921 FAO720850:FAO720921 FKK720850:FKK720921 FUG720850:FUG720921 GEC720850:GEC720921 GNY720850:GNY720921 GXU720850:GXU720921 HHQ720850:HHQ720921 HRM720850:HRM720921 IBI720850:IBI720921 ILE720850:ILE720921 IVA720850:IVA720921 JEW720850:JEW720921 JOS720850:JOS720921 JYO720850:JYO720921 KIK720850:KIK720921 KSG720850:KSG720921 LCC720850:LCC720921 LLY720850:LLY720921 LVU720850:LVU720921 MFQ720850:MFQ720921 MPM720850:MPM720921 MZI720850:MZI720921 NJE720850:NJE720921 NTA720850:NTA720921 OCW720850:OCW720921 OMS720850:OMS720921 OWO720850:OWO720921 PGK720850:PGK720921 PQG720850:PQG720921 QAC720850:QAC720921 QJY720850:QJY720921 QTU720850:QTU720921 RDQ720850:RDQ720921 RNM720850:RNM720921 RXI720850:RXI720921 SHE720850:SHE720921 SRA720850:SRA720921 TAW720850:TAW720921 TKS720850:TKS720921 TUO720850:TUO720921 UEK720850:UEK720921 UOG720850:UOG720921 UYC720850:UYC720921 VHY720850:VHY720921 VRU720850:VRU720921 WBQ720850:WBQ720921 WLM720850:WLM720921 WVI720850:WVI720921 A786386:A786457 IW786386:IW786457 SS786386:SS786457 ACO786386:ACO786457 AMK786386:AMK786457 AWG786386:AWG786457 BGC786386:BGC786457 BPY786386:BPY786457 BZU786386:BZU786457 CJQ786386:CJQ786457 CTM786386:CTM786457 DDI786386:DDI786457 DNE786386:DNE786457 DXA786386:DXA786457 EGW786386:EGW786457 EQS786386:EQS786457 FAO786386:FAO786457 FKK786386:FKK786457 FUG786386:FUG786457 GEC786386:GEC786457 GNY786386:GNY786457 GXU786386:GXU786457 HHQ786386:HHQ786457 HRM786386:HRM786457 IBI786386:IBI786457 ILE786386:ILE786457 IVA786386:IVA786457 JEW786386:JEW786457 JOS786386:JOS786457 JYO786386:JYO786457 KIK786386:KIK786457 KSG786386:KSG786457 LCC786386:LCC786457 LLY786386:LLY786457 LVU786386:LVU786457 MFQ786386:MFQ786457 MPM786386:MPM786457 MZI786386:MZI786457 NJE786386:NJE786457 NTA786386:NTA786457 OCW786386:OCW786457 OMS786386:OMS786457 OWO786386:OWO786457 PGK786386:PGK786457 PQG786386:PQG786457 QAC786386:QAC786457 QJY786386:QJY786457 QTU786386:QTU786457 RDQ786386:RDQ786457 RNM786386:RNM786457 RXI786386:RXI786457 SHE786386:SHE786457 SRA786386:SRA786457 TAW786386:TAW786457 TKS786386:TKS786457 TUO786386:TUO786457 UEK786386:UEK786457 UOG786386:UOG786457 UYC786386:UYC786457 VHY786386:VHY786457 VRU786386:VRU786457 WBQ786386:WBQ786457 WLM786386:WLM786457 WVI786386:WVI786457 A851922:A851993 IW851922:IW851993 SS851922:SS851993 ACO851922:ACO851993 AMK851922:AMK851993 AWG851922:AWG851993 BGC851922:BGC851993 BPY851922:BPY851993 BZU851922:BZU851993 CJQ851922:CJQ851993 CTM851922:CTM851993 DDI851922:DDI851993 DNE851922:DNE851993 DXA851922:DXA851993 EGW851922:EGW851993 EQS851922:EQS851993 FAO851922:FAO851993 FKK851922:FKK851993 FUG851922:FUG851993 GEC851922:GEC851993 GNY851922:GNY851993 GXU851922:GXU851993 HHQ851922:HHQ851993 HRM851922:HRM851993 IBI851922:IBI851993 ILE851922:ILE851993 IVA851922:IVA851993 JEW851922:JEW851993 JOS851922:JOS851993 JYO851922:JYO851993 KIK851922:KIK851993 KSG851922:KSG851993 LCC851922:LCC851993 LLY851922:LLY851993 LVU851922:LVU851993 MFQ851922:MFQ851993 MPM851922:MPM851993 MZI851922:MZI851993 NJE851922:NJE851993 NTA851922:NTA851993 OCW851922:OCW851993 OMS851922:OMS851993 OWO851922:OWO851993 PGK851922:PGK851993 PQG851922:PQG851993 QAC851922:QAC851993 QJY851922:QJY851993 QTU851922:QTU851993 RDQ851922:RDQ851993 RNM851922:RNM851993 RXI851922:RXI851993 SHE851922:SHE851993 SRA851922:SRA851993 TAW851922:TAW851993 TKS851922:TKS851993 TUO851922:TUO851993 UEK851922:UEK851993 UOG851922:UOG851993 UYC851922:UYC851993 VHY851922:VHY851993 VRU851922:VRU851993 WBQ851922:WBQ851993 WLM851922:WLM851993 WVI851922:WVI851993 A917458:A917529 IW917458:IW917529 SS917458:SS917529 ACO917458:ACO917529 AMK917458:AMK917529 AWG917458:AWG917529 BGC917458:BGC917529 BPY917458:BPY917529 BZU917458:BZU917529 CJQ917458:CJQ917529 CTM917458:CTM917529 DDI917458:DDI917529 DNE917458:DNE917529 DXA917458:DXA917529 EGW917458:EGW917529 EQS917458:EQS917529 FAO917458:FAO917529 FKK917458:FKK917529 FUG917458:FUG917529 GEC917458:GEC917529 GNY917458:GNY917529 GXU917458:GXU917529 HHQ917458:HHQ917529 HRM917458:HRM917529 IBI917458:IBI917529 ILE917458:ILE917529 IVA917458:IVA917529 JEW917458:JEW917529 JOS917458:JOS917529 JYO917458:JYO917529 KIK917458:KIK917529 KSG917458:KSG917529 LCC917458:LCC917529 LLY917458:LLY917529 LVU917458:LVU917529 MFQ917458:MFQ917529 MPM917458:MPM917529 MZI917458:MZI917529 NJE917458:NJE917529 NTA917458:NTA917529 OCW917458:OCW917529 OMS917458:OMS917529 OWO917458:OWO917529 PGK917458:PGK917529 PQG917458:PQG917529 QAC917458:QAC917529 QJY917458:QJY917529 QTU917458:QTU917529 RDQ917458:RDQ917529 RNM917458:RNM917529 RXI917458:RXI917529 SHE917458:SHE917529 SRA917458:SRA917529 TAW917458:TAW917529 TKS917458:TKS917529 TUO917458:TUO917529 UEK917458:UEK917529 UOG917458:UOG917529 UYC917458:UYC917529 VHY917458:VHY917529 VRU917458:VRU917529 WBQ917458:WBQ917529 WLM917458:WLM917529 WVI917458:WVI917529 A982994:A983065 IW982994:IW983065 SS982994:SS983065 ACO982994:ACO983065 AMK982994:AMK983065 AWG982994:AWG983065 BGC982994:BGC983065 BPY982994:BPY983065 BZU982994:BZU983065 CJQ982994:CJQ983065 CTM982994:CTM983065 DDI982994:DDI983065 DNE982994:DNE983065 DXA982994:DXA983065 EGW982994:EGW983065 EQS982994:EQS983065 FAO982994:FAO983065 FKK982994:FKK983065 FUG982994:FUG983065 GEC982994:GEC983065 GNY982994:GNY983065 GXU982994:GXU983065 HHQ982994:HHQ983065 HRM982994:HRM983065 IBI982994:IBI983065 ILE982994:ILE983065 IVA982994:IVA983065 JEW982994:JEW983065 JOS982994:JOS983065 JYO982994:JYO983065 KIK982994:KIK983065 KSG982994:KSG983065 LCC982994:LCC983065 LLY982994:LLY983065 LVU982994:LVU983065 MFQ982994:MFQ983065 MPM982994:MPM983065 MZI982994:MZI983065 NJE982994:NJE983065 NTA982994:NTA983065 OCW982994:OCW983065 OMS982994:OMS983065 OWO982994:OWO983065 PGK982994:PGK983065 PQG982994:PQG983065 QAC982994:QAC983065 QJY982994:QJY983065 QTU982994:QTU983065 RDQ982994:RDQ983065 RNM982994:RNM983065 RXI982994:RXI983065 SHE982994:SHE983065 SRA982994:SRA983065 TAW982994:TAW983065 TKS982994:TKS983065 TUO982994:TUO983065 UEK982994:UEK983065 UOG982994:UOG983065 UYC982994:UYC983065 VHY982994:VHY983065 VRU982994:VRU983065 WBQ982994:WBQ983065 WLM982994:WLM983065 SS2:SS43 ACO2:ACO43 IW2:IW43 WVI2:WVI43 WLM2:WLM43 WBQ2:WBQ43 VRU2:VRU43 VHY2:VHY43 UYC2:UYC43 UOG2:UOG43 UEK2:UEK43 TUO2:TUO43 TKS2:TKS43 TAW2:TAW43 SRA2:SRA43 SHE2:SHE43 RXI2:RXI43 RNM2:RNM43 RDQ2:RDQ43 QTU2:QTU43 QJY2:QJY43 QAC2:QAC43 PQG2:PQG43 PGK2:PGK43 OWO2:OWO43 OMS2:OMS43 OCW2:OCW43 NTA2:NTA43 NJE2:NJE43 MZI2:MZI43 MPM2:MPM43 MFQ2:MFQ43 LVU2:LVU43 LLY2:LLY43 LCC2:LCC43 KSG2:KSG43 KIK2:KIK43 JYO2:JYO43 JOS2:JOS43 JEW2:JEW43 IVA2:IVA43 ILE2:ILE43 IBI2:IBI43 HRM2:HRM43 HHQ2:HHQ43 GXU2:GXU43 GNY2:GNY43 GEC2:GEC43 FUG2:FUG43 FKK2:FKK43 FAO2:FAO43 EQS2:EQS43 EGW2:EGW43 DXA2:DXA43 DNE2:DNE43 DDI2:DDI43 CTM2:CTM43 CJQ2:CJQ43 BZU2:BZU43 BPY2:BPY43 BGC2:BGC43 AWG2:AWG43 AMK2:AMK43 A2:A452" xr:uid="{7517C2F1-1BB7-4696-96E4-7678A7B8F6CD}">
      <formula1>$AE$2:$AE$19</formula1>
    </dataValidation>
    <dataValidation type="list" allowBlank="1" showInputMessage="1" showErrorMessage="1" sqref="X64315:X64380 JT64315:JT64380 TP64315:TP64380 ADL64315:ADL64380 ANH64315:ANH64380 AXD64315:AXD64380 BGZ64315:BGZ64380 BQV64315:BQV64380 CAR64315:CAR64380 CKN64315:CKN64380 CUJ64315:CUJ64380 DEF64315:DEF64380 DOB64315:DOB64380 DXX64315:DXX64380 EHT64315:EHT64380 ERP64315:ERP64380 FBL64315:FBL64380 FLH64315:FLH64380 FVD64315:FVD64380 GEZ64315:GEZ64380 GOV64315:GOV64380 GYR64315:GYR64380 HIN64315:HIN64380 HSJ64315:HSJ64380 ICF64315:ICF64380 IMB64315:IMB64380 IVX64315:IVX64380 JFT64315:JFT64380 JPP64315:JPP64380 JZL64315:JZL64380 KJH64315:KJH64380 KTD64315:KTD64380 LCZ64315:LCZ64380 LMV64315:LMV64380 LWR64315:LWR64380 MGN64315:MGN64380 MQJ64315:MQJ64380 NAF64315:NAF64380 NKB64315:NKB64380 NTX64315:NTX64380 ODT64315:ODT64380 ONP64315:ONP64380 OXL64315:OXL64380 PHH64315:PHH64380 PRD64315:PRD64380 QAZ64315:QAZ64380 QKV64315:QKV64380 QUR64315:QUR64380 REN64315:REN64380 ROJ64315:ROJ64380 RYF64315:RYF64380 SIB64315:SIB64380 SRX64315:SRX64380 TBT64315:TBT64380 TLP64315:TLP64380 TVL64315:TVL64380 UFH64315:UFH64380 UPD64315:UPD64380 UYZ64315:UYZ64380 VIV64315:VIV64380 VSR64315:VSR64380 WCN64315:WCN64380 WMJ64315:WMJ64380 WWF64315:WWF64380 X129851:X129916 JT129851:JT129916 TP129851:TP129916 ADL129851:ADL129916 ANH129851:ANH129916 AXD129851:AXD129916 BGZ129851:BGZ129916 BQV129851:BQV129916 CAR129851:CAR129916 CKN129851:CKN129916 CUJ129851:CUJ129916 DEF129851:DEF129916 DOB129851:DOB129916 DXX129851:DXX129916 EHT129851:EHT129916 ERP129851:ERP129916 FBL129851:FBL129916 FLH129851:FLH129916 FVD129851:FVD129916 GEZ129851:GEZ129916 GOV129851:GOV129916 GYR129851:GYR129916 HIN129851:HIN129916 HSJ129851:HSJ129916 ICF129851:ICF129916 IMB129851:IMB129916 IVX129851:IVX129916 JFT129851:JFT129916 JPP129851:JPP129916 JZL129851:JZL129916 KJH129851:KJH129916 KTD129851:KTD129916 LCZ129851:LCZ129916 LMV129851:LMV129916 LWR129851:LWR129916 MGN129851:MGN129916 MQJ129851:MQJ129916 NAF129851:NAF129916 NKB129851:NKB129916 NTX129851:NTX129916 ODT129851:ODT129916 ONP129851:ONP129916 OXL129851:OXL129916 PHH129851:PHH129916 PRD129851:PRD129916 QAZ129851:QAZ129916 QKV129851:QKV129916 QUR129851:QUR129916 REN129851:REN129916 ROJ129851:ROJ129916 RYF129851:RYF129916 SIB129851:SIB129916 SRX129851:SRX129916 TBT129851:TBT129916 TLP129851:TLP129916 TVL129851:TVL129916 UFH129851:UFH129916 UPD129851:UPD129916 UYZ129851:UYZ129916 VIV129851:VIV129916 VSR129851:VSR129916 WCN129851:WCN129916 WMJ129851:WMJ129916 WWF129851:WWF129916 X195387:X195452 JT195387:JT195452 TP195387:TP195452 ADL195387:ADL195452 ANH195387:ANH195452 AXD195387:AXD195452 BGZ195387:BGZ195452 BQV195387:BQV195452 CAR195387:CAR195452 CKN195387:CKN195452 CUJ195387:CUJ195452 DEF195387:DEF195452 DOB195387:DOB195452 DXX195387:DXX195452 EHT195387:EHT195452 ERP195387:ERP195452 FBL195387:FBL195452 FLH195387:FLH195452 FVD195387:FVD195452 GEZ195387:GEZ195452 GOV195387:GOV195452 GYR195387:GYR195452 HIN195387:HIN195452 HSJ195387:HSJ195452 ICF195387:ICF195452 IMB195387:IMB195452 IVX195387:IVX195452 JFT195387:JFT195452 JPP195387:JPP195452 JZL195387:JZL195452 KJH195387:KJH195452 KTD195387:KTD195452 LCZ195387:LCZ195452 LMV195387:LMV195452 LWR195387:LWR195452 MGN195387:MGN195452 MQJ195387:MQJ195452 NAF195387:NAF195452 NKB195387:NKB195452 NTX195387:NTX195452 ODT195387:ODT195452 ONP195387:ONP195452 OXL195387:OXL195452 PHH195387:PHH195452 PRD195387:PRD195452 QAZ195387:QAZ195452 QKV195387:QKV195452 QUR195387:QUR195452 REN195387:REN195452 ROJ195387:ROJ195452 RYF195387:RYF195452 SIB195387:SIB195452 SRX195387:SRX195452 TBT195387:TBT195452 TLP195387:TLP195452 TVL195387:TVL195452 UFH195387:UFH195452 UPD195387:UPD195452 UYZ195387:UYZ195452 VIV195387:VIV195452 VSR195387:VSR195452 WCN195387:WCN195452 WMJ195387:WMJ195452 WWF195387:WWF195452 X260923:X260988 JT260923:JT260988 TP260923:TP260988 ADL260923:ADL260988 ANH260923:ANH260988 AXD260923:AXD260988 BGZ260923:BGZ260988 BQV260923:BQV260988 CAR260923:CAR260988 CKN260923:CKN260988 CUJ260923:CUJ260988 DEF260923:DEF260988 DOB260923:DOB260988 DXX260923:DXX260988 EHT260923:EHT260988 ERP260923:ERP260988 FBL260923:FBL260988 FLH260923:FLH260988 FVD260923:FVD260988 GEZ260923:GEZ260988 GOV260923:GOV260988 GYR260923:GYR260988 HIN260923:HIN260988 HSJ260923:HSJ260988 ICF260923:ICF260988 IMB260923:IMB260988 IVX260923:IVX260988 JFT260923:JFT260988 JPP260923:JPP260988 JZL260923:JZL260988 KJH260923:KJH260988 KTD260923:KTD260988 LCZ260923:LCZ260988 LMV260923:LMV260988 LWR260923:LWR260988 MGN260923:MGN260988 MQJ260923:MQJ260988 NAF260923:NAF260988 NKB260923:NKB260988 NTX260923:NTX260988 ODT260923:ODT260988 ONP260923:ONP260988 OXL260923:OXL260988 PHH260923:PHH260988 PRD260923:PRD260988 QAZ260923:QAZ260988 QKV260923:QKV260988 QUR260923:QUR260988 REN260923:REN260988 ROJ260923:ROJ260988 RYF260923:RYF260988 SIB260923:SIB260988 SRX260923:SRX260988 TBT260923:TBT260988 TLP260923:TLP260988 TVL260923:TVL260988 UFH260923:UFH260988 UPD260923:UPD260988 UYZ260923:UYZ260988 VIV260923:VIV260988 VSR260923:VSR260988 WCN260923:WCN260988 WMJ260923:WMJ260988 WWF260923:WWF260988 X326459:X326524 JT326459:JT326524 TP326459:TP326524 ADL326459:ADL326524 ANH326459:ANH326524 AXD326459:AXD326524 BGZ326459:BGZ326524 BQV326459:BQV326524 CAR326459:CAR326524 CKN326459:CKN326524 CUJ326459:CUJ326524 DEF326459:DEF326524 DOB326459:DOB326524 DXX326459:DXX326524 EHT326459:EHT326524 ERP326459:ERP326524 FBL326459:FBL326524 FLH326459:FLH326524 FVD326459:FVD326524 GEZ326459:GEZ326524 GOV326459:GOV326524 GYR326459:GYR326524 HIN326459:HIN326524 HSJ326459:HSJ326524 ICF326459:ICF326524 IMB326459:IMB326524 IVX326459:IVX326524 JFT326459:JFT326524 JPP326459:JPP326524 JZL326459:JZL326524 KJH326459:KJH326524 KTD326459:KTD326524 LCZ326459:LCZ326524 LMV326459:LMV326524 LWR326459:LWR326524 MGN326459:MGN326524 MQJ326459:MQJ326524 NAF326459:NAF326524 NKB326459:NKB326524 NTX326459:NTX326524 ODT326459:ODT326524 ONP326459:ONP326524 OXL326459:OXL326524 PHH326459:PHH326524 PRD326459:PRD326524 QAZ326459:QAZ326524 QKV326459:QKV326524 QUR326459:QUR326524 REN326459:REN326524 ROJ326459:ROJ326524 RYF326459:RYF326524 SIB326459:SIB326524 SRX326459:SRX326524 TBT326459:TBT326524 TLP326459:TLP326524 TVL326459:TVL326524 UFH326459:UFH326524 UPD326459:UPD326524 UYZ326459:UYZ326524 VIV326459:VIV326524 VSR326459:VSR326524 WCN326459:WCN326524 WMJ326459:WMJ326524 WWF326459:WWF326524 X391995:X392060 JT391995:JT392060 TP391995:TP392060 ADL391995:ADL392060 ANH391995:ANH392060 AXD391995:AXD392060 BGZ391995:BGZ392060 BQV391995:BQV392060 CAR391995:CAR392060 CKN391995:CKN392060 CUJ391995:CUJ392060 DEF391995:DEF392060 DOB391995:DOB392060 DXX391995:DXX392060 EHT391995:EHT392060 ERP391995:ERP392060 FBL391995:FBL392060 FLH391995:FLH392060 FVD391995:FVD392060 GEZ391995:GEZ392060 GOV391995:GOV392060 GYR391995:GYR392060 HIN391995:HIN392060 HSJ391995:HSJ392060 ICF391995:ICF392060 IMB391995:IMB392060 IVX391995:IVX392060 JFT391995:JFT392060 JPP391995:JPP392060 JZL391995:JZL392060 KJH391995:KJH392060 KTD391995:KTD392060 LCZ391995:LCZ392060 LMV391995:LMV392060 LWR391995:LWR392060 MGN391995:MGN392060 MQJ391995:MQJ392060 NAF391995:NAF392060 NKB391995:NKB392060 NTX391995:NTX392060 ODT391995:ODT392060 ONP391995:ONP392060 OXL391995:OXL392060 PHH391995:PHH392060 PRD391995:PRD392060 QAZ391995:QAZ392060 QKV391995:QKV392060 QUR391995:QUR392060 REN391995:REN392060 ROJ391995:ROJ392060 RYF391995:RYF392060 SIB391995:SIB392060 SRX391995:SRX392060 TBT391995:TBT392060 TLP391995:TLP392060 TVL391995:TVL392060 UFH391995:UFH392060 UPD391995:UPD392060 UYZ391995:UYZ392060 VIV391995:VIV392060 VSR391995:VSR392060 WCN391995:WCN392060 WMJ391995:WMJ392060 WWF391995:WWF392060 X457531:X457596 JT457531:JT457596 TP457531:TP457596 ADL457531:ADL457596 ANH457531:ANH457596 AXD457531:AXD457596 BGZ457531:BGZ457596 BQV457531:BQV457596 CAR457531:CAR457596 CKN457531:CKN457596 CUJ457531:CUJ457596 DEF457531:DEF457596 DOB457531:DOB457596 DXX457531:DXX457596 EHT457531:EHT457596 ERP457531:ERP457596 FBL457531:FBL457596 FLH457531:FLH457596 FVD457531:FVD457596 GEZ457531:GEZ457596 GOV457531:GOV457596 GYR457531:GYR457596 HIN457531:HIN457596 HSJ457531:HSJ457596 ICF457531:ICF457596 IMB457531:IMB457596 IVX457531:IVX457596 JFT457531:JFT457596 JPP457531:JPP457596 JZL457531:JZL457596 KJH457531:KJH457596 KTD457531:KTD457596 LCZ457531:LCZ457596 LMV457531:LMV457596 LWR457531:LWR457596 MGN457531:MGN457596 MQJ457531:MQJ457596 NAF457531:NAF457596 NKB457531:NKB457596 NTX457531:NTX457596 ODT457531:ODT457596 ONP457531:ONP457596 OXL457531:OXL457596 PHH457531:PHH457596 PRD457531:PRD457596 QAZ457531:QAZ457596 QKV457531:QKV457596 QUR457531:QUR457596 REN457531:REN457596 ROJ457531:ROJ457596 RYF457531:RYF457596 SIB457531:SIB457596 SRX457531:SRX457596 TBT457531:TBT457596 TLP457531:TLP457596 TVL457531:TVL457596 UFH457531:UFH457596 UPD457531:UPD457596 UYZ457531:UYZ457596 VIV457531:VIV457596 VSR457531:VSR457596 WCN457531:WCN457596 WMJ457531:WMJ457596 WWF457531:WWF457596 X523067:X523132 JT523067:JT523132 TP523067:TP523132 ADL523067:ADL523132 ANH523067:ANH523132 AXD523067:AXD523132 BGZ523067:BGZ523132 BQV523067:BQV523132 CAR523067:CAR523132 CKN523067:CKN523132 CUJ523067:CUJ523132 DEF523067:DEF523132 DOB523067:DOB523132 DXX523067:DXX523132 EHT523067:EHT523132 ERP523067:ERP523132 FBL523067:FBL523132 FLH523067:FLH523132 FVD523067:FVD523132 GEZ523067:GEZ523132 GOV523067:GOV523132 GYR523067:GYR523132 HIN523067:HIN523132 HSJ523067:HSJ523132 ICF523067:ICF523132 IMB523067:IMB523132 IVX523067:IVX523132 JFT523067:JFT523132 JPP523067:JPP523132 JZL523067:JZL523132 KJH523067:KJH523132 KTD523067:KTD523132 LCZ523067:LCZ523132 LMV523067:LMV523132 LWR523067:LWR523132 MGN523067:MGN523132 MQJ523067:MQJ523132 NAF523067:NAF523132 NKB523067:NKB523132 NTX523067:NTX523132 ODT523067:ODT523132 ONP523067:ONP523132 OXL523067:OXL523132 PHH523067:PHH523132 PRD523067:PRD523132 QAZ523067:QAZ523132 QKV523067:QKV523132 QUR523067:QUR523132 REN523067:REN523132 ROJ523067:ROJ523132 RYF523067:RYF523132 SIB523067:SIB523132 SRX523067:SRX523132 TBT523067:TBT523132 TLP523067:TLP523132 TVL523067:TVL523132 UFH523067:UFH523132 UPD523067:UPD523132 UYZ523067:UYZ523132 VIV523067:VIV523132 VSR523067:VSR523132 WCN523067:WCN523132 WMJ523067:WMJ523132 WWF523067:WWF523132 X588603:X588668 JT588603:JT588668 TP588603:TP588668 ADL588603:ADL588668 ANH588603:ANH588668 AXD588603:AXD588668 BGZ588603:BGZ588668 BQV588603:BQV588668 CAR588603:CAR588668 CKN588603:CKN588668 CUJ588603:CUJ588668 DEF588603:DEF588668 DOB588603:DOB588668 DXX588603:DXX588668 EHT588603:EHT588668 ERP588603:ERP588668 FBL588603:FBL588668 FLH588603:FLH588668 FVD588603:FVD588668 GEZ588603:GEZ588668 GOV588603:GOV588668 GYR588603:GYR588668 HIN588603:HIN588668 HSJ588603:HSJ588668 ICF588603:ICF588668 IMB588603:IMB588668 IVX588603:IVX588668 JFT588603:JFT588668 JPP588603:JPP588668 JZL588603:JZL588668 KJH588603:KJH588668 KTD588603:KTD588668 LCZ588603:LCZ588668 LMV588603:LMV588668 LWR588603:LWR588668 MGN588603:MGN588668 MQJ588603:MQJ588668 NAF588603:NAF588668 NKB588603:NKB588668 NTX588603:NTX588668 ODT588603:ODT588668 ONP588603:ONP588668 OXL588603:OXL588668 PHH588603:PHH588668 PRD588603:PRD588668 QAZ588603:QAZ588668 QKV588603:QKV588668 QUR588603:QUR588668 REN588603:REN588668 ROJ588603:ROJ588668 RYF588603:RYF588668 SIB588603:SIB588668 SRX588603:SRX588668 TBT588603:TBT588668 TLP588603:TLP588668 TVL588603:TVL588668 UFH588603:UFH588668 UPD588603:UPD588668 UYZ588603:UYZ588668 VIV588603:VIV588668 VSR588603:VSR588668 WCN588603:WCN588668 WMJ588603:WMJ588668 WWF588603:WWF588668 X654139:X654204 JT654139:JT654204 TP654139:TP654204 ADL654139:ADL654204 ANH654139:ANH654204 AXD654139:AXD654204 BGZ654139:BGZ654204 BQV654139:BQV654204 CAR654139:CAR654204 CKN654139:CKN654204 CUJ654139:CUJ654204 DEF654139:DEF654204 DOB654139:DOB654204 DXX654139:DXX654204 EHT654139:EHT654204 ERP654139:ERP654204 FBL654139:FBL654204 FLH654139:FLH654204 FVD654139:FVD654204 GEZ654139:GEZ654204 GOV654139:GOV654204 GYR654139:GYR654204 HIN654139:HIN654204 HSJ654139:HSJ654204 ICF654139:ICF654204 IMB654139:IMB654204 IVX654139:IVX654204 JFT654139:JFT654204 JPP654139:JPP654204 JZL654139:JZL654204 KJH654139:KJH654204 KTD654139:KTD654204 LCZ654139:LCZ654204 LMV654139:LMV654204 LWR654139:LWR654204 MGN654139:MGN654204 MQJ654139:MQJ654204 NAF654139:NAF654204 NKB654139:NKB654204 NTX654139:NTX654204 ODT654139:ODT654204 ONP654139:ONP654204 OXL654139:OXL654204 PHH654139:PHH654204 PRD654139:PRD654204 QAZ654139:QAZ654204 QKV654139:QKV654204 QUR654139:QUR654204 REN654139:REN654204 ROJ654139:ROJ654204 RYF654139:RYF654204 SIB654139:SIB654204 SRX654139:SRX654204 TBT654139:TBT654204 TLP654139:TLP654204 TVL654139:TVL654204 UFH654139:UFH654204 UPD654139:UPD654204 UYZ654139:UYZ654204 VIV654139:VIV654204 VSR654139:VSR654204 WCN654139:WCN654204 WMJ654139:WMJ654204 WWF654139:WWF654204 X719675:X719740 JT719675:JT719740 TP719675:TP719740 ADL719675:ADL719740 ANH719675:ANH719740 AXD719675:AXD719740 BGZ719675:BGZ719740 BQV719675:BQV719740 CAR719675:CAR719740 CKN719675:CKN719740 CUJ719675:CUJ719740 DEF719675:DEF719740 DOB719675:DOB719740 DXX719675:DXX719740 EHT719675:EHT719740 ERP719675:ERP719740 FBL719675:FBL719740 FLH719675:FLH719740 FVD719675:FVD719740 GEZ719675:GEZ719740 GOV719675:GOV719740 GYR719675:GYR719740 HIN719675:HIN719740 HSJ719675:HSJ719740 ICF719675:ICF719740 IMB719675:IMB719740 IVX719675:IVX719740 JFT719675:JFT719740 JPP719675:JPP719740 JZL719675:JZL719740 KJH719675:KJH719740 KTD719675:KTD719740 LCZ719675:LCZ719740 LMV719675:LMV719740 LWR719675:LWR719740 MGN719675:MGN719740 MQJ719675:MQJ719740 NAF719675:NAF719740 NKB719675:NKB719740 NTX719675:NTX719740 ODT719675:ODT719740 ONP719675:ONP719740 OXL719675:OXL719740 PHH719675:PHH719740 PRD719675:PRD719740 QAZ719675:QAZ719740 QKV719675:QKV719740 QUR719675:QUR719740 REN719675:REN719740 ROJ719675:ROJ719740 RYF719675:RYF719740 SIB719675:SIB719740 SRX719675:SRX719740 TBT719675:TBT719740 TLP719675:TLP719740 TVL719675:TVL719740 UFH719675:UFH719740 UPD719675:UPD719740 UYZ719675:UYZ719740 VIV719675:VIV719740 VSR719675:VSR719740 WCN719675:WCN719740 WMJ719675:WMJ719740 WWF719675:WWF719740 X785211:X785276 JT785211:JT785276 TP785211:TP785276 ADL785211:ADL785276 ANH785211:ANH785276 AXD785211:AXD785276 BGZ785211:BGZ785276 BQV785211:BQV785276 CAR785211:CAR785276 CKN785211:CKN785276 CUJ785211:CUJ785276 DEF785211:DEF785276 DOB785211:DOB785276 DXX785211:DXX785276 EHT785211:EHT785276 ERP785211:ERP785276 FBL785211:FBL785276 FLH785211:FLH785276 FVD785211:FVD785276 GEZ785211:GEZ785276 GOV785211:GOV785276 GYR785211:GYR785276 HIN785211:HIN785276 HSJ785211:HSJ785276 ICF785211:ICF785276 IMB785211:IMB785276 IVX785211:IVX785276 JFT785211:JFT785276 JPP785211:JPP785276 JZL785211:JZL785276 KJH785211:KJH785276 KTD785211:KTD785276 LCZ785211:LCZ785276 LMV785211:LMV785276 LWR785211:LWR785276 MGN785211:MGN785276 MQJ785211:MQJ785276 NAF785211:NAF785276 NKB785211:NKB785276 NTX785211:NTX785276 ODT785211:ODT785276 ONP785211:ONP785276 OXL785211:OXL785276 PHH785211:PHH785276 PRD785211:PRD785276 QAZ785211:QAZ785276 QKV785211:QKV785276 QUR785211:QUR785276 REN785211:REN785276 ROJ785211:ROJ785276 RYF785211:RYF785276 SIB785211:SIB785276 SRX785211:SRX785276 TBT785211:TBT785276 TLP785211:TLP785276 TVL785211:TVL785276 UFH785211:UFH785276 UPD785211:UPD785276 UYZ785211:UYZ785276 VIV785211:VIV785276 VSR785211:VSR785276 WCN785211:WCN785276 WMJ785211:WMJ785276 WWF785211:WWF785276 X850747:X850812 JT850747:JT850812 TP850747:TP850812 ADL850747:ADL850812 ANH850747:ANH850812 AXD850747:AXD850812 BGZ850747:BGZ850812 BQV850747:BQV850812 CAR850747:CAR850812 CKN850747:CKN850812 CUJ850747:CUJ850812 DEF850747:DEF850812 DOB850747:DOB850812 DXX850747:DXX850812 EHT850747:EHT850812 ERP850747:ERP850812 FBL850747:FBL850812 FLH850747:FLH850812 FVD850747:FVD850812 GEZ850747:GEZ850812 GOV850747:GOV850812 GYR850747:GYR850812 HIN850747:HIN850812 HSJ850747:HSJ850812 ICF850747:ICF850812 IMB850747:IMB850812 IVX850747:IVX850812 JFT850747:JFT850812 JPP850747:JPP850812 JZL850747:JZL850812 KJH850747:KJH850812 KTD850747:KTD850812 LCZ850747:LCZ850812 LMV850747:LMV850812 LWR850747:LWR850812 MGN850747:MGN850812 MQJ850747:MQJ850812 NAF850747:NAF850812 NKB850747:NKB850812 NTX850747:NTX850812 ODT850747:ODT850812 ONP850747:ONP850812 OXL850747:OXL850812 PHH850747:PHH850812 PRD850747:PRD850812 QAZ850747:QAZ850812 QKV850747:QKV850812 QUR850747:QUR850812 REN850747:REN850812 ROJ850747:ROJ850812 RYF850747:RYF850812 SIB850747:SIB850812 SRX850747:SRX850812 TBT850747:TBT850812 TLP850747:TLP850812 TVL850747:TVL850812 UFH850747:UFH850812 UPD850747:UPD850812 UYZ850747:UYZ850812 VIV850747:VIV850812 VSR850747:VSR850812 WCN850747:WCN850812 WMJ850747:WMJ850812 WWF850747:WWF850812 X916283:X916348 JT916283:JT916348 TP916283:TP916348 ADL916283:ADL916348 ANH916283:ANH916348 AXD916283:AXD916348 BGZ916283:BGZ916348 BQV916283:BQV916348 CAR916283:CAR916348 CKN916283:CKN916348 CUJ916283:CUJ916348 DEF916283:DEF916348 DOB916283:DOB916348 DXX916283:DXX916348 EHT916283:EHT916348 ERP916283:ERP916348 FBL916283:FBL916348 FLH916283:FLH916348 FVD916283:FVD916348 GEZ916283:GEZ916348 GOV916283:GOV916348 GYR916283:GYR916348 HIN916283:HIN916348 HSJ916283:HSJ916348 ICF916283:ICF916348 IMB916283:IMB916348 IVX916283:IVX916348 JFT916283:JFT916348 JPP916283:JPP916348 JZL916283:JZL916348 KJH916283:KJH916348 KTD916283:KTD916348 LCZ916283:LCZ916348 LMV916283:LMV916348 LWR916283:LWR916348 MGN916283:MGN916348 MQJ916283:MQJ916348 NAF916283:NAF916348 NKB916283:NKB916348 NTX916283:NTX916348 ODT916283:ODT916348 ONP916283:ONP916348 OXL916283:OXL916348 PHH916283:PHH916348 PRD916283:PRD916348 QAZ916283:QAZ916348 QKV916283:QKV916348 QUR916283:QUR916348 REN916283:REN916348 ROJ916283:ROJ916348 RYF916283:RYF916348 SIB916283:SIB916348 SRX916283:SRX916348 TBT916283:TBT916348 TLP916283:TLP916348 TVL916283:TVL916348 UFH916283:UFH916348 UPD916283:UPD916348 UYZ916283:UYZ916348 VIV916283:VIV916348 VSR916283:VSR916348 WCN916283:WCN916348 WMJ916283:WMJ916348 WWF916283:WWF916348 X981819:X981884 JT981819:JT981884 TP981819:TP981884 ADL981819:ADL981884 ANH981819:ANH981884 AXD981819:AXD981884 BGZ981819:BGZ981884 BQV981819:BQV981884 CAR981819:CAR981884 CKN981819:CKN981884 CUJ981819:CUJ981884 DEF981819:DEF981884 DOB981819:DOB981884 DXX981819:DXX981884 EHT981819:EHT981884 ERP981819:ERP981884 FBL981819:FBL981884 FLH981819:FLH981884 FVD981819:FVD981884 GEZ981819:GEZ981884 GOV981819:GOV981884 GYR981819:GYR981884 HIN981819:HIN981884 HSJ981819:HSJ981884 ICF981819:ICF981884 IMB981819:IMB981884 IVX981819:IVX981884 JFT981819:JFT981884 JPP981819:JPP981884 JZL981819:JZL981884 KJH981819:KJH981884 KTD981819:KTD981884 LCZ981819:LCZ981884 LMV981819:LMV981884 LWR981819:LWR981884 MGN981819:MGN981884 MQJ981819:MQJ981884 NAF981819:NAF981884 NKB981819:NKB981884 NTX981819:NTX981884 ODT981819:ODT981884 ONP981819:ONP981884 OXL981819:OXL981884 PHH981819:PHH981884 PRD981819:PRD981884 QAZ981819:QAZ981884 QKV981819:QKV981884 QUR981819:QUR981884 REN981819:REN981884 ROJ981819:ROJ981884 RYF981819:RYF981884 SIB981819:SIB981884 SRX981819:SRX981884 TBT981819:TBT981884 TLP981819:TLP981884 TVL981819:TVL981884 UFH981819:UFH981884 UPD981819:UPD981884 UYZ981819:UYZ981884 VIV981819:VIV981884 VSR981819:VSR981884 WCN981819:WCN981884 WMJ981819:WMJ981884 WWF981819:WWF981884 X1047355:X1047420 JT1047355:JT1047420 TP1047355:TP1047420 ADL1047355:ADL1047420 ANH1047355:ANH1047420 AXD1047355:AXD1047420 BGZ1047355:BGZ1047420 BQV1047355:BQV1047420 CAR1047355:CAR1047420 CKN1047355:CKN1047420 CUJ1047355:CUJ1047420 DEF1047355:DEF1047420 DOB1047355:DOB1047420 DXX1047355:DXX1047420 EHT1047355:EHT1047420 ERP1047355:ERP1047420 FBL1047355:FBL1047420 FLH1047355:FLH1047420 FVD1047355:FVD1047420 GEZ1047355:GEZ1047420 GOV1047355:GOV1047420 GYR1047355:GYR1047420 HIN1047355:HIN1047420 HSJ1047355:HSJ1047420 ICF1047355:ICF1047420 IMB1047355:IMB1047420 IVX1047355:IVX1047420 JFT1047355:JFT1047420 JPP1047355:JPP1047420 JZL1047355:JZL1047420 KJH1047355:KJH1047420 KTD1047355:KTD1047420 LCZ1047355:LCZ1047420 LMV1047355:LMV1047420 LWR1047355:LWR1047420 MGN1047355:MGN1047420 MQJ1047355:MQJ1047420 NAF1047355:NAF1047420 NKB1047355:NKB1047420 NTX1047355:NTX1047420 ODT1047355:ODT1047420 ONP1047355:ONP1047420 OXL1047355:OXL1047420 PHH1047355:PHH1047420 PRD1047355:PRD1047420 QAZ1047355:QAZ1047420 QKV1047355:QKV1047420 QUR1047355:QUR1047420 REN1047355:REN1047420 ROJ1047355:ROJ1047420 RYF1047355:RYF1047420 SIB1047355:SIB1047420 SRX1047355:SRX1047420 TBT1047355:TBT1047420 TLP1047355:TLP1047420 TVL1047355:TVL1047420 UFH1047355:UFH1047420 UPD1047355:UPD1047420 UYZ1047355:UYZ1047420 VIV1047355:VIV1047420 VSR1047355:VSR1047420 WCN1047355:WCN1047420 WMJ1047355:WMJ1047420 WWF1047355:WWF1047420 WWF982994:WWF983059 X65490:X65555 JT65490:JT65555 TP65490:TP65555 ADL65490:ADL65555 ANH65490:ANH65555 AXD65490:AXD65555 BGZ65490:BGZ65555 BQV65490:BQV65555 CAR65490:CAR65555 CKN65490:CKN65555 CUJ65490:CUJ65555 DEF65490:DEF65555 DOB65490:DOB65555 DXX65490:DXX65555 EHT65490:EHT65555 ERP65490:ERP65555 FBL65490:FBL65555 FLH65490:FLH65555 FVD65490:FVD65555 GEZ65490:GEZ65555 GOV65490:GOV65555 GYR65490:GYR65555 HIN65490:HIN65555 HSJ65490:HSJ65555 ICF65490:ICF65555 IMB65490:IMB65555 IVX65490:IVX65555 JFT65490:JFT65555 JPP65490:JPP65555 JZL65490:JZL65555 KJH65490:KJH65555 KTD65490:KTD65555 LCZ65490:LCZ65555 LMV65490:LMV65555 LWR65490:LWR65555 MGN65490:MGN65555 MQJ65490:MQJ65555 NAF65490:NAF65555 NKB65490:NKB65555 NTX65490:NTX65555 ODT65490:ODT65555 ONP65490:ONP65555 OXL65490:OXL65555 PHH65490:PHH65555 PRD65490:PRD65555 QAZ65490:QAZ65555 QKV65490:QKV65555 QUR65490:QUR65555 REN65490:REN65555 ROJ65490:ROJ65555 RYF65490:RYF65555 SIB65490:SIB65555 SRX65490:SRX65555 TBT65490:TBT65555 TLP65490:TLP65555 TVL65490:TVL65555 UFH65490:UFH65555 UPD65490:UPD65555 UYZ65490:UYZ65555 VIV65490:VIV65555 VSR65490:VSR65555 WCN65490:WCN65555 WMJ65490:WMJ65555 WWF65490:WWF65555 X131026:X131091 JT131026:JT131091 TP131026:TP131091 ADL131026:ADL131091 ANH131026:ANH131091 AXD131026:AXD131091 BGZ131026:BGZ131091 BQV131026:BQV131091 CAR131026:CAR131091 CKN131026:CKN131091 CUJ131026:CUJ131091 DEF131026:DEF131091 DOB131026:DOB131091 DXX131026:DXX131091 EHT131026:EHT131091 ERP131026:ERP131091 FBL131026:FBL131091 FLH131026:FLH131091 FVD131026:FVD131091 GEZ131026:GEZ131091 GOV131026:GOV131091 GYR131026:GYR131091 HIN131026:HIN131091 HSJ131026:HSJ131091 ICF131026:ICF131091 IMB131026:IMB131091 IVX131026:IVX131091 JFT131026:JFT131091 JPP131026:JPP131091 JZL131026:JZL131091 KJH131026:KJH131091 KTD131026:KTD131091 LCZ131026:LCZ131091 LMV131026:LMV131091 LWR131026:LWR131091 MGN131026:MGN131091 MQJ131026:MQJ131091 NAF131026:NAF131091 NKB131026:NKB131091 NTX131026:NTX131091 ODT131026:ODT131091 ONP131026:ONP131091 OXL131026:OXL131091 PHH131026:PHH131091 PRD131026:PRD131091 QAZ131026:QAZ131091 QKV131026:QKV131091 QUR131026:QUR131091 REN131026:REN131091 ROJ131026:ROJ131091 RYF131026:RYF131091 SIB131026:SIB131091 SRX131026:SRX131091 TBT131026:TBT131091 TLP131026:TLP131091 TVL131026:TVL131091 UFH131026:UFH131091 UPD131026:UPD131091 UYZ131026:UYZ131091 VIV131026:VIV131091 VSR131026:VSR131091 WCN131026:WCN131091 WMJ131026:WMJ131091 WWF131026:WWF131091 X196562:X196627 JT196562:JT196627 TP196562:TP196627 ADL196562:ADL196627 ANH196562:ANH196627 AXD196562:AXD196627 BGZ196562:BGZ196627 BQV196562:BQV196627 CAR196562:CAR196627 CKN196562:CKN196627 CUJ196562:CUJ196627 DEF196562:DEF196627 DOB196562:DOB196627 DXX196562:DXX196627 EHT196562:EHT196627 ERP196562:ERP196627 FBL196562:FBL196627 FLH196562:FLH196627 FVD196562:FVD196627 GEZ196562:GEZ196627 GOV196562:GOV196627 GYR196562:GYR196627 HIN196562:HIN196627 HSJ196562:HSJ196627 ICF196562:ICF196627 IMB196562:IMB196627 IVX196562:IVX196627 JFT196562:JFT196627 JPP196562:JPP196627 JZL196562:JZL196627 KJH196562:KJH196627 KTD196562:KTD196627 LCZ196562:LCZ196627 LMV196562:LMV196627 LWR196562:LWR196627 MGN196562:MGN196627 MQJ196562:MQJ196627 NAF196562:NAF196627 NKB196562:NKB196627 NTX196562:NTX196627 ODT196562:ODT196627 ONP196562:ONP196627 OXL196562:OXL196627 PHH196562:PHH196627 PRD196562:PRD196627 QAZ196562:QAZ196627 QKV196562:QKV196627 QUR196562:QUR196627 REN196562:REN196627 ROJ196562:ROJ196627 RYF196562:RYF196627 SIB196562:SIB196627 SRX196562:SRX196627 TBT196562:TBT196627 TLP196562:TLP196627 TVL196562:TVL196627 UFH196562:UFH196627 UPD196562:UPD196627 UYZ196562:UYZ196627 VIV196562:VIV196627 VSR196562:VSR196627 WCN196562:WCN196627 WMJ196562:WMJ196627 WWF196562:WWF196627 X262098:X262163 JT262098:JT262163 TP262098:TP262163 ADL262098:ADL262163 ANH262098:ANH262163 AXD262098:AXD262163 BGZ262098:BGZ262163 BQV262098:BQV262163 CAR262098:CAR262163 CKN262098:CKN262163 CUJ262098:CUJ262163 DEF262098:DEF262163 DOB262098:DOB262163 DXX262098:DXX262163 EHT262098:EHT262163 ERP262098:ERP262163 FBL262098:FBL262163 FLH262098:FLH262163 FVD262098:FVD262163 GEZ262098:GEZ262163 GOV262098:GOV262163 GYR262098:GYR262163 HIN262098:HIN262163 HSJ262098:HSJ262163 ICF262098:ICF262163 IMB262098:IMB262163 IVX262098:IVX262163 JFT262098:JFT262163 JPP262098:JPP262163 JZL262098:JZL262163 KJH262098:KJH262163 KTD262098:KTD262163 LCZ262098:LCZ262163 LMV262098:LMV262163 LWR262098:LWR262163 MGN262098:MGN262163 MQJ262098:MQJ262163 NAF262098:NAF262163 NKB262098:NKB262163 NTX262098:NTX262163 ODT262098:ODT262163 ONP262098:ONP262163 OXL262098:OXL262163 PHH262098:PHH262163 PRD262098:PRD262163 QAZ262098:QAZ262163 QKV262098:QKV262163 QUR262098:QUR262163 REN262098:REN262163 ROJ262098:ROJ262163 RYF262098:RYF262163 SIB262098:SIB262163 SRX262098:SRX262163 TBT262098:TBT262163 TLP262098:TLP262163 TVL262098:TVL262163 UFH262098:UFH262163 UPD262098:UPD262163 UYZ262098:UYZ262163 VIV262098:VIV262163 VSR262098:VSR262163 WCN262098:WCN262163 WMJ262098:WMJ262163 WWF262098:WWF262163 X327634:X327699 JT327634:JT327699 TP327634:TP327699 ADL327634:ADL327699 ANH327634:ANH327699 AXD327634:AXD327699 BGZ327634:BGZ327699 BQV327634:BQV327699 CAR327634:CAR327699 CKN327634:CKN327699 CUJ327634:CUJ327699 DEF327634:DEF327699 DOB327634:DOB327699 DXX327634:DXX327699 EHT327634:EHT327699 ERP327634:ERP327699 FBL327634:FBL327699 FLH327634:FLH327699 FVD327634:FVD327699 GEZ327634:GEZ327699 GOV327634:GOV327699 GYR327634:GYR327699 HIN327634:HIN327699 HSJ327634:HSJ327699 ICF327634:ICF327699 IMB327634:IMB327699 IVX327634:IVX327699 JFT327634:JFT327699 JPP327634:JPP327699 JZL327634:JZL327699 KJH327634:KJH327699 KTD327634:KTD327699 LCZ327634:LCZ327699 LMV327634:LMV327699 LWR327634:LWR327699 MGN327634:MGN327699 MQJ327634:MQJ327699 NAF327634:NAF327699 NKB327634:NKB327699 NTX327634:NTX327699 ODT327634:ODT327699 ONP327634:ONP327699 OXL327634:OXL327699 PHH327634:PHH327699 PRD327634:PRD327699 QAZ327634:QAZ327699 QKV327634:QKV327699 QUR327634:QUR327699 REN327634:REN327699 ROJ327634:ROJ327699 RYF327634:RYF327699 SIB327634:SIB327699 SRX327634:SRX327699 TBT327634:TBT327699 TLP327634:TLP327699 TVL327634:TVL327699 UFH327634:UFH327699 UPD327634:UPD327699 UYZ327634:UYZ327699 VIV327634:VIV327699 VSR327634:VSR327699 WCN327634:WCN327699 WMJ327634:WMJ327699 WWF327634:WWF327699 X393170:X393235 JT393170:JT393235 TP393170:TP393235 ADL393170:ADL393235 ANH393170:ANH393235 AXD393170:AXD393235 BGZ393170:BGZ393235 BQV393170:BQV393235 CAR393170:CAR393235 CKN393170:CKN393235 CUJ393170:CUJ393235 DEF393170:DEF393235 DOB393170:DOB393235 DXX393170:DXX393235 EHT393170:EHT393235 ERP393170:ERP393235 FBL393170:FBL393235 FLH393170:FLH393235 FVD393170:FVD393235 GEZ393170:GEZ393235 GOV393170:GOV393235 GYR393170:GYR393235 HIN393170:HIN393235 HSJ393170:HSJ393235 ICF393170:ICF393235 IMB393170:IMB393235 IVX393170:IVX393235 JFT393170:JFT393235 JPP393170:JPP393235 JZL393170:JZL393235 KJH393170:KJH393235 KTD393170:KTD393235 LCZ393170:LCZ393235 LMV393170:LMV393235 LWR393170:LWR393235 MGN393170:MGN393235 MQJ393170:MQJ393235 NAF393170:NAF393235 NKB393170:NKB393235 NTX393170:NTX393235 ODT393170:ODT393235 ONP393170:ONP393235 OXL393170:OXL393235 PHH393170:PHH393235 PRD393170:PRD393235 QAZ393170:QAZ393235 QKV393170:QKV393235 QUR393170:QUR393235 REN393170:REN393235 ROJ393170:ROJ393235 RYF393170:RYF393235 SIB393170:SIB393235 SRX393170:SRX393235 TBT393170:TBT393235 TLP393170:TLP393235 TVL393170:TVL393235 UFH393170:UFH393235 UPD393170:UPD393235 UYZ393170:UYZ393235 VIV393170:VIV393235 VSR393170:VSR393235 WCN393170:WCN393235 WMJ393170:WMJ393235 WWF393170:WWF393235 X458706:X458771 JT458706:JT458771 TP458706:TP458771 ADL458706:ADL458771 ANH458706:ANH458771 AXD458706:AXD458771 BGZ458706:BGZ458771 BQV458706:BQV458771 CAR458706:CAR458771 CKN458706:CKN458771 CUJ458706:CUJ458771 DEF458706:DEF458771 DOB458706:DOB458771 DXX458706:DXX458771 EHT458706:EHT458771 ERP458706:ERP458771 FBL458706:FBL458771 FLH458706:FLH458771 FVD458706:FVD458771 GEZ458706:GEZ458771 GOV458706:GOV458771 GYR458706:GYR458771 HIN458706:HIN458771 HSJ458706:HSJ458771 ICF458706:ICF458771 IMB458706:IMB458771 IVX458706:IVX458771 JFT458706:JFT458771 JPP458706:JPP458771 JZL458706:JZL458771 KJH458706:KJH458771 KTD458706:KTD458771 LCZ458706:LCZ458771 LMV458706:LMV458771 LWR458706:LWR458771 MGN458706:MGN458771 MQJ458706:MQJ458771 NAF458706:NAF458771 NKB458706:NKB458771 NTX458706:NTX458771 ODT458706:ODT458771 ONP458706:ONP458771 OXL458706:OXL458771 PHH458706:PHH458771 PRD458706:PRD458771 QAZ458706:QAZ458771 QKV458706:QKV458771 QUR458706:QUR458771 REN458706:REN458771 ROJ458706:ROJ458771 RYF458706:RYF458771 SIB458706:SIB458771 SRX458706:SRX458771 TBT458706:TBT458771 TLP458706:TLP458771 TVL458706:TVL458771 UFH458706:UFH458771 UPD458706:UPD458771 UYZ458706:UYZ458771 VIV458706:VIV458771 VSR458706:VSR458771 WCN458706:WCN458771 WMJ458706:WMJ458771 WWF458706:WWF458771 X524242:X524307 JT524242:JT524307 TP524242:TP524307 ADL524242:ADL524307 ANH524242:ANH524307 AXD524242:AXD524307 BGZ524242:BGZ524307 BQV524242:BQV524307 CAR524242:CAR524307 CKN524242:CKN524307 CUJ524242:CUJ524307 DEF524242:DEF524307 DOB524242:DOB524307 DXX524242:DXX524307 EHT524242:EHT524307 ERP524242:ERP524307 FBL524242:FBL524307 FLH524242:FLH524307 FVD524242:FVD524307 GEZ524242:GEZ524307 GOV524242:GOV524307 GYR524242:GYR524307 HIN524242:HIN524307 HSJ524242:HSJ524307 ICF524242:ICF524307 IMB524242:IMB524307 IVX524242:IVX524307 JFT524242:JFT524307 JPP524242:JPP524307 JZL524242:JZL524307 KJH524242:KJH524307 KTD524242:KTD524307 LCZ524242:LCZ524307 LMV524242:LMV524307 LWR524242:LWR524307 MGN524242:MGN524307 MQJ524242:MQJ524307 NAF524242:NAF524307 NKB524242:NKB524307 NTX524242:NTX524307 ODT524242:ODT524307 ONP524242:ONP524307 OXL524242:OXL524307 PHH524242:PHH524307 PRD524242:PRD524307 QAZ524242:QAZ524307 QKV524242:QKV524307 QUR524242:QUR524307 REN524242:REN524307 ROJ524242:ROJ524307 RYF524242:RYF524307 SIB524242:SIB524307 SRX524242:SRX524307 TBT524242:TBT524307 TLP524242:TLP524307 TVL524242:TVL524307 UFH524242:UFH524307 UPD524242:UPD524307 UYZ524242:UYZ524307 VIV524242:VIV524307 VSR524242:VSR524307 WCN524242:WCN524307 WMJ524242:WMJ524307 WWF524242:WWF524307 X589778:X589843 JT589778:JT589843 TP589778:TP589843 ADL589778:ADL589843 ANH589778:ANH589843 AXD589778:AXD589843 BGZ589778:BGZ589843 BQV589778:BQV589843 CAR589778:CAR589843 CKN589778:CKN589843 CUJ589778:CUJ589843 DEF589778:DEF589843 DOB589778:DOB589843 DXX589778:DXX589843 EHT589778:EHT589843 ERP589778:ERP589843 FBL589778:FBL589843 FLH589778:FLH589843 FVD589778:FVD589843 GEZ589778:GEZ589843 GOV589778:GOV589843 GYR589778:GYR589843 HIN589778:HIN589843 HSJ589778:HSJ589843 ICF589778:ICF589843 IMB589778:IMB589843 IVX589778:IVX589843 JFT589778:JFT589843 JPP589778:JPP589843 JZL589778:JZL589843 KJH589778:KJH589843 KTD589778:KTD589843 LCZ589778:LCZ589843 LMV589778:LMV589843 LWR589778:LWR589843 MGN589778:MGN589843 MQJ589778:MQJ589843 NAF589778:NAF589843 NKB589778:NKB589843 NTX589778:NTX589843 ODT589778:ODT589843 ONP589778:ONP589843 OXL589778:OXL589843 PHH589778:PHH589843 PRD589778:PRD589843 QAZ589778:QAZ589843 QKV589778:QKV589843 QUR589778:QUR589843 REN589778:REN589843 ROJ589778:ROJ589843 RYF589778:RYF589843 SIB589778:SIB589843 SRX589778:SRX589843 TBT589778:TBT589843 TLP589778:TLP589843 TVL589778:TVL589843 UFH589778:UFH589843 UPD589778:UPD589843 UYZ589778:UYZ589843 VIV589778:VIV589843 VSR589778:VSR589843 WCN589778:WCN589843 WMJ589778:WMJ589843 WWF589778:WWF589843 X655314:X655379 JT655314:JT655379 TP655314:TP655379 ADL655314:ADL655379 ANH655314:ANH655379 AXD655314:AXD655379 BGZ655314:BGZ655379 BQV655314:BQV655379 CAR655314:CAR655379 CKN655314:CKN655379 CUJ655314:CUJ655379 DEF655314:DEF655379 DOB655314:DOB655379 DXX655314:DXX655379 EHT655314:EHT655379 ERP655314:ERP655379 FBL655314:FBL655379 FLH655314:FLH655379 FVD655314:FVD655379 GEZ655314:GEZ655379 GOV655314:GOV655379 GYR655314:GYR655379 HIN655314:HIN655379 HSJ655314:HSJ655379 ICF655314:ICF655379 IMB655314:IMB655379 IVX655314:IVX655379 JFT655314:JFT655379 JPP655314:JPP655379 JZL655314:JZL655379 KJH655314:KJH655379 KTD655314:KTD655379 LCZ655314:LCZ655379 LMV655314:LMV655379 LWR655314:LWR655379 MGN655314:MGN655379 MQJ655314:MQJ655379 NAF655314:NAF655379 NKB655314:NKB655379 NTX655314:NTX655379 ODT655314:ODT655379 ONP655314:ONP655379 OXL655314:OXL655379 PHH655314:PHH655379 PRD655314:PRD655379 QAZ655314:QAZ655379 QKV655314:QKV655379 QUR655314:QUR655379 REN655314:REN655379 ROJ655314:ROJ655379 RYF655314:RYF655379 SIB655314:SIB655379 SRX655314:SRX655379 TBT655314:TBT655379 TLP655314:TLP655379 TVL655314:TVL655379 UFH655314:UFH655379 UPD655314:UPD655379 UYZ655314:UYZ655379 VIV655314:VIV655379 VSR655314:VSR655379 WCN655314:WCN655379 WMJ655314:WMJ655379 WWF655314:WWF655379 X720850:X720915 JT720850:JT720915 TP720850:TP720915 ADL720850:ADL720915 ANH720850:ANH720915 AXD720850:AXD720915 BGZ720850:BGZ720915 BQV720850:BQV720915 CAR720850:CAR720915 CKN720850:CKN720915 CUJ720850:CUJ720915 DEF720850:DEF720915 DOB720850:DOB720915 DXX720850:DXX720915 EHT720850:EHT720915 ERP720850:ERP720915 FBL720850:FBL720915 FLH720850:FLH720915 FVD720850:FVD720915 GEZ720850:GEZ720915 GOV720850:GOV720915 GYR720850:GYR720915 HIN720850:HIN720915 HSJ720850:HSJ720915 ICF720850:ICF720915 IMB720850:IMB720915 IVX720850:IVX720915 JFT720850:JFT720915 JPP720850:JPP720915 JZL720850:JZL720915 KJH720850:KJH720915 KTD720850:KTD720915 LCZ720850:LCZ720915 LMV720850:LMV720915 LWR720850:LWR720915 MGN720850:MGN720915 MQJ720850:MQJ720915 NAF720850:NAF720915 NKB720850:NKB720915 NTX720850:NTX720915 ODT720850:ODT720915 ONP720850:ONP720915 OXL720850:OXL720915 PHH720850:PHH720915 PRD720850:PRD720915 QAZ720850:QAZ720915 QKV720850:QKV720915 QUR720850:QUR720915 REN720850:REN720915 ROJ720850:ROJ720915 RYF720850:RYF720915 SIB720850:SIB720915 SRX720850:SRX720915 TBT720850:TBT720915 TLP720850:TLP720915 TVL720850:TVL720915 UFH720850:UFH720915 UPD720850:UPD720915 UYZ720850:UYZ720915 VIV720850:VIV720915 VSR720850:VSR720915 WCN720850:WCN720915 WMJ720850:WMJ720915 WWF720850:WWF720915 X786386:X786451 JT786386:JT786451 TP786386:TP786451 ADL786386:ADL786451 ANH786386:ANH786451 AXD786386:AXD786451 BGZ786386:BGZ786451 BQV786386:BQV786451 CAR786386:CAR786451 CKN786386:CKN786451 CUJ786386:CUJ786451 DEF786386:DEF786451 DOB786386:DOB786451 DXX786386:DXX786451 EHT786386:EHT786451 ERP786386:ERP786451 FBL786386:FBL786451 FLH786386:FLH786451 FVD786386:FVD786451 GEZ786386:GEZ786451 GOV786386:GOV786451 GYR786386:GYR786451 HIN786386:HIN786451 HSJ786386:HSJ786451 ICF786386:ICF786451 IMB786386:IMB786451 IVX786386:IVX786451 JFT786386:JFT786451 JPP786386:JPP786451 JZL786386:JZL786451 KJH786386:KJH786451 KTD786386:KTD786451 LCZ786386:LCZ786451 LMV786386:LMV786451 LWR786386:LWR786451 MGN786386:MGN786451 MQJ786386:MQJ786451 NAF786386:NAF786451 NKB786386:NKB786451 NTX786386:NTX786451 ODT786386:ODT786451 ONP786386:ONP786451 OXL786386:OXL786451 PHH786386:PHH786451 PRD786386:PRD786451 QAZ786386:QAZ786451 QKV786386:QKV786451 QUR786386:QUR786451 REN786386:REN786451 ROJ786386:ROJ786451 RYF786386:RYF786451 SIB786386:SIB786451 SRX786386:SRX786451 TBT786386:TBT786451 TLP786386:TLP786451 TVL786386:TVL786451 UFH786386:UFH786451 UPD786386:UPD786451 UYZ786386:UYZ786451 VIV786386:VIV786451 VSR786386:VSR786451 WCN786386:WCN786451 WMJ786386:WMJ786451 WWF786386:WWF786451 X851922:X851987 JT851922:JT851987 TP851922:TP851987 ADL851922:ADL851987 ANH851922:ANH851987 AXD851922:AXD851987 BGZ851922:BGZ851987 BQV851922:BQV851987 CAR851922:CAR851987 CKN851922:CKN851987 CUJ851922:CUJ851987 DEF851922:DEF851987 DOB851922:DOB851987 DXX851922:DXX851987 EHT851922:EHT851987 ERP851922:ERP851987 FBL851922:FBL851987 FLH851922:FLH851987 FVD851922:FVD851987 GEZ851922:GEZ851987 GOV851922:GOV851987 GYR851922:GYR851987 HIN851922:HIN851987 HSJ851922:HSJ851987 ICF851922:ICF851987 IMB851922:IMB851987 IVX851922:IVX851987 JFT851922:JFT851987 JPP851922:JPP851987 JZL851922:JZL851987 KJH851922:KJH851987 KTD851922:KTD851987 LCZ851922:LCZ851987 LMV851922:LMV851987 LWR851922:LWR851987 MGN851922:MGN851987 MQJ851922:MQJ851987 NAF851922:NAF851987 NKB851922:NKB851987 NTX851922:NTX851987 ODT851922:ODT851987 ONP851922:ONP851987 OXL851922:OXL851987 PHH851922:PHH851987 PRD851922:PRD851987 QAZ851922:QAZ851987 QKV851922:QKV851987 QUR851922:QUR851987 REN851922:REN851987 ROJ851922:ROJ851987 RYF851922:RYF851987 SIB851922:SIB851987 SRX851922:SRX851987 TBT851922:TBT851987 TLP851922:TLP851987 TVL851922:TVL851987 UFH851922:UFH851987 UPD851922:UPD851987 UYZ851922:UYZ851987 VIV851922:VIV851987 VSR851922:VSR851987 WCN851922:WCN851987 WMJ851922:WMJ851987 WWF851922:WWF851987 X917458:X917523 JT917458:JT917523 TP917458:TP917523 ADL917458:ADL917523 ANH917458:ANH917523 AXD917458:AXD917523 BGZ917458:BGZ917523 BQV917458:BQV917523 CAR917458:CAR917523 CKN917458:CKN917523 CUJ917458:CUJ917523 DEF917458:DEF917523 DOB917458:DOB917523 DXX917458:DXX917523 EHT917458:EHT917523 ERP917458:ERP917523 FBL917458:FBL917523 FLH917458:FLH917523 FVD917458:FVD917523 GEZ917458:GEZ917523 GOV917458:GOV917523 GYR917458:GYR917523 HIN917458:HIN917523 HSJ917458:HSJ917523 ICF917458:ICF917523 IMB917458:IMB917523 IVX917458:IVX917523 JFT917458:JFT917523 JPP917458:JPP917523 JZL917458:JZL917523 KJH917458:KJH917523 KTD917458:KTD917523 LCZ917458:LCZ917523 LMV917458:LMV917523 LWR917458:LWR917523 MGN917458:MGN917523 MQJ917458:MQJ917523 NAF917458:NAF917523 NKB917458:NKB917523 NTX917458:NTX917523 ODT917458:ODT917523 ONP917458:ONP917523 OXL917458:OXL917523 PHH917458:PHH917523 PRD917458:PRD917523 QAZ917458:QAZ917523 QKV917458:QKV917523 QUR917458:QUR917523 REN917458:REN917523 ROJ917458:ROJ917523 RYF917458:RYF917523 SIB917458:SIB917523 SRX917458:SRX917523 TBT917458:TBT917523 TLP917458:TLP917523 TVL917458:TVL917523 UFH917458:UFH917523 UPD917458:UPD917523 UYZ917458:UYZ917523 VIV917458:VIV917523 VSR917458:VSR917523 WCN917458:WCN917523 WMJ917458:WMJ917523 WWF917458:WWF917523 X982994:X983059 JT982994:JT983059 TP982994:TP983059 ADL982994:ADL983059 ANH982994:ANH983059 AXD982994:AXD983059 BGZ982994:BGZ983059 BQV982994:BQV983059 CAR982994:CAR983059 CKN982994:CKN983059 CUJ982994:CUJ983059 DEF982994:DEF983059 DOB982994:DOB983059 DXX982994:DXX983059 EHT982994:EHT983059 ERP982994:ERP983059 FBL982994:FBL983059 FLH982994:FLH983059 FVD982994:FVD983059 GEZ982994:GEZ983059 GOV982994:GOV983059 GYR982994:GYR983059 HIN982994:HIN983059 HSJ982994:HSJ983059 ICF982994:ICF983059 IMB982994:IMB983059 IVX982994:IVX983059 JFT982994:JFT983059 JPP982994:JPP983059 JZL982994:JZL983059 KJH982994:KJH983059 KTD982994:KTD983059 LCZ982994:LCZ983059 LMV982994:LMV983059 LWR982994:LWR983059 MGN982994:MGN983059 MQJ982994:MQJ983059 NAF982994:NAF983059 NKB982994:NKB983059 NTX982994:NTX983059 ODT982994:ODT983059 ONP982994:ONP983059 OXL982994:OXL983059 PHH982994:PHH983059 PRD982994:PRD983059 QAZ982994:QAZ983059 QKV982994:QKV983059 QUR982994:QUR983059 REN982994:REN983059 ROJ982994:ROJ983059 RYF982994:RYF983059 SIB982994:SIB983059 SRX982994:SRX983059 TBT982994:TBT983059 TLP982994:TLP983059 TVL982994:TVL983059 UFH982994:UFH983059 UPD982994:UPD983059 UYZ982994:UYZ983059 VIV982994:VIV983059 VSR982994:VSR983059 WCN982994:WCN983059 WMJ982994:WMJ983059 WMJ2:WMJ43 WWF2:WWF43 JT2:JT43 TP2:TP43 ADL2:ADL43 ANH2:ANH43 AXD2:AXD43 BGZ2:BGZ43 BQV2:BQV43 CAR2:CAR43 CKN2:CKN43 CUJ2:CUJ43 DEF2:DEF43 DOB2:DOB43 DXX2:DXX43 EHT2:EHT43 ERP2:ERP43 FBL2:FBL43 FLH2:FLH43 FVD2:FVD43 GEZ2:GEZ43 GOV2:GOV43 GYR2:GYR43 HIN2:HIN43 HSJ2:HSJ43 ICF2:ICF43 IMB2:IMB43 IVX2:IVX43 JFT2:JFT43 JPP2:JPP43 JZL2:JZL43 KJH2:KJH43 KTD2:KTD43 LCZ2:LCZ43 LMV2:LMV43 LWR2:LWR43 MGN2:MGN43 MQJ2:MQJ43 NAF2:NAF43 NKB2:NKB43 NTX2:NTX43 ODT2:ODT43 ONP2:ONP43 OXL2:OXL43 PHH2:PHH43 PRD2:PRD43 QAZ2:QAZ43 QKV2:QKV43 QUR2:QUR43 REN2:REN43 ROJ2:ROJ43 RYF2:RYF43 SIB2:SIB43 SRX2:SRX43 TBT2:TBT43 TLP2:TLP43 TVL2:TVL43 UFH2:UFH43 UPD2:UPD43 UYZ2:UYZ43 VIV2:VIV43 VSR2:VSR43 WCN2:WCN43 X2:X452" xr:uid="{00FBD448-0B31-4BB8-BF28-D8147A015F31}">
      <formula1>$AT$2:$AT$3</formula1>
    </dataValidation>
    <dataValidation type="list" allowBlank="1" showInputMessage="1" showErrorMessage="1" sqref="G64315:G64382 JC64315:JC64382 SY64315:SY64382 ACU64315:ACU64382 AMQ64315:AMQ64382 AWM64315:AWM64382 BGI64315:BGI64382 BQE64315:BQE64382 CAA64315:CAA64382 CJW64315:CJW64382 CTS64315:CTS64382 DDO64315:DDO64382 DNK64315:DNK64382 DXG64315:DXG64382 EHC64315:EHC64382 EQY64315:EQY64382 FAU64315:FAU64382 FKQ64315:FKQ64382 FUM64315:FUM64382 GEI64315:GEI64382 GOE64315:GOE64382 GYA64315:GYA64382 HHW64315:HHW64382 HRS64315:HRS64382 IBO64315:IBO64382 ILK64315:ILK64382 IVG64315:IVG64382 JFC64315:JFC64382 JOY64315:JOY64382 JYU64315:JYU64382 KIQ64315:KIQ64382 KSM64315:KSM64382 LCI64315:LCI64382 LME64315:LME64382 LWA64315:LWA64382 MFW64315:MFW64382 MPS64315:MPS64382 MZO64315:MZO64382 NJK64315:NJK64382 NTG64315:NTG64382 ODC64315:ODC64382 OMY64315:OMY64382 OWU64315:OWU64382 PGQ64315:PGQ64382 PQM64315:PQM64382 QAI64315:QAI64382 QKE64315:QKE64382 QUA64315:QUA64382 RDW64315:RDW64382 RNS64315:RNS64382 RXO64315:RXO64382 SHK64315:SHK64382 SRG64315:SRG64382 TBC64315:TBC64382 TKY64315:TKY64382 TUU64315:TUU64382 UEQ64315:UEQ64382 UOM64315:UOM64382 UYI64315:UYI64382 VIE64315:VIE64382 VSA64315:VSA64382 WBW64315:WBW64382 WLS64315:WLS64382 WVO64315:WVO64382 G129851:G129918 JC129851:JC129918 SY129851:SY129918 ACU129851:ACU129918 AMQ129851:AMQ129918 AWM129851:AWM129918 BGI129851:BGI129918 BQE129851:BQE129918 CAA129851:CAA129918 CJW129851:CJW129918 CTS129851:CTS129918 DDO129851:DDO129918 DNK129851:DNK129918 DXG129851:DXG129918 EHC129851:EHC129918 EQY129851:EQY129918 FAU129851:FAU129918 FKQ129851:FKQ129918 FUM129851:FUM129918 GEI129851:GEI129918 GOE129851:GOE129918 GYA129851:GYA129918 HHW129851:HHW129918 HRS129851:HRS129918 IBO129851:IBO129918 ILK129851:ILK129918 IVG129851:IVG129918 JFC129851:JFC129918 JOY129851:JOY129918 JYU129851:JYU129918 KIQ129851:KIQ129918 KSM129851:KSM129918 LCI129851:LCI129918 LME129851:LME129918 LWA129851:LWA129918 MFW129851:MFW129918 MPS129851:MPS129918 MZO129851:MZO129918 NJK129851:NJK129918 NTG129851:NTG129918 ODC129851:ODC129918 OMY129851:OMY129918 OWU129851:OWU129918 PGQ129851:PGQ129918 PQM129851:PQM129918 QAI129851:QAI129918 QKE129851:QKE129918 QUA129851:QUA129918 RDW129851:RDW129918 RNS129851:RNS129918 RXO129851:RXO129918 SHK129851:SHK129918 SRG129851:SRG129918 TBC129851:TBC129918 TKY129851:TKY129918 TUU129851:TUU129918 UEQ129851:UEQ129918 UOM129851:UOM129918 UYI129851:UYI129918 VIE129851:VIE129918 VSA129851:VSA129918 WBW129851:WBW129918 WLS129851:WLS129918 WVO129851:WVO129918 G195387:G195454 JC195387:JC195454 SY195387:SY195454 ACU195387:ACU195454 AMQ195387:AMQ195454 AWM195387:AWM195454 BGI195387:BGI195454 BQE195387:BQE195454 CAA195387:CAA195454 CJW195387:CJW195454 CTS195387:CTS195454 DDO195387:DDO195454 DNK195387:DNK195454 DXG195387:DXG195454 EHC195387:EHC195454 EQY195387:EQY195454 FAU195387:FAU195454 FKQ195387:FKQ195454 FUM195387:FUM195454 GEI195387:GEI195454 GOE195387:GOE195454 GYA195387:GYA195454 HHW195387:HHW195454 HRS195387:HRS195454 IBO195387:IBO195454 ILK195387:ILK195454 IVG195387:IVG195454 JFC195387:JFC195454 JOY195387:JOY195454 JYU195387:JYU195454 KIQ195387:KIQ195454 KSM195387:KSM195454 LCI195387:LCI195454 LME195387:LME195454 LWA195387:LWA195454 MFW195387:MFW195454 MPS195387:MPS195454 MZO195387:MZO195454 NJK195387:NJK195454 NTG195387:NTG195454 ODC195387:ODC195454 OMY195387:OMY195454 OWU195387:OWU195454 PGQ195387:PGQ195454 PQM195387:PQM195454 QAI195387:QAI195454 QKE195387:QKE195454 QUA195387:QUA195454 RDW195387:RDW195454 RNS195387:RNS195454 RXO195387:RXO195454 SHK195387:SHK195454 SRG195387:SRG195454 TBC195387:TBC195454 TKY195387:TKY195454 TUU195387:TUU195454 UEQ195387:UEQ195454 UOM195387:UOM195454 UYI195387:UYI195454 VIE195387:VIE195454 VSA195387:VSA195454 WBW195387:WBW195454 WLS195387:WLS195454 WVO195387:WVO195454 G260923:G260990 JC260923:JC260990 SY260923:SY260990 ACU260923:ACU260990 AMQ260923:AMQ260990 AWM260923:AWM260990 BGI260923:BGI260990 BQE260923:BQE260990 CAA260923:CAA260990 CJW260923:CJW260990 CTS260923:CTS260990 DDO260923:DDO260990 DNK260923:DNK260990 DXG260923:DXG260990 EHC260923:EHC260990 EQY260923:EQY260990 FAU260923:FAU260990 FKQ260923:FKQ260990 FUM260923:FUM260990 GEI260923:GEI260990 GOE260923:GOE260990 GYA260923:GYA260990 HHW260923:HHW260990 HRS260923:HRS260990 IBO260923:IBO260990 ILK260923:ILK260990 IVG260923:IVG260990 JFC260923:JFC260990 JOY260923:JOY260990 JYU260923:JYU260990 KIQ260923:KIQ260990 KSM260923:KSM260990 LCI260923:LCI260990 LME260923:LME260990 LWA260923:LWA260990 MFW260923:MFW260990 MPS260923:MPS260990 MZO260923:MZO260990 NJK260923:NJK260990 NTG260923:NTG260990 ODC260923:ODC260990 OMY260923:OMY260990 OWU260923:OWU260990 PGQ260923:PGQ260990 PQM260923:PQM260990 QAI260923:QAI260990 QKE260923:QKE260990 QUA260923:QUA260990 RDW260923:RDW260990 RNS260923:RNS260990 RXO260923:RXO260990 SHK260923:SHK260990 SRG260923:SRG260990 TBC260923:TBC260990 TKY260923:TKY260990 TUU260923:TUU260990 UEQ260923:UEQ260990 UOM260923:UOM260990 UYI260923:UYI260990 VIE260923:VIE260990 VSA260923:VSA260990 WBW260923:WBW260990 WLS260923:WLS260990 WVO260923:WVO260990 G326459:G326526 JC326459:JC326526 SY326459:SY326526 ACU326459:ACU326526 AMQ326459:AMQ326526 AWM326459:AWM326526 BGI326459:BGI326526 BQE326459:BQE326526 CAA326459:CAA326526 CJW326459:CJW326526 CTS326459:CTS326526 DDO326459:DDO326526 DNK326459:DNK326526 DXG326459:DXG326526 EHC326459:EHC326526 EQY326459:EQY326526 FAU326459:FAU326526 FKQ326459:FKQ326526 FUM326459:FUM326526 GEI326459:GEI326526 GOE326459:GOE326526 GYA326459:GYA326526 HHW326459:HHW326526 HRS326459:HRS326526 IBO326459:IBO326526 ILK326459:ILK326526 IVG326459:IVG326526 JFC326459:JFC326526 JOY326459:JOY326526 JYU326459:JYU326526 KIQ326459:KIQ326526 KSM326459:KSM326526 LCI326459:LCI326526 LME326459:LME326526 LWA326459:LWA326526 MFW326459:MFW326526 MPS326459:MPS326526 MZO326459:MZO326526 NJK326459:NJK326526 NTG326459:NTG326526 ODC326459:ODC326526 OMY326459:OMY326526 OWU326459:OWU326526 PGQ326459:PGQ326526 PQM326459:PQM326526 QAI326459:QAI326526 QKE326459:QKE326526 QUA326459:QUA326526 RDW326459:RDW326526 RNS326459:RNS326526 RXO326459:RXO326526 SHK326459:SHK326526 SRG326459:SRG326526 TBC326459:TBC326526 TKY326459:TKY326526 TUU326459:TUU326526 UEQ326459:UEQ326526 UOM326459:UOM326526 UYI326459:UYI326526 VIE326459:VIE326526 VSA326459:VSA326526 WBW326459:WBW326526 WLS326459:WLS326526 WVO326459:WVO326526 G391995:G392062 JC391995:JC392062 SY391995:SY392062 ACU391995:ACU392062 AMQ391995:AMQ392062 AWM391995:AWM392062 BGI391995:BGI392062 BQE391995:BQE392062 CAA391995:CAA392062 CJW391995:CJW392062 CTS391995:CTS392062 DDO391995:DDO392062 DNK391995:DNK392062 DXG391995:DXG392062 EHC391995:EHC392062 EQY391995:EQY392062 FAU391995:FAU392062 FKQ391995:FKQ392062 FUM391995:FUM392062 GEI391995:GEI392062 GOE391995:GOE392062 GYA391995:GYA392062 HHW391995:HHW392062 HRS391995:HRS392062 IBO391995:IBO392062 ILK391995:ILK392062 IVG391995:IVG392062 JFC391995:JFC392062 JOY391995:JOY392062 JYU391995:JYU392062 KIQ391995:KIQ392062 KSM391995:KSM392062 LCI391995:LCI392062 LME391995:LME392062 LWA391995:LWA392062 MFW391995:MFW392062 MPS391995:MPS392062 MZO391995:MZO392062 NJK391995:NJK392062 NTG391995:NTG392062 ODC391995:ODC392062 OMY391995:OMY392062 OWU391995:OWU392062 PGQ391995:PGQ392062 PQM391995:PQM392062 QAI391995:QAI392062 QKE391995:QKE392062 QUA391995:QUA392062 RDW391995:RDW392062 RNS391995:RNS392062 RXO391995:RXO392062 SHK391995:SHK392062 SRG391995:SRG392062 TBC391995:TBC392062 TKY391995:TKY392062 TUU391995:TUU392062 UEQ391995:UEQ392062 UOM391995:UOM392062 UYI391995:UYI392062 VIE391995:VIE392062 VSA391995:VSA392062 WBW391995:WBW392062 WLS391995:WLS392062 WVO391995:WVO392062 G457531:G457598 JC457531:JC457598 SY457531:SY457598 ACU457531:ACU457598 AMQ457531:AMQ457598 AWM457531:AWM457598 BGI457531:BGI457598 BQE457531:BQE457598 CAA457531:CAA457598 CJW457531:CJW457598 CTS457531:CTS457598 DDO457531:DDO457598 DNK457531:DNK457598 DXG457531:DXG457598 EHC457531:EHC457598 EQY457531:EQY457598 FAU457531:FAU457598 FKQ457531:FKQ457598 FUM457531:FUM457598 GEI457531:GEI457598 GOE457531:GOE457598 GYA457531:GYA457598 HHW457531:HHW457598 HRS457531:HRS457598 IBO457531:IBO457598 ILK457531:ILK457598 IVG457531:IVG457598 JFC457531:JFC457598 JOY457531:JOY457598 JYU457531:JYU457598 KIQ457531:KIQ457598 KSM457531:KSM457598 LCI457531:LCI457598 LME457531:LME457598 LWA457531:LWA457598 MFW457531:MFW457598 MPS457531:MPS457598 MZO457531:MZO457598 NJK457531:NJK457598 NTG457531:NTG457598 ODC457531:ODC457598 OMY457531:OMY457598 OWU457531:OWU457598 PGQ457531:PGQ457598 PQM457531:PQM457598 QAI457531:QAI457598 QKE457531:QKE457598 QUA457531:QUA457598 RDW457531:RDW457598 RNS457531:RNS457598 RXO457531:RXO457598 SHK457531:SHK457598 SRG457531:SRG457598 TBC457531:TBC457598 TKY457531:TKY457598 TUU457531:TUU457598 UEQ457531:UEQ457598 UOM457531:UOM457598 UYI457531:UYI457598 VIE457531:VIE457598 VSA457531:VSA457598 WBW457531:WBW457598 WLS457531:WLS457598 WVO457531:WVO457598 G523067:G523134 JC523067:JC523134 SY523067:SY523134 ACU523067:ACU523134 AMQ523067:AMQ523134 AWM523067:AWM523134 BGI523067:BGI523134 BQE523067:BQE523134 CAA523067:CAA523134 CJW523067:CJW523134 CTS523067:CTS523134 DDO523067:DDO523134 DNK523067:DNK523134 DXG523067:DXG523134 EHC523067:EHC523134 EQY523067:EQY523134 FAU523067:FAU523134 FKQ523067:FKQ523134 FUM523067:FUM523134 GEI523067:GEI523134 GOE523067:GOE523134 GYA523067:GYA523134 HHW523067:HHW523134 HRS523067:HRS523134 IBO523067:IBO523134 ILK523067:ILK523134 IVG523067:IVG523134 JFC523067:JFC523134 JOY523067:JOY523134 JYU523067:JYU523134 KIQ523067:KIQ523134 KSM523067:KSM523134 LCI523067:LCI523134 LME523067:LME523134 LWA523067:LWA523134 MFW523067:MFW523134 MPS523067:MPS523134 MZO523067:MZO523134 NJK523067:NJK523134 NTG523067:NTG523134 ODC523067:ODC523134 OMY523067:OMY523134 OWU523067:OWU523134 PGQ523067:PGQ523134 PQM523067:PQM523134 QAI523067:QAI523134 QKE523067:QKE523134 QUA523067:QUA523134 RDW523067:RDW523134 RNS523067:RNS523134 RXO523067:RXO523134 SHK523067:SHK523134 SRG523067:SRG523134 TBC523067:TBC523134 TKY523067:TKY523134 TUU523067:TUU523134 UEQ523067:UEQ523134 UOM523067:UOM523134 UYI523067:UYI523134 VIE523067:VIE523134 VSA523067:VSA523134 WBW523067:WBW523134 WLS523067:WLS523134 WVO523067:WVO523134 G588603:G588670 JC588603:JC588670 SY588603:SY588670 ACU588603:ACU588670 AMQ588603:AMQ588670 AWM588603:AWM588670 BGI588603:BGI588670 BQE588603:BQE588670 CAA588603:CAA588670 CJW588603:CJW588670 CTS588603:CTS588670 DDO588603:DDO588670 DNK588603:DNK588670 DXG588603:DXG588670 EHC588603:EHC588670 EQY588603:EQY588670 FAU588603:FAU588670 FKQ588603:FKQ588670 FUM588603:FUM588670 GEI588603:GEI588670 GOE588603:GOE588670 GYA588603:GYA588670 HHW588603:HHW588670 HRS588603:HRS588670 IBO588603:IBO588670 ILK588603:ILK588670 IVG588603:IVG588670 JFC588603:JFC588670 JOY588603:JOY588670 JYU588603:JYU588670 KIQ588603:KIQ588670 KSM588603:KSM588670 LCI588603:LCI588670 LME588603:LME588670 LWA588603:LWA588670 MFW588603:MFW588670 MPS588603:MPS588670 MZO588603:MZO588670 NJK588603:NJK588670 NTG588603:NTG588670 ODC588603:ODC588670 OMY588603:OMY588670 OWU588603:OWU588670 PGQ588603:PGQ588670 PQM588603:PQM588670 QAI588603:QAI588670 QKE588603:QKE588670 QUA588603:QUA588670 RDW588603:RDW588670 RNS588603:RNS588670 RXO588603:RXO588670 SHK588603:SHK588670 SRG588603:SRG588670 TBC588603:TBC588670 TKY588603:TKY588670 TUU588603:TUU588670 UEQ588603:UEQ588670 UOM588603:UOM588670 UYI588603:UYI588670 VIE588603:VIE588670 VSA588603:VSA588670 WBW588603:WBW588670 WLS588603:WLS588670 WVO588603:WVO588670 G654139:G654206 JC654139:JC654206 SY654139:SY654206 ACU654139:ACU654206 AMQ654139:AMQ654206 AWM654139:AWM654206 BGI654139:BGI654206 BQE654139:BQE654206 CAA654139:CAA654206 CJW654139:CJW654206 CTS654139:CTS654206 DDO654139:DDO654206 DNK654139:DNK654206 DXG654139:DXG654206 EHC654139:EHC654206 EQY654139:EQY654206 FAU654139:FAU654206 FKQ654139:FKQ654206 FUM654139:FUM654206 GEI654139:GEI654206 GOE654139:GOE654206 GYA654139:GYA654206 HHW654139:HHW654206 HRS654139:HRS654206 IBO654139:IBO654206 ILK654139:ILK654206 IVG654139:IVG654206 JFC654139:JFC654206 JOY654139:JOY654206 JYU654139:JYU654206 KIQ654139:KIQ654206 KSM654139:KSM654206 LCI654139:LCI654206 LME654139:LME654206 LWA654139:LWA654206 MFW654139:MFW654206 MPS654139:MPS654206 MZO654139:MZO654206 NJK654139:NJK654206 NTG654139:NTG654206 ODC654139:ODC654206 OMY654139:OMY654206 OWU654139:OWU654206 PGQ654139:PGQ654206 PQM654139:PQM654206 QAI654139:QAI654206 QKE654139:QKE654206 QUA654139:QUA654206 RDW654139:RDW654206 RNS654139:RNS654206 RXO654139:RXO654206 SHK654139:SHK654206 SRG654139:SRG654206 TBC654139:TBC654206 TKY654139:TKY654206 TUU654139:TUU654206 UEQ654139:UEQ654206 UOM654139:UOM654206 UYI654139:UYI654206 VIE654139:VIE654206 VSA654139:VSA654206 WBW654139:WBW654206 WLS654139:WLS654206 WVO654139:WVO654206 G719675:G719742 JC719675:JC719742 SY719675:SY719742 ACU719675:ACU719742 AMQ719675:AMQ719742 AWM719675:AWM719742 BGI719675:BGI719742 BQE719675:BQE719742 CAA719675:CAA719742 CJW719675:CJW719742 CTS719675:CTS719742 DDO719675:DDO719742 DNK719675:DNK719742 DXG719675:DXG719742 EHC719675:EHC719742 EQY719675:EQY719742 FAU719675:FAU719742 FKQ719675:FKQ719742 FUM719675:FUM719742 GEI719675:GEI719742 GOE719675:GOE719742 GYA719675:GYA719742 HHW719675:HHW719742 HRS719675:HRS719742 IBO719675:IBO719742 ILK719675:ILK719742 IVG719675:IVG719742 JFC719675:JFC719742 JOY719675:JOY719742 JYU719675:JYU719742 KIQ719675:KIQ719742 KSM719675:KSM719742 LCI719675:LCI719742 LME719675:LME719742 LWA719675:LWA719742 MFW719675:MFW719742 MPS719675:MPS719742 MZO719675:MZO719742 NJK719675:NJK719742 NTG719675:NTG719742 ODC719675:ODC719742 OMY719675:OMY719742 OWU719675:OWU719742 PGQ719675:PGQ719742 PQM719675:PQM719742 QAI719675:QAI719742 QKE719675:QKE719742 QUA719675:QUA719742 RDW719675:RDW719742 RNS719675:RNS719742 RXO719675:RXO719742 SHK719675:SHK719742 SRG719675:SRG719742 TBC719675:TBC719742 TKY719675:TKY719742 TUU719675:TUU719742 UEQ719675:UEQ719742 UOM719675:UOM719742 UYI719675:UYI719742 VIE719675:VIE719742 VSA719675:VSA719742 WBW719675:WBW719742 WLS719675:WLS719742 WVO719675:WVO719742 G785211:G785278 JC785211:JC785278 SY785211:SY785278 ACU785211:ACU785278 AMQ785211:AMQ785278 AWM785211:AWM785278 BGI785211:BGI785278 BQE785211:BQE785278 CAA785211:CAA785278 CJW785211:CJW785278 CTS785211:CTS785278 DDO785211:DDO785278 DNK785211:DNK785278 DXG785211:DXG785278 EHC785211:EHC785278 EQY785211:EQY785278 FAU785211:FAU785278 FKQ785211:FKQ785278 FUM785211:FUM785278 GEI785211:GEI785278 GOE785211:GOE785278 GYA785211:GYA785278 HHW785211:HHW785278 HRS785211:HRS785278 IBO785211:IBO785278 ILK785211:ILK785278 IVG785211:IVG785278 JFC785211:JFC785278 JOY785211:JOY785278 JYU785211:JYU785278 KIQ785211:KIQ785278 KSM785211:KSM785278 LCI785211:LCI785278 LME785211:LME785278 LWA785211:LWA785278 MFW785211:MFW785278 MPS785211:MPS785278 MZO785211:MZO785278 NJK785211:NJK785278 NTG785211:NTG785278 ODC785211:ODC785278 OMY785211:OMY785278 OWU785211:OWU785278 PGQ785211:PGQ785278 PQM785211:PQM785278 QAI785211:QAI785278 QKE785211:QKE785278 QUA785211:QUA785278 RDW785211:RDW785278 RNS785211:RNS785278 RXO785211:RXO785278 SHK785211:SHK785278 SRG785211:SRG785278 TBC785211:TBC785278 TKY785211:TKY785278 TUU785211:TUU785278 UEQ785211:UEQ785278 UOM785211:UOM785278 UYI785211:UYI785278 VIE785211:VIE785278 VSA785211:VSA785278 WBW785211:WBW785278 WLS785211:WLS785278 WVO785211:WVO785278 G850747:G850814 JC850747:JC850814 SY850747:SY850814 ACU850747:ACU850814 AMQ850747:AMQ850814 AWM850747:AWM850814 BGI850747:BGI850814 BQE850747:BQE850814 CAA850747:CAA850814 CJW850747:CJW850814 CTS850747:CTS850814 DDO850747:DDO850814 DNK850747:DNK850814 DXG850747:DXG850814 EHC850747:EHC850814 EQY850747:EQY850814 FAU850747:FAU850814 FKQ850747:FKQ850814 FUM850747:FUM850814 GEI850747:GEI850814 GOE850747:GOE850814 GYA850747:GYA850814 HHW850747:HHW850814 HRS850747:HRS850814 IBO850747:IBO850814 ILK850747:ILK850814 IVG850747:IVG850814 JFC850747:JFC850814 JOY850747:JOY850814 JYU850747:JYU850814 KIQ850747:KIQ850814 KSM850747:KSM850814 LCI850747:LCI850814 LME850747:LME850814 LWA850747:LWA850814 MFW850747:MFW850814 MPS850747:MPS850814 MZO850747:MZO850814 NJK850747:NJK850814 NTG850747:NTG850814 ODC850747:ODC850814 OMY850747:OMY850814 OWU850747:OWU850814 PGQ850747:PGQ850814 PQM850747:PQM850814 QAI850747:QAI850814 QKE850747:QKE850814 QUA850747:QUA850814 RDW850747:RDW850814 RNS850747:RNS850814 RXO850747:RXO850814 SHK850747:SHK850814 SRG850747:SRG850814 TBC850747:TBC850814 TKY850747:TKY850814 TUU850747:TUU850814 UEQ850747:UEQ850814 UOM850747:UOM850814 UYI850747:UYI850814 VIE850747:VIE850814 VSA850747:VSA850814 WBW850747:WBW850814 WLS850747:WLS850814 WVO850747:WVO850814 G916283:G916350 JC916283:JC916350 SY916283:SY916350 ACU916283:ACU916350 AMQ916283:AMQ916350 AWM916283:AWM916350 BGI916283:BGI916350 BQE916283:BQE916350 CAA916283:CAA916350 CJW916283:CJW916350 CTS916283:CTS916350 DDO916283:DDO916350 DNK916283:DNK916350 DXG916283:DXG916350 EHC916283:EHC916350 EQY916283:EQY916350 FAU916283:FAU916350 FKQ916283:FKQ916350 FUM916283:FUM916350 GEI916283:GEI916350 GOE916283:GOE916350 GYA916283:GYA916350 HHW916283:HHW916350 HRS916283:HRS916350 IBO916283:IBO916350 ILK916283:ILK916350 IVG916283:IVG916350 JFC916283:JFC916350 JOY916283:JOY916350 JYU916283:JYU916350 KIQ916283:KIQ916350 KSM916283:KSM916350 LCI916283:LCI916350 LME916283:LME916350 LWA916283:LWA916350 MFW916283:MFW916350 MPS916283:MPS916350 MZO916283:MZO916350 NJK916283:NJK916350 NTG916283:NTG916350 ODC916283:ODC916350 OMY916283:OMY916350 OWU916283:OWU916350 PGQ916283:PGQ916350 PQM916283:PQM916350 QAI916283:QAI916350 QKE916283:QKE916350 QUA916283:QUA916350 RDW916283:RDW916350 RNS916283:RNS916350 RXO916283:RXO916350 SHK916283:SHK916350 SRG916283:SRG916350 TBC916283:TBC916350 TKY916283:TKY916350 TUU916283:TUU916350 UEQ916283:UEQ916350 UOM916283:UOM916350 UYI916283:UYI916350 VIE916283:VIE916350 VSA916283:VSA916350 WBW916283:WBW916350 WLS916283:WLS916350 WVO916283:WVO916350 G981819:G981886 JC981819:JC981886 SY981819:SY981886 ACU981819:ACU981886 AMQ981819:AMQ981886 AWM981819:AWM981886 BGI981819:BGI981886 BQE981819:BQE981886 CAA981819:CAA981886 CJW981819:CJW981886 CTS981819:CTS981886 DDO981819:DDO981886 DNK981819:DNK981886 DXG981819:DXG981886 EHC981819:EHC981886 EQY981819:EQY981886 FAU981819:FAU981886 FKQ981819:FKQ981886 FUM981819:FUM981886 GEI981819:GEI981886 GOE981819:GOE981886 GYA981819:GYA981886 HHW981819:HHW981886 HRS981819:HRS981886 IBO981819:IBO981886 ILK981819:ILK981886 IVG981819:IVG981886 JFC981819:JFC981886 JOY981819:JOY981886 JYU981819:JYU981886 KIQ981819:KIQ981886 KSM981819:KSM981886 LCI981819:LCI981886 LME981819:LME981886 LWA981819:LWA981886 MFW981819:MFW981886 MPS981819:MPS981886 MZO981819:MZO981886 NJK981819:NJK981886 NTG981819:NTG981886 ODC981819:ODC981886 OMY981819:OMY981886 OWU981819:OWU981886 PGQ981819:PGQ981886 PQM981819:PQM981886 QAI981819:QAI981886 QKE981819:QKE981886 QUA981819:QUA981886 RDW981819:RDW981886 RNS981819:RNS981886 RXO981819:RXO981886 SHK981819:SHK981886 SRG981819:SRG981886 TBC981819:TBC981886 TKY981819:TKY981886 TUU981819:TUU981886 UEQ981819:UEQ981886 UOM981819:UOM981886 UYI981819:UYI981886 VIE981819:VIE981886 VSA981819:VSA981886 WBW981819:WBW981886 WLS981819:WLS981886 WVO981819:WVO981886 G1047355:G1047422 JC1047355:JC1047422 SY1047355:SY1047422 ACU1047355:ACU1047422 AMQ1047355:AMQ1047422 AWM1047355:AWM1047422 BGI1047355:BGI1047422 BQE1047355:BQE1047422 CAA1047355:CAA1047422 CJW1047355:CJW1047422 CTS1047355:CTS1047422 DDO1047355:DDO1047422 DNK1047355:DNK1047422 DXG1047355:DXG1047422 EHC1047355:EHC1047422 EQY1047355:EQY1047422 FAU1047355:FAU1047422 FKQ1047355:FKQ1047422 FUM1047355:FUM1047422 GEI1047355:GEI1047422 GOE1047355:GOE1047422 GYA1047355:GYA1047422 HHW1047355:HHW1047422 HRS1047355:HRS1047422 IBO1047355:IBO1047422 ILK1047355:ILK1047422 IVG1047355:IVG1047422 JFC1047355:JFC1047422 JOY1047355:JOY1047422 JYU1047355:JYU1047422 KIQ1047355:KIQ1047422 KSM1047355:KSM1047422 LCI1047355:LCI1047422 LME1047355:LME1047422 LWA1047355:LWA1047422 MFW1047355:MFW1047422 MPS1047355:MPS1047422 MZO1047355:MZO1047422 NJK1047355:NJK1047422 NTG1047355:NTG1047422 ODC1047355:ODC1047422 OMY1047355:OMY1047422 OWU1047355:OWU1047422 PGQ1047355:PGQ1047422 PQM1047355:PQM1047422 QAI1047355:QAI1047422 QKE1047355:QKE1047422 QUA1047355:QUA1047422 RDW1047355:RDW1047422 RNS1047355:RNS1047422 RXO1047355:RXO1047422 SHK1047355:SHK1047422 SRG1047355:SRG1047422 TBC1047355:TBC1047422 TKY1047355:TKY1047422 TUU1047355:TUU1047422 UEQ1047355:UEQ1047422 UOM1047355:UOM1047422 UYI1047355:UYI1047422 VIE1047355:VIE1047422 VSA1047355:VSA1047422 WBW1047355:WBW1047422 WLS1047355:WLS1047422 WVO1047355:WVO1047422 WVO982994:WVO983065 G65490:G65561 JC65490:JC65561 SY65490:SY65561 ACU65490:ACU65561 AMQ65490:AMQ65561 AWM65490:AWM65561 BGI65490:BGI65561 BQE65490:BQE65561 CAA65490:CAA65561 CJW65490:CJW65561 CTS65490:CTS65561 DDO65490:DDO65561 DNK65490:DNK65561 DXG65490:DXG65561 EHC65490:EHC65561 EQY65490:EQY65561 FAU65490:FAU65561 FKQ65490:FKQ65561 FUM65490:FUM65561 GEI65490:GEI65561 GOE65490:GOE65561 GYA65490:GYA65561 HHW65490:HHW65561 HRS65490:HRS65561 IBO65490:IBO65561 ILK65490:ILK65561 IVG65490:IVG65561 JFC65490:JFC65561 JOY65490:JOY65561 JYU65490:JYU65561 KIQ65490:KIQ65561 KSM65490:KSM65561 LCI65490:LCI65561 LME65490:LME65561 LWA65490:LWA65561 MFW65490:MFW65561 MPS65490:MPS65561 MZO65490:MZO65561 NJK65490:NJK65561 NTG65490:NTG65561 ODC65490:ODC65561 OMY65490:OMY65561 OWU65490:OWU65561 PGQ65490:PGQ65561 PQM65490:PQM65561 QAI65490:QAI65561 QKE65490:QKE65561 QUA65490:QUA65561 RDW65490:RDW65561 RNS65490:RNS65561 RXO65490:RXO65561 SHK65490:SHK65561 SRG65490:SRG65561 TBC65490:TBC65561 TKY65490:TKY65561 TUU65490:TUU65561 UEQ65490:UEQ65561 UOM65490:UOM65561 UYI65490:UYI65561 VIE65490:VIE65561 VSA65490:VSA65561 WBW65490:WBW65561 WLS65490:WLS65561 WVO65490:WVO65561 G131026:G131097 JC131026:JC131097 SY131026:SY131097 ACU131026:ACU131097 AMQ131026:AMQ131097 AWM131026:AWM131097 BGI131026:BGI131097 BQE131026:BQE131097 CAA131026:CAA131097 CJW131026:CJW131097 CTS131026:CTS131097 DDO131026:DDO131097 DNK131026:DNK131097 DXG131026:DXG131097 EHC131026:EHC131097 EQY131026:EQY131097 FAU131026:FAU131097 FKQ131026:FKQ131097 FUM131026:FUM131097 GEI131026:GEI131097 GOE131026:GOE131097 GYA131026:GYA131097 HHW131026:HHW131097 HRS131026:HRS131097 IBO131026:IBO131097 ILK131026:ILK131097 IVG131026:IVG131097 JFC131026:JFC131097 JOY131026:JOY131097 JYU131026:JYU131097 KIQ131026:KIQ131097 KSM131026:KSM131097 LCI131026:LCI131097 LME131026:LME131097 LWA131026:LWA131097 MFW131026:MFW131097 MPS131026:MPS131097 MZO131026:MZO131097 NJK131026:NJK131097 NTG131026:NTG131097 ODC131026:ODC131097 OMY131026:OMY131097 OWU131026:OWU131097 PGQ131026:PGQ131097 PQM131026:PQM131097 QAI131026:QAI131097 QKE131026:QKE131097 QUA131026:QUA131097 RDW131026:RDW131097 RNS131026:RNS131097 RXO131026:RXO131097 SHK131026:SHK131097 SRG131026:SRG131097 TBC131026:TBC131097 TKY131026:TKY131097 TUU131026:TUU131097 UEQ131026:UEQ131097 UOM131026:UOM131097 UYI131026:UYI131097 VIE131026:VIE131097 VSA131026:VSA131097 WBW131026:WBW131097 WLS131026:WLS131097 WVO131026:WVO131097 G196562:G196633 JC196562:JC196633 SY196562:SY196633 ACU196562:ACU196633 AMQ196562:AMQ196633 AWM196562:AWM196633 BGI196562:BGI196633 BQE196562:BQE196633 CAA196562:CAA196633 CJW196562:CJW196633 CTS196562:CTS196633 DDO196562:DDO196633 DNK196562:DNK196633 DXG196562:DXG196633 EHC196562:EHC196633 EQY196562:EQY196633 FAU196562:FAU196633 FKQ196562:FKQ196633 FUM196562:FUM196633 GEI196562:GEI196633 GOE196562:GOE196633 GYA196562:GYA196633 HHW196562:HHW196633 HRS196562:HRS196633 IBO196562:IBO196633 ILK196562:ILK196633 IVG196562:IVG196633 JFC196562:JFC196633 JOY196562:JOY196633 JYU196562:JYU196633 KIQ196562:KIQ196633 KSM196562:KSM196633 LCI196562:LCI196633 LME196562:LME196633 LWA196562:LWA196633 MFW196562:MFW196633 MPS196562:MPS196633 MZO196562:MZO196633 NJK196562:NJK196633 NTG196562:NTG196633 ODC196562:ODC196633 OMY196562:OMY196633 OWU196562:OWU196633 PGQ196562:PGQ196633 PQM196562:PQM196633 QAI196562:QAI196633 QKE196562:QKE196633 QUA196562:QUA196633 RDW196562:RDW196633 RNS196562:RNS196633 RXO196562:RXO196633 SHK196562:SHK196633 SRG196562:SRG196633 TBC196562:TBC196633 TKY196562:TKY196633 TUU196562:TUU196633 UEQ196562:UEQ196633 UOM196562:UOM196633 UYI196562:UYI196633 VIE196562:VIE196633 VSA196562:VSA196633 WBW196562:WBW196633 WLS196562:WLS196633 WVO196562:WVO196633 G262098:G262169 JC262098:JC262169 SY262098:SY262169 ACU262098:ACU262169 AMQ262098:AMQ262169 AWM262098:AWM262169 BGI262098:BGI262169 BQE262098:BQE262169 CAA262098:CAA262169 CJW262098:CJW262169 CTS262098:CTS262169 DDO262098:DDO262169 DNK262098:DNK262169 DXG262098:DXG262169 EHC262098:EHC262169 EQY262098:EQY262169 FAU262098:FAU262169 FKQ262098:FKQ262169 FUM262098:FUM262169 GEI262098:GEI262169 GOE262098:GOE262169 GYA262098:GYA262169 HHW262098:HHW262169 HRS262098:HRS262169 IBO262098:IBO262169 ILK262098:ILK262169 IVG262098:IVG262169 JFC262098:JFC262169 JOY262098:JOY262169 JYU262098:JYU262169 KIQ262098:KIQ262169 KSM262098:KSM262169 LCI262098:LCI262169 LME262098:LME262169 LWA262098:LWA262169 MFW262098:MFW262169 MPS262098:MPS262169 MZO262098:MZO262169 NJK262098:NJK262169 NTG262098:NTG262169 ODC262098:ODC262169 OMY262098:OMY262169 OWU262098:OWU262169 PGQ262098:PGQ262169 PQM262098:PQM262169 QAI262098:QAI262169 QKE262098:QKE262169 QUA262098:QUA262169 RDW262098:RDW262169 RNS262098:RNS262169 RXO262098:RXO262169 SHK262098:SHK262169 SRG262098:SRG262169 TBC262098:TBC262169 TKY262098:TKY262169 TUU262098:TUU262169 UEQ262098:UEQ262169 UOM262098:UOM262169 UYI262098:UYI262169 VIE262098:VIE262169 VSA262098:VSA262169 WBW262098:WBW262169 WLS262098:WLS262169 WVO262098:WVO262169 G327634:G327705 JC327634:JC327705 SY327634:SY327705 ACU327634:ACU327705 AMQ327634:AMQ327705 AWM327634:AWM327705 BGI327634:BGI327705 BQE327634:BQE327705 CAA327634:CAA327705 CJW327634:CJW327705 CTS327634:CTS327705 DDO327634:DDO327705 DNK327634:DNK327705 DXG327634:DXG327705 EHC327634:EHC327705 EQY327634:EQY327705 FAU327634:FAU327705 FKQ327634:FKQ327705 FUM327634:FUM327705 GEI327634:GEI327705 GOE327634:GOE327705 GYA327634:GYA327705 HHW327634:HHW327705 HRS327634:HRS327705 IBO327634:IBO327705 ILK327634:ILK327705 IVG327634:IVG327705 JFC327634:JFC327705 JOY327634:JOY327705 JYU327634:JYU327705 KIQ327634:KIQ327705 KSM327634:KSM327705 LCI327634:LCI327705 LME327634:LME327705 LWA327634:LWA327705 MFW327634:MFW327705 MPS327634:MPS327705 MZO327634:MZO327705 NJK327634:NJK327705 NTG327634:NTG327705 ODC327634:ODC327705 OMY327634:OMY327705 OWU327634:OWU327705 PGQ327634:PGQ327705 PQM327634:PQM327705 QAI327634:QAI327705 QKE327634:QKE327705 QUA327634:QUA327705 RDW327634:RDW327705 RNS327634:RNS327705 RXO327634:RXO327705 SHK327634:SHK327705 SRG327634:SRG327705 TBC327634:TBC327705 TKY327634:TKY327705 TUU327634:TUU327705 UEQ327634:UEQ327705 UOM327634:UOM327705 UYI327634:UYI327705 VIE327634:VIE327705 VSA327634:VSA327705 WBW327634:WBW327705 WLS327634:WLS327705 WVO327634:WVO327705 G393170:G393241 JC393170:JC393241 SY393170:SY393241 ACU393170:ACU393241 AMQ393170:AMQ393241 AWM393170:AWM393241 BGI393170:BGI393241 BQE393170:BQE393241 CAA393170:CAA393241 CJW393170:CJW393241 CTS393170:CTS393241 DDO393170:DDO393241 DNK393170:DNK393241 DXG393170:DXG393241 EHC393170:EHC393241 EQY393170:EQY393241 FAU393170:FAU393241 FKQ393170:FKQ393241 FUM393170:FUM393241 GEI393170:GEI393241 GOE393170:GOE393241 GYA393170:GYA393241 HHW393170:HHW393241 HRS393170:HRS393241 IBO393170:IBO393241 ILK393170:ILK393241 IVG393170:IVG393241 JFC393170:JFC393241 JOY393170:JOY393241 JYU393170:JYU393241 KIQ393170:KIQ393241 KSM393170:KSM393241 LCI393170:LCI393241 LME393170:LME393241 LWA393170:LWA393241 MFW393170:MFW393241 MPS393170:MPS393241 MZO393170:MZO393241 NJK393170:NJK393241 NTG393170:NTG393241 ODC393170:ODC393241 OMY393170:OMY393241 OWU393170:OWU393241 PGQ393170:PGQ393241 PQM393170:PQM393241 QAI393170:QAI393241 QKE393170:QKE393241 QUA393170:QUA393241 RDW393170:RDW393241 RNS393170:RNS393241 RXO393170:RXO393241 SHK393170:SHK393241 SRG393170:SRG393241 TBC393170:TBC393241 TKY393170:TKY393241 TUU393170:TUU393241 UEQ393170:UEQ393241 UOM393170:UOM393241 UYI393170:UYI393241 VIE393170:VIE393241 VSA393170:VSA393241 WBW393170:WBW393241 WLS393170:WLS393241 WVO393170:WVO393241 G458706:G458777 JC458706:JC458777 SY458706:SY458777 ACU458706:ACU458777 AMQ458706:AMQ458777 AWM458706:AWM458777 BGI458706:BGI458777 BQE458706:BQE458777 CAA458706:CAA458777 CJW458706:CJW458777 CTS458706:CTS458777 DDO458706:DDO458777 DNK458706:DNK458777 DXG458706:DXG458777 EHC458706:EHC458777 EQY458706:EQY458777 FAU458706:FAU458777 FKQ458706:FKQ458777 FUM458706:FUM458777 GEI458706:GEI458777 GOE458706:GOE458777 GYA458706:GYA458777 HHW458706:HHW458777 HRS458706:HRS458777 IBO458706:IBO458777 ILK458706:ILK458777 IVG458706:IVG458777 JFC458706:JFC458777 JOY458706:JOY458777 JYU458706:JYU458777 KIQ458706:KIQ458777 KSM458706:KSM458777 LCI458706:LCI458777 LME458706:LME458777 LWA458706:LWA458777 MFW458706:MFW458777 MPS458706:MPS458777 MZO458706:MZO458777 NJK458706:NJK458777 NTG458706:NTG458777 ODC458706:ODC458777 OMY458706:OMY458777 OWU458706:OWU458777 PGQ458706:PGQ458777 PQM458706:PQM458777 QAI458706:QAI458777 QKE458706:QKE458777 QUA458706:QUA458777 RDW458706:RDW458777 RNS458706:RNS458777 RXO458706:RXO458777 SHK458706:SHK458777 SRG458706:SRG458777 TBC458706:TBC458777 TKY458706:TKY458777 TUU458706:TUU458777 UEQ458706:UEQ458777 UOM458706:UOM458777 UYI458706:UYI458777 VIE458706:VIE458777 VSA458706:VSA458777 WBW458706:WBW458777 WLS458706:WLS458777 WVO458706:WVO458777 G524242:G524313 JC524242:JC524313 SY524242:SY524313 ACU524242:ACU524313 AMQ524242:AMQ524313 AWM524242:AWM524313 BGI524242:BGI524313 BQE524242:BQE524313 CAA524242:CAA524313 CJW524242:CJW524313 CTS524242:CTS524313 DDO524242:DDO524313 DNK524242:DNK524313 DXG524242:DXG524313 EHC524242:EHC524313 EQY524242:EQY524313 FAU524242:FAU524313 FKQ524242:FKQ524313 FUM524242:FUM524313 GEI524242:GEI524313 GOE524242:GOE524313 GYA524242:GYA524313 HHW524242:HHW524313 HRS524242:HRS524313 IBO524242:IBO524313 ILK524242:ILK524313 IVG524242:IVG524313 JFC524242:JFC524313 JOY524242:JOY524313 JYU524242:JYU524313 KIQ524242:KIQ524313 KSM524242:KSM524313 LCI524242:LCI524313 LME524242:LME524313 LWA524242:LWA524313 MFW524242:MFW524313 MPS524242:MPS524313 MZO524242:MZO524313 NJK524242:NJK524313 NTG524242:NTG524313 ODC524242:ODC524313 OMY524242:OMY524313 OWU524242:OWU524313 PGQ524242:PGQ524313 PQM524242:PQM524313 QAI524242:QAI524313 QKE524242:QKE524313 QUA524242:QUA524313 RDW524242:RDW524313 RNS524242:RNS524313 RXO524242:RXO524313 SHK524242:SHK524313 SRG524242:SRG524313 TBC524242:TBC524313 TKY524242:TKY524313 TUU524242:TUU524313 UEQ524242:UEQ524313 UOM524242:UOM524313 UYI524242:UYI524313 VIE524242:VIE524313 VSA524242:VSA524313 WBW524242:WBW524313 WLS524242:WLS524313 WVO524242:WVO524313 G589778:G589849 JC589778:JC589849 SY589778:SY589849 ACU589778:ACU589849 AMQ589778:AMQ589849 AWM589778:AWM589849 BGI589778:BGI589849 BQE589778:BQE589849 CAA589778:CAA589849 CJW589778:CJW589849 CTS589778:CTS589849 DDO589778:DDO589849 DNK589778:DNK589849 DXG589778:DXG589849 EHC589778:EHC589849 EQY589778:EQY589849 FAU589778:FAU589849 FKQ589778:FKQ589849 FUM589778:FUM589849 GEI589778:GEI589849 GOE589778:GOE589849 GYA589778:GYA589849 HHW589778:HHW589849 HRS589778:HRS589849 IBO589778:IBO589849 ILK589778:ILK589849 IVG589778:IVG589849 JFC589778:JFC589849 JOY589778:JOY589849 JYU589778:JYU589849 KIQ589778:KIQ589849 KSM589778:KSM589849 LCI589778:LCI589849 LME589778:LME589849 LWA589778:LWA589849 MFW589778:MFW589849 MPS589778:MPS589849 MZO589778:MZO589849 NJK589778:NJK589849 NTG589778:NTG589849 ODC589778:ODC589849 OMY589778:OMY589849 OWU589778:OWU589849 PGQ589778:PGQ589849 PQM589778:PQM589849 QAI589778:QAI589849 QKE589778:QKE589849 QUA589778:QUA589849 RDW589778:RDW589849 RNS589778:RNS589849 RXO589778:RXO589849 SHK589778:SHK589849 SRG589778:SRG589849 TBC589778:TBC589849 TKY589778:TKY589849 TUU589778:TUU589849 UEQ589778:UEQ589849 UOM589778:UOM589849 UYI589778:UYI589849 VIE589778:VIE589849 VSA589778:VSA589849 WBW589778:WBW589849 WLS589778:WLS589849 WVO589778:WVO589849 G655314:G655385 JC655314:JC655385 SY655314:SY655385 ACU655314:ACU655385 AMQ655314:AMQ655385 AWM655314:AWM655385 BGI655314:BGI655385 BQE655314:BQE655385 CAA655314:CAA655385 CJW655314:CJW655385 CTS655314:CTS655385 DDO655314:DDO655385 DNK655314:DNK655385 DXG655314:DXG655385 EHC655314:EHC655385 EQY655314:EQY655385 FAU655314:FAU655385 FKQ655314:FKQ655385 FUM655314:FUM655385 GEI655314:GEI655385 GOE655314:GOE655385 GYA655314:GYA655385 HHW655314:HHW655385 HRS655314:HRS655385 IBO655314:IBO655385 ILK655314:ILK655385 IVG655314:IVG655385 JFC655314:JFC655385 JOY655314:JOY655385 JYU655314:JYU655385 KIQ655314:KIQ655385 KSM655314:KSM655385 LCI655314:LCI655385 LME655314:LME655385 LWA655314:LWA655385 MFW655314:MFW655385 MPS655314:MPS655385 MZO655314:MZO655385 NJK655314:NJK655385 NTG655314:NTG655385 ODC655314:ODC655385 OMY655314:OMY655385 OWU655314:OWU655385 PGQ655314:PGQ655385 PQM655314:PQM655385 QAI655314:QAI655385 QKE655314:QKE655385 QUA655314:QUA655385 RDW655314:RDW655385 RNS655314:RNS655385 RXO655314:RXO655385 SHK655314:SHK655385 SRG655314:SRG655385 TBC655314:TBC655385 TKY655314:TKY655385 TUU655314:TUU655385 UEQ655314:UEQ655385 UOM655314:UOM655385 UYI655314:UYI655385 VIE655314:VIE655385 VSA655314:VSA655385 WBW655314:WBW655385 WLS655314:WLS655385 WVO655314:WVO655385 G720850:G720921 JC720850:JC720921 SY720850:SY720921 ACU720850:ACU720921 AMQ720850:AMQ720921 AWM720850:AWM720921 BGI720850:BGI720921 BQE720850:BQE720921 CAA720850:CAA720921 CJW720850:CJW720921 CTS720850:CTS720921 DDO720850:DDO720921 DNK720850:DNK720921 DXG720850:DXG720921 EHC720850:EHC720921 EQY720850:EQY720921 FAU720850:FAU720921 FKQ720850:FKQ720921 FUM720850:FUM720921 GEI720850:GEI720921 GOE720850:GOE720921 GYA720850:GYA720921 HHW720850:HHW720921 HRS720850:HRS720921 IBO720850:IBO720921 ILK720850:ILK720921 IVG720850:IVG720921 JFC720850:JFC720921 JOY720850:JOY720921 JYU720850:JYU720921 KIQ720850:KIQ720921 KSM720850:KSM720921 LCI720850:LCI720921 LME720850:LME720921 LWA720850:LWA720921 MFW720850:MFW720921 MPS720850:MPS720921 MZO720850:MZO720921 NJK720850:NJK720921 NTG720850:NTG720921 ODC720850:ODC720921 OMY720850:OMY720921 OWU720850:OWU720921 PGQ720850:PGQ720921 PQM720850:PQM720921 QAI720850:QAI720921 QKE720850:QKE720921 QUA720850:QUA720921 RDW720850:RDW720921 RNS720850:RNS720921 RXO720850:RXO720921 SHK720850:SHK720921 SRG720850:SRG720921 TBC720850:TBC720921 TKY720850:TKY720921 TUU720850:TUU720921 UEQ720850:UEQ720921 UOM720850:UOM720921 UYI720850:UYI720921 VIE720850:VIE720921 VSA720850:VSA720921 WBW720850:WBW720921 WLS720850:WLS720921 WVO720850:WVO720921 G786386:G786457 JC786386:JC786457 SY786386:SY786457 ACU786386:ACU786457 AMQ786386:AMQ786457 AWM786386:AWM786457 BGI786386:BGI786457 BQE786386:BQE786457 CAA786386:CAA786457 CJW786386:CJW786457 CTS786386:CTS786457 DDO786386:DDO786457 DNK786386:DNK786457 DXG786386:DXG786457 EHC786386:EHC786457 EQY786386:EQY786457 FAU786386:FAU786457 FKQ786386:FKQ786457 FUM786386:FUM786457 GEI786386:GEI786457 GOE786386:GOE786457 GYA786386:GYA786457 HHW786386:HHW786457 HRS786386:HRS786457 IBO786386:IBO786457 ILK786386:ILK786457 IVG786386:IVG786457 JFC786386:JFC786457 JOY786386:JOY786457 JYU786386:JYU786457 KIQ786386:KIQ786457 KSM786386:KSM786457 LCI786386:LCI786457 LME786386:LME786457 LWA786386:LWA786457 MFW786386:MFW786457 MPS786386:MPS786457 MZO786386:MZO786457 NJK786386:NJK786457 NTG786386:NTG786457 ODC786386:ODC786457 OMY786386:OMY786457 OWU786386:OWU786457 PGQ786386:PGQ786457 PQM786386:PQM786457 QAI786386:QAI786457 QKE786386:QKE786457 QUA786386:QUA786457 RDW786386:RDW786457 RNS786386:RNS786457 RXO786386:RXO786457 SHK786386:SHK786457 SRG786386:SRG786457 TBC786386:TBC786457 TKY786386:TKY786457 TUU786386:TUU786457 UEQ786386:UEQ786457 UOM786386:UOM786457 UYI786386:UYI786457 VIE786386:VIE786457 VSA786386:VSA786457 WBW786386:WBW786457 WLS786386:WLS786457 WVO786386:WVO786457 G851922:G851993 JC851922:JC851993 SY851922:SY851993 ACU851922:ACU851993 AMQ851922:AMQ851993 AWM851922:AWM851993 BGI851922:BGI851993 BQE851922:BQE851993 CAA851922:CAA851993 CJW851922:CJW851993 CTS851922:CTS851993 DDO851922:DDO851993 DNK851922:DNK851993 DXG851922:DXG851993 EHC851922:EHC851993 EQY851922:EQY851993 FAU851922:FAU851993 FKQ851922:FKQ851993 FUM851922:FUM851993 GEI851922:GEI851993 GOE851922:GOE851993 GYA851922:GYA851993 HHW851922:HHW851993 HRS851922:HRS851993 IBO851922:IBO851993 ILK851922:ILK851993 IVG851922:IVG851993 JFC851922:JFC851993 JOY851922:JOY851993 JYU851922:JYU851993 KIQ851922:KIQ851993 KSM851922:KSM851993 LCI851922:LCI851993 LME851922:LME851993 LWA851922:LWA851993 MFW851922:MFW851993 MPS851922:MPS851993 MZO851922:MZO851993 NJK851922:NJK851993 NTG851922:NTG851993 ODC851922:ODC851993 OMY851922:OMY851993 OWU851922:OWU851993 PGQ851922:PGQ851993 PQM851922:PQM851993 QAI851922:QAI851993 QKE851922:QKE851993 QUA851922:QUA851993 RDW851922:RDW851993 RNS851922:RNS851993 RXO851922:RXO851993 SHK851922:SHK851993 SRG851922:SRG851993 TBC851922:TBC851993 TKY851922:TKY851993 TUU851922:TUU851993 UEQ851922:UEQ851993 UOM851922:UOM851993 UYI851922:UYI851993 VIE851922:VIE851993 VSA851922:VSA851993 WBW851922:WBW851993 WLS851922:WLS851993 WVO851922:WVO851993 G917458:G917529 JC917458:JC917529 SY917458:SY917529 ACU917458:ACU917529 AMQ917458:AMQ917529 AWM917458:AWM917529 BGI917458:BGI917529 BQE917458:BQE917529 CAA917458:CAA917529 CJW917458:CJW917529 CTS917458:CTS917529 DDO917458:DDO917529 DNK917458:DNK917529 DXG917458:DXG917529 EHC917458:EHC917529 EQY917458:EQY917529 FAU917458:FAU917529 FKQ917458:FKQ917529 FUM917458:FUM917529 GEI917458:GEI917529 GOE917458:GOE917529 GYA917458:GYA917529 HHW917458:HHW917529 HRS917458:HRS917529 IBO917458:IBO917529 ILK917458:ILK917529 IVG917458:IVG917529 JFC917458:JFC917529 JOY917458:JOY917529 JYU917458:JYU917529 KIQ917458:KIQ917529 KSM917458:KSM917529 LCI917458:LCI917529 LME917458:LME917529 LWA917458:LWA917529 MFW917458:MFW917529 MPS917458:MPS917529 MZO917458:MZO917529 NJK917458:NJK917529 NTG917458:NTG917529 ODC917458:ODC917529 OMY917458:OMY917529 OWU917458:OWU917529 PGQ917458:PGQ917529 PQM917458:PQM917529 QAI917458:QAI917529 QKE917458:QKE917529 QUA917458:QUA917529 RDW917458:RDW917529 RNS917458:RNS917529 RXO917458:RXO917529 SHK917458:SHK917529 SRG917458:SRG917529 TBC917458:TBC917529 TKY917458:TKY917529 TUU917458:TUU917529 UEQ917458:UEQ917529 UOM917458:UOM917529 UYI917458:UYI917529 VIE917458:VIE917529 VSA917458:VSA917529 WBW917458:WBW917529 WLS917458:WLS917529 WVO917458:WVO917529 G982994:G983065 JC982994:JC983065 SY982994:SY983065 ACU982994:ACU983065 AMQ982994:AMQ983065 AWM982994:AWM983065 BGI982994:BGI983065 BQE982994:BQE983065 CAA982994:CAA983065 CJW982994:CJW983065 CTS982994:CTS983065 DDO982994:DDO983065 DNK982994:DNK983065 DXG982994:DXG983065 EHC982994:EHC983065 EQY982994:EQY983065 FAU982994:FAU983065 FKQ982994:FKQ983065 FUM982994:FUM983065 GEI982994:GEI983065 GOE982994:GOE983065 GYA982994:GYA983065 HHW982994:HHW983065 HRS982994:HRS983065 IBO982994:IBO983065 ILK982994:ILK983065 IVG982994:IVG983065 JFC982994:JFC983065 JOY982994:JOY983065 JYU982994:JYU983065 KIQ982994:KIQ983065 KSM982994:KSM983065 LCI982994:LCI983065 LME982994:LME983065 LWA982994:LWA983065 MFW982994:MFW983065 MPS982994:MPS983065 MZO982994:MZO983065 NJK982994:NJK983065 NTG982994:NTG983065 ODC982994:ODC983065 OMY982994:OMY983065 OWU982994:OWU983065 PGQ982994:PGQ983065 PQM982994:PQM983065 QAI982994:QAI983065 QKE982994:QKE983065 QUA982994:QUA983065 RDW982994:RDW983065 RNS982994:RNS983065 RXO982994:RXO983065 SHK982994:SHK983065 SRG982994:SRG983065 TBC982994:TBC983065 TKY982994:TKY983065 TUU982994:TUU983065 UEQ982994:UEQ983065 UOM982994:UOM983065 UYI982994:UYI983065 VIE982994:VIE983065 VSA982994:VSA983065 WBW982994:WBW983065 WLS982994:WLS983065 SY2:SY43 ACU2:ACU43 JC2:JC43 WVO2:WVO43 WLS2:WLS43 WBW2:WBW43 VSA2:VSA43 VIE2:VIE43 UYI2:UYI43 UOM2:UOM43 UEQ2:UEQ43 TUU2:TUU43 TKY2:TKY43 TBC2:TBC43 SRG2:SRG43 SHK2:SHK43 RXO2:RXO43 RNS2:RNS43 RDW2:RDW43 QUA2:QUA43 QKE2:QKE43 QAI2:QAI43 PQM2:PQM43 PGQ2:PGQ43 OWU2:OWU43 OMY2:OMY43 ODC2:ODC43 NTG2:NTG43 NJK2:NJK43 MZO2:MZO43 MPS2:MPS43 MFW2:MFW43 LWA2:LWA43 LME2:LME43 LCI2:LCI43 KSM2:KSM43 KIQ2:KIQ43 JYU2:JYU43 JOY2:JOY43 JFC2:JFC43 IVG2:IVG43 ILK2:ILK43 IBO2:IBO43 HRS2:HRS43 HHW2:HHW43 GYA2:GYA43 GOE2:GOE43 GEI2:GEI43 FUM2:FUM43 FKQ2:FKQ43 FAU2:FAU43 EQY2:EQY43 EHC2:EHC43 DXG2:DXG43 DNK2:DNK43 DDO2:DDO43 CTS2:CTS43 CJW2:CJW43 CAA2:CAA43 BQE2:BQE43 BGI2:BGI43 AWM2:AWM43 AMQ2:AMQ43 G2:G452" xr:uid="{76507472-E313-483B-ADC3-020523580385}">
      <formula1>$AJ$2:$AJ$4</formula1>
    </dataValidation>
    <dataValidation type="list" allowBlank="1" showInputMessage="1" showErrorMessage="1" sqref="I64315:I64380 JE64315:JE64380 TA64315:TA64380 ACW64315:ACW64380 AMS64315:AMS64380 AWO64315:AWO64380 BGK64315:BGK64380 BQG64315:BQG64380 CAC64315:CAC64380 CJY64315:CJY64380 CTU64315:CTU64380 DDQ64315:DDQ64380 DNM64315:DNM64380 DXI64315:DXI64380 EHE64315:EHE64380 ERA64315:ERA64380 FAW64315:FAW64380 FKS64315:FKS64380 FUO64315:FUO64380 GEK64315:GEK64380 GOG64315:GOG64380 GYC64315:GYC64380 HHY64315:HHY64380 HRU64315:HRU64380 IBQ64315:IBQ64380 ILM64315:ILM64380 IVI64315:IVI64380 JFE64315:JFE64380 JPA64315:JPA64380 JYW64315:JYW64380 KIS64315:KIS64380 KSO64315:KSO64380 LCK64315:LCK64380 LMG64315:LMG64380 LWC64315:LWC64380 MFY64315:MFY64380 MPU64315:MPU64380 MZQ64315:MZQ64380 NJM64315:NJM64380 NTI64315:NTI64380 ODE64315:ODE64380 ONA64315:ONA64380 OWW64315:OWW64380 PGS64315:PGS64380 PQO64315:PQO64380 QAK64315:QAK64380 QKG64315:QKG64380 QUC64315:QUC64380 RDY64315:RDY64380 RNU64315:RNU64380 RXQ64315:RXQ64380 SHM64315:SHM64380 SRI64315:SRI64380 TBE64315:TBE64380 TLA64315:TLA64380 TUW64315:TUW64380 UES64315:UES64380 UOO64315:UOO64380 UYK64315:UYK64380 VIG64315:VIG64380 VSC64315:VSC64380 WBY64315:WBY64380 WLU64315:WLU64380 WVQ64315:WVQ64380 I129851:I129916 JE129851:JE129916 TA129851:TA129916 ACW129851:ACW129916 AMS129851:AMS129916 AWO129851:AWO129916 BGK129851:BGK129916 BQG129851:BQG129916 CAC129851:CAC129916 CJY129851:CJY129916 CTU129851:CTU129916 DDQ129851:DDQ129916 DNM129851:DNM129916 DXI129851:DXI129916 EHE129851:EHE129916 ERA129851:ERA129916 FAW129851:FAW129916 FKS129851:FKS129916 FUO129851:FUO129916 GEK129851:GEK129916 GOG129851:GOG129916 GYC129851:GYC129916 HHY129851:HHY129916 HRU129851:HRU129916 IBQ129851:IBQ129916 ILM129851:ILM129916 IVI129851:IVI129916 JFE129851:JFE129916 JPA129851:JPA129916 JYW129851:JYW129916 KIS129851:KIS129916 KSO129851:KSO129916 LCK129851:LCK129916 LMG129851:LMG129916 LWC129851:LWC129916 MFY129851:MFY129916 MPU129851:MPU129916 MZQ129851:MZQ129916 NJM129851:NJM129916 NTI129851:NTI129916 ODE129851:ODE129916 ONA129851:ONA129916 OWW129851:OWW129916 PGS129851:PGS129916 PQO129851:PQO129916 QAK129851:QAK129916 QKG129851:QKG129916 QUC129851:QUC129916 RDY129851:RDY129916 RNU129851:RNU129916 RXQ129851:RXQ129916 SHM129851:SHM129916 SRI129851:SRI129916 TBE129851:TBE129916 TLA129851:TLA129916 TUW129851:TUW129916 UES129851:UES129916 UOO129851:UOO129916 UYK129851:UYK129916 VIG129851:VIG129916 VSC129851:VSC129916 WBY129851:WBY129916 WLU129851:WLU129916 WVQ129851:WVQ129916 I195387:I195452 JE195387:JE195452 TA195387:TA195452 ACW195387:ACW195452 AMS195387:AMS195452 AWO195387:AWO195452 BGK195387:BGK195452 BQG195387:BQG195452 CAC195387:CAC195452 CJY195387:CJY195452 CTU195387:CTU195452 DDQ195387:DDQ195452 DNM195387:DNM195452 DXI195387:DXI195452 EHE195387:EHE195452 ERA195387:ERA195452 FAW195387:FAW195452 FKS195387:FKS195452 FUO195387:FUO195452 GEK195387:GEK195452 GOG195387:GOG195452 GYC195387:GYC195452 HHY195387:HHY195452 HRU195387:HRU195452 IBQ195387:IBQ195452 ILM195387:ILM195452 IVI195387:IVI195452 JFE195387:JFE195452 JPA195387:JPA195452 JYW195387:JYW195452 KIS195387:KIS195452 KSO195387:KSO195452 LCK195387:LCK195452 LMG195387:LMG195452 LWC195387:LWC195452 MFY195387:MFY195452 MPU195387:MPU195452 MZQ195387:MZQ195452 NJM195387:NJM195452 NTI195387:NTI195452 ODE195387:ODE195452 ONA195387:ONA195452 OWW195387:OWW195452 PGS195387:PGS195452 PQO195387:PQO195452 QAK195387:QAK195452 QKG195387:QKG195452 QUC195387:QUC195452 RDY195387:RDY195452 RNU195387:RNU195452 RXQ195387:RXQ195452 SHM195387:SHM195452 SRI195387:SRI195452 TBE195387:TBE195452 TLA195387:TLA195452 TUW195387:TUW195452 UES195387:UES195452 UOO195387:UOO195452 UYK195387:UYK195452 VIG195387:VIG195452 VSC195387:VSC195452 WBY195387:WBY195452 WLU195387:WLU195452 WVQ195387:WVQ195452 I260923:I260988 JE260923:JE260988 TA260923:TA260988 ACW260923:ACW260988 AMS260923:AMS260988 AWO260923:AWO260988 BGK260923:BGK260988 BQG260923:BQG260988 CAC260923:CAC260988 CJY260923:CJY260988 CTU260923:CTU260988 DDQ260923:DDQ260988 DNM260923:DNM260988 DXI260923:DXI260988 EHE260923:EHE260988 ERA260923:ERA260988 FAW260923:FAW260988 FKS260923:FKS260988 FUO260923:FUO260988 GEK260923:GEK260988 GOG260923:GOG260988 GYC260923:GYC260988 HHY260923:HHY260988 HRU260923:HRU260988 IBQ260923:IBQ260988 ILM260923:ILM260988 IVI260923:IVI260988 JFE260923:JFE260988 JPA260923:JPA260988 JYW260923:JYW260988 KIS260923:KIS260988 KSO260923:KSO260988 LCK260923:LCK260988 LMG260923:LMG260988 LWC260923:LWC260988 MFY260923:MFY260988 MPU260923:MPU260988 MZQ260923:MZQ260988 NJM260923:NJM260988 NTI260923:NTI260988 ODE260923:ODE260988 ONA260923:ONA260988 OWW260923:OWW260988 PGS260923:PGS260988 PQO260923:PQO260988 QAK260923:QAK260988 QKG260923:QKG260988 QUC260923:QUC260988 RDY260923:RDY260988 RNU260923:RNU260988 RXQ260923:RXQ260988 SHM260923:SHM260988 SRI260923:SRI260988 TBE260923:TBE260988 TLA260923:TLA260988 TUW260923:TUW260988 UES260923:UES260988 UOO260923:UOO260988 UYK260923:UYK260988 VIG260923:VIG260988 VSC260923:VSC260988 WBY260923:WBY260988 WLU260923:WLU260988 WVQ260923:WVQ260988 I326459:I326524 JE326459:JE326524 TA326459:TA326524 ACW326459:ACW326524 AMS326459:AMS326524 AWO326459:AWO326524 BGK326459:BGK326524 BQG326459:BQG326524 CAC326459:CAC326524 CJY326459:CJY326524 CTU326459:CTU326524 DDQ326459:DDQ326524 DNM326459:DNM326524 DXI326459:DXI326524 EHE326459:EHE326524 ERA326459:ERA326524 FAW326459:FAW326524 FKS326459:FKS326524 FUO326459:FUO326524 GEK326459:GEK326524 GOG326459:GOG326524 GYC326459:GYC326524 HHY326459:HHY326524 HRU326459:HRU326524 IBQ326459:IBQ326524 ILM326459:ILM326524 IVI326459:IVI326524 JFE326459:JFE326524 JPA326459:JPA326524 JYW326459:JYW326524 KIS326459:KIS326524 KSO326459:KSO326524 LCK326459:LCK326524 LMG326459:LMG326524 LWC326459:LWC326524 MFY326459:MFY326524 MPU326459:MPU326524 MZQ326459:MZQ326524 NJM326459:NJM326524 NTI326459:NTI326524 ODE326459:ODE326524 ONA326459:ONA326524 OWW326459:OWW326524 PGS326459:PGS326524 PQO326459:PQO326524 QAK326459:QAK326524 QKG326459:QKG326524 QUC326459:QUC326524 RDY326459:RDY326524 RNU326459:RNU326524 RXQ326459:RXQ326524 SHM326459:SHM326524 SRI326459:SRI326524 TBE326459:TBE326524 TLA326459:TLA326524 TUW326459:TUW326524 UES326459:UES326524 UOO326459:UOO326524 UYK326459:UYK326524 VIG326459:VIG326524 VSC326459:VSC326524 WBY326459:WBY326524 WLU326459:WLU326524 WVQ326459:WVQ326524 I391995:I392060 JE391995:JE392060 TA391995:TA392060 ACW391995:ACW392060 AMS391995:AMS392060 AWO391995:AWO392060 BGK391995:BGK392060 BQG391995:BQG392060 CAC391995:CAC392060 CJY391995:CJY392060 CTU391995:CTU392060 DDQ391995:DDQ392060 DNM391995:DNM392060 DXI391995:DXI392060 EHE391995:EHE392060 ERA391995:ERA392060 FAW391995:FAW392060 FKS391995:FKS392060 FUO391995:FUO392060 GEK391995:GEK392060 GOG391995:GOG392060 GYC391995:GYC392060 HHY391995:HHY392060 HRU391995:HRU392060 IBQ391995:IBQ392060 ILM391995:ILM392060 IVI391995:IVI392060 JFE391995:JFE392060 JPA391995:JPA392060 JYW391995:JYW392060 KIS391995:KIS392060 KSO391995:KSO392060 LCK391995:LCK392060 LMG391995:LMG392060 LWC391995:LWC392060 MFY391995:MFY392060 MPU391995:MPU392060 MZQ391995:MZQ392060 NJM391995:NJM392060 NTI391995:NTI392060 ODE391995:ODE392060 ONA391995:ONA392060 OWW391995:OWW392060 PGS391995:PGS392060 PQO391995:PQO392060 QAK391995:QAK392060 QKG391995:QKG392060 QUC391995:QUC392060 RDY391995:RDY392060 RNU391995:RNU392060 RXQ391995:RXQ392060 SHM391995:SHM392060 SRI391995:SRI392060 TBE391995:TBE392060 TLA391995:TLA392060 TUW391995:TUW392060 UES391995:UES392060 UOO391995:UOO392060 UYK391995:UYK392060 VIG391995:VIG392060 VSC391995:VSC392060 WBY391995:WBY392060 WLU391995:WLU392060 WVQ391995:WVQ392060 I457531:I457596 JE457531:JE457596 TA457531:TA457596 ACW457531:ACW457596 AMS457531:AMS457596 AWO457531:AWO457596 BGK457531:BGK457596 BQG457531:BQG457596 CAC457531:CAC457596 CJY457531:CJY457596 CTU457531:CTU457596 DDQ457531:DDQ457596 DNM457531:DNM457596 DXI457531:DXI457596 EHE457531:EHE457596 ERA457531:ERA457596 FAW457531:FAW457596 FKS457531:FKS457596 FUO457531:FUO457596 GEK457531:GEK457596 GOG457531:GOG457596 GYC457531:GYC457596 HHY457531:HHY457596 HRU457531:HRU457596 IBQ457531:IBQ457596 ILM457531:ILM457596 IVI457531:IVI457596 JFE457531:JFE457596 JPA457531:JPA457596 JYW457531:JYW457596 KIS457531:KIS457596 KSO457531:KSO457596 LCK457531:LCK457596 LMG457531:LMG457596 LWC457531:LWC457596 MFY457531:MFY457596 MPU457531:MPU457596 MZQ457531:MZQ457596 NJM457531:NJM457596 NTI457531:NTI457596 ODE457531:ODE457596 ONA457531:ONA457596 OWW457531:OWW457596 PGS457531:PGS457596 PQO457531:PQO457596 QAK457531:QAK457596 QKG457531:QKG457596 QUC457531:QUC457596 RDY457531:RDY457596 RNU457531:RNU457596 RXQ457531:RXQ457596 SHM457531:SHM457596 SRI457531:SRI457596 TBE457531:TBE457596 TLA457531:TLA457596 TUW457531:TUW457596 UES457531:UES457596 UOO457531:UOO457596 UYK457531:UYK457596 VIG457531:VIG457596 VSC457531:VSC457596 WBY457531:WBY457596 WLU457531:WLU457596 WVQ457531:WVQ457596 I523067:I523132 JE523067:JE523132 TA523067:TA523132 ACW523067:ACW523132 AMS523067:AMS523132 AWO523067:AWO523132 BGK523067:BGK523132 BQG523067:BQG523132 CAC523067:CAC523132 CJY523067:CJY523132 CTU523067:CTU523132 DDQ523067:DDQ523132 DNM523067:DNM523132 DXI523067:DXI523132 EHE523067:EHE523132 ERA523067:ERA523132 FAW523067:FAW523132 FKS523067:FKS523132 FUO523067:FUO523132 GEK523067:GEK523132 GOG523067:GOG523132 GYC523067:GYC523132 HHY523067:HHY523132 HRU523067:HRU523132 IBQ523067:IBQ523132 ILM523067:ILM523132 IVI523067:IVI523132 JFE523067:JFE523132 JPA523067:JPA523132 JYW523067:JYW523132 KIS523067:KIS523132 KSO523067:KSO523132 LCK523067:LCK523132 LMG523067:LMG523132 LWC523067:LWC523132 MFY523067:MFY523132 MPU523067:MPU523132 MZQ523067:MZQ523132 NJM523067:NJM523132 NTI523067:NTI523132 ODE523067:ODE523132 ONA523067:ONA523132 OWW523067:OWW523132 PGS523067:PGS523132 PQO523067:PQO523132 QAK523067:QAK523132 QKG523067:QKG523132 QUC523067:QUC523132 RDY523067:RDY523132 RNU523067:RNU523132 RXQ523067:RXQ523132 SHM523067:SHM523132 SRI523067:SRI523132 TBE523067:TBE523132 TLA523067:TLA523132 TUW523067:TUW523132 UES523067:UES523132 UOO523067:UOO523132 UYK523067:UYK523132 VIG523067:VIG523132 VSC523067:VSC523132 WBY523067:WBY523132 WLU523067:WLU523132 WVQ523067:WVQ523132 I588603:I588668 JE588603:JE588668 TA588603:TA588668 ACW588603:ACW588668 AMS588603:AMS588668 AWO588603:AWO588668 BGK588603:BGK588668 BQG588603:BQG588668 CAC588603:CAC588668 CJY588603:CJY588668 CTU588603:CTU588668 DDQ588603:DDQ588668 DNM588603:DNM588668 DXI588603:DXI588668 EHE588603:EHE588668 ERA588603:ERA588668 FAW588603:FAW588668 FKS588603:FKS588668 FUO588603:FUO588668 GEK588603:GEK588668 GOG588603:GOG588668 GYC588603:GYC588668 HHY588603:HHY588668 HRU588603:HRU588668 IBQ588603:IBQ588668 ILM588603:ILM588668 IVI588603:IVI588668 JFE588603:JFE588668 JPA588603:JPA588668 JYW588603:JYW588668 KIS588603:KIS588668 KSO588603:KSO588668 LCK588603:LCK588668 LMG588603:LMG588668 LWC588603:LWC588668 MFY588603:MFY588668 MPU588603:MPU588668 MZQ588603:MZQ588668 NJM588603:NJM588668 NTI588603:NTI588668 ODE588603:ODE588668 ONA588603:ONA588668 OWW588603:OWW588668 PGS588603:PGS588668 PQO588603:PQO588668 QAK588603:QAK588668 QKG588603:QKG588668 QUC588603:QUC588668 RDY588603:RDY588668 RNU588603:RNU588668 RXQ588603:RXQ588668 SHM588603:SHM588668 SRI588603:SRI588668 TBE588603:TBE588668 TLA588603:TLA588668 TUW588603:TUW588668 UES588603:UES588668 UOO588603:UOO588668 UYK588603:UYK588668 VIG588603:VIG588668 VSC588603:VSC588668 WBY588603:WBY588668 WLU588603:WLU588668 WVQ588603:WVQ588668 I654139:I654204 JE654139:JE654204 TA654139:TA654204 ACW654139:ACW654204 AMS654139:AMS654204 AWO654139:AWO654204 BGK654139:BGK654204 BQG654139:BQG654204 CAC654139:CAC654204 CJY654139:CJY654204 CTU654139:CTU654204 DDQ654139:DDQ654204 DNM654139:DNM654204 DXI654139:DXI654204 EHE654139:EHE654204 ERA654139:ERA654204 FAW654139:FAW654204 FKS654139:FKS654204 FUO654139:FUO654204 GEK654139:GEK654204 GOG654139:GOG654204 GYC654139:GYC654204 HHY654139:HHY654204 HRU654139:HRU654204 IBQ654139:IBQ654204 ILM654139:ILM654204 IVI654139:IVI654204 JFE654139:JFE654204 JPA654139:JPA654204 JYW654139:JYW654204 KIS654139:KIS654204 KSO654139:KSO654204 LCK654139:LCK654204 LMG654139:LMG654204 LWC654139:LWC654204 MFY654139:MFY654204 MPU654139:MPU654204 MZQ654139:MZQ654204 NJM654139:NJM654204 NTI654139:NTI654204 ODE654139:ODE654204 ONA654139:ONA654204 OWW654139:OWW654204 PGS654139:PGS654204 PQO654139:PQO654204 QAK654139:QAK654204 QKG654139:QKG654204 QUC654139:QUC654204 RDY654139:RDY654204 RNU654139:RNU654204 RXQ654139:RXQ654204 SHM654139:SHM654204 SRI654139:SRI654204 TBE654139:TBE654204 TLA654139:TLA654204 TUW654139:TUW654204 UES654139:UES654204 UOO654139:UOO654204 UYK654139:UYK654204 VIG654139:VIG654204 VSC654139:VSC654204 WBY654139:WBY654204 WLU654139:WLU654204 WVQ654139:WVQ654204 I719675:I719740 JE719675:JE719740 TA719675:TA719740 ACW719675:ACW719740 AMS719675:AMS719740 AWO719675:AWO719740 BGK719675:BGK719740 BQG719675:BQG719740 CAC719675:CAC719740 CJY719675:CJY719740 CTU719675:CTU719740 DDQ719675:DDQ719740 DNM719675:DNM719740 DXI719675:DXI719740 EHE719675:EHE719740 ERA719675:ERA719740 FAW719675:FAW719740 FKS719675:FKS719740 FUO719675:FUO719740 GEK719675:GEK719740 GOG719675:GOG719740 GYC719675:GYC719740 HHY719675:HHY719740 HRU719675:HRU719740 IBQ719675:IBQ719740 ILM719675:ILM719740 IVI719675:IVI719740 JFE719675:JFE719740 JPA719675:JPA719740 JYW719675:JYW719740 KIS719675:KIS719740 KSO719675:KSO719740 LCK719675:LCK719740 LMG719675:LMG719740 LWC719675:LWC719740 MFY719675:MFY719740 MPU719675:MPU719740 MZQ719675:MZQ719740 NJM719675:NJM719740 NTI719675:NTI719740 ODE719675:ODE719740 ONA719675:ONA719740 OWW719675:OWW719740 PGS719675:PGS719740 PQO719675:PQO719740 QAK719675:QAK719740 QKG719675:QKG719740 QUC719675:QUC719740 RDY719675:RDY719740 RNU719675:RNU719740 RXQ719675:RXQ719740 SHM719675:SHM719740 SRI719675:SRI719740 TBE719675:TBE719740 TLA719675:TLA719740 TUW719675:TUW719740 UES719675:UES719740 UOO719675:UOO719740 UYK719675:UYK719740 VIG719675:VIG719740 VSC719675:VSC719740 WBY719675:WBY719740 WLU719675:WLU719740 WVQ719675:WVQ719740 I785211:I785276 JE785211:JE785276 TA785211:TA785276 ACW785211:ACW785276 AMS785211:AMS785276 AWO785211:AWO785276 BGK785211:BGK785276 BQG785211:BQG785276 CAC785211:CAC785276 CJY785211:CJY785276 CTU785211:CTU785276 DDQ785211:DDQ785276 DNM785211:DNM785276 DXI785211:DXI785276 EHE785211:EHE785276 ERA785211:ERA785276 FAW785211:FAW785276 FKS785211:FKS785276 FUO785211:FUO785276 GEK785211:GEK785276 GOG785211:GOG785276 GYC785211:GYC785276 HHY785211:HHY785276 HRU785211:HRU785276 IBQ785211:IBQ785276 ILM785211:ILM785276 IVI785211:IVI785276 JFE785211:JFE785276 JPA785211:JPA785276 JYW785211:JYW785276 KIS785211:KIS785276 KSO785211:KSO785276 LCK785211:LCK785276 LMG785211:LMG785276 LWC785211:LWC785276 MFY785211:MFY785276 MPU785211:MPU785276 MZQ785211:MZQ785276 NJM785211:NJM785276 NTI785211:NTI785276 ODE785211:ODE785276 ONA785211:ONA785276 OWW785211:OWW785276 PGS785211:PGS785276 PQO785211:PQO785276 QAK785211:QAK785276 QKG785211:QKG785276 QUC785211:QUC785276 RDY785211:RDY785276 RNU785211:RNU785276 RXQ785211:RXQ785276 SHM785211:SHM785276 SRI785211:SRI785276 TBE785211:TBE785276 TLA785211:TLA785276 TUW785211:TUW785276 UES785211:UES785276 UOO785211:UOO785276 UYK785211:UYK785276 VIG785211:VIG785276 VSC785211:VSC785276 WBY785211:WBY785276 WLU785211:WLU785276 WVQ785211:WVQ785276 I850747:I850812 JE850747:JE850812 TA850747:TA850812 ACW850747:ACW850812 AMS850747:AMS850812 AWO850747:AWO850812 BGK850747:BGK850812 BQG850747:BQG850812 CAC850747:CAC850812 CJY850747:CJY850812 CTU850747:CTU850812 DDQ850747:DDQ850812 DNM850747:DNM850812 DXI850747:DXI850812 EHE850747:EHE850812 ERA850747:ERA850812 FAW850747:FAW850812 FKS850747:FKS850812 FUO850747:FUO850812 GEK850747:GEK850812 GOG850747:GOG850812 GYC850747:GYC850812 HHY850747:HHY850812 HRU850747:HRU850812 IBQ850747:IBQ850812 ILM850747:ILM850812 IVI850747:IVI850812 JFE850747:JFE850812 JPA850747:JPA850812 JYW850747:JYW850812 KIS850747:KIS850812 KSO850747:KSO850812 LCK850747:LCK850812 LMG850747:LMG850812 LWC850747:LWC850812 MFY850747:MFY850812 MPU850747:MPU850812 MZQ850747:MZQ850812 NJM850747:NJM850812 NTI850747:NTI850812 ODE850747:ODE850812 ONA850747:ONA850812 OWW850747:OWW850812 PGS850747:PGS850812 PQO850747:PQO850812 QAK850747:QAK850812 QKG850747:QKG850812 QUC850747:QUC850812 RDY850747:RDY850812 RNU850747:RNU850812 RXQ850747:RXQ850812 SHM850747:SHM850812 SRI850747:SRI850812 TBE850747:TBE850812 TLA850747:TLA850812 TUW850747:TUW850812 UES850747:UES850812 UOO850747:UOO850812 UYK850747:UYK850812 VIG850747:VIG850812 VSC850747:VSC850812 WBY850747:WBY850812 WLU850747:WLU850812 WVQ850747:WVQ850812 I916283:I916348 JE916283:JE916348 TA916283:TA916348 ACW916283:ACW916348 AMS916283:AMS916348 AWO916283:AWO916348 BGK916283:BGK916348 BQG916283:BQG916348 CAC916283:CAC916348 CJY916283:CJY916348 CTU916283:CTU916348 DDQ916283:DDQ916348 DNM916283:DNM916348 DXI916283:DXI916348 EHE916283:EHE916348 ERA916283:ERA916348 FAW916283:FAW916348 FKS916283:FKS916348 FUO916283:FUO916348 GEK916283:GEK916348 GOG916283:GOG916348 GYC916283:GYC916348 HHY916283:HHY916348 HRU916283:HRU916348 IBQ916283:IBQ916348 ILM916283:ILM916348 IVI916283:IVI916348 JFE916283:JFE916348 JPA916283:JPA916348 JYW916283:JYW916348 KIS916283:KIS916348 KSO916283:KSO916348 LCK916283:LCK916348 LMG916283:LMG916348 LWC916283:LWC916348 MFY916283:MFY916348 MPU916283:MPU916348 MZQ916283:MZQ916348 NJM916283:NJM916348 NTI916283:NTI916348 ODE916283:ODE916348 ONA916283:ONA916348 OWW916283:OWW916348 PGS916283:PGS916348 PQO916283:PQO916348 QAK916283:QAK916348 QKG916283:QKG916348 QUC916283:QUC916348 RDY916283:RDY916348 RNU916283:RNU916348 RXQ916283:RXQ916348 SHM916283:SHM916348 SRI916283:SRI916348 TBE916283:TBE916348 TLA916283:TLA916348 TUW916283:TUW916348 UES916283:UES916348 UOO916283:UOO916348 UYK916283:UYK916348 VIG916283:VIG916348 VSC916283:VSC916348 WBY916283:WBY916348 WLU916283:WLU916348 WVQ916283:WVQ916348 I981819:I981884 JE981819:JE981884 TA981819:TA981884 ACW981819:ACW981884 AMS981819:AMS981884 AWO981819:AWO981884 BGK981819:BGK981884 BQG981819:BQG981884 CAC981819:CAC981884 CJY981819:CJY981884 CTU981819:CTU981884 DDQ981819:DDQ981884 DNM981819:DNM981884 DXI981819:DXI981884 EHE981819:EHE981884 ERA981819:ERA981884 FAW981819:FAW981884 FKS981819:FKS981884 FUO981819:FUO981884 GEK981819:GEK981884 GOG981819:GOG981884 GYC981819:GYC981884 HHY981819:HHY981884 HRU981819:HRU981884 IBQ981819:IBQ981884 ILM981819:ILM981884 IVI981819:IVI981884 JFE981819:JFE981884 JPA981819:JPA981884 JYW981819:JYW981884 KIS981819:KIS981884 KSO981819:KSO981884 LCK981819:LCK981884 LMG981819:LMG981884 LWC981819:LWC981884 MFY981819:MFY981884 MPU981819:MPU981884 MZQ981819:MZQ981884 NJM981819:NJM981884 NTI981819:NTI981884 ODE981819:ODE981884 ONA981819:ONA981884 OWW981819:OWW981884 PGS981819:PGS981884 PQO981819:PQO981884 QAK981819:QAK981884 QKG981819:QKG981884 QUC981819:QUC981884 RDY981819:RDY981884 RNU981819:RNU981884 RXQ981819:RXQ981884 SHM981819:SHM981884 SRI981819:SRI981884 TBE981819:TBE981884 TLA981819:TLA981884 TUW981819:TUW981884 UES981819:UES981884 UOO981819:UOO981884 UYK981819:UYK981884 VIG981819:VIG981884 VSC981819:VSC981884 WBY981819:WBY981884 WLU981819:WLU981884 WVQ981819:WVQ981884 I1047355:I1047420 JE1047355:JE1047420 TA1047355:TA1047420 ACW1047355:ACW1047420 AMS1047355:AMS1047420 AWO1047355:AWO1047420 BGK1047355:BGK1047420 BQG1047355:BQG1047420 CAC1047355:CAC1047420 CJY1047355:CJY1047420 CTU1047355:CTU1047420 DDQ1047355:DDQ1047420 DNM1047355:DNM1047420 DXI1047355:DXI1047420 EHE1047355:EHE1047420 ERA1047355:ERA1047420 FAW1047355:FAW1047420 FKS1047355:FKS1047420 FUO1047355:FUO1047420 GEK1047355:GEK1047420 GOG1047355:GOG1047420 GYC1047355:GYC1047420 HHY1047355:HHY1047420 HRU1047355:HRU1047420 IBQ1047355:IBQ1047420 ILM1047355:ILM1047420 IVI1047355:IVI1047420 JFE1047355:JFE1047420 JPA1047355:JPA1047420 JYW1047355:JYW1047420 KIS1047355:KIS1047420 KSO1047355:KSO1047420 LCK1047355:LCK1047420 LMG1047355:LMG1047420 LWC1047355:LWC1047420 MFY1047355:MFY1047420 MPU1047355:MPU1047420 MZQ1047355:MZQ1047420 NJM1047355:NJM1047420 NTI1047355:NTI1047420 ODE1047355:ODE1047420 ONA1047355:ONA1047420 OWW1047355:OWW1047420 PGS1047355:PGS1047420 PQO1047355:PQO1047420 QAK1047355:QAK1047420 QKG1047355:QKG1047420 QUC1047355:QUC1047420 RDY1047355:RDY1047420 RNU1047355:RNU1047420 RXQ1047355:RXQ1047420 SHM1047355:SHM1047420 SRI1047355:SRI1047420 TBE1047355:TBE1047420 TLA1047355:TLA1047420 TUW1047355:TUW1047420 UES1047355:UES1047420 UOO1047355:UOO1047420 UYK1047355:UYK1047420 VIG1047355:VIG1047420 VSC1047355:VSC1047420 WBY1047355:WBY1047420 WLU1047355:WLU1047420 WVQ1047355:WVQ1047420 WVQ982994:WVQ983059 I65490:I65555 JE65490:JE65555 TA65490:TA65555 ACW65490:ACW65555 AMS65490:AMS65555 AWO65490:AWO65555 BGK65490:BGK65555 BQG65490:BQG65555 CAC65490:CAC65555 CJY65490:CJY65555 CTU65490:CTU65555 DDQ65490:DDQ65555 DNM65490:DNM65555 DXI65490:DXI65555 EHE65490:EHE65555 ERA65490:ERA65555 FAW65490:FAW65555 FKS65490:FKS65555 FUO65490:FUO65555 GEK65490:GEK65555 GOG65490:GOG65555 GYC65490:GYC65555 HHY65490:HHY65555 HRU65490:HRU65555 IBQ65490:IBQ65555 ILM65490:ILM65555 IVI65490:IVI65555 JFE65490:JFE65555 JPA65490:JPA65555 JYW65490:JYW65555 KIS65490:KIS65555 KSO65490:KSO65555 LCK65490:LCK65555 LMG65490:LMG65555 LWC65490:LWC65555 MFY65490:MFY65555 MPU65490:MPU65555 MZQ65490:MZQ65555 NJM65490:NJM65555 NTI65490:NTI65555 ODE65490:ODE65555 ONA65490:ONA65555 OWW65490:OWW65555 PGS65490:PGS65555 PQO65490:PQO65555 QAK65490:QAK65555 QKG65490:QKG65555 QUC65490:QUC65555 RDY65490:RDY65555 RNU65490:RNU65555 RXQ65490:RXQ65555 SHM65490:SHM65555 SRI65490:SRI65555 TBE65490:TBE65555 TLA65490:TLA65555 TUW65490:TUW65555 UES65490:UES65555 UOO65490:UOO65555 UYK65490:UYK65555 VIG65490:VIG65555 VSC65490:VSC65555 WBY65490:WBY65555 WLU65490:WLU65555 WVQ65490:WVQ65555 I131026:I131091 JE131026:JE131091 TA131026:TA131091 ACW131026:ACW131091 AMS131026:AMS131091 AWO131026:AWO131091 BGK131026:BGK131091 BQG131026:BQG131091 CAC131026:CAC131091 CJY131026:CJY131091 CTU131026:CTU131091 DDQ131026:DDQ131091 DNM131026:DNM131091 DXI131026:DXI131091 EHE131026:EHE131091 ERA131026:ERA131091 FAW131026:FAW131091 FKS131026:FKS131091 FUO131026:FUO131091 GEK131026:GEK131091 GOG131026:GOG131091 GYC131026:GYC131091 HHY131026:HHY131091 HRU131026:HRU131091 IBQ131026:IBQ131091 ILM131026:ILM131091 IVI131026:IVI131091 JFE131026:JFE131091 JPA131026:JPA131091 JYW131026:JYW131091 KIS131026:KIS131091 KSO131026:KSO131091 LCK131026:LCK131091 LMG131026:LMG131091 LWC131026:LWC131091 MFY131026:MFY131091 MPU131026:MPU131091 MZQ131026:MZQ131091 NJM131026:NJM131091 NTI131026:NTI131091 ODE131026:ODE131091 ONA131026:ONA131091 OWW131026:OWW131091 PGS131026:PGS131091 PQO131026:PQO131091 QAK131026:QAK131091 QKG131026:QKG131091 QUC131026:QUC131091 RDY131026:RDY131091 RNU131026:RNU131091 RXQ131026:RXQ131091 SHM131026:SHM131091 SRI131026:SRI131091 TBE131026:TBE131091 TLA131026:TLA131091 TUW131026:TUW131091 UES131026:UES131091 UOO131026:UOO131091 UYK131026:UYK131091 VIG131026:VIG131091 VSC131026:VSC131091 WBY131026:WBY131091 WLU131026:WLU131091 WVQ131026:WVQ131091 I196562:I196627 JE196562:JE196627 TA196562:TA196627 ACW196562:ACW196627 AMS196562:AMS196627 AWO196562:AWO196627 BGK196562:BGK196627 BQG196562:BQG196627 CAC196562:CAC196627 CJY196562:CJY196627 CTU196562:CTU196627 DDQ196562:DDQ196627 DNM196562:DNM196627 DXI196562:DXI196627 EHE196562:EHE196627 ERA196562:ERA196627 FAW196562:FAW196627 FKS196562:FKS196627 FUO196562:FUO196627 GEK196562:GEK196627 GOG196562:GOG196627 GYC196562:GYC196627 HHY196562:HHY196627 HRU196562:HRU196627 IBQ196562:IBQ196627 ILM196562:ILM196627 IVI196562:IVI196627 JFE196562:JFE196627 JPA196562:JPA196627 JYW196562:JYW196627 KIS196562:KIS196627 KSO196562:KSO196627 LCK196562:LCK196627 LMG196562:LMG196627 LWC196562:LWC196627 MFY196562:MFY196627 MPU196562:MPU196627 MZQ196562:MZQ196627 NJM196562:NJM196627 NTI196562:NTI196627 ODE196562:ODE196627 ONA196562:ONA196627 OWW196562:OWW196627 PGS196562:PGS196627 PQO196562:PQO196627 QAK196562:QAK196627 QKG196562:QKG196627 QUC196562:QUC196627 RDY196562:RDY196627 RNU196562:RNU196627 RXQ196562:RXQ196627 SHM196562:SHM196627 SRI196562:SRI196627 TBE196562:TBE196627 TLA196562:TLA196627 TUW196562:TUW196627 UES196562:UES196627 UOO196562:UOO196627 UYK196562:UYK196627 VIG196562:VIG196627 VSC196562:VSC196627 WBY196562:WBY196627 WLU196562:WLU196627 WVQ196562:WVQ196627 I262098:I262163 JE262098:JE262163 TA262098:TA262163 ACW262098:ACW262163 AMS262098:AMS262163 AWO262098:AWO262163 BGK262098:BGK262163 BQG262098:BQG262163 CAC262098:CAC262163 CJY262098:CJY262163 CTU262098:CTU262163 DDQ262098:DDQ262163 DNM262098:DNM262163 DXI262098:DXI262163 EHE262098:EHE262163 ERA262098:ERA262163 FAW262098:FAW262163 FKS262098:FKS262163 FUO262098:FUO262163 GEK262098:GEK262163 GOG262098:GOG262163 GYC262098:GYC262163 HHY262098:HHY262163 HRU262098:HRU262163 IBQ262098:IBQ262163 ILM262098:ILM262163 IVI262098:IVI262163 JFE262098:JFE262163 JPA262098:JPA262163 JYW262098:JYW262163 KIS262098:KIS262163 KSO262098:KSO262163 LCK262098:LCK262163 LMG262098:LMG262163 LWC262098:LWC262163 MFY262098:MFY262163 MPU262098:MPU262163 MZQ262098:MZQ262163 NJM262098:NJM262163 NTI262098:NTI262163 ODE262098:ODE262163 ONA262098:ONA262163 OWW262098:OWW262163 PGS262098:PGS262163 PQO262098:PQO262163 QAK262098:QAK262163 QKG262098:QKG262163 QUC262098:QUC262163 RDY262098:RDY262163 RNU262098:RNU262163 RXQ262098:RXQ262163 SHM262098:SHM262163 SRI262098:SRI262163 TBE262098:TBE262163 TLA262098:TLA262163 TUW262098:TUW262163 UES262098:UES262163 UOO262098:UOO262163 UYK262098:UYK262163 VIG262098:VIG262163 VSC262098:VSC262163 WBY262098:WBY262163 WLU262098:WLU262163 WVQ262098:WVQ262163 I327634:I327699 JE327634:JE327699 TA327634:TA327699 ACW327634:ACW327699 AMS327634:AMS327699 AWO327634:AWO327699 BGK327634:BGK327699 BQG327634:BQG327699 CAC327634:CAC327699 CJY327634:CJY327699 CTU327634:CTU327699 DDQ327634:DDQ327699 DNM327634:DNM327699 DXI327634:DXI327699 EHE327634:EHE327699 ERA327634:ERA327699 FAW327634:FAW327699 FKS327634:FKS327699 FUO327634:FUO327699 GEK327634:GEK327699 GOG327634:GOG327699 GYC327634:GYC327699 HHY327634:HHY327699 HRU327634:HRU327699 IBQ327634:IBQ327699 ILM327634:ILM327699 IVI327634:IVI327699 JFE327634:JFE327699 JPA327634:JPA327699 JYW327634:JYW327699 KIS327634:KIS327699 KSO327634:KSO327699 LCK327634:LCK327699 LMG327634:LMG327699 LWC327634:LWC327699 MFY327634:MFY327699 MPU327634:MPU327699 MZQ327634:MZQ327699 NJM327634:NJM327699 NTI327634:NTI327699 ODE327634:ODE327699 ONA327634:ONA327699 OWW327634:OWW327699 PGS327634:PGS327699 PQO327634:PQO327699 QAK327634:QAK327699 QKG327634:QKG327699 QUC327634:QUC327699 RDY327634:RDY327699 RNU327634:RNU327699 RXQ327634:RXQ327699 SHM327634:SHM327699 SRI327634:SRI327699 TBE327634:TBE327699 TLA327634:TLA327699 TUW327634:TUW327699 UES327634:UES327699 UOO327634:UOO327699 UYK327634:UYK327699 VIG327634:VIG327699 VSC327634:VSC327699 WBY327634:WBY327699 WLU327634:WLU327699 WVQ327634:WVQ327699 I393170:I393235 JE393170:JE393235 TA393170:TA393235 ACW393170:ACW393235 AMS393170:AMS393235 AWO393170:AWO393235 BGK393170:BGK393235 BQG393170:BQG393235 CAC393170:CAC393235 CJY393170:CJY393235 CTU393170:CTU393235 DDQ393170:DDQ393235 DNM393170:DNM393235 DXI393170:DXI393235 EHE393170:EHE393235 ERA393170:ERA393235 FAW393170:FAW393235 FKS393170:FKS393235 FUO393170:FUO393235 GEK393170:GEK393235 GOG393170:GOG393235 GYC393170:GYC393235 HHY393170:HHY393235 HRU393170:HRU393235 IBQ393170:IBQ393235 ILM393170:ILM393235 IVI393170:IVI393235 JFE393170:JFE393235 JPA393170:JPA393235 JYW393170:JYW393235 KIS393170:KIS393235 KSO393170:KSO393235 LCK393170:LCK393235 LMG393170:LMG393235 LWC393170:LWC393235 MFY393170:MFY393235 MPU393170:MPU393235 MZQ393170:MZQ393235 NJM393170:NJM393235 NTI393170:NTI393235 ODE393170:ODE393235 ONA393170:ONA393235 OWW393170:OWW393235 PGS393170:PGS393235 PQO393170:PQO393235 QAK393170:QAK393235 QKG393170:QKG393235 QUC393170:QUC393235 RDY393170:RDY393235 RNU393170:RNU393235 RXQ393170:RXQ393235 SHM393170:SHM393235 SRI393170:SRI393235 TBE393170:TBE393235 TLA393170:TLA393235 TUW393170:TUW393235 UES393170:UES393235 UOO393170:UOO393235 UYK393170:UYK393235 VIG393170:VIG393235 VSC393170:VSC393235 WBY393170:WBY393235 WLU393170:WLU393235 WVQ393170:WVQ393235 I458706:I458771 JE458706:JE458771 TA458706:TA458771 ACW458706:ACW458771 AMS458706:AMS458771 AWO458706:AWO458771 BGK458706:BGK458771 BQG458706:BQG458771 CAC458706:CAC458771 CJY458706:CJY458771 CTU458706:CTU458771 DDQ458706:DDQ458771 DNM458706:DNM458771 DXI458706:DXI458771 EHE458706:EHE458771 ERA458706:ERA458771 FAW458706:FAW458771 FKS458706:FKS458771 FUO458706:FUO458771 GEK458706:GEK458771 GOG458706:GOG458771 GYC458706:GYC458771 HHY458706:HHY458771 HRU458706:HRU458771 IBQ458706:IBQ458771 ILM458706:ILM458771 IVI458706:IVI458771 JFE458706:JFE458771 JPA458706:JPA458771 JYW458706:JYW458771 KIS458706:KIS458771 KSO458706:KSO458771 LCK458706:LCK458771 LMG458706:LMG458771 LWC458706:LWC458771 MFY458706:MFY458771 MPU458706:MPU458771 MZQ458706:MZQ458771 NJM458706:NJM458771 NTI458706:NTI458771 ODE458706:ODE458771 ONA458706:ONA458771 OWW458706:OWW458771 PGS458706:PGS458771 PQO458706:PQO458771 QAK458706:QAK458771 QKG458706:QKG458771 QUC458706:QUC458771 RDY458706:RDY458771 RNU458706:RNU458771 RXQ458706:RXQ458771 SHM458706:SHM458771 SRI458706:SRI458771 TBE458706:TBE458771 TLA458706:TLA458771 TUW458706:TUW458771 UES458706:UES458771 UOO458706:UOO458771 UYK458706:UYK458771 VIG458706:VIG458771 VSC458706:VSC458771 WBY458706:WBY458771 WLU458706:WLU458771 WVQ458706:WVQ458771 I524242:I524307 JE524242:JE524307 TA524242:TA524307 ACW524242:ACW524307 AMS524242:AMS524307 AWO524242:AWO524307 BGK524242:BGK524307 BQG524242:BQG524307 CAC524242:CAC524307 CJY524242:CJY524307 CTU524242:CTU524307 DDQ524242:DDQ524307 DNM524242:DNM524307 DXI524242:DXI524307 EHE524242:EHE524307 ERA524242:ERA524307 FAW524242:FAW524307 FKS524242:FKS524307 FUO524242:FUO524307 GEK524242:GEK524307 GOG524242:GOG524307 GYC524242:GYC524307 HHY524242:HHY524307 HRU524242:HRU524307 IBQ524242:IBQ524307 ILM524242:ILM524307 IVI524242:IVI524307 JFE524242:JFE524307 JPA524242:JPA524307 JYW524242:JYW524307 KIS524242:KIS524307 KSO524242:KSO524307 LCK524242:LCK524307 LMG524242:LMG524307 LWC524242:LWC524307 MFY524242:MFY524307 MPU524242:MPU524307 MZQ524242:MZQ524307 NJM524242:NJM524307 NTI524242:NTI524307 ODE524242:ODE524307 ONA524242:ONA524307 OWW524242:OWW524307 PGS524242:PGS524307 PQO524242:PQO524307 QAK524242:QAK524307 QKG524242:QKG524307 QUC524242:QUC524307 RDY524242:RDY524307 RNU524242:RNU524307 RXQ524242:RXQ524307 SHM524242:SHM524307 SRI524242:SRI524307 TBE524242:TBE524307 TLA524242:TLA524307 TUW524242:TUW524307 UES524242:UES524307 UOO524242:UOO524307 UYK524242:UYK524307 VIG524242:VIG524307 VSC524242:VSC524307 WBY524242:WBY524307 WLU524242:WLU524307 WVQ524242:WVQ524307 I589778:I589843 JE589778:JE589843 TA589778:TA589843 ACW589778:ACW589843 AMS589778:AMS589843 AWO589778:AWO589843 BGK589778:BGK589843 BQG589778:BQG589843 CAC589778:CAC589843 CJY589778:CJY589843 CTU589778:CTU589843 DDQ589778:DDQ589843 DNM589778:DNM589843 DXI589778:DXI589843 EHE589778:EHE589843 ERA589778:ERA589843 FAW589778:FAW589843 FKS589778:FKS589843 FUO589778:FUO589843 GEK589778:GEK589843 GOG589778:GOG589843 GYC589778:GYC589843 HHY589778:HHY589843 HRU589778:HRU589843 IBQ589778:IBQ589843 ILM589778:ILM589843 IVI589778:IVI589843 JFE589778:JFE589843 JPA589778:JPA589843 JYW589778:JYW589843 KIS589778:KIS589843 KSO589778:KSO589843 LCK589778:LCK589843 LMG589778:LMG589843 LWC589778:LWC589843 MFY589778:MFY589843 MPU589778:MPU589843 MZQ589778:MZQ589843 NJM589778:NJM589843 NTI589778:NTI589843 ODE589778:ODE589843 ONA589778:ONA589843 OWW589778:OWW589843 PGS589778:PGS589843 PQO589778:PQO589843 QAK589778:QAK589843 QKG589778:QKG589843 QUC589778:QUC589843 RDY589778:RDY589843 RNU589778:RNU589843 RXQ589778:RXQ589843 SHM589778:SHM589843 SRI589778:SRI589843 TBE589778:TBE589843 TLA589778:TLA589843 TUW589778:TUW589843 UES589778:UES589843 UOO589778:UOO589843 UYK589778:UYK589843 VIG589778:VIG589843 VSC589778:VSC589843 WBY589778:WBY589843 WLU589778:WLU589843 WVQ589778:WVQ589843 I655314:I655379 JE655314:JE655379 TA655314:TA655379 ACW655314:ACW655379 AMS655314:AMS655379 AWO655314:AWO655379 BGK655314:BGK655379 BQG655314:BQG655379 CAC655314:CAC655379 CJY655314:CJY655379 CTU655314:CTU655379 DDQ655314:DDQ655379 DNM655314:DNM655379 DXI655314:DXI655379 EHE655314:EHE655379 ERA655314:ERA655379 FAW655314:FAW655379 FKS655314:FKS655379 FUO655314:FUO655379 GEK655314:GEK655379 GOG655314:GOG655379 GYC655314:GYC655379 HHY655314:HHY655379 HRU655314:HRU655379 IBQ655314:IBQ655379 ILM655314:ILM655379 IVI655314:IVI655379 JFE655314:JFE655379 JPA655314:JPA655379 JYW655314:JYW655379 KIS655314:KIS655379 KSO655314:KSO655379 LCK655314:LCK655379 LMG655314:LMG655379 LWC655314:LWC655379 MFY655314:MFY655379 MPU655314:MPU655379 MZQ655314:MZQ655379 NJM655314:NJM655379 NTI655314:NTI655379 ODE655314:ODE655379 ONA655314:ONA655379 OWW655314:OWW655379 PGS655314:PGS655379 PQO655314:PQO655379 QAK655314:QAK655379 QKG655314:QKG655379 QUC655314:QUC655379 RDY655314:RDY655379 RNU655314:RNU655379 RXQ655314:RXQ655379 SHM655314:SHM655379 SRI655314:SRI655379 TBE655314:TBE655379 TLA655314:TLA655379 TUW655314:TUW655379 UES655314:UES655379 UOO655314:UOO655379 UYK655314:UYK655379 VIG655314:VIG655379 VSC655314:VSC655379 WBY655314:WBY655379 WLU655314:WLU655379 WVQ655314:WVQ655379 I720850:I720915 JE720850:JE720915 TA720850:TA720915 ACW720850:ACW720915 AMS720850:AMS720915 AWO720850:AWO720915 BGK720850:BGK720915 BQG720850:BQG720915 CAC720850:CAC720915 CJY720850:CJY720915 CTU720850:CTU720915 DDQ720850:DDQ720915 DNM720850:DNM720915 DXI720850:DXI720915 EHE720850:EHE720915 ERA720850:ERA720915 FAW720850:FAW720915 FKS720850:FKS720915 FUO720850:FUO720915 GEK720850:GEK720915 GOG720850:GOG720915 GYC720850:GYC720915 HHY720850:HHY720915 HRU720850:HRU720915 IBQ720850:IBQ720915 ILM720850:ILM720915 IVI720850:IVI720915 JFE720850:JFE720915 JPA720850:JPA720915 JYW720850:JYW720915 KIS720850:KIS720915 KSO720850:KSO720915 LCK720850:LCK720915 LMG720850:LMG720915 LWC720850:LWC720915 MFY720850:MFY720915 MPU720850:MPU720915 MZQ720850:MZQ720915 NJM720850:NJM720915 NTI720850:NTI720915 ODE720850:ODE720915 ONA720850:ONA720915 OWW720850:OWW720915 PGS720850:PGS720915 PQO720850:PQO720915 QAK720850:QAK720915 QKG720850:QKG720915 QUC720850:QUC720915 RDY720850:RDY720915 RNU720850:RNU720915 RXQ720850:RXQ720915 SHM720850:SHM720915 SRI720850:SRI720915 TBE720850:TBE720915 TLA720850:TLA720915 TUW720850:TUW720915 UES720850:UES720915 UOO720850:UOO720915 UYK720850:UYK720915 VIG720850:VIG720915 VSC720850:VSC720915 WBY720850:WBY720915 WLU720850:WLU720915 WVQ720850:WVQ720915 I786386:I786451 JE786386:JE786451 TA786386:TA786451 ACW786386:ACW786451 AMS786386:AMS786451 AWO786386:AWO786451 BGK786386:BGK786451 BQG786386:BQG786451 CAC786386:CAC786451 CJY786386:CJY786451 CTU786386:CTU786451 DDQ786386:DDQ786451 DNM786386:DNM786451 DXI786386:DXI786451 EHE786386:EHE786451 ERA786386:ERA786451 FAW786386:FAW786451 FKS786386:FKS786451 FUO786386:FUO786451 GEK786386:GEK786451 GOG786386:GOG786451 GYC786386:GYC786451 HHY786386:HHY786451 HRU786386:HRU786451 IBQ786386:IBQ786451 ILM786386:ILM786451 IVI786386:IVI786451 JFE786386:JFE786451 JPA786386:JPA786451 JYW786386:JYW786451 KIS786386:KIS786451 KSO786386:KSO786451 LCK786386:LCK786451 LMG786386:LMG786451 LWC786386:LWC786451 MFY786386:MFY786451 MPU786386:MPU786451 MZQ786386:MZQ786451 NJM786386:NJM786451 NTI786386:NTI786451 ODE786386:ODE786451 ONA786386:ONA786451 OWW786386:OWW786451 PGS786386:PGS786451 PQO786386:PQO786451 QAK786386:QAK786451 QKG786386:QKG786451 QUC786386:QUC786451 RDY786386:RDY786451 RNU786386:RNU786451 RXQ786386:RXQ786451 SHM786386:SHM786451 SRI786386:SRI786451 TBE786386:TBE786451 TLA786386:TLA786451 TUW786386:TUW786451 UES786386:UES786451 UOO786386:UOO786451 UYK786386:UYK786451 VIG786386:VIG786451 VSC786386:VSC786451 WBY786386:WBY786451 WLU786386:WLU786451 WVQ786386:WVQ786451 I851922:I851987 JE851922:JE851987 TA851922:TA851987 ACW851922:ACW851987 AMS851922:AMS851987 AWO851922:AWO851987 BGK851922:BGK851987 BQG851922:BQG851987 CAC851922:CAC851987 CJY851922:CJY851987 CTU851922:CTU851987 DDQ851922:DDQ851987 DNM851922:DNM851987 DXI851922:DXI851987 EHE851922:EHE851987 ERA851922:ERA851987 FAW851922:FAW851987 FKS851922:FKS851987 FUO851922:FUO851987 GEK851922:GEK851987 GOG851922:GOG851987 GYC851922:GYC851987 HHY851922:HHY851987 HRU851922:HRU851987 IBQ851922:IBQ851987 ILM851922:ILM851987 IVI851922:IVI851987 JFE851922:JFE851987 JPA851922:JPA851987 JYW851922:JYW851987 KIS851922:KIS851987 KSO851922:KSO851987 LCK851922:LCK851987 LMG851922:LMG851987 LWC851922:LWC851987 MFY851922:MFY851987 MPU851922:MPU851987 MZQ851922:MZQ851987 NJM851922:NJM851987 NTI851922:NTI851987 ODE851922:ODE851987 ONA851922:ONA851987 OWW851922:OWW851987 PGS851922:PGS851987 PQO851922:PQO851987 QAK851922:QAK851987 QKG851922:QKG851987 QUC851922:QUC851987 RDY851922:RDY851987 RNU851922:RNU851987 RXQ851922:RXQ851987 SHM851922:SHM851987 SRI851922:SRI851987 TBE851922:TBE851987 TLA851922:TLA851987 TUW851922:TUW851987 UES851922:UES851987 UOO851922:UOO851987 UYK851922:UYK851987 VIG851922:VIG851987 VSC851922:VSC851987 WBY851922:WBY851987 WLU851922:WLU851987 WVQ851922:WVQ851987 I917458:I917523 JE917458:JE917523 TA917458:TA917523 ACW917458:ACW917523 AMS917458:AMS917523 AWO917458:AWO917523 BGK917458:BGK917523 BQG917458:BQG917523 CAC917458:CAC917523 CJY917458:CJY917523 CTU917458:CTU917523 DDQ917458:DDQ917523 DNM917458:DNM917523 DXI917458:DXI917523 EHE917458:EHE917523 ERA917458:ERA917523 FAW917458:FAW917523 FKS917458:FKS917523 FUO917458:FUO917523 GEK917458:GEK917523 GOG917458:GOG917523 GYC917458:GYC917523 HHY917458:HHY917523 HRU917458:HRU917523 IBQ917458:IBQ917523 ILM917458:ILM917523 IVI917458:IVI917523 JFE917458:JFE917523 JPA917458:JPA917523 JYW917458:JYW917523 KIS917458:KIS917523 KSO917458:KSO917523 LCK917458:LCK917523 LMG917458:LMG917523 LWC917458:LWC917523 MFY917458:MFY917523 MPU917458:MPU917523 MZQ917458:MZQ917523 NJM917458:NJM917523 NTI917458:NTI917523 ODE917458:ODE917523 ONA917458:ONA917523 OWW917458:OWW917523 PGS917458:PGS917523 PQO917458:PQO917523 QAK917458:QAK917523 QKG917458:QKG917523 QUC917458:QUC917523 RDY917458:RDY917523 RNU917458:RNU917523 RXQ917458:RXQ917523 SHM917458:SHM917523 SRI917458:SRI917523 TBE917458:TBE917523 TLA917458:TLA917523 TUW917458:TUW917523 UES917458:UES917523 UOO917458:UOO917523 UYK917458:UYK917523 VIG917458:VIG917523 VSC917458:VSC917523 WBY917458:WBY917523 WLU917458:WLU917523 WVQ917458:WVQ917523 I982994:I983059 JE982994:JE983059 TA982994:TA983059 ACW982994:ACW983059 AMS982994:AMS983059 AWO982994:AWO983059 BGK982994:BGK983059 BQG982994:BQG983059 CAC982994:CAC983059 CJY982994:CJY983059 CTU982994:CTU983059 DDQ982994:DDQ983059 DNM982994:DNM983059 DXI982994:DXI983059 EHE982994:EHE983059 ERA982994:ERA983059 FAW982994:FAW983059 FKS982994:FKS983059 FUO982994:FUO983059 GEK982994:GEK983059 GOG982994:GOG983059 GYC982994:GYC983059 HHY982994:HHY983059 HRU982994:HRU983059 IBQ982994:IBQ983059 ILM982994:ILM983059 IVI982994:IVI983059 JFE982994:JFE983059 JPA982994:JPA983059 JYW982994:JYW983059 KIS982994:KIS983059 KSO982994:KSO983059 LCK982994:LCK983059 LMG982994:LMG983059 LWC982994:LWC983059 MFY982994:MFY983059 MPU982994:MPU983059 MZQ982994:MZQ983059 NJM982994:NJM983059 NTI982994:NTI983059 ODE982994:ODE983059 ONA982994:ONA983059 OWW982994:OWW983059 PGS982994:PGS983059 PQO982994:PQO983059 QAK982994:QAK983059 QKG982994:QKG983059 QUC982994:QUC983059 RDY982994:RDY983059 RNU982994:RNU983059 RXQ982994:RXQ983059 SHM982994:SHM983059 SRI982994:SRI983059 TBE982994:TBE983059 TLA982994:TLA983059 TUW982994:TUW983059 UES982994:UES983059 UOO982994:UOO983059 UYK982994:UYK983059 VIG982994:VIG983059 VSC982994:VSC983059 WBY982994:WBY983059 WLU982994:WLU983059 WVQ2:WVQ43 WLU2:WLU43 JE2:JE43 TA2:TA43 ACW2:ACW43 AMS2:AMS43 AWO2:AWO43 BGK2:BGK43 BQG2:BQG43 CAC2:CAC43 CJY2:CJY43 CTU2:CTU43 DDQ2:DDQ43 DNM2:DNM43 DXI2:DXI43 EHE2:EHE43 ERA2:ERA43 FAW2:FAW43 FKS2:FKS43 FUO2:FUO43 GEK2:GEK43 GOG2:GOG43 GYC2:GYC43 HHY2:HHY43 HRU2:HRU43 IBQ2:IBQ43 ILM2:ILM43 IVI2:IVI43 JFE2:JFE43 JPA2:JPA43 JYW2:JYW43 KIS2:KIS43 KSO2:KSO43 LCK2:LCK43 LMG2:LMG43 LWC2:LWC43 MFY2:MFY43 MPU2:MPU43 MZQ2:MZQ43 NJM2:NJM43 NTI2:NTI43 ODE2:ODE43 ONA2:ONA43 OWW2:OWW43 PGS2:PGS43 PQO2:PQO43 QAK2:QAK43 QKG2:QKG43 QUC2:QUC43 RDY2:RDY43 RNU2:RNU43 RXQ2:RXQ43 SHM2:SHM43 SRI2:SRI43 TBE2:TBE43 TLA2:TLA43 TUW2:TUW43 UES2:UES43 UOO2:UOO43 UYK2:UYK43 VIG2:VIG43 VSC2:VSC43 WBY2:WBY43 I2:I452" xr:uid="{A25A808B-A65B-4E30-9E5E-0D176ED9FF69}">
      <formula1>$AN$5:$AN$6</formula1>
    </dataValidation>
    <dataValidation type="list" allowBlank="1" showInputMessage="1" showErrorMessage="1" sqref="J64315:J64380 JF64315:JF64380 TB64315:TB64380 ACX64315:ACX64380 AMT64315:AMT64380 AWP64315:AWP64380 BGL64315:BGL64380 BQH64315:BQH64380 CAD64315:CAD64380 CJZ64315:CJZ64380 CTV64315:CTV64380 DDR64315:DDR64380 DNN64315:DNN64380 DXJ64315:DXJ64380 EHF64315:EHF64380 ERB64315:ERB64380 FAX64315:FAX64380 FKT64315:FKT64380 FUP64315:FUP64380 GEL64315:GEL64380 GOH64315:GOH64380 GYD64315:GYD64380 HHZ64315:HHZ64380 HRV64315:HRV64380 IBR64315:IBR64380 ILN64315:ILN64380 IVJ64315:IVJ64380 JFF64315:JFF64380 JPB64315:JPB64380 JYX64315:JYX64380 KIT64315:KIT64380 KSP64315:KSP64380 LCL64315:LCL64380 LMH64315:LMH64380 LWD64315:LWD64380 MFZ64315:MFZ64380 MPV64315:MPV64380 MZR64315:MZR64380 NJN64315:NJN64380 NTJ64315:NTJ64380 ODF64315:ODF64380 ONB64315:ONB64380 OWX64315:OWX64380 PGT64315:PGT64380 PQP64315:PQP64380 QAL64315:QAL64380 QKH64315:QKH64380 QUD64315:QUD64380 RDZ64315:RDZ64380 RNV64315:RNV64380 RXR64315:RXR64380 SHN64315:SHN64380 SRJ64315:SRJ64380 TBF64315:TBF64380 TLB64315:TLB64380 TUX64315:TUX64380 UET64315:UET64380 UOP64315:UOP64380 UYL64315:UYL64380 VIH64315:VIH64380 VSD64315:VSD64380 WBZ64315:WBZ64380 WLV64315:WLV64380 WVR64315:WVR64380 J129851:J129916 JF129851:JF129916 TB129851:TB129916 ACX129851:ACX129916 AMT129851:AMT129916 AWP129851:AWP129916 BGL129851:BGL129916 BQH129851:BQH129916 CAD129851:CAD129916 CJZ129851:CJZ129916 CTV129851:CTV129916 DDR129851:DDR129916 DNN129851:DNN129916 DXJ129851:DXJ129916 EHF129851:EHF129916 ERB129851:ERB129916 FAX129851:FAX129916 FKT129851:FKT129916 FUP129851:FUP129916 GEL129851:GEL129916 GOH129851:GOH129916 GYD129851:GYD129916 HHZ129851:HHZ129916 HRV129851:HRV129916 IBR129851:IBR129916 ILN129851:ILN129916 IVJ129851:IVJ129916 JFF129851:JFF129916 JPB129851:JPB129916 JYX129851:JYX129916 KIT129851:KIT129916 KSP129851:KSP129916 LCL129851:LCL129916 LMH129851:LMH129916 LWD129851:LWD129916 MFZ129851:MFZ129916 MPV129851:MPV129916 MZR129851:MZR129916 NJN129851:NJN129916 NTJ129851:NTJ129916 ODF129851:ODF129916 ONB129851:ONB129916 OWX129851:OWX129916 PGT129851:PGT129916 PQP129851:PQP129916 QAL129851:QAL129916 QKH129851:QKH129916 QUD129851:QUD129916 RDZ129851:RDZ129916 RNV129851:RNV129916 RXR129851:RXR129916 SHN129851:SHN129916 SRJ129851:SRJ129916 TBF129851:TBF129916 TLB129851:TLB129916 TUX129851:TUX129916 UET129851:UET129916 UOP129851:UOP129916 UYL129851:UYL129916 VIH129851:VIH129916 VSD129851:VSD129916 WBZ129851:WBZ129916 WLV129851:WLV129916 WVR129851:WVR129916 J195387:J195452 JF195387:JF195452 TB195387:TB195452 ACX195387:ACX195452 AMT195387:AMT195452 AWP195387:AWP195452 BGL195387:BGL195452 BQH195387:BQH195452 CAD195387:CAD195452 CJZ195387:CJZ195452 CTV195387:CTV195452 DDR195387:DDR195452 DNN195387:DNN195452 DXJ195387:DXJ195452 EHF195387:EHF195452 ERB195387:ERB195452 FAX195387:FAX195452 FKT195387:FKT195452 FUP195387:FUP195452 GEL195387:GEL195452 GOH195387:GOH195452 GYD195387:GYD195452 HHZ195387:HHZ195452 HRV195387:HRV195452 IBR195387:IBR195452 ILN195387:ILN195452 IVJ195387:IVJ195452 JFF195387:JFF195452 JPB195387:JPB195452 JYX195387:JYX195452 KIT195387:KIT195452 KSP195387:KSP195452 LCL195387:LCL195452 LMH195387:LMH195452 LWD195387:LWD195452 MFZ195387:MFZ195452 MPV195387:MPV195452 MZR195387:MZR195452 NJN195387:NJN195452 NTJ195387:NTJ195452 ODF195387:ODF195452 ONB195387:ONB195452 OWX195387:OWX195452 PGT195387:PGT195452 PQP195387:PQP195452 QAL195387:QAL195452 QKH195387:QKH195452 QUD195387:QUD195452 RDZ195387:RDZ195452 RNV195387:RNV195452 RXR195387:RXR195452 SHN195387:SHN195452 SRJ195387:SRJ195452 TBF195387:TBF195452 TLB195387:TLB195452 TUX195387:TUX195452 UET195387:UET195452 UOP195387:UOP195452 UYL195387:UYL195452 VIH195387:VIH195452 VSD195387:VSD195452 WBZ195387:WBZ195452 WLV195387:WLV195452 WVR195387:WVR195452 J260923:J260988 JF260923:JF260988 TB260923:TB260988 ACX260923:ACX260988 AMT260923:AMT260988 AWP260923:AWP260988 BGL260923:BGL260988 BQH260923:BQH260988 CAD260923:CAD260988 CJZ260923:CJZ260988 CTV260923:CTV260988 DDR260923:DDR260988 DNN260923:DNN260988 DXJ260923:DXJ260988 EHF260923:EHF260988 ERB260923:ERB260988 FAX260923:FAX260988 FKT260923:FKT260988 FUP260923:FUP260988 GEL260923:GEL260988 GOH260923:GOH260988 GYD260923:GYD260988 HHZ260923:HHZ260988 HRV260923:HRV260988 IBR260923:IBR260988 ILN260923:ILN260988 IVJ260923:IVJ260988 JFF260923:JFF260988 JPB260923:JPB260988 JYX260923:JYX260988 KIT260923:KIT260988 KSP260923:KSP260988 LCL260923:LCL260988 LMH260923:LMH260988 LWD260923:LWD260988 MFZ260923:MFZ260988 MPV260923:MPV260988 MZR260923:MZR260988 NJN260923:NJN260988 NTJ260923:NTJ260988 ODF260923:ODF260988 ONB260923:ONB260988 OWX260923:OWX260988 PGT260923:PGT260988 PQP260923:PQP260988 QAL260923:QAL260988 QKH260923:QKH260988 QUD260923:QUD260988 RDZ260923:RDZ260988 RNV260923:RNV260988 RXR260923:RXR260988 SHN260923:SHN260988 SRJ260923:SRJ260988 TBF260923:TBF260988 TLB260923:TLB260988 TUX260923:TUX260988 UET260923:UET260988 UOP260923:UOP260988 UYL260923:UYL260988 VIH260923:VIH260988 VSD260923:VSD260988 WBZ260923:WBZ260988 WLV260923:WLV260988 WVR260923:WVR260988 J326459:J326524 JF326459:JF326524 TB326459:TB326524 ACX326459:ACX326524 AMT326459:AMT326524 AWP326459:AWP326524 BGL326459:BGL326524 BQH326459:BQH326524 CAD326459:CAD326524 CJZ326459:CJZ326524 CTV326459:CTV326524 DDR326459:DDR326524 DNN326459:DNN326524 DXJ326459:DXJ326524 EHF326459:EHF326524 ERB326459:ERB326524 FAX326459:FAX326524 FKT326459:FKT326524 FUP326459:FUP326524 GEL326459:GEL326524 GOH326459:GOH326524 GYD326459:GYD326524 HHZ326459:HHZ326524 HRV326459:HRV326524 IBR326459:IBR326524 ILN326459:ILN326524 IVJ326459:IVJ326524 JFF326459:JFF326524 JPB326459:JPB326524 JYX326459:JYX326524 KIT326459:KIT326524 KSP326459:KSP326524 LCL326459:LCL326524 LMH326459:LMH326524 LWD326459:LWD326524 MFZ326459:MFZ326524 MPV326459:MPV326524 MZR326459:MZR326524 NJN326459:NJN326524 NTJ326459:NTJ326524 ODF326459:ODF326524 ONB326459:ONB326524 OWX326459:OWX326524 PGT326459:PGT326524 PQP326459:PQP326524 QAL326459:QAL326524 QKH326459:QKH326524 QUD326459:QUD326524 RDZ326459:RDZ326524 RNV326459:RNV326524 RXR326459:RXR326524 SHN326459:SHN326524 SRJ326459:SRJ326524 TBF326459:TBF326524 TLB326459:TLB326524 TUX326459:TUX326524 UET326459:UET326524 UOP326459:UOP326524 UYL326459:UYL326524 VIH326459:VIH326524 VSD326459:VSD326524 WBZ326459:WBZ326524 WLV326459:WLV326524 WVR326459:WVR326524 J391995:J392060 JF391995:JF392060 TB391995:TB392060 ACX391995:ACX392060 AMT391995:AMT392060 AWP391995:AWP392060 BGL391995:BGL392060 BQH391995:BQH392060 CAD391995:CAD392060 CJZ391995:CJZ392060 CTV391995:CTV392060 DDR391995:DDR392060 DNN391995:DNN392060 DXJ391995:DXJ392060 EHF391995:EHF392060 ERB391995:ERB392060 FAX391995:FAX392060 FKT391995:FKT392060 FUP391995:FUP392060 GEL391995:GEL392060 GOH391995:GOH392060 GYD391995:GYD392060 HHZ391995:HHZ392060 HRV391995:HRV392060 IBR391995:IBR392060 ILN391995:ILN392060 IVJ391995:IVJ392060 JFF391995:JFF392060 JPB391995:JPB392060 JYX391995:JYX392060 KIT391995:KIT392060 KSP391995:KSP392060 LCL391995:LCL392060 LMH391995:LMH392060 LWD391995:LWD392060 MFZ391995:MFZ392060 MPV391995:MPV392060 MZR391995:MZR392060 NJN391995:NJN392060 NTJ391995:NTJ392060 ODF391995:ODF392060 ONB391995:ONB392060 OWX391995:OWX392060 PGT391995:PGT392060 PQP391995:PQP392060 QAL391995:QAL392060 QKH391995:QKH392060 QUD391995:QUD392060 RDZ391995:RDZ392060 RNV391995:RNV392060 RXR391995:RXR392060 SHN391995:SHN392060 SRJ391995:SRJ392060 TBF391995:TBF392060 TLB391995:TLB392060 TUX391995:TUX392060 UET391995:UET392060 UOP391995:UOP392060 UYL391995:UYL392060 VIH391995:VIH392060 VSD391995:VSD392060 WBZ391995:WBZ392060 WLV391995:WLV392060 WVR391995:WVR392060 J457531:J457596 JF457531:JF457596 TB457531:TB457596 ACX457531:ACX457596 AMT457531:AMT457596 AWP457531:AWP457596 BGL457531:BGL457596 BQH457531:BQH457596 CAD457531:CAD457596 CJZ457531:CJZ457596 CTV457531:CTV457596 DDR457531:DDR457596 DNN457531:DNN457596 DXJ457531:DXJ457596 EHF457531:EHF457596 ERB457531:ERB457596 FAX457531:FAX457596 FKT457531:FKT457596 FUP457531:FUP457596 GEL457531:GEL457596 GOH457531:GOH457596 GYD457531:GYD457596 HHZ457531:HHZ457596 HRV457531:HRV457596 IBR457531:IBR457596 ILN457531:ILN457596 IVJ457531:IVJ457596 JFF457531:JFF457596 JPB457531:JPB457596 JYX457531:JYX457596 KIT457531:KIT457596 KSP457531:KSP457596 LCL457531:LCL457596 LMH457531:LMH457596 LWD457531:LWD457596 MFZ457531:MFZ457596 MPV457531:MPV457596 MZR457531:MZR457596 NJN457531:NJN457596 NTJ457531:NTJ457596 ODF457531:ODF457596 ONB457531:ONB457596 OWX457531:OWX457596 PGT457531:PGT457596 PQP457531:PQP457596 QAL457531:QAL457596 QKH457531:QKH457596 QUD457531:QUD457596 RDZ457531:RDZ457596 RNV457531:RNV457596 RXR457531:RXR457596 SHN457531:SHN457596 SRJ457531:SRJ457596 TBF457531:TBF457596 TLB457531:TLB457596 TUX457531:TUX457596 UET457531:UET457596 UOP457531:UOP457596 UYL457531:UYL457596 VIH457531:VIH457596 VSD457531:VSD457596 WBZ457531:WBZ457596 WLV457531:WLV457596 WVR457531:WVR457596 J523067:J523132 JF523067:JF523132 TB523067:TB523132 ACX523067:ACX523132 AMT523067:AMT523132 AWP523067:AWP523132 BGL523067:BGL523132 BQH523067:BQH523132 CAD523067:CAD523132 CJZ523067:CJZ523132 CTV523067:CTV523132 DDR523067:DDR523132 DNN523067:DNN523132 DXJ523067:DXJ523132 EHF523067:EHF523132 ERB523067:ERB523132 FAX523067:FAX523132 FKT523067:FKT523132 FUP523067:FUP523132 GEL523067:GEL523132 GOH523067:GOH523132 GYD523067:GYD523132 HHZ523067:HHZ523132 HRV523067:HRV523132 IBR523067:IBR523132 ILN523067:ILN523132 IVJ523067:IVJ523132 JFF523067:JFF523132 JPB523067:JPB523132 JYX523067:JYX523132 KIT523067:KIT523132 KSP523067:KSP523132 LCL523067:LCL523132 LMH523067:LMH523132 LWD523067:LWD523132 MFZ523067:MFZ523132 MPV523067:MPV523132 MZR523067:MZR523132 NJN523067:NJN523132 NTJ523067:NTJ523132 ODF523067:ODF523132 ONB523067:ONB523132 OWX523067:OWX523132 PGT523067:PGT523132 PQP523067:PQP523132 QAL523067:QAL523132 QKH523067:QKH523132 QUD523067:QUD523132 RDZ523067:RDZ523132 RNV523067:RNV523132 RXR523067:RXR523132 SHN523067:SHN523132 SRJ523067:SRJ523132 TBF523067:TBF523132 TLB523067:TLB523132 TUX523067:TUX523132 UET523067:UET523132 UOP523067:UOP523132 UYL523067:UYL523132 VIH523067:VIH523132 VSD523067:VSD523132 WBZ523067:WBZ523132 WLV523067:WLV523132 WVR523067:WVR523132 J588603:J588668 JF588603:JF588668 TB588603:TB588668 ACX588603:ACX588668 AMT588603:AMT588668 AWP588603:AWP588668 BGL588603:BGL588668 BQH588603:BQH588668 CAD588603:CAD588668 CJZ588603:CJZ588668 CTV588603:CTV588668 DDR588603:DDR588668 DNN588603:DNN588668 DXJ588603:DXJ588668 EHF588603:EHF588668 ERB588603:ERB588668 FAX588603:FAX588668 FKT588603:FKT588668 FUP588603:FUP588668 GEL588603:GEL588668 GOH588603:GOH588668 GYD588603:GYD588668 HHZ588603:HHZ588668 HRV588603:HRV588668 IBR588603:IBR588668 ILN588603:ILN588668 IVJ588603:IVJ588668 JFF588603:JFF588668 JPB588603:JPB588668 JYX588603:JYX588668 KIT588603:KIT588668 KSP588603:KSP588668 LCL588603:LCL588668 LMH588603:LMH588668 LWD588603:LWD588668 MFZ588603:MFZ588668 MPV588603:MPV588668 MZR588603:MZR588668 NJN588603:NJN588668 NTJ588603:NTJ588668 ODF588603:ODF588668 ONB588603:ONB588668 OWX588603:OWX588668 PGT588603:PGT588668 PQP588603:PQP588668 QAL588603:QAL588668 QKH588603:QKH588668 QUD588603:QUD588668 RDZ588603:RDZ588668 RNV588603:RNV588668 RXR588603:RXR588668 SHN588603:SHN588668 SRJ588603:SRJ588668 TBF588603:TBF588668 TLB588603:TLB588668 TUX588603:TUX588668 UET588603:UET588668 UOP588603:UOP588668 UYL588603:UYL588668 VIH588603:VIH588668 VSD588603:VSD588668 WBZ588603:WBZ588668 WLV588603:WLV588668 WVR588603:WVR588668 J654139:J654204 JF654139:JF654204 TB654139:TB654204 ACX654139:ACX654204 AMT654139:AMT654204 AWP654139:AWP654204 BGL654139:BGL654204 BQH654139:BQH654204 CAD654139:CAD654204 CJZ654139:CJZ654204 CTV654139:CTV654204 DDR654139:DDR654204 DNN654139:DNN654204 DXJ654139:DXJ654204 EHF654139:EHF654204 ERB654139:ERB654204 FAX654139:FAX654204 FKT654139:FKT654204 FUP654139:FUP654204 GEL654139:GEL654204 GOH654139:GOH654204 GYD654139:GYD654204 HHZ654139:HHZ654204 HRV654139:HRV654204 IBR654139:IBR654204 ILN654139:ILN654204 IVJ654139:IVJ654204 JFF654139:JFF654204 JPB654139:JPB654204 JYX654139:JYX654204 KIT654139:KIT654204 KSP654139:KSP654204 LCL654139:LCL654204 LMH654139:LMH654204 LWD654139:LWD654204 MFZ654139:MFZ654204 MPV654139:MPV654204 MZR654139:MZR654204 NJN654139:NJN654204 NTJ654139:NTJ654204 ODF654139:ODF654204 ONB654139:ONB654204 OWX654139:OWX654204 PGT654139:PGT654204 PQP654139:PQP654204 QAL654139:QAL654204 QKH654139:QKH654204 QUD654139:QUD654204 RDZ654139:RDZ654204 RNV654139:RNV654204 RXR654139:RXR654204 SHN654139:SHN654204 SRJ654139:SRJ654204 TBF654139:TBF654204 TLB654139:TLB654204 TUX654139:TUX654204 UET654139:UET654204 UOP654139:UOP654204 UYL654139:UYL654204 VIH654139:VIH654204 VSD654139:VSD654204 WBZ654139:WBZ654204 WLV654139:WLV654204 WVR654139:WVR654204 J719675:J719740 JF719675:JF719740 TB719675:TB719740 ACX719675:ACX719740 AMT719675:AMT719740 AWP719675:AWP719740 BGL719675:BGL719740 BQH719675:BQH719740 CAD719675:CAD719740 CJZ719675:CJZ719740 CTV719675:CTV719740 DDR719675:DDR719740 DNN719675:DNN719740 DXJ719675:DXJ719740 EHF719675:EHF719740 ERB719675:ERB719740 FAX719675:FAX719740 FKT719675:FKT719740 FUP719675:FUP719740 GEL719675:GEL719740 GOH719675:GOH719740 GYD719675:GYD719740 HHZ719675:HHZ719740 HRV719675:HRV719740 IBR719675:IBR719740 ILN719675:ILN719740 IVJ719675:IVJ719740 JFF719675:JFF719740 JPB719675:JPB719740 JYX719675:JYX719740 KIT719675:KIT719740 KSP719675:KSP719740 LCL719675:LCL719740 LMH719675:LMH719740 LWD719675:LWD719740 MFZ719675:MFZ719740 MPV719675:MPV719740 MZR719675:MZR719740 NJN719675:NJN719740 NTJ719675:NTJ719740 ODF719675:ODF719740 ONB719675:ONB719740 OWX719675:OWX719740 PGT719675:PGT719740 PQP719675:PQP719740 QAL719675:QAL719740 QKH719675:QKH719740 QUD719675:QUD719740 RDZ719675:RDZ719740 RNV719675:RNV719740 RXR719675:RXR719740 SHN719675:SHN719740 SRJ719675:SRJ719740 TBF719675:TBF719740 TLB719675:TLB719740 TUX719675:TUX719740 UET719675:UET719740 UOP719675:UOP719740 UYL719675:UYL719740 VIH719675:VIH719740 VSD719675:VSD719740 WBZ719675:WBZ719740 WLV719675:WLV719740 WVR719675:WVR719740 J785211:J785276 JF785211:JF785276 TB785211:TB785276 ACX785211:ACX785276 AMT785211:AMT785276 AWP785211:AWP785276 BGL785211:BGL785276 BQH785211:BQH785276 CAD785211:CAD785276 CJZ785211:CJZ785276 CTV785211:CTV785276 DDR785211:DDR785276 DNN785211:DNN785276 DXJ785211:DXJ785276 EHF785211:EHF785276 ERB785211:ERB785276 FAX785211:FAX785276 FKT785211:FKT785276 FUP785211:FUP785276 GEL785211:GEL785276 GOH785211:GOH785276 GYD785211:GYD785276 HHZ785211:HHZ785276 HRV785211:HRV785276 IBR785211:IBR785276 ILN785211:ILN785276 IVJ785211:IVJ785276 JFF785211:JFF785276 JPB785211:JPB785276 JYX785211:JYX785276 KIT785211:KIT785276 KSP785211:KSP785276 LCL785211:LCL785276 LMH785211:LMH785276 LWD785211:LWD785276 MFZ785211:MFZ785276 MPV785211:MPV785276 MZR785211:MZR785276 NJN785211:NJN785276 NTJ785211:NTJ785276 ODF785211:ODF785276 ONB785211:ONB785276 OWX785211:OWX785276 PGT785211:PGT785276 PQP785211:PQP785276 QAL785211:QAL785276 QKH785211:QKH785276 QUD785211:QUD785276 RDZ785211:RDZ785276 RNV785211:RNV785276 RXR785211:RXR785276 SHN785211:SHN785276 SRJ785211:SRJ785276 TBF785211:TBF785276 TLB785211:TLB785276 TUX785211:TUX785276 UET785211:UET785276 UOP785211:UOP785276 UYL785211:UYL785276 VIH785211:VIH785276 VSD785211:VSD785276 WBZ785211:WBZ785276 WLV785211:WLV785276 WVR785211:WVR785276 J850747:J850812 JF850747:JF850812 TB850747:TB850812 ACX850747:ACX850812 AMT850747:AMT850812 AWP850747:AWP850812 BGL850747:BGL850812 BQH850747:BQH850812 CAD850747:CAD850812 CJZ850747:CJZ850812 CTV850747:CTV850812 DDR850747:DDR850812 DNN850747:DNN850812 DXJ850747:DXJ850812 EHF850747:EHF850812 ERB850747:ERB850812 FAX850747:FAX850812 FKT850747:FKT850812 FUP850747:FUP850812 GEL850747:GEL850812 GOH850747:GOH850812 GYD850747:GYD850812 HHZ850747:HHZ850812 HRV850747:HRV850812 IBR850747:IBR850812 ILN850747:ILN850812 IVJ850747:IVJ850812 JFF850747:JFF850812 JPB850747:JPB850812 JYX850747:JYX850812 KIT850747:KIT850812 KSP850747:KSP850812 LCL850747:LCL850812 LMH850747:LMH850812 LWD850747:LWD850812 MFZ850747:MFZ850812 MPV850747:MPV850812 MZR850747:MZR850812 NJN850747:NJN850812 NTJ850747:NTJ850812 ODF850747:ODF850812 ONB850747:ONB850812 OWX850747:OWX850812 PGT850747:PGT850812 PQP850747:PQP850812 QAL850747:QAL850812 QKH850747:QKH850812 QUD850747:QUD850812 RDZ850747:RDZ850812 RNV850747:RNV850812 RXR850747:RXR850812 SHN850747:SHN850812 SRJ850747:SRJ850812 TBF850747:TBF850812 TLB850747:TLB850812 TUX850747:TUX850812 UET850747:UET850812 UOP850747:UOP850812 UYL850747:UYL850812 VIH850747:VIH850812 VSD850747:VSD850812 WBZ850747:WBZ850812 WLV850747:WLV850812 WVR850747:WVR850812 J916283:J916348 JF916283:JF916348 TB916283:TB916348 ACX916283:ACX916348 AMT916283:AMT916348 AWP916283:AWP916348 BGL916283:BGL916348 BQH916283:BQH916348 CAD916283:CAD916348 CJZ916283:CJZ916348 CTV916283:CTV916348 DDR916283:DDR916348 DNN916283:DNN916348 DXJ916283:DXJ916348 EHF916283:EHF916348 ERB916283:ERB916348 FAX916283:FAX916348 FKT916283:FKT916348 FUP916283:FUP916348 GEL916283:GEL916348 GOH916283:GOH916348 GYD916283:GYD916348 HHZ916283:HHZ916348 HRV916283:HRV916348 IBR916283:IBR916348 ILN916283:ILN916348 IVJ916283:IVJ916348 JFF916283:JFF916348 JPB916283:JPB916348 JYX916283:JYX916348 KIT916283:KIT916348 KSP916283:KSP916348 LCL916283:LCL916348 LMH916283:LMH916348 LWD916283:LWD916348 MFZ916283:MFZ916348 MPV916283:MPV916348 MZR916283:MZR916348 NJN916283:NJN916348 NTJ916283:NTJ916348 ODF916283:ODF916348 ONB916283:ONB916348 OWX916283:OWX916348 PGT916283:PGT916348 PQP916283:PQP916348 QAL916283:QAL916348 QKH916283:QKH916348 QUD916283:QUD916348 RDZ916283:RDZ916348 RNV916283:RNV916348 RXR916283:RXR916348 SHN916283:SHN916348 SRJ916283:SRJ916348 TBF916283:TBF916348 TLB916283:TLB916348 TUX916283:TUX916348 UET916283:UET916348 UOP916283:UOP916348 UYL916283:UYL916348 VIH916283:VIH916348 VSD916283:VSD916348 WBZ916283:WBZ916348 WLV916283:WLV916348 WVR916283:WVR916348 J981819:J981884 JF981819:JF981884 TB981819:TB981884 ACX981819:ACX981884 AMT981819:AMT981884 AWP981819:AWP981884 BGL981819:BGL981884 BQH981819:BQH981884 CAD981819:CAD981884 CJZ981819:CJZ981884 CTV981819:CTV981884 DDR981819:DDR981884 DNN981819:DNN981884 DXJ981819:DXJ981884 EHF981819:EHF981884 ERB981819:ERB981884 FAX981819:FAX981884 FKT981819:FKT981884 FUP981819:FUP981884 GEL981819:GEL981884 GOH981819:GOH981884 GYD981819:GYD981884 HHZ981819:HHZ981884 HRV981819:HRV981884 IBR981819:IBR981884 ILN981819:ILN981884 IVJ981819:IVJ981884 JFF981819:JFF981884 JPB981819:JPB981884 JYX981819:JYX981884 KIT981819:KIT981884 KSP981819:KSP981884 LCL981819:LCL981884 LMH981819:LMH981884 LWD981819:LWD981884 MFZ981819:MFZ981884 MPV981819:MPV981884 MZR981819:MZR981884 NJN981819:NJN981884 NTJ981819:NTJ981884 ODF981819:ODF981884 ONB981819:ONB981884 OWX981819:OWX981884 PGT981819:PGT981884 PQP981819:PQP981884 QAL981819:QAL981884 QKH981819:QKH981884 QUD981819:QUD981884 RDZ981819:RDZ981884 RNV981819:RNV981884 RXR981819:RXR981884 SHN981819:SHN981884 SRJ981819:SRJ981884 TBF981819:TBF981884 TLB981819:TLB981884 TUX981819:TUX981884 UET981819:UET981884 UOP981819:UOP981884 UYL981819:UYL981884 VIH981819:VIH981884 VSD981819:VSD981884 WBZ981819:WBZ981884 WLV981819:WLV981884 WVR981819:WVR981884 J1047355:J1047420 JF1047355:JF1047420 TB1047355:TB1047420 ACX1047355:ACX1047420 AMT1047355:AMT1047420 AWP1047355:AWP1047420 BGL1047355:BGL1047420 BQH1047355:BQH1047420 CAD1047355:CAD1047420 CJZ1047355:CJZ1047420 CTV1047355:CTV1047420 DDR1047355:DDR1047420 DNN1047355:DNN1047420 DXJ1047355:DXJ1047420 EHF1047355:EHF1047420 ERB1047355:ERB1047420 FAX1047355:FAX1047420 FKT1047355:FKT1047420 FUP1047355:FUP1047420 GEL1047355:GEL1047420 GOH1047355:GOH1047420 GYD1047355:GYD1047420 HHZ1047355:HHZ1047420 HRV1047355:HRV1047420 IBR1047355:IBR1047420 ILN1047355:ILN1047420 IVJ1047355:IVJ1047420 JFF1047355:JFF1047420 JPB1047355:JPB1047420 JYX1047355:JYX1047420 KIT1047355:KIT1047420 KSP1047355:KSP1047420 LCL1047355:LCL1047420 LMH1047355:LMH1047420 LWD1047355:LWD1047420 MFZ1047355:MFZ1047420 MPV1047355:MPV1047420 MZR1047355:MZR1047420 NJN1047355:NJN1047420 NTJ1047355:NTJ1047420 ODF1047355:ODF1047420 ONB1047355:ONB1047420 OWX1047355:OWX1047420 PGT1047355:PGT1047420 PQP1047355:PQP1047420 QAL1047355:QAL1047420 QKH1047355:QKH1047420 QUD1047355:QUD1047420 RDZ1047355:RDZ1047420 RNV1047355:RNV1047420 RXR1047355:RXR1047420 SHN1047355:SHN1047420 SRJ1047355:SRJ1047420 TBF1047355:TBF1047420 TLB1047355:TLB1047420 TUX1047355:TUX1047420 UET1047355:UET1047420 UOP1047355:UOP1047420 UYL1047355:UYL1047420 VIH1047355:VIH1047420 VSD1047355:VSD1047420 WBZ1047355:WBZ1047420 WLV1047355:WLV1047420 WVR1047355:WVR1047420" xr:uid="{E592E412-9F40-4736-A855-F172B319B232}">
      <formula1>$AP$2:$AP$15</formula1>
    </dataValidation>
    <dataValidation type="list" allowBlank="1" showInputMessage="1" showErrorMessage="1" sqref="K64315:K64380 JG64315:JG64380 TC64315:TC64380 ACY64315:ACY64380 AMU64315:AMU64380 AWQ64315:AWQ64380 BGM64315:BGM64380 BQI64315:BQI64380 CAE64315:CAE64380 CKA64315:CKA64380 CTW64315:CTW64380 DDS64315:DDS64380 DNO64315:DNO64380 DXK64315:DXK64380 EHG64315:EHG64380 ERC64315:ERC64380 FAY64315:FAY64380 FKU64315:FKU64380 FUQ64315:FUQ64380 GEM64315:GEM64380 GOI64315:GOI64380 GYE64315:GYE64380 HIA64315:HIA64380 HRW64315:HRW64380 IBS64315:IBS64380 ILO64315:ILO64380 IVK64315:IVK64380 JFG64315:JFG64380 JPC64315:JPC64380 JYY64315:JYY64380 KIU64315:KIU64380 KSQ64315:KSQ64380 LCM64315:LCM64380 LMI64315:LMI64380 LWE64315:LWE64380 MGA64315:MGA64380 MPW64315:MPW64380 MZS64315:MZS64380 NJO64315:NJO64380 NTK64315:NTK64380 ODG64315:ODG64380 ONC64315:ONC64380 OWY64315:OWY64380 PGU64315:PGU64380 PQQ64315:PQQ64380 QAM64315:QAM64380 QKI64315:QKI64380 QUE64315:QUE64380 REA64315:REA64380 RNW64315:RNW64380 RXS64315:RXS64380 SHO64315:SHO64380 SRK64315:SRK64380 TBG64315:TBG64380 TLC64315:TLC64380 TUY64315:TUY64380 UEU64315:UEU64380 UOQ64315:UOQ64380 UYM64315:UYM64380 VII64315:VII64380 VSE64315:VSE64380 WCA64315:WCA64380 WLW64315:WLW64380 WVS64315:WVS64380 K129851:K129916 JG129851:JG129916 TC129851:TC129916 ACY129851:ACY129916 AMU129851:AMU129916 AWQ129851:AWQ129916 BGM129851:BGM129916 BQI129851:BQI129916 CAE129851:CAE129916 CKA129851:CKA129916 CTW129851:CTW129916 DDS129851:DDS129916 DNO129851:DNO129916 DXK129851:DXK129916 EHG129851:EHG129916 ERC129851:ERC129916 FAY129851:FAY129916 FKU129851:FKU129916 FUQ129851:FUQ129916 GEM129851:GEM129916 GOI129851:GOI129916 GYE129851:GYE129916 HIA129851:HIA129916 HRW129851:HRW129916 IBS129851:IBS129916 ILO129851:ILO129916 IVK129851:IVK129916 JFG129851:JFG129916 JPC129851:JPC129916 JYY129851:JYY129916 KIU129851:KIU129916 KSQ129851:KSQ129916 LCM129851:LCM129916 LMI129851:LMI129916 LWE129851:LWE129916 MGA129851:MGA129916 MPW129851:MPW129916 MZS129851:MZS129916 NJO129851:NJO129916 NTK129851:NTK129916 ODG129851:ODG129916 ONC129851:ONC129916 OWY129851:OWY129916 PGU129851:PGU129916 PQQ129851:PQQ129916 QAM129851:QAM129916 QKI129851:QKI129916 QUE129851:QUE129916 REA129851:REA129916 RNW129851:RNW129916 RXS129851:RXS129916 SHO129851:SHO129916 SRK129851:SRK129916 TBG129851:TBG129916 TLC129851:TLC129916 TUY129851:TUY129916 UEU129851:UEU129916 UOQ129851:UOQ129916 UYM129851:UYM129916 VII129851:VII129916 VSE129851:VSE129916 WCA129851:WCA129916 WLW129851:WLW129916 WVS129851:WVS129916 K195387:K195452 JG195387:JG195452 TC195387:TC195452 ACY195387:ACY195452 AMU195387:AMU195452 AWQ195387:AWQ195452 BGM195387:BGM195452 BQI195387:BQI195452 CAE195387:CAE195452 CKA195387:CKA195452 CTW195387:CTW195452 DDS195387:DDS195452 DNO195387:DNO195452 DXK195387:DXK195452 EHG195387:EHG195452 ERC195387:ERC195452 FAY195387:FAY195452 FKU195387:FKU195452 FUQ195387:FUQ195452 GEM195387:GEM195452 GOI195387:GOI195452 GYE195387:GYE195452 HIA195387:HIA195452 HRW195387:HRW195452 IBS195387:IBS195452 ILO195387:ILO195452 IVK195387:IVK195452 JFG195387:JFG195452 JPC195387:JPC195452 JYY195387:JYY195452 KIU195387:KIU195452 KSQ195387:KSQ195452 LCM195387:LCM195452 LMI195387:LMI195452 LWE195387:LWE195452 MGA195387:MGA195452 MPW195387:MPW195452 MZS195387:MZS195452 NJO195387:NJO195452 NTK195387:NTK195452 ODG195387:ODG195452 ONC195387:ONC195452 OWY195387:OWY195452 PGU195387:PGU195452 PQQ195387:PQQ195452 QAM195387:QAM195452 QKI195387:QKI195452 QUE195387:QUE195452 REA195387:REA195452 RNW195387:RNW195452 RXS195387:RXS195452 SHO195387:SHO195452 SRK195387:SRK195452 TBG195387:TBG195452 TLC195387:TLC195452 TUY195387:TUY195452 UEU195387:UEU195452 UOQ195387:UOQ195452 UYM195387:UYM195452 VII195387:VII195452 VSE195387:VSE195452 WCA195387:WCA195452 WLW195387:WLW195452 WVS195387:WVS195452 K260923:K260988 JG260923:JG260988 TC260923:TC260988 ACY260923:ACY260988 AMU260923:AMU260988 AWQ260923:AWQ260988 BGM260923:BGM260988 BQI260923:BQI260988 CAE260923:CAE260988 CKA260923:CKA260988 CTW260923:CTW260988 DDS260923:DDS260988 DNO260923:DNO260988 DXK260923:DXK260988 EHG260923:EHG260988 ERC260923:ERC260988 FAY260923:FAY260988 FKU260923:FKU260988 FUQ260923:FUQ260988 GEM260923:GEM260988 GOI260923:GOI260988 GYE260923:GYE260988 HIA260923:HIA260988 HRW260923:HRW260988 IBS260923:IBS260988 ILO260923:ILO260988 IVK260923:IVK260988 JFG260923:JFG260988 JPC260923:JPC260988 JYY260923:JYY260988 KIU260923:KIU260988 KSQ260923:KSQ260988 LCM260923:LCM260988 LMI260923:LMI260988 LWE260923:LWE260988 MGA260923:MGA260988 MPW260923:MPW260988 MZS260923:MZS260988 NJO260923:NJO260988 NTK260923:NTK260988 ODG260923:ODG260988 ONC260923:ONC260988 OWY260923:OWY260988 PGU260923:PGU260988 PQQ260923:PQQ260988 QAM260923:QAM260988 QKI260923:QKI260988 QUE260923:QUE260988 REA260923:REA260988 RNW260923:RNW260988 RXS260923:RXS260988 SHO260923:SHO260988 SRK260923:SRK260988 TBG260923:TBG260988 TLC260923:TLC260988 TUY260923:TUY260988 UEU260923:UEU260988 UOQ260923:UOQ260988 UYM260923:UYM260988 VII260923:VII260988 VSE260923:VSE260988 WCA260923:WCA260988 WLW260923:WLW260988 WVS260923:WVS260988 K326459:K326524 JG326459:JG326524 TC326459:TC326524 ACY326459:ACY326524 AMU326459:AMU326524 AWQ326459:AWQ326524 BGM326459:BGM326524 BQI326459:BQI326524 CAE326459:CAE326524 CKA326459:CKA326524 CTW326459:CTW326524 DDS326459:DDS326524 DNO326459:DNO326524 DXK326459:DXK326524 EHG326459:EHG326524 ERC326459:ERC326524 FAY326459:FAY326524 FKU326459:FKU326524 FUQ326459:FUQ326524 GEM326459:GEM326524 GOI326459:GOI326524 GYE326459:GYE326524 HIA326459:HIA326524 HRW326459:HRW326524 IBS326459:IBS326524 ILO326459:ILO326524 IVK326459:IVK326524 JFG326459:JFG326524 JPC326459:JPC326524 JYY326459:JYY326524 KIU326459:KIU326524 KSQ326459:KSQ326524 LCM326459:LCM326524 LMI326459:LMI326524 LWE326459:LWE326524 MGA326459:MGA326524 MPW326459:MPW326524 MZS326459:MZS326524 NJO326459:NJO326524 NTK326459:NTK326524 ODG326459:ODG326524 ONC326459:ONC326524 OWY326459:OWY326524 PGU326459:PGU326524 PQQ326459:PQQ326524 QAM326459:QAM326524 QKI326459:QKI326524 QUE326459:QUE326524 REA326459:REA326524 RNW326459:RNW326524 RXS326459:RXS326524 SHO326459:SHO326524 SRK326459:SRK326524 TBG326459:TBG326524 TLC326459:TLC326524 TUY326459:TUY326524 UEU326459:UEU326524 UOQ326459:UOQ326524 UYM326459:UYM326524 VII326459:VII326524 VSE326459:VSE326524 WCA326459:WCA326524 WLW326459:WLW326524 WVS326459:WVS326524 K391995:K392060 JG391995:JG392060 TC391995:TC392060 ACY391995:ACY392060 AMU391995:AMU392060 AWQ391995:AWQ392060 BGM391995:BGM392060 BQI391995:BQI392060 CAE391995:CAE392060 CKA391995:CKA392060 CTW391995:CTW392060 DDS391995:DDS392060 DNO391995:DNO392060 DXK391995:DXK392060 EHG391995:EHG392060 ERC391995:ERC392060 FAY391995:FAY392060 FKU391995:FKU392060 FUQ391995:FUQ392060 GEM391995:GEM392060 GOI391995:GOI392060 GYE391995:GYE392060 HIA391995:HIA392060 HRW391995:HRW392060 IBS391995:IBS392060 ILO391995:ILO392060 IVK391995:IVK392060 JFG391995:JFG392060 JPC391995:JPC392060 JYY391995:JYY392060 KIU391995:KIU392060 KSQ391995:KSQ392060 LCM391995:LCM392060 LMI391995:LMI392060 LWE391995:LWE392060 MGA391995:MGA392060 MPW391995:MPW392060 MZS391995:MZS392060 NJO391995:NJO392060 NTK391995:NTK392060 ODG391995:ODG392060 ONC391995:ONC392060 OWY391995:OWY392060 PGU391995:PGU392060 PQQ391995:PQQ392060 QAM391995:QAM392060 QKI391995:QKI392060 QUE391995:QUE392060 REA391995:REA392060 RNW391995:RNW392060 RXS391995:RXS392060 SHO391995:SHO392060 SRK391995:SRK392060 TBG391995:TBG392060 TLC391995:TLC392060 TUY391995:TUY392060 UEU391995:UEU392060 UOQ391995:UOQ392060 UYM391995:UYM392060 VII391995:VII392060 VSE391995:VSE392060 WCA391995:WCA392060 WLW391995:WLW392060 WVS391995:WVS392060 K457531:K457596 JG457531:JG457596 TC457531:TC457596 ACY457531:ACY457596 AMU457531:AMU457596 AWQ457531:AWQ457596 BGM457531:BGM457596 BQI457531:BQI457596 CAE457531:CAE457596 CKA457531:CKA457596 CTW457531:CTW457596 DDS457531:DDS457596 DNO457531:DNO457596 DXK457531:DXK457596 EHG457531:EHG457596 ERC457531:ERC457596 FAY457531:FAY457596 FKU457531:FKU457596 FUQ457531:FUQ457596 GEM457531:GEM457596 GOI457531:GOI457596 GYE457531:GYE457596 HIA457531:HIA457596 HRW457531:HRW457596 IBS457531:IBS457596 ILO457531:ILO457596 IVK457531:IVK457596 JFG457531:JFG457596 JPC457531:JPC457596 JYY457531:JYY457596 KIU457531:KIU457596 KSQ457531:KSQ457596 LCM457531:LCM457596 LMI457531:LMI457596 LWE457531:LWE457596 MGA457531:MGA457596 MPW457531:MPW457596 MZS457531:MZS457596 NJO457531:NJO457596 NTK457531:NTK457596 ODG457531:ODG457596 ONC457531:ONC457596 OWY457531:OWY457596 PGU457531:PGU457596 PQQ457531:PQQ457596 QAM457531:QAM457596 QKI457531:QKI457596 QUE457531:QUE457596 REA457531:REA457596 RNW457531:RNW457596 RXS457531:RXS457596 SHO457531:SHO457596 SRK457531:SRK457596 TBG457531:TBG457596 TLC457531:TLC457596 TUY457531:TUY457596 UEU457531:UEU457596 UOQ457531:UOQ457596 UYM457531:UYM457596 VII457531:VII457596 VSE457531:VSE457596 WCA457531:WCA457596 WLW457531:WLW457596 WVS457531:WVS457596 K523067:K523132 JG523067:JG523132 TC523067:TC523132 ACY523067:ACY523132 AMU523067:AMU523132 AWQ523067:AWQ523132 BGM523067:BGM523132 BQI523067:BQI523132 CAE523067:CAE523132 CKA523067:CKA523132 CTW523067:CTW523132 DDS523067:DDS523132 DNO523067:DNO523132 DXK523067:DXK523132 EHG523067:EHG523132 ERC523067:ERC523132 FAY523067:FAY523132 FKU523067:FKU523132 FUQ523067:FUQ523132 GEM523067:GEM523132 GOI523067:GOI523132 GYE523067:GYE523132 HIA523067:HIA523132 HRW523067:HRW523132 IBS523067:IBS523132 ILO523067:ILO523132 IVK523067:IVK523132 JFG523067:JFG523132 JPC523067:JPC523132 JYY523067:JYY523132 KIU523067:KIU523132 KSQ523067:KSQ523132 LCM523067:LCM523132 LMI523067:LMI523132 LWE523067:LWE523132 MGA523067:MGA523132 MPW523067:MPW523132 MZS523067:MZS523132 NJO523067:NJO523132 NTK523067:NTK523132 ODG523067:ODG523132 ONC523067:ONC523132 OWY523067:OWY523132 PGU523067:PGU523132 PQQ523067:PQQ523132 QAM523067:QAM523132 QKI523067:QKI523132 QUE523067:QUE523132 REA523067:REA523132 RNW523067:RNW523132 RXS523067:RXS523132 SHO523067:SHO523132 SRK523067:SRK523132 TBG523067:TBG523132 TLC523067:TLC523132 TUY523067:TUY523132 UEU523067:UEU523132 UOQ523067:UOQ523132 UYM523067:UYM523132 VII523067:VII523132 VSE523067:VSE523132 WCA523067:WCA523132 WLW523067:WLW523132 WVS523067:WVS523132 K588603:K588668 JG588603:JG588668 TC588603:TC588668 ACY588603:ACY588668 AMU588603:AMU588668 AWQ588603:AWQ588668 BGM588603:BGM588668 BQI588603:BQI588668 CAE588603:CAE588668 CKA588603:CKA588668 CTW588603:CTW588668 DDS588603:DDS588668 DNO588603:DNO588668 DXK588603:DXK588668 EHG588603:EHG588668 ERC588603:ERC588668 FAY588603:FAY588668 FKU588603:FKU588668 FUQ588603:FUQ588668 GEM588603:GEM588668 GOI588603:GOI588668 GYE588603:GYE588668 HIA588603:HIA588668 HRW588603:HRW588668 IBS588603:IBS588668 ILO588603:ILO588668 IVK588603:IVK588668 JFG588603:JFG588668 JPC588603:JPC588668 JYY588603:JYY588668 KIU588603:KIU588668 KSQ588603:KSQ588668 LCM588603:LCM588668 LMI588603:LMI588668 LWE588603:LWE588668 MGA588603:MGA588668 MPW588603:MPW588668 MZS588603:MZS588668 NJO588603:NJO588668 NTK588603:NTK588668 ODG588603:ODG588668 ONC588603:ONC588668 OWY588603:OWY588668 PGU588603:PGU588668 PQQ588603:PQQ588668 QAM588603:QAM588668 QKI588603:QKI588668 QUE588603:QUE588668 REA588603:REA588668 RNW588603:RNW588668 RXS588603:RXS588668 SHO588603:SHO588668 SRK588603:SRK588668 TBG588603:TBG588668 TLC588603:TLC588668 TUY588603:TUY588668 UEU588603:UEU588668 UOQ588603:UOQ588668 UYM588603:UYM588668 VII588603:VII588668 VSE588603:VSE588668 WCA588603:WCA588668 WLW588603:WLW588668 WVS588603:WVS588668 K654139:K654204 JG654139:JG654204 TC654139:TC654204 ACY654139:ACY654204 AMU654139:AMU654204 AWQ654139:AWQ654204 BGM654139:BGM654204 BQI654139:BQI654204 CAE654139:CAE654204 CKA654139:CKA654204 CTW654139:CTW654204 DDS654139:DDS654204 DNO654139:DNO654204 DXK654139:DXK654204 EHG654139:EHG654204 ERC654139:ERC654204 FAY654139:FAY654204 FKU654139:FKU654204 FUQ654139:FUQ654204 GEM654139:GEM654204 GOI654139:GOI654204 GYE654139:GYE654204 HIA654139:HIA654204 HRW654139:HRW654204 IBS654139:IBS654204 ILO654139:ILO654204 IVK654139:IVK654204 JFG654139:JFG654204 JPC654139:JPC654204 JYY654139:JYY654204 KIU654139:KIU654204 KSQ654139:KSQ654204 LCM654139:LCM654204 LMI654139:LMI654204 LWE654139:LWE654204 MGA654139:MGA654204 MPW654139:MPW654204 MZS654139:MZS654204 NJO654139:NJO654204 NTK654139:NTK654204 ODG654139:ODG654204 ONC654139:ONC654204 OWY654139:OWY654204 PGU654139:PGU654204 PQQ654139:PQQ654204 QAM654139:QAM654204 QKI654139:QKI654204 QUE654139:QUE654204 REA654139:REA654204 RNW654139:RNW654204 RXS654139:RXS654204 SHO654139:SHO654204 SRK654139:SRK654204 TBG654139:TBG654204 TLC654139:TLC654204 TUY654139:TUY654204 UEU654139:UEU654204 UOQ654139:UOQ654204 UYM654139:UYM654204 VII654139:VII654204 VSE654139:VSE654204 WCA654139:WCA654204 WLW654139:WLW654204 WVS654139:WVS654204 K719675:K719740 JG719675:JG719740 TC719675:TC719740 ACY719675:ACY719740 AMU719675:AMU719740 AWQ719675:AWQ719740 BGM719675:BGM719740 BQI719675:BQI719740 CAE719675:CAE719740 CKA719675:CKA719740 CTW719675:CTW719740 DDS719675:DDS719740 DNO719675:DNO719740 DXK719675:DXK719740 EHG719675:EHG719740 ERC719675:ERC719740 FAY719675:FAY719740 FKU719675:FKU719740 FUQ719675:FUQ719740 GEM719675:GEM719740 GOI719675:GOI719740 GYE719675:GYE719740 HIA719675:HIA719740 HRW719675:HRW719740 IBS719675:IBS719740 ILO719675:ILO719740 IVK719675:IVK719740 JFG719675:JFG719740 JPC719675:JPC719740 JYY719675:JYY719740 KIU719675:KIU719740 KSQ719675:KSQ719740 LCM719675:LCM719740 LMI719675:LMI719740 LWE719675:LWE719740 MGA719675:MGA719740 MPW719675:MPW719740 MZS719675:MZS719740 NJO719675:NJO719740 NTK719675:NTK719740 ODG719675:ODG719740 ONC719675:ONC719740 OWY719675:OWY719740 PGU719675:PGU719740 PQQ719675:PQQ719740 QAM719675:QAM719740 QKI719675:QKI719740 QUE719675:QUE719740 REA719675:REA719740 RNW719675:RNW719740 RXS719675:RXS719740 SHO719675:SHO719740 SRK719675:SRK719740 TBG719675:TBG719740 TLC719675:TLC719740 TUY719675:TUY719740 UEU719675:UEU719740 UOQ719675:UOQ719740 UYM719675:UYM719740 VII719675:VII719740 VSE719675:VSE719740 WCA719675:WCA719740 WLW719675:WLW719740 WVS719675:WVS719740 K785211:K785276 JG785211:JG785276 TC785211:TC785276 ACY785211:ACY785276 AMU785211:AMU785276 AWQ785211:AWQ785276 BGM785211:BGM785276 BQI785211:BQI785276 CAE785211:CAE785276 CKA785211:CKA785276 CTW785211:CTW785276 DDS785211:DDS785276 DNO785211:DNO785276 DXK785211:DXK785276 EHG785211:EHG785276 ERC785211:ERC785276 FAY785211:FAY785276 FKU785211:FKU785276 FUQ785211:FUQ785276 GEM785211:GEM785276 GOI785211:GOI785276 GYE785211:GYE785276 HIA785211:HIA785276 HRW785211:HRW785276 IBS785211:IBS785276 ILO785211:ILO785276 IVK785211:IVK785276 JFG785211:JFG785276 JPC785211:JPC785276 JYY785211:JYY785276 KIU785211:KIU785276 KSQ785211:KSQ785276 LCM785211:LCM785276 LMI785211:LMI785276 LWE785211:LWE785276 MGA785211:MGA785276 MPW785211:MPW785276 MZS785211:MZS785276 NJO785211:NJO785276 NTK785211:NTK785276 ODG785211:ODG785276 ONC785211:ONC785276 OWY785211:OWY785276 PGU785211:PGU785276 PQQ785211:PQQ785276 QAM785211:QAM785276 QKI785211:QKI785276 QUE785211:QUE785276 REA785211:REA785276 RNW785211:RNW785276 RXS785211:RXS785276 SHO785211:SHO785276 SRK785211:SRK785276 TBG785211:TBG785276 TLC785211:TLC785276 TUY785211:TUY785276 UEU785211:UEU785276 UOQ785211:UOQ785276 UYM785211:UYM785276 VII785211:VII785276 VSE785211:VSE785276 WCA785211:WCA785276 WLW785211:WLW785276 WVS785211:WVS785276 K850747:K850812 JG850747:JG850812 TC850747:TC850812 ACY850747:ACY850812 AMU850747:AMU850812 AWQ850747:AWQ850812 BGM850747:BGM850812 BQI850747:BQI850812 CAE850747:CAE850812 CKA850747:CKA850812 CTW850747:CTW850812 DDS850747:DDS850812 DNO850747:DNO850812 DXK850747:DXK850812 EHG850747:EHG850812 ERC850747:ERC850812 FAY850747:FAY850812 FKU850747:FKU850812 FUQ850747:FUQ850812 GEM850747:GEM850812 GOI850747:GOI850812 GYE850747:GYE850812 HIA850747:HIA850812 HRW850747:HRW850812 IBS850747:IBS850812 ILO850747:ILO850812 IVK850747:IVK850812 JFG850747:JFG850812 JPC850747:JPC850812 JYY850747:JYY850812 KIU850747:KIU850812 KSQ850747:KSQ850812 LCM850747:LCM850812 LMI850747:LMI850812 LWE850747:LWE850812 MGA850747:MGA850812 MPW850747:MPW850812 MZS850747:MZS850812 NJO850747:NJO850812 NTK850747:NTK850812 ODG850747:ODG850812 ONC850747:ONC850812 OWY850747:OWY850812 PGU850747:PGU850812 PQQ850747:PQQ850812 QAM850747:QAM850812 QKI850747:QKI850812 QUE850747:QUE850812 REA850747:REA850812 RNW850747:RNW850812 RXS850747:RXS850812 SHO850747:SHO850812 SRK850747:SRK850812 TBG850747:TBG850812 TLC850747:TLC850812 TUY850747:TUY850812 UEU850747:UEU850812 UOQ850747:UOQ850812 UYM850747:UYM850812 VII850747:VII850812 VSE850747:VSE850812 WCA850747:WCA850812 WLW850747:WLW850812 WVS850747:WVS850812 K916283:K916348 JG916283:JG916348 TC916283:TC916348 ACY916283:ACY916348 AMU916283:AMU916348 AWQ916283:AWQ916348 BGM916283:BGM916348 BQI916283:BQI916348 CAE916283:CAE916348 CKA916283:CKA916348 CTW916283:CTW916348 DDS916283:DDS916348 DNO916283:DNO916348 DXK916283:DXK916348 EHG916283:EHG916348 ERC916283:ERC916348 FAY916283:FAY916348 FKU916283:FKU916348 FUQ916283:FUQ916348 GEM916283:GEM916348 GOI916283:GOI916348 GYE916283:GYE916348 HIA916283:HIA916348 HRW916283:HRW916348 IBS916283:IBS916348 ILO916283:ILO916348 IVK916283:IVK916348 JFG916283:JFG916348 JPC916283:JPC916348 JYY916283:JYY916348 KIU916283:KIU916348 KSQ916283:KSQ916348 LCM916283:LCM916348 LMI916283:LMI916348 LWE916283:LWE916348 MGA916283:MGA916348 MPW916283:MPW916348 MZS916283:MZS916348 NJO916283:NJO916348 NTK916283:NTK916348 ODG916283:ODG916348 ONC916283:ONC916348 OWY916283:OWY916348 PGU916283:PGU916348 PQQ916283:PQQ916348 QAM916283:QAM916348 QKI916283:QKI916348 QUE916283:QUE916348 REA916283:REA916348 RNW916283:RNW916348 RXS916283:RXS916348 SHO916283:SHO916348 SRK916283:SRK916348 TBG916283:TBG916348 TLC916283:TLC916348 TUY916283:TUY916348 UEU916283:UEU916348 UOQ916283:UOQ916348 UYM916283:UYM916348 VII916283:VII916348 VSE916283:VSE916348 WCA916283:WCA916348 WLW916283:WLW916348 WVS916283:WVS916348 K981819:K981884 JG981819:JG981884 TC981819:TC981884 ACY981819:ACY981884 AMU981819:AMU981884 AWQ981819:AWQ981884 BGM981819:BGM981884 BQI981819:BQI981884 CAE981819:CAE981884 CKA981819:CKA981884 CTW981819:CTW981884 DDS981819:DDS981884 DNO981819:DNO981884 DXK981819:DXK981884 EHG981819:EHG981884 ERC981819:ERC981884 FAY981819:FAY981884 FKU981819:FKU981884 FUQ981819:FUQ981884 GEM981819:GEM981884 GOI981819:GOI981884 GYE981819:GYE981884 HIA981819:HIA981884 HRW981819:HRW981884 IBS981819:IBS981884 ILO981819:ILO981884 IVK981819:IVK981884 JFG981819:JFG981884 JPC981819:JPC981884 JYY981819:JYY981884 KIU981819:KIU981884 KSQ981819:KSQ981884 LCM981819:LCM981884 LMI981819:LMI981884 LWE981819:LWE981884 MGA981819:MGA981884 MPW981819:MPW981884 MZS981819:MZS981884 NJO981819:NJO981884 NTK981819:NTK981884 ODG981819:ODG981884 ONC981819:ONC981884 OWY981819:OWY981884 PGU981819:PGU981884 PQQ981819:PQQ981884 QAM981819:QAM981884 QKI981819:QKI981884 QUE981819:QUE981884 REA981819:REA981884 RNW981819:RNW981884 RXS981819:RXS981884 SHO981819:SHO981884 SRK981819:SRK981884 TBG981819:TBG981884 TLC981819:TLC981884 TUY981819:TUY981884 UEU981819:UEU981884 UOQ981819:UOQ981884 UYM981819:UYM981884 VII981819:VII981884 VSE981819:VSE981884 WCA981819:WCA981884 WLW981819:WLW981884 WVS981819:WVS981884 K1047355:K1047420 JG1047355:JG1047420 TC1047355:TC1047420 ACY1047355:ACY1047420 AMU1047355:AMU1047420 AWQ1047355:AWQ1047420 BGM1047355:BGM1047420 BQI1047355:BQI1047420 CAE1047355:CAE1047420 CKA1047355:CKA1047420 CTW1047355:CTW1047420 DDS1047355:DDS1047420 DNO1047355:DNO1047420 DXK1047355:DXK1047420 EHG1047355:EHG1047420 ERC1047355:ERC1047420 FAY1047355:FAY1047420 FKU1047355:FKU1047420 FUQ1047355:FUQ1047420 GEM1047355:GEM1047420 GOI1047355:GOI1047420 GYE1047355:GYE1047420 HIA1047355:HIA1047420 HRW1047355:HRW1047420 IBS1047355:IBS1047420 ILO1047355:ILO1047420 IVK1047355:IVK1047420 JFG1047355:JFG1047420 JPC1047355:JPC1047420 JYY1047355:JYY1047420 KIU1047355:KIU1047420 KSQ1047355:KSQ1047420 LCM1047355:LCM1047420 LMI1047355:LMI1047420 LWE1047355:LWE1047420 MGA1047355:MGA1047420 MPW1047355:MPW1047420 MZS1047355:MZS1047420 NJO1047355:NJO1047420 NTK1047355:NTK1047420 ODG1047355:ODG1047420 ONC1047355:ONC1047420 OWY1047355:OWY1047420 PGU1047355:PGU1047420 PQQ1047355:PQQ1047420 QAM1047355:QAM1047420 QKI1047355:QKI1047420 QUE1047355:QUE1047420 REA1047355:REA1047420 RNW1047355:RNW1047420 RXS1047355:RXS1047420 SHO1047355:SHO1047420 SRK1047355:SRK1047420 TBG1047355:TBG1047420 TLC1047355:TLC1047420 TUY1047355:TUY1047420 UEU1047355:UEU1047420 UOQ1047355:UOQ1047420 UYM1047355:UYM1047420 VII1047355:VII1047420 VSE1047355:VSE1047420 WCA1047355:WCA1047420 WLW1047355:WLW1047420 WVS1047355:WVS1047420" xr:uid="{BC63422E-C477-4445-9246-51B091DDE001}">
      <formula1>$AR$2:$AR$24</formula1>
    </dataValidation>
    <dataValidation type="list" allowBlank="1" showInputMessage="1" showErrorMessage="1" sqref="Y64315:AA64380 JU64315:JW64380 TQ64315:TS64380 ADM64315:ADO64380 ANI64315:ANK64380 AXE64315:AXG64380 BHA64315:BHC64380 BQW64315:BQY64380 CAS64315:CAU64380 CKO64315:CKQ64380 CUK64315:CUM64380 DEG64315:DEI64380 DOC64315:DOE64380 DXY64315:DYA64380 EHU64315:EHW64380 ERQ64315:ERS64380 FBM64315:FBO64380 FLI64315:FLK64380 FVE64315:FVG64380 GFA64315:GFC64380 GOW64315:GOY64380 GYS64315:GYU64380 HIO64315:HIQ64380 HSK64315:HSM64380 ICG64315:ICI64380 IMC64315:IME64380 IVY64315:IWA64380 JFU64315:JFW64380 JPQ64315:JPS64380 JZM64315:JZO64380 KJI64315:KJK64380 KTE64315:KTG64380 LDA64315:LDC64380 LMW64315:LMY64380 LWS64315:LWU64380 MGO64315:MGQ64380 MQK64315:MQM64380 NAG64315:NAI64380 NKC64315:NKE64380 NTY64315:NUA64380 ODU64315:ODW64380 ONQ64315:ONS64380 OXM64315:OXO64380 PHI64315:PHK64380 PRE64315:PRG64380 QBA64315:QBC64380 QKW64315:QKY64380 QUS64315:QUU64380 REO64315:REQ64380 ROK64315:ROM64380 RYG64315:RYI64380 SIC64315:SIE64380 SRY64315:SSA64380 TBU64315:TBW64380 TLQ64315:TLS64380 TVM64315:TVO64380 UFI64315:UFK64380 UPE64315:UPG64380 UZA64315:UZC64380 VIW64315:VIY64380 VSS64315:VSU64380 WCO64315:WCQ64380 WMK64315:WMM64380 WWG64315:WWI64380 Y129851:AA129916 JU129851:JW129916 TQ129851:TS129916 ADM129851:ADO129916 ANI129851:ANK129916 AXE129851:AXG129916 BHA129851:BHC129916 BQW129851:BQY129916 CAS129851:CAU129916 CKO129851:CKQ129916 CUK129851:CUM129916 DEG129851:DEI129916 DOC129851:DOE129916 DXY129851:DYA129916 EHU129851:EHW129916 ERQ129851:ERS129916 FBM129851:FBO129916 FLI129851:FLK129916 FVE129851:FVG129916 GFA129851:GFC129916 GOW129851:GOY129916 GYS129851:GYU129916 HIO129851:HIQ129916 HSK129851:HSM129916 ICG129851:ICI129916 IMC129851:IME129916 IVY129851:IWA129916 JFU129851:JFW129916 JPQ129851:JPS129916 JZM129851:JZO129916 KJI129851:KJK129916 KTE129851:KTG129916 LDA129851:LDC129916 LMW129851:LMY129916 LWS129851:LWU129916 MGO129851:MGQ129916 MQK129851:MQM129916 NAG129851:NAI129916 NKC129851:NKE129916 NTY129851:NUA129916 ODU129851:ODW129916 ONQ129851:ONS129916 OXM129851:OXO129916 PHI129851:PHK129916 PRE129851:PRG129916 QBA129851:QBC129916 QKW129851:QKY129916 QUS129851:QUU129916 REO129851:REQ129916 ROK129851:ROM129916 RYG129851:RYI129916 SIC129851:SIE129916 SRY129851:SSA129916 TBU129851:TBW129916 TLQ129851:TLS129916 TVM129851:TVO129916 UFI129851:UFK129916 UPE129851:UPG129916 UZA129851:UZC129916 VIW129851:VIY129916 VSS129851:VSU129916 WCO129851:WCQ129916 WMK129851:WMM129916 WWG129851:WWI129916 Y195387:AA195452 JU195387:JW195452 TQ195387:TS195452 ADM195387:ADO195452 ANI195387:ANK195452 AXE195387:AXG195452 BHA195387:BHC195452 BQW195387:BQY195452 CAS195387:CAU195452 CKO195387:CKQ195452 CUK195387:CUM195452 DEG195387:DEI195452 DOC195387:DOE195452 DXY195387:DYA195452 EHU195387:EHW195452 ERQ195387:ERS195452 FBM195387:FBO195452 FLI195387:FLK195452 FVE195387:FVG195452 GFA195387:GFC195452 GOW195387:GOY195452 GYS195387:GYU195452 HIO195387:HIQ195452 HSK195387:HSM195452 ICG195387:ICI195452 IMC195387:IME195452 IVY195387:IWA195452 JFU195387:JFW195452 JPQ195387:JPS195452 JZM195387:JZO195452 KJI195387:KJK195452 KTE195387:KTG195452 LDA195387:LDC195452 LMW195387:LMY195452 LWS195387:LWU195452 MGO195387:MGQ195452 MQK195387:MQM195452 NAG195387:NAI195452 NKC195387:NKE195452 NTY195387:NUA195452 ODU195387:ODW195452 ONQ195387:ONS195452 OXM195387:OXO195452 PHI195387:PHK195452 PRE195387:PRG195452 QBA195387:QBC195452 QKW195387:QKY195452 QUS195387:QUU195452 REO195387:REQ195452 ROK195387:ROM195452 RYG195387:RYI195452 SIC195387:SIE195452 SRY195387:SSA195452 TBU195387:TBW195452 TLQ195387:TLS195452 TVM195387:TVO195452 UFI195387:UFK195452 UPE195387:UPG195452 UZA195387:UZC195452 VIW195387:VIY195452 VSS195387:VSU195452 WCO195387:WCQ195452 WMK195387:WMM195452 WWG195387:WWI195452 Y260923:AA260988 JU260923:JW260988 TQ260923:TS260988 ADM260923:ADO260988 ANI260923:ANK260988 AXE260923:AXG260988 BHA260923:BHC260988 BQW260923:BQY260988 CAS260923:CAU260988 CKO260923:CKQ260988 CUK260923:CUM260988 DEG260923:DEI260988 DOC260923:DOE260988 DXY260923:DYA260988 EHU260923:EHW260988 ERQ260923:ERS260988 FBM260923:FBO260988 FLI260923:FLK260988 FVE260923:FVG260988 GFA260923:GFC260988 GOW260923:GOY260988 GYS260923:GYU260988 HIO260923:HIQ260988 HSK260923:HSM260988 ICG260923:ICI260988 IMC260923:IME260988 IVY260923:IWA260988 JFU260923:JFW260988 JPQ260923:JPS260988 JZM260923:JZO260988 KJI260923:KJK260988 KTE260923:KTG260988 LDA260923:LDC260988 LMW260923:LMY260988 LWS260923:LWU260988 MGO260923:MGQ260988 MQK260923:MQM260988 NAG260923:NAI260988 NKC260923:NKE260988 NTY260923:NUA260988 ODU260923:ODW260988 ONQ260923:ONS260988 OXM260923:OXO260988 PHI260923:PHK260988 PRE260923:PRG260988 QBA260923:QBC260988 QKW260923:QKY260988 QUS260923:QUU260988 REO260923:REQ260988 ROK260923:ROM260988 RYG260923:RYI260988 SIC260923:SIE260988 SRY260923:SSA260988 TBU260923:TBW260988 TLQ260923:TLS260988 TVM260923:TVO260988 UFI260923:UFK260988 UPE260923:UPG260988 UZA260923:UZC260988 VIW260923:VIY260988 VSS260923:VSU260988 WCO260923:WCQ260988 WMK260923:WMM260988 WWG260923:WWI260988 Y326459:AA326524 JU326459:JW326524 TQ326459:TS326524 ADM326459:ADO326524 ANI326459:ANK326524 AXE326459:AXG326524 BHA326459:BHC326524 BQW326459:BQY326524 CAS326459:CAU326524 CKO326459:CKQ326524 CUK326459:CUM326524 DEG326459:DEI326524 DOC326459:DOE326524 DXY326459:DYA326524 EHU326459:EHW326524 ERQ326459:ERS326524 FBM326459:FBO326524 FLI326459:FLK326524 FVE326459:FVG326524 GFA326459:GFC326524 GOW326459:GOY326524 GYS326459:GYU326524 HIO326459:HIQ326524 HSK326459:HSM326524 ICG326459:ICI326524 IMC326459:IME326524 IVY326459:IWA326524 JFU326459:JFW326524 JPQ326459:JPS326524 JZM326459:JZO326524 KJI326459:KJK326524 KTE326459:KTG326524 LDA326459:LDC326524 LMW326459:LMY326524 LWS326459:LWU326524 MGO326459:MGQ326524 MQK326459:MQM326524 NAG326459:NAI326524 NKC326459:NKE326524 NTY326459:NUA326524 ODU326459:ODW326524 ONQ326459:ONS326524 OXM326459:OXO326524 PHI326459:PHK326524 PRE326459:PRG326524 QBA326459:QBC326524 QKW326459:QKY326524 QUS326459:QUU326524 REO326459:REQ326524 ROK326459:ROM326524 RYG326459:RYI326524 SIC326459:SIE326524 SRY326459:SSA326524 TBU326459:TBW326524 TLQ326459:TLS326524 TVM326459:TVO326524 UFI326459:UFK326524 UPE326459:UPG326524 UZA326459:UZC326524 VIW326459:VIY326524 VSS326459:VSU326524 WCO326459:WCQ326524 WMK326459:WMM326524 WWG326459:WWI326524 Y391995:AA392060 JU391995:JW392060 TQ391995:TS392060 ADM391995:ADO392060 ANI391995:ANK392060 AXE391995:AXG392060 BHA391995:BHC392060 BQW391995:BQY392060 CAS391995:CAU392060 CKO391995:CKQ392060 CUK391995:CUM392060 DEG391995:DEI392060 DOC391995:DOE392060 DXY391995:DYA392060 EHU391995:EHW392060 ERQ391995:ERS392060 FBM391995:FBO392060 FLI391995:FLK392060 FVE391995:FVG392060 GFA391995:GFC392060 GOW391995:GOY392060 GYS391995:GYU392060 HIO391995:HIQ392060 HSK391995:HSM392060 ICG391995:ICI392060 IMC391995:IME392060 IVY391995:IWA392060 JFU391995:JFW392060 JPQ391995:JPS392060 JZM391995:JZO392060 KJI391995:KJK392060 KTE391995:KTG392060 LDA391995:LDC392060 LMW391995:LMY392060 LWS391995:LWU392060 MGO391995:MGQ392060 MQK391995:MQM392060 NAG391995:NAI392060 NKC391995:NKE392060 NTY391995:NUA392060 ODU391995:ODW392060 ONQ391995:ONS392060 OXM391995:OXO392060 PHI391995:PHK392060 PRE391995:PRG392060 QBA391995:QBC392060 QKW391995:QKY392060 QUS391995:QUU392060 REO391995:REQ392060 ROK391995:ROM392060 RYG391995:RYI392060 SIC391995:SIE392060 SRY391995:SSA392060 TBU391995:TBW392060 TLQ391995:TLS392060 TVM391995:TVO392060 UFI391995:UFK392060 UPE391995:UPG392060 UZA391995:UZC392060 VIW391995:VIY392060 VSS391995:VSU392060 WCO391995:WCQ392060 WMK391995:WMM392060 WWG391995:WWI392060 Y457531:AA457596 JU457531:JW457596 TQ457531:TS457596 ADM457531:ADO457596 ANI457531:ANK457596 AXE457531:AXG457596 BHA457531:BHC457596 BQW457531:BQY457596 CAS457531:CAU457596 CKO457531:CKQ457596 CUK457531:CUM457596 DEG457531:DEI457596 DOC457531:DOE457596 DXY457531:DYA457596 EHU457531:EHW457596 ERQ457531:ERS457596 FBM457531:FBO457596 FLI457531:FLK457596 FVE457531:FVG457596 GFA457531:GFC457596 GOW457531:GOY457596 GYS457531:GYU457596 HIO457531:HIQ457596 HSK457531:HSM457596 ICG457531:ICI457596 IMC457531:IME457596 IVY457531:IWA457596 JFU457531:JFW457596 JPQ457531:JPS457596 JZM457531:JZO457596 KJI457531:KJK457596 KTE457531:KTG457596 LDA457531:LDC457596 LMW457531:LMY457596 LWS457531:LWU457596 MGO457531:MGQ457596 MQK457531:MQM457596 NAG457531:NAI457596 NKC457531:NKE457596 NTY457531:NUA457596 ODU457531:ODW457596 ONQ457531:ONS457596 OXM457531:OXO457596 PHI457531:PHK457596 PRE457531:PRG457596 QBA457531:QBC457596 QKW457531:QKY457596 QUS457531:QUU457596 REO457531:REQ457596 ROK457531:ROM457596 RYG457531:RYI457596 SIC457531:SIE457596 SRY457531:SSA457596 TBU457531:TBW457596 TLQ457531:TLS457596 TVM457531:TVO457596 UFI457531:UFK457596 UPE457531:UPG457596 UZA457531:UZC457596 VIW457531:VIY457596 VSS457531:VSU457596 WCO457531:WCQ457596 WMK457531:WMM457596 WWG457531:WWI457596 Y523067:AA523132 JU523067:JW523132 TQ523067:TS523132 ADM523067:ADO523132 ANI523067:ANK523132 AXE523067:AXG523132 BHA523067:BHC523132 BQW523067:BQY523132 CAS523067:CAU523132 CKO523067:CKQ523132 CUK523067:CUM523132 DEG523067:DEI523132 DOC523067:DOE523132 DXY523067:DYA523132 EHU523067:EHW523132 ERQ523067:ERS523132 FBM523067:FBO523132 FLI523067:FLK523132 FVE523067:FVG523132 GFA523067:GFC523132 GOW523067:GOY523132 GYS523067:GYU523132 HIO523067:HIQ523132 HSK523067:HSM523132 ICG523067:ICI523132 IMC523067:IME523132 IVY523067:IWA523132 JFU523067:JFW523132 JPQ523067:JPS523132 JZM523067:JZO523132 KJI523067:KJK523132 KTE523067:KTG523132 LDA523067:LDC523132 LMW523067:LMY523132 LWS523067:LWU523132 MGO523067:MGQ523132 MQK523067:MQM523132 NAG523067:NAI523132 NKC523067:NKE523132 NTY523067:NUA523132 ODU523067:ODW523132 ONQ523067:ONS523132 OXM523067:OXO523132 PHI523067:PHK523132 PRE523067:PRG523132 QBA523067:QBC523132 QKW523067:QKY523132 QUS523067:QUU523132 REO523067:REQ523132 ROK523067:ROM523132 RYG523067:RYI523132 SIC523067:SIE523132 SRY523067:SSA523132 TBU523067:TBW523132 TLQ523067:TLS523132 TVM523067:TVO523132 UFI523067:UFK523132 UPE523067:UPG523132 UZA523067:UZC523132 VIW523067:VIY523132 VSS523067:VSU523132 WCO523067:WCQ523132 WMK523067:WMM523132 WWG523067:WWI523132 Y588603:AA588668 JU588603:JW588668 TQ588603:TS588668 ADM588603:ADO588668 ANI588603:ANK588668 AXE588603:AXG588668 BHA588603:BHC588668 BQW588603:BQY588668 CAS588603:CAU588668 CKO588603:CKQ588668 CUK588603:CUM588668 DEG588603:DEI588668 DOC588603:DOE588668 DXY588603:DYA588668 EHU588603:EHW588668 ERQ588603:ERS588668 FBM588603:FBO588668 FLI588603:FLK588668 FVE588603:FVG588668 GFA588603:GFC588668 GOW588603:GOY588668 GYS588603:GYU588668 HIO588603:HIQ588668 HSK588603:HSM588668 ICG588603:ICI588668 IMC588603:IME588668 IVY588603:IWA588668 JFU588603:JFW588668 JPQ588603:JPS588668 JZM588603:JZO588668 KJI588603:KJK588668 KTE588603:KTG588668 LDA588603:LDC588668 LMW588603:LMY588668 LWS588603:LWU588668 MGO588603:MGQ588668 MQK588603:MQM588668 NAG588603:NAI588668 NKC588603:NKE588668 NTY588603:NUA588668 ODU588603:ODW588668 ONQ588603:ONS588668 OXM588603:OXO588668 PHI588603:PHK588668 PRE588603:PRG588668 QBA588603:QBC588668 QKW588603:QKY588668 QUS588603:QUU588668 REO588603:REQ588668 ROK588603:ROM588668 RYG588603:RYI588668 SIC588603:SIE588668 SRY588603:SSA588668 TBU588603:TBW588668 TLQ588603:TLS588668 TVM588603:TVO588668 UFI588603:UFK588668 UPE588603:UPG588668 UZA588603:UZC588668 VIW588603:VIY588668 VSS588603:VSU588668 WCO588603:WCQ588668 WMK588603:WMM588668 WWG588603:WWI588668 Y654139:AA654204 JU654139:JW654204 TQ654139:TS654204 ADM654139:ADO654204 ANI654139:ANK654204 AXE654139:AXG654204 BHA654139:BHC654204 BQW654139:BQY654204 CAS654139:CAU654204 CKO654139:CKQ654204 CUK654139:CUM654204 DEG654139:DEI654204 DOC654139:DOE654204 DXY654139:DYA654204 EHU654139:EHW654204 ERQ654139:ERS654204 FBM654139:FBO654204 FLI654139:FLK654204 FVE654139:FVG654204 GFA654139:GFC654204 GOW654139:GOY654204 GYS654139:GYU654204 HIO654139:HIQ654204 HSK654139:HSM654204 ICG654139:ICI654204 IMC654139:IME654204 IVY654139:IWA654204 JFU654139:JFW654204 JPQ654139:JPS654204 JZM654139:JZO654204 KJI654139:KJK654204 KTE654139:KTG654204 LDA654139:LDC654204 LMW654139:LMY654204 LWS654139:LWU654204 MGO654139:MGQ654204 MQK654139:MQM654204 NAG654139:NAI654204 NKC654139:NKE654204 NTY654139:NUA654204 ODU654139:ODW654204 ONQ654139:ONS654204 OXM654139:OXO654204 PHI654139:PHK654204 PRE654139:PRG654204 QBA654139:QBC654204 QKW654139:QKY654204 QUS654139:QUU654204 REO654139:REQ654204 ROK654139:ROM654204 RYG654139:RYI654204 SIC654139:SIE654204 SRY654139:SSA654204 TBU654139:TBW654204 TLQ654139:TLS654204 TVM654139:TVO654204 UFI654139:UFK654204 UPE654139:UPG654204 UZA654139:UZC654204 VIW654139:VIY654204 VSS654139:VSU654204 WCO654139:WCQ654204 WMK654139:WMM654204 WWG654139:WWI654204 Y719675:AA719740 JU719675:JW719740 TQ719675:TS719740 ADM719675:ADO719740 ANI719675:ANK719740 AXE719675:AXG719740 BHA719675:BHC719740 BQW719675:BQY719740 CAS719675:CAU719740 CKO719675:CKQ719740 CUK719675:CUM719740 DEG719675:DEI719740 DOC719675:DOE719740 DXY719675:DYA719740 EHU719675:EHW719740 ERQ719675:ERS719740 FBM719675:FBO719740 FLI719675:FLK719740 FVE719675:FVG719740 GFA719675:GFC719740 GOW719675:GOY719740 GYS719675:GYU719740 HIO719675:HIQ719740 HSK719675:HSM719740 ICG719675:ICI719740 IMC719675:IME719740 IVY719675:IWA719740 JFU719675:JFW719740 JPQ719675:JPS719740 JZM719675:JZO719740 KJI719675:KJK719740 KTE719675:KTG719740 LDA719675:LDC719740 LMW719675:LMY719740 LWS719675:LWU719740 MGO719675:MGQ719740 MQK719675:MQM719740 NAG719675:NAI719740 NKC719675:NKE719740 NTY719675:NUA719740 ODU719675:ODW719740 ONQ719675:ONS719740 OXM719675:OXO719740 PHI719675:PHK719740 PRE719675:PRG719740 QBA719675:QBC719740 QKW719675:QKY719740 QUS719675:QUU719740 REO719675:REQ719740 ROK719675:ROM719740 RYG719675:RYI719740 SIC719675:SIE719740 SRY719675:SSA719740 TBU719675:TBW719740 TLQ719675:TLS719740 TVM719675:TVO719740 UFI719675:UFK719740 UPE719675:UPG719740 UZA719675:UZC719740 VIW719675:VIY719740 VSS719675:VSU719740 WCO719675:WCQ719740 WMK719675:WMM719740 WWG719675:WWI719740 Y785211:AA785276 JU785211:JW785276 TQ785211:TS785276 ADM785211:ADO785276 ANI785211:ANK785276 AXE785211:AXG785276 BHA785211:BHC785276 BQW785211:BQY785276 CAS785211:CAU785276 CKO785211:CKQ785276 CUK785211:CUM785276 DEG785211:DEI785276 DOC785211:DOE785276 DXY785211:DYA785276 EHU785211:EHW785276 ERQ785211:ERS785276 FBM785211:FBO785276 FLI785211:FLK785276 FVE785211:FVG785276 GFA785211:GFC785276 GOW785211:GOY785276 GYS785211:GYU785276 HIO785211:HIQ785276 HSK785211:HSM785276 ICG785211:ICI785276 IMC785211:IME785276 IVY785211:IWA785276 JFU785211:JFW785276 JPQ785211:JPS785276 JZM785211:JZO785276 KJI785211:KJK785276 KTE785211:KTG785276 LDA785211:LDC785276 LMW785211:LMY785276 LWS785211:LWU785276 MGO785211:MGQ785276 MQK785211:MQM785276 NAG785211:NAI785276 NKC785211:NKE785276 NTY785211:NUA785276 ODU785211:ODW785276 ONQ785211:ONS785276 OXM785211:OXO785276 PHI785211:PHK785276 PRE785211:PRG785276 QBA785211:QBC785276 QKW785211:QKY785276 QUS785211:QUU785276 REO785211:REQ785276 ROK785211:ROM785276 RYG785211:RYI785276 SIC785211:SIE785276 SRY785211:SSA785276 TBU785211:TBW785276 TLQ785211:TLS785276 TVM785211:TVO785276 UFI785211:UFK785276 UPE785211:UPG785276 UZA785211:UZC785276 VIW785211:VIY785276 VSS785211:VSU785276 WCO785211:WCQ785276 WMK785211:WMM785276 WWG785211:WWI785276 Y850747:AA850812 JU850747:JW850812 TQ850747:TS850812 ADM850747:ADO850812 ANI850747:ANK850812 AXE850747:AXG850812 BHA850747:BHC850812 BQW850747:BQY850812 CAS850747:CAU850812 CKO850747:CKQ850812 CUK850747:CUM850812 DEG850747:DEI850812 DOC850747:DOE850812 DXY850747:DYA850812 EHU850747:EHW850812 ERQ850747:ERS850812 FBM850747:FBO850812 FLI850747:FLK850812 FVE850747:FVG850812 GFA850747:GFC850812 GOW850747:GOY850812 GYS850747:GYU850812 HIO850747:HIQ850812 HSK850747:HSM850812 ICG850747:ICI850812 IMC850747:IME850812 IVY850747:IWA850812 JFU850747:JFW850812 JPQ850747:JPS850812 JZM850747:JZO850812 KJI850747:KJK850812 KTE850747:KTG850812 LDA850747:LDC850812 LMW850747:LMY850812 LWS850747:LWU850812 MGO850747:MGQ850812 MQK850747:MQM850812 NAG850747:NAI850812 NKC850747:NKE850812 NTY850747:NUA850812 ODU850747:ODW850812 ONQ850747:ONS850812 OXM850747:OXO850812 PHI850747:PHK850812 PRE850747:PRG850812 QBA850747:QBC850812 QKW850747:QKY850812 QUS850747:QUU850812 REO850747:REQ850812 ROK850747:ROM850812 RYG850747:RYI850812 SIC850747:SIE850812 SRY850747:SSA850812 TBU850747:TBW850812 TLQ850747:TLS850812 TVM850747:TVO850812 UFI850747:UFK850812 UPE850747:UPG850812 UZA850747:UZC850812 VIW850747:VIY850812 VSS850747:VSU850812 WCO850747:WCQ850812 WMK850747:WMM850812 WWG850747:WWI850812 Y916283:AA916348 JU916283:JW916348 TQ916283:TS916348 ADM916283:ADO916348 ANI916283:ANK916348 AXE916283:AXG916348 BHA916283:BHC916348 BQW916283:BQY916348 CAS916283:CAU916348 CKO916283:CKQ916348 CUK916283:CUM916348 DEG916283:DEI916348 DOC916283:DOE916348 DXY916283:DYA916348 EHU916283:EHW916348 ERQ916283:ERS916348 FBM916283:FBO916348 FLI916283:FLK916348 FVE916283:FVG916348 GFA916283:GFC916348 GOW916283:GOY916348 GYS916283:GYU916348 HIO916283:HIQ916348 HSK916283:HSM916348 ICG916283:ICI916348 IMC916283:IME916348 IVY916283:IWA916348 JFU916283:JFW916348 JPQ916283:JPS916348 JZM916283:JZO916348 KJI916283:KJK916348 KTE916283:KTG916348 LDA916283:LDC916348 LMW916283:LMY916348 LWS916283:LWU916348 MGO916283:MGQ916348 MQK916283:MQM916348 NAG916283:NAI916348 NKC916283:NKE916348 NTY916283:NUA916348 ODU916283:ODW916348 ONQ916283:ONS916348 OXM916283:OXO916348 PHI916283:PHK916348 PRE916283:PRG916348 QBA916283:QBC916348 QKW916283:QKY916348 QUS916283:QUU916348 REO916283:REQ916348 ROK916283:ROM916348 RYG916283:RYI916348 SIC916283:SIE916348 SRY916283:SSA916348 TBU916283:TBW916348 TLQ916283:TLS916348 TVM916283:TVO916348 UFI916283:UFK916348 UPE916283:UPG916348 UZA916283:UZC916348 VIW916283:VIY916348 VSS916283:VSU916348 WCO916283:WCQ916348 WMK916283:WMM916348 WWG916283:WWI916348 Y981819:AA981884 JU981819:JW981884 TQ981819:TS981884 ADM981819:ADO981884 ANI981819:ANK981884 AXE981819:AXG981884 BHA981819:BHC981884 BQW981819:BQY981884 CAS981819:CAU981884 CKO981819:CKQ981884 CUK981819:CUM981884 DEG981819:DEI981884 DOC981819:DOE981884 DXY981819:DYA981884 EHU981819:EHW981884 ERQ981819:ERS981884 FBM981819:FBO981884 FLI981819:FLK981884 FVE981819:FVG981884 GFA981819:GFC981884 GOW981819:GOY981884 GYS981819:GYU981884 HIO981819:HIQ981884 HSK981819:HSM981884 ICG981819:ICI981884 IMC981819:IME981884 IVY981819:IWA981884 JFU981819:JFW981884 JPQ981819:JPS981884 JZM981819:JZO981884 KJI981819:KJK981884 KTE981819:KTG981884 LDA981819:LDC981884 LMW981819:LMY981884 LWS981819:LWU981884 MGO981819:MGQ981884 MQK981819:MQM981884 NAG981819:NAI981884 NKC981819:NKE981884 NTY981819:NUA981884 ODU981819:ODW981884 ONQ981819:ONS981884 OXM981819:OXO981884 PHI981819:PHK981884 PRE981819:PRG981884 QBA981819:QBC981884 QKW981819:QKY981884 QUS981819:QUU981884 REO981819:REQ981884 ROK981819:ROM981884 RYG981819:RYI981884 SIC981819:SIE981884 SRY981819:SSA981884 TBU981819:TBW981884 TLQ981819:TLS981884 TVM981819:TVO981884 UFI981819:UFK981884 UPE981819:UPG981884 UZA981819:UZC981884 VIW981819:VIY981884 VSS981819:VSU981884 WCO981819:WCQ981884 WMK981819:WMM981884 WWG981819:WWI981884 Y1047355:AA1047420 JU1047355:JW1047420 TQ1047355:TS1047420 ADM1047355:ADO1047420 ANI1047355:ANK1047420 AXE1047355:AXG1047420 BHA1047355:BHC1047420 BQW1047355:BQY1047420 CAS1047355:CAU1047420 CKO1047355:CKQ1047420 CUK1047355:CUM1047420 DEG1047355:DEI1047420 DOC1047355:DOE1047420 DXY1047355:DYA1047420 EHU1047355:EHW1047420 ERQ1047355:ERS1047420 FBM1047355:FBO1047420 FLI1047355:FLK1047420 FVE1047355:FVG1047420 GFA1047355:GFC1047420 GOW1047355:GOY1047420 GYS1047355:GYU1047420 HIO1047355:HIQ1047420 HSK1047355:HSM1047420 ICG1047355:ICI1047420 IMC1047355:IME1047420 IVY1047355:IWA1047420 JFU1047355:JFW1047420 JPQ1047355:JPS1047420 JZM1047355:JZO1047420 KJI1047355:KJK1047420 KTE1047355:KTG1047420 LDA1047355:LDC1047420 LMW1047355:LMY1047420 LWS1047355:LWU1047420 MGO1047355:MGQ1047420 MQK1047355:MQM1047420 NAG1047355:NAI1047420 NKC1047355:NKE1047420 NTY1047355:NUA1047420 ODU1047355:ODW1047420 ONQ1047355:ONS1047420 OXM1047355:OXO1047420 PHI1047355:PHK1047420 PRE1047355:PRG1047420 QBA1047355:QBC1047420 QKW1047355:QKY1047420 QUS1047355:QUU1047420 REO1047355:REQ1047420 ROK1047355:ROM1047420 RYG1047355:RYI1047420 SIC1047355:SIE1047420 SRY1047355:SSA1047420 TBU1047355:TBW1047420 TLQ1047355:TLS1047420 TVM1047355:TVO1047420 UFI1047355:UFK1047420 UPE1047355:UPG1047420 UZA1047355:UZC1047420 VIW1047355:VIY1047420 VSS1047355:VSU1047420 WCO1047355:WCQ1047420 WMK1047355:WMM1047420 WWG1047355:WWI1047420 WWG982994:WWI983059 Y65490:AA65555 JU65490:JW65555 TQ65490:TS65555 ADM65490:ADO65555 ANI65490:ANK65555 AXE65490:AXG65555 BHA65490:BHC65555 BQW65490:BQY65555 CAS65490:CAU65555 CKO65490:CKQ65555 CUK65490:CUM65555 DEG65490:DEI65555 DOC65490:DOE65555 DXY65490:DYA65555 EHU65490:EHW65555 ERQ65490:ERS65555 FBM65490:FBO65555 FLI65490:FLK65555 FVE65490:FVG65555 GFA65490:GFC65555 GOW65490:GOY65555 GYS65490:GYU65555 HIO65490:HIQ65555 HSK65490:HSM65555 ICG65490:ICI65555 IMC65490:IME65555 IVY65490:IWA65555 JFU65490:JFW65555 JPQ65490:JPS65555 JZM65490:JZO65555 KJI65490:KJK65555 KTE65490:KTG65555 LDA65490:LDC65555 LMW65490:LMY65555 LWS65490:LWU65555 MGO65490:MGQ65555 MQK65490:MQM65555 NAG65490:NAI65555 NKC65490:NKE65555 NTY65490:NUA65555 ODU65490:ODW65555 ONQ65490:ONS65555 OXM65490:OXO65555 PHI65490:PHK65555 PRE65490:PRG65555 QBA65490:QBC65555 QKW65490:QKY65555 QUS65490:QUU65555 REO65490:REQ65555 ROK65490:ROM65555 RYG65490:RYI65555 SIC65490:SIE65555 SRY65490:SSA65555 TBU65490:TBW65555 TLQ65490:TLS65555 TVM65490:TVO65555 UFI65490:UFK65555 UPE65490:UPG65555 UZA65490:UZC65555 VIW65490:VIY65555 VSS65490:VSU65555 WCO65490:WCQ65555 WMK65490:WMM65555 WWG65490:WWI65555 Y131026:AA131091 JU131026:JW131091 TQ131026:TS131091 ADM131026:ADO131091 ANI131026:ANK131091 AXE131026:AXG131091 BHA131026:BHC131091 BQW131026:BQY131091 CAS131026:CAU131091 CKO131026:CKQ131091 CUK131026:CUM131091 DEG131026:DEI131091 DOC131026:DOE131091 DXY131026:DYA131091 EHU131026:EHW131091 ERQ131026:ERS131091 FBM131026:FBO131091 FLI131026:FLK131091 FVE131026:FVG131091 GFA131026:GFC131091 GOW131026:GOY131091 GYS131026:GYU131091 HIO131026:HIQ131091 HSK131026:HSM131091 ICG131026:ICI131091 IMC131026:IME131091 IVY131026:IWA131091 JFU131026:JFW131091 JPQ131026:JPS131091 JZM131026:JZO131091 KJI131026:KJK131091 KTE131026:KTG131091 LDA131026:LDC131091 LMW131026:LMY131091 LWS131026:LWU131091 MGO131026:MGQ131091 MQK131026:MQM131091 NAG131026:NAI131091 NKC131026:NKE131091 NTY131026:NUA131091 ODU131026:ODW131091 ONQ131026:ONS131091 OXM131026:OXO131091 PHI131026:PHK131091 PRE131026:PRG131091 QBA131026:QBC131091 QKW131026:QKY131091 QUS131026:QUU131091 REO131026:REQ131091 ROK131026:ROM131091 RYG131026:RYI131091 SIC131026:SIE131091 SRY131026:SSA131091 TBU131026:TBW131091 TLQ131026:TLS131091 TVM131026:TVO131091 UFI131026:UFK131091 UPE131026:UPG131091 UZA131026:UZC131091 VIW131026:VIY131091 VSS131026:VSU131091 WCO131026:WCQ131091 WMK131026:WMM131091 WWG131026:WWI131091 Y196562:AA196627 JU196562:JW196627 TQ196562:TS196627 ADM196562:ADO196627 ANI196562:ANK196627 AXE196562:AXG196627 BHA196562:BHC196627 BQW196562:BQY196627 CAS196562:CAU196627 CKO196562:CKQ196627 CUK196562:CUM196627 DEG196562:DEI196627 DOC196562:DOE196627 DXY196562:DYA196627 EHU196562:EHW196627 ERQ196562:ERS196627 FBM196562:FBO196627 FLI196562:FLK196627 FVE196562:FVG196627 GFA196562:GFC196627 GOW196562:GOY196627 GYS196562:GYU196627 HIO196562:HIQ196627 HSK196562:HSM196627 ICG196562:ICI196627 IMC196562:IME196627 IVY196562:IWA196627 JFU196562:JFW196627 JPQ196562:JPS196627 JZM196562:JZO196627 KJI196562:KJK196627 KTE196562:KTG196627 LDA196562:LDC196627 LMW196562:LMY196627 LWS196562:LWU196627 MGO196562:MGQ196627 MQK196562:MQM196627 NAG196562:NAI196627 NKC196562:NKE196627 NTY196562:NUA196627 ODU196562:ODW196627 ONQ196562:ONS196627 OXM196562:OXO196627 PHI196562:PHK196627 PRE196562:PRG196627 QBA196562:QBC196627 QKW196562:QKY196627 QUS196562:QUU196627 REO196562:REQ196627 ROK196562:ROM196627 RYG196562:RYI196627 SIC196562:SIE196627 SRY196562:SSA196627 TBU196562:TBW196627 TLQ196562:TLS196627 TVM196562:TVO196627 UFI196562:UFK196627 UPE196562:UPG196627 UZA196562:UZC196627 VIW196562:VIY196627 VSS196562:VSU196627 WCO196562:WCQ196627 WMK196562:WMM196627 WWG196562:WWI196627 Y262098:AA262163 JU262098:JW262163 TQ262098:TS262163 ADM262098:ADO262163 ANI262098:ANK262163 AXE262098:AXG262163 BHA262098:BHC262163 BQW262098:BQY262163 CAS262098:CAU262163 CKO262098:CKQ262163 CUK262098:CUM262163 DEG262098:DEI262163 DOC262098:DOE262163 DXY262098:DYA262163 EHU262098:EHW262163 ERQ262098:ERS262163 FBM262098:FBO262163 FLI262098:FLK262163 FVE262098:FVG262163 GFA262098:GFC262163 GOW262098:GOY262163 GYS262098:GYU262163 HIO262098:HIQ262163 HSK262098:HSM262163 ICG262098:ICI262163 IMC262098:IME262163 IVY262098:IWA262163 JFU262098:JFW262163 JPQ262098:JPS262163 JZM262098:JZO262163 KJI262098:KJK262163 KTE262098:KTG262163 LDA262098:LDC262163 LMW262098:LMY262163 LWS262098:LWU262163 MGO262098:MGQ262163 MQK262098:MQM262163 NAG262098:NAI262163 NKC262098:NKE262163 NTY262098:NUA262163 ODU262098:ODW262163 ONQ262098:ONS262163 OXM262098:OXO262163 PHI262098:PHK262163 PRE262098:PRG262163 QBA262098:QBC262163 QKW262098:QKY262163 QUS262098:QUU262163 REO262098:REQ262163 ROK262098:ROM262163 RYG262098:RYI262163 SIC262098:SIE262163 SRY262098:SSA262163 TBU262098:TBW262163 TLQ262098:TLS262163 TVM262098:TVO262163 UFI262098:UFK262163 UPE262098:UPG262163 UZA262098:UZC262163 VIW262098:VIY262163 VSS262098:VSU262163 WCO262098:WCQ262163 WMK262098:WMM262163 WWG262098:WWI262163 Y327634:AA327699 JU327634:JW327699 TQ327634:TS327699 ADM327634:ADO327699 ANI327634:ANK327699 AXE327634:AXG327699 BHA327634:BHC327699 BQW327634:BQY327699 CAS327634:CAU327699 CKO327634:CKQ327699 CUK327634:CUM327699 DEG327634:DEI327699 DOC327634:DOE327699 DXY327634:DYA327699 EHU327634:EHW327699 ERQ327634:ERS327699 FBM327634:FBO327699 FLI327634:FLK327699 FVE327634:FVG327699 GFA327634:GFC327699 GOW327634:GOY327699 GYS327634:GYU327699 HIO327634:HIQ327699 HSK327634:HSM327699 ICG327634:ICI327699 IMC327634:IME327699 IVY327634:IWA327699 JFU327634:JFW327699 JPQ327634:JPS327699 JZM327634:JZO327699 KJI327634:KJK327699 KTE327634:KTG327699 LDA327634:LDC327699 LMW327634:LMY327699 LWS327634:LWU327699 MGO327634:MGQ327699 MQK327634:MQM327699 NAG327634:NAI327699 NKC327634:NKE327699 NTY327634:NUA327699 ODU327634:ODW327699 ONQ327634:ONS327699 OXM327634:OXO327699 PHI327634:PHK327699 PRE327634:PRG327699 QBA327634:QBC327699 QKW327634:QKY327699 QUS327634:QUU327699 REO327634:REQ327699 ROK327634:ROM327699 RYG327634:RYI327699 SIC327634:SIE327699 SRY327634:SSA327699 TBU327634:TBW327699 TLQ327634:TLS327699 TVM327634:TVO327699 UFI327634:UFK327699 UPE327634:UPG327699 UZA327634:UZC327699 VIW327634:VIY327699 VSS327634:VSU327699 WCO327634:WCQ327699 WMK327634:WMM327699 WWG327634:WWI327699 Y393170:AA393235 JU393170:JW393235 TQ393170:TS393235 ADM393170:ADO393235 ANI393170:ANK393235 AXE393170:AXG393235 BHA393170:BHC393235 BQW393170:BQY393235 CAS393170:CAU393235 CKO393170:CKQ393235 CUK393170:CUM393235 DEG393170:DEI393235 DOC393170:DOE393235 DXY393170:DYA393235 EHU393170:EHW393235 ERQ393170:ERS393235 FBM393170:FBO393235 FLI393170:FLK393235 FVE393170:FVG393235 GFA393170:GFC393235 GOW393170:GOY393235 GYS393170:GYU393235 HIO393170:HIQ393235 HSK393170:HSM393235 ICG393170:ICI393235 IMC393170:IME393235 IVY393170:IWA393235 JFU393170:JFW393235 JPQ393170:JPS393235 JZM393170:JZO393235 KJI393170:KJK393235 KTE393170:KTG393235 LDA393170:LDC393235 LMW393170:LMY393235 LWS393170:LWU393235 MGO393170:MGQ393235 MQK393170:MQM393235 NAG393170:NAI393235 NKC393170:NKE393235 NTY393170:NUA393235 ODU393170:ODW393235 ONQ393170:ONS393235 OXM393170:OXO393235 PHI393170:PHK393235 PRE393170:PRG393235 QBA393170:QBC393235 QKW393170:QKY393235 QUS393170:QUU393235 REO393170:REQ393235 ROK393170:ROM393235 RYG393170:RYI393235 SIC393170:SIE393235 SRY393170:SSA393235 TBU393170:TBW393235 TLQ393170:TLS393235 TVM393170:TVO393235 UFI393170:UFK393235 UPE393170:UPG393235 UZA393170:UZC393235 VIW393170:VIY393235 VSS393170:VSU393235 WCO393170:WCQ393235 WMK393170:WMM393235 WWG393170:WWI393235 Y458706:AA458771 JU458706:JW458771 TQ458706:TS458771 ADM458706:ADO458771 ANI458706:ANK458771 AXE458706:AXG458771 BHA458706:BHC458771 BQW458706:BQY458771 CAS458706:CAU458771 CKO458706:CKQ458771 CUK458706:CUM458771 DEG458706:DEI458771 DOC458706:DOE458771 DXY458706:DYA458771 EHU458706:EHW458771 ERQ458706:ERS458771 FBM458706:FBO458771 FLI458706:FLK458771 FVE458706:FVG458771 GFA458706:GFC458771 GOW458706:GOY458771 GYS458706:GYU458771 HIO458706:HIQ458771 HSK458706:HSM458771 ICG458706:ICI458771 IMC458706:IME458771 IVY458706:IWA458771 JFU458706:JFW458771 JPQ458706:JPS458771 JZM458706:JZO458771 KJI458706:KJK458771 KTE458706:KTG458771 LDA458706:LDC458771 LMW458706:LMY458771 LWS458706:LWU458771 MGO458706:MGQ458771 MQK458706:MQM458771 NAG458706:NAI458771 NKC458706:NKE458771 NTY458706:NUA458771 ODU458706:ODW458771 ONQ458706:ONS458771 OXM458706:OXO458771 PHI458706:PHK458771 PRE458706:PRG458771 QBA458706:QBC458771 QKW458706:QKY458771 QUS458706:QUU458771 REO458706:REQ458771 ROK458706:ROM458771 RYG458706:RYI458771 SIC458706:SIE458771 SRY458706:SSA458771 TBU458706:TBW458771 TLQ458706:TLS458771 TVM458706:TVO458771 UFI458706:UFK458771 UPE458706:UPG458771 UZA458706:UZC458771 VIW458706:VIY458771 VSS458706:VSU458771 WCO458706:WCQ458771 WMK458706:WMM458771 WWG458706:WWI458771 Y524242:AA524307 JU524242:JW524307 TQ524242:TS524307 ADM524242:ADO524307 ANI524242:ANK524307 AXE524242:AXG524307 BHA524242:BHC524307 BQW524242:BQY524307 CAS524242:CAU524307 CKO524242:CKQ524307 CUK524242:CUM524307 DEG524242:DEI524307 DOC524242:DOE524307 DXY524242:DYA524307 EHU524242:EHW524307 ERQ524242:ERS524307 FBM524242:FBO524307 FLI524242:FLK524307 FVE524242:FVG524307 GFA524242:GFC524307 GOW524242:GOY524307 GYS524242:GYU524307 HIO524242:HIQ524307 HSK524242:HSM524307 ICG524242:ICI524307 IMC524242:IME524307 IVY524242:IWA524307 JFU524242:JFW524307 JPQ524242:JPS524307 JZM524242:JZO524307 KJI524242:KJK524307 KTE524242:KTG524307 LDA524242:LDC524307 LMW524242:LMY524307 LWS524242:LWU524307 MGO524242:MGQ524307 MQK524242:MQM524307 NAG524242:NAI524307 NKC524242:NKE524307 NTY524242:NUA524307 ODU524242:ODW524307 ONQ524242:ONS524307 OXM524242:OXO524307 PHI524242:PHK524307 PRE524242:PRG524307 QBA524242:QBC524307 QKW524242:QKY524307 QUS524242:QUU524307 REO524242:REQ524307 ROK524242:ROM524307 RYG524242:RYI524307 SIC524242:SIE524307 SRY524242:SSA524307 TBU524242:TBW524307 TLQ524242:TLS524307 TVM524242:TVO524307 UFI524242:UFK524307 UPE524242:UPG524307 UZA524242:UZC524307 VIW524242:VIY524307 VSS524242:VSU524307 WCO524242:WCQ524307 WMK524242:WMM524307 WWG524242:WWI524307 Y589778:AA589843 JU589778:JW589843 TQ589778:TS589843 ADM589778:ADO589843 ANI589778:ANK589843 AXE589778:AXG589843 BHA589778:BHC589843 BQW589778:BQY589843 CAS589778:CAU589843 CKO589778:CKQ589843 CUK589778:CUM589843 DEG589778:DEI589843 DOC589778:DOE589843 DXY589778:DYA589843 EHU589778:EHW589843 ERQ589778:ERS589843 FBM589778:FBO589843 FLI589778:FLK589843 FVE589778:FVG589843 GFA589778:GFC589843 GOW589778:GOY589843 GYS589778:GYU589843 HIO589778:HIQ589843 HSK589778:HSM589843 ICG589778:ICI589843 IMC589778:IME589843 IVY589778:IWA589843 JFU589778:JFW589843 JPQ589778:JPS589843 JZM589778:JZO589843 KJI589778:KJK589843 KTE589778:KTG589843 LDA589778:LDC589843 LMW589778:LMY589843 LWS589778:LWU589843 MGO589778:MGQ589843 MQK589778:MQM589843 NAG589778:NAI589843 NKC589778:NKE589843 NTY589778:NUA589843 ODU589778:ODW589843 ONQ589778:ONS589843 OXM589778:OXO589843 PHI589778:PHK589843 PRE589778:PRG589843 QBA589778:QBC589843 QKW589778:QKY589843 QUS589778:QUU589843 REO589778:REQ589843 ROK589778:ROM589843 RYG589778:RYI589843 SIC589778:SIE589843 SRY589778:SSA589843 TBU589778:TBW589843 TLQ589778:TLS589843 TVM589778:TVO589843 UFI589778:UFK589843 UPE589778:UPG589843 UZA589778:UZC589843 VIW589778:VIY589843 VSS589778:VSU589843 WCO589778:WCQ589843 WMK589778:WMM589843 WWG589778:WWI589843 Y655314:AA655379 JU655314:JW655379 TQ655314:TS655379 ADM655314:ADO655379 ANI655314:ANK655379 AXE655314:AXG655379 BHA655314:BHC655379 BQW655314:BQY655379 CAS655314:CAU655379 CKO655314:CKQ655379 CUK655314:CUM655379 DEG655314:DEI655379 DOC655314:DOE655379 DXY655314:DYA655379 EHU655314:EHW655379 ERQ655314:ERS655379 FBM655314:FBO655379 FLI655314:FLK655379 FVE655314:FVG655379 GFA655314:GFC655379 GOW655314:GOY655379 GYS655314:GYU655379 HIO655314:HIQ655379 HSK655314:HSM655379 ICG655314:ICI655379 IMC655314:IME655379 IVY655314:IWA655379 JFU655314:JFW655379 JPQ655314:JPS655379 JZM655314:JZO655379 KJI655314:KJK655379 KTE655314:KTG655379 LDA655314:LDC655379 LMW655314:LMY655379 LWS655314:LWU655379 MGO655314:MGQ655379 MQK655314:MQM655379 NAG655314:NAI655379 NKC655314:NKE655379 NTY655314:NUA655379 ODU655314:ODW655379 ONQ655314:ONS655379 OXM655314:OXO655379 PHI655314:PHK655379 PRE655314:PRG655379 QBA655314:QBC655379 QKW655314:QKY655379 QUS655314:QUU655379 REO655314:REQ655379 ROK655314:ROM655379 RYG655314:RYI655379 SIC655314:SIE655379 SRY655314:SSA655379 TBU655314:TBW655379 TLQ655314:TLS655379 TVM655314:TVO655379 UFI655314:UFK655379 UPE655314:UPG655379 UZA655314:UZC655379 VIW655314:VIY655379 VSS655314:VSU655379 WCO655314:WCQ655379 WMK655314:WMM655379 WWG655314:WWI655379 Y720850:AA720915 JU720850:JW720915 TQ720850:TS720915 ADM720850:ADO720915 ANI720850:ANK720915 AXE720850:AXG720915 BHA720850:BHC720915 BQW720850:BQY720915 CAS720850:CAU720915 CKO720850:CKQ720915 CUK720850:CUM720915 DEG720850:DEI720915 DOC720850:DOE720915 DXY720850:DYA720915 EHU720850:EHW720915 ERQ720850:ERS720915 FBM720850:FBO720915 FLI720850:FLK720915 FVE720850:FVG720915 GFA720850:GFC720915 GOW720850:GOY720915 GYS720850:GYU720915 HIO720850:HIQ720915 HSK720850:HSM720915 ICG720850:ICI720915 IMC720850:IME720915 IVY720850:IWA720915 JFU720850:JFW720915 JPQ720850:JPS720915 JZM720850:JZO720915 KJI720850:KJK720915 KTE720850:KTG720915 LDA720850:LDC720915 LMW720850:LMY720915 LWS720850:LWU720915 MGO720850:MGQ720915 MQK720850:MQM720915 NAG720850:NAI720915 NKC720850:NKE720915 NTY720850:NUA720915 ODU720850:ODW720915 ONQ720850:ONS720915 OXM720850:OXO720915 PHI720850:PHK720915 PRE720850:PRG720915 QBA720850:QBC720915 QKW720850:QKY720915 QUS720850:QUU720915 REO720850:REQ720915 ROK720850:ROM720915 RYG720850:RYI720915 SIC720850:SIE720915 SRY720850:SSA720915 TBU720850:TBW720915 TLQ720850:TLS720915 TVM720850:TVO720915 UFI720850:UFK720915 UPE720850:UPG720915 UZA720850:UZC720915 VIW720850:VIY720915 VSS720850:VSU720915 WCO720850:WCQ720915 WMK720850:WMM720915 WWG720850:WWI720915 Y786386:AA786451 JU786386:JW786451 TQ786386:TS786451 ADM786386:ADO786451 ANI786386:ANK786451 AXE786386:AXG786451 BHA786386:BHC786451 BQW786386:BQY786451 CAS786386:CAU786451 CKO786386:CKQ786451 CUK786386:CUM786451 DEG786386:DEI786451 DOC786386:DOE786451 DXY786386:DYA786451 EHU786386:EHW786451 ERQ786386:ERS786451 FBM786386:FBO786451 FLI786386:FLK786451 FVE786386:FVG786451 GFA786386:GFC786451 GOW786386:GOY786451 GYS786386:GYU786451 HIO786386:HIQ786451 HSK786386:HSM786451 ICG786386:ICI786451 IMC786386:IME786451 IVY786386:IWA786451 JFU786386:JFW786451 JPQ786386:JPS786451 JZM786386:JZO786451 KJI786386:KJK786451 KTE786386:KTG786451 LDA786386:LDC786451 LMW786386:LMY786451 LWS786386:LWU786451 MGO786386:MGQ786451 MQK786386:MQM786451 NAG786386:NAI786451 NKC786386:NKE786451 NTY786386:NUA786451 ODU786386:ODW786451 ONQ786386:ONS786451 OXM786386:OXO786451 PHI786386:PHK786451 PRE786386:PRG786451 QBA786386:QBC786451 QKW786386:QKY786451 QUS786386:QUU786451 REO786386:REQ786451 ROK786386:ROM786451 RYG786386:RYI786451 SIC786386:SIE786451 SRY786386:SSA786451 TBU786386:TBW786451 TLQ786386:TLS786451 TVM786386:TVO786451 UFI786386:UFK786451 UPE786386:UPG786451 UZA786386:UZC786451 VIW786386:VIY786451 VSS786386:VSU786451 WCO786386:WCQ786451 WMK786386:WMM786451 WWG786386:WWI786451 Y851922:AA851987 JU851922:JW851987 TQ851922:TS851987 ADM851922:ADO851987 ANI851922:ANK851987 AXE851922:AXG851987 BHA851922:BHC851987 BQW851922:BQY851987 CAS851922:CAU851987 CKO851922:CKQ851987 CUK851922:CUM851987 DEG851922:DEI851987 DOC851922:DOE851987 DXY851922:DYA851987 EHU851922:EHW851987 ERQ851922:ERS851987 FBM851922:FBO851987 FLI851922:FLK851987 FVE851922:FVG851987 GFA851922:GFC851987 GOW851922:GOY851987 GYS851922:GYU851987 HIO851922:HIQ851987 HSK851922:HSM851987 ICG851922:ICI851987 IMC851922:IME851987 IVY851922:IWA851987 JFU851922:JFW851987 JPQ851922:JPS851987 JZM851922:JZO851987 KJI851922:KJK851987 KTE851922:KTG851987 LDA851922:LDC851987 LMW851922:LMY851987 LWS851922:LWU851987 MGO851922:MGQ851987 MQK851922:MQM851987 NAG851922:NAI851987 NKC851922:NKE851987 NTY851922:NUA851987 ODU851922:ODW851987 ONQ851922:ONS851987 OXM851922:OXO851987 PHI851922:PHK851987 PRE851922:PRG851987 QBA851922:QBC851987 QKW851922:QKY851987 QUS851922:QUU851987 REO851922:REQ851987 ROK851922:ROM851987 RYG851922:RYI851987 SIC851922:SIE851987 SRY851922:SSA851987 TBU851922:TBW851987 TLQ851922:TLS851987 TVM851922:TVO851987 UFI851922:UFK851987 UPE851922:UPG851987 UZA851922:UZC851987 VIW851922:VIY851987 VSS851922:VSU851987 WCO851922:WCQ851987 WMK851922:WMM851987 WWG851922:WWI851987 Y917458:AA917523 JU917458:JW917523 TQ917458:TS917523 ADM917458:ADO917523 ANI917458:ANK917523 AXE917458:AXG917523 BHA917458:BHC917523 BQW917458:BQY917523 CAS917458:CAU917523 CKO917458:CKQ917523 CUK917458:CUM917523 DEG917458:DEI917523 DOC917458:DOE917523 DXY917458:DYA917523 EHU917458:EHW917523 ERQ917458:ERS917523 FBM917458:FBO917523 FLI917458:FLK917523 FVE917458:FVG917523 GFA917458:GFC917523 GOW917458:GOY917523 GYS917458:GYU917523 HIO917458:HIQ917523 HSK917458:HSM917523 ICG917458:ICI917523 IMC917458:IME917523 IVY917458:IWA917523 JFU917458:JFW917523 JPQ917458:JPS917523 JZM917458:JZO917523 KJI917458:KJK917523 KTE917458:KTG917523 LDA917458:LDC917523 LMW917458:LMY917523 LWS917458:LWU917523 MGO917458:MGQ917523 MQK917458:MQM917523 NAG917458:NAI917523 NKC917458:NKE917523 NTY917458:NUA917523 ODU917458:ODW917523 ONQ917458:ONS917523 OXM917458:OXO917523 PHI917458:PHK917523 PRE917458:PRG917523 QBA917458:QBC917523 QKW917458:QKY917523 QUS917458:QUU917523 REO917458:REQ917523 ROK917458:ROM917523 RYG917458:RYI917523 SIC917458:SIE917523 SRY917458:SSA917523 TBU917458:TBW917523 TLQ917458:TLS917523 TVM917458:TVO917523 UFI917458:UFK917523 UPE917458:UPG917523 UZA917458:UZC917523 VIW917458:VIY917523 VSS917458:VSU917523 WCO917458:WCQ917523 WMK917458:WMM917523 WWG917458:WWI917523 Y982994:AA983059 JU982994:JW983059 TQ982994:TS983059 ADM982994:ADO983059 ANI982994:ANK983059 AXE982994:AXG983059 BHA982994:BHC983059 BQW982994:BQY983059 CAS982994:CAU983059 CKO982994:CKQ983059 CUK982994:CUM983059 DEG982994:DEI983059 DOC982994:DOE983059 DXY982994:DYA983059 EHU982994:EHW983059 ERQ982994:ERS983059 FBM982994:FBO983059 FLI982994:FLK983059 FVE982994:FVG983059 GFA982994:GFC983059 GOW982994:GOY983059 GYS982994:GYU983059 HIO982994:HIQ983059 HSK982994:HSM983059 ICG982994:ICI983059 IMC982994:IME983059 IVY982994:IWA983059 JFU982994:JFW983059 JPQ982994:JPS983059 JZM982994:JZO983059 KJI982994:KJK983059 KTE982994:KTG983059 LDA982994:LDC983059 LMW982994:LMY983059 LWS982994:LWU983059 MGO982994:MGQ983059 MQK982994:MQM983059 NAG982994:NAI983059 NKC982994:NKE983059 NTY982994:NUA983059 ODU982994:ODW983059 ONQ982994:ONS983059 OXM982994:OXO983059 PHI982994:PHK983059 PRE982994:PRG983059 QBA982994:QBC983059 QKW982994:QKY983059 QUS982994:QUU983059 REO982994:REQ983059 ROK982994:ROM983059 RYG982994:RYI983059 SIC982994:SIE983059 SRY982994:SSA983059 TBU982994:TBW983059 TLQ982994:TLS983059 TVM982994:TVO983059 UFI982994:UFK983059 UPE982994:UPG983059 UZA982994:UZC983059 VIW982994:VIY983059 VSS982994:VSU983059 WCO982994:WCQ983059 WMK982994:WMM983059 WMK2:WMM43 WWG2:WWI43 JU2:JW43 TQ2:TS43 ADM2:ADO43 ANI2:ANK43 AXE2:AXG43 BHA2:BHC43 BQW2:BQY43 CAS2:CAU43 CKO2:CKQ43 CUK2:CUM43 DEG2:DEI43 DOC2:DOE43 DXY2:DYA43 EHU2:EHW43 ERQ2:ERS43 FBM2:FBO43 FLI2:FLK43 FVE2:FVG43 GFA2:GFC43 GOW2:GOY43 GYS2:GYU43 HIO2:HIQ43 HSK2:HSM43 ICG2:ICI43 IMC2:IME43 IVY2:IWA43 JFU2:JFW43 JPQ2:JPS43 JZM2:JZO43 KJI2:KJK43 KTE2:KTG43 LDA2:LDC43 LMW2:LMY43 LWS2:LWU43 MGO2:MGQ43 MQK2:MQM43 NAG2:NAI43 NKC2:NKE43 NTY2:NUA43 ODU2:ODW43 ONQ2:ONS43 OXM2:OXO43 PHI2:PHK43 PRE2:PRG43 QBA2:QBC43 QKW2:QKY43 QUS2:QUU43 REO2:REQ43 ROK2:ROM43 RYG2:RYI43 SIC2:SIE43 SRY2:SSA43 TBU2:TBW43 TLQ2:TLS43 TVM2:TVO43 UFI2:UFK43 UPE2:UPG43 UZA2:UZC43 VIW2:VIY43 VSS2:VSU43 WCO2:WCQ43" xr:uid="{649025AA-FD7E-4D6A-8E5B-F7559895A690}">
      <formula1>$AV$2:$AV$20</formula1>
    </dataValidation>
    <dataValidation type="list" allowBlank="1" showInputMessage="1" showErrorMessage="1" sqref="H64315:H64380 JD64315:JD64380 SZ64315:SZ64380 ACV64315:ACV64380 AMR64315:AMR64380 AWN64315:AWN64380 BGJ64315:BGJ64380 BQF64315:BQF64380 CAB64315:CAB64380 CJX64315:CJX64380 CTT64315:CTT64380 DDP64315:DDP64380 DNL64315:DNL64380 DXH64315:DXH64380 EHD64315:EHD64380 EQZ64315:EQZ64380 FAV64315:FAV64380 FKR64315:FKR64380 FUN64315:FUN64380 GEJ64315:GEJ64380 GOF64315:GOF64380 GYB64315:GYB64380 HHX64315:HHX64380 HRT64315:HRT64380 IBP64315:IBP64380 ILL64315:ILL64380 IVH64315:IVH64380 JFD64315:JFD64380 JOZ64315:JOZ64380 JYV64315:JYV64380 KIR64315:KIR64380 KSN64315:KSN64380 LCJ64315:LCJ64380 LMF64315:LMF64380 LWB64315:LWB64380 MFX64315:MFX64380 MPT64315:MPT64380 MZP64315:MZP64380 NJL64315:NJL64380 NTH64315:NTH64380 ODD64315:ODD64380 OMZ64315:OMZ64380 OWV64315:OWV64380 PGR64315:PGR64380 PQN64315:PQN64380 QAJ64315:QAJ64380 QKF64315:QKF64380 QUB64315:QUB64380 RDX64315:RDX64380 RNT64315:RNT64380 RXP64315:RXP64380 SHL64315:SHL64380 SRH64315:SRH64380 TBD64315:TBD64380 TKZ64315:TKZ64380 TUV64315:TUV64380 UER64315:UER64380 UON64315:UON64380 UYJ64315:UYJ64380 VIF64315:VIF64380 VSB64315:VSB64380 WBX64315:WBX64380 WLT64315:WLT64380 WVP64315:WVP64380 H129851:H129916 JD129851:JD129916 SZ129851:SZ129916 ACV129851:ACV129916 AMR129851:AMR129916 AWN129851:AWN129916 BGJ129851:BGJ129916 BQF129851:BQF129916 CAB129851:CAB129916 CJX129851:CJX129916 CTT129851:CTT129916 DDP129851:DDP129916 DNL129851:DNL129916 DXH129851:DXH129916 EHD129851:EHD129916 EQZ129851:EQZ129916 FAV129851:FAV129916 FKR129851:FKR129916 FUN129851:FUN129916 GEJ129851:GEJ129916 GOF129851:GOF129916 GYB129851:GYB129916 HHX129851:HHX129916 HRT129851:HRT129916 IBP129851:IBP129916 ILL129851:ILL129916 IVH129851:IVH129916 JFD129851:JFD129916 JOZ129851:JOZ129916 JYV129851:JYV129916 KIR129851:KIR129916 KSN129851:KSN129916 LCJ129851:LCJ129916 LMF129851:LMF129916 LWB129851:LWB129916 MFX129851:MFX129916 MPT129851:MPT129916 MZP129851:MZP129916 NJL129851:NJL129916 NTH129851:NTH129916 ODD129851:ODD129916 OMZ129851:OMZ129916 OWV129851:OWV129916 PGR129851:PGR129916 PQN129851:PQN129916 QAJ129851:QAJ129916 QKF129851:QKF129916 QUB129851:QUB129916 RDX129851:RDX129916 RNT129851:RNT129916 RXP129851:RXP129916 SHL129851:SHL129916 SRH129851:SRH129916 TBD129851:TBD129916 TKZ129851:TKZ129916 TUV129851:TUV129916 UER129851:UER129916 UON129851:UON129916 UYJ129851:UYJ129916 VIF129851:VIF129916 VSB129851:VSB129916 WBX129851:WBX129916 WLT129851:WLT129916 WVP129851:WVP129916 H195387:H195452 JD195387:JD195452 SZ195387:SZ195452 ACV195387:ACV195452 AMR195387:AMR195452 AWN195387:AWN195452 BGJ195387:BGJ195452 BQF195387:BQF195452 CAB195387:CAB195452 CJX195387:CJX195452 CTT195387:CTT195452 DDP195387:DDP195452 DNL195387:DNL195452 DXH195387:DXH195452 EHD195387:EHD195452 EQZ195387:EQZ195452 FAV195387:FAV195452 FKR195387:FKR195452 FUN195387:FUN195452 GEJ195387:GEJ195452 GOF195387:GOF195452 GYB195387:GYB195452 HHX195387:HHX195452 HRT195387:HRT195452 IBP195387:IBP195452 ILL195387:ILL195452 IVH195387:IVH195452 JFD195387:JFD195452 JOZ195387:JOZ195452 JYV195387:JYV195452 KIR195387:KIR195452 KSN195387:KSN195452 LCJ195387:LCJ195452 LMF195387:LMF195452 LWB195387:LWB195452 MFX195387:MFX195452 MPT195387:MPT195452 MZP195387:MZP195452 NJL195387:NJL195452 NTH195387:NTH195452 ODD195387:ODD195452 OMZ195387:OMZ195452 OWV195387:OWV195452 PGR195387:PGR195452 PQN195387:PQN195452 QAJ195387:QAJ195452 QKF195387:QKF195452 QUB195387:QUB195452 RDX195387:RDX195452 RNT195387:RNT195452 RXP195387:RXP195452 SHL195387:SHL195452 SRH195387:SRH195452 TBD195387:TBD195452 TKZ195387:TKZ195452 TUV195387:TUV195452 UER195387:UER195452 UON195387:UON195452 UYJ195387:UYJ195452 VIF195387:VIF195452 VSB195387:VSB195452 WBX195387:WBX195452 WLT195387:WLT195452 WVP195387:WVP195452 H260923:H260988 JD260923:JD260988 SZ260923:SZ260988 ACV260923:ACV260988 AMR260923:AMR260988 AWN260923:AWN260988 BGJ260923:BGJ260988 BQF260923:BQF260988 CAB260923:CAB260988 CJX260923:CJX260988 CTT260923:CTT260988 DDP260923:DDP260988 DNL260923:DNL260988 DXH260923:DXH260988 EHD260923:EHD260988 EQZ260923:EQZ260988 FAV260923:FAV260988 FKR260923:FKR260988 FUN260923:FUN260988 GEJ260923:GEJ260988 GOF260923:GOF260988 GYB260923:GYB260988 HHX260923:HHX260988 HRT260923:HRT260988 IBP260923:IBP260988 ILL260923:ILL260988 IVH260923:IVH260988 JFD260923:JFD260988 JOZ260923:JOZ260988 JYV260923:JYV260988 KIR260923:KIR260988 KSN260923:KSN260988 LCJ260923:LCJ260988 LMF260923:LMF260988 LWB260923:LWB260988 MFX260923:MFX260988 MPT260923:MPT260988 MZP260923:MZP260988 NJL260923:NJL260988 NTH260923:NTH260988 ODD260923:ODD260988 OMZ260923:OMZ260988 OWV260923:OWV260988 PGR260923:PGR260988 PQN260923:PQN260988 QAJ260923:QAJ260988 QKF260923:QKF260988 QUB260923:QUB260988 RDX260923:RDX260988 RNT260923:RNT260988 RXP260923:RXP260988 SHL260923:SHL260988 SRH260923:SRH260988 TBD260923:TBD260988 TKZ260923:TKZ260988 TUV260923:TUV260988 UER260923:UER260988 UON260923:UON260988 UYJ260923:UYJ260988 VIF260923:VIF260988 VSB260923:VSB260988 WBX260923:WBX260988 WLT260923:WLT260988 WVP260923:WVP260988 H326459:H326524 JD326459:JD326524 SZ326459:SZ326524 ACV326459:ACV326524 AMR326459:AMR326524 AWN326459:AWN326524 BGJ326459:BGJ326524 BQF326459:BQF326524 CAB326459:CAB326524 CJX326459:CJX326524 CTT326459:CTT326524 DDP326459:DDP326524 DNL326459:DNL326524 DXH326459:DXH326524 EHD326459:EHD326524 EQZ326459:EQZ326524 FAV326459:FAV326524 FKR326459:FKR326524 FUN326459:FUN326524 GEJ326459:GEJ326524 GOF326459:GOF326524 GYB326459:GYB326524 HHX326459:HHX326524 HRT326459:HRT326524 IBP326459:IBP326524 ILL326459:ILL326524 IVH326459:IVH326524 JFD326459:JFD326524 JOZ326459:JOZ326524 JYV326459:JYV326524 KIR326459:KIR326524 KSN326459:KSN326524 LCJ326459:LCJ326524 LMF326459:LMF326524 LWB326459:LWB326524 MFX326459:MFX326524 MPT326459:MPT326524 MZP326459:MZP326524 NJL326459:NJL326524 NTH326459:NTH326524 ODD326459:ODD326524 OMZ326459:OMZ326524 OWV326459:OWV326524 PGR326459:PGR326524 PQN326459:PQN326524 QAJ326459:QAJ326524 QKF326459:QKF326524 QUB326459:QUB326524 RDX326459:RDX326524 RNT326459:RNT326524 RXP326459:RXP326524 SHL326459:SHL326524 SRH326459:SRH326524 TBD326459:TBD326524 TKZ326459:TKZ326524 TUV326459:TUV326524 UER326459:UER326524 UON326459:UON326524 UYJ326459:UYJ326524 VIF326459:VIF326524 VSB326459:VSB326524 WBX326459:WBX326524 WLT326459:WLT326524 WVP326459:WVP326524 H391995:H392060 JD391995:JD392060 SZ391995:SZ392060 ACV391995:ACV392060 AMR391995:AMR392060 AWN391995:AWN392060 BGJ391995:BGJ392060 BQF391995:BQF392060 CAB391995:CAB392060 CJX391995:CJX392060 CTT391995:CTT392060 DDP391995:DDP392060 DNL391995:DNL392060 DXH391995:DXH392060 EHD391995:EHD392060 EQZ391995:EQZ392060 FAV391995:FAV392060 FKR391995:FKR392060 FUN391995:FUN392060 GEJ391995:GEJ392060 GOF391995:GOF392060 GYB391995:GYB392060 HHX391995:HHX392060 HRT391995:HRT392060 IBP391995:IBP392060 ILL391995:ILL392060 IVH391995:IVH392060 JFD391995:JFD392060 JOZ391995:JOZ392060 JYV391995:JYV392060 KIR391995:KIR392060 KSN391995:KSN392060 LCJ391995:LCJ392060 LMF391995:LMF392060 LWB391995:LWB392060 MFX391995:MFX392060 MPT391995:MPT392060 MZP391995:MZP392060 NJL391995:NJL392060 NTH391995:NTH392060 ODD391995:ODD392060 OMZ391995:OMZ392060 OWV391995:OWV392060 PGR391995:PGR392060 PQN391995:PQN392060 QAJ391995:QAJ392060 QKF391995:QKF392060 QUB391995:QUB392060 RDX391995:RDX392060 RNT391995:RNT392060 RXP391995:RXP392060 SHL391995:SHL392060 SRH391995:SRH392060 TBD391995:TBD392060 TKZ391995:TKZ392060 TUV391995:TUV392060 UER391995:UER392060 UON391995:UON392060 UYJ391995:UYJ392060 VIF391995:VIF392060 VSB391995:VSB392060 WBX391995:WBX392060 WLT391995:WLT392060 WVP391995:WVP392060 H457531:H457596 JD457531:JD457596 SZ457531:SZ457596 ACV457531:ACV457596 AMR457531:AMR457596 AWN457531:AWN457596 BGJ457531:BGJ457596 BQF457531:BQF457596 CAB457531:CAB457596 CJX457531:CJX457596 CTT457531:CTT457596 DDP457531:DDP457596 DNL457531:DNL457596 DXH457531:DXH457596 EHD457531:EHD457596 EQZ457531:EQZ457596 FAV457531:FAV457596 FKR457531:FKR457596 FUN457531:FUN457596 GEJ457531:GEJ457596 GOF457531:GOF457596 GYB457531:GYB457596 HHX457531:HHX457596 HRT457531:HRT457596 IBP457531:IBP457596 ILL457531:ILL457596 IVH457531:IVH457596 JFD457531:JFD457596 JOZ457531:JOZ457596 JYV457531:JYV457596 KIR457531:KIR457596 KSN457531:KSN457596 LCJ457531:LCJ457596 LMF457531:LMF457596 LWB457531:LWB457596 MFX457531:MFX457596 MPT457531:MPT457596 MZP457531:MZP457596 NJL457531:NJL457596 NTH457531:NTH457596 ODD457531:ODD457596 OMZ457531:OMZ457596 OWV457531:OWV457596 PGR457531:PGR457596 PQN457531:PQN457596 QAJ457531:QAJ457596 QKF457531:QKF457596 QUB457531:QUB457596 RDX457531:RDX457596 RNT457531:RNT457596 RXP457531:RXP457596 SHL457531:SHL457596 SRH457531:SRH457596 TBD457531:TBD457596 TKZ457531:TKZ457596 TUV457531:TUV457596 UER457531:UER457596 UON457531:UON457596 UYJ457531:UYJ457596 VIF457531:VIF457596 VSB457531:VSB457596 WBX457531:WBX457596 WLT457531:WLT457596 WVP457531:WVP457596 H523067:H523132 JD523067:JD523132 SZ523067:SZ523132 ACV523067:ACV523132 AMR523067:AMR523132 AWN523067:AWN523132 BGJ523067:BGJ523132 BQF523067:BQF523132 CAB523067:CAB523132 CJX523067:CJX523132 CTT523067:CTT523132 DDP523067:DDP523132 DNL523067:DNL523132 DXH523067:DXH523132 EHD523067:EHD523132 EQZ523067:EQZ523132 FAV523067:FAV523132 FKR523067:FKR523132 FUN523067:FUN523132 GEJ523067:GEJ523132 GOF523067:GOF523132 GYB523067:GYB523132 HHX523067:HHX523132 HRT523067:HRT523132 IBP523067:IBP523132 ILL523067:ILL523132 IVH523067:IVH523132 JFD523067:JFD523132 JOZ523067:JOZ523132 JYV523067:JYV523132 KIR523067:KIR523132 KSN523067:KSN523132 LCJ523067:LCJ523132 LMF523067:LMF523132 LWB523067:LWB523132 MFX523067:MFX523132 MPT523067:MPT523132 MZP523067:MZP523132 NJL523067:NJL523132 NTH523067:NTH523132 ODD523067:ODD523132 OMZ523067:OMZ523132 OWV523067:OWV523132 PGR523067:PGR523132 PQN523067:PQN523132 QAJ523067:QAJ523132 QKF523067:QKF523132 QUB523067:QUB523132 RDX523067:RDX523132 RNT523067:RNT523132 RXP523067:RXP523132 SHL523067:SHL523132 SRH523067:SRH523132 TBD523067:TBD523132 TKZ523067:TKZ523132 TUV523067:TUV523132 UER523067:UER523132 UON523067:UON523132 UYJ523067:UYJ523132 VIF523067:VIF523132 VSB523067:VSB523132 WBX523067:WBX523132 WLT523067:WLT523132 WVP523067:WVP523132 H588603:H588668 JD588603:JD588668 SZ588603:SZ588668 ACV588603:ACV588668 AMR588603:AMR588668 AWN588603:AWN588668 BGJ588603:BGJ588668 BQF588603:BQF588668 CAB588603:CAB588668 CJX588603:CJX588668 CTT588603:CTT588668 DDP588603:DDP588668 DNL588603:DNL588668 DXH588603:DXH588668 EHD588603:EHD588668 EQZ588603:EQZ588668 FAV588603:FAV588668 FKR588603:FKR588668 FUN588603:FUN588668 GEJ588603:GEJ588668 GOF588603:GOF588668 GYB588603:GYB588668 HHX588603:HHX588668 HRT588603:HRT588668 IBP588603:IBP588668 ILL588603:ILL588668 IVH588603:IVH588668 JFD588603:JFD588668 JOZ588603:JOZ588668 JYV588603:JYV588668 KIR588603:KIR588668 KSN588603:KSN588668 LCJ588603:LCJ588668 LMF588603:LMF588668 LWB588603:LWB588668 MFX588603:MFX588668 MPT588603:MPT588668 MZP588603:MZP588668 NJL588603:NJL588668 NTH588603:NTH588668 ODD588603:ODD588668 OMZ588603:OMZ588668 OWV588603:OWV588668 PGR588603:PGR588668 PQN588603:PQN588668 QAJ588603:QAJ588668 QKF588603:QKF588668 QUB588603:QUB588668 RDX588603:RDX588668 RNT588603:RNT588668 RXP588603:RXP588668 SHL588603:SHL588668 SRH588603:SRH588668 TBD588603:TBD588668 TKZ588603:TKZ588668 TUV588603:TUV588668 UER588603:UER588668 UON588603:UON588668 UYJ588603:UYJ588668 VIF588603:VIF588668 VSB588603:VSB588668 WBX588603:WBX588668 WLT588603:WLT588668 WVP588603:WVP588668 H654139:H654204 JD654139:JD654204 SZ654139:SZ654204 ACV654139:ACV654204 AMR654139:AMR654204 AWN654139:AWN654204 BGJ654139:BGJ654204 BQF654139:BQF654204 CAB654139:CAB654204 CJX654139:CJX654204 CTT654139:CTT654204 DDP654139:DDP654204 DNL654139:DNL654204 DXH654139:DXH654204 EHD654139:EHD654204 EQZ654139:EQZ654204 FAV654139:FAV654204 FKR654139:FKR654204 FUN654139:FUN654204 GEJ654139:GEJ654204 GOF654139:GOF654204 GYB654139:GYB654204 HHX654139:HHX654204 HRT654139:HRT654204 IBP654139:IBP654204 ILL654139:ILL654204 IVH654139:IVH654204 JFD654139:JFD654204 JOZ654139:JOZ654204 JYV654139:JYV654204 KIR654139:KIR654204 KSN654139:KSN654204 LCJ654139:LCJ654204 LMF654139:LMF654204 LWB654139:LWB654204 MFX654139:MFX654204 MPT654139:MPT654204 MZP654139:MZP654204 NJL654139:NJL654204 NTH654139:NTH654204 ODD654139:ODD654204 OMZ654139:OMZ654204 OWV654139:OWV654204 PGR654139:PGR654204 PQN654139:PQN654204 QAJ654139:QAJ654204 QKF654139:QKF654204 QUB654139:QUB654204 RDX654139:RDX654204 RNT654139:RNT654204 RXP654139:RXP654204 SHL654139:SHL654204 SRH654139:SRH654204 TBD654139:TBD654204 TKZ654139:TKZ654204 TUV654139:TUV654204 UER654139:UER654204 UON654139:UON654204 UYJ654139:UYJ654204 VIF654139:VIF654204 VSB654139:VSB654204 WBX654139:WBX654204 WLT654139:WLT654204 WVP654139:WVP654204 H719675:H719740 JD719675:JD719740 SZ719675:SZ719740 ACV719675:ACV719740 AMR719675:AMR719740 AWN719675:AWN719740 BGJ719675:BGJ719740 BQF719675:BQF719740 CAB719675:CAB719740 CJX719675:CJX719740 CTT719675:CTT719740 DDP719675:DDP719740 DNL719675:DNL719740 DXH719675:DXH719740 EHD719675:EHD719740 EQZ719675:EQZ719740 FAV719675:FAV719740 FKR719675:FKR719740 FUN719675:FUN719740 GEJ719675:GEJ719740 GOF719675:GOF719740 GYB719675:GYB719740 HHX719675:HHX719740 HRT719675:HRT719740 IBP719675:IBP719740 ILL719675:ILL719740 IVH719675:IVH719740 JFD719675:JFD719740 JOZ719675:JOZ719740 JYV719675:JYV719740 KIR719675:KIR719740 KSN719675:KSN719740 LCJ719675:LCJ719740 LMF719675:LMF719740 LWB719675:LWB719740 MFX719675:MFX719740 MPT719675:MPT719740 MZP719675:MZP719740 NJL719675:NJL719740 NTH719675:NTH719740 ODD719675:ODD719740 OMZ719675:OMZ719740 OWV719675:OWV719740 PGR719675:PGR719740 PQN719675:PQN719740 QAJ719675:QAJ719740 QKF719675:QKF719740 QUB719675:QUB719740 RDX719675:RDX719740 RNT719675:RNT719740 RXP719675:RXP719740 SHL719675:SHL719740 SRH719675:SRH719740 TBD719675:TBD719740 TKZ719675:TKZ719740 TUV719675:TUV719740 UER719675:UER719740 UON719675:UON719740 UYJ719675:UYJ719740 VIF719675:VIF719740 VSB719675:VSB719740 WBX719675:WBX719740 WLT719675:WLT719740 WVP719675:WVP719740 H785211:H785276 JD785211:JD785276 SZ785211:SZ785276 ACV785211:ACV785276 AMR785211:AMR785276 AWN785211:AWN785276 BGJ785211:BGJ785276 BQF785211:BQF785276 CAB785211:CAB785276 CJX785211:CJX785276 CTT785211:CTT785276 DDP785211:DDP785276 DNL785211:DNL785276 DXH785211:DXH785276 EHD785211:EHD785276 EQZ785211:EQZ785276 FAV785211:FAV785276 FKR785211:FKR785276 FUN785211:FUN785276 GEJ785211:GEJ785276 GOF785211:GOF785276 GYB785211:GYB785276 HHX785211:HHX785276 HRT785211:HRT785276 IBP785211:IBP785276 ILL785211:ILL785276 IVH785211:IVH785276 JFD785211:JFD785276 JOZ785211:JOZ785276 JYV785211:JYV785276 KIR785211:KIR785276 KSN785211:KSN785276 LCJ785211:LCJ785276 LMF785211:LMF785276 LWB785211:LWB785276 MFX785211:MFX785276 MPT785211:MPT785276 MZP785211:MZP785276 NJL785211:NJL785276 NTH785211:NTH785276 ODD785211:ODD785276 OMZ785211:OMZ785276 OWV785211:OWV785276 PGR785211:PGR785276 PQN785211:PQN785276 QAJ785211:QAJ785276 QKF785211:QKF785276 QUB785211:QUB785276 RDX785211:RDX785276 RNT785211:RNT785276 RXP785211:RXP785276 SHL785211:SHL785276 SRH785211:SRH785276 TBD785211:TBD785276 TKZ785211:TKZ785276 TUV785211:TUV785276 UER785211:UER785276 UON785211:UON785276 UYJ785211:UYJ785276 VIF785211:VIF785276 VSB785211:VSB785276 WBX785211:WBX785276 WLT785211:WLT785276 WVP785211:WVP785276 H850747:H850812 JD850747:JD850812 SZ850747:SZ850812 ACV850747:ACV850812 AMR850747:AMR850812 AWN850747:AWN850812 BGJ850747:BGJ850812 BQF850747:BQF850812 CAB850747:CAB850812 CJX850747:CJX850812 CTT850747:CTT850812 DDP850747:DDP850812 DNL850747:DNL850812 DXH850747:DXH850812 EHD850747:EHD850812 EQZ850747:EQZ850812 FAV850747:FAV850812 FKR850747:FKR850812 FUN850747:FUN850812 GEJ850747:GEJ850812 GOF850747:GOF850812 GYB850747:GYB850812 HHX850747:HHX850812 HRT850747:HRT850812 IBP850747:IBP850812 ILL850747:ILL850812 IVH850747:IVH850812 JFD850747:JFD850812 JOZ850747:JOZ850812 JYV850747:JYV850812 KIR850747:KIR850812 KSN850747:KSN850812 LCJ850747:LCJ850812 LMF850747:LMF850812 LWB850747:LWB850812 MFX850747:MFX850812 MPT850747:MPT850812 MZP850747:MZP850812 NJL850747:NJL850812 NTH850747:NTH850812 ODD850747:ODD850812 OMZ850747:OMZ850812 OWV850747:OWV850812 PGR850747:PGR850812 PQN850747:PQN850812 QAJ850747:QAJ850812 QKF850747:QKF850812 QUB850747:QUB850812 RDX850747:RDX850812 RNT850747:RNT850812 RXP850747:RXP850812 SHL850747:SHL850812 SRH850747:SRH850812 TBD850747:TBD850812 TKZ850747:TKZ850812 TUV850747:TUV850812 UER850747:UER850812 UON850747:UON850812 UYJ850747:UYJ850812 VIF850747:VIF850812 VSB850747:VSB850812 WBX850747:WBX850812 WLT850747:WLT850812 WVP850747:WVP850812 H916283:H916348 JD916283:JD916348 SZ916283:SZ916348 ACV916283:ACV916348 AMR916283:AMR916348 AWN916283:AWN916348 BGJ916283:BGJ916348 BQF916283:BQF916348 CAB916283:CAB916348 CJX916283:CJX916348 CTT916283:CTT916348 DDP916283:DDP916348 DNL916283:DNL916348 DXH916283:DXH916348 EHD916283:EHD916348 EQZ916283:EQZ916348 FAV916283:FAV916348 FKR916283:FKR916348 FUN916283:FUN916348 GEJ916283:GEJ916348 GOF916283:GOF916348 GYB916283:GYB916348 HHX916283:HHX916348 HRT916283:HRT916348 IBP916283:IBP916348 ILL916283:ILL916348 IVH916283:IVH916348 JFD916283:JFD916348 JOZ916283:JOZ916348 JYV916283:JYV916348 KIR916283:KIR916348 KSN916283:KSN916348 LCJ916283:LCJ916348 LMF916283:LMF916348 LWB916283:LWB916348 MFX916283:MFX916348 MPT916283:MPT916348 MZP916283:MZP916348 NJL916283:NJL916348 NTH916283:NTH916348 ODD916283:ODD916348 OMZ916283:OMZ916348 OWV916283:OWV916348 PGR916283:PGR916348 PQN916283:PQN916348 QAJ916283:QAJ916348 QKF916283:QKF916348 QUB916283:QUB916348 RDX916283:RDX916348 RNT916283:RNT916348 RXP916283:RXP916348 SHL916283:SHL916348 SRH916283:SRH916348 TBD916283:TBD916348 TKZ916283:TKZ916348 TUV916283:TUV916348 UER916283:UER916348 UON916283:UON916348 UYJ916283:UYJ916348 VIF916283:VIF916348 VSB916283:VSB916348 WBX916283:WBX916348 WLT916283:WLT916348 WVP916283:WVP916348 H981819:H981884 JD981819:JD981884 SZ981819:SZ981884 ACV981819:ACV981884 AMR981819:AMR981884 AWN981819:AWN981884 BGJ981819:BGJ981884 BQF981819:BQF981884 CAB981819:CAB981884 CJX981819:CJX981884 CTT981819:CTT981884 DDP981819:DDP981884 DNL981819:DNL981884 DXH981819:DXH981884 EHD981819:EHD981884 EQZ981819:EQZ981884 FAV981819:FAV981884 FKR981819:FKR981884 FUN981819:FUN981884 GEJ981819:GEJ981884 GOF981819:GOF981884 GYB981819:GYB981884 HHX981819:HHX981884 HRT981819:HRT981884 IBP981819:IBP981884 ILL981819:ILL981884 IVH981819:IVH981884 JFD981819:JFD981884 JOZ981819:JOZ981884 JYV981819:JYV981884 KIR981819:KIR981884 KSN981819:KSN981884 LCJ981819:LCJ981884 LMF981819:LMF981884 LWB981819:LWB981884 MFX981819:MFX981884 MPT981819:MPT981884 MZP981819:MZP981884 NJL981819:NJL981884 NTH981819:NTH981884 ODD981819:ODD981884 OMZ981819:OMZ981884 OWV981819:OWV981884 PGR981819:PGR981884 PQN981819:PQN981884 QAJ981819:QAJ981884 QKF981819:QKF981884 QUB981819:QUB981884 RDX981819:RDX981884 RNT981819:RNT981884 RXP981819:RXP981884 SHL981819:SHL981884 SRH981819:SRH981884 TBD981819:TBD981884 TKZ981819:TKZ981884 TUV981819:TUV981884 UER981819:UER981884 UON981819:UON981884 UYJ981819:UYJ981884 VIF981819:VIF981884 VSB981819:VSB981884 WBX981819:WBX981884 WLT981819:WLT981884 WVP981819:WVP981884 H1047355:H1047420 JD1047355:JD1047420 SZ1047355:SZ1047420 ACV1047355:ACV1047420 AMR1047355:AMR1047420 AWN1047355:AWN1047420 BGJ1047355:BGJ1047420 BQF1047355:BQF1047420 CAB1047355:CAB1047420 CJX1047355:CJX1047420 CTT1047355:CTT1047420 DDP1047355:DDP1047420 DNL1047355:DNL1047420 DXH1047355:DXH1047420 EHD1047355:EHD1047420 EQZ1047355:EQZ1047420 FAV1047355:FAV1047420 FKR1047355:FKR1047420 FUN1047355:FUN1047420 GEJ1047355:GEJ1047420 GOF1047355:GOF1047420 GYB1047355:GYB1047420 HHX1047355:HHX1047420 HRT1047355:HRT1047420 IBP1047355:IBP1047420 ILL1047355:ILL1047420 IVH1047355:IVH1047420 JFD1047355:JFD1047420 JOZ1047355:JOZ1047420 JYV1047355:JYV1047420 KIR1047355:KIR1047420 KSN1047355:KSN1047420 LCJ1047355:LCJ1047420 LMF1047355:LMF1047420 LWB1047355:LWB1047420 MFX1047355:MFX1047420 MPT1047355:MPT1047420 MZP1047355:MZP1047420 NJL1047355:NJL1047420 NTH1047355:NTH1047420 ODD1047355:ODD1047420 OMZ1047355:OMZ1047420 OWV1047355:OWV1047420 PGR1047355:PGR1047420 PQN1047355:PQN1047420 QAJ1047355:QAJ1047420 QKF1047355:QKF1047420 QUB1047355:QUB1047420 RDX1047355:RDX1047420 RNT1047355:RNT1047420 RXP1047355:RXP1047420 SHL1047355:SHL1047420 SRH1047355:SRH1047420 TBD1047355:TBD1047420 TKZ1047355:TKZ1047420 TUV1047355:TUV1047420 UER1047355:UER1047420 UON1047355:UON1047420 UYJ1047355:UYJ1047420 VIF1047355:VIF1047420 VSB1047355:VSB1047420 WBX1047355:WBX1047420 WLT1047355:WLT1047420 WVP1047355:WVP1047420" xr:uid="{9480C4C3-6195-46BA-BB96-BF103C73D7BB}">
      <formula1>$AL$5:$AL$12</formula1>
    </dataValidation>
    <dataValidation type="list" allowBlank="1" showInputMessage="1" showErrorMessage="1" sqref="E64315:F64380 WVM982994:WVN983065 WLQ982994:WLR983065 WBU982994:WBV983065 VRY982994:VRZ983065 VIC982994:VID983065 UYG982994:UYH983065 UOK982994:UOL983065 UEO982994:UEP983065 TUS982994:TUT983065 TKW982994:TKX983065 TBA982994:TBB983065 SRE982994:SRF983065 SHI982994:SHJ983065 RXM982994:RXN983065 RNQ982994:RNR983065 RDU982994:RDV983065 QTY982994:QTZ983065 QKC982994:QKD983065 QAG982994:QAH983065 PQK982994:PQL983065 PGO982994:PGP983065 OWS982994:OWT983065 OMW982994:OMX983065 ODA982994:ODB983065 NTE982994:NTF983065 NJI982994:NJJ983065 MZM982994:MZN983065 MPQ982994:MPR983065 MFU982994:MFV983065 LVY982994:LVZ983065 LMC982994:LMD983065 LCG982994:LCH983065 KSK982994:KSL983065 KIO982994:KIP983065 JYS982994:JYT983065 JOW982994:JOX983065 JFA982994:JFB983065 IVE982994:IVF983065 ILI982994:ILJ983065 IBM982994:IBN983065 HRQ982994:HRR983065 HHU982994:HHV983065 GXY982994:GXZ983065 GOC982994:GOD983065 GEG982994:GEH983065 FUK982994:FUL983065 FKO982994:FKP983065 FAS982994:FAT983065 EQW982994:EQX983065 EHA982994:EHB983065 DXE982994:DXF983065 DNI982994:DNJ983065 DDM982994:DDN983065 CTQ982994:CTR983065 CJU982994:CJV983065 BZY982994:BZZ983065 BQC982994:BQD983065 BGG982994:BGH983065 AWK982994:AWL983065 AMO982994:AMP983065 ACS982994:ACT983065 SW982994:SX983065 JA982994:JB983065 E982994:F983065 WVM917458:WVN917529 WLQ917458:WLR917529 WBU917458:WBV917529 VRY917458:VRZ917529 VIC917458:VID917529 UYG917458:UYH917529 UOK917458:UOL917529 UEO917458:UEP917529 TUS917458:TUT917529 TKW917458:TKX917529 TBA917458:TBB917529 SRE917458:SRF917529 SHI917458:SHJ917529 RXM917458:RXN917529 RNQ917458:RNR917529 RDU917458:RDV917529 QTY917458:QTZ917529 QKC917458:QKD917529 QAG917458:QAH917529 PQK917458:PQL917529 PGO917458:PGP917529 OWS917458:OWT917529 OMW917458:OMX917529 ODA917458:ODB917529 NTE917458:NTF917529 NJI917458:NJJ917529 MZM917458:MZN917529 MPQ917458:MPR917529 MFU917458:MFV917529 LVY917458:LVZ917529 LMC917458:LMD917529 LCG917458:LCH917529 KSK917458:KSL917529 KIO917458:KIP917529 JYS917458:JYT917529 JOW917458:JOX917529 JFA917458:JFB917529 IVE917458:IVF917529 ILI917458:ILJ917529 IBM917458:IBN917529 HRQ917458:HRR917529 HHU917458:HHV917529 GXY917458:GXZ917529 GOC917458:GOD917529 GEG917458:GEH917529 FUK917458:FUL917529 FKO917458:FKP917529 FAS917458:FAT917529 EQW917458:EQX917529 EHA917458:EHB917529 DXE917458:DXF917529 DNI917458:DNJ917529 DDM917458:DDN917529 CTQ917458:CTR917529 CJU917458:CJV917529 BZY917458:BZZ917529 BQC917458:BQD917529 BGG917458:BGH917529 AWK917458:AWL917529 AMO917458:AMP917529 ACS917458:ACT917529 SW917458:SX917529 JA917458:JB917529 E917458:F917529 WVM851922:WVN851993 WLQ851922:WLR851993 WBU851922:WBV851993 VRY851922:VRZ851993 VIC851922:VID851993 UYG851922:UYH851993 UOK851922:UOL851993 UEO851922:UEP851993 TUS851922:TUT851993 TKW851922:TKX851993 TBA851922:TBB851993 SRE851922:SRF851993 SHI851922:SHJ851993 RXM851922:RXN851993 RNQ851922:RNR851993 RDU851922:RDV851993 QTY851922:QTZ851993 QKC851922:QKD851993 QAG851922:QAH851993 PQK851922:PQL851993 PGO851922:PGP851993 OWS851922:OWT851993 OMW851922:OMX851993 ODA851922:ODB851993 NTE851922:NTF851993 NJI851922:NJJ851993 MZM851922:MZN851993 MPQ851922:MPR851993 MFU851922:MFV851993 LVY851922:LVZ851993 LMC851922:LMD851993 LCG851922:LCH851993 KSK851922:KSL851993 KIO851922:KIP851993 JYS851922:JYT851993 JOW851922:JOX851993 JFA851922:JFB851993 IVE851922:IVF851993 ILI851922:ILJ851993 IBM851922:IBN851993 HRQ851922:HRR851993 HHU851922:HHV851993 GXY851922:GXZ851993 GOC851922:GOD851993 GEG851922:GEH851993 FUK851922:FUL851993 FKO851922:FKP851993 FAS851922:FAT851993 EQW851922:EQX851993 EHA851922:EHB851993 DXE851922:DXF851993 DNI851922:DNJ851993 DDM851922:DDN851993 CTQ851922:CTR851993 CJU851922:CJV851993 BZY851922:BZZ851993 BQC851922:BQD851993 BGG851922:BGH851993 AWK851922:AWL851993 AMO851922:AMP851993 ACS851922:ACT851993 SW851922:SX851993 JA851922:JB851993 E851922:F851993 WVM786386:WVN786457 WLQ786386:WLR786457 WBU786386:WBV786457 VRY786386:VRZ786457 VIC786386:VID786457 UYG786386:UYH786457 UOK786386:UOL786457 UEO786386:UEP786457 TUS786386:TUT786457 TKW786386:TKX786457 TBA786386:TBB786457 SRE786386:SRF786457 SHI786386:SHJ786457 RXM786386:RXN786457 RNQ786386:RNR786457 RDU786386:RDV786457 QTY786386:QTZ786457 QKC786386:QKD786457 QAG786386:QAH786457 PQK786386:PQL786457 PGO786386:PGP786457 OWS786386:OWT786457 OMW786386:OMX786457 ODA786386:ODB786457 NTE786386:NTF786457 NJI786386:NJJ786457 MZM786386:MZN786457 MPQ786386:MPR786457 MFU786386:MFV786457 LVY786386:LVZ786457 LMC786386:LMD786457 LCG786386:LCH786457 KSK786386:KSL786457 KIO786386:KIP786457 JYS786386:JYT786457 JOW786386:JOX786457 JFA786386:JFB786457 IVE786386:IVF786457 ILI786386:ILJ786457 IBM786386:IBN786457 HRQ786386:HRR786457 HHU786386:HHV786457 GXY786386:GXZ786457 GOC786386:GOD786457 GEG786386:GEH786457 FUK786386:FUL786457 FKO786386:FKP786457 FAS786386:FAT786457 EQW786386:EQX786457 EHA786386:EHB786457 DXE786386:DXF786457 DNI786386:DNJ786457 DDM786386:DDN786457 CTQ786386:CTR786457 CJU786386:CJV786457 BZY786386:BZZ786457 BQC786386:BQD786457 BGG786386:BGH786457 AWK786386:AWL786457 AMO786386:AMP786457 ACS786386:ACT786457 SW786386:SX786457 JA786386:JB786457 E786386:F786457 WVM720850:WVN720921 WLQ720850:WLR720921 WBU720850:WBV720921 VRY720850:VRZ720921 VIC720850:VID720921 UYG720850:UYH720921 UOK720850:UOL720921 UEO720850:UEP720921 TUS720850:TUT720921 TKW720850:TKX720921 TBA720850:TBB720921 SRE720850:SRF720921 SHI720850:SHJ720921 RXM720850:RXN720921 RNQ720850:RNR720921 RDU720850:RDV720921 QTY720850:QTZ720921 QKC720850:QKD720921 QAG720850:QAH720921 PQK720850:PQL720921 PGO720850:PGP720921 OWS720850:OWT720921 OMW720850:OMX720921 ODA720850:ODB720921 NTE720850:NTF720921 NJI720850:NJJ720921 MZM720850:MZN720921 MPQ720850:MPR720921 MFU720850:MFV720921 LVY720850:LVZ720921 LMC720850:LMD720921 LCG720850:LCH720921 KSK720850:KSL720921 KIO720850:KIP720921 JYS720850:JYT720921 JOW720850:JOX720921 JFA720850:JFB720921 IVE720850:IVF720921 ILI720850:ILJ720921 IBM720850:IBN720921 HRQ720850:HRR720921 HHU720850:HHV720921 GXY720850:GXZ720921 GOC720850:GOD720921 GEG720850:GEH720921 FUK720850:FUL720921 FKO720850:FKP720921 FAS720850:FAT720921 EQW720850:EQX720921 EHA720850:EHB720921 DXE720850:DXF720921 DNI720850:DNJ720921 DDM720850:DDN720921 CTQ720850:CTR720921 CJU720850:CJV720921 BZY720850:BZZ720921 BQC720850:BQD720921 BGG720850:BGH720921 AWK720850:AWL720921 AMO720850:AMP720921 ACS720850:ACT720921 SW720850:SX720921 JA720850:JB720921 E720850:F720921 WVM655314:WVN655385 WLQ655314:WLR655385 WBU655314:WBV655385 VRY655314:VRZ655385 VIC655314:VID655385 UYG655314:UYH655385 UOK655314:UOL655385 UEO655314:UEP655385 TUS655314:TUT655385 TKW655314:TKX655385 TBA655314:TBB655385 SRE655314:SRF655385 SHI655314:SHJ655385 RXM655314:RXN655385 RNQ655314:RNR655385 RDU655314:RDV655385 QTY655314:QTZ655385 QKC655314:QKD655385 QAG655314:QAH655385 PQK655314:PQL655385 PGO655314:PGP655385 OWS655314:OWT655385 OMW655314:OMX655385 ODA655314:ODB655385 NTE655314:NTF655385 NJI655314:NJJ655385 MZM655314:MZN655385 MPQ655314:MPR655385 MFU655314:MFV655385 LVY655314:LVZ655385 LMC655314:LMD655385 LCG655314:LCH655385 KSK655314:KSL655385 KIO655314:KIP655385 JYS655314:JYT655385 JOW655314:JOX655385 JFA655314:JFB655385 IVE655314:IVF655385 ILI655314:ILJ655385 IBM655314:IBN655385 HRQ655314:HRR655385 HHU655314:HHV655385 GXY655314:GXZ655385 GOC655314:GOD655385 GEG655314:GEH655385 FUK655314:FUL655385 FKO655314:FKP655385 FAS655314:FAT655385 EQW655314:EQX655385 EHA655314:EHB655385 DXE655314:DXF655385 DNI655314:DNJ655385 DDM655314:DDN655385 CTQ655314:CTR655385 CJU655314:CJV655385 BZY655314:BZZ655385 BQC655314:BQD655385 BGG655314:BGH655385 AWK655314:AWL655385 AMO655314:AMP655385 ACS655314:ACT655385 SW655314:SX655385 JA655314:JB655385 E655314:F655385 WVM589778:WVN589849 WLQ589778:WLR589849 WBU589778:WBV589849 VRY589778:VRZ589849 VIC589778:VID589849 UYG589778:UYH589849 UOK589778:UOL589849 UEO589778:UEP589849 TUS589778:TUT589849 TKW589778:TKX589849 TBA589778:TBB589849 SRE589778:SRF589849 SHI589778:SHJ589849 RXM589778:RXN589849 RNQ589778:RNR589849 RDU589778:RDV589849 QTY589778:QTZ589849 QKC589778:QKD589849 QAG589778:QAH589849 PQK589778:PQL589849 PGO589778:PGP589849 OWS589778:OWT589849 OMW589778:OMX589849 ODA589778:ODB589849 NTE589778:NTF589849 NJI589778:NJJ589849 MZM589778:MZN589849 MPQ589778:MPR589849 MFU589778:MFV589849 LVY589778:LVZ589849 LMC589778:LMD589849 LCG589778:LCH589849 KSK589778:KSL589849 KIO589778:KIP589849 JYS589778:JYT589849 JOW589778:JOX589849 JFA589778:JFB589849 IVE589778:IVF589849 ILI589778:ILJ589849 IBM589778:IBN589849 HRQ589778:HRR589849 HHU589778:HHV589849 GXY589778:GXZ589849 GOC589778:GOD589849 GEG589778:GEH589849 FUK589778:FUL589849 FKO589778:FKP589849 FAS589778:FAT589849 EQW589778:EQX589849 EHA589778:EHB589849 DXE589778:DXF589849 DNI589778:DNJ589849 DDM589778:DDN589849 CTQ589778:CTR589849 CJU589778:CJV589849 BZY589778:BZZ589849 BQC589778:BQD589849 BGG589778:BGH589849 AWK589778:AWL589849 AMO589778:AMP589849 ACS589778:ACT589849 SW589778:SX589849 JA589778:JB589849 E589778:F589849 WVM524242:WVN524313 WLQ524242:WLR524313 WBU524242:WBV524313 VRY524242:VRZ524313 VIC524242:VID524313 UYG524242:UYH524313 UOK524242:UOL524313 UEO524242:UEP524313 TUS524242:TUT524313 TKW524242:TKX524313 TBA524242:TBB524313 SRE524242:SRF524313 SHI524242:SHJ524313 RXM524242:RXN524313 RNQ524242:RNR524313 RDU524242:RDV524313 QTY524242:QTZ524313 QKC524242:QKD524313 QAG524242:QAH524313 PQK524242:PQL524313 PGO524242:PGP524313 OWS524242:OWT524313 OMW524242:OMX524313 ODA524242:ODB524313 NTE524242:NTF524313 NJI524242:NJJ524313 MZM524242:MZN524313 MPQ524242:MPR524313 MFU524242:MFV524313 LVY524242:LVZ524313 LMC524242:LMD524313 LCG524242:LCH524313 KSK524242:KSL524313 KIO524242:KIP524313 JYS524242:JYT524313 JOW524242:JOX524313 JFA524242:JFB524313 IVE524242:IVF524313 ILI524242:ILJ524313 IBM524242:IBN524313 HRQ524242:HRR524313 HHU524242:HHV524313 GXY524242:GXZ524313 GOC524242:GOD524313 GEG524242:GEH524313 FUK524242:FUL524313 FKO524242:FKP524313 FAS524242:FAT524313 EQW524242:EQX524313 EHA524242:EHB524313 DXE524242:DXF524313 DNI524242:DNJ524313 DDM524242:DDN524313 CTQ524242:CTR524313 CJU524242:CJV524313 BZY524242:BZZ524313 BQC524242:BQD524313 BGG524242:BGH524313 AWK524242:AWL524313 AMO524242:AMP524313 ACS524242:ACT524313 SW524242:SX524313 JA524242:JB524313 E524242:F524313 WVM458706:WVN458777 WLQ458706:WLR458777 WBU458706:WBV458777 VRY458706:VRZ458777 VIC458706:VID458777 UYG458706:UYH458777 UOK458706:UOL458777 UEO458706:UEP458777 TUS458706:TUT458777 TKW458706:TKX458777 TBA458706:TBB458777 SRE458706:SRF458777 SHI458706:SHJ458777 RXM458706:RXN458777 RNQ458706:RNR458777 RDU458706:RDV458777 QTY458706:QTZ458777 QKC458706:QKD458777 QAG458706:QAH458777 PQK458706:PQL458777 PGO458706:PGP458777 OWS458706:OWT458777 OMW458706:OMX458777 ODA458706:ODB458777 NTE458706:NTF458777 NJI458706:NJJ458777 MZM458706:MZN458777 MPQ458706:MPR458777 MFU458706:MFV458777 LVY458706:LVZ458777 LMC458706:LMD458777 LCG458706:LCH458777 KSK458706:KSL458777 KIO458706:KIP458777 JYS458706:JYT458777 JOW458706:JOX458777 JFA458706:JFB458777 IVE458706:IVF458777 ILI458706:ILJ458777 IBM458706:IBN458777 HRQ458706:HRR458777 HHU458706:HHV458777 GXY458706:GXZ458777 GOC458706:GOD458777 GEG458706:GEH458777 FUK458706:FUL458777 FKO458706:FKP458777 FAS458706:FAT458777 EQW458706:EQX458777 EHA458706:EHB458777 DXE458706:DXF458777 DNI458706:DNJ458777 DDM458706:DDN458777 CTQ458706:CTR458777 CJU458706:CJV458777 BZY458706:BZZ458777 BQC458706:BQD458777 BGG458706:BGH458777 AWK458706:AWL458777 AMO458706:AMP458777 ACS458706:ACT458777 SW458706:SX458777 JA458706:JB458777 E458706:F458777 WVM393170:WVN393241 WLQ393170:WLR393241 WBU393170:WBV393241 VRY393170:VRZ393241 VIC393170:VID393241 UYG393170:UYH393241 UOK393170:UOL393241 UEO393170:UEP393241 TUS393170:TUT393241 TKW393170:TKX393241 TBA393170:TBB393241 SRE393170:SRF393241 SHI393170:SHJ393241 RXM393170:RXN393241 RNQ393170:RNR393241 RDU393170:RDV393241 QTY393170:QTZ393241 QKC393170:QKD393241 QAG393170:QAH393241 PQK393170:PQL393241 PGO393170:PGP393241 OWS393170:OWT393241 OMW393170:OMX393241 ODA393170:ODB393241 NTE393170:NTF393241 NJI393170:NJJ393241 MZM393170:MZN393241 MPQ393170:MPR393241 MFU393170:MFV393241 LVY393170:LVZ393241 LMC393170:LMD393241 LCG393170:LCH393241 KSK393170:KSL393241 KIO393170:KIP393241 JYS393170:JYT393241 JOW393170:JOX393241 JFA393170:JFB393241 IVE393170:IVF393241 ILI393170:ILJ393241 IBM393170:IBN393241 HRQ393170:HRR393241 HHU393170:HHV393241 GXY393170:GXZ393241 GOC393170:GOD393241 GEG393170:GEH393241 FUK393170:FUL393241 FKO393170:FKP393241 FAS393170:FAT393241 EQW393170:EQX393241 EHA393170:EHB393241 DXE393170:DXF393241 DNI393170:DNJ393241 DDM393170:DDN393241 CTQ393170:CTR393241 CJU393170:CJV393241 BZY393170:BZZ393241 BQC393170:BQD393241 BGG393170:BGH393241 AWK393170:AWL393241 AMO393170:AMP393241 ACS393170:ACT393241 SW393170:SX393241 JA393170:JB393241 E393170:F393241 WVM327634:WVN327705 WLQ327634:WLR327705 WBU327634:WBV327705 VRY327634:VRZ327705 VIC327634:VID327705 UYG327634:UYH327705 UOK327634:UOL327705 UEO327634:UEP327705 TUS327634:TUT327705 TKW327634:TKX327705 TBA327634:TBB327705 SRE327634:SRF327705 SHI327634:SHJ327705 RXM327634:RXN327705 RNQ327634:RNR327705 RDU327634:RDV327705 QTY327634:QTZ327705 QKC327634:QKD327705 QAG327634:QAH327705 PQK327634:PQL327705 PGO327634:PGP327705 OWS327634:OWT327705 OMW327634:OMX327705 ODA327634:ODB327705 NTE327634:NTF327705 NJI327634:NJJ327705 MZM327634:MZN327705 MPQ327634:MPR327705 MFU327634:MFV327705 LVY327634:LVZ327705 LMC327634:LMD327705 LCG327634:LCH327705 KSK327634:KSL327705 KIO327634:KIP327705 JYS327634:JYT327705 JOW327634:JOX327705 JFA327634:JFB327705 IVE327634:IVF327705 ILI327634:ILJ327705 IBM327634:IBN327705 HRQ327634:HRR327705 HHU327634:HHV327705 GXY327634:GXZ327705 GOC327634:GOD327705 GEG327634:GEH327705 FUK327634:FUL327705 FKO327634:FKP327705 FAS327634:FAT327705 EQW327634:EQX327705 EHA327634:EHB327705 DXE327634:DXF327705 DNI327634:DNJ327705 DDM327634:DDN327705 CTQ327634:CTR327705 CJU327634:CJV327705 BZY327634:BZZ327705 BQC327634:BQD327705 BGG327634:BGH327705 AWK327634:AWL327705 AMO327634:AMP327705 ACS327634:ACT327705 SW327634:SX327705 JA327634:JB327705 E327634:F327705 WVM262098:WVN262169 WLQ262098:WLR262169 WBU262098:WBV262169 VRY262098:VRZ262169 VIC262098:VID262169 UYG262098:UYH262169 UOK262098:UOL262169 UEO262098:UEP262169 TUS262098:TUT262169 TKW262098:TKX262169 TBA262098:TBB262169 SRE262098:SRF262169 SHI262098:SHJ262169 RXM262098:RXN262169 RNQ262098:RNR262169 RDU262098:RDV262169 QTY262098:QTZ262169 QKC262098:QKD262169 QAG262098:QAH262169 PQK262098:PQL262169 PGO262098:PGP262169 OWS262098:OWT262169 OMW262098:OMX262169 ODA262098:ODB262169 NTE262098:NTF262169 NJI262098:NJJ262169 MZM262098:MZN262169 MPQ262098:MPR262169 MFU262098:MFV262169 LVY262098:LVZ262169 LMC262098:LMD262169 LCG262098:LCH262169 KSK262098:KSL262169 KIO262098:KIP262169 JYS262098:JYT262169 JOW262098:JOX262169 JFA262098:JFB262169 IVE262098:IVF262169 ILI262098:ILJ262169 IBM262098:IBN262169 HRQ262098:HRR262169 HHU262098:HHV262169 GXY262098:GXZ262169 GOC262098:GOD262169 GEG262098:GEH262169 FUK262098:FUL262169 FKO262098:FKP262169 FAS262098:FAT262169 EQW262098:EQX262169 EHA262098:EHB262169 DXE262098:DXF262169 DNI262098:DNJ262169 DDM262098:DDN262169 CTQ262098:CTR262169 CJU262098:CJV262169 BZY262098:BZZ262169 BQC262098:BQD262169 BGG262098:BGH262169 AWK262098:AWL262169 AMO262098:AMP262169 ACS262098:ACT262169 SW262098:SX262169 JA262098:JB262169 E262098:F262169 WVM196562:WVN196633 WLQ196562:WLR196633 WBU196562:WBV196633 VRY196562:VRZ196633 VIC196562:VID196633 UYG196562:UYH196633 UOK196562:UOL196633 UEO196562:UEP196633 TUS196562:TUT196633 TKW196562:TKX196633 TBA196562:TBB196633 SRE196562:SRF196633 SHI196562:SHJ196633 RXM196562:RXN196633 RNQ196562:RNR196633 RDU196562:RDV196633 QTY196562:QTZ196633 QKC196562:QKD196633 QAG196562:QAH196633 PQK196562:PQL196633 PGO196562:PGP196633 OWS196562:OWT196633 OMW196562:OMX196633 ODA196562:ODB196633 NTE196562:NTF196633 NJI196562:NJJ196633 MZM196562:MZN196633 MPQ196562:MPR196633 MFU196562:MFV196633 LVY196562:LVZ196633 LMC196562:LMD196633 LCG196562:LCH196633 KSK196562:KSL196633 KIO196562:KIP196633 JYS196562:JYT196633 JOW196562:JOX196633 JFA196562:JFB196633 IVE196562:IVF196633 ILI196562:ILJ196633 IBM196562:IBN196633 HRQ196562:HRR196633 HHU196562:HHV196633 GXY196562:GXZ196633 GOC196562:GOD196633 GEG196562:GEH196633 FUK196562:FUL196633 FKO196562:FKP196633 FAS196562:FAT196633 EQW196562:EQX196633 EHA196562:EHB196633 DXE196562:DXF196633 DNI196562:DNJ196633 DDM196562:DDN196633 CTQ196562:CTR196633 CJU196562:CJV196633 BZY196562:BZZ196633 BQC196562:BQD196633 BGG196562:BGH196633 AWK196562:AWL196633 AMO196562:AMP196633 ACS196562:ACT196633 SW196562:SX196633 JA196562:JB196633 E196562:F196633 WVM131026:WVN131097 WLQ131026:WLR131097 WBU131026:WBV131097 VRY131026:VRZ131097 VIC131026:VID131097 UYG131026:UYH131097 UOK131026:UOL131097 UEO131026:UEP131097 TUS131026:TUT131097 TKW131026:TKX131097 TBA131026:TBB131097 SRE131026:SRF131097 SHI131026:SHJ131097 RXM131026:RXN131097 RNQ131026:RNR131097 RDU131026:RDV131097 QTY131026:QTZ131097 QKC131026:QKD131097 QAG131026:QAH131097 PQK131026:PQL131097 PGO131026:PGP131097 OWS131026:OWT131097 OMW131026:OMX131097 ODA131026:ODB131097 NTE131026:NTF131097 NJI131026:NJJ131097 MZM131026:MZN131097 MPQ131026:MPR131097 MFU131026:MFV131097 LVY131026:LVZ131097 LMC131026:LMD131097 LCG131026:LCH131097 KSK131026:KSL131097 KIO131026:KIP131097 JYS131026:JYT131097 JOW131026:JOX131097 JFA131026:JFB131097 IVE131026:IVF131097 ILI131026:ILJ131097 IBM131026:IBN131097 HRQ131026:HRR131097 HHU131026:HHV131097 GXY131026:GXZ131097 GOC131026:GOD131097 GEG131026:GEH131097 FUK131026:FUL131097 FKO131026:FKP131097 FAS131026:FAT131097 EQW131026:EQX131097 EHA131026:EHB131097 DXE131026:DXF131097 DNI131026:DNJ131097 DDM131026:DDN131097 CTQ131026:CTR131097 CJU131026:CJV131097 BZY131026:BZZ131097 BQC131026:BQD131097 BGG131026:BGH131097 AWK131026:AWL131097 AMO131026:AMP131097 ACS131026:ACT131097 SW131026:SX131097 JA131026:JB131097 E131026:F131097 WVM65490:WVN65561 WLQ65490:WLR65561 WBU65490:WBV65561 VRY65490:VRZ65561 VIC65490:VID65561 UYG65490:UYH65561 UOK65490:UOL65561 UEO65490:UEP65561 TUS65490:TUT65561 TKW65490:TKX65561 TBA65490:TBB65561 SRE65490:SRF65561 SHI65490:SHJ65561 RXM65490:RXN65561 RNQ65490:RNR65561 RDU65490:RDV65561 QTY65490:QTZ65561 QKC65490:QKD65561 QAG65490:QAH65561 PQK65490:PQL65561 PGO65490:PGP65561 OWS65490:OWT65561 OMW65490:OMX65561 ODA65490:ODB65561 NTE65490:NTF65561 NJI65490:NJJ65561 MZM65490:MZN65561 MPQ65490:MPR65561 MFU65490:MFV65561 LVY65490:LVZ65561 LMC65490:LMD65561 LCG65490:LCH65561 KSK65490:KSL65561 KIO65490:KIP65561 JYS65490:JYT65561 JOW65490:JOX65561 JFA65490:JFB65561 IVE65490:IVF65561 ILI65490:ILJ65561 IBM65490:IBN65561 HRQ65490:HRR65561 HHU65490:HHV65561 GXY65490:GXZ65561 GOC65490:GOD65561 GEG65490:GEH65561 FUK65490:FUL65561 FKO65490:FKP65561 FAS65490:FAT65561 EQW65490:EQX65561 EHA65490:EHB65561 DXE65490:DXF65561 DNI65490:DNJ65561 DDM65490:DDN65561 CTQ65490:CTR65561 CJU65490:CJV65561 BZY65490:BZZ65561 BQC65490:BQD65561 BGG65490:BGH65561 AWK65490:AWL65561 AMO65490:AMP65561 ACS65490:ACT65561 SW65490:SX65561 JA65490:JB65561 E65490:F65561 JA64315:JB64380 WVM1047355:WVN1047420 WLQ1047355:WLR1047420 WBU1047355:WBV1047420 VRY1047355:VRZ1047420 VIC1047355:VID1047420 UYG1047355:UYH1047420 UOK1047355:UOL1047420 UEO1047355:UEP1047420 TUS1047355:TUT1047420 TKW1047355:TKX1047420 TBA1047355:TBB1047420 SRE1047355:SRF1047420 SHI1047355:SHJ1047420 RXM1047355:RXN1047420 RNQ1047355:RNR1047420 RDU1047355:RDV1047420 QTY1047355:QTZ1047420 QKC1047355:QKD1047420 QAG1047355:QAH1047420 PQK1047355:PQL1047420 PGO1047355:PGP1047420 OWS1047355:OWT1047420 OMW1047355:OMX1047420 ODA1047355:ODB1047420 NTE1047355:NTF1047420 NJI1047355:NJJ1047420 MZM1047355:MZN1047420 MPQ1047355:MPR1047420 MFU1047355:MFV1047420 LVY1047355:LVZ1047420 LMC1047355:LMD1047420 LCG1047355:LCH1047420 KSK1047355:KSL1047420 KIO1047355:KIP1047420 JYS1047355:JYT1047420 JOW1047355:JOX1047420 JFA1047355:JFB1047420 IVE1047355:IVF1047420 ILI1047355:ILJ1047420 IBM1047355:IBN1047420 HRQ1047355:HRR1047420 HHU1047355:HHV1047420 GXY1047355:GXZ1047420 GOC1047355:GOD1047420 GEG1047355:GEH1047420 FUK1047355:FUL1047420 FKO1047355:FKP1047420 FAS1047355:FAT1047420 EQW1047355:EQX1047420 EHA1047355:EHB1047420 DXE1047355:DXF1047420 DNI1047355:DNJ1047420 DDM1047355:DDN1047420 CTQ1047355:CTR1047420 CJU1047355:CJV1047420 BZY1047355:BZZ1047420 BQC1047355:BQD1047420 BGG1047355:BGH1047420 AWK1047355:AWL1047420 AMO1047355:AMP1047420 ACS1047355:ACT1047420 SW1047355:SX1047420 JA1047355:JB1047420 E1047355:F1047420 WVM981819:WVN981884 WLQ981819:WLR981884 WBU981819:WBV981884 VRY981819:VRZ981884 VIC981819:VID981884 UYG981819:UYH981884 UOK981819:UOL981884 UEO981819:UEP981884 TUS981819:TUT981884 TKW981819:TKX981884 TBA981819:TBB981884 SRE981819:SRF981884 SHI981819:SHJ981884 RXM981819:RXN981884 RNQ981819:RNR981884 RDU981819:RDV981884 QTY981819:QTZ981884 QKC981819:QKD981884 QAG981819:QAH981884 PQK981819:PQL981884 PGO981819:PGP981884 OWS981819:OWT981884 OMW981819:OMX981884 ODA981819:ODB981884 NTE981819:NTF981884 NJI981819:NJJ981884 MZM981819:MZN981884 MPQ981819:MPR981884 MFU981819:MFV981884 LVY981819:LVZ981884 LMC981819:LMD981884 LCG981819:LCH981884 KSK981819:KSL981884 KIO981819:KIP981884 JYS981819:JYT981884 JOW981819:JOX981884 JFA981819:JFB981884 IVE981819:IVF981884 ILI981819:ILJ981884 IBM981819:IBN981884 HRQ981819:HRR981884 HHU981819:HHV981884 GXY981819:GXZ981884 GOC981819:GOD981884 GEG981819:GEH981884 FUK981819:FUL981884 FKO981819:FKP981884 FAS981819:FAT981884 EQW981819:EQX981884 EHA981819:EHB981884 DXE981819:DXF981884 DNI981819:DNJ981884 DDM981819:DDN981884 CTQ981819:CTR981884 CJU981819:CJV981884 BZY981819:BZZ981884 BQC981819:BQD981884 BGG981819:BGH981884 AWK981819:AWL981884 AMO981819:AMP981884 ACS981819:ACT981884 SW981819:SX981884 JA981819:JB981884 E981819:F981884 WVM916283:WVN916348 WLQ916283:WLR916348 WBU916283:WBV916348 VRY916283:VRZ916348 VIC916283:VID916348 UYG916283:UYH916348 UOK916283:UOL916348 UEO916283:UEP916348 TUS916283:TUT916348 TKW916283:TKX916348 TBA916283:TBB916348 SRE916283:SRF916348 SHI916283:SHJ916348 RXM916283:RXN916348 RNQ916283:RNR916348 RDU916283:RDV916348 QTY916283:QTZ916348 QKC916283:QKD916348 QAG916283:QAH916348 PQK916283:PQL916348 PGO916283:PGP916348 OWS916283:OWT916348 OMW916283:OMX916348 ODA916283:ODB916348 NTE916283:NTF916348 NJI916283:NJJ916348 MZM916283:MZN916348 MPQ916283:MPR916348 MFU916283:MFV916348 LVY916283:LVZ916348 LMC916283:LMD916348 LCG916283:LCH916348 KSK916283:KSL916348 KIO916283:KIP916348 JYS916283:JYT916348 JOW916283:JOX916348 JFA916283:JFB916348 IVE916283:IVF916348 ILI916283:ILJ916348 IBM916283:IBN916348 HRQ916283:HRR916348 HHU916283:HHV916348 GXY916283:GXZ916348 GOC916283:GOD916348 GEG916283:GEH916348 FUK916283:FUL916348 FKO916283:FKP916348 FAS916283:FAT916348 EQW916283:EQX916348 EHA916283:EHB916348 DXE916283:DXF916348 DNI916283:DNJ916348 DDM916283:DDN916348 CTQ916283:CTR916348 CJU916283:CJV916348 BZY916283:BZZ916348 BQC916283:BQD916348 BGG916283:BGH916348 AWK916283:AWL916348 AMO916283:AMP916348 ACS916283:ACT916348 SW916283:SX916348 JA916283:JB916348 E916283:F916348 WVM850747:WVN850812 WLQ850747:WLR850812 WBU850747:WBV850812 VRY850747:VRZ850812 VIC850747:VID850812 UYG850747:UYH850812 UOK850747:UOL850812 UEO850747:UEP850812 TUS850747:TUT850812 TKW850747:TKX850812 TBA850747:TBB850812 SRE850747:SRF850812 SHI850747:SHJ850812 RXM850747:RXN850812 RNQ850747:RNR850812 RDU850747:RDV850812 QTY850747:QTZ850812 QKC850747:QKD850812 QAG850747:QAH850812 PQK850747:PQL850812 PGO850747:PGP850812 OWS850747:OWT850812 OMW850747:OMX850812 ODA850747:ODB850812 NTE850747:NTF850812 NJI850747:NJJ850812 MZM850747:MZN850812 MPQ850747:MPR850812 MFU850747:MFV850812 LVY850747:LVZ850812 LMC850747:LMD850812 LCG850747:LCH850812 KSK850747:KSL850812 KIO850747:KIP850812 JYS850747:JYT850812 JOW850747:JOX850812 JFA850747:JFB850812 IVE850747:IVF850812 ILI850747:ILJ850812 IBM850747:IBN850812 HRQ850747:HRR850812 HHU850747:HHV850812 GXY850747:GXZ850812 GOC850747:GOD850812 GEG850747:GEH850812 FUK850747:FUL850812 FKO850747:FKP850812 FAS850747:FAT850812 EQW850747:EQX850812 EHA850747:EHB850812 DXE850747:DXF850812 DNI850747:DNJ850812 DDM850747:DDN850812 CTQ850747:CTR850812 CJU850747:CJV850812 BZY850747:BZZ850812 BQC850747:BQD850812 BGG850747:BGH850812 AWK850747:AWL850812 AMO850747:AMP850812 ACS850747:ACT850812 SW850747:SX850812 JA850747:JB850812 E850747:F850812 WVM785211:WVN785276 WLQ785211:WLR785276 WBU785211:WBV785276 VRY785211:VRZ785276 VIC785211:VID785276 UYG785211:UYH785276 UOK785211:UOL785276 UEO785211:UEP785276 TUS785211:TUT785276 TKW785211:TKX785276 TBA785211:TBB785276 SRE785211:SRF785276 SHI785211:SHJ785276 RXM785211:RXN785276 RNQ785211:RNR785276 RDU785211:RDV785276 QTY785211:QTZ785276 QKC785211:QKD785276 QAG785211:QAH785276 PQK785211:PQL785276 PGO785211:PGP785276 OWS785211:OWT785276 OMW785211:OMX785276 ODA785211:ODB785276 NTE785211:NTF785276 NJI785211:NJJ785276 MZM785211:MZN785276 MPQ785211:MPR785276 MFU785211:MFV785276 LVY785211:LVZ785276 LMC785211:LMD785276 LCG785211:LCH785276 KSK785211:KSL785276 KIO785211:KIP785276 JYS785211:JYT785276 JOW785211:JOX785276 JFA785211:JFB785276 IVE785211:IVF785276 ILI785211:ILJ785276 IBM785211:IBN785276 HRQ785211:HRR785276 HHU785211:HHV785276 GXY785211:GXZ785276 GOC785211:GOD785276 GEG785211:GEH785276 FUK785211:FUL785276 FKO785211:FKP785276 FAS785211:FAT785276 EQW785211:EQX785276 EHA785211:EHB785276 DXE785211:DXF785276 DNI785211:DNJ785276 DDM785211:DDN785276 CTQ785211:CTR785276 CJU785211:CJV785276 BZY785211:BZZ785276 BQC785211:BQD785276 BGG785211:BGH785276 AWK785211:AWL785276 AMO785211:AMP785276 ACS785211:ACT785276 SW785211:SX785276 JA785211:JB785276 E785211:F785276 WVM719675:WVN719740 WLQ719675:WLR719740 WBU719675:WBV719740 VRY719675:VRZ719740 VIC719675:VID719740 UYG719675:UYH719740 UOK719675:UOL719740 UEO719675:UEP719740 TUS719675:TUT719740 TKW719675:TKX719740 TBA719675:TBB719740 SRE719675:SRF719740 SHI719675:SHJ719740 RXM719675:RXN719740 RNQ719675:RNR719740 RDU719675:RDV719740 QTY719675:QTZ719740 QKC719675:QKD719740 QAG719675:QAH719740 PQK719675:PQL719740 PGO719675:PGP719740 OWS719675:OWT719740 OMW719675:OMX719740 ODA719675:ODB719740 NTE719675:NTF719740 NJI719675:NJJ719740 MZM719675:MZN719740 MPQ719675:MPR719740 MFU719675:MFV719740 LVY719675:LVZ719740 LMC719675:LMD719740 LCG719675:LCH719740 KSK719675:KSL719740 KIO719675:KIP719740 JYS719675:JYT719740 JOW719675:JOX719740 JFA719675:JFB719740 IVE719675:IVF719740 ILI719675:ILJ719740 IBM719675:IBN719740 HRQ719675:HRR719740 HHU719675:HHV719740 GXY719675:GXZ719740 GOC719675:GOD719740 GEG719675:GEH719740 FUK719675:FUL719740 FKO719675:FKP719740 FAS719675:FAT719740 EQW719675:EQX719740 EHA719675:EHB719740 DXE719675:DXF719740 DNI719675:DNJ719740 DDM719675:DDN719740 CTQ719675:CTR719740 CJU719675:CJV719740 BZY719675:BZZ719740 BQC719675:BQD719740 BGG719675:BGH719740 AWK719675:AWL719740 AMO719675:AMP719740 ACS719675:ACT719740 SW719675:SX719740 JA719675:JB719740 E719675:F719740 WVM654139:WVN654204 WLQ654139:WLR654204 WBU654139:WBV654204 VRY654139:VRZ654204 VIC654139:VID654204 UYG654139:UYH654204 UOK654139:UOL654204 UEO654139:UEP654204 TUS654139:TUT654204 TKW654139:TKX654204 TBA654139:TBB654204 SRE654139:SRF654204 SHI654139:SHJ654204 RXM654139:RXN654204 RNQ654139:RNR654204 RDU654139:RDV654204 QTY654139:QTZ654204 QKC654139:QKD654204 QAG654139:QAH654204 PQK654139:PQL654204 PGO654139:PGP654204 OWS654139:OWT654204 OMW654139:OMX654204 ODA654139:ODB654204 NTE654139:NTF654204 NJI654139:NJJ654204 MZM654139:MZN654204 MPQ654139:MPR654204 MFU654139:MFV654204 LVY654139:LVZ654204 LMC654139:LMD654204 LCG654139:LCH654204 KSK654139:KSL654204 KIO654139:KIP654204 JYS654139:JYT654204 JOW654139:JOX654204 JFA654139:JFB654204 IVE654139:IVF654204 ILI654139:ILJ654204 IBM654139:IBN654204 HRQ654139:HRR654204 HHU654139:HHV654204 GXY654139:GXZ654204 GOC654139:GOD654204 GEG654139:GEH654204 FUK654139:FUL654204 FKO654139:FKP654204 FAS654139:FAT654204 EQW654139:EQX654204 EHA654139:EHB654204 DXE654139:DXF654204 DNI654139:DNJ654204 DDM654139:DDN654204 CTQ654139:CTR654204 CJU654139:CJV654204 BZY654139:BZZ654204 BQC654139:BQD654204 BGG654139:BGH654204 AWK654139:AWL654204 AMO654139:AMP654204 ACS654139:ACT654204 SW654139:SX654204 JA654139:JB654204 E654139:F654204 WVM588603:WVN588668 WLQ588603:WLR588668 WBU588603:WBV588668 VRY588603:VRZ588668 VIC588603:VID588668 UYG588603:UYH588668 UOK588603:UOL588668 UEO588603:UEP588668 TUS588603:TUT588668 TKW588603:TKX588668 TBA588603:TBB588668 SRE588603:SRF588668 SHI588603:SHJ588668 RXM588603:RXN588668 RNQ588603:RNR588668 RDU588603:RDV588668 QTY588603:QTZ588668 QKC588603:QKD588668 QAG588603:QAH588668 PQK588603:PQL588668 PGO588603:PGP588668 OWS588603:OWT588668 OMW588603:OMX588668 ODA588603:ODB588668 NTE588603:NTF588668 NJI588603:NJJ588668 MZM588603:MZN588668 MPQ588603:MPR588668 MFU588603:MFV588668 LVY588603:LVZ588668 LMC588603:LMD588668 LCG588603:LCH588668 KSK588603:KSL588668 KIO588603:KIP588668 JYS588603:JYT588668 JOW588603:JOX588668 JFA588603:JFB588668 IVE588603:IVF588668 ILI588603:ILJ588668 IBM588603:IBN588668 HRQ588603:HRR588668 HHU588603:HHV588668 GXY588603:GXZ588668 GOC588603:GOD588668 GEG588603:GEH588668 FUK588603:FUL588668 FKO588603:FKP588668 FAS588603:FAT588668 EQW588603:EQX588668 EHA588603:EHB588668 DXE588603:DXF588668 DNI588603:DNJ588668 DDM588603:DDN588668 CTQ588603:CTR588668 CJU588603:CJV588668 BZY588603:BZZ588668 BQC588603:BQD588668 BGG588603:BGH588668 AWK588603:AWL588668 AMO588603:AMP588668 ACS588603:ACT588668 SW588603:SX588668 JA588603:JB588668 E588603:F588668 WVM523067:WVN523132 WLQ523067:WLR523132 WBU523067:WBV523132 VRY523067:VRZ523132 VIC523067:VID523132 UYG523067:UYH523132 UOK523067:UOL523132 UEO523067:UEP523132 TUS523067:TUT523132 TKW523067:TKX523132 TBA523067:TBB523132 SRE523067:SRF523132 SHI523067:SHJ523132 RXM523067:RXN523132 RNQ523067:RNR523132 RDU523067:RDV523132 QTY523067:QTZ523132 QKC523067:QKD523132 QAG523067:QAH523132 PQK523067:PQL523132 PGO523067:PGP523132 OWS523067:OWT523132 OMW523067:OMX523132 ODA523067:ODB523132 NTE523067:NTF523132 NJI523067:NJJ523132 MZM523067:MZN523132 MPQ523067:MPR523132 MFU523067:MFV523132 LVY523067:LVZ523132 LMC523067:LMD523132 LCG523067:LCH523132 KSK523067:KSL523132 KIO523067:KIP523132 JYS523067:JYT523132 JOW523067:JOX523132 JFA523067:JFB523132 IVE523067:IVF523132 ILI523067:ILJ523132 IBM523067:IBN523132 HRQ523067:HRR523132 HHU523067:HHV523132 GXY523067:GXZ523132 GOC523067:GOD523132 GEG523067:GEH523132 FUK523067:FUL523132 FKO523067:FKP523132 FAS523067:FAT523132 EQW523067:EQX523132 EHA523067:EHB523132 DXE523067:DXF523132 DNI523067:DNJ523132 DDM523067:DDN523132 CTQ523067:CTR523132 CJU523067:CJV523132 BZY523067:BZZ523132 BQC523067:BQD523132 BGG523067:BGH523132 AWK523067:AWL523132 AMO523067:AMP523132 ACS523067:ACT523132 SW523067:SX523132 JA523067:JB523132 E523067:F523132 WVM457531:WVN457596 WLQ457531:WLR457596 WBU457531:WBV457596 VRY457531:VRZ457596 VIC457531:VID457596 UYG457531:UYH457596 UOK457531:UOL457596 UEO457531:UEP457596 TUS457531:TUT457596 TKW457531:TKX457596 TBA457531:TBB457596 SRE457531:SRF457596 SHI457531:SHJ457596 RXM457531:RXN457596 RNQ457531:RNR457596 RDU457531:RDV457596 QTY457531:QTZ457596 QKC457531:QKD457596 QAG457531:QAH457596 PQK457531:PQL457596 PGO457531:PGP457596 OWS457531:OWT457596 OMW457531:OMX457596 ODA457531:ODB457596 NTE457531:NTF457596 NJI457531:NJJ457596 MZM457531:MZN457596 MPQ457531:MPR457596 MFU457531:MFV457596 LVY457531:LVZ457596 LMC457531:LMD457596 LCG457531:LCH457596 KSK457531:KSL457596 KIO457531:KIP457596 JYS457531:JYT457596 JOW457531:JOX457596 JFA457531:JFB457596 IVE457531:IVF457596 ILI457531:ILJ457596 IBM457531:IBN457596 HRQ457531:HRR457596 HHU457531:HHV457596 GXY457531:GXZ457596 GOC457531:GOD457596 GEG457531:GEH457596 FUK457531:FUL457596 FKO457531:FKP457596 FAS457531:FAT457596 EQW457531:EQX457596 EHA457531:EHB457596 DXE457531:DXF457596 DNI457531:DNJ457596 DDM457531:DDN457596 CTQ457531:CTR457596 CJU457531:CJV457596 BZY457531:BZZ457596 BQC457531:BQD457596 BGG457531:BGH457596 AWK457531:AWL457596 AMO457531:AMP457596 ACS457531:ACT457596 SW457531:SX457596 JA457531:JB457596 E457531:F457596 WVM391995:WVN392060 WLQ391995:WLR392060 WBU391995:WBV392060 VRY391995:VRZ392060 VIC391995:VID392060 UYG391995:UYH392060 UOK391995:UOL392060 UEO391995:UEP392060 TUS391995:TUT392060 TKW391995:TKX392060 TBA391995:TBB392060 SRE391995:SRF392060 SHI391995:SHJ392060 RXM391995:RXN392060 RNQ391995:RNR392060 RDU391995:RDV392060 QTY391995:QTZ392060 QKC391995:QKD392060 QAG391995:QAH392060 PQK391995:PQL392060 PGO391995:PGP392060 OWS391995:OWT392060 OMW391995:OMX392060 ODA391995:ODB392060 NTE391995:NTF392060 NJI391995:NJJ392060 MZM391995:MZN392060 MPQ391995:MPR392060 MFU391995:MFV392060 LVY391995:LVZ392060 LMC391995:LMD392060 LCG391995:LCH392060 KSK391995:KSL392060 KIO391995:KIP392060 JYS391995:JYT392060 JOW391995:JOX392060 JFA391995:JFB392060 IVE391995:IVF392060 ILI391995:ILJ392060 IBM391995:IBN392060 HRQ391995:HRR392060 HHU391995:HHV392060 GXY391995:GXZ392060 GOC391995:GOD392060 GEG391995:GEH392060 FUK391995:FUL392060 FKO391995:FKP392060 FAS391995:FAT392060 EQW391995:EQX392060 EHA391995:EHB392060 DXE391995:DXF392060 DNI391995:DNJ392060 DDM391995:DDN392060 CTQ391995:CTR392060 CJU391995:CJV392060 BZY391995:BZZ392060 BQC391995:BQD392060 BGG391995:BGH392060 AWK391995:AWL392060 AMO391995:AMP392060 ACS391995:ACT392060 SW391995:SX392060 JA391995:JB392060 E391995:F392060 WVM326459:WVN326524 WLQ326459:WLR326524 WBU326459:WBV326524 VRY326459:VRZ326524 VIC326459:VID326524 UYG326459:UYH326524 UOK326459:UOL326524 UEO326459:UEP326524 TUS326459:TUT326524 TKW326459:TKX326524 TBA326459:TBB326524 SRE326459:SRF326524 SHI326459:SHJ326524 RXM326459:RXN326524 RNQ326459:RNR326524 RDU326459:RDV326524 QTY326459:QTZ326524 QKC326459:QKD326524 QAG326459:QAH326524 PQK326459:PQL326524 PGO326459:PGP326524 OWS326459:OWT326524 OMW326459:OMX326524 ODA326459:ODB326524 NTE326459:NTF326524 NJI326459:NJJ326524 MZM326459:MZN326524 MPQ326459:MPR326524 MFU326459:MFV326524 LVY326459:LVZ326524 LMC326459:LMD326524 LCG326459:LCH326524 KSK326459:KSL326524 KIO326459:KIP326524 JYS326459:JYT326524 JOW326459:JOX326524 JFA326459:JFB326524 IVE326459:IVF326524 ILI326459:ILJ326524 IBM326459:IBN326524 HRQ326459:HRR326524 HHU326459:HHV326524 GXY326459:GXZ326524 GOC326459:GOD326524 GEG326459:GEH326524 FUK326459:FUL326524 FKO326459:FKP326524 FAS326459:FAT326524 EQW326459:EQX326524 EHA326459:EHB326524 DXE326459:DXF326524 DNI326459:DNJ326524 DDM326459:DDN326524 CTQ326459:CTR326524 CJU326459:CJV326524 BZY326459:BZZ326524 BQC326459:BQD326524 BGG326459:BGH326524 AWK326459:AWL326524 AMO326459:AMP326524 ACS326459:ACT326524 SW326459:SX326524 JA326459:JB326524 E326459:F326524 WVM260923:WVN260988 WLQ260923:WLR260988 WBU260923:WBV260988 VRY260923:VRZ260988 VIC260923:VID260988 UYG260923:UYH260988 UOK260923:UOL260988 UEO260923:UEP260988 TUS260923:TUT260988 TKW260923:TKX260988 TBA260923:TBB260988 SRE260923:SRF260988 SHI260923:SHJ260988 RXM260923:RXN260988 RNQ260923:RNR260988 RDU260923:RDV260988 QTY260923:QTZ260988 QKC260923:QKD260988 QAG260923:QAH260988 PQK260923:PQL260988 PGO260923:PGP260988 OWS260923:OWT260988 OMW260923:OMX260988 ODA260923:ODB260988 NTE260923:NTF260988 NJI260923:NJJ260988 MZM260923:MZN260988 MPQ260923:MPR260988 MFU260923:MFV260988 LVY260923:LVZ260988 LMC260923:LMD260988 LCG260923:LCH260988 KSK260923:KSL260988 KIO260923:KIP260988 JYS260923:JYT260988 JOW260923:JOX260988 JFA260923:JFB260988 IVE260923:IVF260988 ILI260923:ILJ260988 IBM260923:IBN260988 HRQ260923:HRR260988 HHU260923:HHV260988 GXY260923:GXZ260988 GOC260923:GOD260988 GEG260923:GEH260988 FUK260923:FUL260988 FKO260923:FKP260988 FAS260923:FAT260988 EQW260923:EQX260988 EHA260923:EHB260988 DXE260923:DXF260988 DNI260923:DNJ260988 DDM260923:DDN260988 CTQ260923:CTR260988 CJU260923:CJV260988 BZY260923:BZZ260988 BQC260923:BQD260988 BGG260923:BGH260988 AWK260923:AWL260988 AMO260923:AMP260988 ACS260923:ACT260988 SW260923:SX260988 JA260923:JB260988 E260923:F260988 WVM195387:WVN195452 WLQ195387:WLR195452 WBU195387:WBV195452 VRY195387:VRZ195452 VIC195387:VID195452 UYG195387:UYH195452 UOK195387:UOL195452 UEO195387:UEP195452 TUS195387:TUT195452 TKW195387:TKX195452 TBA195387:TBB195452 SRE195387:SRF195452 SHI195387:SHJ195452 RXM195387:RXN195452 RNQ195387:RNR195452 RDU195387:RDV195452 QTY195387:QTZ195452 QKC195387:QKD195452 QAG195387:QAH195452 PQK195387:PQL195452 PGO195387:PGP195452 OWS195387:OWT195452 OMW195387:OMX195452 ODA195387:ODB195452 NTE195387:NTF195452 NJI195387:NJJ195452 MZM195387:MZN195452 MPQ195387:MPR195452 MFU195387:MFV195452 LVY195387:LVZ195452 LMC195387:LMD195452 LCG195387:LCH195452 KSK195387:KSL195452 KIO195387:KIP195452 JYS195387:JYT195452 JOW195387:JOX195452 JFA195387:JFB195452 IVE195387:IVF195452 ILI195387:ILJ195452 IBM195387:IBN195452 HRQ195387:HRR195452 HHU195387:HHV195452 GXY195387:GXZ195452 GOC195387:GOD195452 GEG195387:GEH195452 FUK195387:FUL195452 FKO195387:FKP195452 FAS195387:FAT195452 EQW195387:EQX195452 EHA195387:EHB195452 DXE195387:DXF195452 DNI195387:DNJ195452 DDM195387:DDN195452 CTQ195387:CTR195452 CJU195387:CJV195452 BZY195387:BZZ195452 BQC195387:BQD195452 BGG195387:BGH195452 AWK195387:AWL195452 AMO195387:AMP195452 ACS195387:ACT195452 SW195387:SX195452 JA195387:JB195452 E195387:F195452 WVM129851:WVN129916 WLQ129851:WLR129916 WBU129851:WBV129916 VRY129851:VRZ129916 VIC129851:VID129916 UYG129851:UYH129916 UOK129851:UOL129916 UEO129851:UEP129916 TUS129851:TUT129916 TKW129851:TKX129916 TBA129851:TBB129916 SRE129851:SRF129916 SHI129851:SHJ129916 RXM129851:RXN129916 RNQ129851:RNR129916 RDU129851:RDV129916 QTY129851:QTZ129916 QKC129851:QKD129916 QAG129851:QAH129916 PQK129851:PQL129916 PGO129851:PGP129916 OWS129851:OWT129916 OMW129851:OMX129916 ODA129851:ODB129916 NTE129851:NTF129916 NJI129851:NJJ129916 MZM129851:MZN129916 MPQ129851:MPR129916 MFU129851:MFV129916 LVY129851:LVZ129916 LMC129851:LMD129916 LCG129851:LCH129916 KSK129851:KSL129916 KIO129851:KIP129916 JYS129851:JYT129916 JOW129851:JOX129916 JFA129851:JFB129916 IVE129851:IVF129916 ILI129851:ILJ129916 IBM129851:IBN129916 HRQ129851:HRR129916 HHU129851:HHV129916 GXY129851:GXZ129916 GOC129851:GOD129916 GEG129851:GEH129916 FUK129851:FUL129916 FKO129851:FKP129916 FAS129851:FAT129916 EQW129851:EQX129916 EHA129851:EHB129916 DXE129851:DXF129916 DNI129851:DNJ129916 DDM129851:DDN129916 CTQ129851:CTR129916 CJU129851:CJV129916 BZY129851:BZZ129916 BQC129851:BQD129916 BGG129851:BGH129916 AWK129851:AWL129916 AMO129851:AMP129916 ACS129851:ACT129916 SW129851:SX129916 JA129851:JB129916 E129851:F129916 WVM64315:WVN64380 WLQ64315:WLR64380 WBU64315:WBV64380 VRY64315:VRZ64380 VIC64315:VID64380 UYG64315:UYH64380 UOK64315:UOL64380 UEO64315:UEP64380 TUS64315:TUT64380 TKW64315:TKX64380 TBA64315:TBB64380 SRE64315:SRF64380 SHI64315:SHJ64380 RXM64315:RXN64380 RNQ64315:RNR64380 RDU64315:RDV64380 QTY64315:QTZ64380 QKC64315:QKD64380 QAG64315:QAH64380 PQK64315:PQL64380 PGO64315:PGP64380 OWS64315:OWT64380 OMW64315:OMX64380 ODA64315:ODB64380 NTE64315:NTF64380 NJI64315:NJJ64380 MZM64315:MZN64380 MPQ64315:MPR64380 MFU64315:MFV64380 LVY64315:LVZ64380 LMC64315:LMD64380 LCG64315:LCH64380 KSK64315:KSL64380 KIO64315:KIP64380 JYS64315:JYT64380 JOW64315:JOX64380 JFA64315:JFB64380 IVE64315:IVF64380 ILI64315:ILJ64380 IBM64315:IBN64380 HRQ64315:HRR64380 HHU64315:HHV64380 GXY64315:GXZ64380 GOC64315:GOD64380 GEG64315:GEH64380 FUK64315:FUL64380 FKO64315:FKP64380 FAS64315:FAT64380 EQW64315:EQX64380 EHA64315:EHB64380 DXE64315:DXF64380 DNI64315:DNJ64380 DDM64315:DDN64380 CTQ64315:CTR64380 CJU64315:CJV64380 BZY64315:BZZ64380 BQC64315:BQD64380 BGG64315:BGH64380 AWK64315:AWL64380 AMO64315:AMP64380 ACS64315:ACT64380 SW64315:SX64380 WLQ2:WLR43 WVM2:WVN43 JA2:JB43 SW2:SX43 ACS2:ACT43 AMO2:AMP43 AWK2:AWL43 BGG2:BGH43 BQC2:BQD43 BZY2:BZZ43 CJU2:CJV43 CTQ2:CTR43 DDM2:DDN43 DNI2:DNJ43 DXE2:DXF43 EHA2:EHB43 EQW2:EQX43 FAS2:FAT43 FKO2:FKP43 FUK2:FUL43 GEG2:GEH43 GOC2:GOD43 GXY2:GXZ43 HHU2:HHV43 HRQ2:HRR43 IBM2:IBN43 ILI2:ILJ43 IVE2:IVF43 JFA2:JFB43 JOW2:JOX43 JYS2:JYT43 KIO2:KIP43 KSK2:KSL43 LCG2:LCH43 LMC2:LMD43 LVY2:LVZ43 MFU2:MFV43 MPQ2:MPR43 MZM2:MZN43 NJI2:NJJ43 NTE2:NTF43 ODA2:ODB43 OMW2:OMX43 OWS2:OWT43 PGO2:PGP43 PQK2:PQL43 QAG2:QAH43 QKC2:QKD43 QTY2:QTZ43 RDU2:RDV43 RNQ2:RNR43 RXM2:RXN43 SHI2:SHJ43 SRE2:SRF43 TBA2:TBB43 TKW2:TKX43 TUS2:TUT43 UEO2:UEP43 UOK2:UOL43 UYG2:UYH43 VIC2:VID43 VRY2:VRZ43 WBU2:WBV43" xr:uid="{62BBBA00-72CD-46FA-9D6A-5A1A2F3C0D72}">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A9B2-B255-497A-BEDB-2165A88CE1C5}">
  <dimension ref="A1:BA443"/>
  <sheetViews>
    <sheetView zoomScale="85" zoomScaleNormal="85" zoomScaleSheetLayoutView="100" workbookViewId="0">
      <selection activeCell="AD51" sqref="AD51"/>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359</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235</v>
      </c>
      <c r="C2" s="146">
        <v>2019</v>
      </c>
      <c r="D2" s="147" t="s">
        <v>236</v>
      </c>
      <c r="E2" s="146" t="s">
        <v>360</v>
      </c>
      <c r="F2" s="146" t="s">
        <v>361</v>
      </c>
      <c r="G2" s="148" t="s">
        <v>36</v>
      </c>
      <c r="H2" s="149" t="s">
        <v>163</v>
      </c>
      <c r="I2" s="127" t="s">
        <v>159</v>
      </c>
      <c r="J2" s="150" t="s">
        <v>38</v>
      </c>
      <c r="K2" s="127" t="s">
        <v>160</v>
      </c>
      <c r="L2" s="151">
        <v>1</v>
      </c>
      <c r="M2" s="152"/>
      <c r="N2" s="152">
        <v>4</v>
      </c>
      <c r="O2" s="152">
        <v>0.85</v>
      </c>
      <c r="P2" s="152">
        <v>0.8</v>
      </c>
      <c r="Q2" s="153">
        <f>IF(OR(O2="",P2=""),"",AVERAGE(O2,P2))</f>
        <v>0.82499999999999996</v>
      </c>
      <c r="R2" s="154">
        <v>12.3</v>
      </c>
      <c r="S2" s="149">
        <v>88</v>
      </c>
      <c r="T2" s="155">
        <f t="shared" ref="T2:T65" si="0">IF(H2="","",IF(OR(H2="GREEN",H2="GK"),IF(S2&gt;=$AX$2,VLOOKUP(S2,$AX$2:$AY$7,2,1),""),IF(S2&gt;=$AZ$2,VLOOKUP(S2,$AZ$2:$BA$7,2,1),"")))</f>
        <v>36</v>
      </c>
      <c r="U2" s="127">
        <v>398</v>
      </c>
      <c r="V2" s="155">
        <f>IF(OR(N2="",U2="",T2=""),"",U2/N2*T2)</f>
        <v>3582</v>
      </c>
      <c r="W2" s="156">
        <v>1</v>
      </c>
      <c r="X2" s="157" t="s">
        <v>39</v>
      </c>
      <c r="Y2" s="157" t="s">
        <v>84</v>
      </c>
      <c r="Z2" s="157" t="s">
        <v>40</v>
      </c>
      <c r="AA2" s="157" t="s">
        <v>50</v>
      </c>
      <c r="AB2" s="53" t="s">
        <v>239</v>
      </c>
      <c r="AE2" s="64" t="s">
        <v>35</v>
      </c>
      <c r="AG2" s="67" t="s">
        <v>360</v>
      </c>
      <c r="AH2" s="67" t="s">
        <v>361</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362</v>
      </c>
      <c r="E3" s="158" t="s">
        <v>360</v>
      </c>
      <c r="F3" s="158" t="s">
        <v>361</v>
      </c>
      <c r="G3" s="161" t="s">
        <v>36</v>
      </c>
      <c r="H3" s="127" t="s">
        <v>163</v>
      </c>
      <c r="I3" s="127" t="s">
        <v>159</v>
      </c>
      <c r="J3" s="127" t="s">
        <v>38</v>
      </c>
      <c r="K3" s="127" t="s">
        <v>160</v>
      </c>
      <c r="L3" s="53">
        <v>2</v>
      </c>
      <c r="N3" s="53">
        <v>4</v>
      </c>
      <c r="O3" s="53">
        <v>0.55000000000000004</v>
      </c>
      <c r="P3" s="34">
        <v>0.6</v>
      </c>
      <c r="Q3" s="162">
        <f t="shared" ref="Q3:Q34" si="1">IF(OR(O3="",P3=""),"",AVERAGE(O3,P3))</f>
        <v>0.57499999999999996</v>
      </c>
      <c r="R3" s="163">
        <v>12.8</v>
      </c>
      <c r="S3" s="163">
        <v>87</v>
      </c>
      <c r="T3" s="16">
        <f t="shared" si="0"/>
        <v>36</v>
      </c>
      <c r="U3" s="164">
        <v>398</v>
      </c>
      <c r="V3" s="38">
        <f t="shared" ref="V3:V34" si="2">IF(OR(N3="",U3="",T3=""),"",U3/N3*T3)</f>
        <v>3582</v>
      </c>
      <c r="W3" s="165">
        <v>1</v>
      </c>
      <c r="X3" s="166" t="s">
        <v>39</v>
      </c>
      <c r="Y3" s="166" t="s">
        <v>84</v>
      </c>
      <c r="Z3" s="166" t="s">
        <v>40</v>
      </c>
      <c r="AA3" s="157" t="s">
        <v>50</v>
      </c>
      <c r="AB3" s="53" t="s">
        <v>158</v>
      </c>
      <c r="AE3" s="22" t="s">
        <v>41</v>
      </c>
      <c r="AG3" s="67" t="s">
        <v>363</v>
      </c>
      <c r="AH3" s="67" t="s">
        <v>364</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362</v>
      </c>
      <c r="E4" s="158" t="s">
        <v>360</v>
      </c>
      <c r="F4" s="158" t="s">
        <v>361</v>
      </c>
      <c r="G4" s="161" t="s">
        <v>36</v>
      </c>
      <c r="H4" s="127" t="s">
        <v>163</v>
      </c>
      <c r="I4" s="127" t="s">
        <v>159</v>
      </c>
      <c r="J4" s="127" t="s">
        <v>38</v>
      </c>
      <c r="K4" s="127" t="s">
        <v>160</v>
      </c>
      <c r="L4" s="53">
        <v>3</v>
      </c>
      <c r="N4" s="53">
        <v>4</v>
      </c>
      <c r="O4" s="53">
        <v>0.65</v>
      </c>
      <c r="P4" s="34">
        <v>0.55000000000000004</v>
      </c>
      <c r="Q4" s="76">
        <f t="shared" si="1"/>
        <v>0.60000000000000009</v>
      </c>
      <c r="R4" s="168">
        <v>13.1</v>
      </c>
      <c r="S4" s="168">
        <v>88</v>
      </c>
      <c r="T4" s="16">
        <f t="shared" si="0"/>
        <v>36</v>
      </c>
      <c r="U4" s="169">
        <v>398</v>
      </c>
      <c r="V4" s="38">
        <f t="shared" si="2"/>
        <v>3582</v>
      </c>
      <c r="W4" s="165">
        <v>1</v>
      </c>
      <c r="X4" s="166" t="s">
        <v>39</v>
      </c>
      <c r="Y4" s="166" t="s">
        <v>84</v>
      </c>
      <c r="Z4" s="166" t="s">
        <v>40</v>
      </c>
      <c r="AA4" s="157" t="s">
        <v>50</v>
      </c>
      <c r="AB4" s="53" t="s">
        <v>158</v>
      </c>
      <c r="AE4" s="22" t="s">
        <v>34</v>
      </c>
      <c r="AG4" s="67" t="s">
        <v>365</v>
      </c>
      <c r="AH4" s="67" t="s">
        <v>364</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362</v>
      </c>
      <c r="E5" s="158" t="s">
        <v>363</v>
      </c>
      <c r="F5" s="158" t="s">
        <v>364</v>
      </c>
      <c r="G5" s="161" t="s">
        <v>36</v>
      </c>
      <c r="H5" s="127" t="s">
        <v>163</v>
      </c>
      <c r="I5" s="127" t="s">
        <v>159</v>
      </c>
      <c r="J5" s="127" t="s">
        <v>38</v>
      </c>
      <c r="K5" s="127" t="s">
        <v>160</v>
      </c>
      <c r="L5" s="53">
        <v>1</v>
      </c>
      <c r="N5" s="53">
        <v>5</v>
      </c>
      <c r="O5" s="53">
        <v>1.1000000000000001</v>
      </c>
      <c r="P5" s="53">
        <v>0.95</v>
      </c>
      <c r="Q5" s="76">
        <f t="shared" si="1"/>
        <v>1.0249999999999999</v>
      </c>
      <c r="R5" s="168">
        <v>14.5</v>
      </c>
      <c r="S5" s="168">
        <v>105</v>
      </c>
      <c r="T5" s="16">
        <f t="shared" si="0"/>
        <v>33</v>
      </c>
      <c r="U5" s="169">
        <v>398</v>
      </c>
      <c r="V5" s="38">
        <f t="shared" si="2"/>
        <v>2626.7999999999997</v>
      </c>
      <c r="W5" s="165">
        <v>2</v>
      </c>
      <c r="X5" s="166" t="s">
        <v>46</v>
      </c>
      <c r="Y5" s="166" t="s">
        <v>84</v>
      </c>
      <c r="Z5" s="166" t="s">
        <v>40</v>
      </c>
      <c r="AA5" s="157" t="s">
        <v>69</v>
      </c>
      <c r="AB5" s="53" t="s">
        <v>158</v>
      </c>
      <c r="AE5" s="22" t="s">
        <v>51</v>
      </c>
      <c r="AG5" s="67" t="s">
        <v>360</v>
      </c>
      <c r="AH5" s="67" t="s">
        <v>366</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362</v>
      </c>
      <c r="E6" s="158" t="s">
        <v>363</v>
      </c>
      <c r="F6" s="158" t="s">
        <v>364</v>
      </c>
      <c r="G6" s="161" t="s">
        <v>36</v>
      </c>
      <c r="H6" s="127" t="s">
        <v>163</v>
      </c>
      <c r="I6" s="127" t="s">
        <v>159</v>
      </c>
      <c r="J6" s="127" t="s">
        <v>38</v>
      </c>
      <c r="K6" s="127" t="s">
        <v>160</v>
      </c>
      <c r="L6" s="53">
        <v>2</v>
      </c>
      <c r="N6" s="53">
        <v>5</v>
      </c>
      <c r="O6" s="53">
        <v>0.9</v>
      </c>
      <c r="P6" s="53">
        <v>1.05</v>
      </c>
      <c r="Q6" s="76">
        <f t="shared" si="1"/>
        <v>0.97500000000000009</v>
      </c>
      <c r="R6" s="168">
        <v>14.3</v>
      </c>
      <c r="S6" s="168">
        <v>100</v>
      </c>
      <c r="T6" s="16">
        <f t="shared" si="0"/>
        <v>33</v>
      </c>
      <c r="U6" s="169">
        <v>398</v>
      </c>
      <c r="V6" s="38">
        <f t="shared" si="2"/>
        <v>2626.7999999999997</v>
      </c>
      <c r="W6" s="165">
        <v>2</v>
      </c>
      <c r="X6" s="166" t="s">
        <v>46</v>
      </c>
      <c r="Y6" s="166" t="s">
        <v>84</v>
      </c>
      <c r="Z6" s="166" t="s">
        <v>40</v>
      </c>
      <c r="AA6" s="157" t="s">
        <v>69</v>
      </c>
      <c r="AB6" s="53" t="s">
        <v>158</v>
      </c>
      <c r="AE6" s="22" t="s">
        <v>56</v>
      </c>
      <c r="AG6" s="67" t="s">
        <v>213</v>
      </c>
      <c r="AH6" s="67" t="s">
        <v>367</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362</v>
      </c>
      <c r="E7" s="158" t="s">
        <v>363</v>
      </c>
      <c r="F7" s="158" t="s">
        <v>364</v>
      </c>
      <c r="G7" s="161" t="s">
        <v>36</v>
      </c>
      <c r="H7" s="127" t="s">
        <v>163</v>
      </c>
      <c r="I7" s="127" t="s">
        <v>159</v>
      </c>
      <c r="J7" s="127" t="s">
        <v>38</v>
      </c>
      <c r="K7" s="127" t="s">
        <v>160</v>
      </c>
      <c r="L7" s="53">
        <v>3</v>
      </c>
      <c r="N7" s="53">
        <v>5</v>
      </c>
      <c r="O7" s="53">
        <v>0.75</v>
      </c>
      <c r="P7" s="53">
        <v>0.8</v>
      </c>
      <c r="Q7" s="76">
        <f t="shared" si="1"/>
        <v>0.77500000000000002</v>
      </c>
      <c r="R7" s="168">
        <v>14.8</v>
      </c>
      <c r="S7" s="168">
        <v>106</v>
      </c>
      <c r="T7" s="16">
        <f t="shared" si="0"/>
        <v>33</v>
      </c>
      <c r="U7" s="169">
        <v>398</v>
      </c>
      <c r="V7" s="38">
        <f t="shared" si="2"/>
        <v>2626.7999999999997</v>
      </c>
      <c r="W7" s="165">
        <v>2</v>
      </c>
      <c r="X7" s="166" t="s">
        <v>46</v>
      </c>
      <c r="Y7" s="166" t="s">
        <v>84</v>
      </c>
      <c r="Z7" s="166" t="s">
        <v>40</v>
      </c>
      <c r="AA7" s="157" t="s">
        <v>69</v>
      </c>
      <c r="AB7" s="53" t="s">
        <v>158</v>
      </c>
      <c r="AE7" s="22" t="s">
        <v>61</v>
      </c>
      <c r="AG7" s="67" t="s">
        <v>368</v>
      </c>
      <c r="AH7" s="67" t="s">
        <v>367</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362</v>
      </c>
      <c r="E8" s="159" t="s">
        <v>363</v>
      </c>
      <c r="F8" s="158" t="s">
        <v>364</v>
      </c>
      <c r="G8" s="161" t="s">
        <v>36</v>
      </c>
      <c r="H8" s="127" t="s">
        <v>164</v>
      </c>
      <c r="I8" s="127" t="s">
        <v>159</v>
      </c>
      <c r="J8" s="127" t="s">
        <v>38</v>
      </c>
      <c r="K8" s="127" t="s">
        <v>54</v>
      </c>
      <c r="L8" s="53">
        <v>1</v>
      </c>
      <c r="N8" s="53">
        <v>4</v>
      </c>
      <c r="O8" s="53">
        <v>0.65</v>
      </c>
      <c r="P8" s="53">
        <v>0.6</v>
      </c>
      <c r="Q8" s="76">
        <f t="shared" si="1"/>
        <v>0.625</v>
      </c>
      <c r="R8" s="168">
        <v>14.9</v>
      </c>
      <c r="S8" s="168">
        <v>80</v>
      </c>
      <c r="T8" s="16">
        <f t="shared" si="0"/>
        <v>42</v>
      </c>
      <c r="U8" s="164">
        <v>580</v>
      </c>
      <c r="V8" s="38">
        <f t="shared" si="2"/>
        <v>6090</v>
      </c>
      <c r="W8" s="165">
        <v>2</v>
      </c>
      <c r="X8" s="166" t="s">
        <v>46</v>
      </c>
      <c r="Y8" s="172" t="s">
        <v>84</v>
      </c>
      <c r="Z8" s="166" t="s">
        <v>40</v>
      </c>
      <c r="AA8" s="157" t="s">
        <v>69</v>
      </c>
      <c r="AB8" s="53" t="s">
        <v>158</v>
      </c>
      <c r="AE8" s="22" t="s">
        <v>59</v>
      </c>
      <c r="AG8" s="67" t="s">
        <v>213</v>
      </c>
      <c r="AH8" s="67" t="s">
        <v>369</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362</v>
      </c>
      <c r="E9" s="159" t="s">
        <v>363</v>
      </c>
      <c r="F9" s="158" t="s">
        <v>364</v>
      </c>
      <c r="G9" s="161" t="s">
        <v>36</v>
      </c>
      <c r="H9" s="127" t="s">
        <v>164</v>
      </c>
      <c r="I9" s="127" t="s">
        <v>159</v>
      </c>
      <c r="J9" s="127" t="s">
        <v>38</v>
      </c>
      <c r="K9" s="127" t="s">
        <v>54</v>
      </c>
      <c r="L9" s="53">
        <v>2</v>
      </c>
      <c r="N9" s="53">
        <v>4</v>
      </c>
      <c r="O9" s="53">
        <v>0.7</v>
      </c>
      <c r="P9" s="53">
        <v>0.55000000000000004</v>
      </c>
      <c r="Q9" s="76">
        <f t="shared" si="1"/>
        <v>0.625</v>
      </c>
      <c r="R9" s="168">
        <v>14.4</v>
      </c>
      <c r="S9" s="168">
        <v>78</v>
      </c>
      <c r="T9" s="16">
        <f t="shared" si="0"/>
        <v>42</v>
      </c>
      <c r="U9" s="164">
        <v>580</v>
      </c>
      <c r="V9" s="38">
        <f t="shared" si="2"/>
        <v>6090</v>
      </c>
      <c r="W9" s="165">
        <v>2</v>
      </c>
      <c r="X9" s="166" t="s">
        <v>46</v>
      </c>
      <c r="Y9" s="172" t="s">
        <v>84</v>
      </c>
      <c r="Z9" s="166" t="s">
        <v>40</v>
      </c>
      <c r="AA9" s="157" t="s">
        <v>69</v>
      </c>
      <c r="AB9" s="53" t="s">
        <v>158</v>
      </c>
      <c r="AE9" s="22" t="s">
        <v>98</v>
      </c>
      <c r="AG9" s="67" t="s">
        <v>139</v>
      </c>
      <c r="AH9" s="67" t="s">
        <v>369</v>
      </c>
      <c r="AL9" s="73"/>
      <c r="AP9" s="23" t="s">
        <v>95</v>
      </c>
      <c r="AR9" s="23" t="s">
        <v>89</v>
      </c>
      <c r="AV9" s="23" t="s">
        <v>102</v>
      </c>
      <c r="AX9" s="31">
        <v>180</v>
      </c>
      <c r="AY9" s="32">
        <v>18</v>
      </c>
      <c r="AZ9" s="32">
        <v>181</v>
      </c>
      <c r="BA9" s="33">
        <v>16</v>
      </c>
    </row>
    <row r="10" spans="1:53" x14ac:dyDescent="0.15">
      <c r="A10" s="158" t="s">
        <v>34</v>
      </c>
      <c r="B10" s="158" t="s">
        <v>157</v>
      </c>
      <c r="C10" s="158">
        <v>2019</v>
      </c>
      <c r="D10" s="160" t="s">
        <v>362</v>
      </c>
      <c r="E10" s="159" t="s">
        <v>363</v>
      </c>
      <c r="F10" s="158" t="s">
        <v>364</v>
      </c>
      <c r="G10" s="161" t="s">
        <v>36</v>
      </c>
      <c r="H10" s="127" t="s">
        <v>164</v>
      </c>
      <c r="I10" s="127" t="s">
        <v>159</v>
      </c>
      <c r="J10" s="127" t="s">
        <v>38</v>
      </c>
      <c r="K10" s="127" t="s">
        <v>54</v>
      </c>
      <c r="L10" s="53">
        <v>3</v>
      </c>
      <c r="N10" s="53">
        <v>4</v>
      </c>
      <c r="O10" s="53">
        <v>0.7</v>
      </c>
      <c r="P10" s="53">
        <v>0.65</v>
      </c>
      <c r="Q10" s="76">
        <f t="shared" si="1"/>
        <v>0.67500000000000004</v>
      </c>
      <c r="R10" s="168">
        <v>15.1</v>
      </c>
      <c r="S10" s="168">
        <v>76</v>
      </c>
      <c r="T10" s="16">
        <f t="shared" si="0"/>
        <v>42</v>
      </c>
      <c r="U10" s="164">
        <v>580</v>
      </c>
      <c r="V10" s="38">
        <f t="shared" si="2"/>
        <v>6090</v>
      </c>
      <c r="W10" s="165">
        <v>2</v>
      </c>
      <c r="X10" s="166" t="s">
        <v>46</v>
      </c>
      <c r="Y10" s="172" t="s">
        <v>84</v>
      </c>
      <c r="Z10" s="166" t="s">
        <v>40</v>
      </c>
      <c r="AA10" s="157" t="s">
        <v>69</v>
      </c>
      <c r="AB10" s="53" t="s">
        <v>158</v>
      </c>
      <c r="AE10" s="22" t="s">
        <v>103</v>
      </c>
      <c r="AG10" s="67" t="s">
        <v>133</v>
      </c>
      <c r="AH10" s="67" t="s">
        <v>370</v>
      </c>
      <c r="AL10" s="34"/>
      <c r="AP10" s="23" t="s">
        <v>100</v>
      </c>
      <c r="AR10" s="23" t="s">
        <v>123</v>
      </c>
      <c r="AV10" s="23" t="s">
        <v>106</v>
      </c>
    </row>
    <row r="11" spans="1:53" x14ac:dyDescent="0.15">
      <c r="A11" s="158" t="s">
        <v>34</v>
      </c>
      <c r="B11" s="158" t="s">
        <v>157</v>
      </c>
      <c r="C11" s="159">
        <v>2019</v>
      </c>
      <c r="D11" s="160" t="s">
        <v>362</v>
      </c>
      <c r="E11" s="159" t="s">
        <v>365</v>
      </c>
      <c r="F11" s="158" t="s">
        <v>364</v>
      </c>
      <c r="G11" s="161" t="s">
        <v>36</v>
      </c>
      <c r="H11" s="127" t="s">
        <v>163</v>
      </c>
      <c r="I11" s="127" t="s">
        <v>159</v>
      </c>
      <c r="J11" s="127" t="s">
        <v>38</v>
      </c>
      <c r="K11" s="127" t="s">
        <v>160</v>
      </c>
      <c r="L11" s="53">
        <v>1</v>
      </c>
      <c r="N11" s="53">
        <v>1</v>
      </c>
      <c r="O11" s="53">
        <v>0.45</v>
      </c>
      <c r="P11" s="53">
        <v>0.5</v>
      </c>
      <c r="Q11" s="76">
        <f t="shared" si="1"/>
        <v>0.47499999999999998</v>
      </c>
      <c r="R11" s="168">
        <v>12.6</v>
      </c>
      <c r="S11" s="168">
        <v>105</v>
      </c>
      <c r="T11" s="16">
        <f t="shared" si="0"/>
        <v>33</v>
      </c>
      <c r="U11" s="164">
        <v>79</v>
      </c>
      <c r="V11" s="38">
        <f t="shared" si="2"/>
        <v>2607</v>
      </c>
      <c r="W11" s="165">
        <v>1</v>
      </c>
      <c r="X11" s="166" t="s">
        <v>46</v>
      </c>
      <c r="Y11" s="172" t="s">
        <v>69</v>
      </c>
      <c r="Z11" s="166" t="s">
        <v>60</v>
      </c>
      <c r="AA11" s="172" t="s">
        <v>90</v>
      </c>
      <c r="AB11" s="53" t="s">
        <v>158</v>
      </c>
      <c r="AE11" s="22" t="s">
        <v>65</v>
      </c>
      <c r="AG11" s="23" t="s">
        <v>272</v>
      </c>
      <c r="AH11" s="23" t="s">
        <v>371</v>
      </c>
      <c r="AL11" s="34"/>
      <c r="AP11" s="23" t="s">
        <v>104</v>
      </c>
      <c r="AR11" s="23" t="s">
        <v>87</v>
      </c>
      <c r="AV11" s="23" t="s">
        <v>69</v>
      </c>
    </row>
    <row r="12" spans="1:53" x14ac:dyDescent="0.15">
      <c r="A12" s="158" t="s">
        <v>34</v>
      </c>
      <c r="B12" s="158" t="s">
        <v>157</v>
      </c>
      <c r="C12" s="158">
        <v>2019</v>
      </c>
      <c r="D12" s="160" t="s">
        <v>362</v>
      </c>
      <c r="E12" s="159" t="s">
        <v>365</v>
      </c>
      <c r="F12" s="158" t="s">
        <v>364</v>
      </c>
      <c r="G12" s="161" t="s">
        <v>36</v>
      </c>
      <c r="H12" s="127" t="s">
        <v>163</v>
      </c>
      <c r="I12" s="127" t="s">
        <v>159</v>
      </c>
      <c r="J12" s="127" t="s">
        <v>38</v>
      </c>
      <c r="K12" s="127" t="s">
        <v>160</v>
      </c>
      <c r="L12" s="53">
        <v>2</v>
      </c>
      <c r="N12" s="53">
        <v>1</v>
      </c>
      <c r="O12" s="53">
        <v>0.6</v>
      </c>
      <c r="P12" s="53">
        <v>0.55000000000000004</v>
      </c>
      <c r="Q12" s="76">
        <f t="shared" si="1"/>
        <v>0.57499999999999996</v>
      </c>
      <c r="R12" s="168">
        <v>12.7</v>
      </c>
      <c r="S12" s="168">
        <v>93</v>
      </c>
      <c r="T12" s="16">
        <f t="shared" si="0"/>
        <v>36</v>
      </c>
      <c r="U12" s="164">
        <v>79</v>
      </c>
      <c r="V12" s="38">
        <f t="shared" si="2"/>
        <v>2844</v>
      </c>
      <c r="W12" s="165">
        <v>1</v>
      </c>
      <c r="X12" s="166" t="s">
        <v>46</v>
      </c>
      <c r="Y12" s="172" t="s">
        <v>69</v>
      </c>
      <c r="Z12" s="166" t="s">
        <v>60</v>
      </c>
      <c r="AA12" s="172" t="s">
        <v>90</v>
      </c>
      <c r="AB12" s="53" t="s">
        <v>158</v>
      </c>
      <c r="AE12" s="22" t="s">
        <v>70</v>
      </c>
      <c r="AG12" s="23"/>
      <c r="AH12" s="23"/>
      <c r="AL12" s="34"/>
      <c r="AP12" s="23" t="s">
        <v>67</v>
      </c>
      <c r="AR12" s="23" t="s">
        <v>124</v>
      </c>
      <c r="AV12" s="23" t="s">
        <v>72</v>
      </c>
    </row>
    <row r="13" spans="1:53" x14ac:dyDescent="0.15">
      <c r="A13" s="158" t="s">
        <v>34</v>
      </c>
      <c r="B13" s="158" t="s">
        <v>157</v>
      </c>
      <c r="C13" s="159">
        <v>2019</v>
      </c>
      <c r="D13" s="160" t="s">
        <v>362</v>
      </c>
      <c r="E13" s="159" t="s">
        <v>365</v>
      </c>
      <c r="F13" s="158" t="s">
        <v>364</v>
      </c>
      <c r="G13" s="161" t="s">
        <v>36</v>
      </c>
      <c r="H13" s="127" t="s">
        <v>163</v>
      </c>
      <c r="I13" s="127" t="s">
        <v>159</v>
      </c>
      <c r="J13" s="127" t="s">
        <v>38</v>
      </c>
      <c r="K13" s="127" t="s">
        <v>160</v>
      </c>
      <c r="L13" s="53">
        <v>3</v>
      </c>
      <c r="N13" s="53">
        <v>1</v>
      </c>
      <c r="O13" s="53">
        <v>0.55000000000000004</v>
      </c>
      <c r="P13" s="53">
        <v>0.45</v>
      </c>
      <c r="Q13" s="76">
        <f t="shared" si="1"/>
        <v>0.5</v>
      </c>
      <c r="R13" s="168">
        <v>13</v>
      </c>
      <c r="S13" s="168">
        <v>95</v>
      </c>
      <c r="T13" s="16">
        <f t="shared" si="0"/>
        <v>36</v>
      </c>
      <c r="U13" s="164">
        <v>79</v>
      </c>
      <c r="V13" s="38">
        <f t="shared" si="2"/>
        <v>2844</v>
      </c>
      <c r="W13" s="165">
        <v>1</v>
      </c>
      <c r="X13" s="166" t="s">
        <v>46</v>
      </c>
      <c r="Y13" s="172" t="s">
        <v>69</v>
      </c>
      <c r="Z13" s="166" t="s">
        <v>60</v>
      </c>
      <c r="AA13" s="172" t="s">
        <v>90</v>
      </c>
      <c r="AB13" s="53" t="s">
        <v>158</v>
      </c>
      <c r="AE13" s="22" t="s">
        <v>73</v>
      </c>
      <c r="AG13" s="28"/>
      <c r="AH13" s="28"/>
      <c r="AP13" s="23" t="s">
        <v>71</v>
      </c>
      <c r="AR13" s="23" t="s">
        <v>103</v>
      </c>
      <c r="AV13" s="23" t="s">
        <v>75</v>
      </c>
    </row>
    <row r="14" spans="1:53" x14ac:dyDescent="0.15">
      <c r="A14" s="158" t="s">
        <v>34</v>
      </c>
      <c r="B14" s="158" t="s">
        <v>157</v>
      </c>
      <c r="C14" s="158">
        <v>2019</v>
      </c>
      <c r="D14" s="160" t="s">
        <v>362</v>
      </c>
      <c r="E14" s="159" t="s">
        <v>360</v>
      </c>
      <c r="F14" s="158" t="s">
        <v>366</v>
      </c>
      <c r="G14" s="161" t="s">
        <v>36</v>
      </c>
      <c r="H14" s="127" t="s">
        <v>163</v>
      </c>
      <c r="I14" s="127" t="s">
        <v>159</v>
      </c>
      <c r="J14" s="127" t="s">
        <v>38</v>
      </c>
      <c r="K14" s="127" t="s">
        <v>160</v>
      </c>
      <c r="L14" s="53">
        <v>1</v>
      </c>
      <c r="N14" s="53">
        <v>4</v>
      </c>
      <c r="O14" s="53">
        <v>0.65</v>
      </c>
      <c r="P14" s="53">
        <v>0.7</v>
      </c>
      <c r="Q14" s="76">
        <f t="shared" si="1"/>
        <v>0.67500000000000004</v>
      </c>
      <c r="R14" s="168">
        <v>13.2</v>
      </c>
      <c r="S14" s="168">
        <v>92</v>
      </c>
      <c r="T14" s="16">
        <f t="shared" si="0"/>
        <v>36</v>
      </c>
      <c r="U14" s="164">
        <v>398</v>
      </c>
      <c r="V14" s="38">
        <f t="shared" si="2"/>
        <v>3582</v>
      </c>
      <c r="W14" s="165">
        <v>1</v>
      </c>
      <c r="X14" s="166" t="s">
        <v>39</v>
      </c>
      <c r="Y14" s="172" t="s">
        <v>84</v>
      </c>
      <c r="Z14" s="172" t="s">
        <v>90</v>
      </c>
      <c r="AA14" s="172" t="s">
        <v>78</v>
      </c>
      <c r="AB14" s="53" t="s">
        <v>158</v>
      </c>
      <c r="AC14" s="34"/>
      <c r="AE14" s="22" t="s">
        <v>76</v>
      </c>
      <c r="AP14" s="23" t="s">
        <v>74</v>
      </c>
      <c r="AR14" s="23" t="s">
        <v>125</v>
      </c>
      <c r="AV14" s="23" t="s">
        <v>78</v>
      </c>
    </row>
    <row r="15" spans="1:53" x14ac:dyDescent="0.15">
      <c r="A15" s="158" t="s">
        <v>34</v>
      </c>
      <c r="B15" s="158" t="s">
        <v>157</v>
      </c>
      <c r="C15" s="159">
        <v>2019</v>
      </c>
      <c r="D15" s="160" t="s">
        <v>362</v>
      </c>
      <c r="E15" s="159" t="s">
        <v>360</v>
      </c>
      <c r="F15" s="158" t="s">
        <v>366</v>
      </c>
      <c r="G15" s="161" t="s">
        <v>36</v>
      </c>
      <c r="H15" s="127" t="s">
        <v>163</v>
      </c>
      <c r="I15" s="127" t="s">
        <v>159</v>
      </c>
      <c r="J15" s="127" t="s">
        <v>38</v>
      </c>
      <c r="K15" s="127" t="s">
        <v>160</v>
      </c>
      <c r="L15" s="53">
        <v>2</v>
      </c>
      <c r="N15" s="53">
        <v>4</v>
      </c>
      <c r="O15" s="53">
        <v>0.8</v>
      </c>
      <c r="P15" s="53">
        <v>0.65</v>
      </c>
      <c r="Q15" s="76">
        <f t="shared" si="1"/>
        <v>0.72500000000000009</v>
      </c>
      <c r="R15" s="168">
        <v>12.8</v>
      </c>
      <c r="S15" s="168">
        <v>98</v>
      </c>
      <c r="T15" s="16">
        <f t="shared" si="0"/>
        <v>36</v>
      </c>
      <c r="U15" s="164">
        <v>398</v>
      </c>
      <c r="V15" s="38">
        <f t="shared" si="2"/>
        <v>3582</v>
      </c>
      <c r="W15" s="165">
        <v>1</v>
      </c>
      <c r="X15" s="166" t="s">
        <v>39</v>
      </c>
      <c r="Y15" s="172" t="s">
        <v>84</v>
      </c>
      <c r="Z15" s="172" t="s">
        <v>90</v>
      </c>
      <c r="AA15" s="172" t="s">
        <v>78</v>
      </c>
      <c r="AB15" s="53" t="s">
        <v>158</v>
      </c>
      <c r="AC15" s="34"/>
      <c r="AE15" s="22" t="s">
        <v>79</v>
      </c>
      <c r="AP15" s="23" t="s">
        <v>77</v>
      </c>
      <c r="AR15" s="23" t="s">
        <v>94</v>
      </c>
      <c r="AV15" s="23" t="s">
        <v>107</v>
      </c>
    </row>
    <row r="16" spans="1:53" x14ac:dyDescent="0.15">
      <c r="A16" s="158" t="s">
        <v>34</v>
      </c>
      <c r="B16" s="158" t="s">
        <v>157</v>
      </c>
      <c r="C16" s="158">
        <v>2019</v>
      </c>
      <c r="D16" s="160" t="s">
        <v>362</v>
      </c>
      <c r="E16" s="159" t="s">
        <v>360</v>
      </c>
      <c r="F16" s="158" t="s">
        <v>366</v>
      </c>
      <c r="G16" s="161" t="s">
        <v>36</v>
      </c>
      <c r="H16" s="127" t="s">
        <v>163</v>
      </c>
      <c r="I16" s="127" t="s">
        <v>159</v>
      </c>
      <c r="J16" s="127" t="s">
        <v>38</v>
      </c>
      <c r="K16" s="127" t="s">
        <v>160</v>
      </c>
      <c r="L16" s="53">
        <v>3</v>
      </c>
      <c r="N16" s="53">
        <v>4</v>
      </c>
      <c r="O16" s="53">
        <v>0.55000000000000004</v>
      </c>
      <c r="P16" s="53">
        <v>0.6</v>
      </c>
      <c r="Q16" s="76">
        <f t="shared" si="1"/>
        <v>0.57499999999999996</v>
      </c>
      <c r="R16" s="168">
        <v>12.5</v>
      </c>
      <c r="S16" s="168">
        <v>102</v>
      </c>
      <c r="T16" s="16">
        <f t="shared" si="0"/>
        <v>33</v>
      </c>
      <c r="U16" s="164">
        <v>398</v>
      </c>
      <c r="V16" s="38">
        <f t="shared" si="2"/>
        <v>3283.5</v>
      </c>
      <c r="W16" s="165">
        <v>1</v>
      </c>
      <c r="X16" s="166" t="s">
        <v>39</v>
      </c>
      <c r="Y16" s="172" t="s">
        <v>84</v>
      </c>
      <c r="Z16" s="172" t="s">
        <v>90</v>
      </c>
      <c r="AA16" s="172" t="s">
        <v>78</v>
      </c>
      <c r="AB16" s="53" t="s">
        <v>158</v>
      </c>
      <c r="AC16" s="34"/>
      <c r="AE16" s="22" t="s">
        <v>82</v>
      </c>
      <c r="AP16" s="23" t="s">
        <v>80</v>
      </c>
      <c r="AR16" s="23" t="s">
        <v>63</v>
      </c>
      <c r="AV16" s="23" t="s">
        <v>84</v>
      </c>
    </row>
    <row r="17" spans="1:48" x14ac:dyDescent="0.15">
      <c r="A17" s="158" t="s">
        <v>34</v>
      </c>
      <c r="B17" s="158" t="s">
        <v>235</v>
      </c>
      <c r="C17" s="159">
        <v>2019</v>
      </c>
      <c r="D17" s="160" t="s">
        <v>362</v>
      </c>
      <c r="E17" s="159" t="s">
        <v>213</v>
      </c>
      <c r="F17" s="158" t="s">
        <v>367</v>
      </c>
      <c r="G17" s="161" t="s">
        <v>42</v>
      </c>
      <c r="H17" s="127" t="s">
        <v>163</v>
      </c>
      <c r="I17" s="127" t="s">
        <v>159</v>
      </c>
      <c r="J17" s="127" t="s">
        <v>38</v>
      </c>
      <c r="K17" s="127" t="s">
        <v>160</v>
      </c>
      <c r="L17" s="53">
        <v>1</v>
      </c>
      <c r="N17" s="53">
        <v>4</v>
      </c>
      <c r="O17" s="53">
        <v>0.8</v>
      </c>
      <c r="P17" s="53">
        <v>0.7</v>
      </c>
      <c r="Q17" s="76">
        <f t="shared" si="1"/>
        <v>0.75</v>
      </c>
      <c r="R17" s="168">
        <v>13.2</v>
      </c>
      <c r="S17" s="168">
        <v>97</v>
      </c>
      <c r="T17" s="16">
        <f t="shared" si="0"/>
        <v>36</v>
      </c>
      <c r="U17" s="164">
        <v>377</v>
      </c>
      <c r="V17" s="38">
        <f t="shared" si="2"/>
        <v>3393</v>
      </c>
      <c r="W17" s="165">
        <v>2</v>
      </c>
      <c r="X17" s="166" t="s">
        <v>46</v>
      </c>
      <c r="Y17" s="172" t="s">
        <v>84</v>
      </c>
      <c r="Z17" s="172" t="s">
        <v>40</v>
      </c>
      <c r="AA17" s="172" t="s">
        <v>60</v>
      </c>
      <c r="AB17" s="53" t="s">
        <v>158</v>
      </c>
      <c r="AC17" s="34"/>
      <c r="AE17" s="22" t="s">
        <v>85</v>
      </c>
      <c r="AP17" s="27" t="s">
        <v>110</v>
      </c>
      <c r="AR17" s="23" t="s">
        <v>96</v>
      </c>
      <c r="AV17" s="23" t="s">
        <v>86</v>
      </c>
    </row>
    <row r="18" spans="1:48" x14ac:dyDescent="0.15">
      <c r="A18" s="158" t="s">
        <v>34</v>
      </c>
      <c r="B18" s="158" t="s">
        <v>157</v>
      </c>
      <c r="C18" s="158">
        <v>2019</v>
      </c>
      <c r="D18" s="160" t="s">
        <v>362</v>
      </c>
      <c r="E18" s="159" t="s">
        <v>213</v>
      </c>
      <c r="F18" s="158" t="s">
        <v>367</v>
      </c>
      <c r="G18" s="161" t="s">
        <v>42</v>
      </c>
      <c r="H18" s="127" t="s">
        <v>163</v>
      </c>
      <c r="I18" s="127" t="s">
        <v>159</v>
      </c>
      <c r="J18" s="127" t="s">
        <v>38</v>
      </c>
      <c r="K18" s="127" t="s">
        <v>160</v>
      </c>
      <c r="L18" s="53">
        <v>2</v>
      </c>
      <c r="N18" s="53">
        <v>4</v>
      </c>
      <c r="O18" s="53">
        <v>0.6</v>
      </c>
      <c r="P18" s="53">
        <v>0.7</v>
      </c>
      <c r="Q18" s="76">
        <f t="shared" si="1"/>
        <v>0.64999999999999991</v>
      </c>
      <c r="R18" s="168">
        <v>14.2</v>
      </c>
      <c r="S18" s="168">
        <v>92</v>
      </c>
      <c r="T18" s="16">
        <f t="shared" si="0"/>
        <v>36</v>
      </c>
      <c r="U18" s="164">
        <v>377</v>
      </c>
      <c r="V18" s="38">
        <f t="shared" si="2"/>
        <v>3393</v>
      </c>
      <c r="W18" s="165">
        <v>2</v>
      </c>
      <c r="X18" s="166" t="s">
        <v>46</v>
      </c>
      <c r="Y18" s="172" t="s">
        <v>84</v>
      </c>
      <c r="Z18" s="172" t="s">
        <v>40</v>
      </c>
      <c r="AA18" s="172" t="s">
        <v>60</v>
      </c>
      <c r="AB18" s="53" t="s">
        <v>158</v>
      </c>
      <c r="AC18" s="34"/>
      <c r="AE18" s="22" t="s">
        <v>87</v>
      </c>
      <c r="AP18" s="27" t="s">
        <v>111</v>
      </c>
      <c r="AR18" s="23" t="s">
        <v>101</v>
      </c>
      <c r="AV18" s="23" t="s">
        <v>88</v>
      </c>
    </row>
    <row r="19" spans="1:48" x14ac:dyDescent="0.15">
      <c r="A19" s="158" t="s">
        <v>34</v>
      </c>
      <c r="B19" s="158" t="s">
        <v>157</v>
      </c>
      <c r="C19" s="159">
        <v>2019</v>
      </c>
      <c r="D19" s="160" t="s">
        <v>362</v>
      </c>
      <c r="E19" s="159" t="s">
        <v>213</v>
      </c>
      <c r="F19" s="158" t="s">
        <v>367</v>
      </c>
      <c r="G19" s="161" t="s">
        <v>42</v>
      </c>
      <c r="H19" s="127" t="s">
        <v>163</v>
      </c>
      <c r="I19" s="127" t="s">
        <v>159</v>
      </c>
      <c r="J19" s="127" t="s">
        <v>38</v>
      </c>
      <c r="K19" s="127" t="s">
        <v>160</v>
      </c>
      <c r="L19" s="53">
        <v>3</v>
      </c>
      <c r="N19" s="53">
        <v>4</v>
      </c>
      <c r="O19" s="53">
        <v>0.75</v>
      </c>
      <c r="P19" s="53">
        <v>0.65</v>
      </c>
      <c r="Q19" s="76">
        <f t="shared" si="1"/>
        <v>0.7</v>
      </c>
      <c r="R19" s="168">
        <v>14.1</v>
      </c>
      <c r="S19" s="168">
        <v>97</v>
      </c>
      <c r="T19" s="16">
        <f t="shared" si="0"/>
        <v>36</v>
      </c>
      <c r="U19" s="164">
        <v>377</v>
      </c>
      <c r="V19" s="38">
        <f t="shared" si="2"/>
        <v>3393</v>
      </c>
      <c r="W19" s="165">
        <v>2</v>
      </c>
      <c r="X19" s="166" t="s">
        <v>46</v>
      </c>
      <c r="Y19" s="172" t="s">
        <v>84</v>
      </c>
      <c r="Z19" s="172" t="s">
        <v>40</v>
      </c>
      <c r="AA19" s="172" t="s">
        <v>60</v>
      </c>
      <c r="AB19" s="53" t="s">
        <v>158</v>
      </c>
      <c r="AC19" s="34"/>
      <c r="AE19" s="35" t="s">
        <v>89</v>
      </c>
      <c r="AP19" s="27" t="s">
        <v>112</v>
      </c>
      <c r="AR19" s="23" t="s">
        <v>126</v>
      </c>
      <c r="AV19" s="23" t="s">
        <v>90</v>
      </c>
    </row>
    <row r="20" spans="1:48" x14ac:dyDescent="0.15">
      <c r="A20" s="158" t="s">
        <v>34</v>
      </c>
      <c r="B20" s="158" t="s">
        <v>157</v>
      </c>
      <c r="C20" s="158">
        <v>2019</v>
      </c>
      <c r="D20" s="160" t="s">
        <v>362</v>
      </c>
      <c r="E20" s="159" t="s">
        <v>272</v>
      </c>
      <c r="F20" s="158" t="s">
        <v>367</v>
      </c>
      <c r="G20" s="161" t="s">
        <v>42</v>
      </c>
      <c r="H20" s="127" t="s">
        <v>163</v>
      </c>
      <c r="I20" s="127" t="s">
        <v>159</v>
      </c>
      <c r="J20" s="127" t="s">
        <v>38</v>
      </c>
      <c r="K20" s="127" t="s">
        <v>160</v>
      </c>
      <c r="L20" s="53">
        <v>1</v>
      </c>
      <c r="N20" s="53">
        <v>7</v>
      </c>
      <c r="O20" s="53">
        <v>0.5</v>
      </c>
      <c r="P20" s="53">
        <v>0.45</v>
      </c>
      <c r="Q20" s="76">
        <f t="shared" si="1"/>
        <v>0.47499999999999998</v>
      </c>
      <c r="R20" s="168">
        <v>13.5</v>
      </c>
      <c r="S20" s="168">
        <v>97</v>
      </c>
      <c r="T20" s="16">
        <f t="shared" si="0"/>
        <v>36</v>
      </c>
      <c r="U20" s="164">
        <v>398</v>
      </c>
      <c r="V20" s="38">
        <f t="shared" si="2"/>
        <v>2046.8571428571427</v>
      </c>
      <c r="W20" s="165">
        <v>1</v>
      </c>
      <c r="X20" s="166" t="s">
        <v>46</v>
      </c>
      <c r="Y20" s="172" t="s">
        <v>84</v>
      </c>
      <c r="Z20" s="172" t="s">
        <v>40</v>
      </c>
      <c r="AA20" s="172" t="s">
        <v>90</v>
      </c>
      <c r="AB20" s="53" t="s">
        <v>158</v>
      </c>
      <c r="AE20" s="35"/>
      <c r="AP20" s="27" t="s">
        <v>113</v>
      </c>
      <c r="AR20" s="23" t="s">
        <v>105</v>
      </c>
      <c r="AV20" s="27" t="s">
        <v>135</v>
      </c>
    </row>
    <row r="21" spans="1:48" x14ac:dyDescent="0.15">
      <c r="A21" s="158" t="s">
        <v>34</v>
      </c>
      <c r="B21" s="158" t="s">
        <v>157</v>
      </c>
      <c r="C21" s="159">
        <v>2019</v>
      </c>
      <c r="D21" s="160" t="s">
        <v>362</v>
      </c>
      <c r="E21" s="159" t="s">
        <v>272</v>
      </c>
      <c r="F21" s="158" t="s">
        <v>367</v>
      </c>
      <c r="G21" s="161" t="s">
        <v>42</v>
      </c>
      <c r="H21" s="127" t="s">
        <v>163</v>
      </c>
      <c r="I21" s="127" t="s">
        <v>159</v>
      </c>
      <c r="J21" s="127" t="s">
        <v>38</v>
      </c>
      <c r="K21" s="127" t="s">
        <v>160</v>
      </c>
      <c r="L21" s="53">
        <v>2</v>
      </c>
      <c r="N21" s="53">
        <v>7</v>
      </c>
      <c r="O21" s="53">
        <v>0.45</v>
      </c>
      <c r="P21" s="53">
        <v>0.4</v>
      </c>
      <c r="Q21" s="76">
        <f t="shared" si="1"/>
        <v>0.42500000000000004</v>
      </c>
      <c r="R21" s="168">
        <v>13.2</v>
      </c>
      <c r="S21" s="168">
        <v>95</v>
      </c>
      <c r="T21" s="16">
        <f t="shared" si="0"/>
        <v>36</v>
      </c>
      <c r="U21" s="164">
        <v>398</v>
      </c>
      <c r="V21" s="38">
        <f t="shared" si="2"/>
        <v>2046.8571428571427</v>
      </c>
      <c r="W21" s="165">
        <v>1</v>
      </c>
      <c r="X21" s="166" t="s">
        <v>46</v>
      </c>
      <c r="Y21" s="172" t="s">
        <v>84</v>
      </c>
      <c r="Z21" s="172" t="s">
        <v>40</v>
      </c>
      <c r="AA21" s="172" t="s">
        <v>90</v>
      </c>
      <c r="AB21" s="53" t="s">
        <v>158</v>
      </c>
      <c r="AE21" s="28"/>
      <c r="AP21" s="27" t="s">
        <v>114</v>
      </c>
      <c r="AR21" s="23" t="s">
        <v>68</v>
      </c>
      <c r="AV21" s="27" t="s">
        <v>136</v>
      </c>
    </row>
    <row r="22" spans="1:48" x14ac:dyDescent="0.15">
      <c r="A22" s="158" t="s">
        <v>34</v>
      </c>
      <c r="B22" s="158" t="s">
        <v>157</v>
      </c>
      <c r="C22" s="158">
        <v>2019</v>
      </c>
      <c r="D22" s="160" t="s">
        <v>362</v>
      </c>
      <c r="E22" s="159" t="s">
        <v>272</v>
      </c>
      <c r="F22" s="158" t="s">
        <v>367</v>
      </c>
      <c r="G22" s="161" t="s">
        <v>42</v>
      </c>
      <c r="H22" s="127" t="s">
        <v>163</v>
      </c>
      <c r="I22" s="127" t="s">
        <v>159</v>
      </c>
      <c r="J22" s="127" t="s">
        <v>38</v>
      </c>
      <c r="K22" s="127" t="s">
        <v>160</v>
      </c>
      <c r="L22" s="53">
        <v>3</v>
      </c>
      <c r="N22" s="53">
        <v>7</v>
      </c>
      <c r="O22" s="53">
        <v>0.5</v>
      </c>
      <c r="P22" s="34">
        <v>0.5</v>
      </c>
      <c r="Q22" s="76">
        <f t="shared" si="1"/>
        <v>0.5</v>
      </c>
      <c r="R22" s="168">
        <v>14.1</v>
      </c>
      <c r="S22" s="168">
        <v>89</v>
      </c>
      <c r="T22" s="16">
        <f t="shared" si="0"/>
        <v>36</v>
      </c>
      <c r="U22" s="164">
        <v>398</v>
      </c>
      <c r="V22" s="38">
        <f t="shared" si="2"/>
        <v>2046.8571428571427</v>
      </c>
      <c r="W22" s="165">
        <v>1</v>
      </c>
      <c r="X22" s="166" t="s">
        <v>46</v>
      </c>
      <c r="Y22" s="172" t="s">
        <v>84</v>
      </c>
      <c r="Z22" s="172" t="s">
        <v>40</v>
      </c>
      <c r="AA22" s="172" t="s">
        <v>90</v>
      </c>
      <c r="AB22" s="53" t="s">
        <v>158</v>
      </c>
      <c r="AP22" s="27" t="s">
        <v>115</v>
      </c>
      <c r="AR22" s="23" t="s">
        <v>83</v>
      </c>
      <c r="AV22" s="23"/>
    </row>
    <row r="23" spans="1:48" x14ac:dyDescent="0.15">
      <c r="A23" s="158" t="s">
        <v>34</v>
      </c>
      <c r="B23" s="158" t="s">
        <v>157</v>
      </c>
      <c r="C23" s="159">
        <v>2019</v>
      </c>
      <c r="D23" s="160" t="s">
        <v>362</v>
      </c>
      <c r="E23" s="159" t="s">
        <v>213</v>
      </c>
      <c r="F23" s="158" t="s">
        <v>369</v>
      </c>
      <c r="G23" s="161" t="s">
        <v>42</v>
      </c>
      <c r="H23" s="127" t="s">
        <v>163</v>
      </c>
      <c r="I23" s="127" t="s">
        <v>159</v>
      </c>
      <c r="J23" s="127" t="s">
        <v>38</v>
      </c>
      <c r="K23" s="127" t="s">
        <v>160</v>
      </c>
      <c r="L23" s="53">
        <v>1</v>
      </c>
      <c r="N23" s="53">
        <v>4</v>
      </c>
      <c r="O23" s="53">
        <v>0.7</v>
      </c>
      <c r="P23" s="34">
        <v>0.6</v>
      </c>
      <c r="Q23" s="76">
        <f t="shared" si="1"/>
        <v>0.64999999999999991</v>
      </c>
      <c r="R23" s="168">
        <v>14</v>
      </c>
      <c r="S23" s="168">
        <v>99</v>
      </c>
      <c r="T23" s="16">
        <f t="shared" si="0"/>
        <v>33</v>
      </c>
      <c r="U23" s="164">
        <v>377</v>
      </c>
      <c r="V23" s="38">
        <f t="shared" si="2"/>
        <v>3110.25</v>
      </c>
      <c r="W23" s="165">
        <v>1</v>
      </c>
      <c r="X23" s="166" t="s">
        <v>46</v>
      </c>
      <c r="Y23" s="172" t="s">
        <v>84</v>
      </c>
      <c r="Z23" s="172" t="s">
        <v>40</v>
      </c>
      <c r="AA23" s="172" t="s">
        <v>69</v>
      </c>
      <c r="AB23" s="53" t="s">
        <v>158</v>
      </c>
      <c r="AP23" s="27" t="s">
        <v>137</v>
      </c>
      <c r="AR23" s="23" t="s">
        <v>61</v>
      </c>
      <c r="AV23" s="23"/>
    </row>
    <row r="24" spans="1:48" x14ac:dyDescent="0.15">
      <c r="A24" s="158" t="s">
        <v>34</v>
      </c>
      <c r="B24" s="158" t="s">
        <v>157</v>
      </c>
      <c r="C24" s="158">
        <v>2019</v>
      </c>
      <c r="D24" s="160" t="s">
        <v>362</v>
      </c>
      <c r="E24" s="159" t="s">
        <v>213</v>
      </c>
      <c r="F24" s="158" t="s">
        <v>369</v>
      </c>
      <c r="G24" s="161" t="s">
        <v>42</v>
      </c>
      <c r="H24" s="127" t="s">
        <v>163</v>
      </c>
      <c r="I24" s="127" t="s">
        <v>159</v>
      </c>
      <c r="J24" s="127" t="s">
        <v>38</v>
      </c>
      <c r="K24" s="127" t="s">
        <v>160</v>
      </c>
      <c r="L24" s="53">
        <v>2</v>
      </c>
      <c r="N24" s="53">
        <v>4</v>
      </c>
      <c r="O24" s="53">
        <v>0.8</v>
      </c>
      <c r="P24" s="34">
        <v>0.65</v>
      </c>
      <c r="Q24" s="76">
        <f t="shared" si="1"/>
        <v>0.72500000000000009</v>
      </c>
      <c r="R24" s="168">
        <v>13.4</v>
      </c>
      <c r="S24" s="168">
        <v>93</v>
      </c>
      <c r="T24" s="16">
        <f t="shared" si="0"/>
        <v>36</v>
      </c>
      <c r="U24" s="164">
        <v>377</v>
      </c>
      <c r="V24" s="38">
        <f t="shared" si="2"/>
        <v>3393</v>
      </c>
      <c r="W24" s="165">
        <v>1</v>
      </c>
      <c r="X24" s="166" t="s">
        <v>46</v>
      </c>
      <c r="Y24" s="172" t="s">
        <v>84</v>
      </c>
      <c r="Z24" s="172" t="s">
        <v>40</v>
      </c>
      <c r="AA24" s="172" t="s">
        <v>69</v>
      </c>
      <c r="AB24" s="53" t="s">
        <v>158</v>
      </c>
      <c r="AP24" s="27" t="s">
        <v>138</v>
      </c>
      <c r="AR24" s="23" t="s">
        <v>91</v>
      </c>
      <c r="AV24" s="23"/>
    </row>
    <row r="25" spans="1:48" x14ac:dyDescent="0.15">
      <c r="A25" s="158" t="s">
        <v>34</v>
      </c>
      <c r="B25" s="158" t="s">
        <v>157</v>
      </c>
      <c r="C25" s="159">
        <v>2019</v>
      </c>
      <c r="D25" s="160" t="s">
        <v>362</v>
      </c>
      <c r="E25" s="159" t="s">
        <v>213</v>
      </c>
      <c r="F25" s="158" t="s">
        <v>369</v>
      </c>
      <c r="G25" s="161" t="s">
        <v>42</v>
      </c>
      <c r="H25" s="127" t="s">
        <v>163</v>
      </c>
      <c r="I25" s="127" t="s">
        <v>159</v>
      </c>
      <c r="J25" s="127" t="s">
        <v>38</v>
      </c>
      <c r="K25" s="127" t="s">
        <v>160</v>
      </c>
      <c r="L25" s="53">
        <v>3</v>
      </c>
      <c r="N25" s="53">
        <v>4</v>
      </c>
      <c r="O25" s="53">
        <v>0.65</v>
      </c>
      <c r="P25" s="34">
        <v>0.6</v>
      </c>
      <c r="Q25" s="76">
        <f t="shared" si="1"/>
        <v>0.625</v>
      </c>
      <c r="R25" s="168">
        <v>13.2</v>
      </c>
      <c r="S25" s="168">
        <v>96</v>
      </c>
      <c r="T25" s="16">
        <f t="shared" si="0"/>
        <v>36</v>
      </c>
      <c r="U25" s="164">
        <v>377</v>
      </c>
      <c r="V25" s="38">
        <f t="shared" si="2"/>
        <v>3393</v>
      </c>
      <c r="W25" s="165">
        <v>1</v>
      </c>
      <c r="X25" s="166" t="s">
        <v>46</v>
      </c>
      <c r="Y25" s="172" t="s">
        <v>84</v>
      </c>
      <c r="Z25" s="172" t="s">
        <v>40</v>
      </c>
      <c r="AA25" s="172" t="s">
        <v>69</v>
      </c>
      <c r="AB25" s="53" t="s">
        <v>158</v>
      </c>
      <c r="AP25" s="27" t="s">
        <v>116</v>
      </c>
      <c r="AR25" s="27" t="s">
        <v>92</v>
      </c>
      <c r="AV25" s="23"/>
    </row>
    <row r="26" spans="1:48" x14ac:dyDescent="0.15">
      <c r="A26" s="158" t="s">
        <v>34</v>
      </c>
      <c r="B26" s="158" t="s">
        <v>157</v>
      </c>
      <c r="C26" s="158">
        <v>2019</v>
      </c>
      <c r="D26" s="160" t="s">
        <v>362</v>
      </c>
      <c r="E26" s="159" t="s">
        <v>139</v>
      </c>
      <c r="F26" s="158" t="s">
        <v>369</v>
      </c>
      <c r="G26" s="161" t="s">
        <v>36</v>
      </c>
      <c r="H26" s="127" t="s">
        <v>163</v>
      </c>
      <c r="I26" s="127" t="s">
        <v>159</v>
      </c>
      <c r="J26" s="127" t="s">
        <v>38</v>
      </c>
      <c r="K26" s="127" t="s">
        <v>160</v>
      </c>
      <c r="L26" s="53">
        <v>1</v>
      </c>
      <c r="N26" s="53">
        <v>1</v>
      </c>
      <c r="O26" s="53">
        <v>0.5</v>
      </c>
      <c r="P26" s="53">
        <v>0.5</v>
      </c>
      <c r="Q26" s="76">
        <f t="shared" si="1"/>
        <v>0.5</v>
      </c>
      <c r="R26" s="168">
        <v>14.5</v>
      </c>
      <c r="S26" s="168">
        <v>109</v>
      </c>
      <c r="T26" s="16">
        <f t="shared" si="0"/>
        <v>33</v>
      </c>
      <c r="U26" s="164">
        <v>100</v>
      </c>
      <c r="V26" s="38">
        <f t="shared" si="2"/>
        <v>3300</v>
      </c>
      <c r="W26" s="165">
        <v>4</v>
      </c>
      <c r="X26" s="166" t="s">
        <v>46</v>
      </c>
      <c r="Y26" s="172" t="s">
        <v>84</v>
      </c>
      <c r="Z26" s="172" t="s">
        <v>40</v>
      </c>
      <c r="AA26" s="172" t="s">
        <v>90</v>
      </c>
      <c r="AB26" s="53" t="s">
        <v>158</v>
      </c>
      <c r="AP26" s="27" t="s">
        <v>117</v>
      </c>
      <c r="AR26" s="23" t="s">
        <v>153</v>
      </c>
      <c r="AV26" s="27"/>
    </row>
    <row r="27" spans="1:48" x14ac:dyDescent="0.15">
      <c r="A27" s="158" t="s">
        <v>34</v>
      </c>
      <c r="B27" s="158" t="s">
        <v>157</v>
      </c>
      <c r="C27" s="159">
        <v>2019</v>
      </c>
      <c r="D27" s="160" t="s">
        <v>362</v>
      </c>
      <c r="E27" s="159" t="s">
        <v>139</v>
      </c>
      <c r="F27" s="158" t="s">
        <v>369</v>
      </c>
      <c r="G27" s="161" t="s">
        <v>36</v>
      </c>
      <c r="H27" s="127" t="s">
        <v>163</v>
      </c>
      <c r="I27" s="127" t="s">
        <v>159</v>
      </c>
      <c r="J27" s="127" t="s">
        <v>38</v>
      </c>
      <c r="K27" s="127" t="s">
        <v>160</v>
      </c>
      <c r="L27" s="53">
        <v>2</v>
      </c>
      <c r="N27" s="53">
        <v>1</v>
      </c>
      <c r="O27" s="34">
        <v>0.45</v>
      </c>
      <c r="P27" s="53">
        <v>0.5</v>
      </c>
      <c r="Q27" s="76">
        <f t="shared" si="1"/>
        <v>0.47499999999999998</v>
      </c>
      <c r="R27" s="168">
        <v>14.2</v>
      </c>
      <c r="S27" s="168">
        <v>107</v>
      </c>
      <c r="T27" s="16">
        <f t="shared" si="0"/>
        <v>33</v>
      </c>
      <c r="U27" s="164">
        <v>100</v>
      </c>
      <c r="V27" s="38">
        <f t="shared" si="2"/>
        <v>3300</v>
      </c>
      <c r="W27" s="165">
        <v>4</v>
      </c>
      <c r="X27" s="166" t="s">
        <v>46</v>
      </c>
      <c r="Y27" s="172" t="s">
        <v>84</v>
      </c>
      <c r="Z27" s="172" t="s">
        <v>40</v>
      </c>
      <c r="AA27" s="172" t="s">
        <v>90</v>
      </c>
      <c r="AB27" s="53" t="s">
        <v>158</v>
      </c>
      <c r="AP27" s="27" t="s">
        <v>118</v>
      </c>
      <c r="AR27" s="23"/>
    </row>
    <row r="28" spans="1:48" x14ac:dyDescent="0.15">
      <c r="A28" s="158" t="s">
        <v>34</v>
      </c>
      <c r="B28" s="158" t="s">
        <v>157</v>
      </c>
      <c r="C28" s="158">
        <v>2019</v>
      </c>
      <c r="D28" s="160" t="s">
        <v>362</v>
      </c>
      <c r="E28" s="159" t="s">
        <v>139</v>
      </c>
      <c r="F28" s="158" t="s">
        <v>369</v>
      </c>
      <c r="G28" s="161" t="s">
        <v>36</v>
      </c>
      <c r="H28" s="127" t="s">
        <v>163</v>
      </c>
      <c r="I28" s="127" t="s">
        <v>159</v>
      </c>
      <c r="J28" s="127" t="s">
        <v>38</v>
      </c>
      <c r="K28" s="127" t="s">
        <v>160</v>
      </c>
      <c r="L28" s="53">
        <v>3</v>
      </c>
      <c r="N28" s="53">
        <v>1</v>
      </c>
      <c r="O28" s="34">
        <v>0.5</v>
      </c>
      <c r="P28" s="53">
        <v>0.45</v>
      </c>
      <c r="Q28" s="76">
        <f t="shared" si="1"/>
        <v>0.47499999999999998</v>
      </c>
      <c r="R28" s="168">
        <v>14.7</v>
      </c>
      <c r="S28" s="168">
        <v>115</v>
      </c>
      <c r="T28" s="16">
        <f t="shared" si="0"/>
        <v>30</v>
      </c>
      <c r="U28" s="164">
        <v>100</v>
      </c>
      <c r="V28" s="38">
        <f t="shared" si="2"/>
        <v>3000</v>
      </c>
      <c r="W28" s="165">
        <v>4</v>
      </c>
      <c r="X28" s="166" t="s">
        <v>46</v>
      </c>
      <c r="Y28" s="172" t="s">
        <v>84</v>
      </c>
      <c r="Z28" s="172" t="s">
        <v>40</v>
      </c>
      <c r="AA28" s="172" t="s">
        <v>90</v>
      </c>
      <c r="AB28" s="53" t="s">
        <v>158</v>
      </c>
      <c r="AR28" s="23"/>
    </row>
    <row r="29" spans="1:48" x14ac:dyDescent="0.15">
      <c r="A29" s="158" t="s">
        <v>34</v>
      </c>
      <c r="B29" s="158" t="s">
        <v>157</v>
      </c>
      <c r="C29" s="158">
        <v>2019</v>
      </c>
      <c r="D29" s="160" t="s">
        <v>362</v>
      </c>
      <c r="E29" s="159" t="s">
        <v>133</v>
      </c>
      <c r="F29" s="158" t="s">
        <v>370</v>
      </c>
      <c r="G29" s="161" t="s">
        <v>36</v>
      </c>
      <c r="H29" s="127" t="s">
        <v>163</v>
      </c>
      <c r="I29" s="127" t="s">
        <v>159</v>
      </c>
      <c r="J29" s="127" t="s">
        <v>38</v>
      </c>
      <c r="K29" s="127" t="s">
        <v>160</v>
      </c>
      <c r="L29" s="53">
        <v>1</v>
      </c>
      <c r="N29" s="53">
        <v>1</v>
      </c>
      <c r="O29" s="53">
        <v>0.35</v>
      </c>
      <c r="P29" s="53">
        <v>0.4</v>
      </c>
      <c r="Q29" s="76">
        <f t="shared" si="1"/>
        <v>0.375</v>
      </c>
      <c r="R29" s="168">
        <v>15.5</v>
      </c>
      <c r="S29" s="168">
        <v>113</v>
      </c>
      <c r="T29" s="16">
        <f t="shared" si="0"/>
        <v>30</v>
      </c>
      <c r="U29" s="164">
        <v>98</v>
      </c>
      <c r="V29" s="38">
        <f t="shared" si="2"/>
        <v>2940</v>
      </c>
      <c r="W29" s="165">
        <v>6</v>
      </c>
      <c r="X29" s="166" t="s">
        <v>46</v>
      </c>
      <c r="Y29" s="172" t="s">
        <v>84</v>
      </c>
      <c r="Z29" s="172" t="s">
        <v>40</v>
      </c>
      <c r="AA29" s="172" t="s">
        <v>90</v>
      </c>
      <c r="AB29" s="53" t="s">
        <v>158</v>
      </c>
      <c r="AR29" s="28"/>
    </row>
    <row r="30" spans="1:48" x14ac:dyDescent="0.15">
      <c r="A30" s="158" t="s">
        <v>34</v>
      </c>
      <c r="B30" s="158" t="s">
        <v>157</v>
      </c>
      <c r="C30" s="159">
        <v>2019</v>
      </c>
      <c r="D30" s="160" t="s">
        <v>362</v>
      </c>
      <c r="E30" s="159" t="s">
        <v>133</v>
      </c>
      <c r="F30" s="158" t="s">
        <v>370</v>
      </c>
      <c r="G30" s="161" t="s">
        <v>36</v>
      </c>
      <c r="H30" s="127" t="s">
        <v>163</v>
      </c>
      <c r="I30" s="127" t="s">
        <v>159</v>
      </c>
      <c r="J30" s="127" t="s">
        <v>38</v>
      </c>
      <c r="K30" s="127" t="s">
        <v>160</v>
      </c>
      <c r="L30" s="53">
        <v>2</v>
      </c>
      <c r="N30" s="53">
        <v>1</v>
      </c>
      <c r="O30" s="53">
        <v>0.4</v>
      </c>
      <c r="P30" s="53">
        <v>0.4</v>
      </c>
      <c r="Q30" s="76">
        <f t="shared" si="1"/>
        <v>0.4</v>
      </c>
      <c r="R30" s="168">
        <v>15.8</v>
      </c>
      <c r="S30" s="168">
        <v>105</v>
      </c>
      <c r="T30" s="16">
        <f t="shared" si="0"/>
        <v>33</v>
      </c>
      <c r="U30" s="164">
        <v>98</v>
      </c>
      <c r="V30" s="38">
        <f t="shared" si="2"/>
        <v>3234</v>
      </c>
      <c r="W30" s="165">
        <v>6</v>
      </c>
      <c r="X30" s="166" t="s">
        <v>46</v>
      </c>
      <c r="Y30" s="172" t="s">
        <v>84</v>
      </c>
      <c r="Z30" s="172" t="s">
        <v>40</v>
      </c>
      <c r="AA30" s="172" t="s">
        <v>90</v>
      </c>
      <c r="AB30" s="53" t="s">
        <v>158</v>
      </c>
    </row>
    <row r="31" spans="1:48" x14ac:dyDescent="0.15">
      <c r="A31" s="158" t="s">
        <v>34</v>
      </c>
      <c r="B31" s="158" t="s">
        <v>157</v>
      </c>
      <c r="C31" s="158">
        <v>2019</v>
      </c>
      <c r="D31" s="160" t="s">
        <v>362</v>
      </c>
      <c r="E31" s="159" t="s">
        <v>133</v>
      </c>
      <c r="F31" s="158" t="s">
        <v>370</v>
      </c>
      <c r="G31" s="161" t="s">
        <v>36</v>
      </c>
      <c r="H31" s="127" t="s">
        <v>163</v>
      </c>
      <c r="I31" s="127" t="s">
        <v>159</v>
      </c>
      <c r="J31" s="127" t="s">
        <v>38</v>
      </c>
      <c r="K31" s="127" t="s">
        <v>160</v>
      </c>
      <c r="L31" s="53">
        <v>3</v>
      </c>
      <c r="N31" s="53">
        <v>1</v>
      </c>
      <c r="O31" s="53">
        <v>0.35</v>
      </c>
      <c r="P31" s="53">
        <v>0.4</v>
      </c>
      <c r="Q31" s="76">
        <f t="shared" si="1"/>
        <v>0.375</v>
      </c>
      <c r="R31" s="168">
        <v>15.5</v>
      </c>
      <c r="S31" s="168">
        <v>107</v>
      </c>
      <c r="T31" s="16">
        <f t="shared" si="0"/>
        <v>33</v>
      </c>
      <c r="U31" s="164">
        <v>98</v>
      </c>
      <c r="V31" s="38">
        <f t="shared" si="2"/>
        <v>3234</v>
      </c>
      <c r="W31" s="165">
        <v>6</v>
      </c>
      <c r="X31" s="166" t="s">
        <v>46</v>
      </c>
      <c r="Y31" s="172" t="s">
        <v>84</v>
      </c>
      <c r="Z31" s="172" t="s">
        <v>40</v>
      </c>
      <c r="AA31" s="172" t="s">
        <v>90</v>
      </c>
      <c r="AB31" s="53" t="s">
        <v>158</v>
      </c>
    </row>
    <row r="32" spans="1:48" ht="14.25" customHeight="1" x14ac:dyDescent="0.15">
      <c r="A32" s="158" t="s">
        <v>34</v>
      </c>
      <c r="B32" s="158" t="s">
        <v>157</v>
      </c>
      <c r="C32" s="159">
        <v>2019</v>
      </c>
      <c r="D32" s="160" t="s">
        <v>362</v>
      </c>
      <c r="E32" s="159" t="s">
        <v>272</v>
      </c>
      <c r="F32" s="158" t="s">
        <v>371</v>
      </c>
      <c r="G32" s="161" t="s">
        <v>36</v>
      </c>
      <c r="H32" s="127" t="s">
        <v>163</v>
      </c>
      <c r="I32" s="127" t="s">
        <v>159</v>
      </c>
      <c r="J32" s="127" t="s">
        <v>38</v>
      </c>
      <c r="K32" s="127" t="s">
        <v>160</v>
      </c>
      <c r="L32" s="53">
        <v>1</v>
      </c>
      <c r="N32" s="53">
        <v>7</v>
      </c>
      <c r="O32" s="53">
        <v>0.5</v>
      </c>
      <c r="P32" s="53">
        <v>0.45</v>
      </c>
      <c r="Q32" s="76">
        <f t="shared" si="1"/>
        <v>0.47499999999999998</v>
      </c>
      <c r="R32" s="168">
        <v>13.7</v>
      </c>
      <c r="S32" s="168">
        <v>99</v>
      </c>
      <c r="T32" s="16">
        <f t="shared" si="0"/>
        <v>33</v>
      </c>
      <c r="U32" s="164">
        <v>398</v>
      </c>
      <c r="V32" s="38">
        <f t="shared" si="2"/>
        <v>1876.2857142857142</v>
      </c>
      <c r="W32" s="165">
        <v>1</v>
      </c>
      <c r="X32" s="166" t="s">
        <v>46</v>
      </c>
      <c r="Y32" s="172" t="s">
        <v>69</v>
      </c>
      <c r="Z32" s="172" t="s">
        <v>40</v>
      </c>
      <c r="AA32" s="172" t="s">
        <v>90</v>
      </c>
      <c r="AB32" s="53" t="s">
        <v>158</v>
      </c>
    </row>
    <row r="33" spans="1:28" x14ac:dyDescent="0.15">
      <c r="A33" s="158" t="s">
        <v>34</v>
      </c>
      <c r="B33" s="158" t="s">
        <v>157</v>
      </c>
      <c r="C33" s="158">
        <v>2019</v>
      </c>
      <c r="D33" s="160" t="s">
        <v>362</v>
      </c>
      <c r="E33" s="159" t="s">
        <v>272</v>
      </c>
      <c r="F33" s="158" t="s">
        <v>371</v>
      </c>
      <c r="G33" s="161" t="s">
        <v>36</v>
      </c>
      <c r="H33" s="127" t="s">
        <v>163</v>
      </c>
      <c r="I33" s="127" t="s">
        <v>159</v>
      </c>
      <c r="J33" s="127" t="s">
        <v>38</v>
      </c>
      <c r="K33" s="127" t="s">
        <v>160</v>
      </c>
      <c r="L33" s="53">
        <v>2</v>
      </c>
      <c r="N33" s="53">
        <v>7</v>
      </c>
      <c r="O33" s="53">
        <v>0.5</v>
      </c>
      <c r="P33" s="53">
        <v>0.5</v>
      </c>
      <c r="Q33" s="76">
        <f t="shared" si="1"/>
        <v>0.5</v>
      </c>
      <c r="R33" s="168">
        <v>13.6</v>
      </c>
      <c r="S33" s="168">
        <v>96</v>
      </c>
      <c r="T33" s="16">
        <f t="shared" si="0"/>
        <v>36</v>
      </c>
      <c r="U33" s="164">
        <v>398</v>
      </c>
      <c r="V33" s="38">
        <f t="shared" si="2"/>
        <v>2046.8571428571427</v>
      </c>
      <c r="W33" s="165">
        <v>1</v>
      </c>
      <c r="X33" s="166" t="s">
        <v>46</v>
      </c>
      <c r="Y33" s="172" t="s">
        <v>69</v>
      </c>
      <c r="Z33" s="172" t="s">
        <v>40</v>
      </c>
      <c r="AA33" s="172" t="s">
        <v>90</v>
      </c>
      <c r="AB33" s="53" t="s">
        <v>158</v>
      </c>
    </row>
    <row r="34" spans="1:28" x14ac:dyDescent="0.15">
      <c r="A34" s="158" t="s">
        <v>34</v>
      </c>
      <c r="B34" s="158" t="s">
        <v>157</v>
      </c>
      <c r="C34" s="159">
        <v>2019</v>
      </c>
      <c r="D34" s="160" t="s">
        <v>362</v>
      </c>
      <c r="E34" s="159" t="s">
        <v>272</v>
      </c>
      <c r="F34" s="158" t="s">
        <v>371</v>
      </c>
      <c r="G34" s="161" t="s">
        <v>36</v>
      </c>
      <c r="H34" s="127" t="s">
        <v>163</v>
      </c>
      <c r="I34" s="127" t="s">
        <v>159</v>
      </c>
      <c r="J34" s="127" t="s">
        <v>38</v>
      </c>
      <c r="K34" s="127" t="s">
        <v>160</v>
      </c>
      <c r="L34" s="53">
        <v>3</v>
      </c>
      <c r="N34" s="53">
        <v>7</v>
      </c>
      <c r="O34" s="53">
        <v>0.4</v>
      </c>
      <c r="P34" s="34">
        <v>0.45</v>
      </c>
      <c r="Q34" s="76">
        <f t="shared" si="1"/>
        <v>0.42500000000000004</v>
      </c>
      <c r="R34" s="168">
        <v>13</v>
      </c>
      <c r="S34" s="168">
        <v>97</v>
      </c>
      <c r="T34" s="16">
        <f t="shared" si="0"/>
        <v>36</v>
      </c>
      <c r="U34" s="164">
        <v>398</v>
      </c>
      <c r="V34" s="38">
        <f t="shared" si="2"/>
        <v>2046.8571428571427</v>
      </c>
      <c r="W34" s="165">
        <v>1</v>
      </c>
      <c r="X34" s="166" t="s">
        <v>46</v>
      </c>
      <c r="Y34" s="172" t="s">
        <v>69</v>
      </c>
      <c r="Z34" s="172" t="s">
        <v>40</v>
      </c>
      <c r="AA34" s="172" t="s">
        <v>90</v>
      </c>
      <c r="AB34" s="53" t="s">
        <v>158</v>
      </c>
    </row>
    <row r="35" spans="1:28" x14ac:dyDescent="0.15">
      <c r="A35" s="158"/>
      <c r="B35" s="158"/>
      <c r="C35" s="158"/>
      <c r="D35" s="160"/>
      <c r="E35" s="159"/>
      <c r="F35" s="158"/>
      <c r="G35" s="161"/>
      <c r="H35" s="127"/>
      <c r="I35" s="127"/>
      <c r="J35" s="127"/>
      <c r="K35" s="127"/>
      <c r="Q35" s="76"/>
      <c r="R35" s="168"/>
      <c r="S35" s="168"/>
      <c r="U35" s="164"/>
      <c r="V35" s="38"/>
      <c r="W35" s="165"/>
      <c r="X35" s="166"/>
      <c r="Y35" s="172"/>
      <c r="Z35" s="172"/>
      <c r="AA35" s="172"/>
    </row>
    <row r="36" spans="1:28" x14ac:dyDescent="0.15">
      <c r="A36" s="158"/>
      <c r="B36" s="158"/>
      <c r="C36" s="159"/>
      <c r="D36" s="160"/>
      <c r="E36" s="159"/>
      <c r="F36" s="158"/>
      <c r="G36" s="161"/>
      <c r="H36" s="127"/>
      <c r="I36" s="127"/>
      <c r="J36" s="127"/>
      <c r="K36" s="127"/>
      <c r="Q36" s="76"/>
      <c r="R36" s="168"/>
      <c r="S36" s="168"/>
      <c r="U36" s="164"/>
      <c r="V36" s="38"/>
      <c r="W36" s="165"/>
      <c r="X36" s="166"/>
      <c r="Y36" s="172"/>
      <c r="Z36" s="172"/>
      <c r="AA36" s="172"/>
    </row>
    <row r="37" spans="1:28" x14ac:dyDescent="0.15">
      <c r="A37" s="158"/>
      <c r="B37" s="158"/>
      <c r="C37" s="158"/>
      <c r="D37" s="160"/>
      <c r="E37" s="159"/>
      <c r="F37" s="158"/>
      <c r="G37" s="161"/>
      <c r="H37" s="127"/>
      <c r="I37" s="127"/>
      <c r="J37" s="127"/>
      <c r="K37" s="127"/>
      <c r="Q37" s="76"/>
      <c r="R37" s="168"/>
      <c r="S37" s="168"/>
      <c r="U37" s="164"/>
      <c r="V37" s="38"/>
      <c r="W37" s="165"/>
      <c r="X37" s="166"/>
      <c r="Y37" s="172"/>
      <c r="Z37" s="172"/>
      <c r="AA37" s="172"/>
    </row>
    <row r="38" spans="1:28" x14ac:dyDescent="0.15">
      <c r="A38" s="158"/>
      <c r="B38" s="158"/>
      <c r="C38" s="159"/>
      <c r="D38" s="160"/>
      <c r="E38" s="159"/>
      <c r="F38" s="158"/>
      <c r="G38" s="161"/>
      <c r="H38" s="127"/>
      <c r="I38" s="127"/>
      <c r="J38" s="127"/>
      <c r="K38" s="127"/>
      <c r="Q38" s="76"/>
      <c r="R38" s="168"/>
      <c r="S38" s="168"/>
      <c r="U38" s="164"/>
      <c r="V38" s="38"/>
      <c r="W38" s="165"/>
      <c r="X38" s="166"/>
      <c r="Y38" s="172"/>
      <c r="Z38" s="172"/>
      <c r="AA38" s="172"/>
    </row>
    <row r="39" spans="1:28" x14ac:dyDescent="0.15">
      <c r="A39" s="158"/>
      <c r="B39" s="158"/>
      <c r="C39" s="158"/>
      <c r="D39" s="160"/>
      <c r="E39" s="159"/>
      <c r="F39" s="158"/>
      <c r="G39" s="161"/>
      <c r="H39" s="127"/>
      <c r="I39" s="127"/>
      <c r="J39" s="127"/>
      <c r="K39" s="127"/>
      <c r="Q39" s="76"/>
      <c r="R39" s="168"/>
      <c r="S39" s="168"/>
      <c r="U39" s="164"/>
      <c r="V39" s="38"/>
      <c r="W39" s="165"/>
      <c r="X39" s="166"/>
      <c r="Y39" s="172"/>
      <c r="Z39" s="172"/>
      <c r="AA39" s="172"/>
    </row>
    <row r="40" spans="1:28" ht="12.75" customHeight="1" x14ac:dyDescent="0.15">
      <c r="A40" s="158"/>
      <c r="B40" s="158"/>
      <c r="C40" s="159"/>
      <c r="D40" s="160"/>
      <c r="E40" s="159"/>
      <c r="F40" s="158"/>
      <c r="G40" s="161"/>
      <c r="H40" s="127"/>
      <c r="I40" s="127"/>
      <c r="J40" s="127"/>
      <c r="K40" s="127"/>
      <c r="Q40" s="76"/>
      <c r="R40" s="168"/>
      <c r="S40" s="168"/>
      <c r="U40" s="164"/>
      <c r="V40" s="38"/>
      <c r="W40" s="165"/>
      <c r="X40" s="166"/>
      <c r="Y40" s="172"/>
      <c r="Z40" s="172"/>
      <c r="AA40" s="172"/>
    </row>
    <row r="41" spans="1:28" ht="12.75" customHeight="1" x14ac:dyDescent="0.15">
      <c r="A41" s="127"/>
      <c r="B41" s="158"/>
      <c r="C41" s="159"/>
      <c r="D41" s="160"/>
      <c r="E41" s="159"/>
      <c r="F41" s="158"/>
      <c r="G41" s="161"/>
      <c r="H41" s="127"/>
      <c r="I41" s="127"/>
      <c r="J41" s="127"/>
      <c r="K41" s="127"/>
      <c r="Q41" s="76"/>
      <c r="R41" s="168"/>
      <c r="S41" s="168"/>
      <c r="U41" s="164"/>
      <c r="V41" s="38"/>
      <c r="X41" s="166"/>
      <c r="Y41" s="173"/>
      <c r="Z41" s="173"/>
      <c r="AA41" s="173"/>
    </row>
    <row r="42" spans="1:28" ht="12.75" customHeight="1" x14ac:dyDescent="0.15">
      <c r="A42" s="127"/>
      <c r="B42" s="158"/>
      <c r="C42" s="159"/>
      <c r="D42" s="160"/>
      <c r="E42" s="159"/>
      <c r="F42" s="158"/>
      <c r="G42" s="161"/>
      <c r="H42" s="127"/>
      <c r="I42" s="127"/>
      <c r="J42" s="127"/>
      <c r="K42" s="127"/>
      <c r="Q42" s="76"/>
      <c r="R42" s="168"/>
      <c r="S42" s="168"/>
      <c r="U42" s="164"/>
      <c r="V42" s="38"/>
      <c r="X42" s="166"/>
      <c r="Y42" s="173"/>
      <c r="Z42" s="173"/>
      <c r="AA42" s="173"/>
    </row>
    <row r="43" spans="1:28" ht="12.75" customHeight="1" x14ac:dyDescent="0.15">
      <c r="A43" s="127"/>
      <c r="B43" s="158"/>
      <c r="C43" s="159"/>
      <c r="D43" s="160"/>
      <c r="E43" s="159"/>
      <c r="F43" s="158"/>
      <c r="G43" s="161"/>
      <c r="H43" s="127"/>
      <c r="I43" s="127"/>
      <c r="J43" s="127"/>
      <c r="K43" s="127"/>
      <c r="Q43" s="76"/>
      <c r="R43" s="168"/>
      <c r="S43" s="168"/>
      <c r="U43" s="164"/>
      <c r="V43" s="38"/>
      <c r="X43" s="166"/>
      <c r="Y43" s="173"/>
      <c r="Z43" s="173"/>
      <c r="AA43" s="173"/>
    </row>
    <row r="44" spans="1:28" x14ac:dyDescent="0.15">
      <c r="B44" s="158"/>
      <c r="C44" s="159"/>
      <c r="D44" s="160"/>
      <c r="E44" s="159"/>
      <c r="F44" s="158"/>
      <c r="G44" s="161"/>
      <c r="H44" s="127"/>
      <c r="I44" s="127"/>
      <c r="K44" s="127"/>
      <c r="Q44" s="76"/>
      <c r="R44" s="168"/>
      <c r="S44" s="168"/>
      <c r="U44" s="164"/>
      <c r="X44" s="166"/>
      <c r="Y44" s="173"/>
      <c r="Z44" s="173"/>
      <c r="AA44" s="173"/>
    </row>
    <row r="45" spans="1:28" x14ac:dyDescent="0.15">
      <c r="B45" s="158"/>
      <c r="C45" s="158"/>
      <c r="D45" s="160"/>
      <c r="E45" s="159"/>
      <c r="F45" s="158"/>
      <c r="G45" s="161"/>
      <c r="H45" s="127"/>
      <c r="I45" s="127"/>
      <c r="K45" s="127"/>
      <c r="Q45" s="76"/>
      <c r="R45" s="168"/>
      <c r="S45" s="168"/>
      <c r="U45" s="164"/>
      <c r="X45" s="166"/>
      <c r="Y45" s="173"/>
      <c r="Z45" s="173"/>
      <c r="AA45" s="173"/>
    </row>
    <row r="46" spans="1:28" x14ac:dyDescent="0.15">
      <c r="B46" s="158"/>
      <c r="C46" s="159"/>
      <c r="D46" s="160"/>
      <c r="E46" s="159"/>
      <c r="F46" s="158"/>
      <c r="G46" s="161"/>
      <c r="H46" s="127"/>
      <c r="I46" s="127"/>
      <c r="K46" s="127"/>
      <c r="Q46" s="76"/>
      <c r="R46" s="168"/>
      <c r="S46" s="168"/>
      <c r="U46" s="164"/>
      <c r="X46" s="166"/>
      <c r="Y46" s="173"/>
      <c r="Z46" s="173"/>
      <c r="AA46" s="173"/>
    </row>
    <row r="47" spans="1:28" x14ac:dyDescent="0.15">
      <c r="B47" s="158"/>
      <c r="D47" s="174"/>
      <c r="F47" s="158"/>
      <c r="G47" s="161"/>
      <c r="H47" s="127"/>
      <c r="I47" s="127"/>
      <c r="K47" s="127"/>
      <c r="Q47" s="76"/>
      <c r="R47" s="168"/>
      <c r="S47" s="168"/>
      <c r="X47" s="166"/>
    </row>
    <row r="48" spans="1:28" x14ac:dyDescent="0.15">
      <c r="B48" s="34"/>
      <c r="D48" s="174"/>
      <c r="F48" s="158"/>
      <c r="G48" s="161"/>
      <c r="H48" s="127"/>
      <c r="I48" s="127"/>
      <c r="K48" s="127"/>
      <c r="Q48" s="76"/>
      <c r="R48" s="168"/>
      <c r="S48" s="168"/>
      <c r="X48" s="166"/>
    </row>
    <row r="49" spans="2:24" x14ac:dyDescent="0.15">
      <c r="B49" s="34"/>
      <c r="D49" s="174"/>
      <c r="F49" s="158"/>
      <c r="G49" s="161"/>
      <c r="H49" s="127"/>
      <c r="I49" s="127"/>
      <c r="K49" s="127"/>
      <c r="Q49" s="76"/>
      <c r="R49" s="168"/>
      <c r="S49" s="168"/>
      <c r="X49" s="166"/>
    </row>
    <row r="50" spans="2:24" x14ac:dyDescent="0.15">
      <c r="D50" s="174"/>
      <c r="F50" s="158"/>
      <c r="G50" s="161"/>
      <c r="K50" s="127"/>
      <c r="Q50" s="76"/>
      <c r="X50" s="166"/>
    </row>
    <row r="51" spans="2:24" x14ac:dyDescent="0.15">
      <c r="D51" s="174"/>
      <c r="F51" s="158"/>
      <c r="G51" s="161"/>
      <c r="K51" s="127"/>
      <c r="Q51" s="76"/>
      <c r="X51" s="166"/>
    </row>
    <row r="52" spans="2:24" x14ac:dyDescent="0.15">
      <c r="D52" s="174"/>
      <c r="F52" s="158"/>
      <c r="G52" s="161"/>
      <c r="K52" s="127"/>
      <c r="Q52" s="76"/>
      <c r="X52" s="166"/>
    </row>
    <row r="53" spans="2:24" x14ac:dyDescent="0.15">
      <c r="D53" s="174"/>
      <c r="F53" s="158"/>
      <c r="G53" s="161"/>
      <c r="K53" s="127"/>
      <c r="Q53" s="76"/>
      <c r="X53" s="166"/>
    </row>
    <row r="54" spans="2:24" x14ac:dyDescent="0.15">
      <c r="D54" s="174"/>
      <c r="F54" s="158"/>
      <c r="G54" s="161"/>
      <c r="K54" s="127"/>
      <c r="Q54" s="76"/>
      <c r="X54" s="166"/>
    </row>
    <row r="55" spans="2:24" x14ac:dyDescent="0.15">
      <c r="D55" s="174"/>
      <c r="F55" s="158"/>
      <c r="G55" s="161"/>
      <c r="K55" s="127"/>
      <c r="Q55" s="76"/>
      <c r="X55" s="166"/>
    </row>
    <row r="56" spans="2:24" x14ac:dyDescent="0.15">
      <c r="D56" s="174"/>
      <c r="F56" s="158"/>
      <c r="G56" s="161"/>
      <c r="K56" s="127"/>
      <c r="Q56" s="76"/>
      <c r="X56" s="166"/>
    </row>
    <row r="57" spans="2:24" x14ac:dyDescent="0.15">
      <c r="D57" s="174"/>
      <c r="F57" s="158"/>
      <c r="G57" s="161"/>
      <c r="K57" s="127"/>
      <c r="Q57" s="76"/>
      <c r="X57" s="166"/>
    </row>
    <row r="58" spans="2:24" x14ac:dyDescent="0.15">
      <c r="D58" s="174"/>
      <c r="F58" s="158"/>
      <c r="G58" s="161"/>
      <c r="K58" s="127"/>
      <c r="Q58" s="76"/>
      <c r="X58" s="166"/>
    </row>
    <row r="59" spans="2:24" x14ac:dyDescent="0.15">
      <c r="D59" s="174"/>
      <c r="F59" s="158"/>
      <c r="G59" s="161"/>
      <c r="K59" s="127"/>
      <c r="Q59" s="76"/>
      <c r="X59" s="166"/>
    </row>
    <row r="60" spans="2:24" x14ac:dyDescent="0.15">
      <c r="D60" s="174"/>
      <c r="F60" s="158"/>
      <c r="G60" s="161"/>
      <c r="K60" s="127"/>
      <c r="Q60" s="76"/>
      <c r="X60" s="166"/>
    </row>
    <row r="61" spans="2:24" x14ac:dyDescent="0.15">
      <c r="D61" s="174"/>
      <c r="F61" s="158"/>
      <c r="G61" s="161"/>
      <c r="K61" s="127"/>
      <c r="Q61" s="76"/>
      <c r="X61" s="166"/>
    </row>
    <row r="62" spans="2:24" x14ac:dyDescent="0.15">
      <c r="D62" s="174"/>
      <c r="F62" s="158"/>
      <c r="G62" s="161"/>
      <c r="K62" s="127"/>
      <c r="Q62" s="76" t="str">
        <f t="shared" ref="Q62:Q91" si="3">IF(OR(O62="",P62=""),"",AVERAGE(O62,P62))</f>
        <v/>
      </c>
      <c r="T62" s="16" t="str">
        <f t="shared" si="0"/>
        <v/>
      </c>
      <c r="V62" s="16" t="str">
        <f t="shared" ref="V62:V91" si="4">IF(OR(N62="",U62="",T62=""),"",U62/N62*T62)</f>
        <v/>
      </c>
      <c r="X62" s="166"/>
    </row>
    <row r="63" spans="2:24" x14ac:dyDescent="0.15">
      <c r="D63" s="174"/>
      <c r="F63" s="158"/>
      <c r="G63" s="161"/>
      <c r="K63" s="127"/>
      <c r="Q63" s="76" t="str">
        <f t="shared" si="3"/>
        <v/>
      </c>
      <c r="T63" s="16" t="str">
        <f t="shared" si="0"/>
        <v/>
      </c>
      <c r="V63" s="16" t="str">
        <f t="shared" si="4"/>
        <v/>
      </c>
      <c r="X63" s="166"/>
    </row>
    <row r="64" spans="2:24" x14ac:dyDescent="0.15">
      <c r="D64" s="174"/>
      <c r="F64" s="158"/>
      <c r="G64" s="161"/>
      <c r="K64" s="127"/>
      <c r="Q64" s="76" t="str">
        <f t="shared" si="3"/>
        <v/>
      </c>
      <c r="T64" s="16" t="str">
        <f t="shared" si="0"/>
        <v/>
      </c>
      <c r="V64" s="16" t="str">
        <f t="shared" si="4"/>
        <v/>
      </c>
      <c r="X64" s="166"/>
    </row>
    <row r="65" spans="4:24" x14ac:dyDescent="0.15">
      <c r="D65" s="174"/>
      <c r="F65" s="158"/>
      <c r="G65" s="161"/>
      <c r="K65" s="127"/>
      <c r="Q65" s="76" t="str">
        <f t="shared" si="3"/>
        <v/>
      </c>
      <c r="T65" s="16" t="str">
        <f t="shared" si="0"/>
        <v/>
      </c>
      <c r="V65" s="16" t="str">
        <f t="shared" si="4"/>
        <v/>
      </c>
      <c r="X65" s="166"/>
    </row>
    <row r="66" spans="4:24" x14ac:dyDescent="0.15">
      <c r="D66" s="174"/>
      <c r="F66" s="158"/>
      <c r="G66" s="161"/>
      <c r="K66" s="127"/>
      <c r="Q66" s="76" t="str">
        <f t="shared" si="3"/>
        <v/>
      </c>
      <c r="T66" s="16" t="str">
        <f t="shared" ref="T66:T91" si="5">IF(H66="","",IF(OR(H66="GREEN",H66="GK"),IF(S66&gt;=$AX$2,VLOOKUP(S66,$AX$2:$AY$7,2,1),""),IF(S66&gt;=$AZ$2,VLOOKUP(S66,$AZ$2:$BA$7,2,1),"")))</f>
        <v/>
      </c>
      <c r="V66" s="16" t="str">
        <f t="shared" si="4"/>
        <v/>
      </c>
      <c r="X66" s="166"/>
    </row>
    <row r="67" spans="4:24" x14ac:dyDescent="0.15">
      <c r="D67" s="174"/>
      <c r="F67" s="158"/>
      <c r="G67" s="161"/>
      <c r="K67" s="127"/>
      <c r="Q67" s="76" t="str">
        <f t="shared" si="3"/>
        <v/>
      </c>
      <c r="T67" s="16" t="str">
        <f t="shared" si="5"/>
        <v/>
      </c>
      <c r="V67" s="16" t="str">
        <f t="shared" si="4"/>
        <v/>
      </c>
      <c r="X67" s="166"/>
    </row>
    <row r="68" spans="4:24" x14ac:dyDescent="0.15">
      <c r="D68" s="174"/>
      <c r="F68" s="158"/>
      <c r="G68" s="161"/>
      <c r="K68" s="127"/>
      <c r="Q68" s="76" t="str">
        <f t="shared" si="3"/>
        <v/>
      </c>
      <c r="T68" s="16" t="str">
        <f t="shared" si="5"/>
        <v/>
      </c>
      <c r="V68" s="16" t="str">
        <f t="shared" si="4"/>
        <v/>
      </c>
      <c r="X68" s="166"/>
    </row>
    <row r="69" spans="4:24" x14ac:dyDescent="0.15">
      <c r="D69" s="174"/>
      <c r="F69" s="158"/>
      <c r="G69" s="161"/>
      <c r="K69" s="127"/>
      <c r="Q69" s="76" t="str">
        <f t="shared" si="3"/>
        <v/>
      </c>
      <c r="T69" s="16" t="str">
        <f t="shared" si="5"/>
        <v/>
      </c>
      <c r="V69" s="16" t="str">
        <f t="shared" si="4"/>
        <v/>
      </c>
      <c r="X69" s="166"/>
    </row>
    <row r="70" spans="4:24" x14ac:dyDescent="0.15">
      <c r="D70" s="174"/>
      <c r="F70" s="158"/>
      <c r="G70" s="161"/>
      <c r="K70" s="127"/>
      <c r="Q70" s="76" t="str">
        <f t="shared" si="3"/>
        <v/>
      </c>
      <c r="T70" s="16" t="str">
        <f t="shared" si="5"/>
        <v/>
      </c>
      <c r="V70" s="16" t="str">
        <f t="shared" si="4"/>
        <v/>
      </c>
      <c r="X70" s="166"/>
    </row>
    <row r="71" spans="4:24" x14ac:dyDescent="0.15">
      <c r="D71" s="174"/>
      <c r="F71" s="158"/>
      <c r="G71" s="161"/>
      <c r="K71" s="127"/>
      <c r="Q71" s="76" t="str">
        <f t="shared" si="3"/>
        <v/>
      </c>
      <c r="T71" s="16" t="str">
        <f t="shared" si="5"/>
        <v/>
      </c>
      <c r="V71" s="16" t="str">
        <f t="shared" si="4"/>
        <v/>
      </c>
      <c r="X71" s="166"/>
    </row>
    <row r="72" spans="4:24" x14ac:dyDescent="0.15">
      <c r="D72" s="174"/>
      <c r="F72" s="158"/>
      <c r="G72" s="161"/>
      <c r="K72" s="127"/>
      <c r="Q72" s="76" t="str">
        <f t="shared" si="3"/>
        <v/>
      </c>
      <c r="T72" s="16" t="str">
        <f t="shared" si="5"/>
        <v/>
      </c>
      <c r="V72" s="16" t="str">
        <f t="shared" si="4"/>
        <v/>
      </c>
      <c r="X72" s="166"/>
    </row>
    <row r="73" spans="4:24" x14ac:dyDescent="0.15">
      <c r="D73" s="174"/>
      <c r="F73" s="158"/>
      <c r="G73" s="161"/>
      <c r="K73" s="127"/>
      <c r="Q73" s="76" t="str">
        <f t="shared" si="3"/>
        <v/>
      </c>
      <c r="T73" s="16" t="str">
        <f t="shared" si="5"/>
        <v/>
      </c>
      <c r="V73" s="16" t="str">
        <f t="shared" si="4"/>
        <v/>
      </c>
      <c r="X73" s="166"/>
    </row>
    <row r="74" spans="4:24" x14ac:dyDescent="0.15">
      <c r="D74" s="174"/>
      <c r="F74" s="158"/>
      <c r="G74" s="161"/>
      <c r="K74" s="127"/>
      <c r="Q74" s="76" t="str">
        <f t="shared" si="3"/>
        <v/>
      </c>
      <c r="T74" s="16" t="str">
        <f t="shared" si="5"/>
        <v/>
      </c>
      <c r="V74" s="16" t="str">
        <f t="shared" si="4"/>
        <v/>
      </c>
      <c r="X74" s="166"/>
    </row>
    <row r="75" spans="4:24" x14ac:dyDescent="0.15">
      <c r="D75" s="174"/>
      <c r="F75" s="158"/>
      <c r="G75" s="161"/>
      <c r="K75" s="127"/>
      <c r="Q75" s="76" t="str">
        <f t="shared" si="3"/>
        <v/>
      </c>
      <c r="T75" s="16" t="str">
        <f t="shared" si="5"/>
        <v/>
      </c>
      <c r="V75" s="16" t="str">
        <f t="shared" si="4"/>
        <v/>
      </c>
      <c r="X75" s="166"/>
    </row>
    <row r="76" spans="4:24" x14ac:dyDescent="0.15">
      <c r="D76" s="174"/>
      <c r="F76" s="158"/>
      <c r="G76" s="161"/>
      <c r="K76" s="127"/>
      <c r="Q76" s="76" t="str">
        <f t="shared" si="3"/>
        <v/>
      </c>
      <c r="T76" s="16" t="str">
        <f t="shared" si="5"/>
        <v/>
      </c>
      <c r="V76" s="16" t="str">
        <f t="shared" si="4"/>
        <v/>
      </c>
      <c r="X76" s="166"/>
    </row>
    <row r="77" spans="4:24" x14ac:dyDescent="0.15">
      <c r="D77" s="174"/>
      <c r="F77" s="158"/>
      <c r="G77" s="161"/>
      <c r="K77" s="127"/>
      <c r="Q77" s="76" t="str">
        <f t="shared" si="3"/>
        <v/>
      </c>
      <c r="T77" s="16" t="str">
        <f t="shared" si="5"/>
        <v/>
      </c>
      <c r="V77" s="16" t="str">
        <f t="shared" si="4"/>
        <v/>
      </c>
      <c r="X77" s="166"/>
    </row>
    <row r="78" spans="4:24" x14ac:dyDescent="0.15">
      <c r="D78" s="174"/>
      <c r="F78" s="158"/>
      <c r="G78" s="161"/>
      <c r="K78" s="127"/>
      <c r="Q78" s="76" t="str">
        <f t="shared" si="3"/>
        <v/>
      </c>
      <c r="T78" s="16" t="str">
        <f t="shared" si="5"/>
        <v/>
      </c>
      <c r="V78" s="16" t="str">
        <f t="shared" si="4"/>
        <v/>
      </c>
      <c r="X78" s="166"/>
    </row>
    <row r="79" spans="4:24" x14ac:dyDescent="0.15">
      <c r="D79" s="174"/>
      <c r="F79" s="158"/>
      <c r="G79" s="161"/>
      <c r="K79" s="127"/>
      <c r="Q79" s="76" t="str">
        <f t="shared" si="3"/>
        <v/>
      </c>
      <c r="T79" s="16" t="str">
        <f t="shared" si="5"/>
        <v/>
      </c>
      <c r="V79" s="16" t="str">
        <f t="shared" si="4"/>
        <v/>
      </c>
      <c r="X79" s="166"/>
    </row>
    <row r="80" spans="4:24" x14ac:dyDescent="0.15">
      <c r="K80" s="127"/>
      <c r="Q80" s="76" t="str">
        <f t="shared" si="3"/>
        <v/>
      </c>
      <c r="T80" s="16" t="str">
        <f t="shared" si="5"/>
        <v/>
      </c>
      <c r="V80" s="16" t="str">
        <f t="shared" si="4"/>
        <v/>
      </c>
    </row>
    <row r="81" spans="11:22" x14ac:dyDescent="0.15">
      <c r="K81" s="127"/>
      <c r="Q81" s="76" t="str">
        <f t="shared" si="3"/>
        <v/>
      </c>
      <c r="T81" s="16" t="str">
        <f t="shared" si="5"/>
        <v/>
      </c>
      <c r="V81" s="16" t="str">
        <f t="shared" si="4"/>
        <v/>
      </c>
    </row>
    <row r="82" spans="11:22" x14ac:dyDescent="0.15">
      <c r="K82" s="127"/>
      <c r="Q82" s="76" t="str">
        <f t="shared" si="3"/>
        <v/>
      </c>
      <c r="T82" s="16" t="str">
        <f t="shared" si="5"/>
        <v/>
      </c>
      <c r="V82" s="16" t="str">
        <f t="shared" si="4"/>
        <v/>
      </c>
    </row>
    <row r="83" spans="11:22" x14ac:dyDescent="0.15">
      <c r="K83" s="127"/>
      <c r="Q83" s="76" t="str">
        <f t="shared" si="3"/>
        <v/>
      </c>
      <c r="T83" s="16" t="str">
        <f t="shared" si="5"/>
        <v/>
      </c>
      <c r="V83" s="16" t="str">
        <f t="shared" si="4"/>
        <v/>
      </c>
    </row>
    <row r="84" spans="11:22" x14ac:dyDescent="0.15">
      <c r="K84" s="127"/>
      <c r="Q84" s="76" t="str">
        <f t="shared" si="3"/>
        <v/>
      </c>
      <c r="T84" s="16" t="str">
        <f t="shared" si="5"/>
        <v/>
      </c>
      <c r="V84" s="16" t="str">
        <f t="shared" si="4"/>
        <v/>
      </c>
    </row>
    <row r="85" spans="11:22" x14ac:dyDescent="0.15">
      <c r="K85" s="127"/>
      <c r="Q85" s="76" t="str">
        <f t="shared" si="3"/>
        <v/>
      </c>
      <c r="T85" s="16" t="str">
        <f t="shared" si="5"/>
        <v/>
      </c>
      <c r="V85" s="16" t="str">
        <f t="shared" si="4"/>
        <v/>
      </c>
    </row>
    <row r="86" spans="11:22" x14ac:dyDescent="0.15">
      <c r="K86" s="127"/>
      <c r="Q86" s="76" t="str">
        <f t="shared" si="3"/>
        <v/>
      </c>
      <c r="T86" s="16" t="str">
        <f t="shared" si="5"/>
        <v/>
      </c>
      <c r="V86" s="16" t="str">
        <f t="shared" si="4"/>
        <v/>
      </c>
    </row>
    <row r="87" spans="11:22" x14ac:dyDescent="0.15">
      <c r="K87" s="127"/>
      <c r="Q87" s="76" t="str">
        <f t="shared" si="3"/>
        <v/>
      </c>
      <c r="T87" s="16" t="str">
        <f t="shared" si="5"/>
        <v/>
      </c>
      <c r="V87" s="16" t="str">
        <f t="shared" si="4"/>
        <v/>
      </c>
    </row>
    <row r="88" spans="11:22" x14ac:dyDescent="0.15">
      <c r="K88" s="127"/>
      <c r="Q88" s="76" t="str">
        <f t="shared" si="3"/>
        <v/>
      </c>
      <c r="T88" s="16" t="str">
        <f t="shared" si="5"/>
        <v/>
      </c>
      <c r="V88" s="16" t="str">
        <f t="shared" si="4"/>
        <v/>
      </c>
    </row>
    <row r="89" spans="11:22" x14ac:dyDescent="0.15">
      <c r="K89" s="127"/>
      <c r="Q89" s="76" t="str">
        <f t="shared" si="3"/>
        <v/>
      </c>
      <c r="T89" s="16" t="str">
        <f t="shared" si="5"/>
        <v/>
      </c>
      <c r="V89" s="16" t="str">
        <f t="shared" si="4"/>
        <v/>
      </c>
    </row>
    <row r="90" spans="11:22" x14ac:dyDescent="0.15">
      <c r="K90" s="127"/>
      <c r="Q90" s="76" t="str">
        <f t="shared" si="3"/>
        <v/>
      </c>
      <c r="T90" s="16" t="str">
        <f t="shared" si="5"/>
        <v/>
      </c>
      <c r="V90" s="16" t="str">
        <f t="shared" si="4"/>
        <v/>
      </c>
    </row>
    <row r="91" spans="11:22" x14ac:dyDescent="0.15">
      <c r="K91" s="127"/>
      <c r="Q91" s="76" t="str">
        <f t="shared" si="3"/>
        <v/>
      </c>
      <c r="T91" s="16" t="str">
        <f t="shared" si="5"/>
        <v/>
      </c>
      <c r="V91" s="16" t="str">
        <f t="shared" si="4"/>
        <v/>
      </c>
    </row>
    <row r="92" spans="11:22" x14ac:dyDescent="0.15">
      <c r="K92" s="127"/>
      <c r="Q92" s="76"/>
    </row>
    <row r="93" spans="11:22" x14ac:dyDescent="0.15">
      <c r="K93" s="127"/>
      <c r="Q93" s="76"/>
    </row>
    <row r="94" spans="11:22" x14ac:dyDescent="0.15">
      <c r="K94" s="127"/>
      <c r="Q94" s="76"/>
    </row>
    <row r="95" spans="11:22" x14ac:dyDescent="0.15">
      <c r="K95" s="127"/>
      <c r="Q95" s="76"/>
    </row>
    <row r="96" spans="11:22" x14ac:dyDescent="0.15">
      <c r="K96" s="127"/>
      <c r="Q96" s="76"/>
    </row>
    <row r="97" spans="11:17" x14ac:dyDescent="0.15">
      <c r="K97" s="127"/>
      <c r="Q97" s="76"/>
    </row>
    <row r="98" spans="11:17" x14ac:dyDescent="0.15">
      <c r="K98" s="127"/>
      <c r="Q98" s="76"/>
    </row>
    <row r="99" spans="11:17" x14ac:dyDescent="0.15">
      <c r="K99" s="127"/>
      <c r="Q99" s="76"/>
    </row>
    <row r="100" spans="11:17" x14ac:dyDescent="0.15">
      <c r="K100" s="127"/>
      <c r="Q100" s="76"/>
    </row>
    <row r="101" spans="11:17" x14ac:dyDescent="0.15">
      <c r="K101" s="127"/>
      <c r="Q101" s="76"/>
    </row>
    <row r="102" spans="11:17" x14ac:dyDescent="0.15">
      <c r="K102" s="127"/>
      <c r="Q102" s="76"/>
    </row>
    <row r="103" spans="11:17" x14ac:dyDescent="0.15">
      <c r="K103" s="127"/>
      <c r="Q103" s="76"/>
    </row>
    <row r="104" spans="11:17" x14ac:dyDescent="0.15">
      <c r="K104" s="127"/>
      <c r="Q104" s="76"/>
    </row>
    <row r="105" spans="11:17" x14ac:dyDescent="0.15">
      <c r="K105" s="127"/>
      <c r="Q105" s="76"/>
    </row>
    <row r="106" spans="11:17" x14ac:dyDescent="0.15">
      <c r="K106" s="127"/>
      <c r="Q106" s="76"/>
    </row>
    <row r="107" spans="11:17" x14ac:dyDescent="0.15">
      <c r="K107" s="127"/>
      <c r="Q107" s="76"/>
    </row>
    <row r="108" spans="11:17" x14ac:dyDescent="0.15">
      <c r="K108" s="127"/>
      <c r="Q108" s="76"/>
    </row>
    <row r="109" spans="11:17" x14ac:dyDescent="0.15">
      <c r="K109" s="127"/>
      <c r="Q109" s="76"/>
    </row>
    <row r="110" spans="11:17" x14ac:dyDescent="0.15">
      <c r="K110" s="127"/>
      <c r="Q110" s="76"/>
    </row>
    <row r="111" spans="11:17" x14ac:dyDescent="0.15">
      <c r="K111" s="127"/>
      <c r="Q111" s="76"/>
    </row>
    <row r="112" spans="11:17" x14ac:dyDescent="0.15">
      <c r="K112" s="127"/>
      <c r="Q112" s="76"/>
    </row>
    <row r="113" spans="11:17" x14ac:dyDescent="0.15">
      <c r="K113" s="127"/>
      <c r="Q113" s="76"/>
    </row>
    <row r="114" spans="11:17" x14ac:dyDescent="0.15">
      <c r="K114" s="127"/>
      <c r="Q114" s="76"/>
    </row>
    <row r="115" spans="11:17" x14ac:dyDescent="0.15">
      <c r="K115" s="127"/>
      <c r="Q115" s="76"/>
    </row>
    <row r="116" spans="11:17" x14ac:dyDescent="0.15">
      <c r="K116" s="127"/>
      <c r="Q116" s="76"/>
    </row>
    <row r="117" spans="11:17" x14ac:dyDescent="0.15">
      <c r="K117" s="127"/>
      <c r="Q117" s="76"/>
    </row>
    <row r="118" spans="11:17" x14ac:dyDescent="0.15">
      <c r="K118" s="127"/>
      <c r="Q118" s="76"/>
    </row>
    <row r="119" spans="11:17" x14ac:dyDescent="0.15">
      <c r="K119" s="127"/>
      <c r="Q119" s="76"/>
    </row>
    <row r="120" spans="11:17" x14ac:dyDescent="0.15">
      <c r="K120" s="127"/>
      <c r="Q120" s="76"/>
    </row>
    <row r="121" spans="11:17" x14ac:dyDescent="0.15">
      <c r="K121" s="127"/>
      <c r="Q121" s="76"/>
    </row>
    <row r="122" spans="11:17" x14ac:dyDescent="0.15">
      <c r="K122" s="127"/>
      <c r="Q122" s="76"/>
    </row>
    <row r="123" spans="11:17" x14ac:dyDescent="0.15">
      <c r="K123" s="127"/>
      <c r="Q123" s="76"/>
    </row>
    <row r="124" spans="11:17" x14ac:dyDescent="0.15">
      <c r="K124" s="127"/>
      <c r="Q124" s="76"/>
    </row>
    <row r="125" spans="11:17" x14ac:dyDescent="0.15">
      <c r="K125" s="127"/>
      <c r="Q125" s="76"/>
    </row>
    <row r="126" spans="11:17" x14ac:dyDescent="0.15">
      <c r="K126" s="127"/>
      <c r="Q126" s="76"/>
    </row>
    <row r="127" spans="11:17" x14ac:dyDescent="0.15">
      <c r="K127" s="127"/>
      <c r="Q127" s="76"/>
    </row>
    <row r="128" spans="11:17" x14ac:dyDescent="0.15">
      <c r="K128" s="127"/>
      <c r="Q128" s="76"/>
    </row>
    <row r="129" spans="11:17" x14ac:dyDescent="0.15">
      <c r="K129" s="127"/>
      <c r="Q129" s="76"/>
    </row>
    <row r="130" spans="11:17" x14ac:dyDescent="0.15">
      <c r="K130" s="127"/>
      <c r="Q130" s="76"/>
    </row>
    <row r="131" spans="11:17" x14ac:dyDescent="0.15">
      <c r="K131" s="127"/>
      <c r="Q131" s="76"/>
    </row>
    <row r="132" spans="11:17" x14ac:dyDescent="0.15">
      <c r="K132" s="127"/>
      <c r="Q132" s="76"/>
    </row>
    <row r="133" spans="11:17" x14ac:dyDescent="0.15">
      <c r="K133" s="127"/>
      <c r="Q133" s="76"/>
    </row>
    <row r="134" spans="11:17" x14ac:dyDescent="0.15">
      <c r="K134" s="127"/>
      <c r="Q134" s="76"/>
    </row>
    <row r="135" spans="11:17" x14ac:dyDescent="0.15">
      <c r="K135" s="127"/>
      <c r="Q135" s="76"/>
    </row>
    <row r="136" spans="11:17" x14ac:dyDescent="0.15">
      <c r="K136" s="127"/>
      <c r="Q136" s="76"/>
    </row>
    <row r="137" spans="11:17" x14ac:dyDescent="0.15">
      <c r="K137" s="127"/>
      <c r="Q137" s="76"/>
    </row>
    <row r="138" spans="11:17" x14ac:dyDescent="0.15">
      <c r="K138" s="127"/>
      <c r="Q138" s="76"/>
    </row>
    <row r="139" spans="11:17" x14ac:dyDescent="0.15">
      <c r="K139" s="127"/>
      <c r="Q139" s="76"/>
    </row>
    <row r="140" spans="11:17" x14ac:dyDescent="0.15">
      <c r="K140" s="127"/>
      <c r="Q140" s="76"/>
    </row>
    <row r="141" spans="11:17" x14ac:dyDescent="0.15">
      <c r="K141" s="127"/>
      <c r="Q141" s="76"/>
    </row>
    <row r="142" spans="11:17" x14ac:dyDescent="0.15">
      <c r="K142" s="127"/>
      <c r="Q142" s="76"/>
    </row>
    <row r="143" spans="11:17" x14ac:dyDescent="0.15">
      <c r="K143" s="127"/>
      <c r="Q143" s="76"/>
    </row>
    <row r="144" spans="11:17" x14ac:dyDescent="0.15">
      <c r="K144" s="127"/>
      <c r="Q144" s="76"/>
    </row>
    <row r="145" spans="11:17" x14ac:dyDescent="0.15">
      <c r="K145" s="127"/>
      <c r="Q145" s="76"/>
    </row>
    <row r="146" spans="11:17" x14ac:dyDescent="0.15">
      <c r="K146" s="127"/>
      <c r="Q146" s="76"/>
    </row>
    <row r="147" spans="11:17" x14ac:dyDescent="0.15">
      <c r="K147" s="127"/>
      <c r="Q147" s="76"/>
    </row>
    <row r="148" spans="11:17" x14ac:dyDescent="0.15">
      <c r="K148" s="127"/>
      <c r="Q148" s="76"/>
    </row>
    <row r="149" spans="11:17" x14ac:dyDescent="0.15">
      <c r="K149" s="127"/>
      <c r="Q149" s="76"/>
    </row>
    <row r="150" spans="11:17" x14ac:dyDescent="0.15">
      <c r="K150" s="127"/>
      <c r="Q150" s="76"/>
    </row>
    <row r="151" spans="11:17" x14ac:dyDescent="0.15">
      <c r="K151" s="127"/>
      <c r="Q151" s="76"/>
    </row>
    <row r="152" spans="11:17" x14ac:dyDescent="0.15">
      <c r="K152" s="127"/>
      <c r="Q152" s="76"/>
    </row>
    <row r="153" spans="11:17" x14ac:dyDescent="0.15">
      <c r="K153" s="127"/>
      <c r="Q153" s="76"/>
    </row>
    <row r="154" spans="11:17" x14ac:dyDescent="0.15">
      <c r="K154" s="127"/>
      <c r="Q154" s="76"/>
    </row>
    <row r="155" spans="11:17" x14ac:dyDescent="0.15">
      <c r="K155" s="127"/>
      <c r="Q155" s="76"/>
    </row>
    <row r="156" spans="11:17" x14ac:dyDescent="0.15">
      <c r="K156" s="127"/>
      <c r="Q156" s="76"/>
    </row>
    <row r="157" spans="11:17" x14ac:dyDescent="0.15">
      <c r="K157" s="127"/>
      <c r="Q157" s="76"/>
    </row>
    <row r="158" spans="11:17" x14ac:dyDescent="0.15">
      <c r="K158" s="127"/>
      <c r="Q158" s="76"/>
    </row>
    <row r="159" spans="11:17" x14ac:dyDescent="0.15">
      <c r="K159" s="127"/>
      <c r="Q159" s="76"/>
    </row>
    <row r="160" spans="11:17" x14ac:dyDescent="0.15">
      <c r="K160" s="127"/>
      <c r="Q160" s="76"/>
    </row>
    <row r="161" spans="11:17" x14ac:dyDescent="0.15">
      <c r="K161" s="127"/>
      <c r="Q161" s="76"/>
    </row>
    <row r="162" spans="11:17" x14ac:dyDescent="0.15">
      <c r="K162" s="127"/>
      <c r="Q162" s="76"/>
    </row>
    <row r="163" spans="11:17" x14ac:dyDescent="0.15">
      <c r="K163" s="127"/>
      <c r="Q163" s="76"/>
    </row>
    <row r="164" spans="11:17" x14ac:dyDescent="0.15">
      <c r="K164" s="127"/>
      <c r="Q164" s="76"/>
    </row>
    <row r="165" spans="11:17" x14ac:dyDescent="0.15">
      <c r="K165" s="127"/>
      <c r="Q165" s="76"/>
    </row>
    <row r="166" spans="11:17" x14ac:dyDescent="0.15">
      <c r="K166" s="127"/>
      <c r="Q166" s="76"/>
    </row>
    <row r="167" spans="11:17" x14ac:dyDescent="0.15">
      <c r="K167" s="127"/>
      <c r="Q167" s="76"/>
    </row>
    <row r="168" spans="11:17" x14ac:dyDescent="0.15">
      <c r="K168" s="127"/>
      <c r="Q168" s="76"/>
    </row>
    <row r="169" spans="11:17" x14ac:dyDescent="0.15">
      <c r="K169" s="127"/>
      <c r="Q169" s="76"/>
    </row>
    <row r="170" spans="11:17" x14ac:dyDescent="0.15">
      <c r="K170" s="127"/>
      <c r="Q170" s="76"/>
    </row>
    <row r="171" spans="11:17" x14ac:dyDescent="0.15">
      <c r="K171" s="127"/>
      <c r="Q171" s="76"/>
    </row>
    <row r="172" spans="11:17" x14ac:dyDescent="0.15">
      <c r="K172" s="127"/>
      <c r="Q172" s="76"/>
    </row>
    <row r="173" spans="11:17" x14ac:dyDescent="0.15">
      <c r="K173" s="127"/>
      <c r="Q173" s="76"/>
    </row>
    <row r="174" spans="11:17" x14ac:dyDescent="0.15">
      <c r="K174" s="127"/>
      <c r="Q174" s="76"/>
    </row>
    <row r="175" spans="11:17" x14ac:dyDescent="0.15">
      <c r="K175" s="127"/>
      <c r="Q175" s="76"/>
    </row>
    <row r="176" spans="11:17" x14ac:dyDescent="0.15">
      <c r="K176" s="127"/>
      <c r="Q176" s="76"/>
    </row>
    <row r="177" spans="11:17" x14ac:dyDescent="0.15">
      <c r="K177" s="127"/>
      <c r="Q177" s="76"/>
    </row>
    <row r="178" spans="11:17" x14ac:dyDescent="0.15">
      <c r="K178" s="127"/>
      <c r="Q178" s="76"/>
    </row>
    <row r="179" spans="11:17" x14ac:dyDescent="0.15">
      <c r="K179" s="127"/>
      <c r="Q179" s="76"/>
    </row>
    <row r="180" spans="11:17" x14ac:dyDescent="0.15">
      <c r="K180" s="127"/>
      <c r="Q180" s="76"/>
    </row>
    <row r="181" spans="11:17" x14ac:dyDescent="0.15">
      <c r="K181" s="127"/>
      <c r="Q181" s="76"/>
    </row>
    <row r="182" spans="11:17" x14ac:dyDescent="0.15">
      <c r="K182" s="127"/>
      <c r="Q182" s="76"/>
    </row>
    <row r="183" spans="11:17" x14ac:dyDescent="0.15">
      <c r="K183" s="127"/>
      <c r="Q183" s="76"/>
    </row>
    <row r="184" spans="11:17" x14ac:dyDescent="0.15">
      <c r="K184" s="127"/>
      <c r="Q184" s="76"/>
    </row>
    <row r="185" spans="11:17" x14ac:dyDescent="0.15">
      <c r="K185" s="127"/>
      <c r="Q185" s="76"/>
    </row>
    <row r="186" spans="11:17" x14ac:dyDescent="0.15">
      <c r="K186" s="127"/>
      <c r="Q186" s="76"/>
    </row>
    <row r="187" spans="11:17" x14ac:dyDescent="0.15">
      <c r="K187" s="127"/>
      <c r="Q187" s="76"/>
    </row>
    <row r="188" spans="11:17" x14ac:dyDescent="0.15">
      <c r="K188" s="127"/>
      <c r="Q188" s="76"/>
    </row>
    <row r="189" spans="11:17" x14ac:dyDescent="0.15">
      <c r="K189" s="127"/>
      <c r="Q189" s="76"/>
    </row>
    <row r="190" spans="11:17" x14ac:dyDescent="0.15">
      <c r="K190" s="127"/>
      <c r="Q190" s="76"/>
    </row>
    <row r="191" spans="11:17" x14ac:dyDescent="0.15">
      <c r="K191" s="127"/>
      <c r="Q191" s="76"/>
    </row>
    <row r="192" spans="11:17" x14ac:dyDescent="0.15">
      <c r="K192" s="127"/>
      <c r="Q192" s="76"/>
    </row>
    <row r="193" spans="11:17" x14ac:dyDescent="0.15">
      <c r="K193" s="127"/>
      <c r="Q193" s="76"/>
    </row>
    <row r="194" spans="11:17" x14ac:dyDescent="0.15">
      <c r="K194" s="127"/>
      <c r="Q194" s="76"/>
    </row>
    <row r="195" spans="11:17" x14ac:dyDescent="0.15">
      <c r="K195" s="127"/>
      <c r="Q195" s="76"/>
    </row>
    <row r="196" spans="11:17" x14ac:dyDescent="0.15">
      <c r="K196" s="127"/>
      <c r="Q196" s="76"/>
    </row>
    <row r="197" spans="11:17" x14ac:dyDescent="0.15">
      <c r="K197" s="127"/>
      <c r="Q197" s="76"/>
    </row>
    <row r="198" spans="11:17" x14ac:dyDescent="0.15">
      <c r="K198" s="127"/>
      <c r="Q198" s="76"/>
    </row>
    <row r="199" spans="11:17" x14ac:dyDescent="0.15">
      <c r="K199" s="127"/>
      <c r="Q199" s="76"/>
    </row>
    <row r="200" spans="11:17" x14ac:dyDescent="0.15">
      <c r="K200" s="127"/>
      <c r="Q200" s="76"/>
    </row>
    <row r="201" spans="11:17" x14ac:dyDescent="0.15">
      <c r="K201" s="127"/>
      <c r="Q201" s="76"/>
    </row>
    <row r="202" spans="11:17" x14ac:dyDescent="0.15">
      <c r="K202" s="127"/>
      <c r="Q202" s="76"/>
    </row>
    <row r="203" spans="11:17" x14ac:dyDescent="0.15">
      <c r="K203" s="127"/>
      <c r="Q203" s="76"/>
    </row>
    <row r="204" spans="11:17" x14ac:dyDescent="0.15">
      <c r="K204" s="127"/>
      <c r="Q204" s="76"/>
    </row>
    <row r="205" spans="11:17" x14ac:dyDescent="0.15">
      <c r="K205" s="127"/>
      <c r="Q205" s="76"/>
    </row>
    <row r="206" spans="11:17" x14ac:dyDescent="0.15">
      <c r="K206" s="127"/>
      <c r="Q206" s="76"/>
    </row>
    <row r="207" spans="11:17" x14ac:dyDescent="0.15">
      <c r="K207" s="127"/>
      <c r="Q207" s="76"/>
    </row>
    <row r="208" spans="11:17" x14ac:dyDescent="0.15">
      <c r="K208" s="127"/>
      <c r="Q208" s="76"/>
    </row>
    <row r="209" spans="11:17" x14ac:dyDescent="0.15">
      <c r="K209" s="127"/>
      <c r="Q209" s="76"/>
    </row>
    <row r="210" spans="11:17" x14ac:dyDescent="0.15">
      <c r="K210" s="127"/>
      <c r="Q210" s="76"/>
    </row>
    <row r="211" spans="11:17" x14ac:dyDescent="0.15">
      <c r="K211" s="127"/>
      <c r="Q211" s="76"/>
    </row>
    <row r="212" spans="11:17" x14ac:dyDescent="0.15">
      <c r="K212" s="127"/>
      <c r="Q212" s="76"/>
    </row>
    <row r="213" spans="11:17" x14ac:dyDescent="0.15">
      <c r="K213" s="127"/>
      <c r="Q213" s="76"/>
    </row>
    <row r="214" spans="11:17" x14ac:dyDescent="0.15">
      <c r="K214" s="127"/>
      <c r="Q214" s="76"/>
    </row>
    <row r="215" spans="11:17" x14ac:dyDescent="0.15">
      <c r="K215" s="127"/>
      <c r="Q215" s="76"/>
    </row>
    <row r="216" spans="11:17" x14ac:dyDescent="0.15">
      <c r="K216" s="127"/>
      <c r="Q216" s="76"/>
    </row>
    <row r="217" spans="11:17" x14ac:dyDescent="0.15">
      <c r="K217" s="127"/>
      <c r="Q217" s="76"/>
    </row>
    <row r="218" spans="11:17" x14ac:dyDescent="0.15">
      <c r="K218" s="127"/>
      <c r="Q218" s="76"/>
    </row>
    <row r="219" spans="11:17" x14ac:dyDescent="0.15">
      <c r="K219" s="127"/>
      <c r="Q219" s="76"/>
    </row>
    <row r="220" spans="11:17" x14ac:dyDescent="0.15">
      <c r="K220" s="127"/>
      <c r="Q220" s="76"/>
    </row>
    <row r="221" spans="11:17" x14ac:dyDescent="0.15">
      <c r="K221" s="127"/>
      <c r="Q221" s="76"/>
    </row>
    <row r="222" spans="11:17" x14ac:dyDescent="0.15">
      <c r="K222" s="127"/>
      <c r="Q222" s="76"/>
    </row>
    <row r="223" spans="11:17" x14ac:dyDescent="0.15">
      <c r="K223" s="127"/>
      <c r="Q223" s="76"/>
    </row>
    <row r="224" spans="11:17" x14ac:dyDescent="0.15">
      <c r="K224" s="127"/>
      <c r="Q224" s="76"/>
    </row>
    <row r="225" spans="11:17" x14ac:dyDescent="0.15">
      <c r="K225" s="127"/>
      <c r="Q225" s="76"/>
    </row>
    <row r="226" spans="11:17" x14ac:dyDescent="0.15">
      <c r="K226" s="127"/>
      <c r="Q226" s="76"/>
    </row>
    <row r="227" spans="11:17" x14ac:dyDescent="0.15">
      <c r="K227" s="127"/>
      <c r="Q227" s="76"/>
    </row>
    <row r="228" spans="11:17" x14ac:dyDescent="0.15">
      <c r="K228" s="127"/>
      <c r="Q228" s="76"/>
    </row>
    <row r="229" spans="11:17" x14ac:dyDescent="0.15">
      <c r="K229" s="127"/>
      <c r="Q229" s="76"/>
    </row>
    <row r="230" spans="11:17" x14ac:dyDescent="0.15">
      <c r="K230" s="127"/>
      <c r="Q230" s="76"/>
    </row>
    <row r="231" spans="11:17" x14ac:dyDescent="0.15">
      <c r="K231" s="127"/>
      <c r="Q231" s="76"/>
    </row>
    <row r="232" spans="11:17" x14ac:dyDescent="0.15">
      <c r="K232" s="127"/>
      <c r="Q232" s="76"/>
    </row>
    <row r="233" spans="11:17" x14ac:dyDescent="0.15">
      <c r="K233" s="127"/>
      <c r="Q233" s="76"/>
    </row>
    <row r="234" spans="11:17" x14ac:dyDescent="0.15">
      <c r="K234" s="127"/>
      <c r="Q234" s="76"/>
    </row>
    <row r="235" spans="11:17" x14ac:dyDescent="0.15">
      <c r="K235" s="127"/>
      <c r="Q235" s="76"/>
    </row>
    <row r="236" spans="11:17" x14ac:dyDescent="0.15">
      <c r="K236" s="127"/>
      <c r="Q236" s="76"/>
    </row>
    <row r="237" spans="11:17" x14ac:dyDescent="0.15">
      <c r="K237" s="127"/>
      <c r="Q237" s="76"/>
    </row>
    <row r="238" spans="11:17" x14ac:dyDescent="0.15">
      <c r="K238" s="127"/>
      <c r="Q238" s="76"/>
    </row>
    <row r="239" spans="11:17" x14ac:dyDescent="0.15">
      <c r="K239" s="127"/>
      <c r="Q239" s="76"/>
    </row>
    <row r="240" spans="11:17" x14ac:dyDescent="0.15">
      <c r="K240" s="127"/>
      <c r="Q240" s="76"/>
    </row>
    <row r="241" spans="11:17" x14ac:dyDescent="0.15">
      <c r="K241" s="127"/>
      <c r="Q241" s="76"/>
    </row>
    <row r="242" spans="11:17" x14ac:dyDescent="0.15">
      <c r="K242" s="127"/>
      <c r="Q242" s="76"/>
    </row>
    <row r="243" spans="11:17" x14ac:dyDescent="0.15">
      <c r="K243" s="127"/>
      <c r="Q243" s="76"/>
    </row>
    <row r="244" spans="11:17" x14ac:dyDescent="0.15">
      <c r="K244" s="127"/>
      <c r="Q244" s="76"/>
    </row>
    <row r="245" spans="11:17" x14ac:dyDescent="0.15">
      <c r="K245" s="127"/>
      <c r="Q245" s="76"/>
    </row>
    <row r="246" spans="11:17" x14ac:dyDescent="0.15">
      <c r="K246" s="127"/>
      <c r="Q246" s="76"/>
    </row>
    <row r="247" spans="11:17" x14ac:dyDescent="0.15">
      <c r="K247" s="127"/>
      <c r="Q247" s="76"/>
    </row>
    <row r="248" spans="11:17" x14ac:dyDescent="0.15">
      <c r="K248" s="127"/>
      <c r="Q248" s="76"/>
    </row>
    <row r="249" spans="11:17" x14ac:dyDescent="0.15">
      <c r="K249" s="127"/>
      <c r="Q249" s="76"/>
    </row>
    <row r="250" spans="11:17" x14ac:dyDescent="0.15">
      <c r="K250" s="127"/>
      <c r="Q250" s="76"/>
    </row>
    <row r="251" spans="11:17" x14ac:dyDescent="0.15">
      <c r="K251" s="127"/>
      <c r="Q251" s="76"/>
    </row>
    <row r="252" spans="11:17" x14ac:dyDescent="0.15">
      <c r="K252" s="127"/>
      <c r="Q252" s="76"/>
    </row>
    <row r="253" spans="11:17" x14ac:dyDescent="0.15">
      <c r="K253" s="127"/>
      <c r="Q253" s="76"/>
    </row>
    <row r="254" spans="11:17" x14ac:dyDescent="0.15">
      <c r="K254" s="127"/>
      <c r="Q254" s="76"/>
    </row>
    <row r="255" spans="11:17" x14ac:dyDescent="0.15">
      <c r="K255" s="127"/>
      <c r="Q255" s="76"/>
    </row>
    <row r="256" spans="11:17" x14ac:dyDescent="0.15">
      <c r="K256" s="127"/>
      <c r="Q256" s="76"/>
    </row>
    <row r="257" spans="11:17" x14ac:dyDescent="0.15">
      <c r="K257" s="127"/>
      <c r="Q257" s="76"/>
    </row>
    <row r="258" spans="11:17" x14ac:dyDescent="0.15">
      <c r="K258" s="127"/>
      <c r="Q258" s="76"/>
    </row>
    <row r="259" spans="11:17" x14ac:dyDescent="0.15">
      <c r="K259" s="127"/>
      <c r="Q259" s="76"/>
    </row>
    <row r="260" spans="11:17" x14ac:dyDescent="0.15">
      <c r="K260" s="127"/>
      <c r="Q260" s="76"/>
    </row>
    <row r="261" spans="11:17" x14ac:dyDescent="0.15">
      <c r="K261" s="127"/>
      <c r="Q261" s="76"/>
    </row>
    <row r="262" spans="11:17" x14ac:dyDescent="0.15">
      <c r="K262" s="127"/>
      <c r="Q262" s="76"/>
    </row>
    <row r="263" spans="11:17" x14ac:dyDescent="0.15">
      <c r="K263" s="127"/>
      <c r="Q263" s="76"/>
    </row>
    <row r="264" spans="11:17" x14ac:dyDescent="0.15">
      <c r="K264" s="127"/>
      <c r="Q264" s="76"/>
    </row>
    <row r="265" spans="11:17" x14ac:dyDescent="0.15">
      <c r="K265" s="127"/>
      <c r="Q265" s="76"/>
    </row>
    <row r="266" spans="11:17" x14ac:dyDescent="0.15">
      <c r="K266" s="127"/>
      <c r="Q266" s="76"/>
    </row>
    <row r="267" spans="11:17" x14ac:dyDescent="0.15">
      <c r="K267" s="127"/>
      <c r="Q267" s="76"/>
    </row>
    <row r="268" spans="11:17" x14ac:dyDescent="0.15">
      <c r="K268" s="127"/>
      <c r="Q268" s="76"/>
    </row>
    <row r="269" spans="11:17" x14ac:dyDescent="0.15">
      <c r="K269" s="127"/>
      <c r="Q269" s="76"/>
    </row>
    <row r="270" spans="11:17" x14ac:dyDescent="0.15">
      <c r="K270" s="127"/>
      <c r="Q270" s="76"/>
    </row>
    <row r="271" spans="11:17" x14ac:dyDescent="0.15">
      <c r="K271" s="127"/>
      <c r="Q271" s="76"/>
    </row>
    <row r="272" spans="11:17" x14ac:dyDescent="0.15">
      <c r="K272" s="127"/>
      <c r="Q272" s="76"/>
    </row>
    <row r="273" spans="11:17" x14ac:dyDescent="0.15">
      <c r="K273" s="127"/>
      <c r="Q273" s="76"/>
    </row>
    <row r="274" spans="11:17" x14ac:dyDescent="0.15">
      <c r="K274" s="127"/>
      <c r="Q274" s="76"/>
    </row>
    <row r="275" spans="11:17" x14ac:dyDescent="0.15">
      <c r="K275" s="127"/>
      <c r="Q275" s="76"/>
    </row>
    <row r="276" spans="11:17" x14ac:dyDescent="0.15">
      <c r="K276" s="127"/>
      <c r="Q276" s="76"/>
    </row>
    <row r="277" spans="11:17" x14ac:dyDescent="0.15">
      <c r="K277" s="127"/>
      <c r="Q277" s="76"/>
    </row>
    <row r="278" spans="11:17" x14ac:dyDescent="0.15">
      <c r="K278" s="127"/>
      <c r="Q278" s="76"/>
    </row>
    <row r="279" spans="11:17" x14ac:dyDescent="0.15">
      <c r="K279" s="127"/>
      <c r="Q279" s="76"/>
    </row>
    <row r="280" spans="11:17" x14ac:dyDescent="0.15">
      <c r="K280" s="127"/>
      <c r="Q280" s="76"/>
    </row>
    <row r="281" spans="11:17" x14ac:dyDescent="0.15">
      <c r="K281" s="127"/>
      <c r="Q281" s="76"/>
    </row>
    <row r="282" spans="11:17" x14ac:dyDescent="0.15">
      <c r="K282" s="127"/>
      <c r="Q282" s="76"/>
    </row>
    <row r="283" spans="11:17" x14ac:dyDescent="0.15">
      <c r="K283" s="127"/>
      <c r="Q283" s="76"/>
    </row>
    <row r="284" spans="11:17" x14ac:dyDescent="0.15">
      <c r="K284" s="127"/>
      <c r="Q284" s="76"/>
    </row>
    <row r="285" spans="11:17" x14ac:dyDescent="0.15">
      <c r="K285" s="127"/>
      <c r="Q285" s="76"/>
    </row>
    <row r="286" spans="11:17" x14ac:dyDescent="0.15">
      <c r="K286" s="127"/>
      <c r="Q286" s="76"/>
    </row>
    <row r="287" spans="11:17" x14ac:dyDescent="0.15">
      <c r="K287" s="127"/>
      <c r="Q287" s="76"/>
    </row>
    <row r="288" spans="11:17" x14ac:dyDescent="0.15">
      <c r="K288" s="127"/>
      <c r="Q288" s="76"/>
    </row>
    <row r="289" spans="11:17" x14ac:dyDescent="0.15">
      <c r="K289" s="127"/>
      <c r="Q289" s="76"/>
    </row>
    <row r="290" spans="11:17" x14ac:dyDescent="0.15">
      <c r="K290" s="127"/>
      <c r="Q290" s="76"/>
    </row>
    <row r="291" spans="11:17" x14ac:dyDescent="0.15">
      <c r="K291" s="127"/>
      <c r="Q291" s="76"/>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283D3CED-A945-49A2-8A05-2A7788C83AD5}">
      <formula1>$AH$2:$AH$11</formula1>
    </dataValidation>
    <dataValidation type="list" allowBlank="1" showInputMessage="1" showErrorMessage="1" sqref="E2:E491" xr:uid="{8F25F66D-2305-4DC0-A055-F7DDA1CDC477}">
      <formula1>$AG$2:$AG$11</formula1>
    </dataValidation>
    <dataValidation type="decimal" allowBlank="1" showInputMessage="1" showErrorMessage="1" error="硬度を正しく入力して下さい。" sqref="O2:P491" xr:uid="{E677C83C-C12A-409F-88F7-B0833FB016A1}">
      <formula1>0</formula1>
      <formula2>7</formula2>
    </dataValidation>
    <dataValidation type="list" allowBlank="1" showInputMessage="1" showErrorMessage="1" sqref="Y2:AA491" xr:uid="{14548384-DA64-4D6A-A226-80FE0BE59B7F}">
      <formula1>$AV$2:$AV$21</formula1>
    </dataValidation>
    <dataValidation type="list" allowBlank="1" showInputMessage="1" showErrorMessage="1" sqref="K444:K491" xr:uid="{22513A6A-F144-4FB5-9883-AC5E493979AB}">
      <formula1>$AR$2:$AR$25</formula1>
    </dataValidation>
    <dataValidation type="list" allowBlank="1" showInputMessage="1" showErrorMessage="1" sqref="I2:I491" xr:uid="{913BBFDD-948D-4C42-88F3-532B0A1EBE60}">
      <formula1>$AN$5:$AN$6</formula1>
    </dataValidation>
    <dataValidation type="list" allowBlank="1" showInputMessage="1" showErrorMessage="1" sqref="H2:H491" xr:uid="{B506183C-B7DF-49F2-A242-DDCE15D74644}">
      <formula1>$AL$2:$AL$8</formula1>
    </dataValidation>
    <dataValidation type="list" allowBlank="1" showInputMessage="1" showErrorMessage="1" sqref="A2:A491" xr:uid="{B04A3406-A481-4980-82B0-014230B40787}">
      <formula1>$AE$2:$AE$19</formula1>
    </dataValidation>
    <dataValidation type="list" allowBlank="1" showInputMessage="1" showErrorMessage="1" sqref="X2:X491" xr:uid="{11CBEDC2-3F6C-4425-AB4E-5499CD108E6F}">
      <formula1>$AT$2:$AT$3</formula1>
    </dataValidation>
    <dataValidation type="list" allowBlank="1" showInputMessage="1" showErrorMessage="1" sqref="G2:G491" xr:uid="{17DE13E9-79EB-4A14-922D-D794CB92FCA7}">
      <formula1>$AJ$2:$AJ$4</formula1>
    </dataValidation>
    <dataValidation type="list" allowBlank="1" showInputMessage="1" showErrorMessage="1" sqref="J2:J491" xr:uid="{A60E8A26-97CD-4B38-B7C4-39D7EA191659}">
      <formula1>$AP$2:$AP$27</formula1>
    </dataValidation>
    <dataValidation operator="equal" allowBlank="1" showInputMessage="1" showErrorMessage="1" sqref="B2:B47" xr:uid="{209F21CB-2DA8-4D76-B89D-E9BF09B8CB98}"/>
    <dataValidation type="list" allowBlank="1" showInputMessage="1" showErrorMessage="1" sqref="F492:F64242" xr:uid="{2FD8BF63-F031-4372-8AFD-A83E6C2BBC8F}">
      <formula1>$AH$2:$AH$8</formula1>
    </dataValidation>
    <dataValidation type="list" allowBlank="1" showInputMessage="1" showErrorMessage="1" sqref="E492:E64242" xr:uid="{B801A260-8EFD-49E3-9219-50EE1AEB0B2B}">
      <formula1>$AG$2:$AG$9</formula1>
    </dataValidation>
    <dataValidation type="list" allowBlank="1" showInputMessage="1" showErrorMessage="1" sqref="H492:H64242" xr:uid="{96A3D623-FB78-4872-B41A-70F864AA3A29}">
      <formula1>$AL$2:$AL$10</formula1>
    </dataValidation>
    <dataValidation type="list" allowBlank="1" showInputMessage="1" showErrorMessage="1" sqref="K492:K64242" xr:uid="{129CEE65-0CE1-43DB-9E94-DBFF1D9F1ECC}">
      <formula1>$AR$2:$AR$28</formula1>
    </dataValidation>
    <dataValidation type="list" allowBlank="1" showInputMessage="1" showErrorMessage="1" sqref="Y492:AA64242" xr:uid="{718562DF-3D31-4FB4-A910-3D65D6AFD659}">
      <formula1>$AV$2:$AV$26</formula1>
    </dataValidation>
    <dataValidation type="list" allowBlank="1" showInputMessage="1" showErrorMessage="1" sqref="I492:I64242" xr:uid="{F3AA2358-0FD2-4382-9A70-00343205A52A}">
      <formula1>$AN$2:$AN$6</formula1>
    </dataValidation>
    <dataValidation type="list" allowBlank="1" showInputMessage="1" showErrorMessage="1" sqref="J492:J64242" xr:uid="{5E30FAF8-6A97-4527-B1EE-F62FE1A728B9}">
      <formula1>$AP$2:$AP$16</formula1>
    </dataValidation>
    <dataValidation type="list" allowBlank="1" showInputMessage="1" showErrorMessage="1" sqref="K2:K443" xr:uid="{AF4A0831-B427-452C-897D-48D7CF64E444}">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6E0E6-4DC6-40DF-9FF0-E45B56FBD8A8}">
  <dimension ref="A1:BA149"/>
  <sheetViews>
    <sheetView zoomScale="85" zoomScaleNormal="85" workbookViewId="0">
      <pane ySplit="1" topLeftCell="A2" activePane="bottomLeft" state="frozen"/>
      <selection pane="bottomLeft" activeCell="I49" sqref="I49"/>
    </sheetView>
  </sheetViews>
  <sheetFormatPr defaultRowHeight="13.5" x14ac:dyDescent="0.15"/>
  <cols>
    <col min="1" max="1" width="9" style="53"/>
    <col min="2" max="2" width="5" style="53" customWidth="1"/>
    <col min="3" max="3" width="6.5" style="53" customWidth="1"/>
    <col min="4" max="4" width="8.625" style="53"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316</v>
      </c>
      <c r="V1" s="5" t="s">
        <v>20</v>
      </c>
      <c r="W1" s="56" t="s">
        <v>21</v>
      </c>
      <c r="X1" s="45" t="s">
        <v>22</v>
      </c>
      <c r="Y1" s="45" t="s">
        <v>23</v>
      </c>
      <c r="Z1" s="45" t="s">
        <v>372</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235</v>
      </c>
      <c r="C2" s="53">
        <v>2019</v>
      </c>
      <c r="D2" s="176" t="s">
        <v>314</v>
      </c>
      <c r="E2" s="53" t="s">
        <v>373</v>
      </c>
      <c r="F2" s="53" t="s">
        <v>374</v>
      </c>
      <c r="G2" s="53" t="s">
        <v>36</v>
      </c>
      <c r="H2" s="53" t="s">
        <v>163</v>
      </c>
      <c r="I2" s="53" t="s">
        <v>159</v>
      </c>
      <c r="J2" s="53" t="s">
        <v>38</v>
      </c>
      <c r="K2" s="53" t="s">
        <v>160</v>
      </c>
      <c r="L2" s="53">
        <v>1</v>
      </c>
      <c r="N2" s="53">
        <v>1</v>
      </c>
      <c r="O2" s="53">
        <v>0.45</v>
      </c>
      <c r="P2" s="53">
        <v>0.6</v>
      </c>
      <c r="Q2" s="76">
        <f t="shared" ref="Q2:Q33" si="0">IF(OR(O2="",P2=""),"",AVERAGE(O2,P2))</f>
        <v>0.52500000000000002</v>
      </c>
      <c r="R2" s="53">
        <v>16.2</v>
      </c>
      <c r="S2" s="53">
        <v>112</v>
      </c>
      <c r="T2" s="16">
        <f t="shared" ref="T2:T40" si="1">IF(H2="","",IF(OR(H2="GREEN",H2="GK"),IF(S2&gt;=$AX$2,VLOOKUP(S2,$AX$2:$AY$9,2,1),""),IF(S2&gt;=$AZ$2,VLOOKUP(S2,$AZ$2:$BA$9,2,1),"")))</f>
        <v>33</v>
      </c>
      <c r="U2" s="53">
        <v>103</v>
      </c>
      <c r="V2" s="16">
        <f t="shared" ref="V2:V40" si="2">IF(OR(N2="",U2="",T2=""),"",U2/N2*T2)</f>
        <v>3399</v>
      </c>
      <c r="W2" s="53">
        <v>1</v>
      </c>
      <c r="X2" s="53" t="s">
        <v>46</v>
      </c>
      <c r="Y2" s="53" t="s">
        <v>84</v>
      </c>
      <c r="Z2" s="53" t="s">
        <v>90</v>
      </c>
      <c r="AA2" s="53" t="s">
        <v>69</v>
      </c>
      <c r="AB2" s="53" t="s">
        <v>239</v>
      </c>
      <c r="AE2" s="64" t="s">
        <v>35</v>
      </c>
      <c r="AG2" s="177" t="s">
        <v>365</v>
      </c>
      <c r="AH2" s="67" t="s">
        <v>375</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235</v>
      </c>
      <c r="C3" s="53">
        <v>2019</v>
      </c>
      <c r="D3" s="176" t="s">
        <v>314</v>
      </c>
      <c r="E3" s="53" t="s">
        <v>373</v>
      </c>
      <c r="F3" s="53" t="s">
        <v>374</v>
      </c>
      <c r="G3" s="53" t="s">
        <v>36</v>
      </c>
      <c r="H3" s="53" t="s">
        <v>163</v>
      </c>
      <c r="I3" s="53" t="s">
        <v>159</v>
      </c>
      <c r="J3" s="53" t="s">
        <v>38</v>
      </c>
      <c r="K3" s="53" t="s">
        <v>160</v>
      </c>
      <c r="L3" s="53">
        <v>2</v>
      </c>
      <c r="N3" s="53">
        <v>1</v>
      </c>
      <c r="O3" s="53">
        <v>0.75</v>
      </c>
      <c r="P3" s="53">
        <v>0.75</v>
      </c>
      <c r="Q3" s="76">
        <f t="shared" si="0"/>
        <v>0.75</v>
      </c>
      <c r="R3" s="53">
        <v>16.7</v>
      </c>
      <c r="S3" s="53">
        <v>100</v>
      </c>
      <c r="T3" s="16">
        <f t="shared" si="1"/>
        <v>33</v>
      </c>
      <c r="U3" s="53">
        <v>103</v>
      </c>
      <c r="V3" s="16">
        <f t="shared" si="2"/>
        <v>3399</v>
      </c>
      <c r="W3" s="53">
        <v>1</v>
      </c>
      <c r="X3" s="53" t="s">
        <v>46</v>
      </c>
      <c r="Y3" s="53" t="s">
        <v>84</v>
      </c>
      <c r="Z3" s="53" t="s">
        <v>90</v>
      </c>
      <c r="AA3" s="53" t="s">
        <v>69</v>
      </c>
      <c r="AB3" s="53" t="s">
        <v>239</v>
      </c>
      <c r="AE3" s="22" t="s">
        <v>41</v>
      </c>
      <c r="AG3" s="178" t="s">
        <v>376</v>
      </c>
      <c r="AH3" s="67" t="s">
        <v>377</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235</v>
      </c>
      <c r="C4" s="53">
        <v>2019</v>
      </c>
      <c r="D4" s="176" t="s">
        <v>313</v>
      </c>
      <c r="E4" s="53" t="s">
        <v>373</v>
      </c>
      <c r="F4" s="53" t="s">
        <v>374</v>
      </c>
      <c r="G4" s="53" t="s">
        <v>36</v>
      </c>
      <c r="H4" s="53" t="s">
        <v>163</v>
      </c>
      <c r="I4" s="53" t="s">
        <v>159</v>
      </c>
      <c r="J4" s="53" t="s">
        <v>38</v>
      </c>
      <c r="K4" s="53" t="s">
        <v>160</v>
      </c>
      <c r="L4" s="53">
        <v>3</v>
      </c>
      <c r="N4" s="53">
        <v>1</v>
      </c>
      <c r="O4" s="53">
        <v>0.65</v>
      </c>
      <c r="P4" s="53">
        <v>0.65</v>
      </c>
      <c r="Q4" s="76">
        <f t="shared" si="0"/>
        <v>0.65</v>
      </c>
      <c r="R4" s="53">
        <v>14.1</v>
      </c>
      <c r="S4" s="53">
        <v>106</v>
      </c>
      <c r="T4" s="16">
        <f t="shared" si="1"/>
        <v>33</v>
      </c>
      <c r="U4" s="53">
        <v>103</v>
      </c>
      <c r="V4" s="16">
        <f t="shared" si="2"/>
        <v>3399</v>
      </c>
      <c r="W4" s="53">
        <v>1</v>
      </c>
      <c r="X4" s="53" t="s">
        <v>46</v>
      </c>
      <c r="Y4" s="53" t="s">
        <v>84</v>
      </c>
      <c r="Z4" s="53" t="s">
        <v>90</v>
      </c>
      <c r="AA4" s="53" t="s">
        <v>69</v>
      </c>
      <c r="AB4" s="53" t="s">
        <v>239</v>
      </c>
      <c r="AE4" s="22" t="s">
        <v>34</v>
      </c>
      <c r="AG4" s="178" t="s">
        <v>378</v>
      </c>
      <c r="AH4" s="67" t="s">
        <v>379</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235</v>
      </c>
      <c r="C5" s="53">
        <v>2019</v>
      </c>
      <c r="D5" s="176" t="s">
        <v>313</v>
      </c>
      <c r="E5" s="53" t="s">
        <v>213</v>
      </c>
      <c r="F5" s="53" t="s">
        <v>380</v>
      </c>
      <c r="G5" s="53" t="s">
        <v>36</v>
      </c>
      <c r="H5" s="53" t="s">
        <v>163</v>
      </c>
      <c r="I5" s="53" t="s">
        <v>159</v>
      </c>
      <c r="J5" s="53" t="s">
        <v>38</v>
      </c>
      <c r="K5" s="53" t="s">
        <v>160</v>
      </c>
      <c r="L5" s="53">
        <v>1</v>
      </c>
      <c r="N5" s="53">
        <v>3</v>
      </c>
      <c r="O5" s="53">
        <v>0.6</v>
      </c>
      <c r="P5" s="53">
        <v>0.5</v>
      </c>
      <c r="Q5" s="76">
        <f t="shared" si="0"/>
        <v>0.55000000000000004</v>
      </c>
      <c r="R5" s="53">
        <v>14</v>
      </c>
      <c r="S5" s="53">
        <v>124</v>
      </c>
      <c r="T5" s="16">
        <f t="shared" si="1"/>
        <v>30</v>
      </c>
      <c r="U5" s="53">
        <v>104</v>
      </c>
      <c r="V5" s="16">
        <f t="shared" si="2"/>
        <v>1040</v>
      </c>
      <c r="W5" s="53">
        <v>3</v>
      </c>
      <c r="X5" s="53" t="s">
        <v>39</v>
      </c>
      <c r="Y5" s="53" t="s">
        <v>84</v>
      </c>
      <c r="Z5" s="53" t="s">
        <v>40</v>
      </c>
      <c r="AA5" s="53" t="s">
        <v>55</v>
      </c>
      <c r="AB5" s="53" t="s">
        <v>239</v>
      </c>
      <c r="AE5" s="22" t="s">
        <v>51</v>
      </c>
      <c r="AG5" s="178" t="s">
        <v>381</v>
      </c>
      <c r="AH5" s="67" t="s">
        <v>382</v>
      </c>
      <c r="AJ5" s="28"/>
      <c r="AL5" s="73" t="s">
        <v>66</v>
      </c>
      <c r="AN5" s="73" t="s">
        <v>52</v>
      </c>
      <c r="AP5" s="23" t="s">
        <v>119</v>
      </c>
      <c r="AR5" s="23" t="s">
        <v>54</v>
      </c>
      <c r="AV5" s="23" t="s">
        <v>55</v>
      </c>
      <c r="AX5" s="24">
        <v>84</v>
      </c>
      <c r="AY5" s="25">
        <v>39</v>
      </c>
      <c r="AZ5" s="25">
        <v>84</v>
      </c>
      <c r="BA5" s="26">
        <v>36</v>
      </c>
    </row>
    <row r="6" spans="1:53" x14ac:dyDescent="0.15">
      <c r="A6" s="53" t="s">
        <v>34</v>
      </c>
      <c r="B6" s="53" t="s">
        <v>235</v>
      </c>
      <c r="C6" s="53">
        <v>2019</v>
      </c>
      <c r="D6" s="176" t="s">
        <v>313</v>
      </c>
      <c r="E6" s="53" t="s">
        <v>213</v>
      </c>
      <c r="F6" s="53" t="s">
        <v>380</v>
      </c>
      <c r="G6" s="53" t="s">
        <v>36</v>
      </c>
      <c r="H6" s="53" t="s">
        <v>163</v>
      </c>
      <c r="I6" s="53" t="s">
        <v>159</v>
      </c>
      <c r="J6" s="53" t="s">
        <v>38</v>
      </c>
      <c r="K6" s="53" t="s">
        <v>160</v>
      </c>
      <c r="L6" s="53">
        <v>2</v>
      </c>
      <c r="N6" s="53">
        <v>3</v>
      </c>
      <c r="O6" s="53">
        <v>0.2</v>
      </c>
      <c r="P6" s="53">
        <v>0.2</v>
      </c>
      <c r="Q6" s="76">
        <f t="shared" si="0"/>
        <v>0.2</v>
      </c>
      <c r="R6" s="53">
        <v>14.1</v>
      </c>
      <c r="S6" s="53">
        <v>118</v>
      </c>
      <c r="T6" s="16">
        <f t="shared" si="1"/>
        <v>30</v>
      </c>
      <c r="U6" s="53">
        <v>104</v>
      </c>
      <c r="V6" s="16">
        <f t="shared" si="2"/>
        <v>1040</v>
      </c>
      <c r="W6" s="53">
        <v>3</v>
      </c>
      <c r="X6" s="53" t="s">
        <v>39</v>
      </c>
      <c r="Y6" s="53" t="s">
        <v>84</v>
      </c>
      <c r="Z6" s="53" t="s">
        <v>40</v>
      </c>
      <c r="AA6" s="53" t="s">
        <v>55</v>
      </c>
      <c r="AB6" s="53" t="s">
        <v>239</v>
      </c>
      <c r="AE6" s="22" t="s">
        <v>56</v>
      </c>
      <c r="AG6" s="178" t="s">
        <v>383</v>
      </c>
      <c r="AH6" s="67" t="s">
        <v>384</v>
      </c>
      <c r="AL6" s="73" t="s">
        <v>99</v>
      </c>
      <c r="AN6" s="73" t="s">
        <v>57</v>
      </c>
      <c r="AP6" s="23" t="s">
        <v>53</v>
      </c>
      <c r="AR6" s="23" t="s">
        <v>59</v>
      </c>
      <c r="AV6" s="23" t="s">
        <v>60</v>
      </c>
      <c r="AX6" s="24">
        <v>97</v>
      </c>
      <c r="AY6" s="25">
        <v>36</v>
      </c>
      <c r="AZ6" s="25">
        <v>99</v>
      </c>
      <c r="BA6" s="26">
        <v>33</v>
      </c>
    </row>
    <row r="7" spans="1:53" x14ac:dyDescent="0.15">
      <c r="A7" s="53" t="s">
        <v>34</v>
      </c>
      <c r="B7" s="53" t="s">
        <v>235</v>
      </c>
      <c r="C7" s="53">
        <v>2019</v>
      </c>
      <c r="D7" s="176" t="s">
        <v>313</v>
      </c>
      <c r="E7" s="53" t="s">
        <v>213</v>
      </c>
      <c r="F7" s="53" t="s">
        <v>380</v>
      </c>
      <c r="G7" s="53" t="s">
        <v>36</v>
      </c>
      <c r="H7" s="53" t="s">
        <v>163</v>
      </c>
      <c r="I7" s="53" t="s">
        <v>159</v>
      </c>
      <c r="J7" s="53" t="s">
        <v>38</v>
      </c>
      <c r="K7" s="53" t="s">
        <v>160</v>
      </c>
      <c r="L7" s="53">
        <v>3</v>
      </c>
      <c r="N7" s="53">
        <v>3</v>
      </c>
      <c r="O7" s="53">
        <v>0.2</v>
      </c>
      <c r="P7" s="53">
        <v>0.2</v>
      </c>
      <c r="Q7" s="76">
        <f t="shared" si="0"/>
        <v>0.2</v>
      </c>
      <c r="R7" s="53">
        <v>14.4</v>
      </c>
      <c r="S7" s="53">
        <v>122</v>
      </c>
      <c r="T7" s="16">
        <f t="shared" si="1"/>
        <v>30</v>
      </c>
      <c r="U7" s="53">
        <v>104</v>
      </c>
      <c r="V7" s="16">
        <f t="shared" si="2"/>
        <v>1040</v>
      </c>
      <c r="W7" s="53">
        <v>3</v>
      </c>
      <c r="X7" s="53" t="s">
        <v>39</v>
      </c>
      <c r="Y7" s="53" t="s">
        <v>84</v>
      </c>
      <c r="Z7" s="53" t="s">
        <v>40</v>
      </c>
      <c r="AA7" s="53" t="s">
        <v>55</v>
      </c>
      <c r="AB7" s="53" t="s">
        <v>239</v>
      </c>
      <c r="AE7" s="22" t="s">
        <v>61</v>
      </c>
      <c r="AG7" s="178" t="s">
        <v>272</v>
      </c>
      <c r="AH7" s="67" t="s">
        <v>385</v>
      </c>
      <c r="AL7" s="34" t="s">
        <v>109</v>
      </c>
      <c r="AP7" s="23" t="s">
        <v>58</v>
      </c>
      <c r="AR7" s="23" t="s">
        <v>122</v>
      </c>
      <c r="AV7" s="23" t="s">
        <v>64</v>
      </c>
      <c r="AX7" s="24">
        <v>109</v>
      </c>
      <c r="AY7" s="25">
        <v>33</v>
      </c>
      <c r="AZ7" s="25">
        <v>113</v>
      </c>
      <c r="BA7" s="26">
        <v>30</v>
      </c>
    </row>
    <row r="8" spans="1:53" x14ac:dyDescent="0.15">
      <c r="A8" s="53" t="s">
        <v>34</v>
      </c>
      <c r="B8" s="53" t="s">
        <v>235</v>
      </c>
      <c r="C8" s="53">
        <v>2019</v>
      </c>
      <c r="D8" s="176" t="s">
        <v>313</v>
      </c>
      <c r="E8" s="53" t="s">
        <v>213</v>
      </c>
      <c r="F8" s="53" t="s">
        <v>380</v>
      </c>
      <c r="G8" s="53" t="s">
        <v>36</v>
      </c>
      <c r="H8" s="53" t="s">
        <v>163</v>
      </c>
      <c r="I8" s="53" t="s">
        <v>159</v>
      </c>
      <c r="J8" s="53" t="s">
        <v>38</v>
      </c>
      <c r="K8" s="53" t="s">
        <v>160</v>
      </c>
      <c r="L8" s="53">
        <v>1</v>
      </c>
      <c r="N8" s="53">
        <v>3</v>
      </c>
      <c r="O8" s="53">
        <v>0.7</v>
      </c>
      <c r="P8" s="53">
        <v>0.7</v>
      </c>
      <c r="Q8" s="76">
        <f t="shared" si="0"/>
        <v>0.7</v>
      </c>
      <c r="R8" s="53">
        <v>14</v>
      </c>
      <c r="S8" s="53">
        <v>99</v>
      </c>
      <c r="T8" s="16">
        <f t="shared" si="1"/>
        <v>33</v>
      </c>
      <c r="U8" s="53">
        <v>407</v>
      </c>
      <c r="V8" s="16">
        <f t="shared" si="2"/>
        <v>4477</v>
      </c>
      <c r="W8" s="53">
        <v>3</v>
      </c>
      <c r="X8" s="53" t="s">
        <v>39</v>
      </c>
      <c r="Y8" s="53" t="s">
        <v>84</v>
      </c>
      <c r="Z8" s="53" t="s">
        <v>40</v>
      </c>
      <c r="AA8" s="53" t="s">
        <v>55</v>
      </c>
      <c r="AB8" s="53" t="s">
        <v>239</v>
      </c>
      <c r="AE8" s="22" t="s">
        <v>59</v>
      </c>
      <c r="AG8" s="178" t="s">
        <v>386</v>
      </c>
      <c r="AH8" s="67" t="s">
        <v>387</v>
      </c>
      <c r="AL8" s="34" t="s">
        <v>134</v>
      </c>
      <c r="AP8" s="23" t="s">
        <v>62</v>
      </c>
      <c r="AR8" s="23" t="s">
        <v>81</v>
      </c>
      <c r="AV8" s="23" t="s">
        <v>97</v>
      </c>
      <c r="AX8" s="24">
        <v>151</v>
      </c>
      <c r="AY8" s="25">
        <v>22</v>
      </c>
      <c r="AZ8" s="25">
        <v>152</v>
      </c>
      <c r="BA8" s="26">
        <v>18</v>
      </c>
    </row>
    <row r="9" spans="1:53" x14ac:dyDescent="0.15">
      <c r="A9" s="53" t="s">
        <v>34</v>
      </c>
      <c r="B9" s="53" t="s">
        <v>235</v>
      </c>
      <c r="C9" s="53">
        <v>2019</v>
      </c>
      <c r="D9" s="176" t="s">
        <v>313</v>
      </c>
      <c r="E9" s="53" t="s">
        <v>213</v>
      </c>
      <c r="F9" s="53" t="s">
        <v>380</v>
      </c>
      <c r="G9" s="53" t="s">
        <v>36</v>
      </c>
      <c r="H9" s="53" t="s">
        <v>163</v>
      </c>
      <c r="I9" s="53" t="s">
        <v>159</v>
      </c>
      <c r="J9" s="53" t="s">
        <v>38</v>
      </c>
      <c r="K9" s="53" t="s">
        <v>160</v>
      </c>
      <c r="L9" s="53">
        <v>2</v>
      </c>
      <c r="N9" s="53">
        <v>3</v>
      </c>
      <c r="O9" s="53">
        <v>0.75</v>
      </c>
      <c r="P9" s="53">
        <v>0.75</v>
      </c>
      <c r="Q9" s="76">
        <f t="shared" si="0"/>
        <v>0.75</v>
      </c>
      <c r="R9" s="53">
        <v>14.1</v>
      </c>
      <c r="S9" s="53">
        <v>104</v>
      </c>
      <c r="T9" s="16">
        <f t="shared" si="1"/>
        <v>33</v>
      </c>
      <c r="U9" s="53">
        <v>407</v>
      </c>
      <c r="V9" s="16">
        <f t="shared" si="2"/>
        <v>4477</v>
      </c>
      <c r="W9" s="53">
        <v>3</v>
      </c>
      <c r="X9" s="53" t="s">
        <v>39</v>
      </c>
      <c r="Y9" s="53" t="s">
        <v>84</v>
      </c>
      <c r="Z9" s="53" t="s">
        <v>40</v>
      </c>
      <c r="AA9" s="53" t="s">
        <v>55</v>
      </c>
      <c r="AB9" s="53" t="s">
        <v>239</v>
      </c>
      <c r="AE9" s="22" t="s">
        <v>98</v>
      </c>
      <c r="AG9" s="178" t="s">
        <v>388</v>
      </c>
      <c r="AH9" s="67" t="s">
        <v>389</v>
      </c>
      <c r="AL9" s="73"/>
      <c r="AP9" s="23" t="s">
        <v>95</v>
      </c>
      <c r="AR9" s="23" t="s">
        <v>89</v>
      </c>
      <c r="AV9" s="23" t="s">
        <v>102</v>
      </c>
      <c r="AX9" s="31">
        <v>180</v>
      </c>
      <c r="AY9" s="32">
        <v>18</v>
      </c>
      <c r="AZ9" s="32">
        <v>181</v>
      </c>
      <c r="BA9" s="33">
        <v>16</v>
      </c>
    </row>
    <row r="10" spans="1:53" x14ac:dyDescent="0.15">
      <c r="A10" s="53" t="s">
        <v>34</v>
      </c>
      <c r="B10" s="53" t="s">
        <v>235</v>
      </c>
      <c r="C10" s="53">
        <v>2019</v>
      </c>
      <c r="D10" s="176" t="s">
        <v>313</v>
      </c>
      <c r="E10" s="53" t="s">
        <v>213</v>
      </c>
      <c r="F10" s="53" t="s">
        <v>380</v>
      </c>
      <c r="G10" s="53" t="s">
        <v>36</v>
      </c>
      <c r="H10" s="53" t="s">
        <v>163</v>
      </c>
      <c r="I10" s="53" t="s">
        <v>159</v>
      </c>
      <c r="J10" s="53" t="s">
        <v>38</v>
      </c>
      <c r="K10" s="53" t="s">
        <v>160</v>
      </c>
      <c r="L10" s="53">
        <v>3</v>
      </c>
      <c r="N10" s="53">
        <v>3</v>
      </c>
      <c r="O10" s="53">
        <v>0.9</v>
      </c>
      <c r="P10" s="53">
        <v>0.85</v>
      </c>
      <c r="Q10" s="76">
        <f t="shared" si="0"/>
        <v>0.875</v>
      </c>
      <c r="R10" s="53">
        <v>13.8</v>
      </c>
      <c r="S10" s="53">
        <v>104</v>
      </c>
      <c r="T10" s="16">
        <f t="shared" si="1"/>
        <v>33</v>
      </c>
      <c r="U10" s="53">
        <v>407</v>
      </c>
      <c r="V10" s="16">
        <f t="shared" si="2"/>
        <v>4477</v>
      </c>
      <c r="W10" s="53">
        <v>3</v>
      </c>
      <c r="X10" s="53" t="s">
        <v>39</v>
      </c>
      <c r="Y10" s="53" t="s">
        <v>84</v>
      </c>
      <c r="Z10" s="53" t="s">
        <v>40</v>
      </c>
      <c r="AA10" s="53" t="s">
        <v>55</v>
      </c>
      <c r="AB10" s="53" t="s">
        <v>239</v>
      </c>
      <c r="AE10" s="22" t="s">
        <v>103</v>
      </c>
      <c r="AG10" s="178" t="s">
        <v>373</v>
      </c>
      <c r="AH10" s="67" t="s">
        <v>374</v>
      </c>
      <c r="AL10" s="34"/>
      <c r="AP10" s="23" t="s">
        <v>100</v>
      </c>
      <c r="AR10" s="23" t="s">
        <v>123</v>
      </c>
      <c r="AV10" s="23" t="s">
        <v>106</v>
      </c>
    </row>
    <row r="11" spans="1:53" x14ac:dyDescent="0.15">
      <c r="A11" s="53" t="s">
        <v>34</v>
      </c>
      <c r="B11" s="53" t="s">
        <v>235</v>
      </c>
      <c r="C11" s="53">
        <v>2019</v>
      </c>
      <c r="D11" s="176" t="s">
        <v>313</v>
      </c>
      <c r="E11" s="53" t="s">
        <v>378</v>
      </c>
      <c r="F11" s="53" t="s">
        <v>379</v>
      </c>
      <c r="G11" s="53" t="s">
        <v>36</v>
      </c>
      <c r="H11" s="53" t="s">
        <v>163</v>
      </c>
      <c r="I11" s="53" t="s">
        <v>159</v>
      </c>
      <c r="J11" s="53" t="s">
        <v>38</v>
      </c>
      <c r="K11" s="53" t="s">
        <v>160</v>
      </c>
      <c r="L11" s="53">
        <v>1</v>
      </c>
      <c r="N11" s="53">
        <v>1</v>
      </c>
      <c r="O11" s="53">
        <v>0.2</v>
      </c>
      <c r="P11" s="53">
        <v>0.2</v>
      </c>
      <c r="Q11" s="76">
        <f t="shared" si="0"/>
        <v>0.2</v>
      </c>
      <c r="R11" s="53">
        <v>14.1</v>
      </c>
      <c r="S11" s="53">
        <v>102</v>
      </c>
      <c r="T11" s="16">
        <f t="shared" si="1"/>
        <v>33</v>
      </c>
      <c r="U11" s="53">
        <v>108</v>
      </c>
      <c r="V11" s="16">
        <f t="shared" si="2"/>
        <v>3564</v>
      </c>
      <c r="W11" s="53">
        <v>1</v>
      </c>
      <c r="X11" s="53" t="s">
        <v>39</v>
      </c>
      <c r="Y11" s="53" t="s">
        <v>84</v>
      </c>
      <c r="Z11" s="53" t="s">
        <v>40</v>
      </c>
      <c r="AA11" s="53" t="s">
        <v>90</v>
      </c>
      <c r="AB11" s="53" t="s">
        <v>239</v>
      </c>
      <c r="AE11" s="22" t="s">
        <v>65</v>
      </c>
      <c r="AG11" s="178" t="s">
        <v>213</v>
      </c>
      <c r="AH11" s="67" t="s">
        <v>380</v>
      </c>
      <c r="AL11" s="34"/>
      <c r="AP11" s="23" t="s">
        <v>104</v>
      </c>
      <c r="AR11" s="23" t="s">
        <v>87</v>
      </c>
      <c r="AV11" s="23" t="s">
        <v>69</v>
      </c>
    </row>
    <row r="12" spans="1:53" x14ac:dyDescent="0.15">
      <c r="A12" s="53" t="s">
        <v>34</v>
      </c>
      <c r="B12" s="53" t="s">
        <v>235</v>
      </c>
      <c r="C12" s="53">
        <v>2019</v>
      </c>
      <c r="D12" s="176" t="s">
        <v>313</v>
      </c>
      <c r="E12" s="53" t="s">
        <v>378</v>
      </c>
      <c r="F12" s="53" t="s">
        <v>379</v>
      </c>
      <c r="G12" s="53" t="s">
        <v>36</v>
      </c>
      <c r="H12" s="53" t="s">
        <v>163</v>
      </c>
      <c r="I12" s="53" t="s">
        <v>159</v>
      </c>
      <c r="J12" s="53" t="s">
        <v>38</v>
      </c>
      <c r="K12" s="53" t="s">
        <v>160</v>
      </c>
      <c r="L12" s="53">
        <v>2</v>
      </c>
      <c r="N12" s="53">
        <v>1</v>
      </c>
      <c r="O12" s="53">
        <v>0.85</v>
      </c>
      <c r="P12" s="53">
        <v>1.1499999999999999</v>
      </c>
      <c r="Q12" s="76">
        <f t="shared" si="0"/>
        <v>1</v>
      </c>
      <c r="R12" s="53">
        <v>13.6</v>
      </c>
      <c r="S12" s="53">
        <v>100</v>
      </c>
      <c r="T12" s="16">
        <f t="shared" si="1"/>
        <v>33</v>
      </c>
      <c r="U12" s="53">
        <v>108</v>
      </c>
      <c r="V12" s="16">
        <f t="shared" si="2"/>
        <v>3564</v>
      </c>
      <c r="W12" s="53">
        <v>1</v>
      </c>
      <c r="X12" s="53" t="s">
        <v>39</v>
      </c>
      <c r="Y12" s="53" t="s">
        <v>84</v>
      </c>
      <c r="Z12" s="53" t="s">
        <v>40</v>
      </c>
      <c r="AA12" s="53" t="s">
        <v>90</v>
      </c>
      <c r="AB12" s="53" t="s">
        <v>239</v>
      </c>
      <c r="AE12" s="22" t="s">
        <v>70</v>
      </c>
      <c r="AG12" s="28"/>
      <c r="AH12" s="23"/>
      <c r="AL12" s="34"/>
      <c r="AP12" s="23" t="s">
        <v>67</v>
      </c>
      <c r="AR12" s="23" t="s">
        <v>124</v>
      </c>
      <c r="AV12" s="23" t="s">
        <v>72</v>
      </c>
    </row>
    <row r="13" spans="1:53" x14ac:dyDescent="0.15">
      <c r="A13" s="53" t="s">
        <v>34</v>
      </c>
      <c r="B13" s="53" t="s">
        <v>235</v>
      </c>
      <c r="C13" s="53">
        <v>2019</v>
      </c>
      <c r="D13" s="176" t="s">
        <v>313</v>
      </c>
      <c r="E13" s="53" t="s">
        <v>378</v>
      </c>
      <c r="F13" s="53" t="s">
        <v>379</v>
      </c>
      <c r="G13" s="53" t="s">
        <v>36</v>
      </c>
      <c r="H13" s="53" t="s">
        <v>163</v>
      </c>
      <c r="I13" s="53" t="s">
        <v>159</v>
      </c>
      <c r="J13" s="53" t="s">
        <v>38</v>
      </c>
      <c r="K13" s="53" t="s">
        <v>160</v>
      </c>
      <c r="L13" s="53">
        <v>3</v>
      </c>
      <c r="N13" s="53">
        <v>1</v>
      </c>
      <c r="O13" s="53">
        <v>1.2</v>
      </c>
      <c r="P13" s="53">
        <v>0.95</v>
      </c>
      <c r="Q13" s="76">
        <f t="shared" si="0"/>
        <v>1.075</v>
      </c>
      <c r="R13" s="53">
        <v>14</v>
      </c>
      <c r="S13" s="53">
        <v>109</v>
      </c>
      <c r="T13" s="16">
        <f t="shared" si="1"/>
        <v>33</v>
      </c>
      <c r="U13" s="53">
        <v>108</v>
      </c>
      <c r="V13" s="16">
        <f t="shared" si="2"/>
        <v>3564</v>
      </c>
      <c r="W13" s="53">
        <v>1</v>
      </c>
      <c r="X13" s="53" t="s">
        <v>39</v>
      </c>
      <c r="Y13" s="53" t="s">
        <v>84</v>
      </c>
      <c r="Z13" s="53" t="s">
        <v>40</v>
      </c>
      <c r="AA13" s="53" t="s">
        <v>90</v>
      </c>
      <c r="AB13" s="53" t="s">
        <v>239</v>
      </c>
      <c r="AE13" s="22" t="s">
        <v>73</v>
      </c>
      <c r="AH13" s="28"/>
      <c r="AP13" s="23" t="s">
        <v>71</v>
      </c>
      <c r="AR13" s="23" t="s">
        <v>103</v>
      </c>
      <c r="AV13" s="23" t="s">
        <v>75</v>
      </c>
    </row>
    <row r="14" spans="1:53" x14ac:dyDescent="0.15">
      <c r="A14" s="53" t="s">
        <v>34</v>
      </c>
      <c r="B14" s="53" t="s">
        <v>235</v>
      </c>
      <c r="C14" s="53">
        <v>2019</v>
      </c>
      <c r="D14" s="176" t="s">
        <v>313</v>
      </c>
      <c r="E14" s="53" t="s">
        <v>388</v>
      </c>
      <c r="F14" s="53" t="s">
        <v>389</v>
      </c>
      <c r="G14" s="53" t="s">
        <v>36</v>
      </c>
      <c r="H14" s="53" t="s">
        <v>163</v>
      </c>
      <c r="I14" s="53" t="s">
        <v>159</v>
      </c>
      <c r="J14" s="53" t="s">
        <v>38</v>
      </c>
      <c r="K14" s="53" t="s">
        <v>160</v>
      </c>
      <c r="L14" s="53">
        <v>1</v>
      </c>
      <c r="N14" s="53">
        <v>8</v>
      </c>
      <c r="O14" s="53">
        <v>0.55000000000000004</v>
      </c>
      <c r="P14" s="53">
        <v>0.45</v>
      </c>
      <c r="Q14" s="76">
        <f t="shared" si="0"/>
        <v>0.5</v>
      </c>
      <c r="R14" s="53">
        <v>13.8</v>
      </c>
      <c r="S14" s="53">
        <v>81</v>
      </c>
      <c r="T14" s="16">
        <f t="shared" si="1"/>
        <v>39</v>
      </c>
      <c r="U14" s="53">
        <v>754</v>
      </c>
      <c r="V14" s="16">
        <f t="shared" si="2"/>
        <v>3675.75</v>
      </c>
      <c r="W14" s="53">
        <v>3</v>
      </c>
      <c r="X14" s="53" t="s">
        <v>39</v>
      </c>
      <c r="Y14" s="53" t="s">
        <v>84</v>
      </c>
      <c r="Z14" s="53" t="s">
        <v>90</v>
      </c>
      <c r="AA14" s="53" t="s">
        <v>40</v>
      </c>
      <c r="AB14" s="53" t="s">
        <v>239</v>
      </c>
      <c r="AE14" s="22" t="s">
        <v>76</v>
      </c>
      <c r="AG14" s="179"/>
      <c r="AP14" s="23" t="s">
        <v>74</v>
      </c>
      <c r="AR14" s="23" t="s">
        <v>125</v>
      </c>
      <c r="AV14" s="23" t="s">
        <v>78</v>
      </c>
    </row>
    <row r="15" spans="1:53" x14ac:dyDescent="0.15">
      <c r="A15" s="53" t="s">
        <v>34</v>
      </c>
      <c r="B15" s="53" t="s">
        <v>235</v>
      </c>
      <c r="C15" s="53">
        <v>2019</v>
      </c>
      <c r="D15" s="176" t="s">
        <v>313</v>
      </c>
      <c r="E15" s="53" t="s">
        <v>388</v>
      </c>
      <c r="F15" s="53" t="s">
        <v>389</v>
      </c>
      <c r="G15" s="53" t="s">
        <v>36</v>
      </c>
      <c r="H15" s="53" t="s">
        <v>163</v>
      </c>
      <c r="I15" s="53" t="s">
        <v>159</v>
      </c>
      <c r="J15" s="53" t="s">
        <v>38</v>
      </c>
      <c r="K15" s="53" t="s">
        <v>160</v>
      </c>
      <c r="L15" s="53">
        <v>2</v>
      </c>
      <c r="N15" s="53">
        <v>8</v>
      </c>
      <c r="O15" s="53">
        <v>0.55000000000000004</v>
      </c>
      <c r="P15" s="53">
        <v>0.6</v>
      </c>
      <c r="Q15" s="76">
        <f t="shared" si="0"/>
        <v>0.57499999999999996</v>
      </c>
      <c r="R15" s="53">
        <v>14.6</v>
      </c>
      <c r="S15" s="53">
        <v>84</v>
      </c>
      <c r="T15" s="16">
        <f t="shared" si="1"/>
        <v>36</v>
      </c>
      <c r="U15" s="53">
        <v>754</v>
      </c>
      <c r="V15" s="16">
        <f t="shared" si="2"/>
        <v>3393</v>
      </c>
      <c r="W15" s="53">
        <v>3</v>
      </c>
      <c r="X15" s="53" t="s">
        <v>39</v>
      </c>
      <c r="Y15" s="53" t="s">
        <v>84</v>
      </c>
      <c r="Z15" s="53" t="s">
        <v>90</v>
      </c>
      <c r="AA15" s="53" t="s">
        <v>40</v>
      </c>
      <c r="AB15" s="53" t="s">
        <v>239</v>
      </c>
      <c r="AE15" s="22" t="s">
        <v>79</v>
      </c>
      <c r="AP15" s="23" t="s">
        <v>77</v>
      </c>
      <c r="AR15" s="23" t="s">
        <v>94</v>
      </c>
      <c r="AV15" s="23" t="s">
        <v>107</v>
      </c>
    </row>
    <row r="16" spans="1:53" x14ac:dyDescent="0.15">
      <c r="A16" s="53" t="s">
        <v>34</v>
      </c>
      <c r="B16" s="53" t="s">
        <v>235</v>
      </c>
      <c r="C16" s="53">
        <v>2019</v>
      </c>
      <c r="D16" s="176" t="s">
        <v>313</v>
      </c>
      <c r="E16" s="53" t="s">
        <v>388</v>
      </c>
      <c r="F16" s="53" t="s">
        <v>389</v>
      </c>
      <c r="G16" s="53" t="s">
        <v>36</v>
      </c>
      <c r="H16" s="53" t="s">
        <v>163</v>
      </c>
      <c r="I16" s="53" t="s">
        <v>159</v>
      </c>
      <c r="J16" s="53" t="s">
        <v>38</v>
      </c>
      <c r="K16" s="53" t="s">
        <v>160</v>
      </c>
      <c r="L16" s="53">
        <v>3</v>
      </c>
      <c r="N16" s="53">
        <v>8</v>
      </c>
      <c r="O16" s="53">
        <v>0.6</v>
      </c>
      <c r="P16" s="53">
        <v>0.75</v>
      </c>
      <c r="Q16" s="76">
        <f t="shared" si="0"/>
        <v>0.67500000000000004</v>
      </c>
      <c r="R16" s="53">
        <v>13.1</v>
      </c>
      <c r="S16" s="53">
        <v>88</v>
      </c>
      <c r="T16" s="16">
        <f t="shared" si="1"/>
        <v>36</v>
      </c>
      <c r="U16" s="53">
        <v>754</v>
      </c>
      <c r="V16" s="16">
        <f t="shared" si="2"/>
        <v>3393</v>
      </c>
      <c r="W16" s="53">
        <v>3</v>
      </c>
      <c r="X16" s="53" t="s">
        <v>39</v>
      </c>
      <c r="Y16" s="53" t="s">
        <v>84</v>
      </c>
      <c r="Z16" s="53" t="s">
        <v>90</v>
      </c>
      <c r="AA16" s="53" t="s">
        <v>40</v>
      </c>
      <c r="AB16" s="53" t="s">
        <v>239</v>
      </c>
      <c r="AE16" s="22" t="s">
        <v>82</v>
      </c>
      <c r="AP16" s="23" t="s">
        <v>80</v>
      </c>
      <c r="AR16" s="23" t="s">
        <v>63</v>
      </c>
      <c r="AV16" s="23" t="s">
        <v>84</v>
      </c>
    </row>
    <row r="17" spans="1:48" x14ac:dyDescent="0.15">
      <c r="A17" s="53" t="s">
        <v>34</v>
      </c>
      <c r="B17" s="53" t="s">
        <v>235</v>
      </c>
      <c r="C17" s="53">
        <v>2019</v>
      </c>
      <c r="D17" s="176" t="s">
        <v>313</v>
      </c>
      <c r="E17" s="53" t="s">
        <v>388</v>
      </c>
      <c r="F17" s="53" t="s">
        <v>389</v>
      </c>
      <c r="G17" s="53" t="s">
        <v>36</v>
      </c>
      <c r="H17" s="53" t="s">
        <v>163</v>
      </c>
      <c r="I17" s="53" t="s">
        <v>199</v>
      </c>
      <c r="J17" s="53" t="s">
        <v>38</v>
      </c>
      <c r="K17" s="53" t="s">
        <v>160</v>
      </c>
      <c r="L17" s="53">
        <v>1</v>
      </c>
      <c r="N17" s="53">
        <v>4</v>
      </c>
      <c r="O17" s="53">
        <v>0.5</v>
      </c>
      <c r="P17" s="53">
        <v>0.2</v>
      </c>
      <c r="Q17" s="76">
        <f t="shared" si="0"/>
        <v>0.35</v>
      </c>
      <c r="R17" s="53">
        <v>13.7</v>
      </c>
      <c r="S17" s="53">
        <v>98</v>
      </c>
      <c r="T17" s="16">
        <f t="shared" si="1"/>
        <v>36</v>
      </c>
      <c r="U17" s="53">
        <v>429</v>
      </c>
      <c r="V17" s="16">
        <f t="shared" si="2"/>
        <v>3861</v>
      </c>
      <c r="W17" s="53">
        <v>3</v>
      </c>
      <c r="X17" s="53" t="s">
        <v>39</v>
      </c>
      <c r="Y17" s="53" t="s">
        <v>84</v>
      </c>
      <c r="Z17" s="53" t="s">
        <v>90</v>
      </c>
      <c r="AA17" s="53" t="s">
        <v>40</v>
      </c>
      <c r="AB17" s="53" t="s">
        <v>239</v>
      </c>
      <c r="AE17" s="22" t="s">
        <v>85</v>
      </c>
      <c r="AP17" s="27" t="s">
        <v>110</v>
      </c>
      <c r="AR17" s="23" t="s">
        <v>96</v>
      </c>
      <c r="AV17" s="23" t="s">
        <v>86</v>
      </c>
    </row>
    <row r="18" spans="1:48" x14ac:dyDescent="0.15">
      <c r="A18" s="53" t="s">
        <v>34</v>
      </c>
      <c r="B18" s="53" t="s">
        <v>235</v>
      </c>
      <c r="C18" s="53">
        <v>2019</v>
      </c>
      <c r="D18" s="176" t="s">
        <v>313</v>
      </c>
      <c r="E18" s="53" t="s">
        <v>388</v>
      </c>
      <c r="F18" s="53" t="s">
        <v>389</v>
      </c>
      <c r="G18" s="53" t="s">
        <v>36</v>
      </c>
      <c r="H18" s="53" t="s">
        <v>163</v>
      </c>
      <c r="I18" s="53" t="s">
        <v>199</v>
      </c>
      <c r="J18" s="53" t="s">
        <v>38</v>
      </c>
      <c r="K18" s="53" t="s">
        <v>160</v>
      </c>
      <c r="L18" s="53">
        <v>2</v>
      </c>
      <c r="N18" s="53">
        <v>4</v>
      </c>
      <c r="O18" s="53">
        <v>0.7</v>
      </c>
      <c r="P18" s="53">
        <v>0.75</v>
      </c>
      <c r="Q18" s="76">
        <f t="shared" si="0"/>
        <v>0.72499999999999998</v>
      </c>
      <c r="R18" s="53">
        <v>13.4</v>
      </c>
      <c r="S18" s="53">
        <v>95</v>
      </c>
      <c r="T18" s="16">
        <f t="shared" si="1"/>
        <v>36</v>
      </c>
      <c r="U18" s="53">
        <v>429</v>
      </c>
      <c r="V18" s="16">
        <f t="shared" si="2"/>
        <v>3861</v>
      </c>
      <c r="W18" s="53">
        <v>3</v>
      </c>
      <c r="X18" s="53" t="s">
        <v>39</v>
      </c>
      <c r="Y18" s="53" t="s">
        <v>84</v>
      </c>
      <c r="Z18" s="53" t="s">
        <v>90</v>
      </c>
      <c r="AA18" s="53" t="s">
        <v>40</v>
      </c>
      <c r="AB18" s="53" t="s">
        <v>239</v>
      </c>
      <c r="AE18" s="22" t="s">
        <v>87</v>
      </c>
      <c r="AP18" s="27" t="s">
        <v>111</v>
      </c>
      <c r="AR18" s="23" t="s">
        <v>101</v>
      </c>
      <c r="AV18" s="23" t="s">
        <v>88</v>
      </c>
    </row>
    <row r="19" spans="1:48" x14ac:dyDescent="0.15">
      <c r="A19" s="53" t="s">
        <v>34</v>
      </c>
      <c r="B19" s="53" t="s">
        <v>235</v>
      </c>
      <c r="C19" s="53">
        <v>2019</v>
      </c>
      <c r="D19" s="176" t="s">
        <v>313</v>
      </c>
      <c r="E19" s="53" t="s">
        <v>388</v>
      </c>
      <c r="F19" s="53" t="s">
        <v>389</v>
      </c>
      <c r="G19" s="53" t="s">
        <v>36</v>
      </c>
      <c r="H19" s="53" t="s">
        <v>163</v>
      </c>
      <c r="I19" s="53" t="s">
        <v>199</v>
      </c>
      <c r="J19" s="53" t="s">
        <v>38</v>
      </c>
      <c r="K19" s="53" t="s">
        <v>160</v>
      </c>
      <c r="L19" s="53">
        <v>3</v>
      </c>
      <c r="N19" s="53">
        <v>4</v>
      </c>
      <c r="O19" s="53">
        <v>0.2</v>
      </c>
      <c r="P19" s="53">
        <v>0.2</v>
      </c>
      <c r="Q19" s="76">
        <f t="shared" si="0"/>
        <v>0.2</v>
      </c>
      <c r="R19" s="53">
        <v>12.8</v>
      </c>
      <c r="S19" s="53">
        <v>104</v>
      </c>
      <c r="T19" s="16">
        <f t="shared" si="1"/>
        <v>33</v>
      </c>
      <c r="U19" s="53">
        <v>429</v>
      </c>
      <c r="V19" s="16">
        <f t="shared" si="2"/>
        <v>3539.25</v>
      </c>
      <c r="W19" s="53">
        <v>3</v>
      </c>
      <c r="X19" s="53" t="s">
        <v>39</v>
      </c>
      <c r="Y19" s="53" t="s">
        <v>84</v>
      </c>
      <c r="Z19" s="53" t="s">
        <v>90</v>
      </c>
      <c r="AA19" s="53" t="s">
        <v>40</v>
      </c>
      <c r="AB19" s="53" t="s">
        <v>239</v>
      </c>
      <c r="AE19" s="35" t="s">
        <v>89</v>
      </c>
      <c r="AP19" s="27" t="s">
        <v>112</v>
      </c>
      <c r="AR19" s="23" t="s">
        <v>126</v>
      </c>
      <c r="AV19" s="23" t="s">
        <v>90</v>
      </c>
    </row>
    <row r="20" spans="1:48" x14ac:dyDescent="0.15">
      <c r="A20" s="53" t="s">
        <v>34</v>
      </c>
      <c r="B20" s="53" t="s">
        <v>235</v>
      </c>
      <c r="C20" s="53">
        <v>2019</v>
      </c>
      <c r="D20" s="176" t="s">
        <v>313</v>
      </c>
      <c r="E20" s="53" t="s">
        <v>376</v>
      </c>
      <c r="F20" s="53" t="s">
        <v>377</v>
      </c>
      <c r="G20" s="53" t="s">
        <v>36</v>
      </c>
      <c r="H20" s="53" t="s">
        <v>163</v>
      </c>
      <c r="I20" s="53" t="s">
        <v>159</v>
      </c>
      <c r="J20" s="53" t="s">
        <v>38</v>
      </c>
      <c r="K20" s="53" t="s">
        <v>160</v>
      </c>
      <c r="L20" s="53">
        <v>1</v>
      </c>
      <c r="N20" s="53">
        <v>1</v>
      </c>
      <c r="O20" s="53">
        <v>0.6</v>
      </c>
      <c r="P20" s="53">
        <v>0.7</v>
      </c>
      <c r="Q20" s="76">
        <f t="shared" si="0"/>
        <v>0.64999999999999991</v>
      </c>
      <c r="R20" s="53">
        <v>12.7</v>
      </c>
      <c r="S20" s="53">
        <v>106</v>
      </c>
      <c r="T20" s="16">
        <f t="shared" si="1"/>
        <v>33</v>
      </c>
      <c r="U20" s="53">
        <v>108</v>
      </c>
      <c r="V20" s="16">
        <f t="shared" si="2"/>
        <v>3564</v>
      </c>
      <c r="W20" s="53">
        <v>2</v>
      </c>
      <c r="X20" s="53" t="s">
        <v>39</v>
      </c>
      <c r="Y20" s="53" t="s">
        <v>84</v>
      </c>
      <c r="Z20" s="53" t="s">
        <v>90</v>
      </c>
      <c r="AA20" s="53" t="s">
        <v>40</v>
      </c>
      <c r="AB20" s="53" t="s">
        <v>239</v>
      </c>
      <c r="AP20" s="27" t="s">
        <v>113</v>
      </c>
      <c r="AR20" s="23" t="s">
        <v>105</v>
      </c>
      <c r="AV20" s="27" t="s">
        <v>135</v>
      </c>
    </row>
    <row r="21" spans="1:48" x14ac:dyDescent="0.15">
      <c r="A21" s="53" t="s">
        <v>34</v>
      </c>
      <c r="B21" s="53" t="s">
        <v>235</v>
      </c>
      <c r="C21" s="53">
        <v>2019</v>
      </c>
      <c r="D21" s="176" t="s">
        <v>313</v>
      </c>
      <c r="E21" s="53" t="s">
        <v>376</v>
      </c>
      <c r="F21" s="53" t="s">
        <v>377</v>
      </c>
      <c r="G21" s="53" t="s">
        <v>36</v>
      </c>
      <c r="H21" s="53" t="s">
        <v>163</v>
      </c>
      <c r="I21" s="53" t="s">
        <v>159</v>
      </c>
      <c r="J21" s="53" t="s">
        <v>38</v>
      </c>
      <c r="K21" s="53" t="s">
        <v>160</v>
      </c>
      <c r="L21" s="53">
        <v>2</v>
      </c>
      <c r="N21" s="53">
        <v>1</v>
      </c>
      <c r="O21" s="53">
        <v>0.8</v>
      </c>
      <c r="P21" s="53">
        <v>0.85</v>
      </c>
      <c r="Q21" s="76">
        <f t="shared" si="0"/>
        <v>0.82499999999999996</v>
      </c>
      <c r="R21" s="53">
        <v>10.1</v>
      </c>
      <c r="S21" s="53">
        <v>114</v>
      </c>
      <c r="T21" s="16">
        <f t="shared" si="1"/>
        <v>30</v>
      </c>
      <c r="U21" s="53">
        <v>108</v>
      </c>
      <c r="V21" s="16">
        <f t="shared" si="2"/>
        <v>3240</v>
      </c>
      <c r="W21" s="53">
        <v>2</v>
      </c>
      <c r="X21" s="53" t="s">
        <v>39</v>
      </c>
      <c r="Y21" s="53" t="s">
        <v>84</v>
      </c>
      <c r="Z21" s="53" t="s">
        <v>90</v>
      </c>
      <c r="AA21" s="53" t="s">
        <v>40</v>
      </c>
      <c r="AB21" s="53" t="s">
        <v>239</v>
      </c>
      <c r="AP21" s="27" t="s">
        <v>114</v>
      </c>
      <c r="AR21" s="23" t="s">
        <v>68</v>
      </c>
      <c r="AV21" s="27" t="s">
        <v>136</v>
      </c>
    </row>
    <row r="22" spans="1:48" x14ac:dyDescent="0.15">
      <c r="A22" s="53" t="s">
        <v>34</v>
      </c>
      <c r="B22" s="53" t="s">
        <v>235</v>
      </c>
      <c r="C22" s="53">
        <v>2019</v>
      </c>
      <c r="D22" s="176" t="s">
        <v>313</v>
      </c>
      <c r="E22" s="53" t="s">
        <v>376</v>
      </c>
      <c r="F22" s="53" t="s">
        <v>377</v>
      </c>
      <c r="G22" s="53" t="s">
        <v>36</v>
      </c>
      <c r="H22" s="53" t="s">
        <v>163</v>
      </c>
      <c r="I22" s="53" t="s">
        <v>159</v>
      </c>
      <c r="J22" s="53" t="s">
        <v>38</v>
      </c>
      <c r="K22" s="53" t="s">
        <v>160</v>
      </c>
      <c r="L22" s="53">
        <v>3</v>
      </c>
      <c r="N22" s="53">
        <v>1</v>
      </c>
      <c r="O22" s="53">
        <v>0.6</v>
      </c>
      <c r="P22" s="53">
        <v>0.75</v>
      </c>
      <c r="Q22" s="76">
        <f t="shared" si="0"/>
        <v>0.67500000000000004</v>
      </c>
      <c r="R22" s="53">
        <v>13.3</v>
      </c>
      <c r="S22" s="53">
        <v>114</v>
      </c>
      <c r="T22" s="16">
        <f t="shared" si="1"/>
        <v>30</v>
      </c>
      <c r="U22" s="53">
        <v>108</v>
      </c>
      <c r="V22" s="16">
        <f t="shared" si="2"/>
        <v>3240</v>
      </c>
      <c r="W22" s="53">
        <v>2</v>
      </c>
      <c r="X22" s="53" t="s">
        <v>39</v>
      </c>
      <c r="Y22" s="53" t="s">
        <v>84</v>
      </c>
      <c r="Z22" s="53" t="s">
        <v>90</v>
      </c>
      <c r="AA22" s="53" t="s">
        <v>40</v>
      </c>
      <c r="AB22" s="53" t="s">
        <v>239</v>
      </c>
      <c r="AP22" s="27" t="s">
        <v>115</v>
      </c>
      <c r="AR22" s="23" t="s">
        <v>83</v>
      </c>
      <c r="AV22" s="27"/>
    </row>
    <row r="23" spans="1:48" x14ac:dyDescent="0.15">
      <c r="A23" s="53" t="s">
        <v>34</v>
      </c>
      <c r="B23" s="53" t="s">
        <v>235</v>
      </c>
      <c r="C23" s="53">
        <v>2019</v>
      </c>
      <c r="D23" s="176" t="s">
        <v>313</v>
      </c>
      <c r="E23" s="53" t="s">
        <v>376</v>
      </c>
      <c r="F23" s="53" t="s">
        <v>377</v>
      </c>
      <c r="G23" s="53" t="s">
        <v>36</v>
      </c>
      <c r="H23" s="53" t="s">
        <v>205</v>
      </c>
      <c r="I23" s="53" t="s">
        <v>159</v>
      </c>
      <c r="J23" s="53" t="s">
        <v>38</v>
      </c>
      <c r="K23" s="53" t="s">
        <v>54</v>
      </c>
      <c r="L23" s="53">
        <v>1</v>
      </c>
      <c r="N23" s="53">
        <v>1</v>
      </c>
      <c r="O23" s="53">
        <v>0.2</v>
      </c>
      <c r="P23" s="53">
        <v>0.2</v>
      </c>
      <c r="Q23" s="76">
        <f t="shared" si="0"/>
        <v>0.2</v>
      </c>
      <c r="R23" s="53">
        <v>15.5</v>
      </c>
      <c r="S23" s="53">
        <v>86</v>
      </c>
      <c r="T23" s="16">
        <f t="shared" si="1"/>
        <v>36</v>
      </c>
      <c r="U23" s="53">
        <v>626</v>
      </c>
      <c r="V23" s="16">
        <f t="shared" si="2"/>
        <v>22536</v>
      </c>
      <c r="W23" s="53">
        <v>1</v>
      </c>
      <c r="X23" s="53" t="s">
        <v>39</v>
      </c>
      <c r="Y23" s="53" t="s">
        <v>84</v>
      </c>
      <c r="Z23" s="53" t="s">
        <v>90</v>
      </c>
      <c r="AA23" s="53" t="s">
        <v>40</v>
      </c>
      <c r="AB23" s="53" t="s">
        <v>239</v>
      </c>
      <c r="AP23" s="27" t="s">
        <v>117</v>
      </c>
      <c r="AR23" s="23" t="s">
        <v>153</v>
      </c>
    </row>
    <row r="24" spans="1:48" x14ac:dyDescent="0.15">
      <c r="A24" s="53" t="s">
        <v>34</v>
      </c>
      <c r="B24" s="53" t="s">
        <v>235</v>
      </c>
      <c r="C24" s="53">
        <v>2019</v>
      </c>
      <c r="D24" s="176" t="s">
        <v>313</v>
      </c>
      <c r="E24" s="53" t="s">
        <v>376</v>
      </c>
      <c r="F24" s="53" t="s">
        <v>377</v>
      </c>
      <c r="G24" s="53" t="s">
        <v>36</v>
      </c>
      <c r="H24" s="53" t="s">
        <v>205</v>
      </c>
      <c r="I24" s="53" t="s">
        <v>159</v>
      </c>
      <c r="J24" s="53" t="s">
        <v>38</v>
      </c>
      <c r="K24" s="53" t="s">
        <v>54</v>
      </c>
      <c r="L24" s="53">
        <v>2</v>
      </c>
      <c r="N24" s="53">
        <v>1</v>
      </c>
      <c r="O24" s="53">
        <v>0.2</v>
      </c>
      <c r="P24" s="53">
        <v>0.2</v>
      </c>
      <c r="Q24" s="76">
        <f t="shared" si="0"/>
        <v>0.2</v>
      </c>
      <c r="R24" s="53">
        <v>12.8</v>
      </c>
      <c r="S24" s="53">
        <v>79</v>
      </c>
      <c r="T24" s="16">
        <f t="shared" si="1"/>
        <v>39</v>
      </c>
      <c r="U24" s="53">
        <v>626</v>
      </c>
      <c r="V24" s="16">
        <f t="shared" si="2"/>
        <v>24414</v>
      </c>
      <c r="W24" s="53">
        <v>1</v>
      </c>
      <c r="X24" s="53" t="s">
        <v>39</v>
      </c>
      <c r="Y24" s="53" t="s">
        <v>84</v>
      </c>
      <c r="Z24" s="53" t="s">
        <v>90</v>
      </c>
      <c r="AA24" s="53" t="s">
        <v>40</v>
      </c>
      <c r="AB24" s="53" t="s">
        <v>239</v>
      </c>
      <c r="AP24" s="27" t="s">
        <v>118</v>
      </c>
    </row>
    <row r="25" spans="1:48" x14ac:dyDescent="0.15">
      <c r="A25" s="53" t="s">
        <v>34</v>
      </c>
      <c r="B25" s="53" t="s">
        <v>235</v>
      </c>
      <c r="C25" s="53">
        <v>2019</v>
      </c>
      <c r="D25" s="176" t="s">
        <v>313</v>
      </c>
      <c r="E25" s="53" t="s">
        <v>376</v>
      </c>
      <c r="F25" s="53" t="s">
        <v>377</v>
      </c>
      <c r="G25" s="53" t="s">
        <v>36</v>
      </c>
      <c r="H25" s="53" t="s">
        <v>205</v>
      </c>
      <c r="I25" s="53" t="s">
        <v>159</v>
      </c>
      <c r="J25" s="53" t="s">
        <v>38</v>
      </c>
      <c r="K25" s="53" t="s">
        <v>54</v>
      </c>
      <c r="L25" s="53">
        <v>3</v>
      </c>
      <c r="N25" s="53">
        <v>1</v>
      </c>
      <c r="O25" s="53">
        <v>0.2</v>
      </c>
      <c r="P25" s="53">
        <v>0.2</v>
      </c>
      <c r="Q25" s="76">
        <f t="shared" si="0"/>
        <v>0.2</v>
      </c>
      <c r="R25" s="53">
        <v>15.4</v>
      </c>
      <c r="S25" s="53">
        <v>81</v>
      </c>
      <c r="T25" s="16">
        <f t="shared" si="1"/>
        <v>39</v>
      </c>
      <c r="U25" s="53">
        <v>626</v>
      </c>
      <c r="V25" s="16">
        <f t="shared" si="2"/>
        <v>24414</v>
      </c>
      <c r="W25" s="53">
        <v>1</v>
      </c>
      <c r="X25" s="53" t="s">
        <v>39</v>
      </c>
      <c r="Y25" s="53" t="s">
        <v>84</v>
      </c>
      <c r="Z25" s="53" t="s">
        <v>90</v>
      </c>
      <c r="AA25" s="53" t="s">
        <v>40</v>
      </c>
      <c r="AB25" s="53" t="s">
        <v>239</v>
      </c>
    </row>
    <row r="26" spans="1:48" x14ac:dyDescent="0.15">
      <c r="A26" s="53" t="s">
        <v>34</v>
      </c>
      <c r="B26" s="53" t="s">
        <v>235</v>
      </c>
      <c r="C26" s="53">
        <v>2019</v>
      </c>
      <c r="D26" s="176" t="s">
        <v>313</v>
      </c>
      <c r="E26" s="53" t="s">
        <v>365</v>
      </c>
      <c r="F26" s="53" t="s">
        <v>375</v>
      </c>
      <c r="G26" s="53" t="s">
        <v>36</v>
      </c>
      <c r="H26" s="53" t="s">
        <v>163</v>
      </c>
      <c r="I26" s="53" t="s">
        <v>159</v>
      </c>
      <c r="J26" s="53" t="s">
        <v>38</v>
      </c>
      <c r="K26" s="53" t="s">
        <v>160</v>
      </c>
      <c r="L26" s="53">
        <v>1</v>
      </c>
      <c r="N26" s="53">
        <v>1</v>
      </c>
      <c r="O26" s="53">
        <v>0.2</v>
      </c>
      <c r="P26" s="53">
        <v>0.55000000000000004</v>
      </c>
      <c r="Q26" s="76">
        <f t="shared" si="0"/>
        <v>0.375</v>
      </c>
      <c r="R26" s="53">
        <v>14.6</v>
      </c>
      <c r="S26" s="53">
        <v>106</v>
      </c>
      <c r="T26" s="16">
        <f t="shared" si="1"/>
        <v>33</v>
      </c>
      <c r="U26" s="53">
        <v>85</v>
      </c>
      <c r="V26" s="16">
        <f t="shared" si="2"/>
        <v>2805</v>
      </c>
      <c r="W26" s="53">
        <v>2</v>
      </c>
      <c r="X26" s="53" t="s">
        <v>46</v>
      </c>
      <c r="Y26" s="53" t="s">
        <v>84</v>
      </c>
      <c r="Z26" s="53" t="s">
        <v>40</v>
      </c>
      <c r="AA26" s="53" t="s">
        <v>90</v>
      </c>
      <c r="AB26" s="53" t="s">
        <v>239</v>
      </c>
    </row>
    <row r="27" spans="1:48" x14ac:dyDescent="0.15">
      <c r="A27" s="53" t="s">
        <v>34</v>
      </c>
      <c r="B27" s="53" t="s">
        <v>235</v>
      </c>
      <c r="C27" s="53">
        <v>2019</v>
      </c>
      <c r="D27" s="176" t="s">
        <v>313</v>
      </c>
      <c r="E27" s="53" t="s">
        <v>365</v>
      </c>
      <c r="F27" s="53" t="s">
        <v>375</v>
      </c>
      <c r="G27" s="53" t="s">
        <v>36</v>
      </c>
      <c r="H27" s="53" t="s">
        <v>163</v>
      </c>
      <c r="I27" s="53" t="s">
        <v>159</v>
      </c>
      <c r="J27" s="53" t="s">
        <v>38</v>
      </c>
      <c r="K27" s="53" t="s">
        <v>160</v>
      </c>
      <c r="L27" s="53">
        <v>2</v>
      </c>
      <c r="N27" s="53">
        <v>1</v>
      </c>
      <c r="O27" s="53">
        <v>0.55000000000000004</v>
      </c>
      <c r="P27" s="53">
        <v>0.5</v>
      </c>
      <c r="Q27" s="76">
        <f t="shared" si="0"/>
        <v>0.52500000000000002</v>
      </c>
      <c r="R27" s="53">
        <v>13.9</v>
      </c>
      <c r="S27" s="53">
        <v>110</v>
      </c>
      <c r="T27" s="16">
        <f t="shared" si="1"/>
        <v>33</v>
      </c>
      <c r="U27" s="53">
        <v>85</v>
      </c>
      <c r="V27" s="16">
        <f t="shared" si="2"/>
        <v>2805</v>
      </c>
      <c r="W27" s="53">
        <v>2</v>
      </c>
      <c r="X27" s="53" t="s">
        <v>46</v>
      </c>
      <c r="Y27" s="53" t="s">
        <v>84</v>
      </c>
      <c r="Z27" s="53" t="s">
        <v>40</v>
      </c>
      <c r="AA27" s="53" t="s">
        <v>90</v>
      </c>
      <c r="AB27" s="53" t="s">
        <v>239</v>
      </c>
    </row>
    <row r="28" spans="1:48" x14ac:dyDescent="0.15">
      <c r="A28" s="53" t="s">
        <v>34</v>
      </c>
      <c r="B28" s="53" t="s">
        <v>235</v>
      </c>
      <c r="C28" s="53">
        <v>2019</v>
      </c>
      <c r="D28" s="176" t="s">
        <v>313</v>
      </c>
      <c r="E28" s="53" t="s">
        <v>365</v>
      </c>
      <c r="F28" s="53" t="s">
        <v>375</v>
      </c>
      <c r="G28" s="53" t="s">
        <v>36</v>
      </c>
      <c r="H28" s="53" t="s">
        <v>163</v>
      </c>
      <c r="I28" s="53" t="s">
        <v>159</v>
      </c>
      <c r="J28" s="53" t="s">
        <v>38</v>
      </c>
      <c r="K28" s="53" t="s">
        <v>160</v>
      </c>
      <c r="L28" s="53">
        <v>3</v>
      </c>
      <c r="N28" s="53">
        <v>1</v>
      </c>
      <c r="O28" s="53">
        <v>0.2</v>
      </c>
      <c r="P28" s="53">
        <v>0.2</v>
      </c>
      <c r="Q28" s="76">
        <f>IF(OR(O28="",P28=""),"",AVERAGE(O28,P28))</f>
        <v>0.2</v>
      </c>
      <c r="R28" s="53">
        <v>15</v>
      </c>
      <c r="S28" s="53">
        <v>114</v>
      </c>
      <c r="T28" s="16">
        <f t="shared" si="1"/>
        <v>30</v>
      </c>
      <c r="U28" s="53">
        <v>85</v>
      </c>
      <c r="V28" s="16">
        <f t="shared" si="2"/>
        <v>2550</v>
      </c>
      <c r="W28" s="53">
        <v>2</v>
      </c>
      <c r="X28" s="53" t="s">
        <v>46</v>
      </c>
      <c r="Y28" s="53" t="s">
        <v>84</v>
      </c>
      <c r="Z28" s="53" t="s">
        <v>40</v>
      </c>
      <c r="AA28" s="53" t="s">
        <v>90</v>
      </c>
      <c r="AB28" s="53" t="s">
        <v>239</v>
      </c>
    </row>
    <row r="29" spans="1:48" x14ac:dyDescent="0.15">
      <c r="A29" s="53" t="s">
        <v>34</v>
      </c>
      <c r="B29" s="53" t="s">
        <v>235</v>
      </c>
      <c r="C29" s="53">
        <v>2019</v>
      </c>
      <c r="D29" s="176" t="s">
        <v>313</v>
      </c>
      <c r="E29" s="53" t="s">
        <v>381</v>
      </c>
      <c r="F29" s="53" t="s">
        <v>382</v>
      </c>
      <c r="G29" s="53" t="s">
        <v>36</v>
      </c>
      <c r="H29" s="53" t="s">
        <v>163</v>
      </c>
      <c r="I29" s="53" t="s">
        <v>159</v>
      </c>
      <c r="J29" s="53" t="s">
        <v>38</v>
      </c>
      <c r="K29" s="53" t="s">
        <v>160</v>
      </c>
      <c r="L29" s="53">
        <v>1</v>
      </c>
      <c r="N29" s="53">
        <v>1</v>
      </c>
      <c r="O29" s="53">
        <v>0.2</v>
      </c>
      <c r="P29" s="53">
        <v>0.2</v>
      </c>
      <c r="Q29" s="76">
        <f t="shared" si="0"/>
        <v>0.2</v>
      </c>
      <c r="R29" s="53">
        <v>12.7</v>
      </c>
      <c r="S29" s="53">
        <v>74</v>
      </c>
      <c r="T29" s="16">
        <f t="shared" si="1"/>
        <v>42</v>
      </c>
      <c r="U29" s="53">
        <v>41</v>
      </c>
      <c r="V29" s="16">
        <f t="shared" si="2"/>
        <v>1722</v>
      </c>
      <c r="W29" s="53">
        <v>3</v>
      </c>
      <c r="X29" s="53" t="s">
        <v>39</v>
      </c>
      <c r="Y29" s="53" t="s">
        <v>84</v>
      </c>
      <c r="Z29" s="53" t="s">
        <v>40</v>
      </c>
      <c r="AA29" s="53" t="s">
        <v>90</v>
      </c>
      <c r="AB29" s="53" t="s">
        <v>239</v>
      </c>
    </row>
    <row r="30" spans="1:48" x14ac:dyDescent="0.15">
      <c r="A30" s="53" t="s">
        <v>34</v>
      </c>
      <c r="B30" s="53" t="s">
        <v>235</v>
      </c>
      <c r="C30" s="53">
        <v>2019</v>
      </c>
      <c r="D30" s="176" t="s">
        <v>313</v>
      </c>
      <c r="E30" s="53" t="s">
        <v>381</v>
      </c>
      <c r="F30" s="53" t="s">
        <v>382</v>
      </c>
      <c r="G30" s="53" t="s">
        <v>36</v>
      </c>
      <c r="H30" s="53" t="s">
        <v>163</v>
      </c>
      <c r="I30" s="53" t="s">
        <v>159</v>
      </c>
      <c r="J30" s="53" t="s">
        <v>38</v>
      </c>
      <c r="K30" s="53" t="s">
        <v>160</v>
      </c>
      <c r="L30" s="53">
        <v>2</v>
      </c>
      <c r="N30" s="53">
        <v>1</v>
      </c>
      <c r="O30" s="53">
        <v>0.55000000000000004</v>
      </c>
      <c r="P30" s="53">
        <v>0.7</v>
      </c>
      <c r="Q30" s="76">
        <f t="shared" si="0"/>
        <v>0.625</v>
      </c>
      <c r="R30" s="53">
        <v>13.4</v>
      </c>
      <c r="S30" s="53">
        <v>74</v>
      </c>
      <c r="T30" s="16">
        <f t="shared" si="1"/>
        <v>42</v>
      </c>
      <c r="U30" s="53">
        <v>41</v>
      </c>
      <c r="V30" s="16">
        <f t="shared" si="2"/>
        <v>1722</v>
      </c>
      <c r="W30" s="53">
        <v>3</v>
      </c>
      <c r="X30" s="53" t="s">
        <v>39</v>
      </c>
      <c r="Y30" s="53" t="s">
        <v>84</v>
      </c>
      <c r="Z30" s="53" t="s">
        <v>40</v>
      </c>
      <c r="AA30" s="53" t="s">
        <v>90</v>
      </c>
      <c r="AB30" s="53" t="s">
        <v>239</v>
      </c>
    </row>
    <row r="31" spans="1:48" x14ac:dyDescent="0.15">
      <c r="A31" s="53" t="s">
        <v>34</v>
      </c>
      <c r="B31" s="53" t="s">
        <v>235</v>
      </c>
      <c r="C31" s="53">
        <v>2019</v>
      </c>
      <c r="D31" s="176" t="s">
        <v>313</v>
      </c>
      <c r="E31" s="53" t="s">
        <v>381</v>
      </c>
      <c r="F31" s="53" t="s">
        <v>382</v>
      </c>
      <c r="G31" s="53" t="s">
        <v>36</v>
      </c>
      <c r="H31" s="53" t="s">
        <v>163</v>
      </c>
      <c r="I31" s="53" t="s">
        <v>159</v>
      </c>
      <c r="J31" s="53" t="s">
        <v>38</v>
      </c>
      <c r="K31" s="53" t="s">
        <v>160</v>
      </c>
      <c r="L31" s="53">
        <v>3</v>
      </c>
      <c r="N31" s="53">
        <v>1</v>
      </c>
      <c r="O31" s="53">
        <v>0.55000000000000004</v>
      </c>
      <c r="P31" s="53">
        <v>0.55000000000000004</v>
      </c>
      <c r="Q31" s="76">
        <f t="shared" si="0"/>
        <v>0.55000000000000004</v>
      </c>
      <c r="R31" s="53">
        <v>14.1</v>
      </c>
      <c r="S31" s="53">
        <v>75</v>
      </c>
      <c r="T31" s="16">
        <f t="shared" si="1"/>
        <v>42</v>
      </c>
      <c r="U31" s="53">
        <v>41</v>
      </c>
      <c r="V31" s="16">
        <f t="shared" si="2"/>
        <v>1722</v>
      </c>
      <c r="W31" s="53">
        <v>3</v>
      </c>
      <c r="X31" s="53" t="s">
        <v>39</v>
      </c>
      <c r="Y31" s="53" t="s">
        <v>84</v>
      </c>
      <c r="Z31" s="53" t="s">
        <v>40</v>
      </c>
      <c r="AA31" s="53" t="s">
        <v>90</v>
      </c>
      <c r="AB31" s="53" t="s">
        <v>239</v>
      </c>
    </row>
    <row r="32" spans="1:48" x14ac:dyDescent="0.15">
      <c r="A32" s="53" t="s">
        <v>34</v>
      </c>
      <c r="B32" s="53" t="s">
        <v>235</v>
      </c>
      <c r="C32" s="53">
        <v>2019</v>
      </c>
      <c r="D32" s="176" t="s">
        <v>313</v>
      </c>
      <c r="E32" s="53" t="s">
        <v>383</v>
      </c>
      <c r="F32" s="53" t="s">
        <v>384</v>
      </c>
      <c r="G32" s="53" t="s">
        <v>36</v>
      </c>
      <c r="H32" s="53" t="s">
        <v>163</v>
      </c>
      <c r="I32" s="53" t="s">
        <v>159</v>
      </c>
      <c r="J32" s="53" t="s">
        <v>38</v>
      </c>
      <c r="K32" s="53" t="s">
        <v>160</v>
      </c>
      <c r="L32" s="53">
        <v>1</v>
      </c>
      <c r="N32" s="53">
        <v>1</v>
      </c>
      <c r="O32" s="53">
        <v>0.7</v>
      </c>
      <c r="P32" s="53">
        <v>0.85</v>
      </c>
      <c r="Q32" s="76">
        <f t="shared" si="0"/>
        <v>0.77499999999999991</v>
      </c>
      <c r="R32" s="53">
        <v>14.3</v>
      </c>
      <c r="S32" s="53">
        <v>108</v>
      </c>
      <c r="T32" s="16">
        <f t="shared" si="1"/>
        <v>33</v>
      </c>
      <c r="U32" s="53">
        <v>149</v>
      </c>
      <c r="V32" s="16">
        <f t="shared" si="2"/>
        <v>4917</v>
      </c>
      <c r="W32" s="53">
        <v>2</v>
      </c>
      <c r="X32" s="53" t="s">
        <v>46</v>
      </c>
      <c r="Y32" s="53" t="s">
        <v>84</v>
      </c>
      <c r="Z32" s="53" t="s">
        <v>40</v>
      </c>
      <c r="AA32" s="53" t="s">
        <v>90</v>
      </c>
      <c r="AB32" s="53" t="s">
        <v>239</v>
      </c>
    </row>
    <row r="33" spans="1:28" x14ac:dyDescent="0.15">
      <c r="A33" s="53" t="s">
        <v>34</v>
      </c>
      <c r="B33" s="53" t="s">
        <v>235</v>
      </c>
      <c r="C33" s="53">
        <v>2019</v>
      </c>
      <c r="D33" s="176" t="s">
        <v>313</v>
      </c>
      <c r="E33" s="53" t="s">
        <v>383</v>
      </c>
      <c r="F33" s="53" t="s">
        <v>384</v>
      </c>
      <c r="G33" s="53" t="s">
        <v>36</v>
      </c>
      <c r="H33" s="53" t="s">
        <v>163</v>
      </c>
      <c r="I33" s="53" t="s">
        <v>159</v>
      </c>
      <c r="J33" s="53" t="s">
        <v>38</v>
      </c>
      <c r="K33" s="53" t="s">
        <v>160</v>
      </c>
      <c r="L33" s="53">
        <v>2</v>
      </c>
      <c r="N33" s="53">
        <v>1</v>
      </c>
      <c r="O33" s="53">
        <v>0.7</v>
      </c>
      <c r="P33" s="53">
        <v>0.8</v>
      </c>
      <c r="Q33" s="76">
        <f t="shared" si="0"/>
        <v>0.75</v>
      </c>
      <c r="R33" s="53">
        <v>14</v>
      </c>
      <c r="S33" s="53">
        <v>110</v>
      </c>
      <c r="T33" s="16">
        <f t="shared" si="1"/>
        <v>33</v>
      </c>
      <c r="U33" s="53">
        <v>149</v>
      </c>
      <c r="V33" s="16">
        <f t="shared" si="2"/>
        <v>4917</v>
      </c>
      <c r="W33" s="53">
        <v>2</v>
      </c>
      <c r="X33" s="53" t="s">
        <v>46</v>
      </c>
      <c r="Y33" s="53" t="s">
        <v>84</v>
      </c>
      <c r="Z33" s="53" t="s">
        <v>40</v>
      </c>
      <c r="AA33" s="53" t="s">
        <v>90</v>
      </c>
      <c r="AB33" s="53" t="s">
        <v>239</v>
      </c>
    </row>
    <row r="34" spans="1:28" x14ac:dyDescent="0.15">
      <c r="A34" s="53" t="s">
        <v>34</v>
      </c>
      <c r="B34" s="53" t="s">
        <v>235</v>
      </c>
      <c r="C34" s="53">
        <v>2019</v>
      </c>
      <c r="D34" s="176" t="s">
        <v>313</v>
      </c>
      <c r="E34" s="53" t="s">
        <v>383</v>
      </c>
      <c r="F34" s="53" t="s">
        <v>384</v>
      </c>
      <c r="G34" s="53" t="s">
        <v>36</v>
      </c>
      <c r="H34" s="53" t="s">
        <v>163</v>
      </c>
      <c r="I34" s="53" t="s">
        <v>159</v>
      </c>
      <c r="J34" s="53" t="s">
        <v>38</v>
      </c>
      <c r="K34" s="53" t="s">
        <v>160</v>
      </c>
      <c r="L34" s="53">
        <v>3</v>
      </c>
      <c r="N34" s="53">
        <v>1</v>
      </c>
      <c r="O34" s="53">
        <v>0.8</v>
      </c>
      <c r="P34" s="53">
        <v>0.75</v>
      </c>
      <c r="Q34" s="76">
        <f>IF(OR(O34="",P34=""),"",AVERAGE(O34,P34))</f>
        <v>0.77500000000000002</v>
      </c>
      <c r="R34" s="53">
        <v>14.1</v>
      </c>
      <c r="S34" s="53">
        <v>110</v>
      </c>
      <c r="T34" s="16">
        <f t="shared" si="1"/>
        <v>33</v>
      </c>
      <c r="U34" s="53">
        <v>149</v>
      </c>
      <c r="V34" s="16">
        <f t="shared" si="2"/>
        <v>4917</v>
      </c>
      <c r="W34" s="53">
        <v>2</v>
      </c>
      <c r="X34" s="53" t="s">
        <v>46</v>
      </c>
      <c r="Y34" s="53" t="s">
        <v>84</v>
      </c>
      <c r="Z34" s="53" t="s">
        <v>40</v>
      </c>
      <c r="AA34" s="53" t="s">
        <v>90</v>
      </c>
      <c r="AB34" s="53" t="s">
        <v>239</v>
      </c>
    </row>
    <row r="35" spans="1:28" x14ac:dyDescent="0.15">
      <c r="A35" s="53" t="s">
        <v>34</v>
      </c>
      <c r="B35" s="53" t="s">
        <v>235</v>
      </c>
      <c r="C35" s="53">
        <v>2019</v>
      </c>
      <c r="D35" s="176" t="s">
        <v>313</v>
      </c>
      <c r="E35" s="53" t="s">
        <v>272</v>
      </c>
      <c r="F35" s="53" t="s">
        <v>385</v>
      </c>
      <c r="G35" s="53" t="s">
        <v>36</v>
      </c>
      <c r="H35" s="53" t="s">
        <v>163</v>
      </c>
      <c r="I35" s="53" t="s">
        <v>159</v>
      </c>
      <c r="J35" s="53" t="s">
        <v>38</v>
      </c>
      <c r="K35" s="53" t="s">
        <v>160</v>
      </c>
      <c r="L35" s="53">
        <v>1</v>
      </c>
      <c r="N35" s="53">
        <v>1</v>
      </c>
      <c r="O35" s="53">
        <v>0.45</v>
      </c>
      <c r="P35" s="53">
        <v>0.55000000000000004</v>
      </c>
      <c r="Q35" s="76">
        <f t="shared" ref="Q35:Q36" si="3">IF(OR(O35="",P35=""),"",AVERAGE(O35,P35))</f>
        <v>0.5</v>
      </c>
      <c r="R35" s="53">
        <v>14.4</v>
      </c>
      <c r="S35" s="53">
        <v>104</v>
      </c>
      <c r="T35" s="16">
        <f t="shared" si="1"/>
        <v>33</v>
      </c>
      <c r="U35" s="53">
        <v>105</v>
      </c>
      <c r="V35" s="16">
        <f t="shared" si="2"/>
        <v>3465</v>
      </c>
      <c r="W35" s="53">
        <v>2</v>
      </c>
      <c r="X35" s="53" t="s">
        <v>46</v>
      </c>
      <c r="Y35" s="53" t="s">
        <v>84</v>
      </c>
      <c r="Z35" s="53" t="s">
        <v>40</v>
      </c>
      <c r="AA35" s="53" t="s">
        <v>90</v>
      </c>
      <c r="AB35" s="53" t="s">
        <v>239</v>
      </c>
    </row>
    <row r="36" spans="1:28" x14ac:dyDescent="0.15">
      <c r="A36" s="53" t="s">
        <v>34</v>
      </c>
      <c r="B36" s="53" t="s">
        <v>235</v>
      </c>
      <c r="C36" s="53">
        <v>2019</v>
      </c>
      <c r="D36" s="176" t="s">
        <v>313</v>
      </c>
      <c r="E36" s="53" t="s">
        <v>272</v>
      </c>
      <c r="F36" s="53" t="s">
        <v>385</v>
      </c>
      <c r="G36" s="53" t="s">
        <v>36</v>
      </c>
      <c r="H36" s="53" t="s">
        <v>163</v>
      </c>
      <c r="I36" s="53" t="s">
        <v>159</v>
      </c>
      <c r="J36" s="53" t="s">
        <v>38</v>
      </c>
      <c r="K36" s="53" t="s">
        <v>160</v>
      </c>
      <c r="L36" s="53">
        <v>2</v>
      </c>
      <c r="N36" s="53">
        <v>1</v>
      </c>
      <c r="O36" s="53">
        <v>0.2</v>
      </c>
      <c r="P36" s="53">
        <v>0.2</v>
      </c>
      <c r="Q36" s="76">
        <f t="shared" si="3"/>
        <v>0.2</v>
      </c>
      <c r="R36" s="53">
        <v>14.3</v>
      </c>
      <c r="S36" s="53">
        <v>108</v>
      </c>
      <c r="T36" s="16">
        <f t="shared" si="1"/>
        <v>33</v>
      </c>
      <c r="U36" s="53">
        <v>105</v>
      </c>
      <c r="V36" s="16">
        <f t="shared" si="2"/>
        <v>3465</v>
      </c>
      <c r="W36" s="53">
        <v>2</v>
      </c>
      <c r="X36" s="53" t="s">
        <v>46</v>
      </c>
      <c r="Y36" s="53" t="s">
        <v>84</v>
      </c>
      <c r="Z36" s="53" t="s">
        <v>40</v>
      </c>
      <c r="AA36" s="53" t="s">
        <v>90</v>
      </c>
      <c r="AB36" s="53" t="s">
        <v>239</v>
      </c>
    </row>
    <row r="37" spans="1:28" x14ac:dyDescent="0.15">
      <c r="A37" s="53" t="s">
        <v>34</v>
      </c>
      <c r="B37" s="53" t="s">
        <v>235</v>
      </c>
      <c r="C37" s="53">
        <v>2019</v>
      </c>
      <c r="D37" s="176" t="s">
        <v>313</v>
      </c>
      <c r="E37" s="53" t="s">
        <v>272</v>
      </c>
      <c r="F37" s="53" t="s">
        <v>385</v>
      </c>
      <c r="G37" s="53" t="s">
        <v>36</v>
      </c>
      <c r="H37" s="53" t="s">
        <v>163</v>
      </c>
      <c r="I37" s="53" t="s">
        <v>159</v>
      </c>
      <c r="J37" s="53" t="s">
        <v>38</v>
      </c>
      <c r="K37" s="53" t="s">
        <v>160</v>
      </c>
      <c r="L37" s="53">
        <v>3</v>
      </c>
      <c r="N37" s="53">
        <v>1</v>
      </c>
      <c r="O37" s="53">
        <v>0.5</v>
      </c>
      <c r="P37" s="53">
        <v>0.55000000000000004</v>
      </c>
      <c r="Q37" s="76">
        <f>IF(OR(O37="",P37=""),"",AVERAGE(O37,P37))</f>
        <v>0.52500000000000002</v>
      </c>
      <c r="R37" s="53">
        <v>14.1</v>
      </c>
      <c r="S37" s="53">
        <v>104</v>
      </c>
      <c r="T37" s="16">
        <f t="shared" si="1"/>
        <v>33</v>
      </c>
      <c r="U37" s="53">
        <v>105</v>
      </c>
      <c r="V37" s="16">
        <f t="shared" si="2"/>
        <v>3465</v>
      </c>
      <c r="W37" s="53">
        <v>2</v>
      </c>
      <c r="X37" s="53" t="s">
        <v>46</v>
      </c>
      <c r="Y37" s="53" t="s">
        <v>84</v>
      </c>
      <c r="Z37" s="53" t="s">
        <v>40</v>
      </c>
      <c r="AA37" s="53" t="s">
        <v>90</v>
      </c>
      <c r="AB37" s="53" t="s">
        <v>239</v>
      </c>
    </row>
    <row r="38" spans="1:28" x14ac:dyDescent="0.15">
      <c r="A38" s="53" t="s">
        <v>34</v>
      </c>
      <c r="B38" s="53" t="s">
        <v>235</v>
      </c>
      <c r="C38" s="53">
        <v>2019</v>
      </c>
      <c r="D38" s="176" t="s">
        <v>313</v>
      </c>
      <c r="E38" s="53" t="s">
        <v>272</v>
      </c>
      <c r="F38" s="53" t="s">
        <v>385</v>
      </c>
      <c r="G38" s="53" t="s">
        <v>36</v>
      </c>
      <c r="H38" s="53" t="s">
        <v>163</v>
      </c>
      <c r="I38" s="53" t="s">
        <v>159</v>
      </c>
      <c r="J38" s="53" t="s">
        <v>38</v>
      </c>
      <c r="K38" s="53" t="s">
        <v>160</v>
      </c>
      <c r="L38" s="53">
        <v>1</v>
      </c>
      <c r="N38" s="53">
        <v>6</v>
      </c>
      <c r="O38" s="53">
        <v>0.2</v>
      </c>
      <c r="P38" s="53">
        <v>0.2</v>
      </c>
      <c r="Q38" s="76">
        <f t="shared" ref="Q38:Q39" si="4">IF(OR(O38="",P38=""),"",AVERAGE(O38,P38))</f>
        <v>0.2</v>
      </c>
      <c r="R38" s="53">
        <v>14.1</v>
      </c>
      <c r="S38" s="53">
        <v>95</v>
      </c>
      <c r="T38" s="16">
        <f t="shared" si="1"/>
        <v>36</v>
      </c>
      <c r="U38" s="53">
        <v>429</v>
      </c>
      <c r="V38" s="16">
        <f t="shared" si="2"/>
        <v>2574</v>
      </c>
      <c r="W38" s="53">
        <v>2</v>
      </c>
      <c r="X38" s="53" t="s">
        <v>46</v>
      </c>
      <c r="Y38" s="53" t="s">
        <v>84</v>
      </c>
      <c r="Z38" s="53" t="s">
        <v>40</v>
      </c>
      <c r="AA38" s="53" t="s">
        <v>90</v>
      </c>
      <c r="AB38" s="53" t="s">
        <v>239</v>
      </c>
    </row>
    <row r="39" spans="1:28" x14ac:dyDescent="0.15">
      <c r="A39" s="53" t="s">
        <v>34</v>
      </c>
      <c r="B39" s="53" t="s">
        <v>235</v>
      </c>
      <c r="C39" s="53">
        <v>2019</v>
      </c>
      <c r="D39" s="176" t="s">
        <v>313</v>
      </c>
      <c r="E39" s="53" t="s">
        <v>272</v>
      </c>
      <c r="F39" s="53" t="s">
        <v>385</v>
      </c>
      <c r="G39" s="53" t="s">
        <v>36</v>
      </c>
      <c r="H39" s="53" t="s">
        <v>163</v>
      </c>
      <c r="I39" s="53" t="s">
        <v>159</v>
      </c>
      <c r="J39" s="53" t="s">
        <v>38</v>
      </c>
      <c r="K39" s="53" t="s">
        <v>160</v>
      </c>
      <c r="L39" s="53">
        <v>2</v>
      </c>
      <c r="N39" s="53">
        <v>6</v>
      </c>
      <c r="O39" s="53">
        <v>0.55000000000000004</v>
      </c>
      <c r="P39" s="53">
        <v>0.7</v>
      </c>
      <c r="Q39" s="76">
        <f t="shared" si="4"/>
        <v>0.625</v>
      </c>
      <c r="R39" s="53">
        <v>15.1</v>
      </c>
      <c r="S39" s="53">
        <v>94</v>
      </c>
      <c r="T39" s="16">
        <f t="shared" si="1"/>
        <v>36</v>
      </c>
      <c r="U39" s="53">
        <v>429</v>
      </c>
      <c r="V39" s="16">
        <f t="shared" si="2"/>
        <v>2574</v>
      </c>
      <c r="W39" s="53">
        <v>2</v>
      </c>
      <c r="X39" s="53" t="s">
        <v>46</v>
      </c>
      <c r="Y39" s="53" t="s">
        <v>84</v>
      </c>
      <c r="Z39" s="53" t="s">
        <v>40</v>
      </c>
      <c r="AA39" s="53" t="s">
        <v>90</v>
      </c>
      <c r="AB39" s="53" t="s">
        <v>239</v>
      </c>
    </row>
    <row r="40" spans="1:28" x14ac:dyDescent="0.15">
      <c r="A40" s="53" t="s">
        <v>34</v>
      </c>
      <c r="B40" s="53" t="s">
        <v>235</v>
      </c>
      <c r="C40" s="53">
        <v>2019</v>
      </c>
      <c r="D40" s="176" t="s">
        <v>313</v>
      </c>
      <c r="E40" s="53" t="s">
        <v>272</v>
      </c>
      <c r="F40" s="53" t="s">
        <v>385</v>
      </c>
      <c r="G40" s="53" t="s">
        <v>36</v>
      </c>
      <c r="H40" s="53" t="s">
        <v>163</v>
      </c>
      <c r="I40" s="53" t="s">
        <v>159</v>
      </c>
      <c r="J40" s="53" t="s">
        <v>38</v>
      </c>
      <c r="K40" s="53" t="s">
        <v>160</v>
      </c>
      <c r="L40" s="53">
        <v>3</v>
      </c>
      <c r="N40" s="53">
        <v>6</v>
      </c>
      <c r="O40" s="53">
        <v>0.75</v>
      </c>
      <c r="P40" s="53">
        <v>0.7</v>
      </c>
      <c r="Q40" s="76">
        <f>IF(OR(O40="",P40=""),"",AVERAGE(O40,P40))</f>
        <v>0.72499999999999998</v>
      </c>
      <c r="R40" s="53">
        <v>13.8</v>
      </c>
      <c r="S40" s="53">
        <v>97</v>
      </c>
      <c r="T40" s="16">
        <f t="shared" si="1"/>
        <v>36</v>
      </c>
      <c r="U40" s="53">
        <v>429</v>
      </c>
      <c r="V40" s="16">
        <f t="shared" si="2"/>
        <v>2574</v>
      </c>
      <c r="W40" s="53">
        <v>2</v>
      </c>
      <c r="X40" s="53" t="s">
        <v>46</v>
      </c>
      <c r="Y40" s="53" t="s">
        <v>84</v>
      </c>
      <c r="Z40" s="53" t="s">
        <v>40</v>
      </c>
      <c r="AA40" s="53" t="s">
        <v>90</v>
      </c>
      <c r="AB40" s="53" t="s">
        <v>239</v>
      </c>
    </row>
    <row r="41" spans="1:28" x14ac:dyDescent="0.15">
      <c r="D41" s="176"/>
      <c r="Q41" s="76"/>
    </row>
    <row r="42" spans="1:28" x14ac:dyDescent="0.15">
      <c r="D42" s="176"/>
      <c r="Q42" s="76"/>
    </row>
    <row r="43" spans="1:28" x14ac:dyDescent="0.15">
      <c r="D43" s="176"/>
      <c r="Q43" s="76"/>
    </row>
    <row r="44" spans="1:28" x14ac:dyDescent="0.15">
      <c r="D44" s="176"/>
      <c r="Q44" s="76"/>
    </row>
    <row r="45" spans="1:28" x14ac:dyDescent="0.15">
      <c r="D45" s="176"/>
      <c r="Q45" s="76"/>
    </row>
    <row r="46" spans="1:28" x14ac:dyDescent="0.15">
      <c r="D46" s="176"/>
      <c r="Q46" s="76"/>
    </row>
    <row r="47" spans="1:28" x14ac:dyDescent="0.15">
      <c r="D47" s="176"/>
      <c r="Q47" s="76"/>
    </row>
    <row r="48" spans="1:28" x14ac:dyDescent="0.15">
      <c r="D48" s="176"/>
      <c r="Q48" s="76"/>
    </row>
    <row r="49" spans="4:17" x14ac:dyDescent="0.15">
      <c r="D49" s="176"/>
      <c r="Q49" s="76"/>
    </row>
    <row r="50" spans="4:17" x14ac:dyDescent="0.15">
      <c r="D50" s="176"/>
      <c r="Q50" s="76"/>
    </row>
    <row r="51" spans="4:17" x14ac:dyDescent="0.15">
      <c r="D51" s="176"/>
      <c r="Q51" s="76"/>
    </row>
    <row r="52" spans="4:17" x14ac:dyDescent="0.15">
      <c r="D52" s="176"/>
      <c r="Q52" s="76"/>
    </row>
    <row r="53" spans="4:17" x14ac:dyDescent="0.15">
      <c r="D53" s="176"/>
      <c r="Q53" s="76"/>
    </row>
    <row r="54" spans="4:17" x14ac:dyDescent="0.15">
      <c r="D54" s="176"/>
      <c r="Q54" s="76"/>
    </row>
    <row r="55" spans="4:17" x14ac:dyDescent="0.15">
      <c r="D55" s="176"/>
      <c r="Q55" s="76"/>
    </row>
    <row r="56" spans="4:17" x14ac:dyDescent="0.15">
      <c r="D56" s="176"/>
      <c r="Q56" s="76"/>
    </row>
    <row r="57" spans="4:17" x14ac:dyDescent="0.15">
      <c r="D57" s="176"/>
      <c r="Q57" s="76"/>
    </row>
    <row r="58" spans="4:17" x14ac:dyDescent="0.15">
      <c r="D58" s="176"/>
      <c r="Q58" s="76"/>
    </row>
    <row r="59" spans="4:17" x14ac:dyDescent="0.15">
      <c r="D59" s="176"/>
      <c r="Q59" s="76"/>
    </row>
    <row r="60" spans="4:17" x14ac:dyDescent="0.15">
      <c r="D60" s="176"/>
      <c r="Q60" s="76"/>
    </row>
    <row r="61" spans="4:17" x14ac:dyDescent="0.15">
      <c r="D61" s="176"/>
      <c r="Q61" s="76"/>
    </row>
    <row r="62" spans="4:17" x14ac:dyDescent="0.15">
      <c r="D62" s="176"/>
      <c r="Q62" s="76"/>
    </row>
    <row r="63" spans="4:17" x14ac:dyDescent="0.15">
      <c r="D63" s="176"/>
      <c r="Q63" s="76"/>
    </row>
    <row r="64" spans="4:17" x14ac:dyDescent="0.15">
      <c r="D64" s="176"/>
      <c r="Q64" s="76"/>
    </row>
    <row r="65" spans="4:17" x14ac:dyDescent="0.15">
      <c r="D65" s="176"/>
      <c r="Q65" s="76"/>
    </row>
    <row r="66" spans="4:17" x14ac:dyDescent="0.15">
      <c r="D66" s="176"/>
      <c r="Q66" s="76"/>
    </row>
    <row r="67" spans="4:17" x14ac:dyDescent="0.15">
      <c r="D67" s="176"/>
      <c r="Q67" s="76"/>
    </row>
    <row r="68" spans="4:17" x14ac:dyDescent="0.15">
      <c r="D68" s="176"/>
      <c r="Q68" s="76"/>
    </row>
    <row r="69" spans="4:17" x14ac:dyDescent="0.15">
      <c r="D69" s="176"/>
      <c r="Q69" s="76"/>
    </row>
    <row r="70" spans="4:17" x14ac:dyDescent="0.15">
      <c r="D70" s="176"/>
      <c r="Q70" s="76"/>
    </row>
    <row r="71" spans="4:17" x14ac:dyDescent="0.15">
      <c r="D71" s="176"/>
      <c r="Q71" s="76"/>
    </row>
    <row r="72" spans="4:17" x14ac:dyDescent="0.15">
      <c r="D72" s="176"/>
      <c r="Q72" s="76"/>
    </row>
    <row r="73" spans="4:17" x14ac:dyDescent="0.15">
      <c r="D73" s="176"/>
      <c r="Q73" s="76"/>
    </row>
    <row r="74" spans="4:17" x14ac:dyDescent="0.15">
      <c r="D74" s="176"/>
      <c r="Q74" s="76"/>
    </row>
    <row r="75" spans="4:17" x14ac:dyDescent="0.15">
      <c r="D75" s="176"/>
      <c r="Q75" s="76"/>
    </row>
    <row r="76" spans="4:17" x14ac:dyDescent="0.15">
      <c r="D76" s="176"/>
      <c r="Q76" s="76"/>
    </row>
    <row r="77" spans="4:17" x14ac:dyDescent="0.15">
      <c r="D77" s="176"/>
      <c r="Q77" s="76"/>
    </row>
    <row r="78" spans="4:17" x14ac:dyDescent="0.15">
      <c r="D78" s="176"/>
      <c r="Q78" s="76"/>
    </row>
    <row r="79" spans="4:17" x14ac:dyDescent="0.15">
      <c r="D79" s="176"/>
      <c r="Q79" s="76"/>
    </row>
    <row r="80" spans="4:17" x14ac:dyDescent="0.15">
      <c r="D80" s="176"/>
      <c r="Q80" s="76"/>
    </row>
    <row r="81" spans="4:17" x14ac:dyDescent="0.15">
      <c r="D81" s="176"/>
      <c r="Q81" s="76"/>
    </row>
    <row r="82" spans="4:17" x14ac:dyDescent="0.15">
      <c r="D82" s="176"/>
      <c r="Q82" s="76"/>
    </row>
    <row r="83" spans="4:17" x14ac:dyDescent="0.15">
      <c r="D83" s="176"/>
      <c r="Q83" s="76"/>
    </row>
    <row r="84" spans="4:17" x14ac:dyDescent="0.15">
      <c r="D84" s="176"/>
    </row>
    <row r="85" spans="4:17" x14ac:dyDescent="0.15">
      <c r="D85" s="176"/>
    </row>
    <row r="86" spans="4:17" x14ac:dyDescent="0.15">
      <c r="D86" s="176"/>
    </row>
    <row r="87" spans="4:17" x14ac:dyDescent="0.15">
      <c r="D87" s="176"/>
    </row>
    <row r="88" spans="4:17" x14ac:dyDescent="0.15">
      <c r="D88" s="176"/>
    </row>
    <row r="89" spans="4:17" x14ac:dyDescent="0.15">
      <c r="D89" s="176"/>
    </row>
    <row r="90" spans="4:17" x14ac:dyDescent="0.15">
      <c r="D90" s="176"/>
    </row>
    <row r="91" spans="4:17" x14ac:dyDescent="0.15">
      <c r="D91" s="176"/>
    </row>
    <row r="92" spans="4:17" x14ac:dyDescent="0.15">
      <c r="D92" s="176"/>
    </row>
    <row r="93" spans="4:17" x14ac:dyDescent="0.15">
      <c r="D93" s="176"/>
    </row>
    <row r="94" spans="4:17" x14ac:dyDescent="0.15">
      <c r="D94" s="176"/>
    </row>
    <row r="95" spans="4:17" x14ac:dyDescent="0.15">
      <c r="D95" s="176"/>
    </row>
    <row r="96" spans="4:17"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F2:F469" xr:uid="{CE249F51-0A88-4A3E-8444-D595682E4ADA}">
      <formula1>$AH$2:$AH$11</formula1>
    </dataValidation>
    <dataValidation type="list" allowBlank="1" showInputMessage="1" showErrorMessage="1" sqref="E2:E469" xr:uid="{08DA5E01-3726-42CB-BB9F-9A9E82B5B9CB}">
      <formula1>$AG$2:$AG$11</formula1>
    </dataValidation>
    <dataValidation type="list" allowBlank="1" showInputMessage="1" showErrorMessage="1" sqref="K2:K781" xr:uid="{F5B37BBF-D452-46E1-A898-F432738C3A59}">
      <formula1>$AR$2:$AR$23</formula1>
    </dataValidation>
    <dataValidation operator="equal" allowBlank="1" showInputMessage="1" showErrorMessage="1" sqref="B2:B149" xr:uid="{04DFC39C-7F79-4989-9674-92AE9C506DC3}"/>
    <dataValidation type="list" allowBlank="1" showInputMessage="1" showErrorMessage="1" sqref="A2:A468" xr:uid="{96A30CF2-CBCB-4A8E-BBDE-AD13D2D2DCB2}">
      <formula1>$AE$2:$AE$19</formula1>
    </dataValidation>
    <dataValidation type="list" allowBlank="1" showInputMessage="1" showErrorMessage="1" sqref="Y2:AA469" xr:uid="{0902E2B2-405F-4706-A31A-A34D8A1C5EFF}">
      <formula1>$AV$2:$AV$21</formula1>
    </dataValidation>
    <dataValidation type="list" allowBlank="1" showInputMessage="1" showErrorMessage="1" sqref="H2:H469" xr:uid="{B9CCDD47-7E5F-4A4B-BFF8-F81ED23D79C1}">
      <formula1>$AL$2:$AL$8</formula1>
    </dataValidation>
    <dataValidation type="list" allowBlank="1" showInputMessage="1" showErrorMessage="1" sqref="X2:X469" xr:uid="{3AB9AFE2-03A5-4ACB-85EB-30A47A90F193}">
      <formula1>$AT$2:$AT$3</formula1>
    </dataValidation>
    <dataValidation type="list" allowBlank="1" showInputMessage="1" showErrorMessage="1" sqref="G2:G469" xr:uid="{FB96EC34-5EA9-4C53-910D-0F2A4F484BE0}">
      <formula1>$AJ$2:$AJ$4</formula1>
    </dataValidation>
    <dataValidation type="list" allowBlank="1" showInputMessage="1" showErrorMessage="1" sqref="I2:I469" xr:uid="{628A1581-DC87-4FDA-B723-05360B613D5D}">
      <formula1>$AN$5:$AN$6</formula1>
    </dataValidation>
    <dataValidation type="list" allowBlank="1" showInputMessage="1" showErrorMessage="1" sqref="J2:J469" xr:uid="{A57EC7C5-6400-46B6-8909-63E218808E09}">
      <formula1>$AP$2:$AP$24</formula1>
    </dataValidation>
    <dataValidation type="decimal" allowBlank="1" showInputMessage="1" showErrorMessage="1" error="硬度を正しく入力して下さい。" sqref="O2:P49 O59:P469" xr:uid="{C4518D4F-DD83-481F-9804-7CA75383853B}">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D0E12B-0951-402B-BCCA-AE0B850072BF}"/>
</file>

<file path=customXml/itemProps2.xml><?xml version="1.0" encoding="utf-8"?>
<ds:datastoreItem xmlns:ds="http://schemas.openxmlformats.org/officeDocument/2006/customXml" ds:itemID="{C4C5544F-0338-4516-AB4A-5AB6870D961C}"/>
</file>

<file path=customXml/itemProps3.xml><?xml version="1.0" encoding="utf-8"?>
<ds:datastoreItem xmlns:ds="http://schemas.openxmlformats.org/officeDocument/2006/customXml" ds:itemID="{967E6A1D-0ACD-437D-BFDD-557C6A6E63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2020-01-27T01:48:42Z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